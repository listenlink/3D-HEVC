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3600" yWindow="1665" windowWidth="31065" windowHeight="18240" tabRatio="547"/>
  </bookViews>
  <sheets>
    <sheet name="summary (auto)" sheetId="27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<sst xmlns="http://schemas.openxmlformats.org/spreadsheetml/2006/main" count="246" uniqueCount="62">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</sst>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b/>
      <sz val="10"/>
      <color theme="1"/>
      <name val="맑은 고딕"/>
      <family val="1"/>
      <scheme val="major"/>
    </font>
    <font>
      <b/>
      <sz val="10"/>
      <color indexed="8"/>
      <name val="맑은 고딕"/>
      <family val="1"/>
      <scheme val="major"/>
    </font>
    <font>
      <b/>
      <sz val="20"/>
      <color theme="1"/>
      <name val="맑은 고딕"/>
      <family val="2"/>
      <scheme val="minor"/>
    </font>
    <font>
      <sz val="12"/>
      <color theme="1" tint="0.499984740745262"/>
      <name val="맑은 고딕"/>
      <family val="2"/>
      <scheme val="minor"/>
    </font>
    <font>
      <sz val="10"/>
      <name val="Arial"/>
      <family val="2"/>
    </font>
    <font>
      <sz val="12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2" borderId="4" xfId="0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5" fillId="2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I19" sqref="I19"/>
    </sheetView>
  </sheetViews>
  <sheetFormatPr defaultColWidth="8.77734375" defaultRowHeight="17.25"/>
  <cols>
    <col min="2" max="2" width="10.6640625" customWidth="1"/>
    <col min="3" max="8" width="10" customWidth="1"/>
    <col min="11" max="11" width="8.77734375" customWidth="1"/>
    <col min="14" max="14" width="10.33203125" style="99" customWidth="1"/>
    <col min="15" max="18" width="9" style="99" customWidth="1"/>
    <col min="19" max="19" width="13" style="99" customWidth="1"/>
    <col min="20" max="20" width="15.109375" style="99" customWidth="1"/>
  </cols>
  <sheetData>
    <row r="2" spans="1:20" ht="31.5">
      <c r="B2" s="97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14">
        <f>'experimental data'!U3</f>
        <v>0</v>
      </c>
      <c r="D5" s="115">
        <f>'experimental data'!U7</f>
        <v>-8.5280394791542591E-4</v>
      </c>
      <c r="E5" s="116">
        <f>'experimental data'!U11</f>
        <v>8.9875712676157349E-4</v>
      </c>
      <c r="F5" s="114">
        <f>'experimental data'!U434</f>
        <v>-1.0310819169012664E-4</v>
      </c>
      <c r="G5" s="115">
        <f>bdrate('experimental data'!E450:E453,'experimental data'!F434:F437,'experimental data'!M450:M453,'experimental data'!N434:N437)</f>
        <v>-2.6588943639294094E-4</v>
      </c>
      <c r="H5" s="116">
        <f>'experimental data'!U442</f>
        <v>2.7600628572566066E-4</v>
      </c>
      <c r="I5" s="57">
        <f>'experimental data'!Y51</f>
        <v>0.99346201428588488</v>
      </c>
      <c r="J5" s="101">
        <f>'experimental data'!Z51</f>
        <v>1.0617022796197939</v>
      </c>
      <c r="K5" s="58">
        <f>'experimental data'!AA51</f>
        <v>0.99622309608441773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17">
        <f>'experimental data'!U55</f>
        <v>0</v>
      </c>
      <c r="D6" s="118">
        <f>'experimental data'!U59</f>
        <v>-1.9003440258810178E-3</v>
      </c>
      <c r="E6" s="119">
        <f>'experimental data'!U63</f>
        <v>-1.3444518634335711E-3</v>
      </c>
      <c r="F6" s="117">
        <f>'experimental data'!U458</f>
        <v>-6.3958198755964535E-4</v>
      </c>
      <c r="G6" s="118">
        <f>bdrate('experimental data'!E474:E477,'experimental data'!F458:F461,'experimental data'!M474:M477,'experimental data'!N458:N461)</f>
        <v>-8.4449091137661636E-4</v>
      </c>
      <c r="H6" s="119">
        <f>'experimental data'!U466</f>
        <v>-8.4203272062199908E-4</v>
      </c>
      <c r="I6" s="59">
        <f>'experimental data'!Y103</f>
        <v>0.99575630497281875</v>
      </c>
      <c r="J6" s="102">
        <f>'experimental data'!Z103</f>
        <v>0.97966488465827872</v>
      </c>
      <c r="K6" s="55">
        <f>'experimental data'!AA103</f>
        <v>0.99614966261472382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17">
        <f>'experimental data'!U107</f>
        <v>0</v>
      </c>
      <c r="D7" s="118">
        <f>'experimental data'!U111</f>
        <v>-1.0500791268052145E-3</v>
      </c>
      <c r="E7" s="119">
        <f>'experimental data'!U115</f>
        <v>-8.792803593290488E-4</v>
      </c>
      <c r="F7" s="117">
        <f>'experimental data'!U482</f>
        <v>-2.4756910314993608E-4</v>
      </c>
      <c r="G7" s="118">
        <f>bdrate('experimental data'!E498:E501,'experimental data'!F482:F485,'experimental data'!M498:M501,'experimental data'!N482:N485)</f>
        <v>-3.0607607379995461E-4</v>
      </c>
      <c r="H7" s="119">
        <f>'experimental data'!U490</f>
        <v>-6.5353466361861567E-4</v>
      </c>
      <c r="I7" s="59">
        <f>'experimental data'!Y155</f>
        <v>1.0041389838732389</v>
      </c>
      <c r="J7" s="102">
        <f>'experimental data'!Z155</f>
        <v>1.0097903382933451</v>
      </c>
      <c r="K7" s="55">
        <f>'experimental data'!AA155</f>
        <v>1.007059218243636</v>
      </c>
      <c r="L7" s="87"/>
      <c r="M7" s="12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17">
        <f>'experimental data'!U159</f>
        <v>0</v>
      </c>
      <c r="D8" s="118">
        <f>'experimental data'!U163</f>
        <v>-1.3623480315173575E-3</v>
      </c>
      <c r="E8" s="119">
        <f>'experimental data'!U167</f>
        <v>-4.4682049931676904E-4</v>
      </c>
      <c r="F8" s="117">
        <f>'experimental data'!U506</f>
        <v>-2.7325621234575159E-4</v>
      </c>
      <c r="G8" s="118">
        <f>bdrate('experimental data'!E522:E525,'experimental data'!F506:F509,'experimental data'!M522:M525,'experimental data'!N506:N509)</f>
        <v>-2.9624691081542309E-4</v>
      </c>
      <c r="H8" s="119">
        <f>'experimental data'!U514</f>
        <v>-1.5475574993895069E-4</v>
      </c>
      <c r="I8" s="59">
        <f>'experimental data'!Y207</f>
        <v>1.0051206170179754</v>
      </c>
      <c r="J8" s="102">
        <f>'experimental data'!Z207</f>
        <v>0.93693955093950632</v>
      </c>
      <c r="K8" s="55">
        <f>'experimental data'!AA207</f>
        <v>1.0071943141975805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17">
        <f>'experimental data'!U211</f>
        <v>0</v>
      </c>
      <c r="D9" s="118">
        <f>'experimental data'!U215</f>
        <v>1.0236976767574735E-3</v>
      </c>
      <c r="E9" s="119">
        <f>'experimental data'!U219</f>
        <v>9.8018984859504776E-4</v>
      </c>
      <c r="F9" s="117">
        <f>'experimental data'!U530</f>
        <v>5.8438938393079454E-5</v>
      </c>
      <c r="G9" s="118">
        <f>bdrate('experimental data'!E546:E549,'experimental data'!F530:F533,'experimental data'!M546:M549,'experimental data'!N530:N533)</f>
        <v>-2.3949869972961224E-4</v>
      </c>
      <c r="H9" s="119">
        <f>'experimental data'!U538</f>
        <v>8.5773647233300387E-4</v>
      </c>
      <c r="I9" s="59">
        <f>'experimental data'!Y259</f>
        <v>0.99616179089265011</v>
      </c>
      <c r="J9" s="102">
        <f>'experimental data'!Z259</f>
        <v>0.9873202827434906</v>
      </c>
      <c r="K9" s="55">
        <f>'experimental data'!AA259</f>
        <v>1.0136570787373433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17">
        <f>'experimental data'!U263</f>
        <v>0</v>
      </c>
      <c r="D10" s="118">
        <f>'experimental data'!U267</f>
        <v>-8.8537187166959352E-4</v>
      </c>
      <c r="E10" s="119">
        <f>'experimental data'!U271</f>
        <v>-1.2428473107399807E-3</v>
      </c>
      <c r="F10" s="117">
        <f>'experimental data'!U554</f>
        <v>-3.659763915548897E-4</v>
      </c>
      <c r="G10" s="118">
        <f>bdrate('experimental data'!E570:E573,'experimental data'!F554:F557,'experimental data'!M570:M573,'experimental data'!N554:N557)</f>
        <v>-2.4266342650969275E-4</v>
      </c>
      <c r="H10" s="119">
        <f>'experimental data'!U562</f>
        <v>1.8786785649327342E-4</v>
      </c>
      <c r="I10" s="59">
        <f>'experimental data'!Y311</f>
        <v>0.99744677043010865</v>
      </c>
      <c r="J10" s="102">
        <f>'experimental data'!Z311</f>
        <v>1.0007510915544993</v>
      </c>
      <c r="K10" s="55">
        <f>'experimental data'!AA311</f>
        <v>1.0163639288799442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17">
        <f>'experimental data'!U315</f>
        <v>0</v>
      </c>
      <c r="D11" s="118">
        <f>'experimental data'!U319</f>
        <v>-1.070305550036621E-3</v>
      </c>
      <c r="E11" s="119">
        <f>'experimental data'!U323</f>
        <v>-7.585201834544586E-4</v>
      </c>
      <c r="F11" s="117">
        <f>'experimental data'!U578</f>
        <v>-2.6243396566538735E-4</v>
      </c>
      <c r="G11" s="118">
        <f>bdrate('experimental data'!E594:E597,'experimental data'!F578:F581,'experimental data'!M594:M597,'experimental data'!N578:N581)</f>
        <v>-1.8756078338910687E-4</v>
      </c>
      <c r="H11" s="119">
        <f>'experimental data'!U586</f>
        <v>1.2397767667748916E-4</v>
      </c>
      <c r="I11" s="59">
        <f>'experimental data'!Y363</f>
        <v>0.99643308717699519</v>
      </c>
      <c r="J11" s="102">
        <f>'experimental data'!Z363</f>
        <v>0.92507658075711952</v>
      </c>
      <c r="K11" s="55">
        <f>'experimental data'!AA363</f>
        <v>1.0142875878886886</v>
      </c>
      <c r="L11" s="87"/>
      <c r="M11" s="59"/>
      <c r="N11" s="59"/>
      <c r="O11"/>
      <c r="P11"/>
      <c r="Q11"/>
      <c r="R11"/>
      <c r="S11"/>
      <c r="T11"/>
    </row>
    <row r="12" spans="1:20" ht="18" thickBot="1">
      <c r="A12" s="87"/>
      <c r="B12" s="50" t="str">
        <f>'experimental data'!B598</f>
        <v>Shark</v>
      </c>
      <c r="C12" s="120">
        <f>'experimental data'!U367</f>
        <v>0</v>
      </c>
      <c r="D12" s="121">
        <f>'experimental data'!U371</f>
        <v>-1.5186529106084867E-3</v>
      </c>
      <c r="E12" s="122">
        <f>'experimental data'!U375</f>
        <v>-2.3130879168109519E-4</v>
      </c>
      <c r="F12" s="120">
        <f>'experimental data'!U602</f>
        <v>-1.5200319886987668E-4</v>
      </c>
      <c r="G12" s="121">
        <f>bdrate('experimental data'!E618:E621,'experimental data'!F602:F605,'experimental data'!M618:M621,'experimental data'!N602:N605)</f>
        <v>-1.4365739780630715E-4</v>
      </c>
      <c r="H12" s="122">
        <f>'experimental data'!U610</f>
        <v>-1.5483568949903326E-4</v>
      </c>
      <c r="I12" s="61">
        <f>'experimental data'!Y415</f>
        <v>0.98457858253293595</v>
      </c>
      <c r="J12" s="103">
        <f>'experimental data'!Z415</f>
        <v>0.9935949060555187</v>
      </c>
      <c r="K12" s="62">
        <f>'experimental data'!AA415</f>
        <v>1.0173035008826854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14">
        <f t="shared" ref="C13:K13" si="0">AVERAGE(C5:C7)</f>
        <v>0</v>
      </c>
      <c r="D13" s="115">
        <f t="shared" si="0"/>
        <v>-1.2677423668672194E-3</v>
      </c>
      <c r="E13" s="116">
        <f t="shared" si="0"/>
        <v>-4.4165836533368214E-4</v>
      </c>
      <c r="F13" s="114">
        <f t="shared" si="0"/>
        <v>-3.3008642746656935E-4</v>
      </c>
      <c r="G13" s="115">
        <f t="shared" si="0"/>
        <v>-4.7215214052317062E-4</v>
      </c>
      <c r="H13" s="116">
        <f t="shared" si="0"/>
        <v>-4.0652036617165138E-4</v>
      </c>
      <c r="I13" s="56">
        <f t="shared" si="0"/>
        <v>0.99778576771064742</v>
      </c>
      <c r="J13" s="101">
        <f t="shared" si="0"/>
        <v>1.0170525008571392</v>
      </c>
      <c r="K13" s="58">
        <f t="shared" si="0"/>
        <v>0.99981065898092591</v>
      </c>
      <c r="L13" s="87"/>
      <c r="M13" s="59"/>
      <c r="N13" s="59"/>
      <c r="O13"/>
      <c r="P13"/>
      <c r="Q13"/>
      <c r="R13"/>
      <c r="S13"/>
      <c r="T13"/>
    </row>
    <row r="14" spans="1:20" ht="18" thickBot="1">
      <c r="A14" s="87"/>
      <c r="B14" s="36" t="s">
        <v>19</v>
      </c>
      <c r="C14" s="117">
        <f>AVERAGE(C8:C12)</f>
        <v>0</v>
      </c>
      <c r="D14" s="118">
        <f t="shared" ref="D14:K14" si="1">AVERAGE(D8:D12)</f>
        <v>-7.6259613741491705E-4</v>
      </c>
      <c r="E14" s="119">
        <f t="shared" si="1"/>
        <v>-3.3986138731945115E-4</v>
      </c>
      <c r="F14" s="120">
        <f t="shared" si="1"/>
        <v>-1.9904616600856516E-4</v>
      </c>
      <c r="G14" s="121">
        <f t="shared" si="1"/>
        <v>-2.2192544365002843E-4</v>
      </c>
      <c r="H14" s="122">
        <f t="shared" si="1"/>
        <v>1.7199811321315649E-4</v>
      </c>
      <c r="I14" s="60">
        <f t="shared" si="1"/>
        <v>0.99594816961013299</v>
      </c>
      <c r="J14" s="103">
        <f t="shared" si="1"/>
        <v>0.96873648241002697</v>
      </c>
      <c r="K14" s="62">
        <f t="shared" si="1"/>
        <v>1.0137612821172486</v>
      </c>
      <c r="L14" s="87"/>
      <c r="M14" s="59"/>
      <c r="N14" s="59"/>
      <c r="O14"/>
      <c r="P14"/>
      <c r="Q14"/>
      <c r="R14"/>
      <c r="S14"/>
      <c r="T14"/>
    </row>
    <row r="15" spans="1:20" ht="18" thickBot="1">
      <c r="A15" s="87"/>
      <c r="B15" s="90" t="s">
        <v>34</v>
      </c>
      <c r="C15" s="123">
        <f>AVERAGE(C5:C12)</f>
        <v>0</v>
      </c>
      <c r="D15" s="124">
        <f t="shared" ref="D15:K15" si="2">AVERAGE(D5:D12)</f>
        <v>-9.5202597345953044E-4</v>
      </c>
      <c r="E15" s="125">
        <f t="shared" si="2"/>
        <v>-3.7803525407478777E-4</v>
      </c>
      <c r="F15" s="126">
        <f t="shared" si="2"/>
        <v>-2.4818626405531674E-4</v>
      </c>
      <c r="G15" s="127">
        <f t="shared" si="2"/>
        <v>-3.1576045497745675E-4</v>
      </c>
      <c r="H15" s="128">
        <f t="shared" si="2"/>
        <v>-4.4946316556146448E-5</v>
      </c>
      <c r="I15" s="95">
        <f>AVERAGE(I5:I12)</f>
        <v>0.99663726889782578</v>
      </c>
      <c r="J15" s="104">
        <f t="shared" si="2"/>
        <v>0.986854989327694</v>
      </c>
      <c r="K15" s="96">
        <f t="shared" si="2"/>
        <v>1.0085297984411274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31.5">
      <c r="B18" s="97" t="s">
        <v>46</v>
      </c>
      <c r="N18"/>
      <c r="O18"/>
      <c r="P18"/>
      <c r="Q18"/>
      <c r="R18"/>
      <c r="S18"/>
      <c r="T18"/>
    </row>
    <row r="19" spans="1:20" ht="18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0</v>
      </c>
      <c r="D21" s="9">
        <f>'experimental data'!U7</f>
        <v>-8.5280394791542591E-4</v>
      </c>
      <c r="E21" s="8">
        <f>'experimental data'!U430</f>
        <v>-3.8753390496515383E-4</v>
      </c>
      <c r="F21" s="9">
        <f>bdrate('experimental data'!E446:E449,'experimental data'!F430:F433,'experimental data'!M446:M449,'experimental data'!N430:N433)</f>
        <v>-4.9085853274133395E-4</v>
      </c>
      <c r="G21" s="10">
        <f>'experimental data'!U438</f>
        <v>6.6834540393490016E-4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0</v>
      </c>
      <c r="D22" s="18">
        <f>'experimental data'!U59</f>
        <v>-1.9003440258810178E-3</v>
      </c>
      <c r="E22" s="17">
        <f>'experimental data'!U454</f>
        <v>-3.7045514711819827E-4</v>
      </c>
      <c r="F22" s="18">
        <f>bdrate('experimental data'!E470:E473,'experimental data'!F454:F457,'experimental data'!M470:M473,'experimental data'!N454:N457)</f>
        <v>-6.3714058917396788E-4</v>
      </c>
      <c r="G22" s="19">
        <f>'experimental data'!U462</f>
        <v>-3.0417627102907741E-4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-1.0500791268052145E-3</v>
      </c>
      <c r="E23" s="17">
        <f>'experimental data'!U478</f>
        <v>-8.9730069635973742E-5</v>
      </c>
      <c r="F23" s="18">
        <f>bdrate('experimental data'!E494:E497,'experimental data'!F478:F481,'experimental data'!M494:M497,'experimental data'!N478:N481)</f>
        <v>-8.4608863353596853E-5</v>
      </c>
      <c r="G23" s="19">
        <f>'experimental data'!U486</f>
        <v>-6.1359665222826543E-4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-1.3623480315173575E-3</v>
      </c>
      <c r="E24" s="17">
        <f>'experimental data'!U502</f>
        <v>-1.8478423466405935E-4</v>
      </c>
      <c r="F24" s="18">
        <f>bdrate('experimental data'!E518:E521,'experimental data'!F502:F505,'experimental data'!M518:M521,'experimental data'!N502:N505)</f>
        <v>-1.8353514689750661E-4</v>
      </c>
      <c r="G24" s="19">
        <f>'experimental data'!U510</f>
        <v>-9.2645070430052989E-5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1.0236976767574735E-3</v>
      </c>
      <c r="E25" s="17">
        <f>'experimental data'!U526</f>
        <v>1.9497173484861463E-4</v>
      </c>
      <c r="F25" s="18">
        <f>bdrate('experimental data'!E542:E545,'experimental data'!F526:F529,'experimental data'!M542:M545,'experimental data'!N526:N529)</f>
        <v>-7.5173825077712308E-5</v>
      </c>
      <c r="G25" s="19">
        <f>'experimental data'!U534</f>
        <v>1.3363816491462899E-3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-8.8537187166959352E-4</v>
      </c>
      <c r="E26" s="17">
        <f>'experimental data'!U550</f>
        <v>-2.2979222103558516E-4</v>
      </c>
      <c r="F26" s="18">
        <f>bdrate('experimental data'!E566:E569,'experimental data'!F550:F553,'experimental data'!M566:M569,'experimental data'!N550:N553)</f>
        <v>-1.4345261829440403E-4</v>
      </c>
      <c r="G26" s="19">
        <f>'experimental data'!U558</f>
        <v>2.4554397936582539E-4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-1.070305550036621E-3</v>
      </c>
      <c r="E27" s="17">
        <f>'experimental data'!U574</f>
        <v>-2.2540702724693773E-4</v>
      </c>
      <c r="F27" s="18">
        <f>bdrate('experimental data'!E590:E593,'experimental data'!F574:F577,'experimental data'!M590:M593,'experimental data'!N574:N577)</f>
        <v>-1.9494865653968407E-4</v>
      </c>
      <c r="G27" s="19">
        <f>'experimental data'!U582</f>
        <v>1.8870414818228376E-4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8" thickBot="1">
      <c r="A28" s="87"/>
      <c r="B28" s="50" t="str">
        <f>'experimental data'!B598</f>
        <v>Shark</v>
      </c>
      <c r="C28" s="88">
        <f>'experimental data'!U367</f>
        <v>0</v>
      </c>
      <c r="D28" s="72">
        <f>'experimental data'!U371</f>
        <v>-1.5186529106084867E-3</v>
      </c>
      <c r="E28" s="88">
        <f>'experimental data'!U598</f>
        <v>-1.6447051590440243E-4</v>
      </c>
      <c r="F28" s="72">
        <f>bdrate('experimental data'!E614:E617,'experimental data'!F598:F601,'experimental data'!M614:M617,'experimental data'!N598:N601)</f>
        <v>-1.6435649471391311E-4</v>
      </c>
      <c r="G28" s="89">
        <f>'experimental data'!U606</f>
        <v>-3.1952457897110875E-4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0</v>
      </c>
      <c r="D29" s="9">
        <f>AVERAGE(D21:D23)</f>
        <v>-1.2677423668672194E-3</v>
      </c>
      <c r="E29" s="8">
        <f>AVERAGE(E21:E23)</f>
        <v>-2.8257304057310861E-4</v>
      </c>
      <c r="F29" s="9">
        <f>AVERAGE(F21:F23)</f>
        <v>-4.0420266175629954E-4</v>
      </c>
      <c r="G29" s="10">
        <f>AVERAGE(G21:G23)</f>
        <v>-8.3142506440814223E-5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8" thickBot="1">
      <c r="A30" s="87"/>
      <c r="B30" s="36" t="s">
        <v>19</v>
      </c>
      <c r="C30" s="17">
        <f>AVERAGE(C24:C28)</f>
        <v>0</v>
      </c>
      <c r="D30" s="18">
        <f>AVERAGE(D24:D28)</f>
        <v>-7.6259613741491705E-4</v>
      </c>
      <c r="E30" s="88">
        <f>AVERAGE(E24:E28)</f>
        <v>-1.2189645280047401E-4</v>
      </c>
      <c r="F30" s="72">
        <f>AVERAGE(F24:F28)</f>
        <v>-1.5229334830464404E-4</v>
      </c>
      <c r="G30" s="89">
        <f>AVERAGE(G24:G28)</f>
        <v>2.7169202545864748E-4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8" thickBot="1">
      <c r="A31" s="87"/>
      <c r="B31" s="90" t="s">
        <v>34</v>
      </c>
      <c r="C31" s="91">
        <f>AVERAGE(C21:C28)</f>
        <v>0</v>
      </c>
      <c r="D31" s="92">
        <f>AVERAGE(D21:D28)</f>
        <v>-9.5202597345953044E-4</v>
      </c>
      <c r="E31" s="93">
        <f>AVERAGE(E21:E28)</f>
        <v>-1.8215017321521199E-4</v>
      </c>
      <c r="F31" s="105">
        <f>AVERAGE(F21:F28)</f>
        <v>-2.4675934084901485E-4</v>
      </c>
      <c r="G31" s="94">
        <f>AVERAGE(G21:G28)</f>
        <v>1.3862907599634933E-4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15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777343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41" t="s">
        <v>2</v>
      </c>
      <c r="F1" s="141"/>
      <c r="G1" s="141"/>
      <c r="H1" s="141"/>
      <c r="I1" s="141"/>
      <c r="J1" s="141"/>
      <c r="K1" s="142"/>
      <c r="L1" s="11"/>
      <c r="M1" s="143" t="s">
        <v>3</v>
      </c>
      <c r="N1" s="141"/>
      <c r="O1" s="141"/>
      <c r="P1" s="141"/>
      <c r="Q1" s="141"/>
      <c r="R1" s="141"/>
      <c r="S1" s="142"/>
      <c r="T1" s="34"/>
      <c r="U1" s="143" t="s">
        <v>10</v>
      </c>
      <c r="V1" s="141"/>
      <c r="W1" s="142"/>
      <c r="X1" s="29"/>
      <c r="Y1" s="139" t="s">
        <v>1</v>
      </c>
      <c r="Z1" s="139"/>
      <c r="AA1" s="140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130">
        <v>878.05759999999998</v>
      </c>
      <c r="F3" s="130">
        <v>43.095300000000002</v>
      </c>
      <c r="G3" s="130">
        <v>43.405999999999999</v>
      </c>
      <c r="H3" s="130">
        <v>43.974600000000002</v>
      </c>
      <c r="I3" s="130"/>
      <c r="J3" s="131"/>
      <c r="K3" s="132"/>
      <c r="L3" s="29"/>
      <c r="M3" s="144">
        <v>878.05759999999998</v>
      </c>
      <c r="N3" s="144">
        <v>43.095300000000002</v>
      </c>
      <c r="O3" s="144">
        <v>43.405999999999999</v>
      </c>
      <c r="P3" s="144">
        <v>43.974600000000002</v>
      </c>
      <c r="Q3" s="144"/>
      <c r="R3" s="145"/>
      <c r="S3" s="146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133">
        <v>481.55200000000002</v>
      </c>
      <c r="F4" s="133">
        <v>41.046100000000003</v>
      </c>
      <c r="G4" s="133">
        <v>42.135899999999999</v>
      </c>
      <c r="H4" s="133">
        <v>42.337499999999999</v>
      </c>
      <c r="I4" s="133"/>
      <c r="J4" s="134"/>
      <c r="K4" s="135"/>
      <c r="L4" s="29"/>
      <c r="M4" s="147">
        <v>481.55200000000002</v>
      </c>
      <c r="N4" s="147">
        <v>41.046100000000003</v>
      </c>
      <c r="O4" s="147">
        <v>42.135899999999999</v>
      </c>
      <c r="P4" s="147">
        <v>42.337499999999999</v>
      </c>
      <c r="Q4" s="147"/>
      <c r="R4" s="148"/>
      <c r="S4" s="149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133">
        <v>277.3152</v>
      </c>
      <c r="F5" s="133">
        <v>38.459400000000002</v>
      </c>
      <c r="G5" s="133">
        <v>40.651200000000003</v>
      </c>
      <c r="H5" s="133">
        <v>40.526899999999998</v>
      </c>
      <c r="I5" s="133"/>
      <c r="J5" s="134"/>
      <c r="K5" s="135"/>
      <c r="L5" s="29"/>
      <c r="M5" s="147">
        <v>277.3152</v>
      </c>
      <c r="N5" s="147">
        <v>38.459400000000002</v>
      </c>
      <c r="O5" s="147">
        <v>40.651200000000003</v>
      </c>
      <c r="P5" s="147">
        <v>40.526899999999998</v>
      </c>
      <c r="Q5" s="147"/>
      <c r="R5" s="148"/>
      <c r="S5" s="149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136">
        <v>167.92080000000001</v>
      </c>
      <c r="F6" s="136">
        <v>35.64</v>
      </c>
      <c r="G6" s="136">
        <v>39.566600000000001</v>
      </c>
      <c r="H6" s="136">
        <v>39.223599999999998</v>
      </c>
      <c r="I6" s="136"/>
      <c r="J6" s="137"/>
      <c r="K6" s="138"/>
      <c r="L6" s="29"/>
      <c r="M6" s="150">
        <v>167.92080000000001</v>
      </c>
      <c r="N6" s="150">
        <v>35.64</v>
      </c>
      <c r="O6" s="150">
        <v>39.566600000000001</v>
      </c>
      <c r="P6" s="150">
        <v>39.223599999999998</v>
      </c>
      <c r="Q6" s="150"/>
      <c r="R6" s="151"/>
      <c r="S6" s="152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133">
        <v>268.35359999999997</v>
      </c>
      <c r="F7" s="133">
        <v>42.217500000000001</v>
      </c>
      <c r="G7" s="133">
        <v>43.108199999999997</v>
      </c>
      <c r="H7" s="133">
        <v>43.134099999999997</v>
      </c>
      <c r="I7" s="133"/>
      <c r="J7" s="134"/>
      <c r="K7" s="135"/>
      <c r="L7" s="29"/>
      <c r="M7" s="147">
        <v>268.55759999999998</v>
      </c>
      <c r="N7" s="147">
        <v>42.223599999999998</v>
      </c>
      <c r="O7" s="147">
        <v>43.102400000000003</v>
      </c>
      <c r="P7" s="147">
        <v>43.134900000000002</v>
      </c>
      <c r="Q7" s="147"/>
      <c r="R7" s="148"/>
      <c r="S7" s="149"/>
      <c r="U7" s="8">
        <f>bdrate($E7:$E10,F7:F10,$M7:$M10,N7:N10)</f>
        <v>-8.5280394791542591E-4</v>
      </c>
      <c r="V7" s="9">
        <f>bdrate($E7:$E10,G7:G10,$M7:$M10,O7:O10)</f>
        <v>-6.7802354055801484E-4</v>
      </c>
      <c r="W7" s="10">
        <f>bdrate($E7:$E10,H7:H10,$M7:$M10,P7:P10)</f>
        <v>-4.4905914299042671E-4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133">
        <v>122.0984</v>
      </c>
      <c r="F8" s="133">
        <v>39.905200000000001</v>
      </c>
      <c r="G8" s="133">
        <v>41.821199999999997</v>
      </c>
      <c r="H8" s="133">
        <v>41.534799999999997</v>
      </c>
      <c r="I8" s="133"/>
      <c r="J8" s="134"/>
      <c r="K8" s="135"/>
      <c r="L8" s="29"/>
      <c r="M8" s="147">
        <v>122.4384</v>
      </c>
      <c r="N8" s="147">
        <v>39.910899999999998</v>
      </c>
      <c r="O8" s="147">
        <v>41.825699999999998</v>
      </c>
      <c r="P8" s="147">
        <v>41.536700000000003</v>
      </c>
      <c r="Q8" s="147"/>
      <c r="R8" s="148"/>
      <c r="S8" s="149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133">
        <v>63.701599999999999</v>
      </c>
      <c r="F9" s="133">
        <v>37.307000000000002</v>
      </c>
      <c r="G9" s="133">
        <v>40.5595</v>
      </c>
      <c r="H9" s="133">
        <v>40.049599999999998</v>
      </c>
      <c r="I9" s="133"/>
      <c r="J9" s="134"/>
      <c r="K9" s="135"/>
      <c r="L9" s="29"/>
      <c r="M9" s="147">
        <v>63.642400000000002</v>
      </c>
      <c r="N9" s="147">
        <v>37.308900000000001</v>
      </c>
      <c r="O9" s="147">
        <v>40.561399999999999</v>
      </c>
      <c r="P9" s="147">
        <v>40.055100000000003</v>
      </c>
      <c r="Q9" s="147"/>
      <c r="R9" s="148"/>
      <c r="S9" s="149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133">
        <v>33.535200000000003</v>
      </c>
      <c r="F10" s="133">
        <v>34.584800000000001</v>
      </c>
      <c r="G10" s="133">
        <v>39.466799999999999</v>
      </c>
      <c r="H10" s="133">
        <v>38.818399999999997</v>
      </c>
      <c r="I10" s="133"/>
      <c r="J10" s="134"/>
      <c r="K10" s="135"/>
      <c r="L10" s="29"/>
      <c r="M10" s="147">
        <v>33.412799999999997</v>
      </c>
      <c r="N10" s="147">
        <v>34.5854</v>
      </c>
      <c r="O10" s="147">
        <v>39.471299999999999</v>
      </c>
      <c r="P10" s="147">
        <v>38.813600000000001</v>
      </c>
      <c r="Q10" s="147"/>
      <c r="R10" s="148"/>
      <c r="S10" s="149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130">
        <v>297.45839999999998</v>
      </c>
      <c r="F11" s="130">
        <v>41.8947</v>
      </c>
      <c r="G11" s="130">
        <v>42.542999999999999</v>
      </c>
      <c r="H11" s="130">
        <v>42.868200000000002</v>
      </c>
      <c r="I11" s="130"/>
      <c r="J11" s="131"/>
      <c r="K11" s="132"/>
      <c r="L11" s="29"/>
      <c r="M11" s="144">
        <v>297.28800000000001</v>
      </c>
      <c r="N11" s="144">
        <v>41.895000000000003</v>
      </c>
      <c r="O11" s="144">
        <v>42.5471</v>
      </c>
      <c r="P11" s="144">
        <v>42.864600000000003</v>
      </c>
      <c r="Q11" s="144"/>
      <c r="R11" s="145"/>
      <c r="S11" s="146"/>
      <c r="U11" s="8">
        <f>bdrate($E11:$E14,F11:F14,$M11:$M14,N11:N14)</f>
        <v>8.9875712676157349E-4</v>
      </c>
      <c r="V11" s="9">
        <f>bdrate($E11:$E14,G11:G14,$M11:$M14,O11:O14)</f>
        <v>-3.825251939881813E-4</v>
      </c>
      <c r="W11" s="10">
        <f>bdrate($E11:$E14,H11:H14,$M11:$M14,P11:P14)</f>
        <v>-6.0593943127007499E-4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133">
        <v>134.9616</v>
      </c>
      <c r="F12" s="133">
        <v>39.662700000000001</v>
      </c>
      <c r="G12" s="133">
        <v>41.215200000000003</v>
      </c>
      <c r="H12" s="133">
        <v>41.3018</v>
      </c>
      <c r="I12" s="133"/>
      <c r="J12" s="134"/>
      <c r="K12" s="135"/>
      <c r="L12" s="29"/>
      <c r="M12" s="147">
        <v>135.21199999999999</v>
      </c>
      <c r="N12" s="147">
        <v>39.663499999999999</v>
      </c>
      <c r="O12" s="147">
        <v>41.223100000000002</v>
      </c>
      <c r="P12" s="147">
        <v>41.302199999999999</v>
      </c>
      <c r="Q12" s="147"/>
      <c r="R12" s="148"/>
      <c r="S12" s="149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133">
        <v>70.247200000000007</v>
      </c>
      <c r="F13" s="133">
        <v>37.108699999999999</v>
      </c>
      <c r="G13" s="133">
        <v>40.064799999999998</v>
      </c>
      <c r="H13" s="133">
        <v>39.859499999999997</v>
      </c>
      <c r="I13" s="133"/>
      <c r="J13" s="134"/>
      <c r="K13" s="135"/>
      <c r="L13" s="29"/>
      <c r="M13" s="147">
        <v>70.248800000000003</v>
      </c>
      <c r="N13" s="147">
        <v>37.106000000000002</v>
      </c>
      <c r="O13" s="147">
        <v>40.0623</v>
      </c>
      <c r="P13" s="147">
        <v>39.868600000000001</v>
      </c>
      <c r="Q13" s="147"/>
      <c r="R13" s="148"/>
      <c r="S13" s="149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1"/>
      <c r="D14" s="69">
        <v>40</v>
      </c>
      <c r="E14" s="136">
        <v>37.356000000000002</v>
      </c>
      <c r="F14" s="136">
        <v>34.403799999999997</v>
      </c>
      <c r="G14" s="136">
        <v>39.023400000000002</v>
      </c>
      <c r="H14" s="136">
        <v>38.6023</v>
      </c>
      <c r="I14" s="136"/>
      <c r="J14" s="137"/>
      <c r="K14" s="138"/>
      <c r="L14" s="29"/>
      <c r="M14" s="150">
        <v>37.433599999999998</v>
      </c>
      <c r="N14" s="150">
        <v>34.408499999999997</v>
      </c>
      <c r="O14" s="150">
        <v>39.0167</v>
      </c>
      <c r="P14" s="150">
        <v>38.606400000000001</v>
      </c>
      <c r="Q14" s="150"/>
      <c r="R14" s="151"/>
      <c r="S14" s="152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130">
        <v>116.16160000000001</v>
      </c>
      <c r="F15" s="130">
        <v>39.516199999999998</v>
      </c>
      <c r="G15" s="130"/>
      <c r="H15" s="130"/>
      <c r="I15" s="130"/>
      <c r="J15" s="131"/>
      <c r="K15" s="132"/>
      <c r="L15" s="29"/>
      <c r="M15" s="144">
        <v>116.16160000000001</v>
      </c>
      <c r="N15" s="144">
        <v>39.516199999999998</v>
      </c>
      <c r="O15" s="144"/>
      <c r="P15" s="144"/>
      <c r="Q15" s="144"/>
      <c r="R15" s="145"/>
      <c r="S15" s="146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133">
        <v>38.908799999999999</v>
      </c>
      <c r="F16" s="133">
        <v>36.397399999999998</v>
      </c>
      <c r="G16" s="133"/>
      <c r="H16" s="133"/>
      <c r="I16" s="133"/>
      <c r="J16" s="134"/>
      <c r="K16" s="135"/>
      <c r="L16" s="29"/>
      <c r="M16" s="147">
        <v>38.908799999999999</v>
      </c>
      <c r="N16" s="147">
        <v>36.397399999999998</v>
      </c>
      <c r="O16" s="147"/>
      <c r="P16" s="147"/>
      <c r="Q16" s="147"/>
      <c r="R16" s="148"/>
      <c r="S16" s="149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133">
        <v>16.7728</v>
      </c>
      <c r="F17" s="133">
        <v>33.870600000000003</v>
      </c>
      <c r="G17" s="133"/>
      <c r="H17" s="133"/>
      <c r="I17" s="133"/>
      <c r="J17" s="134"/>
      <c r="K17" s="135"/>
      <c r="L17" s="29"/>
      <c r="M17" s="147">
        <v>16.7728</v>
      </c>
      <c r="N17" s="147">
        <v>33.870600000000003</v>
      </c>
      <c r="O17" s="147"/>
      <c r="P17" s="147"/>
      <c r="Q17" s="147"/>
      <c r="R17" s="148"/>
      <c r="S17" s="149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136">
        <v>8.4695999999999998</v>
      </c>
      <c r="F18" s="136">
        <v>31.441299999999998</v>
      </c>
      <c r="G18" s="136"/>
      <c r="H18" s="136"/>
      <c r="I18" s="136"/>
      <c r="J18" s="137"/>
      <c r="K18" s="138"/>
      <c r="L18" s="29"/>
      <c r="M18" s="150">
        <v>8.4695999999999998</v>
      </c>
      <c r="N18" s="150">
        <v>31.441299999999998</v>
      </c>
      <c r="O18" s="150"/>
      <c r="P18" s="150"/>
      <c r="Q18" s="150"/>
      <c r="R18" s="151"/>
      <c r="S18" s="152"/>
      <c r="U18" s="17"/>
      <c r="V18" s="18"/>
      <c r="W18" s="19"/>
      <c r="X18" s="29"/>
      <c r="Y18" s="59"/>
      <c r="Z18" s="59"/>
      <c r="AA18" s="55"/>
    </row>
    <row r="19" spans="1:27" ht="12.75">
      <c r="A19" s="27"/>
      <c r="B19" s="36"/>
      <c r="C19" s="28" t="s">
        <v>30</v>
      </c>
      <c r="D19" s="31">
        <v>34</v>
      </c>
      <c r="E19" s="130">
        <v>86.380799999999994</v>
      </c>
      <c r="F19" s="130">
        <v>37.430399999999999</v>
      </c>
      <c r="G19" s="130"/>
      <c r="H19" s="130"/>
      <c r="I19" s="130"/>
      <c r="J19" s="131"/>
      <c r="K19" s="132"/>
      <c r="L19" s="29"/>
      <c r="M19" s="144">
        <v>86.160799999999995</v>
      </c>
      <c r="N19" s="144">
        <v>37.418999999999997</v>
      </c>
      <c r="O19" s="144"/>
      <c r="P19" s="144"/>
      <c r="Q19" s="144"/>
      <c r="R19" s="145"/>
      <c r="S19" s="146"/>
      <c r="U19" s="8">
        <f>bdrate($E19:$E22,F19:F22,$M19:$M22,N19:N22)</f>
        <v>-6.6096155555079861E-3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133">
        <v>27.7944</v>
      </c>
      <c r="F20" s="133">
        <v>34.381300000000003</v>
      </c>
      <c r="G20" s="133"/>
      <c r="H20" s="133"/>
      <c r="I20" s="133"/>
      <c r="J20" s="134"/>
      <c r="K20" s="135"/>
      <c r="L20" s="29"/>
      <c r="M20" s="147">
        <v>27.778400000000001</v>
      </c>
      <c r="N20" s="147">
        <v>34.416400000000003</v>
      </c>
      <c r="O20" s="147"/>
      <c r="P20" s="147"/>
      <c r="Q20" s="147"/>
      <c r="R20" s="148"/>
      <c r="S20" s="149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133">
        <v>12.011200000000001</v>
      </c>
      <c r="F21" s="133">
        <v>31.9084</v>
      </c>
      <c r="G21" s="133"/>
      <c r="H21" s="133"/>
      <c r="I21" s="133"/>
      <c r="J21" s="134"/>
      <c r="K21" s="135"/>
      <c r="L21" s="29"/>
      <c r="M21" s="147">
        <v>11.996</v>
      </c>
      <c r="N21" s="147">
        <v>31.927199999999999</v>
      </c>
      <c r="O21" s="147"/>
      <c r="P21" s="147"/>
      <c r="Q21" s="147"/>
      <c r="R21" s="148"/>
      <c r="S21" s="149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136">
        <v>5.7679999999999998</v>
      </c>
      <c r="F22" s="136">
        <v>29.378</v>
      </c>
      <c r="G22" s="136"/>
      <c r="H22" s="136"/>
      <c r="I22" s="136"/>
      <c r="J22" s="137"/>
      <c r="K22" s="138"/>
      <c r="L22" s="29"/>
      <c r="M22" s="150">
        <v>5.7375999999999996</v>
      </c>
      <c r="N22" s="150">
        <v>29.3337</v>
      </c>
      <c r="O22" s="150"/>
      <c r="P22" s="150"/>
      <c r="Q22" s="150"/>
      <c r="R22" s="151"/>
      <c r="S22" s="152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130">
        <v>95.749600000000001</v>
      </c>
      <c r="F23" s="130">
        <v>36.736699999999999</v>
      </c>
      <c r="G23" s="130"/>
      <c r="H23" s="130"/>
      <c r="I23" s="130"/>
      <c r="J23" s="131"/>
      <c r="K23" s="132"/>
      <c r="L23" s="29"/>
      <c r="M23" s="144">
        <v>95.727999999999994</v>
      </c>
      <c r="N23" s="144">
        <v>36.7256</v>
      </c>
      <c r="O23" s="144"/>
      <c r="P23" s="144"/>
      <c r="Q23" s="144"/>
      <c r="R23" s="145"/>
      <c r="S23" s="146"/>
      <c r="U23" s="8">
        <f>bdrate($E23:$E26,F23:F26,$M23:$M26,N23:N26)</f>
        <v>-3.8667583927363136E-3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133">
        <v>30.7424</v>
      </c>
      <c r="F24" s="133">
        <v>33.564</v>
      </c>
      <c r="G24" s="133"/>
      <c r="H24" s="133"/>
      <c r="I24" s="133"/>
      <c r="J24" s="134"/>
      <c r="K24" s="135"/>
      <c r="L24" s="29"/>
      <c r="M24" s="147">
        <v>30.6328</v>
      </c>
      <c r="N24" s="147">
        <v>33.573700000000002</v>
      </c>
      <c r="O24" s="147"/>
      <c r="P24" s="147"/>
      <c r="Q24" s="147"/>
      <c r="R24" s="148"/>
      <c r="S24" s="149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133">
        <v>13.228</v>
      </c>
      <c r="F25" s="133">
        <v>30.9846</v>
      </c>
      <c r="G25" s="133"/>
      <c r="H25" s="133"/>
      <c r="I25" s="133"/>
      <c r="J25" s="134"/>
      <c r="K25" s="135"/>
      <c r="L25" s="29"/>
      <c r="M25" s="147">
        <v>13.169600000000001</v>
      </c>
      <c r="N25" s="147">
        <v>31.007400000000001</v>
      </c>
      <c r="O25" s="147"/>
      <c r="P25" s="147"/>
      <c r="Q25" s="147"/>
      <c r="R25" s="148"/>
      <c r="S25" s="149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136">
        <v>6.22</v>
      </c>
      <c r="F26" s="136">
        <v>28.187999999999999</v>
      </c>
      <c r="G26" s="136"/>
      <c r="H26" s="136"/>
      <c r="I26" s="136"/>
      <c r="J26" s="137"/>
      <c r="K26" s="138"/>
      <c r="L26" s="29"/>
      <c r="M26" s="150">
        <v>6.2792000000000003</v>
      </c>
      <c r="N26" s="150">
        <v>28.1556</v>
      </c>
      <c r="O26" s="150"/>
      <c r="P26" s="150"/>
      <c r="Q26" s="150"/>
      <c r="R26" s="151"/>
      <c r="S26" s="152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130"/>
      <c r="F27" s="130">
        <v>42.314500000000002</v>
      </c>
      <c r="G27" s="130">
        <v>45.357300000000002</v>
      </c>
      <c r="H27" s="130">
        <v>45.084299999999999</v>
      </c>
      <c r="I27" s="130"/>
      <c r="J27" s="131"/>
      <c r="K27" s="132"/>
      <c r="L27" s="29"/>
      <c r="M27" s="144"/>
      <c r="N27" s="144">
        <v>42.312899999999999</v>
      </c>
      <c r="O27" s="144">
        <v>45.351500000000001</v>
      </c>
      <c r="P27" s="144">
        <v>45.088900000000002</v>
      </c>
      <c r="Q27" s="144"/>
      <c r="R27" s="145"/>
      <c r="S27" s="146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133"/>
      <c r="F28" s="133">
        <v>40.112499999999997</v>
      </c>
      <c r="G28" s="133">
        <v>43.7241</v>
      </c>
      <c r="H28" s="133">
        <v>43.136400000000002</v>
      </c>
      <c r="I28" s="133"/>
      <c r="J28" s="134"/>
      <c r="K28" s="135"/>
      <c r="L28" s="29"/>
      <c r="M28" s="147"/>
      <c r="N28" s="147">
        <v>40.1145</v>
      </c>
      <c r="O28" s="147">
        <v>43.7241</v>
      </c>
      <c r="P28" s="147">
        <v>43.1432</v>
      </c>
      <c r="Q28" s="147"/>
      <c r="R28" s="148"/>
      <c r="S28" s="149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133"/>
      <c r="F29" s="133">
        <v>37.610900000000001</v>
      </c>
      <c r="G29" s="133">
        <v>42.06</v>
      </c>
      <c r="H29" s="133">
        <v>41.2973</v>
      </c>
      <c r="I29" s="133"/>
      <c r="J29" s="134"/>
      <c r="K29" s="135"/>
      <c r="L29" s="29"/>
      <c r="M29" s="147"/>
      <c r="N29" s="147">
        <v>37.607700000000001</v>
      </c>
      <c r="O29" s="147">
        <v>42.057000000000002</v>
      </c>
      <c r="P29" s="147">
        <v>41.286999999999999</v>
      </c>
      <c r="Q29" s="147"/>
      <c r="R29" s="148"/>
      <c r="S29" s="149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1"/>
      <c r="D30" s="69">
        <v>40</v>
      </c>
      <c r="E30" s="136"/>
      <c r="F30" s="136">
        <v>34.930799999999998</v>
      </c>
      <c r="G30" s="136">
        <v>40.709600000000002</v>
      </c>
      <c r="H30" s="136">
        <v>39.841999999999999</v>
      </c>
      <c r="I30" s="136"/>
      <c r="J30" s="137"/>
      <c r="K30" s="138"/>
      <c r="L30" s="29"/>
      <c r="M30" s="150"/>
      <c r="N30" s="150">
        <v>34.927900000000001</v>
      </c>
      <c r="O30" s="150">
        <v>40.722999999999999</v>
      </c>
      <c r="P30" s="150">
        <v>39.847200000000001</v>
      </c>
      <c r="Q30" s="150"/>
      <c r="R30" s="151"/>
      <c r="S30" s="152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130"/>
      <c r="F31" s="130">
        <v>42.931600000000003</v>
      </c>
      <c r="G31" s="130">
        <v>45.959099999999999</v>
      </c>
      <c r="H31" s="130">
        <v>45.767000000000003</v>
      </c>
      <c r="I31" s="130"/>
      <c r="J31" s="131"/>
      <c r="K31" s="132"/>
      <c r="L31" s="29"/>
      <c r="M31" s="144"/>
      <c r="N31" s="144">
        <v>42.921599999999998</v>
      </c>
      <c r="O31" s="144">
        <v>45.953200000000002</v>
      </c>
      <c r="P31" s="144">
        <v>45.768700000000003</v>
      </c>
      <c r="Q31" s="144"/>
      <c r="R31" s="145"/>
      <c r="S31" s="146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133"/>
      <c r="F32" s="133">
        <v>40.624000000000002</v>
      </c>
      <c r="G32" s="133">
        <v>44.207299999999996</v>
      </c>
      <c r="H32" s="133">
        <v>43.6965</v>
      </c>
      <c r="I32" s="133"/>
      <c r="J32" s="134"/>
      <c r="K32" s="135"/>
      <c r="L32" s="29"/>
      <c r="M32" s="147"/>
      <c r="N32" s="147">
        <v>40.620600000000003</v>
      </c>
      <c r="O32" s="147">
        <v>44.208500000000001</v>
      </c>
      <c r="P32" s="147">
        <v>43.698599999999999</v>
      </c>
      <c r="Q32" s="147"/>
      <c r="R32" s="148"/>
      <c r="S32" s="149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133"/>
      <c r="F33" s="133">
        <v>38.040300000000002</v>
      </c>
      <c r="G33" s="133">
        <v>42.358800000000002</v>
      </c>
      <c r="H33" s="133">
        <v>41.648400000000002</v>
      </c>
      <c r="I33" s="133"/>
      <c r="J33" s="134"/>
      <c r="K33" s="135"/>
      <c r="L33" s="29"/>
      <c r="M33" s="147"/>
      <c r="N33" s="147">
        <v>38.0366</v>
      </c>
      <c r="O33" s="147">
        <v>42.359000000000002</v>
      </c>
      <c r="P33" s="147">
        <v>41.6432</v>
      </c>
      <c r="Q33" s="147"/>
      <c r="R33" s="148"/>
      <c r="S33" s="149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1"/>
      <c r="D34" s="69">
        <v>40</v>
      </c>
      <c r="E34" s="136"/>
      <c r="F34" s="136">
        <v>35.278199999999998</v>
      </c>
      <c r="G34" s="136">
        <v>40.9373</v>
      </c>
      <c r="H34" s="136">
        <v>40.107199999999999</v>
      </c>
      <c r="I34" s="136"/>
      <c r="J34" s="137"/>
      <c r="K34" s="138"/>
      <c r="L34" s="29"/>
      <c r="M34" s="150"/>
      <c r="N34" s="150">
        <v>35.275500000000001</v>
      </c>
      <c r="O34" s="150">
        <v>40.950200000000002</v>
      </c>
      <c r="P34" s="150">
        <v>40.112499999999997</v>
      </c>
      <c r="Q34" s="150"/>
      <c r="R34" s="151"/>
      <c r="S34" s="152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130"/>
      <c r="F35" s="130">
        <v>43.0608</v>
      </c>
      <c r="G35" s="130">
        <v>45.5777</v>
      </c>
      <c r="H35" s="130">
        <v>45.694000000000003</v>
      </c>
      <c r="I35" s="130"/>
      <c r="J35" s="131"/>
      <c r="K35" s="132"/>
      <c r="L35" s="29"/>
      <c r="M35" s="144"/>
      <c r="N35" s="144">
        <v>43.062899999999999</v>
      </c>
      <c r="O35" s="144">
        <v>45.575699999999998</v>
      </c>
      <c r="P35" s="144">
        <v>45.692799999999998</v>
      </c>
      <c r="Q35" s="144"/>
      <c r="R35" s="145"/>
      <c r="S35" s="146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133"/>
      <c r="F36" s="133">
        <v>40.912500000000001</v>
      </c>
      <c r="G36" s="133">
        <v>43.9544</v>
      </c>
      <c r="H36" s="133">
        <v>43.711599999999997</v>
      </c>
      <c r="I36" s="133"/>
      <c r="J36" s="134"/>
      <c r="K36" s="135"/>
      <c r="L36" s="29"/>
      <c r="M36" s="147"/>
      <c r="N36" s="147">
        <v>40.905299999999997</v>
      </c>
      <c r="O36" s="147">
        <v>43.954900000000002</v>
      </c>
      <c r="P36" s="147">
        <v>43.712499999999999</v>
      </c>
      <c r="Q36" s="147"/>
      <c r="R36" s="148"/>
      <c r="S36" s="149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133"/>
      <c r="F37" s="133">
        <v>38.339300000000001</v>
      </c>
      <c r="G37" s="133">
        <v>42.122900000000001</v>
      </c>
      <c r="H37" s="133">
        <v>41.632899999999999</v>
      </c>
      <c r="I37" s="133"/>
      <c r="J37" s="134"/>
      <c r="K37" s="135"/>
      <c r="L37" s="29"/>
      <c r="M37" s="147"/>
      <c r="N37" s="147">
        <v>38.337699999999998</v>
      </c>
      <c r="O37" s="147">
        <v>42.1235</v>
      </c>
      <c r="P37" s="147">
        <v>41.6342</v>
      </c>
      <c r="Q37" s="147"/>
      <c r="R37" s="148"/>
      <c r="S37" s="149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1"/>
      <c r="D38" s="69">
        <v>40</v>
      </c>
      <c r="E38" s="136"/>
      <c r="F38" s="136">
        <v>35.551699999999997</v>
      </c>
      <c r="G38" s="136">
        <v>40.804400000000001</v>
      </c>
      <c r="H38" s="136">
        <v>40.115000000000002</v>
      </c>
      <c r="I38" s="136"/>
      <c r="J38" s="137"/>
      <c r="K38" s="138"/>
      <c r="L38" s="29"/>
      <c r="M38" s="150"/>
      <c r="N38" s="150">
        <v>35.551600000000001</v>
      </c>
      <c r="O38" s="150">
        <v>40.808500000000002</v>
      </c>
      <c r="P38" s="150">
        <v>40.116399999999999</v>
      </c>
      <c r="Q38" s="150"/>
      <c r="R38" s="151"/>
      <c r="S38" s="152"/>
      <c r="U38" s="17"/>
      <c r="V38" s="18"/>
      <c r="W38" s="19"/>
      <c r="X38" s="29"/>
      <c r="Z38" s="59"/>
      <c r="AA38" s="55"/>
    </row>
    <row r="39" spans="1:27" ht="12.75">
      <c r="A39" s="27"/>
      <c r="B39" s="36"/>
      <c r="C39" s="29" t="s">
        <v>50</v>
      </c>
      <c r="D39" s="32">
        <v>25</v>
      </c>
      <c r="E39" s="130"/>
      <c r="F39" s="130">
        <v>42.951500000000003</v>
      </c>
      <c r="G39" s="130">
        <v>45.5867</v>
      </c>
      <c r="H39" s="130">
        <v>45.669400000000003</v>
      </c>
      <c r="I39" s="130"/>
      <c r="J39" s="131"/>
      <c r="K39" s="132"/>
      <c r="L39" s="29"/>
      <c r="M39" s="144"/>
      <c r="N39" s="144">
        <v>42.953899999999997</v>
      </c>
      <c r="O39" s="144">
        <v>45.587600000000002</v>
      </c>
      <c r="P39" s="144">
        <v>45.6663</v>
      </c>
      <c r="Q39" s="144"/>
      <c r="R39" s="145"/>
      <c r="S39" s="146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133"/>
      <c r="F40" s="133">
        <v>40.797899999999998</v>
      </c>
      <c r="G40" s="133">
        <v>43.955100000000002</v>
      </c>
      <c r="H40" s="133">
        <v>43.692799999999998</v>
      </c>
      <c r="I40" s="133"/>
      <c r="J40" s="134"/>
      <c r="K40" s="135"/>
      <c r="L40" s="29"/>
      <c r="M40" s="147"/>
      <c r="N40" s="147">
        <v>40.803100000000001</v>
      </c>
      <c r="O40" s="147">
        <v>43.956600000000002</v>
      </c>
      <c r="P40" s="147">
        <v>43.692</v>
      </c>
      <c r="Q40" s="147"/>
      <c r="R40" s="148"/>
      <c r="S40" s="149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133"/>
      <c r="F41" s="133">
        <v>38.2438</v>
      </c>
      <c r="G41" s="133">
        <v>42.136099999999999</v>
      </c>
      <c r="H41" s="133">
        <v>41.6173</v>
      </c>
      <c r="I41" s="133"/>
      <c r="J41" s="134"/>
      <c r="K41" s="135"/>
      <c r="L41" s="29"/>
      <c r="M41" s="147"/>
      <c r="N41" s="147">
        <v>38.241300000000003</v>
      </c>
      <c r="O41" s="147">
        <v>42.135199999999998</v>
      </c>
      <c r="P41" s="147">
        <v>41.618200000000002</v>
      </c>
      <c r="Q41" s="147"/>
      <c r="R41" s="148"/>
      <c r="S41" s="149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1"/>
      <c r="D42" s="69">
        <v>40</v>
      </c>
      <c r="E42" s="136"/>
      <c r="F42" s="136">
        <v>35.4572</v>
      </c>
      <c r="G42" s="136">
        <v>40.814399999999999</v>
      </c>
      <c r="H42" s="136">
        <v>40.092599999999997</v>
      </c>
      <c r="I42" s="136"/>
      <c r="J42" s="137"/>
      <c r="K42" s="138"/>
      <c r="L42" s="29"/>
      <c r="M42" s="150"/>
      <c r="N42" s="150">
        <v>35.454900000000002</v>
      </c>
      <c r="O42" s="150">
        <v>40.815300000000001</v>
      </c>
      <c r="P42" s="150">
        <v>40.093000000000004</v>
      </c>
      <c r="Q42" s="150"/>
      <c r="R42" s="151"/>
      <c r="S42" s="152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131"/>
      <c r="F43" s="131">
        <v>42.746499999999997</v>
      </c>
      <c r="G43" s="131">
        <v>45.880499999999998</v>
      </c>
      <c r="H43" s="131">
        <v>45.6539</v>
      </c>
      <c r="I43" s="131"/>
      <c r="J43" s="131"/>
      <c r="K43" s="132"/>
      <c r="L43" s="29"/>
      <c r="M43" s="145"/>
      <c r="N43" s="145">
        <v>42.761499999999998</v>
      </c>
      <c r="O43" s="145">
        <v>45.877899999999997</v>
      </c>
      <c r="P43" s="145">
        <v>45.649299999999997</v>
      </c>
      <c r="Q43" s="145"/>
      <c r="R43" s="145"/>
      <c r="S43" s="146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134"/>
      <c r="F44" s="134">
        <v>40.506599999999999</v>
      </c>
      <c r="G44" s="134">
        <v>44.126100000000001</v>
      </c>
      <c r="H44" s="134">
        <v>43.574399999999997</v>
      </c>
      <c r="I44" s="134"/>
      <c r="J44" s="134"/>
      <c r="K44" s="135"/>
      <c r="L44" s="29"/>
      <c r="M44" s="148"/>
      <c r="N44" s="148">
        <v>40.508000000000003</v>
      </c>
      <c r="O44" s="148">
        <v>44.136400000000002</v>
      </c>
      <c r="P44" s="148">
        <v>43.572800000000001</v>
      </c>
      <c r="Q44" s="148"/>
      <c r="R44" s="148"/>
      <c r="S44" s="149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134"/>
      <c r="F45" s="134">
        <v>37.947699999999998</v>
      </c>
      <c r="G45" s="134">
        <v>42.298499999999997</v>
      </c>
      <c r="H45" s="134">
        <v>41.541200000000003</v>
      </c>
      <c r="I45" s="134"/>
      <c r="J45" s="134"/>
      <c r="K45" s="135"/>
      <c r="L45" s="29"/>
      <c r="M45" s="148"/>
      <c r="N45" s="148">
        <v>37.941899999999997</v>
      </c>
      <c r="O45" s="148">
        <v>42.300600000000003</v>
      </c>
      <c r="P45" s="148">
        <v>41.549700000000001</v>
      </c>
      <c r="Q45" s="148"/>
      <c r="R45" s="148"/>
      <c r="S45" s="149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1"/>
      <c r="D46" s="69">
        <v>40</v>
      </c>
      <c r="E46" s="137"/>
      <c r="F46" s="137">
        <v>35.186</v>
      </c>
      <c r="G46" s="137">
        <v>40.947200000000002</v>
      </c>
      <c r="H46" s="137">
        <v>39.989699999999999</v>
      </c>
      <c r="I46" s="137"/>
      <c r="J46" s="137"/>
      <c r="K46" s="138"/>
      <c r="L46" s="29"/>
      <c r="M46" s="151"/>
      <c r="N46" s="151">
        <v>35.184100000000001</v>
      </c>
      <c r="O46" s="151">
        <v>40.947899999999997</v>
      </c>
      <c r="P46" s="151">
        <v>39.982100000000003</v>
      </c>
      <c r="Q46" s="151"/>
      <c r="R46" s="151"/>
      <c r="S46" s="152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131"/>
      <c r="F47" s="131">
        <v>42.081699999999998</v>
      </c>
      <c r="G47" s="131">
        <v>45.140799999999999</v>
      </c>
      <c r="H47" s="131">
        <v>44.893500000000003</v>
      </c>
      <c r="I47" s="131"/>
      <c r="J47" s="131"/>
      <c r="K47" s="132"/>
      <c r="L47" s="29"/>
      <c r="M47" s="145"/>
      <c r="N47" s="145">
        <v>42.094799999999999</v>
      </c>
      <c r="O47" s="145">
        <v>45.139699999999998</v>
      </c>
      <c r="P47" s="145">
        <v>44.883000000000003</v>
      </c>
      <c r="Q47" s="145"/>
      <c r="R47" s="145"/>
      <c r="S47" s="146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134"/>
      <c r="F48" s="134">
        <v>39.960099999999997</v>
      </c>
      <c r="G48" s="134">
        <v>43.472900000000003</v>
      </c>
      <c r="H48" s="134">
        <v>42.944699999999997</v>
      </c>
      <c r="I48" s="134"/>
      <c r="J48" s="134"/>
      <c r="K48" s="135"/>
      <c r="L48" s="29"/>
      <c r="M48" s="148"/>
      <c r="N48" s="148">
        <v>39.955599999999997</v>
      </c>
      <c r="O48" s="148">
        <v>43.488</v>
      </c>
      <c r="P48" s="148">
        <v>42.945700000000002</v>
      </c>
      <c r="Q48" s="148"/>
      <c r="R48" s="148"/>
      <c r="S48" s="149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134"/>
      <c r="F49" s="134">
        <v>37.484099999999998</v>
      </c>
      <c r="G49" s="134">
        <v>41.852800000000002</v>
      </c>
      <c r="H49" s="134">
        <v>41.124400000000001</v>
      </c>
      <c r="I49" s="134"/>
      <c r="J49" s="134"/>
      <c r="K49" s="135"/>
      <c r="L49" s="29"/>
      <c r="M49" s="148"/>
      <c r="N49" s="148">
        <v>37.4863</v>
      </c>
      <c r="O49" s="148">
        <v>41.857300000000002</v>
      </c>
      <c r="P49" s="148">
        <v>41.139800000000001</v>
      </c>
      <c r="Q49" s="148"/>
      <c r="R49" s="148"/>
      <c r="S49" s="149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1"/>
      <c r="D50" s="69">
        <v>40</v>
      </c>
      <c r="E50" s="137"/>
      <c r="F50" s="137">
        <v>34.810899999999997</v>
      </c>
      <c r="G50" s="137">
        <v>40.6004</v>
      </c>
      <c r="H50" s="137">
        <v>39.657699999999998</v>
      </c>
      <c r="I50" s="137"/>
      <c r="J50" s="137"/>
      <c r="K50" s="138"/>
      <c r="L50" s="29"/>
      <c r="M50" s="151"/>
      <c r="N50" s="151">
        <v>34.809399999999997</v>
      </c>
      <c r="O50" s="151">
        <v>40.605699999999999</v>
      </c>
      <c r="P50" s="151">
        <v>39.6571</v>
      </c>
      <c r="Q50" s="151"/>
      <c r="R50" s="151"/>
      <c r="S50" s="152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134">
        <v>1747.952</v>
      </c>
      <c r="F51" s="134"/>
      <c r="G51" s="134"/>
      <c r="H51" s="134"/>
      <c r="I51" s="134">
        <v>24733.95</v>
      </c>
      <c r="J51" s="134">
        <v>48.71</v>
      </c>
      <c r="K51" s="135">
        <v>329.35</v>
      </c>
      <c r="L51" s="29"/>
      <c r="M51" s="148">
        <v>1747.7439999999999</v>
      </c>
      <c r="N51" s="148"/>
      <c r="O51" s="148"/>
      <c r="P51" s="148"/>
      <c r="Q51" s="148">
        <v>24527.77</v>
      </c>
      <c r="R51" s="148">
        <v>52.97</v>
      </c>
      <c r="S51" s="149">
        <v>328.45</v>
      </c>
      <c r="U51" s="8"/>
      <c r="V51" s="9"/>
      <c r="W51" s="10"/>
      <c r="X51" s="29"/>
      <c r="Y51" s="59">
        <f>GEOMEAN(Q51:Q54)/GEOMEAN(I51:I54)</f>
        <v>0.99346201428588488</v>
      </c>
      <c r="Z51" s="59">
        <f>GEOMEAN(R51:R54)/GEOMEAN(J51:J54)</f>
        <v>1.0617022796197939</v>
      </c>
      <c r="AA51" s="55">
        <f>GEOMEAN(S51:S54)/GEOMEAN(K51:K54)</f>
        <v>0.99622309608441773</v>
      </c>
    </row>
    <row r="52" spans="1:27" ht="12.75">
      <c r="A52" s="27"/>
      <c r="B52" s="36"/>
      <c r="C52" s="29"/>
      <c r="D52" s="32">
        <v>30</v>
      </c>
      <c r="E52" s="134">
        <v>841.84799999999996</v>
      </c>
      <c r="F52" s="134"/>
      <c r="G52" s="134"/>
      <c r="H52" s="134"/>
      <c r="I52" s="134">
        <v>19252.16</v>
      </c>
      <c r="J52" s="134">
        <v>44.88</v>
      </c>
      <c r="K52" s="135">
        <v>334.02</v>
      </c>
      <c r="L52" s="29"/>
      <c r="M52" s="148">
        <v>842.31280000000004</v>
      </c>
      <c r="N52" s="148"/>
      <c r="O52" s="148"/>
      <c r="P52" s="148"/>
      <c r="Q52" s="148">
        <v>19071.009999999998</v>
      </c>
      <c r="R52" s="148">
        <v>52.24</v>
      </c>
      <c r="S52" s="149">
        <v>328.62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134">
        <v>459.06639999999999</v>
      </c>
      <c r="F53" s="134"/>
      <c r="G53" s="134"/>
      <c r="H53" s="134"/>
      <c r="I53" s="134">
        <v>16393.87</v>
      </c>
      <c r="J53" s="134">
        <v>44.66</v>
      </c>
      <c r="K53" s="135">
        <v>331.44</v>
      </c>
      <c r="L53" s="29"/>
      <c r="M53" s="148">
        <v>458.93520000000001</v>
      </c>
      <c r="N53" s="148"/>
      <c r="O53" s="148"/>
      <c r="P53" s="148"/>
      <c r="Q53" s="148">
        <v>16176.53</v>
      </c>
      <c r="R53" s="148">
        <v>44.49</v>
      </c>
      <c r="S53" s="149">
        <v>330.59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0"/>
      <c r="C54" s="51"/>
      <c r="D54" s="69">
        <v>40</v>
      </c>
      <c r="E54" s="137">
        <v>265.06</v>
      </c>
      <c r="F54" s="137"/>
      <c r="G54" s="137"/>
      <c r="H54" s="137"/>
      <c r="I54" s="137">
        <v>14254.32</v>
      </c>
      <c r="J54" s="137">
        <v>39.270000000000003</v>
      </c>
      <c r="K54" s="138">
        <v>329.85</v>
      </c>
      <c r="L54" s="29"/>
      <c r="M54" s="151">
        <v>265.04399999999998</v>
      </c>
      <c r="N54" s="151"/>
      <c r="O54" s="151"/>
      <c r="P54" s="151"/>
      <c r="Q54" s="151">
        <v>14324.81</v>
      </c>
      <c r="R54" s="151">
        <v>39.57</v>
      </c>
      <c r="S54" s="152">
        <v>331.99</v>
      </c>
      <c r="U54" s="82"/>
      <c r="V54" s="83"/>
      <c r="W54" s="84"/>
      <c r="X54" s="29"/>
      <c r="Y54" s="47"/>
      <c r="Z54" s="47"/>
      <c r="AA54" s="52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130">
        <v>846.29520000000002</v>
      </c>
      <c r="F55" s="130">
        <v>43.603400000000001</v>
      </c>
      <c r="G55" s="130">
        <v>44.9589</v>
      </c>
      <c r="H55" s="130">
        <v>44.931199999999997</v>
      </c>
      <c r="I55" s="130"/>
      <c r="J55" s="131"/>
      <c r="K55" s="132"/>
      <c r="L55" s="29"/>
      <c r="M55" s="144">
        <v>846.29520000000002</v>
      </c>
      <c r="N55" s="144">
        <v>43.603400000000001</v>
      </c>
      <c r="O55" s="144">
        <v>44.9589</v>
      </c>
      <c r="P55" s="144">
        <v>44.931199999999997</v>
      </c>
      <c r="Q55" s="144"/>
      <c r="R55" s="145"/>
      <c r="S55" s="146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133">
        <v>450.75119999999998</v>
      </c>
      <c r="F56" s="133">
        <v>41.433599999999998</v>
      </c>
      <c r="G56" s="133">
        <v>44.113999999999997</v>
      </c>
      <c r="H56" s="133">
        <v>43.451300000000003</v>
      </c>
      <c r="I56" s="133"/>
      <c r="J56" s="134"/>
      <c r="K56" s="135"/>
      <c r="L56" s="29"/>
      <c r="M56" s="147">
        <v>450.75119999999998</v>
      </c>
      <c r="N56" s="147">
        <v>41.433599999999998</v>
      </c>
      <c r="O56" s="147">
        <v>44.113999999999997</v>
      </c>
      <c r="P56" s="147">
        <v>43.451300000000003</v>
      </c>
      <c r="Q56" s="147"/>
      <c r="R56" s="148"/>
      <c r="S56" s="149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133">
        <v>255.928</v>
      </c>
      <c r="F57" s="133">
        <v>38.940899999999999</v>
      </c>
      <c r="G57" s="133">
        <v>43.061300000000003</v>
      </c>
      <c r="H57" s="133">
        <v>41.776499999999999</v>
      </c>
      <c r="I57" s="133"/>
      <c r="J57" s="134"/>
      <c r="K57" s="135"/>
      <c r="L57" s="29"/>
      <c r="M57" s="147">
        <v>255.928</v>
      </c>
      <c r="N57" s="147">
        <v>38.940899999999999</v>
      </c>
      <c r="O57" s="147">
        <v>43.061300000000003</v>
      </c>
      <c r="P57" s="147">
        <v>41.776499999999999</v>
      </c>
      <c r="Q57" s="147"/>
      <c r="R57" s="148"/>
      <c r="S57" s="149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136">
        <v>153.756</v>
      </c>
      <c r="F58" s="136">
        <v>36.325200000000002</v>
      </c>
      <c r="G58" s="136">
        <v>42.263399999999997</v>
      </c>
      <c r="H58" s="136">
        <v>40.448300000000003</v>
      </c>
      <c r="I58" s="136"/>
      <c r="J58" s="137"/>
      <c r="K58" s="138"/>
      <c r="L58" s="29"/>
      <c r="M58" s="150">
        <v>153.756</v>
      </c>
      <c r="N58" s="150">
        <v>36.325200000000002</v>
      </c>
      <c r="O58" s="150">
        <v>42.263399999999997</v>
      </c>
      <c r="P58" s="150">
        <v>40.448300000000003</v>
      </c>
      <c r="Q58" s="150"/>
      <c r="R58" s="151"/>
      <c r="S58" s="152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133">
        <v>273.45280000000002</v>
      </c>
      <c r="F59" s="133">
        <v>42.691099999999999</v>
      </c>
      <c r="G59" s="133">
        <v>44.741100000000003</v>
      </c>
      <c r="H59" s="133">
        <v>44.151200000000003</v>
      </c>
      <c r="I59" s="133"/>
      <c r="J59" s="134"/>
      <c r="K59" s="135"/>
      <c r="L59" s="29"/>
      <c r="M59" s="147">
        <v>272.99040000000002</v>
      </c>
      <c r="N59" s="147">
        <v>42.691299999999998</v>
      </c>
      <c r="O59" s="147">
        <v>44.737200000000001</v>
      </c>
      <c r="P59" s="147">
        <v>44.1556</v>
      </c>
      <c r="Q59" s="147"/>
      <c r="R59" s="148"/>
      <c r="S59" s="149"/>
      <c r="U59" s="8">
        <f>bdrate($E59:$E62,F59:F62,$M59:$M62,N59:N62)</f>
        <v>-1.9003440258810178E-3</v>
      </c>
      <c r="V59" s="9">
        <f>bdrate($E59:$E62,G59:G62,$M59:$M62,O59:O62)</f>
        <v>-1.0965523787273002E-3</v>
      </c>
      <c r="W59" s="10">
        <f>bdrate($E59:$E62,H59:H62,$M59:$M62,P59:P62)</f>
        <v>-1.2688363172883577E-3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133">
        <v>122.0712</v>
      </c>
      <c r="F60" s="133">
        <v>40.36</v>
      </c>
      <c r="G60" s="133">
        <v>43.800600000000003</v>
      </c>
      <c r="H60" s="133">
        <v>42.6693</v>
      </c>
      <c r="I60" s="133"/>
      <c r="J60" s="134"/>
      <c r="K60" s="135"/>
      <c r="L60" s="29"/>
      <c r="M60" s="147">
        <v>122.1168</v>
      </c>
      <c r="N60" s="147">
        <v>40.3596</v>
      </c>
      <c r="O60" s="147">
        <v>43.803699999999999</v>
      </c>
      <c r="P60" s="147">
        <v>42.666400000000003</v>
      </c>
      <c r="Q60" s="147"/>
      <c r="R60" s="148"/>
      <c r="S60" s="149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133">
        <v>63.805599999999998</v>
      </c>
      <c r="F61" s="133">
        <v>37.911099999999998</v>
      </c>
      <c r="G61" s="133">
        <v>42.901899999999998</v>
      </c>
      <c r="H61" s="133">
        <v>41.307699999999997</v>
      </c>
      <c r="I61" s="133"/>
      <c r="J61" s="134"/>
      <c r="K61" s="135"/>
      <c r="L61" s="29"/>
      <c r="M61" s="147">
        <v>63.5824</v>
      </c>
      <c r="N61" s="147">
        <v>37.909700000000001</v>
      </c>
      <c r="O61" s="147">
        <v>42.901600000000002</v>
      </c>
      <c r="P61" s="147">
        <v>41.308999999999997</v>
      </c>
      <c r="Q61" s="147"/>
      <c r="R61" s="148"/>
      <c r="S61" s="149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133">
        <v>34.32</v>
      </c>
      <c r="F62" s="133">
        <v>35.365499999999997</v>
      </c>
      <c r="G62" s="133">
        <v>42.009500000000003</v>
      </c>
      <c r="H62" s="133">
        <v>40.025599999999997</v>
      </c>
      <c r="I62" s="133"/>
      <c r="J62" s="134"/>
      <c r="K62" s="135"/>
      <c r="L62" s="29"/>
      <c r="M62" s="147">
        <v>34.185600000000001</v>
      </c>
      <c r="N62" s="147">
        <v>35.369799999999998</v>
      </c>
      <c r="O62" s="147">
        <v>41.995699999999999</v>
      </c>
      <c r="P62" s="147">
        <v>40.017099999999999</v>
      </c>
      <c r="Q62" s="147"/>
      <c r="R62" s="148"/>
      <c r="S62" s="149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130">
        <v>290.10320000000002</v>
      </c>
      <c r="F63" s="130">
        <v>42.3245</v>
      </c>
      <c r="G63" s="130">
        <v>43.946800000000003</v>
      </c>
      <c r="H63" s="130">
        <v>43.892499999999998</v>
      </c>
      <c r="I63" s="130"/>
      <c r="J63" s="131"/>
      <c r="K63" s="132"/>
      <c r="L63" s="29"/>
      <c r="M63" s="144">
        <v>289.5496</v>
      </c>
      <c r="N63" s="144">
        <v>42.326500000000003</v>
      </c>
      <c r="O63" s="144">
        <v>43.939700000000002</v>
      </c>
      <c r="P63" s="144">
        <v>43.8902</v>
      </c>
      <c r="Q63" s="144"/>
      <c r="R63" s="145"/>
      <c r="S63" s="146"/>
      <c r="U63" s="8">
        <f>bdrate($E63:$E66,F63:F66,$M63:$M66,N63:N66)</f>
        <v>-1.3444518634335711E-3</v>
      </c>
      <c r="V63" s="9">
        <f>bdrate($E63:$E66,G63:G66,$M63:$M66,O63:O66)</f>
        <v>1.5769636857110303E-3</v>
      </c>
      <c r="W63" s="10">
        <f>bdrate($E63:$E66,H63:H66,$M63:$M66,P63:P66)</f>
        <v>-1.5414942519297314E-3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133">
        <v>128.18639999999999</v>
      </c>
      <c r="F64" s="133">
        <v>40.108499999999999</v>
      </c>
      <c r="G64" s="133">
        <v>42.965699999999998</v>
      </c>
      <c r="H64" s="133">
        <v>42.462699999999998</v>
      </c>
      <c r="I64" s="133"/>
      <c r="J64" s="134"/>
      <c r="K64" s="135"/>
      <c r="L64" s="29"/>
      <c r="M64" s="147">
        <v>128.11199999999999</v>
      </c>
      <c r="N64" s="147">
        <v>40.110199999999999</v>
      </c>
      <c r="O64" s="147">
        <v>42.9651</v>
      </c>
      <c r="P64" s="147">
        <v>42.467799999999997</v>
      </c>
      <c r="Q64" s="147"/>
      <c r="R64" s="148"/>
      <c r="S64" s="149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133">
        <v>66.239199999999997</v>
      </c>
      <c r="F65" s="133">
        <v>37.721299999999999</v>
      </c>
      <c r="G65" s="133">
        <v>42.181699999999999</v>
      </c>
      <c r="H65" s="133">
        <v>41.207700000000003</v>
      </c>
      <c r="I65" s="133"/>
      <c r="J65" s="134"/>
      <c r="K65" s="135"/>
      <c r="L65" s="29"/>
      <c r="M65" s="147">
        <v>66.249600000000001</v>
      </c>
      <c r="N65" s="147">
        <v>37.726799999999997</v>
      </c>
      <c r="O65" s="147">
        <v>42.177</v>
      </c>
      <c r="P65" s="147">
        <v>41.210099999999997</v>
      </c>
      <c r="Q65" s="147"/>
      <c r="R65" s="148"/>
      <c r="S65" s="149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1"/>
      <c r="D66" s="69">
        <v>40</v>
      </c>
      <c r="E66" s="136">
        <v>35.28</v>
      </c>
      <c r="F66" s="136">
        <v>35.222099999999998</v>
      </c>
      <c r="G66" s="136">
        <v>41.415900000000001</v>
      </c>
      <c r="H66" s="136">
        <v>39.981699999999996</v>
      </c>
      <c r="I66" s="136"/>
      <c r="J66" s="137"/>
      <c r="K66" s="138"/>
      <c r="L66" s="29"/>
      <c r="M66" s="150">
        <v>35.227200000000003</v>
      </c>
      <c r="N66" s="150">
        <v>35.219700000000003</v>
      </c>
      <c r="O66" s="150">
        <v>41.417499999999997</v>
      </c>
      <c r="P66" s="150">
        <v>39.974600000000002</v>
      </c>
      <c r="Q66" s="150"/>
      <c r="R66" s="151"/>
      <c r="S66" s="152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130">
        <v>138</v>
      </c>
      <c r="F67" s="130">
        <v>39.056899999999999</v>
      </c>
      <c r="G67" s="130"/>
      <c r="H67" s="130"/>
      <c r="I67" s="130"/>
      <c r="J67" s="131"/>
      <c r="K67" s="132"/>
      <c r="L67" s="29"/>
      <c r="M67" s="144">
        <v>138</v>
      </c>
      <c r="N67" s="144">
        <v>39.056899999999999</v>
      </c>
      <c r="O67" s="144"/>
      <c r="P67" s="144"/>
      <c r="Q67" s="144"/>
      <c r="R67" s="145"/>
      <c r="S67" s="146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133">
        <v>48.198399999999999</v>
      </c>
      <c r="F68" s="133">
        <v>35.012700000000002</v>
      </c>
      <c r="G68" s="133"/>
      <c r="H68" s="133"/>
      <c r="I68" s="133"/>
      <c r="J68" s="134"/>
      <c r="K68" s="135"/>
      <c r="L68" s="29"/>
      <c r="M68" s="147">
        <v>48.198399999999999</v>
      </c>
      <c r="N68" s="147">
        <v>35.012700000000002</v>
      </c>
      <c r="O68" s="147"/>
      <c r="P68" s="147"/>
      <c r="Q68" s="147"/>
      <c r="R68" s="148"/>
      <c r="S68" s="149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133">
        <v>20.837599999999998</v>
      </c>
      <c r="F69" s="133">
        <v>31.982800000000001</v>
      </c>
      <c r="G69" s="133"/>
      <c r="H69" s="133"/>
      <c r="I69" s="133"/>
      <c r="J69" s="134"/>
      <c r="K69" s="135"/>
      <c r="L69" s="29"/>
      <c r="M69" s="147">
        <v>20.837599999999998</v>
      </c>
      <c r="N69" s="147">
        <v>31.982800000000001</v>
      </c>
      <c r="O69" s="147"/>
      <c r="P69" s="147"/>
      <c r="Q69" s="147"/>
      <c r="R69" s="148"/>
      <c r="S69" s="149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136">
        <v>9.9992000000000001</v>
      </c>
      <c r="F70" s="136">
        <v>29.476700000000001</v>
      </c>
      <c r="G70" s="136"/>
      <c r="H70" s="136"/>
      <c r="I70" s="136"/>
      <c r="J70" s="137"/>
      <c r="K70" s="138"/>
      <c r="L70" s="29"/>
      <c r="M70" s="150">
        <v>9.9992000000000001</v>
      </c>
      <c r="N70" s="150">
        <v>29.476700000000001</v>
      </c>
      <c r="O70" s="150"/>
      <c r="P70" s="150"/>
      <c r="Q70" s="150"/>
      <c r="R70" s="151"/>
      <c r="S70" s="152"/>
      <c r="U70" s="17"/>
      <c r="V70" s="18"/>
      <c r="W70" s="19"/>
      <c r="X70" s="29"/>
      <c r="Y70" s="59"/>
      <c r="Z70" s="59"/>
      <c r="AA70" s="55"/>
    </row>
    <row r="71" spans="1:27" ht="12.75">
      <c r="A71" s="27"/>
      <c r="B71" s="36"/>
      <c r="C71" s="28" t="s">
        <v>30</v>
      </c>
      <c r="D71" s="31">
        <v>34</v>
      </c>
      <c r="E71" s="130">
        <v>107.4128</v>
      </c>
      <c r="F71" s="130">
        <v>36.031399999999998</v>
      </c>
      <c r="G71" s="130"/>
      <c r="H71" s="130"/>
      <c r="I71" s="130"/>
      <c r="J71" s="131"/>
      <c r="K71" s="132"/>
      <c r="L71" s="29"/>
      <c r="M71" s="144">
        <v>107.2976</v>
      </c>
      <c r="N71" s="144">
        <v>36.0411</v>
      </c>
      <c r="O71" s="144"/>
      <c r="P71" s="144"/>
      <c r="Q71" s="144"/>
      <c r="R71" s="145"/>
      <c r="S71" s="146"/>
      <c r="U71" s="8">
        <f>bdrate($E71:$E74,F71:F74,$M71:$M74,N71:N74)</f>
        <v>-6.956672531575725E-3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133">
        <v>35.427199999999999</v>
      </c>
      <c r="F72" s="133">
        <v>32.04</v>
      </c>
      <c r="G72" s="133"/>
      <c r="H72" s="133"/>
      <c r="I72" s="133"/>
      <c r="J72" s="134"/>
      <c r="K72" s="135"/>
      <c r="L72" s="29"/>
      <c r="M72" s="147">
        <v>35.257599999999996</v>
      </c>
      <c r="N72" s="147">
        <v>32.045400000000001</v>
      </c>
      <c r="O72" s="147"/>
      <c r="P72" s="147"/>
      <c r="Q72" s="147"/>
      <c r="R72" s="148"/>
      <c r="S72" s="149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133">
        <v>15.327999999999999</v>
      </c>
      <c r="F73" s="133">
        <v>29.357199999999999</v>
      </c>
      <c r="G73" s="133"/>
      <c r="H73" s="133"/>
      <c r="I73" s="133"/>
      <c r="J73" s="134"/>
      <c r="K73" s="135"/>
      <c r="L73" s="29"/>
      <c r="M73" s="147">
        <v>15.1424</v>
      </c>
      <c r="N73" s="147">
        <v>29.355499999999999</v>
      </c>
      <c r="O73" s="147"/>
      <c r="P73" s="147"/>
      <c r="Q73" s="147"/>
      <c r="R73" s="148"/>
      <c r="S73" s="149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136">
        <v>7.3895999999999997</v>
      </c>
      <c r="F74" s="136">
        <v>26.885300000000001</v>
      </c>
      <c r="G74" s="136"/>
      <c r="H74" s="136"/>
      <c r="I74" s="136"/>
      <c r="J74" s="137"/>
      <c r="K74" s="138"/>
      <c r="L74" s="29"/>
      <c r="M74" s="150">
        <v>7.3879999999999999</v>
      </c>
      <c r="N74" s="150">
        <v>26.892199999999999</v>
      </c>
      <c r="O74" s="150"/>
      <c r="P74" s="150"/>
      <c r="Q74" s="150"/>
      <c r="R74" s="151"/>
      <c r="S74" s="152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130">
        <v>124.6808</v>
      </c>
      <c r="F75" s="130">
        <v>35.152299999999997</v>
      </c>
      <c r="G75" s="130"/>
      <c r="H75" s="130"/>
      <c r="I75" s="130"/>
      <c r="J75" s="131"/>
      <c r="K75" s="132"/>
      <c r="L75" s="29"/>
      <c r="M75" s="144">
        <v>125.428</v>
      </c>
      <c r="N75" s="144">
        <v>35.179400000000001</v>
      </c>
      <c r="O75" s="144"/>
      <c r="P75" s="144"/>
      <c r="Q75" s="144"/>
      <c r="R75" s="145"/>
      <c r="S75" s="146"/>
      <c r="U75" s="8">
        <f>bdrate($E75:$E78,F75:F78,$M75:$M78,N75:N78)</f>
        <v>1.3160155174094523E-3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133">
        <v>40.347200000000001</v>
      </c>
      <c r="F76" s="133">
        <v>31.356400000000001</v>
      </c>
      <c r="G76" s="133"/>
      <c r="H76" s="133"/>
      <c r="I76" s="133"/>
      <c r="J76" s="134"/>
      <c r="K76" s="135"/>
      <c r="L76" s="29"/>
      <c r="M76" s="147">
        <v>40.316800000000001</v>
      </c>
      <c r="N76" s="147">
        <v>31.341100000000001</v>
      </c>
      <c r="O76" s="147"/>
      <c r="P76" s="147"/>
      <c r="Q76" s="147"/>
      <c r="R76" s="148"/>
      <c r="S76" s="149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133">
        <v>17.234400000000001</v>
      </c>
      <c r="F77" s="133">
        <v>28.662800000000001</v>
      </c>
      <c r="G77" s="133"/>
      <c r="H77" s="133"/>
      <c r="I77" s="133"/>
      <c r="J77" s="134"/>
      <c r="K77" s="135"/>
      <c r="L77" s="29"/>
      <c r="M77" s="147">
        <v>17.138400000000001</v>
      </c>
      <c r="N77" s="147">
        <v>28.641300000000001</v>
      </c>
      <c r="O77" s="147"/>
      <c r="P77" s="147"/>
      <c r="Q77" s="147"/>
      <c r="R77" s="148"/>
      <c r="S77" s="149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136">
        <v>8.0776000000000003</v>
      </c>
      <c r="F78" s="136">
        <v>26.035399999999999</v>
      </c>
      <c r="G78" s="136"/>
      <c r="H78" s="136"/>
      <c r="I78" s="136"/>
      <c r="J78" s="137"/>
      <c r="K78" s="138"/>
      <c r="L78" s="29"/>
      <c r="M78" s="150">
        <v>8.1536000000000008</v>
      </c>
      <c r="N78" s="150">
        <v>26.0838</v>
      </c>
      <c r="O78" s="150"/>
      <c r="P78" s="150"/>
      <c r="Q78" s="150"/>
      <c r="R78" s="151"/>
      <c r="S78" s="152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130"/>
      <c r="F79" s="130">
        <v>42.755600000000001</v>
      </c>
      <c r="G79" s="130">
        <v>46.991100000000003</v>
      </c>
      <c r="H79" s="130">
        <v>45.787999999999997</v>
      </c>
      <c r="I79" s="130"/>
      <c r="J79" s="131"/>
      <c r="K79" s="132"/>
      <c r="L79" s="29"/>
      <c r="M79" s="144"/>
      <c r="N79" s="144">
        <v>42.758200000000002</v>
      </c>
      <c r="O79" s="144">
        <v>46.996899999999997</v>
      </c>
      <c r="P79" s="144">
        <v>45.785299999999999</v>
      </c>
      <c r="Q79" s="144"/>
      <c r="R79" s="145"/>
      <c r="S79" s="146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133"/>
      <c r="F80" s="133">
        <v>40.524500000000003</v>
      </c>
      <c r="G80" s="133">
        <v>45.840200000000003</v>
      </c>
      <c r="H80" s="133">
        <v>44.063699999999997</v>
      </c>
      <c r="I80" s="133"/>
      <c r="J80" s="134"/>
      <c r="K80" s="135"/>
      <c r="L80" s="29"/>
      <c r="M80" s="147"/>
      <c r="N80" s="147">
        <v>40.5182</v>
      </c>
      <c r="O80" s="147">
        <v>45.844299999999997</v>
      </c>
      <c r="P80" s="147">
        <v>44.047699999999999</v>
      </c>
      <c r="Q80" s="147"/>
      <c r="R80" s="148"/>
      <c r="S80" s="149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133"/>
      <c r="F81" s="133">
        <v>38.158200000000001</v>
      </c>
      <c r="G81" s="133">
        <v>44.676099999999998</v>
      </c>
      <c r="H81" s="133">
        <v>42.475200000000001</v>
      </c>
      <c r="I81" s="133"/>
      <c r="J81" s="134"/>
      <c r="K81" s="135"/>
      <c r="L81" s="29"/>
      <c r="M81" s="147"/>
      <c r="N81" s="147">
        <v>38.156199999999998</v>
      </c>
      <c r="O81" s="147">
        <v>44.662700000000001</v>
      </c>
      <c r="P81" s="147">
        <v>42.475000000000001</v>
      </c>
      <c r="Q81" s="147"/>
      <c r="R81" s="148"/>
      <c r="S81" s="149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1"/>
      <c r="D82" s="69">
        <v>40</v>
      </c>
      <c r="E82" s="136"/>
      <c r="F82" s="136">
        <v>35.673400000000001</v>
      </c>
      <c r="G82" s="136">
        <v>43.6646</v>
      </c>
      <c r="H82" s="136">
        <v>41.067999999999998</v>
      </c>
      <c r="I82" s="136"/>
      <c r="J82" s="137"/>
      <c r="K82" s="138"/>
      <c r="L82" s="29"/>
      <c r="M82" s="150"/>
      <c r="N82" s="150">
        <v>35.678800000000003</v>
      </c>
      <c r="O82" s="150">
        <v>43.6492</v>
      </c>
      <c r="P82" s="150">
        <v>41.060200000000002</v>
      </c>
      <c r="Q82" s="150"/>
      <c r="R82" s="151"/>
      <c r="S82" s="152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130"/>
      <c r="F83" s="130">
        <v>43.464300000000001</v>
      </c>
      <c r="G83" s="130">
        <v>47.595700000000001</v>
      </c>
      <c r="H83" s="130">
        <v>46.603299999999997</v>
      </c>
      <c r="I83" s="130"/>
      <c r="J83" s="131"/>
      <c r="K83" s="132"/>
      <c r="L83" s="29"/>
      <c r="M83" s="144"/>
      <c r="N83" s="144">
        <v>43.467500000000001</v>
      </c>
      <c r="O83" s="144">
        <v>47.595199999999998</v>
      </c>
      <c r="P83" s="144">
        <v>46.598100000000002</v>
      </c>
      <c r="Q83" s="144"/>
      <c r="R83" s="145"/>
      <c r="S83" s="146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133"/>
      <c r="F84" s="133">
        <v>41.077399999999997</v>
      </c>
      <c r="G84" s="133">
        <v>46.324599999999997</v>
      </c>
      <c r="H84" s="133">
        <v>44.777700000000003</v>
      </c>
      <c r="I84" s="133"/>
      <c r="J84" s="134"/>
      <c r="K84" s="135"/>
      <c r="L84" s="29"/>
      <c r="M84" s="147"/>
      <c r="N84" s="147">
        <v>41.072400000000002</v>
      </c>
      <c r="O84" s="147">
        <v>46.326000000000001</v>
      </c>
      <c r="P84" s="147">
        <v>44.765900000000002</v>
      </c>
      <c r="Q84" s="147"/>
      <c r="R84" s="148"/>
      <c r="S84" s="149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133"/>
      <c r="F85" s="133">
        <v>38.582000000000001</v>
      </c>
      <c r="G85" s="133">
        <v>44.973100000000002</v>
      </c>
      <c r="H85" s="133">
        <v>42.968699999999998</v>
      </c>
      <c r="I85" s="133"/>
      <c r="J85" s="134"/>
      <c r="K85" s="135"/>
      <c r="L85" s="29"/>
      <c r="M85" s="147"/>
      <c r="N85" s="147">
        <v>38.5779</v>
      </c>
      <c r="O85" s="147">
        <v>44.966700000000003</v>
      </c>
      <c r="P85" s="147">
        <v>42.966000000000001</v>
      </c>
      <c r="Q85" s="147"/>
      <c r="R85" s="148"/>
      <c r="S85" s="149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1"/>
      <c r="D86" s="69">
        <v>40</v>
      </c>
      <c r="E86" s="136"/>
      <c r="F86" s="136">
        <v>35.996299999999998</v>
      </c>
      <c r="G86" s="136">
        <v>43.916499999999999</v>
      </c>
      <c r="H86" s="136">
        <v>41.462699999999998</v>
      </c>
      <c r="I86" s="136"/>
      <c r="J86" s="137"/>
      <c r="K86" s="138"/>
      <c r="L86" s="29"/>
      <c r="M86" s="150"/>
      <c r="N86" s="150">
        <v>36.002600000000001</v>
      </c>
      <c r="O86" s="150">
        <v>43.915900000000001</v>
      </c>
      <c r="P86" s="150">
        <v>41.458599999999997</v>
      </c>
      <c r="Q86" s="150"/>
      <c r="R86" s="151"/>
      <c r="S86" s="152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130"/>
      <c r="F87" s="130">
        <v>43.642800000000001</v>
      </c>
      <c r="G87" s="130">
        <v>47.045299999999997</v>
      </c>
      <c r="H87" s="130">
        <v>46.530500000000004</v>
      </c>
      <c r="I87" s="130"/>
      <c r="J87" s="131"/>
      <c r="K87" s="132"/>
      <c r="L87" s="29"/>
      <c r="M87" s="144"/>
      <c r="N87" s="144">
        <v>43.645699999999998</v>
      </c>
      <c r="O87" s="144">
        <v>47.043700000000001</v>
      </c>
      <c r="P87" s="144">
        <v>46.530900000000003</v>
      </c>
      <c r="Q87" s="144"/>
      <c r="R87" s="145"/>
      <c r="S87" s="146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133"/>
      <c r="F88" s="133">
        <v>41.350999999999999</v>
      </c>
      <c r="G88" s="133">
        <v>45.993400000000001</v>
      </c>
      <c r="H88" s="133">
        <v>44.804600000000001</v>
      </c>
      <c r="I88" s="133"/>
      <c r="J88" s="134"/>
      <c r="K88" s="135"/>
      <c r="L88" s="29"/>
      <c r="M88" s="147"/>
      <c r="N88" s="147">
        <v>41.351799999999997</v>
      </c>
      <c r="O88" s="147">
        <v>45.9955</v>
      </c>
      <c r="P88" s="147">
        <v>44.8003</v>
      </c>
      <c r="Q88" s="147"/>
      <c r="R88" s="148"/>
      <c r="S88" s="149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133"/>
      <c r="F89" s="133">
        <v>38.848999999999997</v>
      </c>
      <c r="G89" s="133">
        <v>44.714100000000002</v>
      </c>
      <c r="H89" s="133">
        <v>42.9557</v>
      </c>
      <c r="I89" s="133"/>
      <c r="J89" s="134"/>
      <c r="K89" s="135"/>
      <c r="L89" s="29"/>
      <c r="M89" s="147"/>
      <c r="N89" s="147">
        <v>38.847499999999997</v>
      </c>
      <c r="O89" s="147">
        <v>44.713999999999999</v>
      </c>
      <c r="P89" s="147">
        <v>42.955500000000001</v>
      </c>
      <c r="Q89" s="147"/>
      <c r="R89" s="148"/>
      <c r="S89" s="149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1"/>
      <c r="D90" s="69">
        <v>40</v>
      </c>
      <c r="E90" s="136"/>
      <c r="F90" s="136">
        <v>36.237200000000001</v>
      </c>
      <c r="G90" s="136">
        <v>43.7669</v>
      </c>
      <c r="H90" s="136">
        <v>41.464700000000001</v>
      </c>
      <c r="I90" s="136"/>
      <c r="J90" s="137"/>
      <c r="K90" s="138"/>
      <c r="L90" s="29"/>
      <c r="M90" s="150"/>
      <c r="N90" s="150">
        <v>36.238399999999999</v>
      </c>
      <c r="O90" s="150">
        <v>43.761600000000001</v>
      </c>
      <c r="P90" s="150">
        <v>41.462200000000003</v>
      </c>
      <c r="Q90" s="150"/>
      <c r="R90" s="151"/>
      <c r="S90" s="152"/>
      <c r="U90" s="17"/>
      <c r="V90" s="18"/>
      <c r="W90" s="19"/>
      <c r="X90" s="29"/>
      <c r="Z90" s="59"/>
      <c r="AA90" s="55"/>
    </row>
    <row r="91" spans="1:27" ht="12.75">
      <c r="A91" s="27"/>
      <c r="B91" s="36"/>
      <c r="C91" s="29" t="s">
        <v>50</v>
      </c>
      <c r="D91" s="32">
        <v>25</v>
      </c>
      <c r="E91" s="130"/>
      <c r="F91" s="130">
        <v>43.470700000000001</v>
      </c>
      <c r="G91" s="130">
        <v>47.030299999999997</v>
      </c>
      <c r="H91" s="130">
        <v>46.584200000000003</v>
      </c>
      <c r="I91" s="130"/>
      <c r="J91" s="131"/>
      <c r="K91" s="132"/>
      <c r="L91" s="29"/>
      <c r="M91" s="144"/>
      <c r="N91" s="144">
        <v>43.470300000000002</v>
      </c>
      <c r="O91" s="144">
        <v>47.028599999999997</v>
      </c>
      <c r="P91" s="144">
        <v>46.582099999999997</v>
      </c>
      <c r="Q91" s="144"/>
      <c r="R91" s="145"/>
      <c r="S91" s="146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133"/>
      <c r="F92" s="133">
        <v>41.186100000000003</v>
      </c>
      <c r="G92" s="133">
        <v>46.016300000000001</v>
      </c>
      <c r="H92" s="133">
        <v>44.8538</v>
      </c>
      <c r="I92" s="133"/>
      <c r="J92" s="134"/>
      <c r="K92" s="135"/>
      <c r="L92" s="29"/>
      <c r="M92" s="147"/>
      <c r="N92" s="147">
        <v>41.1922</v>
      </c>
      <c r="O92" s="147">
        <v>46.016500000000001</v>
      </c>
      <c r="P92" s="147">
        <v>44.8536</v>
      </c>
      <c r="Q92" s="147"/>
      <c r="R92" s="148"/>
      <c r="S92" s="149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133"/>
      <c r="F93" s="133">
        <v>38.695099999999996</v>
      </c>
      <c r="G93" s="133">
        <v>44.7545</v>
      </c>
      <c r="H93" s="133">
        <v>42.974699999999999</v>
      </c>
      <c r="I93" s="133"/>
      <c r="J93" s="134"/>
      <c r="K93" s="135"/>
      <c r="L93" s="29"/>
      <c r="M93" s="147"/>
      <c r="N93" s="147">
        <v>38.696199999999997</v>
      </c>
      <c r="O93" s="147">
        <v>44.755699999999997</v>
      </c>
      <c r="P93" s="147">
        <v>42.973999999999997</v>
      </c>
      <c r="Q93" s="147"/>
      <c r="R93" s="148"/>
      <c r="S93" s="149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1"/>
      <c r="D94" s="69">
        <v>40</v>
      </c>
      <c r="E94" s="136"/>
      <c r="F94" s="136">
        <v>36.089399999999998</v>
      </c>
      <c r="G94" s="136">
        <v>43.777700000000003</v>
      </c>
      <c r="H94" s="136">
        <v>41.442500000000003</v>
      </c>
      <c r="I94" s="136"/>
      <c r="J94" s="137"/>
      <c r="K94" s="138"/>
      <c r="L94" s="29"/>
      <c r="M94" s="150"/>
      <c r="N94" s="150">
        <v>36.088799999999999</v>
      </c>
      <c r="O94" s="150">
        <v>43.780999999999999</v>
      </c>
      <c r="P94" s="150">
        <v>41.442799999999998</v>
      </c>
      <c r="Q94" s="150"/>
      <c r="R94" s="151"/>
      <c r="S94" s="152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131"/>
      <c r="F95" s="131">
        <v>43.215499999999999</v>
      </c>
      <c r="G95" s="131">
        <v>47.284500000000001</v>
      </c>
      <c r="H95" s="131">
        <v>46.5777</v>
      </c>
      <c r="I95" s="131"/>
      <c r="J95" s="131"/>
      <c r="K95" s="132"/>
      <c r="L95" s="29"/>
      <c r="M95" s="145"/>
      <c r="N95" s="145">
        <v>43.208500000000001</v>
      </c>
      <c r="O95" s="145">
        <v>47.2727</v>
      </c>
      <c r="P95" s="145">
        <v>46.573700000000002</v>
      </c>
      <c r="Q95" s="145"/>
      <c r="R95" s="145"/>
      <c r="S95" s="146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134"/>
      <c r="F96" s="134">
        <v>40.844299999999997</v>
      </c>
      <c r="G96" s="134">
        <v>46.1265</v>
      </c>
      <c r="H96" s="134">
        <v>44.758200000000002</v>
      </c>
      <c r="I96" s="134"/>
      <c r="J96" s="134"/>
      <c r="K96" s="135"/>
      <c r="L96" s="29"/>
      <c r="M96" s="148"/>
      <c r="N96" s="148">
        <v>40.848999999999997</v>
      </c>
      <c r="O96" s="148">
        <v>46.123699999999999</v>
      </c>
      <c r="P96" s="148">
        <v>44.758699999999997</v>
      </c>
      <c r="Q96" s="148"/>
      <c r="R96" s="148"/>
      <c r="S96" s="149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134"/>
      <c r="F97" s="134">
        <v>38.367199999999997</v>
      </c>
      <c r="G97" s="134">
        <v>44.921100000000003</v>
      </c>
      <c r="H97" s="134">
        <v>42.967399999999998</v>
      </c>
      <c r="I97" s="134"/>
      <c r="J97" s="134"/>
      <c r="K97" s="135"/>
      <c r="L97" s="29"/>
      <c r="M97" s="148"/>
      <c r="N97" s="148">
        <v>38.368699999999997</v>
      </c>
      <c r="O97" s="148">
        <v>44.9178</v>
      </c>
      <c r="P97" s="148">
        <v>42.972499999999997</v>
      </c>
      <c r="Q97" s="148"/>
      <c r="R97" s="148"/>
      <c r="S97" s="149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1"/>
      <c r="D98" s="69">
        <v>40</v>
      </c>
      <c r="E98" s="137"/>
      <c r="F98" s="137">
        <v>35.7851</v>
      </c>
      <c r="G98" s="137">
        <v>43.895600000000002</v>
      </c>
      <c r="H98" s="137">
        <v>41.400599999999997</v>
      </c>
      <c r="I98" s="137"/>
      <c r="J98" s="137"/>
      <c r="K98" s="138"/>
      <c r="L98" s="29"/>
      <c r="M98" s="151"/>
      <c r="N98" s="151">
        <v>35.7896</v>
      </c>
      <c r="O98" s="151">
        <v>43.893999999999998</v>
      </c>
      <c r="P98" s="151">
        <v>41.407200000000003</v>
      </c>
      <c r="Q98" s="151"/>
      <c r="R98" s="151"/>
      <c r="S98" s="152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131"/>
      <c r="F99" s="131">
        <v>42.460999999999999</v>
      </c>
      <c r="G99" s="131">
        <v>46.332999999999998</v>
      </c>
      <c r="H99" s="131">
        <v>45.734499999999997</v>
      </c>
      <c r="I99" s="131"/>
      <c r="J99" s="131"/>
      <c r="K99" s="132"/>
      <c r="L99" s="29"/>
      <c r="M99" s="145"/>
      <c r="N99" s="145">
        <v>42.4621</v>
      </c>
      <c r="O99" s="145">
        <v>46.320599999999999</v>
      </c>
      <c r="P99" s="145">
        <v>45.733699999999999</v>
      </c>
      <c r="Q99" s="145"/>
      <c r="R99" s="145"/>
      <c r="S99" s="146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134"/>
      <c r="F100" s="134">
        <v>40.267400000000002</v>
      </c>
      <c r="G100" s="134">
        <v>45.197899999999997</v>
      </c>
      <c r="H100" s="134">
        <v>44.031399999999998</v>
      </c>
      <c r="I100" s="134"/>
      <c r="J100" s="134"/>
      <c r="K100" s="135"/>
      <c r="L100" s="29"/>
      <c r="M100" s="148"/>
      <c r="N100" s="148">
        <v>40.278500000000001</v>
      </c>
      <c r="O100" s="148">
        <v>45.199100000000001</v>
      </c>
      <c r="P100" s="148">
        <v>44.026600000000002</v>
      </c>
      <c r="Q100" s="148"/>
      <c r="R100" s="148"/>
      <c r="S100" s="149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134"/>
      <c r="F101" s="134">
        <v>37.926400000000001</v>
      </c>
      <c r="G101" s="134">
        <v>44.209099999999999</v>
      </c>
      <c r="H101" s="134">
        <v>42.466299999999997</v>
      </c>
      <c r="I101" s="134"/>
      <c r="J101" s="134"/>
      <c r="K101" s="135"/>
      <c r="L101" s="29"/>
      <c r="M101" s="148"/>
      <c r="N101" s="148">
        <v>37.926499999999997</v>
      </c>
      <c r="O101" s="148">
        <v>44.212200000000003</v>
      </c>
      <c r="P101" s="148">
        <v>42.471800000000002</v>
      </c>
      <c r="Q101" s="148"/>
      <c r="R101" s="148"/>
      <c r="S101" s="149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1"/>
      <c r="D102" s="69">
        <v>40</v>
      </c>
      <c r="E102" s="137"/>
      <c r="F102" s="137">
        <v>35.435299999999998</v>
      </c>
      <c r="G102" s="137">
        <v>43.289200000000001</v>
      </c>
      <c r="H102" s="137">
        <v>41.0184</v>
      </c>
      <c r="I102" s="137"/>
      <c r="J102" s="137"/>
      <c r="K102" s="138"/>
      <c r="L102" s="29"/>
      <c r="M102" s="151"/>
      <c r="N102" s="151">
        <v>35.4373</v>
      </c>
      <c r="O102" s="151">
        <v>43.287100000000002</v>
      </c>
      <c r="P102" s="151">
        <v>41.021900000000002</v>
      </c>
      <c r="Q102" s="151"/>
      <c r="R102" s="151"/>
      <c r="S102" s="152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134">
        <v>1785.7352000000001</v>
      </c>
      <c r="F103" s="134"/>
      <c r="G103" s="134"/>
      <c r="H103" s="134"/>
      <c r="I103" s="134">
        <v>28148.53</v>
      </c>
      <c r="J103" s="134">
        <v>45.75</v>
      </c>
      <c r="K103" s="135">
        <v>331.93</v>
      </c>
      <c r="L103" s="29"/>
      <c r="M103" s="148">
        <v>1785.3512000000001</v>
      </c>
      <c r="N103" s="148"/>
      <c r="O103" s="148"/>
      <c r="P103" s="148"/>
      <c r="Q103" s="148">
        <v>28158.14</v>
      </c>
      <c r="R103" s="148">
        <v>45.4</v>
      </c>
      <c r="S103" s="149">
        <v>331.32</v>
      </c>
      <c r="U103" s="8"/>
      <c r="V103" s="9"/>
      <c r="W103" s="10"/>
      <c r="X103" s="29"/>
      <c r="Y103" s="59">
        <f>GEOMEAN(Q103:Q106)/GEOMEAN(I103:I106)</f>
        <v>0.99575630497281875</v>
      </c>
      <c r="Z103" s="59">
        <f>GEOMEAN(R103:R106)/GEOMEAN(J103:J106)</f>
        <v>0.97966488465827872</v>
      </c>
      <c r="AA103" s="55">
        <f>GEOMEAN(S103:S106)/GEOMEAN(K103:K106)</f>
        <v>0.99614966261472382</v>
      </c>
    </row>
    <row r="104" spans="1:27" ht="12.75">
      <c r="A104" s="27"/>
      <c r="B104" s="36"/>
      <c r="C104" s="29"/>
      <c r="D104" s="32">
        <v>30</v>
      </c>
      <c r="E104" s="134">
        <v>830.77200000000005</v>
      </c>
      <c r="F104" s="134"/>
      <c r="G104" s="134"/>
      <c r="H104" s="134"/>
      <c r="I104" s="134">
        <v>22120.75</v>
      </c>
      <c r="J104" s="134">
        <v>50.02</v>
      </c>
      <c r="K104" s="135">
        <v>329.74</v>
      </c>
      <c r="L104" s="29"/>
      <c r="M104" s="148">
        <v>830.54319999999996</v>
      </c>
      <c r="N104" s="148"/>
      <c r="O104" s="148"/>
      <c r="P104" s="148"/>
      <c r="Q104" s="148">
        <v>21855.14</v>
      </c>
      <c r="R104" s="148">
        <v>47.54</v>
      </c>
      <c r="S104" s="149">
        <v>326.8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134">
        <v>445.16320000000002</v>
      </c>
      <c r="F105" s="134"/>
      <c r="G105" s="134"/>
      <c r="H105" s="134"/>
      <c r="I105" s="134">
        <v>18625.919999999998</v>
      </c>
      <c r="J105" s="134">
        <v>41.26</v>
      </c>
      <c r="K105" s="135">
        <v>326.72000000000003</v>
      </c>
      <c r="L105" s="29"/>
      <c r="M105" s="148">
        <v>444.66879999999998</v>
      </c>
      <c r="N105" s="148"/>
      <c r="O105" s="148"/>
      <c r="P105" s="148"/>
      <c r="Q105" s="148">
        <v>18579.52</v>
      </c>
      <c r="R105" s="148">
        <v>40.130000000000003</v>
      </c>
      <c r="S105" s="149">
        <v>327.98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0"/>
      <c r="C106" s="51"/>
      <c r="D106" s="69">
        <v>40</v>
      </c>
      <c r="E106" s="137">
        <v>254.61279999999999</v>
      </c>
      <c r="F106" s="137"/>
      <c r="G106" s="137"/>
      <c r="H106" s="137"/>
      <c r="I106" s="137">
        <v>16145.3</v>
      </c>
      <c r="J106" s="137">
        <v>38.74</v>
      </c>
      <c r="K106" s="138">
        <v>331.41</v>
      </c>
      <c r="L106" s="29"/>
      <c r="M106" s="151">
        <v>254.5</v>
      </c>
      <c r="N106" s="151"/>
      <c r="O106" s="151"/>
      <c r="P106" s="151"/>
      <c r="Q106" s="151">
        <v>16100.51</v>
      </c>
      <c r="R106" s="151">
        <v>38.9</v>
      </c>
      <c r="S106" s="152">
        <v>328.61</v>
      </c>
      <c r="U106" s="82"/>
      <c r="V106" s="83"/>
      <c r="W106" s="84"/>
      <c r="X106" s="29"/>
      <c r="Y106" s="47"/>
      <c r="Z106" s="47"/>
      <c r="AA106" s="52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130">
        <v>949.1848</v>
      </c>
      <c r="F107" s="130">
        <v>41.356299999999997</v>
      </c>
      <c r="G107" s="130">
        <v>44.151299999999999</v>
      </c>
      <c r="H107" s="130">
        <v>44.212400000000002</v>
      </c>
      <c r="I107" s="130"/>
      <c r="J107" s="131"/>
      <c r="K107" s="132"/>
      <c r="L107" s="29"/>
      <c r="M107" s="144">
        <v>949.1848</v>
      </c>
      <c r="N107" s="144">
        <v>41.356299999999997</v>
      </c>
      <c r="O107" s="144">
        <v>44.151299999999999</v>
      </c>
      <c r="P107" s="144">
        <v>44.212400000000002</v>
      </c>
      <c r="Q107" s="144"/>
      <c r="R107" s="145"/>
      <c r="S107" s="146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133">
        <v>499.90800000000002</v>
      </c>
      <c r="F108" s="133">
        <v>38.991500000000002</v>
      </c>
      <c r="G108" s="133">
        <v>42.521900000000002</v>
      </c>
      <c r="H108" s="133">
        <v>42.534399999999998</v>
      </c>
      <c r="I108" s="133"/>
      <c r="J108" s="134"/>
      <c r="K108" s="135"/>
      <c r="L108" s="29"/>
      <c r="M108" s="147">
        <v>499.90800000000002</v>
      </c>
      <c r="N108" s="147">
        <v>38.991500000000002</v>
      </c>
      <c r="O108" s="147">
        <v>42.521900000000002</v>
      </c>
      <c r="P108" s="147">
        <v>42.534399999999998</v>
      </c>
      <c r="Q108" s="147"/>
      <c r="R108" s="148"/>
      <c r="S108" s="149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133">
        <v>275.40719999999999</v>
      </c>
      <c r="F109" s="133">
        <v>36.451599999999999</v>
      </c>
      <c r="G109" s="133">
        <v>40.753500000000003</v>
      </c>
      <c r="H109" s="133">
        <v>40.705300000000001</v>
      </c>
      <c r="I109" s="133"/>
      <c r="J109" s="134"/>
      <c r="K109" s="135"/>
      <c r="L109" s="29"/>
      <c r="M109" s="147">
        <v>275.40719999999999</v>
      </c>
      <c r="N109" s="147">
        <v>36.451599999999999</v>
      </c>
      <c r="O109" s="147">
        <v>40.753500000000003</v>
      </c>
      <c r="P109" s="147">
        <v>40.705300000000001</v>
      </c>
      <c r="Q109" s="147"/>
      <c r="R109" s="148"/>
      <c r="S109" s="149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136">
        <v>159.29040000000001</v>
      </c>
      <c r="F110" s="136">
        <v>33.872100000000003</v>
      </c>
      <c r="G110" s="136">
        <v>39.514000000000003</v>
      </c>
      <c r="H110" s="136">
        <v>39.404200000000003</v>
      </c>
      <c r="I110" s="136"/>
      <c r="J110" s="137"/>
      <c r="K110" s="138"/>
      <c r="L110" s="29"/>
      <c r="M110" s="150">
        <v>159.29040000000001</v>
      </c>
      <c r="N110" s="150">
        <v>33.872100000000003</v>
      </c>
      <c r="O110" s="150">
        <v>39.514000000000003</v>
      </c>
      <c r="P110" s="150">
        <v>39.404200000000003</v>
      </c>
      <c r="Q110" s="150"/>
      <c r="R110" s="151"/>
      <c r="S110" s="152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133">
        <v>303.89519999999999</v>
      </c>
      <c r="F111" s="133">
        <v>40.301900000000003</v>
      </c>
      <c r="G111" s="133">
        <v>42.942500000000003</v>
      </c>
      <c r="H111" s="133">
        <v>43.062399999999997</v>
      </c>
      <c r="I111" s="133"/>
      <c r="J111" s="134"/>
      <c r="K111" s="135"/>
      <c r="L111" s="29"/>
      <c r="M111" s="147">
        <v>303.92</v>
      </c>
      <c r="N111" s="147">
        <v>40.302900000000001</v>
      </c>
      <c r="O111" s="147">
        <v>42.943600000000004</v>
      </c>
      <c r="P111" s="147">
        <v>43.067500000000003</v>
      </c>
      <c r="Q111" s="147"/>
      <c r="R111" s="148"/>
      <c r="S111" s="149"/>
      <c r="U111" s="8">
        <f>bdrate($E111:$E114,F111:F114,$M111:$M114,N111:N114)</f>
        <v>-1.0500791268052145E-3</v>
      </c>
      <c r="V111" s="9">
        <f>bdrate($E111:$E114,G111:G114,$M111:$M114,O111:O114)</f>
        <v>-5.2951702775205778E-4</v>
      </c>
      <c r="W111" s="10">
        <f>bdrate($E111:$E114,H111:H114,$M111:$M114,P111:P114)</f>
        <v>-4.111599675043931E-3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133">
        <v>129.4376</v>
      </c>
      <c r="F112" s="133">
        <v>37.966200000000001</v>
      </c>
      <c r="G112" s="133">
        <v>41.310400000000001</v>
      </c>
      <c r="H112" s="133">
        <v>41.437199999999997</v>
      </c>
      <c r="I112" s="133"/>
      <c r="J112" s="134"/>
      <c r="K112" s="135"/>
      <c r="L112" s="29"/>
      <c r="M112" s="147">
        <v>129.2072</v>
      </c>
      <c r="N112" s="147">
        <v>37.963900000000002</v>
      </c>
      <c r="O112" s="147">
        <v>41.3095</v>
      </c>
      <c r="P112" s="147">
        <v>41.444200000000002</v>
      </c>
      <c r="Q112" s="147"/>
      <c r="R112" s="148"/>
      <c r="S112" s="149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133">
        <v>64.183999999999997</v>
      </c>
      <c r="F113" s="133">
        <v>35.530500000000004</v>
      </c>
      <c r="G113" s="133">
        <v>40.031300000000002</v>
      </c>
      <c r="H113" s="133">
        <v>40.055399999999999</v>
      </c>
      <c r="I113" s="133"/>
      <c r="J113" s="134"/>
      <c r="K113" s="135"/>
      <c r="L113" s="29"/>
      <c r="M113" s="147">
        <v>64.029600000000002</v>
      </c>
      <c r="N113" s="147">
        <v>35.527700000000003</v>
      </c>
      <c r="O113" s="147">
        <v>40.027099999999997</v>
      </c>
      <c r="P113" s="147">
        <v>40.0593</v>
      </c>
      <c r="Q113" s="147"/>
      <c r="R113" s="148"/>
      <c r="S113" s="149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133">
        <v>34.526400000000002</v>
      </c>
      <c r="F114" s="133">
        <v>33.110700000000001</v>
      </c>
      <c r="G114" s="133">
        <v>38.989800000000002</v>
      </c>
      <c r="H114" s="133">
        <v>38.9681</v>
      </c>
      <c r="I114" s="133"/>
      <c r="J114" s="134"/>
      <c r="K114" s="135"/>
      <c r="L114" s="29"/>
      <c r="M114" s="147">
        <v>34.532800000000002</v>
      </c>
      <c r="N114" s="147">
        <v>33.1113</v>
      </c>
      <c r="O114" s="147">
        <v>38.987900000000003</v>
      </c>
      <c r="P114" s="147">
        <v>38.967500000000001</v>
      </c>
      <c r="Q114" s="147"/>
      <c r="R114" s="148"/>
      <c r="S114" s="149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130">
        <v>346.27519999999998</v>
      </c>
      <c r="F115" s="130">
        <v>39.898299999999999</v>
      </c>
      <c r="G115" s="130">
        <v>42.847799999999999</v>
      </c>
      <c r="H115" s="130">
        <v>42.744900000000001</v>
      </c>
      <c r="I115" s="130"/>
      <c r="J115" s="131"/>
      <c r="K115" s="132"/>
      <c r="L115" s="29"/>
      <c r="M115" s="144">
        <v>347.3048</v>
      </c>
      <c r="N115" s="144">
        <v>39.904400000000003</v>
      </c>
      <c r="O115" s="144">
        <v>42.851399999999998</v>
      </c>
      <c r="P115" s="144">
        <v>42.746499999999997</v>
      </c>
      <c r="Q115" s="144"/>
      <c r="R115" s="145"/>
      <c r="S115" s="146"/>
      <c r="U115" s="8">
        <f>bdrate($E115:$E118,F115:F118,$M115:$M118,N115:N118)</f>
        <v>-8.792803593290488E-4</v>
      </c>
      <c r="V115" s="9">
        <f>bdrate($E115:$E118,G115:G118,$M115:$M118,O115:O118)</f>
        <v>-3.9947017694288434E-3</v>
      </c>
      <c r="W115" s="10">
        <f>bdrate($E115:$E118,H115:H118,$M115:$M118,P115:P118)</f>
        <v>3.7279529484512963E-5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133">
        <v>150.19999999999999</v>
      </c>
      <c r="F116" s="133">
        <v>37.521299999999997</v>
      </c>
      <c r="G116" s="133">
        <v>41.367400000000004</v>
      </c>
      <c r="H116" s="133">
        <v>41.102400000000003</v>
      </c>
      <c r="I116" s="133"/>
      <c r="J116" s="134"/>
      <c r="K116" s="135"/>
      <c r="L116" s="29"/>
      <c r="M116" s="147">
        <v>149.72479999999999</v>
      </c>
      <c r="N116" s="147">
        <v>37.519300000000001</v>
      </c>
      <c r="O116" s="147">
        <v>41.370199999999997</v>
      </c>
      <c r="P116" s="147">
        <v>41.098500000000001</v>
      </c>
      <c r="Q116" s="147"/>
      <c r="R116" s="148"/>
      <c r="S116" s="149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133">
        <v>74.7928</v>
      </c>
      <c r="F117" s="133">
        <v>35.0642</v>
      </c>
      <c r="G117" s="133">
        <v>40.073799999999999</v>
      </c>
      <c r="H117" s="133">
        <v>39.677100000000003</v>
      </c>
      <c r="I117" s="133"/>
      <c r="J117" s="134"/>
      <c r="K117" s="135"/>
      <c r="L117" s="29"/>
      <c r="M117" s="147">
        <v>74.796000000000006</v>
      </c>
      <c r="N117" s="147">
        <v>35.063099999999999</v>
      </c>
      <c r="O117" s="147">
        <v>40.0867</v>
      </c>
      <c r="P117" s="147">
        <v>39.676900000000003</v>
      </c>
      <c r="Q117" s="147"/>
      <c r="R117" s="148"/>
      <c r="S117" s="149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1"/>
      <c r="D118" s="69">
        <v>40</v>
      </c>
      <c r="E118" s="136">
        <v>39.833599999999997</v>
      </c>
      <c r="F118" s="136">
        <v>32.550800000000002</v>
      </c>
      <c r="G118" s="136">
        <v>39.087600000000002</v>
      </c>
      <c r="H118" s="136">
        <v>38.5914</v>
      </c>
      <c r="I118" s="136"/>
      <c r="J118" s="137"/>
      <c r="K118" s="138"/>
      <c r="L118" s="29"/>
      <c r="M118" s="150">
        <v>39.7864</v>
      </c>
      <c r="N118" s="150">
        <v>32.550699999999999</v>
      </c>
      <c r="O118" s="150">
        <v>39.081099999999999</v>
      </c>
      <c r="P118" s="150">
        <v>38.585700000000003</v>
      </c>
      <c r="Q118" s="150"/>
      <c r="R118" s="151"/>
      <c r="S118" s="152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130">
        <v>188.11680000000001</v>
      </c>
      <c r="F119" s="130">
        <v>38.281500000000001</v>
      </c>
      <c r="G119" s="130"/>
      <c r="H119" s="130"/>
      <c r="I119" s="130"/>
      <c r="J119" s="131"/>
      <c r="K119" s="132"/>
      <c r="L119" s="29"/>
      <c r="M119" s="144">
        <v>188.11680000000001</v>
      </c>
      <c r="N119" s="144">
        <v>38.281500000000001</v>
      </c>
      <c r="O119" s="144"/>
      <c r="P119" s="144"/>
      <c r="Q119" s="144"/>
      <c r="R119" s="145"/>
      <c r="S119" s="146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133">
        <v>63.389600000000002</v>
      </c>
      <c r="F120" s="133">
        <v>35.013399999999997</v>
      </c>
      <c r="G120" s="133"/>
      <c r="H120" s="133"/>
      <c r="I120" s="133"/>
      <c r="J120" s="134"/>
      <c r="K120" s="135"/>
      <c r="L120" s="29"/>
      <c r="M120" s="147">
        <v>63.389600000000002</v>
      </c>
      <c r="N120" s="147">
        <v>35.013399999999997</v>
      </c>
      <c r="O120" s="147"/>
      <c r="P120" s="147"/>
      <c r="Q120" s="147"/>
      <c r="R120" s="148"/>
      <c r="S120" s="149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133">
        <v>26.0472</v>
      </c>
      <c r="F121" s="133">
        <v>32.409500000000001</v>
      </c>
      <c r="G121" s="133"/>
      <c r="H121" s="133"/>
      <c r="I121" s="133"/>
      <c r="J121" s="134"/>
      <c r="K121" s="135"/>
      <c r="L121" s="29"/>
      <c r="M121" s="147">
        <v>26.0472</v>
      </c>
      <c r="N121" s="147">
        <v>32.409500000000001</v>
      </c>
      <c r="O121" s="147"/>
      <c r="P121" s="147"/>
      <c r="Q121" s="147"/>
      <c r="R121" s="148"/>
      <c r="S121" s="149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136">
        <v>11.861599999999999</v>
      </c>
      <c r="F122" s="136">
        <v>29.662800000000001</v>
      </c>
      <c r="G122" s="136"/>
      <c r="H122" s="136"/>
      <c r="I122" s="136"/>
      <c r="J122" s="137"/>
      <c r="K122" s="138"/>
      <c r="L122" s="29"/>
      <c r="M122" s="150">
        <v>11.861599999999999</v>
      </c>
      <c r="N122" s="150">
        <v>29.662800000000001</v>
      </c>
      <c r="O122" s="150"/>
      <c r="P122" s="150"/>
      <c r="Q122" s="150"/>
      <c r="R122" s="151"/>
      <c r="S122" s="152"/>
      <c r="U122" s="17"/>
      <c r="V122" s="18"/>
      <c r="W122" s="19"/>
      <c r="X122" s="29"/>
      <c r="Y122" s="59"/>
      <c r="Z122" s="59"/>
      <c r="AA122" s="55"/>
    </row>
    <row r="123" spans="1:27" ht="12.75">
      <c r="A123" s="27"/>
      <c r="B123" s="36"/>
      <c r="C123" s="28" t="s">
        <v>30</v>
      </c>
      <c r="D123" s="31">
        <v>34</v>
      </c>
      <c r="E123" s="130">
        <v>123.2336</v>
      </c>
      <c r="F123" s="130">
        <v>37.1995</v>
      </c>
      <c r="G123" s="130"/>
      <c r="H123" s="130"/>
      <c r="I123" s="130"/>
      <c r="J123" s="131"/>
      <c r="K123" s="132"/>
      <c r="L123" s="29"/>
      <c r="M123" s="144">
        <v>122.9752</v>
      </c>
      <c r="N123" s="144">
        <v>37.196599999999997</v>
      </c>
      <c r="O123" s="144"/>
      <c r="P123" s="144"/>
      <c r="Q123" s="144"/>
      <c r="R123" s="145"/>
      <c r="S123" s="146"/>
      <c r="U123" s="8">
        <f>bdrate($E123:$E126,F123:F126,$M123:$M126,N123:N126)</f>
        <v>1.4193581898047647E-4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133">
        <v>43.700800000000001</v>
      </c>
      <c r="F124" s="133">
        <v>34.163899999999998</v>
      </c>
      <c r="G124" s="133"/>
      <c r="H124" s="133"/>
      <c r="I124" s="133"/>
      <c r="J124" s="134"/>
      <c r="K124" s="135"/>
      <c r="L124" s="29"/>
      <c r="M124" s="147">
        <v>43.683199999999999</v>
      </c>
      <c r="N124" s="147">
        <v>34.156500000000001</v>
      </c>
      <c r="O124" s="147"/>
      <c r="P124" s="147"/>
      <c r="Q124" s="147"/>
      <c r="R124" s="148"/>
      <c r="S124" s="149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133">
        <v>18.7376</v>
      </c>
      <c r="F125" s="133">
        <v>31.563800000000001</v>
      </c>
      <c r="G125" s="133"/>
      <c r="H125" s="133"/>
      <c r="I125" s="133"/>
      <c r="J125" s="134"/>
      <c r="K125" s="135"/>
      <c r="L125" s="29"/>
      <c r="M125" s="147">
        <v>18.748799999999999</v>
      </c>
      <c r="N125" s="147">
        <v>31.558499999999999</v>
      </c>
      <c r="O125" s="147"/>
      <c r="P125" s="147"/>
      <c r="Q125" s="147"/>
      <c r="R125" s="148"/>
      <c r="S125" s="149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136">
        <v>8.5519999999999996</v>
      </c>
      <c r="F126" s="136">
        <v>28.5688</v>
      </c>
      <c r="G126" s="136"/>
      <c r="H126" s="136"/>
      <c r="I126" s="136"/>
      <c r="J126" s="137"/>
      <c r="K126" s="138"/>
      <c r="L126" s="29"/>
      <c r="M126" s="150">
        <v>8.5039999999999996</v>
      </c>
      <c r="N126" s="150">
        <v>28.585799999999999</v>
      </c>
      <c r="O126" s="150"/>
      <c r="P126" s="150"/>
      <c r="Q126" s="150"/>
      <c r="R126" s="151"/>
      <c r="S126" s="152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130">
        <v>111.2728</v>
      </c>
      <c r="F127" s="130">
        <v>37.133299999999998</v>
      </c>
      <c r="G127" s="130"/>
      <c r="H127" s="130"/>
      <c r="I127" s="130"/>
      <c r="J127" s="131"/>
      <c r="K127" s="132"/>
      <c r="L127" s="29"/>
      <c r="M127" s="144">
        <v>111.4712</v>
      </c>
      <c r="N127" s="144">
        <v>37.126600000000003</v>
      </c>
      <c r="O127" s="144"/>
      <c r="P127" s="144"/>
      <c r="Q127" s="144"/>
      <c r="R127" s="145"/>
      <c r="S127" s="146"/>
      <c r="U127" s="8">
        <f>bdrate($E127:$E130,F127:F130,$M127:$M130,N127:N130)</f>
        <v>7.4806072255351186E-3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133">
        <v>36.365600000000001</v>
      </c>
      <c r="F128" s="133">
        <v>34.163600000000002</v>
      </c>
      <c r="G128" s="133"/>
      <c r="H128" s="133"/>
      <c r="I128" s="133"/>
      <c r="J128" s="134"/>
      <c r="K128" s="135"/>
      <c r="L128" s="29"/>
      <c r="M128" s="147">
        <v>36.395200000000003</v>
      </c>
      <c r="N128" s="147">
        <v>34.124400000000001</v>
      </c>
      <c r="O128" s="147"/>
      <c r="P128" s="147"/>
      <c r="Q128" s="147"/>
      <c r="R128" s="148"/>
      <c r="S128" s="149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133">
        <v>15.6136</v>
      </c>
      <c r="F129" s="133">
        <v>31.687899999999999</v>
      </c>
      <c r="G129" s="133"/>
      <c r="H129" s="133"/>
      <c r="I129" s="133"/>
      <c r="J129" s="134"/>
      <c r="K129" s="135"/>
      <c r="L129" s="29"/>
      <c r="M129" s="147">
        <v>15.4832</v>
      </c>
      <c r="N129" s="147">
        <v>31.668600000000001</v>
      </c>
      <c r="O129" s="147"/>
      <c r="P129" s="147"/>
      <c r="Q129" s="147"/>
      <c r="R129" s="148"/>
      <c r="S129" s="149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136">
        <v>7.5575999999999999</v>
      </c>
      <c r="F130" s="136">
        <v>28.980499999999999</v>
      </c>
      <c r="G130" s="136"/>
      <c r="H130" s="136"/>
      <c r="I130" s="136"/>
      <c r="J130" s="137"/>
      <c r="K130" s="138"/>
      <c r="L130" s="29"/>
      <c r="M130" s="150">
        <v>7.5503999999999998</v>
      </c>
      <c r="N130" s="150">
        <v>28.907499999999999</v>
      </c>
      <c r="O130" s="150"/>
      <c r="P130" s="150"/>
      <c r="Q130" s="150"/>
      <c r="R130" s="151"/>
      <c r="S130" s="152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130"/>
      <c r="F131" s="130">
        <v>39.915300000000002</v>
      </c>
      <c r="G131" s="130">
        <v>45.247100000000003</v>
      </c>
      <c r="H131" s="130">
        <v>45.432600000000001</v>
      </c>
      <c r="I131" s="130"/>
      <c r="J131" s="131"/>
      <c r="K131" s="132"/>
      <c r="L131" s="29"/>
      <c r="M131" s="144"/>
      <c r="N131" s="144">
        <v>39.910800000000002</v>
      </c>
      <c r="O131" s="144">
        <v>45.2483</v>
      </c>
      <c r="P131" s="144">
        <v>45.436300000000003</v>
      </c>
      <c r="Q131" s="144"/>
      <c r="R131" s="145"/>
      <c r="S131" s="146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133"/>
      <c r="F132" s="133">
        <v>37.779400000000003</v>
      </c>
      <c r="G132" s="133">
        <v>43.473999999999997</v>
      </c>
      <c r="H132" s="133">
        <v>43.624000000000002</v>
      </c>
      <c r="I132" s="133"/>
      <c r="J132" s="134"/>
      <c r="K132" s="135"/>
      <c r="L132" s="29"/>
      <c r="M132" s="147"/>
      <c r="N132" s="147">
        <v>37.779699999999998</v>
      </c>
      <c r="O132" s="147">
        <v>43.479100000000003</v>
      </c>
      <c r="P132" s="147">
        <v>43.631300000000003</v>
      </c>
      <c r="Q132" s="147"/>
      <c r="R132" s="148"/>
      <c r="S132" s="149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133"/>
      <c r="F133" s="133">
        <v>35.502800000000001</v>
      </c>
      <c r="G133" s="133">
        <v>41.8735</v>
      </c>
      <c r="H133" s="133">
        <v>41.8964</v>
      </c>
      <c r="I133" s="133"/>
      <c r="J133" s="134"/>
      <c r="K133" s="135"/>
      <c r="L133" s="29"/>
      <c r="M133" s="147"/>
      <c r="N133" s="147">
        <v>35.502499999999998</v>
      </c>
      <c r="O133" s="147">
        <v>41.874099999999999</v>
      </c>
      <c r="P133" s="147">
        <v>41.899099999999997</v>
      </c>
      <c r="Q133" s="147"/>
      <c r="R133" s="148"/>
      <c r="S133" s="149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1"/>
      <c r="D134" s="69">
        <v>40</v>
      </c>
      <c r="E134" s="136"/>
      <c r="F134" s="136">
        <v>33.131900000000002</v>
      </c>
      <c r="G134" s="136">
        <v>40.558</v>
      </c>
      <c r="H134" s="136">
        <v>40.548999999999999</v>
      </c>
      <c r="I134" s="136"/>
      <c r="J134" s="137"/>
      <c r="K134" s="138"/>
      <c r="L134" s="29"/>
      <c r="M134" s="150"/>
      <c r="N134" s="150">
        <v>33.134099999999997</v>
      </c>
      <c r="O134" s="150">
        <v>40.555199999999999</v>
      </c>
      <c r="P134" s="150">
        <v>40.550899999999999</v>
      </c>
      <c r="Q134" s="150"/>
      <c r="R134" s="151"/>
      <c r="S134" s="152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130"/>
      <c r="F135" s="130">
        <v>40.459800000000001</v>
      </c>
      <c r="G135" s="130">
        <v>46.109200000000001</v>
      </c>
      <c r="H135" s="130">
        <v>46.156999999999996</v>
      </c>
      <c r="I135" s="130"/>
      <c r="J135" s="131"/>
      <c r="K135" s="132"/>
      <c r="L135" s="29"/>
      <c r="M135" s="144"/>
      <c r="N135" s="144">
        <v>40.455399999999997</v>
      </c>
      <c r="O135" s="144">
        <v>46.111899999999999</v>
      </c>
      <c r="P135" s="144">
        <v>46.160699999999999</v>
      </c>
      <c r="Q135" s="144"/>
      <c r="R135" s="145"/>
      <c r="S135" s="146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133"/>
      <c r="F136" s="133">
        <v>38.184399999999997</v>
      </c>
      <c r="G136" s="133">
        <v>44.245699999999999</v>
      </c>
      <c r="H136" s="133">
        <v>44.231999999999999</v>
      </c>
      <c r="I136" s="133"/>
      <c r="J136" s="134"/>
      <c r="K136" s="135"/>
      <c r="L136" s="29"/>
      <c r="M136" s="147"/>
      <c r="N136" s="147">
        <v>38.189700000000002</v>
      </c>
      <c r="O136" s="147">
        <v>44.250700000000002</v>
      </c>
      <c r="P136" s="147">
        <v>44.237900000000003</v>
      </c>
      <c r="Q136" s="147"/>
      <c r="R136" s="148"/>
      <c r="S136" s="149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133"/>
      <c r="F137" s="133">
        <v>35.784999999999997</v>
      </c>
      <c r="G137" s="133">
        <v>42.378999999999998</v>
      </c>
      <c r="H137" s="133">
        <v>42.260100000000001</v>
      </c>
      <c r="I137" s="133"/>
      <c r="J137" s="134"/>
      <c r="K137" s="135"/>
      <c r="L137" s="29"/>
      <c r="M137" s="147"/>
      <c r="N137" s="147">
        <v>35.795400000000001</v>
      </c>
      <c r="O137" s="147">
        <v>42.377299999999998</v>
      </c>
      <c r="P137" s="147">
        <v>42.262500000000003</v>
      </c>
      <c r="Q137" s="147"/>
      <c r="R137" s="148"/>
      <c r="S137" s="149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1"/>
      <c r="D138" s="69">
        <v>40</v>
      </c>
      <c r="E138" s="136"/>
      <c r="F138" s="136">
        <v>33.333599999999997</v>
      </c>
      <c r="G138" s="136">
        <v>40.922600000000003</v>
      </c>
      <c r="H138" s="136">
        <v>40.7789</v>
      </c>
      <c r="I138" s="136"/>
      <c r="J138" s="137"/>
      <c r="K138" s="138"/>
      <c r="L138" s="29"/>
      <c r="M138" s="150"/>
      <c r="N138" s="150">
        <v>33.333199999999998</v>
      </c>
      <c r="O138" s="150">
        <v>40.9191</v>
      </c>
      <c r="P138" s="150">
        <v>40.7819</v>
      </c>
      <c r="Q138" s="150"/>
      <c r="R138" s="151"/>
      <c r="S138" s="152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130"/>
      <c r="F139" s="130">
        <v>40.953400000000002</v>
      </c>
      <c r="G139" s="130">
        <v>46.026400000000002</v>
      </c>
      <c r="H139" s="130">
        <v>46.088700000000003</v>
      </c>
      <c r="I139" s="130"/>
      <c r="J139" s="131"/>
      <c r="K139" s="132"/>
      <c r="L139" s="29"/>
      <c r="M139" s="144"/>
      <c r="N139" s="144">
        <v>40.937100000000001</v>
      </c>
      <c r="O139" s="144">
        <v>46.021000000000001</v>
      </c>
      <c r="P139" s="144">
        <v>46.087400000000002</v>
      </c>
      <c r="Q139" s="144"/>
      <c r="R139" s="145"/>
      <c r="S139" s="146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133"/>
      <c r="F140" s="133">
        <v>38.650300000000001</v>
      </c>
      <c r="G140" s="133">
        <v>44.255099999999999</v>
      </c>
      <c r="H140" s="133">
        <v>44.224699999999999</v>
      </c>
      <c r="I140" s="133"/>
      <c r="J140" s="134"/>
      <c r="K140" s="135"/>
      <c r="L140" s="29"/>
      <c r="M140" s="147"/>
      <c r="N140" s="147">
        <v>38.647599999999997</v>
      </c>
      <c r="O140" s="147">
        <v>44.258299999999998</v>
      </c>
      <c r="P140" s="147">
        <v>44.229700000000001</v>
      </c>
      <c r="Q140" s="147"/>
      <c r="R140" s="148"/>
      <c r="S140" s="149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133"/>
      <c r="F141" s="133">
        <v>36.182200000000002</v>
      </c>
      <c r="G141" s="133">
        <v>42.314900000000002</v>
      </c>
      <c r="H141" s="133">
        <v>42.1905</v>
      </c>
      <c r="I141" s="133"/>
      <c r="J141" s="134"/>
      <c r="K141" s="135"/>
      <c r="L141" s="29"/>
      <c r="M141" s="147"/>
      <c r="N141" s="147">
        <v>36.189399999999999</v>
      </c>
      <c r="O141" s="147">
        <v>42.315800000000003</v>
      </c>
      <c r="P141" s="147">
        <v>42.190800000000003</v>
      </c>
      <c r="Q141" s="147"/>
      <c r="R141" s="148"/>
      <c r="S141" s="149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1"/>
      <c r="D142" s="69">
        <v>40</v>
      </c>
      <c r="E142" s="136"/>
      <c r="F142" s="136">
        <v>33.683599999999998</v>
      </c>
      <c r="G142" s="136">
        <v>40.8598</v>
      </c>
      <c r="H142" s="136">
        <v>40.706000000000003</v>
      </c>
      <c r="I142" s="136"/>
      <c r="J142" s="137"/>
      <c r="K142" s="138"/>
      <c r="L142" s="29"/>
      <c r="M142" s="150"/>
      <c r="N142" s="150">
        <v>33.680599999999998</v>
      </c>
      <c r="O142" s="150">
        <v>40.857199999999999</v>
      </c>
      <c r="P142" s="150">
        <v>40.702399999999997</v>
      </c>
      <c r="Q142" s="150"/>
      <c r="R142" s="151"/>
      <c r="S142" s="152"/>
      <c r="U142" s="17"/>
      <c r="V142" s="18"/>
      <c r="W142" s="19"/>
      <c r="X142" s="29"/>
      <c r="Z142" s="59"/>
      <c r="AA142" s="55"/>
    </row>
    <row r="143" spans="1:27" ht="12.75">
      <c r="A143" s="27"/>
      <c r="B143" s="36"/>
      <c r="C143" s="29" t="s">
        <v>50</v>
      </c>
      <c r="D143" s="32">
        <v>25</v>
      </c>
      <c r="E143" s="130"/>
      <c r="F143" s="130">
        <v>40.912100000000002</v>
      </c>
      <c r="G143" s="130">
        <v>45.868299999999998</v>
      </c>
      <c r="H143" s="130">
        <v>45.936999999999998</v>
      </c>
      <c r="I143" s="130"/>
      <c r="J143" s="131"/>
      <c r="K143" s="132"/>
      <c r="L143" s="29"/>
      <c r="M143" s="144"/>
      <c r="N143" s="144">
        <v>40.908200000000001</v>
      </c>
      <c r="O143" s="144">
        <v>45.87</v>
      </c>
      <c r="P143" s="144">
        <v>45.937100000000001</v>
      </c>
      <c r="Q143" s="144"/>
      <c r="R143" s="145"/>
      <c r="S143" s="146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133"/>
      <c r="F144" s="133">
        <v>38.564399999999999</v>
      </c>
      <c r="G144" s="133">
        <v>44.064799999999998</v>
      </c>
      <c r="H144" s="133">
        <v>44.041200000000003</v>
      </c>
      <c r="I144" s="133"/>
      <c r="J144" s="134"/>
      <c r="K144" s="135"/>
      <c r="L144" s="29"/>
      <c r="M144" s="147"/>
      <c r="N144" s="147">
        <v>38.594200000000001</v>
      </c>
      <c r="O144" s="147">
        <v>44.066200000000002</v>
      </c>
      <c r="P144" s="147">
        <v>44.040500000000002</v>
      </c>
      <c r="Q144" s="147"/>
      <c r="R144" s="148"/>
      <c r="S144" s="149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133"/>
      <c r="F145" s="133">
        <v>36.128100000000003</v>
      </c>
      <c r="G145" s="133">
        <v>42.143999999999998</v>
      </c>
      <c r="H145" s="133">
        <v>41.979199999999999</v>
      </c>
      <c r="I145" s="133"/>
      <c r="J145" s="134"/>
      <c r="K145" s="135"/>
      <c r="L145" s="29"/>
      <c r="M145" s="147"/>
      <c r="N145" s="147">
        <v>36.121000000000002</v>
      </c>
      <c r="O145" s="147">
        <v>42.151699999999998</v>
      </c>
      <c r="P145" s="147">
        <v>41.9848</v>
      </c>
      <c r="Q145" s="147"/>
      <c r="R145" s="148"/>
      <c r="S145" s="149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1"/>
      <c r="D146" s="69">
        <v>40</v>
      </c>
      <c r="E146" s="136"/>
      <c r="F146" s="136">
        <v>33.6023</v>
      </c>
      <c r="G146" s="136">
        <v>40.724699999999999</v>
      </c>
      <c r="H146" s="136">
        <v>40.493600000000001</v>
      </c>
      <c r="I146" s="136"/>
      <c r="J146" s="137"/>
      <c r="K146" s="138"/>
      <c r="L146" s="29"/>
      <c r="M146" s="150"/>
      <c r="N146" s="150">
        <v>33.599899999999998</v>
      </c>
      <c r="O146" s="150">
        <v>40.723199999999999</v>
      </c>
      <c r="P146" s="150">
        <v>40.4955</v>
      </c>
      <c r="Q146" s="150"/>
      <c r="R146" s="151"/>
      <c r="S146" s="152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131"/>
      <c r="F147" s="131">
        <v>40.295900000000003</v>
      </c>
      <c r="G147" s="131">
        <v>45.894799999999996</v>
      </c>
      <c r="H147" s="131">
        <v>45.859699999999997</v>
      </c>
      <c r="I147" s="131"/>
      <c r="J147" s="131"/>
      <c r="K147" s="132"/>
      <c r="L147" s="29"/>
      <c r="M147" s="145"/>
      <c r="N147" s="145">
        <v>40.280799999999999</v>
      </c>
      <c r="O147" s="145">
        <v>45.886400000000002</v>
      </c>
      <c r="P147" s="145">
        <v>45.860399999999998</v>
      </c>
      <c r="Q147" s="145"/>
      <c r="R147" s="145"/>
      <c r="S147" s="146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134"/>
      <c r="F148" s="134">
        <v>37.983499999999999</v>
      </c>
      <c r="G148" s="134">
        <v>44.051900000000003</v>
      </c>
      <c r="H148" s="134">
        <v>43.861499999999999</v>
      </c>
      <c r="I148" s="134"/>
      <c r="J148" s="134"/>
      <c r="K148" s="135"/>
      <c r="L148" s="29"/>
      <c r="M148" s="148"/>
      <c r="N148" s="148">
        <v>37.978000000000002</v>
      </c>
      <c r="O148" s="148">
        <v>44.051000000000002</v>
      </c>
      <c r="P148" s="148">
        <v>43.855899999999998</v>
      </c>
      <c r="Q148" s="148"/>
      <c r="R148" s="148"/>
      <c r="S148" s="149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134"/>
      <c r="F149" s="134">
        <v>35.5655</v>
      </c>
      <c r="G149" s="134">
        <v>42.2042</v>
      </c>
      <c r="H149" s="134">
        <v>41.862299999999998</v>
      </c>
      <c r="I149" s="134"/>
      <c r="J149" s="134"/>
      <c r="K149" s="135"/>
      <c r="L149" s="29"/>
      <c r="M149" s="148"/>
      <c r="N149" s="148">
        <v>35.563899999999997</v>
      </c>
      <c r="O149" s="148">
        <v>42.215000000000003</v>
      </c>
      <c r="P149" s="148">
        <v>41.860599999999998</v>
      </c>
      <c r="Q149" s="148"/>
      <c r="R149" s="148"/>
      <c r="S149" s="149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1"/>
      <c r="D150" s="69">
        <v>40</v>
      </c>
      <c r="E150" s="137"/>
      <c r="F150" s="137">
        <v>33.082799999999999</v>
      </c>
      <c r="G150" s="137">
        <v>40.795299999999997</v>
      </c>
      <c r="H150" s="137">
        <v>40.380899999999997</v>
      </c>
      <c r="I150" s="137"/>
      <c r="J150" s="137"/>
      <c r="K150" s="138"/>
      <c r="L150" s="29"/>
      <c r="M150" s="151"/>
      <c r="N150" s="151">
        <v>33.073799999999999</v>
      </c>
      <c r="O150" s="151">
        <v>40.7928</v>
      </c>
      <c r="P150" s="151">
        <v>40.371400000000001</v>
      </c>
      <c r="Q150" s="151"/>
      <c r="R150" s="151"/>
      <c r="S150" s="152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131"/>
      <c r="F151" s="131">
        <v>39.933399999999999</v>
      </c>
      <c r="G151" s="131">
        <v>45.078800000000001</v>
      </c>
      <c r="H151" s="131">
        <v>45.033299999999997</v>
      </c>
      <c r="I151" s="131"/>
      <c r="J151" s="131"/>
      <c r="K151" s="132"/>
      <c r="L151" s="29"/>
      <c r="M151" s="145"/>
      <c r="N151" s="145">
        <v>39.949800000000003</v>
      </c>
      <c r="O151" s="145">
        <v>45.075099999999999</v>
      </c>
      <c r="P151" s="145">
        <v>45.034100000000002</v>
      </c>
      <c r="Q151" s="145"/>
      <c r="R151" s="145"/>
      <c r="S151" s="146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134"/>
      <c r="F152" s="134">
        <v>37.614800000000002</v>
      </c>
      <c r="G152" s="134">
        <v>43.364899999999999</v>
      </c>
      <c r="H152" s="134">
        <v>43.114600000000003</v>
      </c>
      <c r="I152" s="134"/>
      <c r="J152" s="134"/>
      <c r="K152" s="135"/>
      <c r="L152" s="29"/>
      <c r="M152" s="148"/>
      <c r="N152" s="148">
        <v>37.606400000000001</v>
      </c>
      <c r="O152" s="148">
        <v>43.366700000000002</v>
      </c>
      <c r="P152" s="148">
        <v>43.112499999999997</v>
      </c>
      <c r="Q152" s="148"/>
      <c r="R152" s="148"/>
      <c r="S152" s="149"/>
      <c r="T152" s="63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134"/>
      <c r="F153" s="134">
        <v>35.194499999999998</v>
      </c>
      <c r="G153" s="134">
        <v>41.760599999999997</v>
      </c>
      <c r="H153" s="134">
        <v>41.343600000000002</v>
      </c>
      <c r="I153" s="134"/>
      <c r="J153" s="134"/>
      <c r="K153" s="135"/>
      <c r="L153" s="29"/>
      <c r="M153" s="148"/>
      <c r="N153" s="148">
        <v>35.193399999999997</v>
      </c>
      <c r="O153" s="148">
        <v>41.774900000000002</v>
      </c>
      <c r="P153" s="148">
        <v>41.335000000000001</v>
      </c>
      <c r="Q153" s="148"/>
      <c r="R153" s="148"/>
      <c r="S153" s="149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1"/>
      <c r="D154" s="69">
        <v>40</v>
      </c>
      <c r="E154" s="137"/>
      <c r="F154" s="137">
        <v>32.705500000000001</v>
      </c>
      <c r="G154" s="137">
        <v>40.5032</v>
      </c>
      <c r="H154" s="137">
        <v>39.9848</v>
      </c>
      <c r="I154" s="137"/>
      <c r="J154" s="137"/>
      <c r="K154" s="138"/>
      <c r="L154" s="29"/>
      <c r="M154" s="151"/>
      <c r="N154" s="151">
        <v>32.699399999999997</v>
      </c>
      <c r="O154" s="151">
        <v>40.5</v>
      </c>
      <c r="P154" s="151">
        <v>39.964300000000001</v>
      </c>
      <c r="Q154" s="151"/>
      <c r="R154" s="151"/>
      <c r="S154" s="152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134">
        <v>2027.7688000000001</v>
      </c>
      <c r="F155" s="134"/>
      <c r="G155" s="134"/>
      <c r="H155" s="134"/>
      <c r="I155" s="134">
        <v>22978.43</v>
      </c>
      <c r="J155" s="134">
        <v>48.41</v>
      </c>
      <c r="K155" s="135">
        <v>337.33</v>
      </c>
      <c r="L155" s="29"/>
      <c r="M155" s="148">
        <v>2028.7632000000001</v>
      </c>
      <c r="N155" s="148"/>
      <c r="O155" s="148"/>
      <c r="P155" s="148"/>
      <c r="Q155" s="148">
        <v>22992.71</v>
      </c>
      <c r="R155" s="148">
        <v>43.89</v>
      </c>
      <c r="S155" s="149">
        <v>333.56</v>
      </c>
      <c r="T155" s="24"/>
      <c r="U155" s="8"/>
      <c r="V155" s="9"/>
      <c r="W155" s="10"/>
      <c r="X155" s="29"/>
      <c r="Y155" s="59">
        <f>GEOMEAN(Q155:Q158)/GEOMEAN(I155:I158)</f>
        <v>1.0041389838732389</v>
      </c>
      <c r="Z155" s="59">
        <f>GEOMEAN(R155:R158)/GEOMEAN(J155:J158)</f>
        <v>1.0097903382933451</v>
      </c>
      <c r="AA155" s="55">
        <f>GEOMEAN(S155:S158)/GEOMEAN(K155:K158)</f>
        <v>1.007059218243636</v>
      </c>
      <c r="AB155" s="24"/>
    </row>
    <row r="156" spans="1:28" ht="12.75">
      <c r="B156" s="36"/>
      <c r="C156" s="29"/>
      <c r="D156" s="32">
        <v>30</v>
      </c>
      <c r="E156" s="134">
        <v>928.79200000000003</v>
      </c>
      <c r="F156" s="134"/>
      <c r="G156" s="134"/>
      <c r="H156" s="134"/>
      <c r="I156" s="134">
        <v>18329.78</v>
      </c>
      <c r="J156" s="134">
        <v>40.450000000000003</v>
      </c>
      <c r="K156" s="135">
        <v>334.25</v>
      </c>
      <c r="L156" s="29"/>
      <c r="M156" s="148">
        <v>928.09839999999997</v>
      </c>
      <c r="N156" s="148"/>
      <c r="O156" s="148"/>
      <c r="P156" s="148"/>
      <c r="Q156" s="148">
        <v>18386.68</v>
      </c>
      <c r="R156" s="148">
        <v>46.52</v>
      </c>
      <c r="S156" s="149">
        <v>334.88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134">
        <v>480.57279999999997</v>
      </c>
      <c r="F157" s="134"/>
      <c r="G157" s="134"/>
      <c r="H157" s="134"/>
      <c r="I157" s="134">
        <v>15882.97</v>
      </c>
      <c r="J157" s="134">
        <v>39.21</v>
      </c>
      <c r="K157" s="135">
        <v>323.95</v>
      </c>
      <c r="L157" s="29"/>
      <c r="M157" s="148">
        <v>480.30239999999998</v>
      </c>
      <c r="N157" s="148"/>
      <c r="O157" s="148"/>
      <c r="P157" s="148"/>
      <c r="Q157" s="148">
        <v>16008.58</v>
      </c>
      <c r="R157" s="148">
        <v>43</v>
      </c>
      <c r="S157" s="149">
        <v>335.12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0"/>
      <c r="C158" s="51"/>
      <c r="D158" s="69">
        <v>40</v>
      </c>
      <c r="E158" s="137">
        <v>267.41199999999998</v>
      </c>
      <c r="F158" s="137"/>
      <c r="G158" s="137"/>
      <c r="H158" s="137"/>
      <c r="I158" s="137">
        <v>14183.96</v>
      </c>
      <c r="J158" s="137">
        <v>46.08</v>
      </c>
      <c r="K158" s="138">
        <v>327.73</v>
      </c>
      <c r="L158" s="29"/>
      <c r="M158" s="151">
        <v>267.31599999999997</v>
      </c>
      <c r="N158" s="151"/>
      <c r="O158" s="151"/>
      <c r="P158" s="151"/>
      <c r="Q158" s="151">
        <v>14253.97</v>
      </c>
      <c r="R158" s="151">
        <v>41.9</v>
      </c>
      <c r="S158" s="152">
        <v>328.91</v>
      </c>
      <c r="T158" s="24"/>
      <c r="U158" s="82"/>
      <c r="V158" s="83"/>
      <c r="W158" s="84"/>
      <c r="X158" s="29"/>
      <c r="Y158" s="47"/>
      <c r="Z158" s="47"/>
      <c r="AA158" s="52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130">
        <v>3712.8879999999999</v>
      </c>
      <c r="F159" s="130">
        <v>40.254600000000003</v>
      </c>
      <c r="G159" s="130">
        <v>45.456800000000001</v>
      </c>
      <c r="H159" s="130">
        <v>46.298999999999999</v>
      </c>
      <c r="I159" s="130"/>
      <c r="J159" s="131"/>
      <c r="K159" s="132"/>
      <c r="L159" s="29"/>
      <c r="M159" s="144">
        <v>3712.8879999999999</v>
      </c>
      <c r="N159" s="144">
        <v>40.254600000000003</v>
      </c>
      <c r="O159" s="144">
        <v>45.456800000000001</v>
      </c>
      <c r="P159" s="144">
        <v>46.298999999999999</v>
      </c>
      <c r="Q159" s="144"/>
      <c r="R159" s="145"/>
      <c r="S159" s="146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133">
        <v>1615.7592</v>
      </c>
      <c r="F160" s="133">
        <v>37.819699999999997</v>
      </c>
      <c r="G160" s="133">
        <v>43.633099999999999</v>
      </c>
      <c r="H160" s="133">
        <v>44.465400000000002</v>
      </c>
      <c r="I160" s="133"/>
      <c r="J160" s="134"/>
      <c r="K160" s="135"/>
      <c r="L160" s="29"/>
      <c r="M160" s="147">
        <v>1615.7592</v>
      </c>
      <c r="N160" s="147">
        <v>37.819699999999997</v>
      </c>
      <c r="O160" s="147">
        <v>43.633099999999999</v>
      </c>
      <c r="P160" s="147">
        <v>44.465400000000002</v>
      </c>
      <c r="Q160" s="147"/>
      <c r="R160" s="148"/>
      <c r="S160" s="149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133">
        <v>755.71600000000001</v>
      </c>
      <c r="F161" s="133">
        <v>35.622599999999998</v>
      </c>
      <c r="G161" s="133">
        <v>41.8003</v>
      </c>
      <c r="H161" s="133">
        <v>42.614400000000003</v>
      </c>
      <c r="I161" s="133"/>
      <c r="J161" s="134"/>
      <c r="K161" s="135"/>
      <c r="L161" s="29"/>
      <c r="M161" s="147">
        <v>755.71600000000001</v>
      </c>
      <c r="N161" s="147">
        <v>35.622599999999998</v>
      </c>
      <c r="O161" s="147">
        <v>41.8003</v>
      </c>
      <c r="P161" s="147">
        <v>42.614400000000003</v>
      </c>
      <c r="Q161" s="147"/>
      <c r="R161" s="148"/>
      <c r="S161" s="149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136">
        <v>365.31439999999998</v>
      </c>
      <c r="F162" s="136">
        <v>33.465200000000003</v>
      </c>
      <c r="G162" s="136">
        <v>40.564399999999999</v>
      </c>
      <c r="H162" s="136">
        <v>41.401600000000002</v>
      </c>
      <c r="I162" s="136"/>
      <c r="J162" s="137"/>
      <c r="K162" s="138"/>
      <c r="L162" s="29"/>
      <c r="M162" s="150">
        <v>365.31439999999998</v>
      </c>
      <c r="N162" s="150">
        <v>33.465200000000003</v>
      </c>
      <c r="O162" s="150">
        <v>40.564399999999999</v>
      </c>
      <c r="P162" s="150">
        <v>41.401600000000002</v>
      </c>
      <c r="Q162" s="150"/>
      <c r="R162" s="151"/>
      <c r="S162" s="152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133">
        <v>524.26319999999998</v>
      </c>
      <c r="F163" s="133">
        <v>39.742699999999999</v>
      </c>
      <c r="G163" s="133">
        <v>45.331800000000001</v>
      </c>
      <c r="H163" s="133">
        <v>46.179900000000004</v>
      </c>
      <c r="I163" s="133"/>
      <c r="J163" s="134"/>
      <c r="K163" s="135"/>
      <c r="L163" s="29"/>
      <c r="M163" s="147">
        <v>524.24480000000005</v>
      </c>
      <c r="N163" s="147">
        <v>39.743200000000002</v>
      </c>
      <c r="O163" s="147">
        <v>45.332000000000001</v>
      </c>
      <c r="P163" s="147">
        <v>46.1813</v>
      </c>
      <c r="Q163" s="147"/>
      <c r="R163" s="148"/>
      <c r="S163" s="149"/>
      <c r="T163" s="24"/>
      <c r="U163" s="8">
        <f>bdrate($E163:$E166,F163:F166,$M163:$M166,N163:N166)</f>
        <v>-1.3623480315173575E-3</v>
      </c>
      <c r="V163" s="9">
        <f>bdrate($E163:$E166,G163:G166,$M163:$M166,O163:O166)</f>
        <v>-1.5846150156733074E-3</v>
      </c>
      <c r="W163" s="10">
        <f>bdrate($E163:$E166,H163:H166,$M163:$M166,P163:P166)</f>
        <v>-1.0185325219835839E-3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133">
        <v>182.7296</v>
      </c>
      <c r="F164" s="133">
        <v>37.467599999999997</v>
      </c>
      <c r="G164" s="133">
        <v>43.577399999999997</v>
      </c>
      <c r="H164" s="133">
        <v>44.416699999999999</v>
      </c>
      <c r="I164" s="133"/>
      <c r="J164" s="134"/>
      <c r="K164" s="135"/>
      <c r="L164" s="29"/>
      <c r="M164" s="147">
        <v>182.71119999999999</v>
      </c>
      <c r="N164" s="147">
        <v>37.468000000000004</v>
      </c>
      <c r="O164" s="147">
        <v>43.578800000000001</v>
      </c>
      <c r="P164" s="147">
        <v>44.4163</v>
      </c>
      <c r="Q164" s="147"/>
      <c r="R164" s="148"/>
      <c r="S164" s="149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133">
        <v>74.591200000000001</v>
      </c>
      <c r="F165" s="133">
        <v>35.382800000000003</v>
      </c>
      <c r="G165" s="133">
        <v>41.799799999999998</v>
      </c>
      <c r="H165" s="133">
        <v>42.625900000000001</v>
      </c>
      <c r="I165" s="133"/>
      <c r="J165" s="134"/>
      <c r="K165" s="135"/>
      <c r="L165" s="29"/>
      <c r="M165" s="147">
        <v>74.473600000000005</v>
      </c>
      <c r="N165" s="147">
        <v>35.383600000000001</v>
      </c>
      <c r="O165" s="147">
        <v>41.801299999999998</v>
      </c>
      <c r="P165" s="147">
        <v>42.626399999999997</v>
      </c>
      <c r="Q165" s="147"/>
      <c r="R165" s="148"/>
      <c r="S165" s="149"/>
      <c r="T165" s="63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133">
        <v>34.398400000000002</v>
      </c>
      <c r="F166" s="133">
        <v>33.295099999999998</v>
      </c>
      <c r="G166" s="133">
        <v>40.564900000000002</v>
      </c>
      <c r="H166" s="133">
        <v>41.408700000000003</v>
      </c>
      <c r="I166" s="133"/>
      <c r="J166" s="134"/>
      <c r="K166" s="135"/>
      <c r="L166" s="29"/>
      <c r="M166" s="147">
        <v>34.241599999999998</v>
      </c>
      <c r="N166" s="147">
        <v>33.294699999999999</v>
      </c>
      <c r="O166" s="147">
        <v>40.564399999999999</v>
      </c>
      <c r="P166" s="147">
        <v>41.407299999999999</v>
      </c>
      <c r="Q166" s="147"/>
      <c r="R166" s="148"/>
      <c r="S166" s="149"/>
      <c r="T166" s="63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130">
        <v>545.42880000000002</v>
      </c>
      <c r="F167" s="130">
        <v>39.706699999999998</v>
      </c>
      <c r="G167" s="130">
        <v>45.2911</v>
      </c>
      <c r="H167" s="130">
        <v>46.145200000000003</v>
      </c>
      <c r="I167" s="130"/>
      <c r="J167" s="131"/>
      <c r="K167" s="132"/>
      <c r="L167" s="29"/>
      <c r="M167" s="144">
        <v>545.16560000000004</v>
      </c>
      <c r="N167" s="144">
        <v>39.706699999999998</v>
      </c>
      <c r="O167" s="144">
        <v>45.290199999999999</v>
      </c>
      <c r="P167" s="144">
        <v>46.144799999999996</v>
      </c>
      <c r="Q167" s="144"/>
      <c r="R167" s="145"/>
      <c r="S167" s="146"/>
      <c r="T167" s="63"/>
      <c r="U167" s="8">
        <f>bdrate($E167:$E170,F167:F170,$M167:$M170,N167:N170)</f>
        <v>-4.4682049931676904E-4</v>
      </c>
      <c r="V167" s="9">
        <f>bdrate($E167:$E170,G167:G170,$M167:$M170,O167:O170)</f>
        <v>-8.4929975097458588E-5</v>
      </c>
      <c r="W167" s="10">
        <f>bdrate($E167:$E170,H167:H170,$M167:$M170,P167:P170)</f>
        <v>-2.0797291966012654E-4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133">
        <v>191.9528</v>
      </c>
      <c r="F168" s="133">
        <v>37.424500000000002</v>
      </c>
      <c r="G168" s="133">
        <v>43.537599999999998</v>
      </c>
      <c r="H168" s="133">
        <v>44.380400000000002</v>
      </c>
      <c r="I168" s="133"/>
      <c r="J168" s="134"/>
      <c r="K168" s="135"/>
      <c r="L168" s="29"/>
      <c r="M168" s="147">
        <v>192.08240000000001</v>
      </c>
      <c r="N168" s="147">
        <v>37.427399999999999</v>
      </c>
      <c r="O168" s="147">
        <v>43.537500000000001</v>
      </c>
      <c r="P168" s="147">
        <v>44.380600000000001</v>
      </c>
      <c r="Q168" s="147"/>
      <c r="R168" s="148"/>
      <c r="S168" s="149"/>
      <c r="T168" s="63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133">
        <v>78.7256</v>
      </c>
      <c r="F169" s="133">
        <v>35.336799999999997</v>
      </c>
      <c r="G169" s="133">
        <v>41.7592</v>
      </c>
      <c r="H169" s="133">
        <v>42.584200000000003</v>
      </c>
      <c r="I169" s="133"/>
      <c r="J169" s="134"/>
      <c r="K169" s="135"/>
      <c r="L169" s="29"/>
      <c r="M169" s="147">
        <v>78.723200000000006</v>
      </c>
      <c r="N169" s="147">
        <v>35.336399999999998</v>
      </c>
      <c r="O169" s="147">
        <v>41.760599999999997</v>
      </c>
      <c r="P169" s="147">
        <v>42.585299999999997</v>
      </c>
      <c r="Q169" s="147"/>
      <c r="R169" s="148"/>
      <c r="S169" s="149"/>
      <c r="T169" s="63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1"/>
      <c r="D170" s="69">
        <v>40</v>
      </c>
      <c r="E170" s="136">
        <v>36.783999999999999</v>
      </c>
      <c r="F170" s="136">
        <v>33.250599999999999</v>
      </c>
      <c r="G170" s="136">
        <v>40.521599999999999</v>
      </c>
      <c r="H170" s="136">
        <v>41.368000000000002</v>
      </c>
      <c r="I170" s="136"/>
      <c r="J170" s="137"/>
      <c r="K170" s="138"/>
      <c r="L170" s="29"/>
      <c r="M170" s="150">
        <v>36.727200000000003</v>
      </c>
      <c r="N170" s="150">
        <v>33.250700000000002</v>
      </c>
      <c r="O170" s="150">
        <v>40.521700000000003</v>
      </c>
      <c r="P170" s="150">
        <v>41.369300000000003</v>
      </c>
      <c r="Q170" s="150"/>
      <c r="R170" s="151"/>
      <c r="S170" s="152"/>
      <c r="T170" s="63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130">
        <v>283.7072</v>
      </c>
      <c r="F171" s="130">
        <v>43.412100000000002</v>
      </c>
      <c r="G171" s="130"/>
      <c r="H171" s="130"/>
      <c r="I171" s="130"/>
      <c r="J171" s="131"/>
      <c r="K171" s="132"/>
      <c r="L171" s="29"/>
      <c r="M171" s="144">
        <v>283.7072</v>
      </c>
      <c r="N171" s="144">
        <v>43.412100000000002</v>
      </c>
      <c r="O171" s="144"/>
      <c r="P171" s="144"/>
      <c r="Q171" s="144"/>
      <c r="R171" s="145"/>
      <c r="S171" s="146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133">
        <v>96.832800000000006</v>
      </c>
      <c r="F172" s="133">
        <v>39.287399999999998</v>
      </c>
      <c r="G172" s="133"/>
      <c r="H172" s="133"/>
      <c r="I172" s="133"/>
      <c r="J172" s="134"/>
      <c r="K172" s="135"/>
      <c r="L172" s="29"/>
      <c r="M172" s="147">
        <v>96.832800000000006</v>
      </c>
      <c r="N172" s="147">
        <v>39.287399999999998</v>
      </c>
      <c r="O172" s="147"/>
      <c r="P172" s="147"/>
      <c r="Q172" s="147"/>
      <c r="R172" s="148"/>
      <c r="S172" s="149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133">
        <v>39.885599999999997</v>
      </c>
      <c r="F173" s="133">
        <v>35.464100000000002</v>
      </c>
      <c r="G173" s="133"/>
      <c r="H173" s="133"/>
      <c r="I173" s="133"/>
      <c r="J173" s="134"/>
      <c r="K173" s="135"/>
      <c r="L173" s="29"/>
      <c r="M173" s="147">
        <v>39.885599999999997</v>
      </c>
      <c r="N173" s="147">
        <v>35.464100000000002</v>
      </c>
      <c r="O173" s="147"/>
      <c r="P173" s="147"/>
      <c r="Q173" s="147"/>
      <c r="R173" s="148"/>
      <c r="S173" s="149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136">
        <v>17.991199999999999</v>
      </c>
      <c r="F174" s="136">
        <v>32.184100000000001</v>
      </c>
      <c r="G174" s="136"/>
      <c r="H174" s="136"/>
      <c r="I174" s="136"/>
      <c r="J174" s="137"/>
      <c r="K174" s="138"/>
      <c r="L174" s="29"/>
      <c r="M174" s="150">
        <v>17.991199999999999</v>
      </c>
      <c r="N174" s="150">
        <v>32.184100000000001</v>
      </c>
      <c r="O174" s="150"/>
      <c r="P174" s="150"/>
      <c r="Q174" s="150"/>
      <c r="R174" s="151"/>
      <c r="S174" s="152"/>
      <c r="T174" s="24"/>
      <c r="U174" s="17"/>
      <c r="V174" s="18"/>
      <c r="W174" s="19"/>
      <c r="X174" s="29"/>
      <c r="Y174" s="59"/>
      <c r="Z174" s="59"/>
      <c r="AA174" s="55"/>
      <c r="AB174" s="24"/>
    </row>
    <row r="175" spans="1:28" ht="12.75">
      <c r="B175" s="36"/>
      <c r="C175" s="28" t="s">
        <v>30</v>
      </c>
      <c r="D175" s="31">
        <v>34</v>
      </c>
      <c r="E175" s="130">
        <v>98.998400000000004</v>
      </c>
      <c r="F175" s="130">
        <v>42.4161</v>
      </c>
      <c r="G175" s="130"/>
      <c r="H175" s="130"/>
      <c r="I175" s="130"/>
      <c r="J175" s="131"/>
      <c r="K175" s="132"/>
      <c r="L175" s="29"/>
      <c r="M175" s="144">
        <v>99.208799999999997</v>
      </c>
      <c r="N175" s="144">
        <v>42.416899999999998</v>
      </c>
      <c r="O175" s="144"/>
      <c r="P175" s="144"/>
      <c r="Q175" s="144"/>
      <c r="R175" s="145"/>
      <c r="S175" s="146"/>
      <c r="T175" s="24"/>
      <c r="U175" s="8">
        <f>bdrate($E175:$E178,F175:F178,$M175:$M178,N175:N178)</f>
        <v>-2.1992532429803147E-3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133">
        <v>29.011199999999999</v>
      </c>
      <c r="F176" s="133">
        <v>38.353999999999999</v>
      </c>
      <c r="G176" s="133"/>
      <c r="H176" s="133"/>
      <c r="I176" s="133"/>
      <c r="J176" s="134"/>
      <c r="K176" s="135"/>
      <c r="L176" s="29"/>
      <c r="M176" s="147">
        <v>28.950399999999998</v>
      </c>
      <c r="N176" s="147">
        <v>38.363799999999998</v>
      </c>
      <c r="O176" s="147"/>
      <c r="P176" s="147"/>
      <c r="Q176" s="147"/>
      <c r="R176" s="148"/>
      <c r="S176" s="149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133">
        <v>12.5512</v>
      </c>
      <c r="F177" s="133">
        <v>34.695099999999996</v>
      </c>
      <c r="G177" s="133"/>
      <c r="H177" s="133"/>
      <c r="I177" s="133"/>
      <c r="J177" s="134"/>
      <c r="K177" s="135"/>
      <c r="L177" s="29"/>
      <c r="M177" s="147">
        <v>12.569599999999999</v>
      </c>
      <c r="N177" s="147">
        <v>34.710900000000002</v>
      </c>
      <c r="O177" s="147"/>
      <c r="P177" s="147"/>
      <c r="Q177" s="147"/>
      <c r="R177" s="148"/>
      <c r="S177" s="149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136">
        <v>6.2664</v>
      </c>
      <c r="F178" s="136">
        <v>31.481100000000001</v>
      </c>
      <c r="G178" s="136"/>
      <c r="H178" s="136"/>
      <c r="I178" s="136"/>
      <c r="J178" s="137"/>
      <c r="K178" s="138"/>
      <c r="L178" s="29"/>
      <c r="M178" s="150">
        <v>6.2488000000000001</v>
      </c>
      <c r="N178" s="150">
        <v>31.461600000000001</v>
      </c>
      <c r="O178" s="150"/>
      <c r="P178" s="150"/>
      <c r="Q178" s="150"/>
      <c r="R178" s="151"/>
      <c r="S178" s="152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130">
        <v>103.2392</v>
      </c>
      <c r="F179" s="130">
        <v>42.352400000000003</v>
      </c>
      <c r="G179" s="130"/>
      <c r="H179" s="130"/>
      <c r="I179" s="130"/>
      <c r="J179" s="131"/>
      <c r="K179" s="132"/>
      <c r="L179" s="29"/>
      <c r="M179" s="144">
        <v>102.7664</v>
      </c>
      <c r="N179" s="144">
        <v>42.328000000000003</v>
      </c>
      <c r="O179" s="144"/>
      <c r="P179" s="144"/>
      <c r="Q179" s="144"/>
      <c r="R179" s="145"/>
      <c r="S179" s="146"/>
      <c r="T179" s="24"/>
      <c r="U179" s="8">
        <f>bdrate($E179:$E182,F179:F182,$M179:$M182,N179:N182)</f>
        <v>-1.4540989815026162E-3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133">
        <v>30.8432</v>
      </c>
      <c r="F180" s="133">
        <v>38.367600000000003</v>
      </c>
      <c r="G180" s="133"/>
      <c r="H180" s="133"/>
      <c r="I180" s="133"/>
      <c r="J180" s="134"/>
      <c r="K180" s="135"/>
      <c r="L180" s="29"/>
      <c r="M180" s="147">
        <v>30.763999999999999</v>
      </c>
      <c r="N180" s="147">
        <v>38.381700000000002</v>
      </c>
      <c r="O180" s="147"/>
      <c r="P180" s="147"/>
      <c r="Q180" s="147"/>
      <c r="R180" s="148"/>
      <c r="S180" s="149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133">
        <v>13.008800000000001</v>
      </c>
      <c r="F181" s="133">
        <v>34.773299999999999</v>
      </c>
      <c r="G181" s="133"/>
      <c r="H181" s="133"/>
      <c r="I181" s="133"/>
      <c r="J181" s="134"/>
      <c r="K181" s="135"/>
      <c r="L181" s="29"/>
      <c r="M181" s="147">
        <v>13.008800000000001</v>
      </c>
      <c r="N181" s="147">
        <v>34.768300000000004</v>
      </c>
      <c r="O181" s="147"/>
      <c r="P181" s="147"/>
      <c r="Q181" s="147"/>
      <c r="R181" s="148"/>
      <c r="S181" s="149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136">
        <v>6.3552</v>
      </c>
      <c r="F182" s="136">
        <v>31.512499999999999</v>
      </c>
      <c r="G182" s="136"/>
      <c r="H182" s="136"/>
      <c r="I182" s="136"/>
      <c r="J182" s="137"/>
      <c r="K182" s="138"/>
      <c r="L182" s="29"/>
      <c r="M182" s="150">
        <v>6.3639999999999999</v>
      </c>
      <c r="N182" s="150">
        <v>31.5093</v>
      </c>
      <c r="O182" s="150"/>
      <c r="P182" s="150"/>
      <c r="Q182" s="150"/>
      <c r="R182" s="151"/>
      <c r="S182" s="152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130"/>
      <c r="F183" s="130">
        <v>39.8367</v>
      </c>
      <c r="G183" s="130">
        <v>46.530700000000003</v>
      </c>
      <c r="H183" s="130">
        <v>46.539499999999997</v>
      </c>
      <c r="I183" s="130"/>
      <c r="J183" s="131"/>
      <c r="K183" s="132"/>
      <c r="L183" s="29"/>
      <c r="M183" s="144"/>
      <c r="N183" s="144">
        <v>39.831299999999999</v>
      </c>
      <c r="O183" s="144">
        <v>46.529899999999998</v>
      </c>
      <c r="P183" s="144">
        <v>46.544199999999996</v>
      </c>
      <c r="Q183" s="144"/>
      <c r="R183" s="145"/>
      <c r="S183" s="146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133"/>
      <c r="F184" s="133">
        <v>37.586100000000002</v>
      </c>
      <c r="G184" s="133">
        <v>44.754399999999997</v>
      </c>
      <c r="H184" s="133">
        <v>45.100200000000001</v>
      </c>
      <c r="I184" s="133"/>
      <c r="J184" s="134"/>
      <c r="K184" s="135"/>
      <c r="L184" s="29"/>
      <c r="M184" s="147"/>
      <c r="N184" s="147">
        <v>37.584899999999998</v>
      </c>
      <c r="O184" s="147">
        <v>44.750599999999999</v>
      </c>
      <c r="P184" s="147">
        <v>45.096400000000003</v>
      </c>
      <c r="Q184" s="147"/>
      <c r="R184" s="148"/>
      <c r="S184" s="149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133"/>
      <c r="F185" s="133">
        <v>35.504600000000003</v>
      </c>
      <c r="G185" s="133">
        <v>42.78</v>
      </c>
      <c r="H185" s="133">
        <v>43.374600000000001</v>
      </c>
      <c r="I185" s="133"/>
      <c r="J185" s="134"/>
      <c r="K185" s="135"/>
      <c r="L185" s="29"/>
      <c r="M185" s="147"/>
      <c r="N185" s="147">
        <v>35.506799999999998</v>
      </c>
      <c r="O185" s="147">
        <v>42.782400000000003</v>
      </c>
      <c r="P185" s="147">
        <v>43.383000000000003</v>
      </c>
      <c r="Q185" s="147"/>
      <c r="R185" s="148"/>
      <c r="S185" s="149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1"/>
      <c r="D186" s="69">
        <v>40</v>
      </c>
      <c r="E186" s="136"/>
      <c r="F186" s="136">
        <v>33.410800000000002</v>
      </c>
      <c r="G186" s="136">
        <v>41.421399999999998</v>
      </c>
      <c r="H186" s="136">
        <v>42.158999999999999</v>
      </c>
      <c r="I186" s="136"/>
      <c r="J186" s="137"/>
      <c r="K186" s="138"/>
      <c r="L186" s="29"/>
      <c r="M186" s="150"/>
      <c r="N186" s="150">
        <v>33.409199999999998</v>
      </c>
      <c r="O186" s="150">
        <v>41.418999999999997</v>
      </c>
      <c r="P186" s="150">
        <v>42.174599999999998</v>
      </c>
      <c r="Q186" s="150"/>
      <c r="R186" s="151"/>
      <c r="S186" s="152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130"/>
      <c r="F187" s="130">
        <v>40.015999999999998</v>
      </c>
      <c r="G187" s="130">
        <v>46.323700000000002</v>
      </c>
      <c r="H187" s="130">
        <v>46.775100000000002</v>
      </c>
      <c r="I187" s="130"/>
      <c r="J187" s="131"/>
      <c r="K187" s="132"/>
      <c r="L187" s="29"/>
      <c r="M187" s="144"/>
      <c r="N187" s="144">
        <v>40.017000000000003</v>
      </c>
      <c r="O187" s="144">
        <v>46.323700000000002</v>
      </c>
      <c r="P187" s="144">
        <v>46.775300000000001</v>
      </c>
      <c r="Q187" s="144"/>
      <c r="R187" s="145"/>
      <c r="S187" s="146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133"/>
      <c r="F188" s="133">
        <v>37.730600000000003</v>
      </c>
      <c r="G188" s="133">
        <v>44.674100000000003</v>
      </c>
      <c r="H188" s="133">
        <v>45.211199999999998</v>
      </c>
      <c r="I188" s="133"/>
      <c r="J188" s="134"/>
      <c r="K188" s="135"/>
      <c r="L188" s="29"/>
      <c r="M188" s="147"/>
      <c r="N188" s="147">
        <v>37.731000000000002</v>
      </c>
      <c r="O188" s="147">
        <v>44.666499999999999</v>
      </c>
      <c r="P188" s="147">
        <v>45.192599999999999</v>
      </c>
      <c r="Q188" s="147"/>
      <c r="R188" s="148"/>
      <c r="S188" s="149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133"/>
      <c r="F189" s="133">
        <v>35.603299999999997</v>
      </c>
      <c r="G189" s="133">
        <v>42.795999999999999</v>
      </c>
      <c r="H189" s="133">
        <v>43.443399999999997</v>
      </c>
      <c r="I189" s="133"/>
      <c r="J189" s="134"/>
      <c r="K189" s="135"/>
      <c r="L189" s="29"/>
      <c r="M189" s="147"/>
      <c r="N189" s="147">
        <v>35.6036</v>
      </c>
      <c r="O189" s="147">
        <v>42.799500000000002</v>
      </c>
      <c r="P189" s="147">
        <v>43.442500000000003</v>
      </c>
      <c r="Q189" s="147"/>
      <c r="R189" s="148"/>
      <c r="S189" s="149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1"/>
      <c r="D190" s="69">
        <v>40</v>
      </c>
      <c r="E190" s="136"/>
      <c r="F190" s="136">
        <v>33.474800000000002</v>
      </c>
      <c r="G190" s="136">
        <v>41.506399999999999</v>
      </c>
      <c r="H190" s="136">
        <v>42.176699999999997</v>
      </c>
      <c r="I190" s="136"/>
      <c r="J190" s="137"/>
      <c r="K190" s="138"/>
      <c r="L190" s="29"/>
      <c r="M190" s="150"/>
      <c r="N190" s="150">
        <v>33.473300000000002</v>
      </c>
      <c r="O190" s="150">
        <v>41.508899999999997</v>
      </c>
      <c r="P190" s="150">
        <v>42.189500000000002</v>
      </c>
      <c r="Q190" s="150"/>
      <c r="R190" s="151"/>
      <c r="S190" s="152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130"/>
      <c r="F191" s="130">
        <v>40.271999999999998</v>
      </c>
      <c r="G191" s="130">
        <v>46.963099999999997</v>
      </c>
      <c r="H191" s="130">
        <v>47.795699999999997</v>
      </c>
      <c r="I191" s="130"/>
      <c r="J191" s="131"/>
      <c r="K191" s="132"/>
      <c r="L191" s="29"/>
      <c r="M191" s="144"/>
      <c r="N191" s="144">
        <v>40.2712</v>
      </c>
      <c r="O191" s="144">
        <v>46.9636</v>
      </c>
      <c r="P191" s="144">
        <v>47.795699999999997</v>
      </c>
      <c r="Q191" s="144"/>
      <c r="R191" s="145"/>
      <c r="S191" s="146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133"/>
      <c r="F192" s="133">
        <v>37.864199999999997</v>
      </c>
      <c r="G192" s="133">
        <v>45.054099999999998</v>
      </c>
      <c r="H192" s="133">
        <v>45.869900000000001</v>
      </c>
      <c r="I192" s="133"/>
      <c r="J192" s="134"/>
      <c r="K192" s="135"/>
      <c r="L192" s="29"/>
      <c r="M192" s="147"/>
      <c r="N192" s="147">
        <v>37.864899999999999</v>
      </c>
      <c r="O192" s="147">
        <v>45.054499999999997</v>
      </c>
      <c r="P192" s="147">
        <v>45.869300000000003</v>
      </c>
      <c r="Q192" s="147"/>
      <c r="R192" s="148"/>
      <c r="S192" s="149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133"/>
      <c r="F193" s="133">
        <v>35.667400000000001</v>
      </c>
      <c r="G193" s="133">
        <v>43.0396</v>
      </c>
      <c r="H193" s="133">
        <v>43.816499999999998</v>
      </c>
      <c r="I193" s="133"/>
      <c r="J193" s="134"/>
      <c r="K193" s="135"/>
      <c r="L193" s="29"/>
      <c r="M193" s="147"/>
      <c r="N193" s="147">
        <v>35.668100000000003</v>
      </c>
      <c r="O193" s="147">
        <v>43.039900000000003</v>
      </c>
      <c r="P193" s="147">
        <v>43.817100000000003</v>
      </c>
      <c r="Q193" s="147"/>
      <c r="R193" s="148"/>
      <c r="S193" s="149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1"/>
      <c r="D194" s="69">
        <v>40</v>
      </c>
      <c r="E194" s="136"/>
      <c r="F194" s="136">
        <v>33.511800000000001</v>
      </c>
      <c r="G194" s="136">
        <v>41.661499999999997</v>
      </c>
      <c r="H194" s="136">
        <v>42.453600000000002</v>
      </c>
      <c r="I194" s="136"/>
      <c r="J194" s="137"/>
      <c r="K194" s="138"/>
      <c r="L194" s="29"/>
      <c r="M194" s="150"/>
      <c r="N194" s="150">
        <v>33.511200000000002</v>
      </c>
      <c r="O194" s="150">
        <v>41.661299999999997</v>
      </c>
      <c r="P194" s="150">
        <v>42.454099999999997</v>
      </c>
      <c r="Q194" s="150"/>
      <c r="R194" s="151"/>
      <c r="S194" s="152"/>
      <c r="U194" s="17"/>
      <c r="V194" s="18"/>
      <c r="W194" s="19"/>
      <c r="X194" s="29"/>
      <c r="Z194" s="59"/>
      <c r="AA194" s="55"/>
    </row>
    <row r="195" spans="2:27" ht="12.75">
      <c r="B195" s="36"/>
      <c r="C195" s="29" t="s">
        <v>50</v>
      </c>
      <c r="D195" s="32">
        <v>25</v>
      </c>
      <c r="E195" s="130"/>
      <c r="F195" s="130">
        <v>40.251899999999999</v>
      </c>
      <c r="G195" s="130">
        <v>46.962000000000003</v>
      </c>
      <c r="H195" s="130">
        <v>47.786499999999997</v>
      </c>
      <c r="I195" s="130"/>
      <c r="J195" s="131"/>
      <c r="K195" s="132"/>
      <c r="L195" s="29"/>
      <c r="M195" s="144"/>
      <c r="N195" s="144">
        <v>40.252899999999997</v>
      </c>
      <c r="O195" s="144">
        <v>46.961799999999997</v>
      </c>
      <c r="P195" s="144">
        <v>47.786299999999997</v>
      </c>
      <c r="Q195" s="144"/>
      <c r="R195" s="145"/>
      <c r="S195" s="146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133"/>
      <c r="F196" s="133">
        <v>37.847000000000001</v>
      </c>
      <c r="G196" s="133">
        <v>45.053899999999999</v>
      </c>
      <c r="H196" s="133">
        <v>45.856200000000001</v>
      </c>
      <c r="I196" s="133"/>
      <c r="J196" s="134"/>
      <c r="K196" s="135"/>
      <c r="L196" s="29"/>
      <c r="M196" s="147"/>
      <c r="N196" s="147">
        <v>37.847200000000001</v>
      </c>
      <c r="O196" s="147">
        <v>45.0533</v>
      </c>
      <c r="P196" s="147">
        <v>45.856299999999997</v>
      </c>
      <c r="Q196" s="147"/>
      <c r="R196" s="148"/>
      <c r="S196" s="149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133"/>
      <c r="F197" s="133">
        <v>35.658999999999999</v>
      </c>
      <c r="G197" s="133">
        <v>43.030799999999999</v>
      </c>
      <c r="H197" s="133">
        <v>43.799399999999999</v>
      </c>
      <c r="I197" s="133"/>
      <c r="J197" s="134"/>
      <c r="K197" s="135"/>
      <c r="L197" s="29"/>
      <c r="M197" s="147"/>
      <c r="N197" s="147">
        <v>35.660200000000003</v>
      </c>
      <c r="O197" s="147">
        <v>43.0306</v>
      </c>
      <c r="P197" s="147">
        <v>43.799399999999999</v>
      </c>
      <c r="Q197" s="147"/>
      <c r="R197" s="148"/>
      <c r="S197" s="149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1"/>
      <c r="D198" s="69">
        <v>40</v>
      </c>
      <c r="E198" s="136"/>
      <c r="F198" s="136">
        <v>33.506300000000003</v>
      </c>
      <c r="G198" s="136">
        <v>41.650199999999998</v>
      </c>
      <c r="H198" s="136">
        <v>42.429299999999998</v>
      </c>
      <c r="I198" s="136"/>
      <c r="J198" s="137"/>
      <c r="K198" s="138"/>
      <c r="L198" s="29"/>
      <c r="M198" s="150"/>
      <c r="N198" s="150">
        <v>33.506500000000003</v>
      </c>
      <c r="O198" s="150">
        <v>41.650399999999998</v>
      </c>
      <c r="P198" s="150">
        <v>42.429200000000002</v>
      </c>
      <c r="Q198" s="150"/>
      <c r="R198" s="151"/>
      <c r="S198" s="152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131"/>
      <c r="F199" s="131">
        <v>40.021000000000001</v>
      </c>
      <c r="G199" s="131">
        <v>46.293799999999997</v>
      </c>
      <c r="H199" s="131">
        <v>47.010100000000001</v>
      </c>
      <c r="I199" s="131"/>
      <c r="J199" s="131"/>
      <c r="K199" s="132"/>
      <c r="L199" s="29"/>
      <c r="M199" s="145"/>
      <c r="N199" s="145">
        <v>40.025799999999997</v>
      </c>
      <c r="O199" s="145">
        <v>46.290300000000002</v>
      </c>
      <c r="P199" s="145">
        <v>47.0154</v>
      </c>
      <c r="Q199" s="145"/>
      <c r="R199" s="145"/>
      <c r="S199" s="146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134"/>
      <c r="F200" s="134">
        <v>37.706200000000003</v>
      </c>
      <c r="G200" s="134">
        <v>44.654600000000002</v>
      </c>
      <c r="H200" s="134">
        <v>45.339500000000001</v>
      </c>
      <c r="I200" s="134"/>
      <c r="J200" s="134"/>
      <c r="K200" s="135"/>
      <c r="L200" s="29"/>
      <c r="M200" s="148"/>
      <c r="N200" s="148">
        <v>37.705500000000001</v>
      </c>
      <c r="O200" s="148">
        <v>44.652700000000003</v>
      </c>
      <c r="P200" s="148">
        <v>45.339300000000001</v>
      </c>
      <c r="Q200" s="148"/>
      <c r="R200" s="148"/>
      <c r="S200" s="149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134"/>
      <c r="F201" s="134">
        <v>35.578200000000002</v>
      </c>
      <c r="G201" s="134">
        <v>42.772199999999998</v>
      </c>
      <c r="H201" s="134">
        <v>43.451500000000003</v>
      </c>
      <c r="I201" s="134"/>
      <c r="J201" s="134"/>
      <c r="K201" s="135"/>
      <c r="L201" s="29"/>
      <c r="M201" s="148"/>
      <c r="N201" s="148">
        <v>35.576700000000002</v>
      </c>
      <c r="O201" s="148">
        <v>42.757199999999997</v>
      </c>
      <c r="P201" s="148">
        <v>43.446100000000001</v>
      </c>
      <c r="Q201" s="148"/>
      <c r="R201" s="148"/>
      <c r="S201" s="149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1"/>
      <c r="D202" s="69">
        <v>40</v>
      </c>
      <c r="E202" s="137"/>
      <c r="F202" s="137">
        <v>33.450200000000002</v>
      </c>
      <c r="G202" s="137">
        <v>41.4559</v>
      </c>
      <c r="H202" s="137">
        <v>42.152999999999999</v>
      </c>
      <c r="I202" s="137"/>
      <c r="J202" s="137"/>
      <c r="K202" s="138"/>
      <c r="L202" s="29"/>
      <c r="M202" s="151"/>
      <c r="N202" s="151">
        <v>33.4499</v>
      </c>
      <c r="O202" s="151">
        <v>41.448999999999998</v>
      </c>
      <c r="P202" s="151">
        <v>42.143900000000002</v>
      </c>
      <c r="Q202" s="151"/>
      <c r="R202" s="151"/>
      <c r="S202" s="152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131"/>
      <c r="F203" s="131">
        <v>39.8108</v>
      </c>
      <c r="G203" s="131">
        <v>46.351100000000002</v>
      </c>
      <c r="H203" s="131">
        <v>46.605200000000004</v>
      </c>
      <c r="I203" s="131"/>
      <c r="J203" s="131"/>
      <c r="K203" s="132"/>
      <c r="L203" s="29"/>
      <c r="M203" s="145"/>
      <c r="N203" s="145">
        <v>39.817300000000003</v>
      </c>
      <c r="O203" s="145">
        <v>46.347900000000003</v>
      </c>
      <c r="P203" s="145">
        <v>46.603999999999999</v>
      </c>
      <c r="Q203" s="145"/>
      <c r="R203" s="145"/>
      <c r="S203" s="146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134"/>
      <c r="F204" s="134">
        <v>37.541200000000003</v>
      </c>
      <c r="G204" s="134">
        <v>44.602200000000003</v>
      </c>
      <c r="H204" s="134">
        <v>45.1145</v>
      </c>
      <c r="I204" s="134"/>
      <c r="J204" s="134"/>
      <c r="K204" s="135"/>
      <c r="L204" s="29"/>
      <c r="M204" s="148"/>
      <c r="N204" s="148">
        <v>37.540300000000002</v>
      </c>
      <c r="O204" s="148">
        <v>44.6081</v>
      </c>
      <c r="P204" s="148">
        <v>45.124000000000002</v>
      </c>
      <c r="Q204" s="148"/>
      <c r="R204" s="148"/>
      <c r="S204" s="149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134"/>
      <c r="F205" s="134">
        <v>35.454300000000003</v>
      </c>
      <c r="G205" s="134">
        <v>42.6693</v>
      </c>
      <c r="H205" s="134">
        <v>43.265700000000002</v>
      </c>
      <c r="I205" s="134"/>
      <c r="J205" s="134"/>
      <c r="K205" s="135"/>
      <c r="L205" s="29"/>
      <c r="M205" s="148"/>
      <c r="N205" s="148">
        <v>35.453299999999999</v>
      </c>
      <c r="O205" s="148">
        <v>42.650300000000001</v>
      </c>
      <c r="P205" s="148">
        <v>43.2759</v>
      </c>
      <c r="Q205" s="148"/>
      <c r="R205" s="148"/>
      <c r="S205" s="149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1"/>
      <c r="D206" s="69">
        <v>40</v>
      </c>
      <c r="E206" s="137"/>
      <c r="F206" s="137">
        <v>33.362499999999997</v>
      </c>
      <c r="G206" s="137">
        <v>41.341500000000003</v>
      </c>
      <c r="H206" s="137">
        <v>42.0169</v>
      </c>
      <c r="I206" s="137"/>
      <c r="J206" s="137"/>
      <c r="K206" s="138"/>
      <c r="L206" s="29"/>
      <c r="M206" s="151"/>
      <c r="N206" s="151">
        <v>33.3626</v>
      </c>
      <c r="O206" s="151">
        <v>41.334899999999998</v>
      </c>
      <c r="P206" s="151">
        <v>42.011099999999999</v>
      </c>
      <c r="Q206" s="151"/>
      <c r="R206" s="151"/>
      <c r="S206" s="152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134">
        <v>5273.3552</v>
      </c>
      <c r="F207" s="134"/>
      <c r="G207" s="134"/>
      <c r="H207" s="134"/>
      <c r="I207" s="134">
        <v>54925.85</v>
      </c>
      <c r="J207" s="134">
        <v>109.49</v>
      </c>
      <c r="K207" s="135">
        <v>769.77</v>
      </c>
      <c r="L207" s="29"/>
      <c r="M207" s="148">
        <v>5272.8112000000001</v>
      </c>
      <c r="N207" s="148"/>
      <c r="O207" s="148"/>
      <c r="P207" s="148"/>
      <c r="Q207" s="148">
        <v>54758.1</v>
      </c>
      <c r="R207" s="148">
        <v>97.67</v>
      </c>
      <c r="S207" s="149">
        <v>775.35</v>
      </c>
      <c r="U207" s="8"/>
      <c r="V207" s="9"/>
      <c r="W207" s="10"/>
      <c r="X207" s="29"/>
      <c r="Y207" s="59">
        <f>GEOMEAN(Q207:Q210)/GEOMEAN(I207:I210)</f>
        <v>1.0051206170179754</v>
      </c>
      <c r="Z207" s="59">
        <f>GEOMEAN(R207:R210)/GEOMEAN(J207:J210)</f>
        <v>0.93693955093950632</v>
      </c>
      <c r="AA207" s="55">
        <f>GEOMEAN(S207:S210)/GEOMEAN(K207:K210)</f>
        <v>1.0071943141975805</v>
      </c>
    </row>
    <row r="208" spans="2:27" ht="12.75">
      <c r="B208" s="36"/>
      <c r="C208" s="29"/>
      <c r="D208" s="32">
        <v>30</v>
      </c>
      <c r="E208" s="134">
        <v>2151.9591999999998</v>
      </c>
      <c r="F208" s="134"/>
      <c r="G208" s="134"/>
      <c r="H208" s="134"/>
      <c r="I208" s="134">
        <v>39415.31</v>
      </c>
      <c r="J208" s="134">
        <v>104.06</v>
      </c>
      <c r="K208" s="135">
        <v>764.47</v>
      </c>
      <c r="L208" s="29"/>
      <c r="M208" s="148">
        <v>2151.9304000000002</v>
      </c>
      <c r="N208" s="148"/>
      <c r="O208" s="148"/>
      <c r="P208" s="148"/>
      <c r="Q208" s="148">
        <v>39885.57</v>
      </c>
      <c r="R208" s="148">
        <v>92.94</v>
      </c>
      <c r="S208" s="149">
        <v>767.21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134">
        <v>979.30880000000002</v>
      </c>
      <c r="F209" s="134"/>
      <c r="G209" s="134"/>
      <c r="H209" s="134"/>
      <c r="I209" s="134">
        <v>32596.05</v>
      </c>
      <c r="J209" s="134">
        <v>95.49</v>
      </c>
      <c r="K209" s="135">
        <v>748.78</v>
      </c>
      <c r="L209" s="29"/>
      <c r="M209" s="148">
        <v>979.20719999999994</v>
      </c>
      <c r="N209" s="148"/>
      <c r="O209" s="148"/>
      <c r="P209" s="148"/>
      <c r="Q209" s="148">
        <v>32620.28</v>
      </c>
      <c r="R209" s="148">
        <v>88.43</v>
      </c>
      <c r="S209" s="149">
        <v>771.93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0"/>
      <c r="C210" s="51"/>
      <c r="D210" s="69">
        <v>40</v>
      </c>
      <c r="E210" s="137">
        <v>471.94</v>
      </c>
      <c r="F210" s="137"/>
      <c r="G210" s="137"/>
      <c r="H210" s="137"/>
      <c r="I210" s="137">
        <v>27924.799999999999</v>
      </c>
      <c r="J210" s="137">
        <v>94.88</v>
      </c>
      <c r="K210" s="138">
        <v>763.43</v>
      </c>
      <c r="L210" s="29"/>
      <c r="M210" s="151">
        <v>471.7176</v>
      </c>
      <c r="N210" s="151"/>
      <c r="O210" s="151"/>
      <c r="P210" s="151"/>
      <c r="Q210" s="151">
        <v>28230.44</v>
      </c>
      <c r="R210" s="151">
        <v>99.1</v>
      </c>
      <c r="S210" s="152">
        <v>753.89</v>
      </c>
      <c r="U210" s="82"/>
      <c r="V210" s="83"/>
      <c r="W210" s="84"/>
      <c r="X210" s="29"/>
      <c r="Y210" s="47"/>
      <c r="Z210" s="47"/>
      <c r="AA210" s="52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130">
        <v>808.93399999999997</v>
      </c>
      <c r="F211" s="130">
        <v>42.116199999999999</v>
      </c>
      <c r="G211" s="130">
        <v>48.421599999999998</v>
      </c>
      <c r="H211" s="130">
        <v>48.138300000000001</v>
      </c>
      <c r="I211" s="130"/>
      <c r="J211" s="131"/>
      <c r="K211" s="132"/>
      <c r="L211" s="29"/>
      <c r="M211" s="144">
        <v>808.93399999999997</v>
      </c>
      <c r="N211" s="144">
        <v>42.116199999999999</v>
      </c>
      <c r="O211" s="144">
        <v>48.421599999999998</v>
      </c>
      <c r="P211" s="144">
        <v>48.138300000000001</v>
      </c>
      <c r="Q211" s="144"/>
      <c r="R211" s="145"/>
      <c r="S211" s="146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133">
        <v>344.726</v>
      </c>
      <c r="F212" s="133">
        <v>41.148200000000003</v>
      </c>
      <c r="G212" s="133">
        <v>47.462600000000002</v>
      </c>
      <c r="H212" s="133">
        <v>47.2849</v>
      </c>
      <c r="I212" s="133"/>
      <c r="J212" s="134"/>
      <c r="K212" s="135"/>
      <c r="L212" s="29"/>
      <c r="M212" s="147">
        <v>344.726</v>
      </c>
      <c r="N212" s="147">
        <v>41.148200000000003</v>
      </c>
      <c r="O212" s="147">
        <v>47.462600000000002</v>
      </c>
      <c r="P212" s="147">
        <v>47.2849</v>
      </c>
      <c r="Q212" s="147"/>
      <c r="R212" s="148"/>
      <c r="S212" s="149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133">
        <v>177.10499999999999</v>
      </c>
      <c r="F213" s="133">
        <v>39.752499999999998</v>
      </c>
      <c r="G213" s="133">
        <v>46.036099999999998</v>
      </c>
      <c r="H213" s="133">
        <v>45.932899999999997</v>
      </c>
      <c r="I213" s="133"/>
      <c r="J213" s="134"/>
      <c r="K213" s="135"/>
      <c r="L213" s="29"/>
      <c r="M213" s="147">
        <v>177.10499999999999</v>
      </c>
      <c r="N213" s="147">
        <v>39.752499999999998</v>
      </c>
      <c r="O213" s="147">
        <v>46.036099999999998</v>
      </c>
      <c r="P213" s="147">
        <v>45.932899999999997</v>
      </c>
      <c r="Q213" s="147"/>
      <c r="R213" s="148"/>
      <c r="S213" s="149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136">
        <v>98.555999999999997</v>
      </c>
      <c r="F214" s="136">
        <v>38.0139</v>
      </c>
      <c r="G214" s="136">
        <v>44.863199999999999</v>
      </c>
      <c r="H214" s="136">
        <v>44.774999999999999</v>
      </c>
      <c r="I214" s="136"/>
      <c r="J214" s="137"/>
      <c r="K214" s="138"/>
      <c r="L214" s="29"/>
      <c r="M214" s="150">
        <v>98.555999999999997</v>
      </c>
      <c r="N214" s="150">
        <v>38.0139</v>
      </c>
      <c r="O214" s="150">
        <v>44.863199999999999</v>
      </c>
      <c r="P214" s="150">
        <v>44.774999999999999</v>
      </c>
      <c r="Q214" s="150"/>
      <c r="R214" s="151"/>
      <c r="S214" s="152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133">
        <v>248.86799999999999</v>
      </c>
      <c r="F215" s="133">
        <v>41.832900000000002</v>
      </c>
      <c r="G215" s="133">
        <v>48.180399999999999</v>
      </c>
      <c r="H215" s="133">
        <v>47.513399999999997</v>
      </c>
      <c r="I215" s="133"/>
      <c r="J215" s="134"/>
      <c r="K215" s="135"/>
      <c r="L215" s="29"/>
      <c r="M215" s="147">
        <v>248.94200000000001</v>
      </c>
      <c r="N215" s="147">
        <v>41.833199999999998</v>
      </c>
      <c r="O215" s="147">
        <v>48.189799999999998</v>
      </c>
      <c r="P215" s="147">
        <v>47.508800000000001</v>
      </c>
      <c r="Q215" s="147"/>
      <c r="R215" s="148"/>
      <c r="S215" s="149"/>
      <c r="U215" s="8">
        <f>bdrate($E215:$E218,F215:F218,$M215:$M218,N215:N218)</f>
        <v>1.0236976767574735E-3</v>
      </c>
      <c r="V215" s="9">
        <f>bdrate($E215:$E218,G215:G218,$M215:$M218,O215:O218)</f>
        <v>9.1819941162907259E-3</v>
      </c>
      <c r="W215" s="10">
        <f>bdrate($E215:$E218,H215:H218,$M215:$M218,P215:P218)</f>
        <v>-1.4772659839689117E-3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133">
        <v>96.412999999999997</v>
      </c>
      <c r="F216" s="133">
        <v>40.832700000000003</v>
      </c>
      <c r="G216" s="133">
        <v>47.097000000000001</v>
      </c>
      <c r="H216" s="133">
        <v>46.587499999999999</v>
      </c>
      <c r="I216" s="133"/>
      <c r="J216" s="134"/>
      <c r="K216" s="135"/>
      <c r="L216" s="29"/>
      <c r="M216" s="147">
        <v>96.317999999999998</v>
      </c>
      <c r="N216" s="147">
        <v>40.831600000000002</v>
      </c>
      <c r="O216" s="147">
        <v>47.079799999999999</v>
      </c>
      <c r="P216" s="147">
        <v>46.587699999999998</v>
      </c>
      <c r="Q216" s="147"/>
      <c r="R216" s="148"/>
      <c r="S216" s="149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133">
        <v>47.944000000000003</v>
      </c>
      <c r="F217" s="133">
        <v>39.411999999999999</v>
      </c>
      <c r="G217" s="133">
        <v>45.921300000000002</v>
      </c>
      <c r="H217" s="133">
        <v>45.540399999999998</v>
      </c>
      <c r="I217" s="133"/>
      <c r="J217" s="134"/>
      <c r="K217" s="135"/>
      <c r="L217" s="29"/>
      <c r="M217" s="147">
        <v>47.984999999999999</v>
      </c>
      <c r="N217" s="147">
        <v>39.412599999999998</v>
      </c>
      <c r="O217" s="147">
        <v>45.900500000000001</v>
      </c>
      <c r="P217" s="147">
        <v>45.548699999999997</v>
      </c>
      <c r="Q217" s="147"/>
      <c r="R217" s="148"/>
      <c r="S217" s="149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133">
        <v>25.439</v>
      </c>
      <c r="F218" s="133">
        <v>37.626399999999997</v>
      </c>
      <c r="G218" s="133">
        <v>44.842300000000002</v>
      </c>
      <c r="H218" s="133">
        <v>44.500100000000003</v>
      </c>
      <c r="I218" s="133"/>
      <c r="J218" s="134"/>
      <c r="K218" s="135"/>
      <c r="L218" s="29"/>
      <c r="M218" s="147">
        <v>25.584</v>
      </c>
      <c r="N218" s="147">
        <v>37.629199999999997</v>
      </c>
      <c r="O218" s="147">
        <v>44.835999999999999</v>
      </c>
      <c r="P218" s="147">
        <v>44.51</v>
      </c>
      <c r="Q218" s="147"/>
      <c r="R218" s="148"/>
      <c r="S218" s="149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130">
        <v>258.38799999999998</v>
      </c>
      <c r="F219" s="130">
        <v>41.685699999999997</v>
      </c>
      <c r="G219" s="130">
        <v>47.247599999999998</v>
      </c>
      <c r="H219" s="130">
        <v>46.665599999999998</v>
      </c>
      <c r="I219" s="130"/>
      <c r="J219" s="131"/>
      <c r="K219" s="132"/>
      <c r="L219" s="29"/>
      <c r="M219" s="144">
        <v>258.47300000000001</v>
      </c>
      <c r="N219" s="144">
        <v>41.686500000000002</v>
      </c>
      <c r="O219" s="144">
        <v>47.261099999999999</v>
      </c>
      <c r="P219" s="144">
        <v>46.675400000000003</v>
      </c>
      <c r="Q219" s="144"/>
      <c r="R219" s="145"/>
      <c r="S219" s="146"/>
      <c r="U219" s="8">
        <f>bdrate($E219:$E222,F219:F222,$M219:$M222,N219:N222)</f>
        <v>9.8018984859504776E-4</v>
      </c>
      <c r="V219" s="9">
        <f>bdrate($E219:$E222,G219:G222,$M219:$M222,O219:O222)</f>
        <v>-1.1339909768360856E-3</v>
      </c>
      <c r="W219" s="10">
        <f>bdrate($E219:$E222,H219:H222,$M219:$M222,P219:P222)</f>
        <v>-4.3284004274450893E-3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133">
        <v>97.484999999999999</v>
      </c>
      <c r="F220" s="133">
        <v>40.747199999999999</v>
      </c>
      <c r="G220" s="133">
        <v>46.314100000000003</v>
      </c>
      <c r="H220" s="133">
        <v>45.543599999999998</v>
      </c>
      <c r="I220" s="133"/>
      <c r="J220" s="134"/>
      <c r="K220" s="135"/>
      <c r="L220" s="29"/>
      <c r="M220" s="147">
        <v>97.608000000000004</v>
      </c>
      <c r="N220" s="147">
        <v>40.7517</v>
      </c>
      <c r="O220" s="147">
        <v>46.317399999999999</v>
      </c>
      <c r="P220" s="147">
        <v>45.552700000000002</v>
      </c>
      <c r="Q220" s="147"/>
      <c r="R220" s="148"/>
      <c r="S220" s="149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133">
        <v>48.353000000000002</v>
      </c>
      <c r="F221" s="133">
        <v>39.387999999999998</v>
      </c>
      <c r="G221" s="133">
        <v>45.375700000000002</v>
      </c>
      <c r="H221" s="133">
        <v>44.585000000000001</v>
      </c>
      <c r="I221" s="133"/>
      <c r="J221" s="134"/>
      <c r="K221" s="135"/>
      <c r="L221" s="29"/>
      <c r="M221" s="147">
        <v>48.633000000000003</v>
      </c>
      <c r="N221" s="147">
        <v>39.392200000000003</v>
      </c>
      <c r="O221" s="147">
        <v>45.383600000000001</v>
      </c>
      <c r="P221" s="147">
        <v>44.595700000000001</v>
      </c>
      <c r="Q221" s="147"/>
      <c r="R221" s="148"/>
      <c r="S221" s="149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1"/>
      <c r="D222" s="69">
        <v>40</v>
      </c>
      <c r="E222" s="136">
        <v>25.552</v>
      </c>
      <c r="F222" s="136">
        <v>37.667200000000001</v>
      </c>
      <c r="G222" s="136">
        <v>44.415399999999998</v>
      </c>
      <c r="H222" s="136">
        <v>43.472700000000003</v>
      </c>
      <c r="I222" s="136"/>
      <c r="J222" s="137"/>
      <c r="K222" s="138"/>
      <c r="L222" s="29"/>
      <c r="M222" s="150">
        <v>25.556000000000001</v>
      </c>
      <c r="N222" s="150">
        <v>37.671999999999997</v>
      </c>
      <c r="O222" s="150">
        <v>44.3992</v>
      </c>
      <c r="P222" s="150">
        <v>43.480400000000003</v>
      </c>
      <c r="Q222" s="150"/>
      <c r="R222" s="151"/>
      <c r="S222" s="152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130">
        <v>72.375</v>
      </c>
      <c r="F223" s="130">
        <v>45.882800000000003</v>
      </c>
      <c r="G223" s="130"/>
      <c r="H223" s="130"/>
      <c r="I223" s="130"/>
      <c r="J223" s="131"/>
      <c r="K223" s="132"/>
      <c r="L223" s="29"/>
      <c r="M223" s="144">
        <v>72.375</v>
      </c>
      <c r="N223" s="144">
        <v>45.882800000000003</v>
      </c>
      <c r="O223" s="144"/>
      <c r="P223" s="144"/>
      <c r="Q223" s="144"/>
      <c r="R223" s="145"/>
      <c r="S223" s="146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133">
        <v>30.209</v>
      </c>
      <c r="F224" s="133">
        <v>42.532600000000002</v>
      </c>
      <c r="G224" s="133"/>
      <c r="H224" s="133"/>
      <c r="I224" s="133"/>
      <c r="J224" s="134"/>
      <c r="K224" s="135"/>
      <c r="L224" s="29"/>
      <c r="M224" s="147">
        <v>30.209</v>
      </c>
      <c r="N224" s="147">
        <v>42.532600000000002</v>
      </c>
      <c r="O224" s="147"/>
      <c r="P224" s="147"/>
      <c r="Q224" s="147"/>
      <c r="R224" s="148"/>
      <c r="S224" s="149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133">
        <v>15.42</v>
      </c>
      <c r="F225" s="133">
        <v>39.804400000000001</v>
      </c>
      <c r="G225" s="133"/>
      <c r="H225" s="133"/>
      <c r="I225" s="133"/>
      <c r="J225" s="134"/>
      <c r="K225" s="135"/>
      <c r="L225" s="29"/>
      <c r="M225" s="147">
        <v>15.42</v>
      </c>
      <c r="N225" s="147">
        <v>39.804400000000001</v>
      </c>
      <c r="O225" s="147"/>
      <c r="P225" s="147"/>
      <c r="Q225" s="147"/>
      <c r="R225" s="148"/>
      <c r="S225" s="149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136">
        <v>8.4710000000000001</v>
      </c>
      <c r="F226" s="136">
        <v>36.488999999999997</v>
      </c>
      <c r="G226" s="136"/>
      <c r="H226" s="136"/>
      <c r="I226" s="136"/>
      <c r="J226" s="137"/>
      <c r="K226" s="138"/>
      <c r="L226" s="29"/>
      <c r="M226" s="150">
        <v>8.4710000000000001</v>
      </c>
      <c r="N226" s="150">
        <v>36.488999999999997</v>
      </c>
      <c r="O226" s="150"/>
      <c r="P226" s="150"/>
      <c r="Q226" s="150"/>
      <c r="R226" s="151"/>
      <c r="S226" s="152"/>
      <c r="U226" s="17"/>
      <c r="V226" s="18"/>
      <c r="W226" s="19"/>
      <c r="X226" s="29"/>
      <c r="Y226" s="59"/>
      <c r="Z226" s="59"/>
      <c r="AA226" s="55"/>
    </row>
    <row r="227" spans="2:27" ht="12.75">
      <c r="B227" s="36"/>
      <c r="C227" s="28" t="s">
        <v>30</v>
      </c>
      <c r="D227" s="31">
        <v>34</v>
      </c>
      <c r="E227" s="130">
        <v>50.082999999999998</v>
      </c>
      <c r="F227" s="130">
        <v>44.502299999999998</v>
      </c>
      <c r="G227" s="130"/>
      <c r="H227" s="130"/>
      <c r="I227" s="130"/>
      <c r="J227" s="131"/>
      <c r="K227" s="132"/>
      <c r="L227" s="29"/>
      <c r="M227" s="144">
        <v>49.944000000000003</v>
      </c>
      <c r="N227" s="144">
        <v>44.5169</v>
      </c>
      <c r="O227" s="144"/>
      <c r="P227" s="144"/>
      <c r="Q227" s="144"/>
      <c r="R227" s="145"/>
      <c r="S227" s="146"/>
      <c r="U227" s="8">
        <f>bdrate($E227:$E230,F227:F230,$M227:$M230,N227:N230)</f>
        <v>-2.1841413343021143E-3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133">
        <v>19.88</v>
      </c>
      <c r="F228" s="133">
        <v>41.303899999999999</v>
      </c>
      <c r="G228" s="133"/>
      <c r="H228" s="133"/>
      <c r="I228" s="133"/>
      <c r="J228" s="134"/>
      <c r="K228" s="135"/>
      <c r="L228" s="29"/>
      <c r="M228" s="147">
        <v>19.762</v>
      </c>
      <c r="N228" s="147">
        <v>41.284700000000001</v>
      </c>
      <c r="O228" s="147"/>
      <c r="P228" s="147"/>
      <c r="Q228" s="147"/>
      <c r="R228" s="148"/>
      <c r="S228" s="149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133">
        <v>9.59</v>
      </c>
      <c r="F229" s="133">
        <v>38.168999999999997</v>
      </c>
      <c r="G229" s="133"/>
      <c r="H229" s="133"/>
      <c r="I229" s="133"/>
      <c r="J229" s="134"/>
      <c r="K229" s="135"/>
      <c r="L229" s="29"/>
      <c r="M229" s="147">
        <v>9.4740000000000002</v>
      </c>
      <c r="N229" s="147">
        <v>38.133499999999998</v>
      </c>
      <c r="O229" s="147"/>
      <c r="P229" s="147"/>
      <c r="Q229" s="147"/>
      <c r="R229" s="148"/>
      <c r="S229" s="149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136">
        <v>5.2629999999999999</v>
      </c>
      <c r="F230" s="136">
        <v>34.992600000000003</v>
      </c>
      <c r="G230" s="136"/>
      <c r="H230" s="136"/>
      <c r="I230" s="136"/>
      <c r="J230" s="137"/>
      <c r="K230" s="138"/>
      <c r="L230" s="29"/>
      <c r="M230" s="150">
        <v>5.3010000000000002</v>
      </c>
      <c r="N230" s="150">
        <v>34.993400000000001</v>
      </c>
      <c r="O230" s="150"/>
      <c r="P230" s="150"/>
      <c r="Q230" s="150"/>
      <c r="R230" s="151"/>
      <c r="S230" s="152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130">
        <v>49.103000000000002</v>
      </c>
      <c r="F231" s="130">
        <v>44.301400000000001</v>
      </c>
      <c r="G231" s="130"/>
      <c r="H231" s="130"/>
      <c r="I231" s="130"/>
      <c r="J231" s="131"/>
      <c r="K231" s="132"/>
      <c r="L231" s="29"/>
      <c r="M231" s="144">
        <v>49.185000000000002</v>
      </c>
      <c r="N231" s="144">
        <v>44.293199999999999</v>
      </c>
      <c r="O231" s="144"/>
      <c r="P231" s="144"/>
      <c r="Q231" s="144"/>
      <c r="R231" s="145"/>
      <c r="S231" s="146"/>
      <c r="U231" s="8">
        <f>bdrate($E231:$E234,F231:F234,$M231:$M234,N231:N234)</f>
        <v>-9.7520343905938001E-3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133">
        <v>19.135000000000002</v>
      </c>
      <c r="F232" s="133">
        <v>41.317700000000002</v>
      </c>
      <c r="G232" s="133"/>
      <c r="H232" s="133"/>
      <c r="I232" s="133"/>
      <c r="J232" s="134"/>
      <c r="K232" s="135"/>
      <c r="L232" s="29"/>
      <c r="M232" s="147">
        <v>18.864999999999998</v>
      </c>
      <c r="N232" s="147">
        <v>41.333599999999997</v>
      </c>
      <c r="O232" s="147"/>
      <c r="P232" s="147"/>
      <c r="Q232" s="147"/>
      <c r="R232" s="148"/>
      <c r="S232" s="149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133">
        <v>9.0960000000000001</v>
      </c>
      <c r="F233" s="133">
        <v>38.511400000000002</v>
      </c>
      <c r="G233" s="133"/>
      <c r="H233" s="133"/>
      <c r="I233" s="133"/>
      <c r="J233" s="134"/>
      <c r="K233" s="135"/>
      <c r="L233" s="29"/>
      <c r="M233" s="147">
        <v>9.1379999999999999</v>
      </c>
      <c r="N233" s="147">
        <v>38.560099999999998</v>
      </c>
      <c r="O233" s="147"/>
      <c r="P233" s="147"/>
      <c r="Q233" s="147"/>
      <c r="R233" s="148"/>
      <c r="S233" s="149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136">
        <v>5.1520000000000001</v>
      </c>
      <c r="F234" s="136">
        <v>35.578400000000002</v>
      </c>
      <c r="G234" s="136"/>
      <c r="H234" s="136"/>
      <c r="I234" s="136"/>
      <c r="J234" s="137"/>
      <c r="K234" s="138"/>
      <c r="L234" s="29"/>
      <c r="M234" s="150">
        <v>5.1970000000000001</v>
      </c>
      <c r="N234" s="150">
        <v>35.674199999999999</v>
      </c>
      <c r="O234" s="150"/>
      <c r="P234" s="150"/>
      <c r="Q234" s="150"/>
      <c r="R234" s="151"/>
      <c r="S234" s="152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130"/>
      <c r="F235" s="130">
        <v>42.8748</v>
      </c>
      <c r="G235" s="130">
        <v>48.207000000000001</v>
      </c>
      <c r="H235" s="130">
        <v>47.31</v>
      </c>
      <c r="I235" s="130"/>
      <c r="J235" s="131"/>
      <c r="K235" s="132"/>
      <c r="L235" s="29"/>
      <c r="M235" s="144"/>
      <c r="N235" s="144">
        <v>42.874699999999997</v>
      </c>
      <c r="O235" s="144">
        <v>48.153100000000002</v>
      </c>
      <c r="P235" s="144">
        <v>47.2956</v>
      </c>
      <c r="Q235" s="144"/>
      <c r="R235" s="145"/>
      <c r="S235" s="146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133"/>
      <c r="F236" s="133">
        <v>41.717500000000001</v>
      </c>
      <c r="G236" s="133">
        <v>47.054900000000004</v>
      </c>
      <c r="H236" s="133">
        <v>46.5794</v>
      </c>
      <c r="I236" s="133"/>
      <c r="J236" s="134"/>
      <c r="K236" s="135"/>
      <c r="L236" s="29"/>
      <c r="M236" s="147"/>
      <c r="N236" s="147">
        <v>41.711199999999998</v>
      </c>
      <c r="O236" s="147">
        <v>47.024999999999999</v>
      </c>
      <c r="P236" s="147">
        <v>46.595799999999997</v>
      </c>
      <c r="Q236" s="147"/>
      <c r="R236" s="148"/>
      <c r="S236" s="149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133"/>
      <c r="F237" s="133">
        <v>40.128399999999999</v>
      </c>
      <c r="G237" s="133">
        <v>45.883400000000002</v>
      </c>
      <c r="H237" s="133">
        <v>45.512500000000003</v>
      </c>
      <c r="I237" s="133"/>
      <c r="J237" s="134"/>
      <c r="K237" s="135"/>
      <c r="L237" s="29"/>
      <c r="M237" s="147"/>
      <c r="N237" s="147">
        <v>40.130200000000002</v>
      </c>
      <c r="O237" s="147">
        <v>45.876800000000003</v>
      </c>
      <c r="P237" s="147">
        <v>45.5608</v>
      </c>
      <c r="Q237" s="147"/>
      <c r="R237" s="148"/>
      <c r="S237" s="149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1"/>
      <c r="D238" s="69">
        <v>40</v>
      </c>
      <c r="E238" s="136"/>
      <c r="F238" s="136">
        <v>38.196100000000001</v>
      </c>
      <c r="G238" s="136">
        <v>44.887300000000003</v>
      </c>
      <c r="H238" s="136">
        <v>44.456899999999997</v>
      </c>
      <c r="I238" s="136"/>
      <c r="J238" s="137"/>
      <c r="K238" s="138"/>
      <c r="L238" s="29"/>
      <c r="M238" s="150"/>
      <c r="N238" s="150">
        <v>38.197899999999997</v>
      </c>
      <c r="O238" s="150">
        <v>44.893500000000003</v>
      </c>
      <c r="P238" s="150">
        <v>44.463999999999999</v>
      </c>
      <c r="Q238" s="150"/>
      <c r="R238" s="151"/>
      <c r="S238" s="152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130"/>
      <c r="F239" s="130">
        <v>43.6053</v>
      </c>
      <c r="G239" s="130">
        <v>49.094200000000001</v>
      </c>
      <c r="H239" s="130">
        <v>48.4878</v>
      </c>
      <c r="I239" s="130"/>
      <c r="J239" s="131"/>
      <c r="K239" s="132"/>
      <c r="L239" s="29"/>
      <c r="M239" s="144"/>
      <c r="N239" s="144">
        <v>43.610500000000002</v>
      </c>
      <c r="O239" s="144">
        <v>49.055500000000002</v>
      </c>
      <c r="P239" s="144">
        <v>48.474499999999999</v>
      </c>
      <c r="Q239" s="144"/>
      <c r="R239" s="145"/>
      <c r="S239" s="146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133"/>
      <c r="F240" s="133">
        <v>42.302500000000002</v>
      </c>
      <c r="G240" s="133">
        <v>47.864899999999999</v>
      </c>
      <c r="H240" s="133">
        <v>47.514200000000002</v>
      </c>
      <c r="I240" s="133"/>
      <c r="J240" s="134"/>
      <c r="K240" s="135"/>
      <c r="L240" s="29"/>
      <c r="M240" s="147"/>
      <c r="N240" s="147">
        <v>42.292099999999998</v>
      </c>
      <c r="O240" s="147">
        <v>47.843299999999999</v>
      </c>
      <c r="P240" s="147">
        <v>47.527000000000001</v>
      </c>
      <c r="Q240" s="147"/>
      <c r="R240" s="148"/>
      <c r="S240" s="149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133"/>
      <c r="F241" s="133">
        <v>40.5931</v>
      </c>
      <c r="G241" s="133">
        <v>46.518000000000001</v>
      </c>
      <c r="H241" s="133">
        <v>46.185099999999998</v>
      </c>
      <c r="I241" s="133"/>
      <c r="J241" s="134"/>
      <c r="K241" s="135"/>
      <c r="L241" s="29"/>
      <c r="M241" s="147"/>
      <c r="N241" s="147">
        <v>40.594200000000001</v>
      </c>
      <c r="O241" s="147">
        <v>46.507399999999997</v>
      </c>
      <c r="P241" s="147">
        <v>46.2423</v>
      </c>
      <c r="Q241" s="147"/>
      <c r="R241" s="148"/>
      <c r="S241" s="149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1"/>
      <c r="D242" s="69">
        <v>40</v>
      </c>
      <c r="E242" s="136"/>
      <c r="F242" s="136">
        <v>38.548999999999999</v>
      </c>
      <c r="G242" s="136">
        <v>45.297499999999999</v>
      </c>
      <c r="H242" s="136">
        <v>44.999499999999998</v>
      </c>
      <c r="I242" s="136"/>
      <c r="J242" s="137"/>
      <c r="K242" s="138"/>
      <c r="L242" s="29"/>
      <c r="M242" s="150"/>
      <c r="N242" s="150">
        <v>38.555100000000003</v>
      </c>
      <c r="O242" s="150">
        <v>45.3063</v>
      </c>
      <c r="P242" s="150">
        <v>45.009700000000002</v>
      </c>
      <c r="Q242" s="150"/>
      <c r="R242" s="151"/>
      <c r="S242" s="152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130"/>
      <c r="F243" s="130">
        <v>43.148699999999998</v>
      </c>
      <c r="G243" s="130">
        <v>49.243499999999997</v>
      </c>
      <c r="H243" s="130">
        <v>48.794400000000003</v>
      </c>
      <c r="I243" s="130"/>
      <c r="J243" s="131"/>
      <c r="K243" s="132"/>
      <c r="L243" s="29"/>
      <c r="M243" s="144"/>
      <c r="N243" s="144">
        <v>43.148800000000001</v>
      </c>
      <c r="O243" s="144">
        <v>49.242100000000001</v>
      </c>
      <c r="P243" s="144">
        <v>48.796999999999997</v>
      </c>
      <c r="Q243" s="144"/>
      <c r="R243" s="145"/>
      <c r="S243" s="146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133"/>
      <c r="F244" s="133">
        <v>42.000300000000003</v>
      </c>
      <c r="G244" s="133">
        <v>48.227200000000003</v>
      </c>
      <c r="H244" s="133">
        <v>47.906700000000001</v>
      </c>
      <c r="I244" s="133"/>
      <c r="J244" s="134"/>
      <c r="K244" s="135"/>
      <c r="L244" s="29"/>
      <c r="M244" s="147"/>
      <c r="N244" s="147">
        <v>41.988900000000001</v>
      </c>
      <c r="O244" s="147">
        <v>48.223700000000001</v>
      </c>
      <c r="P244" s="147">
        <v>47.909100000000002</v>
      </c>
      <c r="Q244" s="147"/>
      <c r="R244" s="148"/>
      <c r="S244" s="149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133"/>
      <c r="F245" s="133">
        <v>40.4313</v>
      </c>
      <c r="G245" s="133">
        <v>46.764299999999999</v>
      </c>
      <c r="H245" s="133">
        <v>46.598799999999997</v>
      </c>
      <c r="I245" s="133"/>
      <c r="J245" s="134"/>
      <c r="K245" s="135"/>
      <c r="L245" s="29"/>
      <c r="M245" s="147"/>
      <c r="N245" s="147">
        <v>40.425899999999999</v>
      </c>
      <c r="O245" s="147">
        <v>46.757300000000001</v>
      </c>
      <c r="P245" s="147">
        <v>46.5974</v>
      </c>
      <c r="Q245" s="147"/>
      <c r="R245" s="148"/>
      <c r="S245" s="149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1"/>
      <c r="D246" s="69">
        <v>40</v>
      </c>
      <c r="E246" s="136"/>
      <c r="F246" s="136">
        <v>38.508800000000001</v>
      </c>
      <c r="G246" s="136">
        <v>45.585799999999999</v>
      </c>
      <c r="H246" s="136">
        <v>45.437100000000001</v>
      </c>
      <c r="I246" s="136"/>
      <c r="J246" s="137"/>
      <c r="K246" s="138"/>
      <c r="L246" s="29"/>
      <c r="M246" s="150"/>
      <c r="N246" s="150">
        <v>38.514000000000003</v>
      </c>
      <c r="O246" s="150">
        <v>45.580199999999998</v>
      </c>
      <c r="P246" s="150">
        <v>45.441600000000001</v>
      </c>
      <c r="Q246" s="150"/>
      <c r="R246" s="151"/>
      <c r="S246" s="152"/>
      <c r="U246" s="17"/>
      <c r="V246" s="18"/>
      <c r="W246" s="19"/>
      <c r="X246" s="29"/>
      <c r="Z246" s="59"/>
      <c r="AA246" s="55"/>
    </row>
    <row r="247" spans="2:27" ht="12.75">
      <c r="B247" s="36"/>
      <c r="C247" s="29" t="s">
        <v>50</v>
      </c>
      <c r="D247" s="32">
        <v>25</v>
      </c>
      <c r="E247" s="130"/>
      <c r="F247" s="130">
        <v>43.264800000000001</v>
      </c>
      <c r="G247" s="130">
        <v>49.111400000000003</v>
      </c>
      <c r="H247" s="130">
        <v>49.0152</v>
      </c>
      <c r="I247" s="130"/>
      <c r="J247" s="131"/>
      <c r="K247" s="132"/>
      <c r="L247" s="29"/>
      <c r="M247" s="144"/>
      <c r="N247" s="144">
        <v>43.264200000000002</v>
      </c>
      <c r="O247" s="144">
        <v>49.110999999999997</v>
      </c>
      <c r="P247" s="144">
        <v>49.014800000000001</v>
      </c>
      <c r="Q247" s="144"/>
      <c r="R247" s="145"/>
      <c r="S247" s="146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133"/>
      <c r="F248" s="133">
        <v>42.115900000000003</v>
      </c>
      <c r="G248" s="133">
        <v>48.142400000000002</v>
      </c>
      <c r="H248" s="133">
        <v>48.111199999999997</v>
      </c>
      <c r="I248" s="133"/>
      <c r="J248" s="134"/>
      <c r="K248" s="135"/>
      <c r="L248" s="29"/>
      <c r="M248" s="147"/>
      <c r="N248" s="147">
        <v>42.118099999999998</v>
      </c>
      <c r="O248" s="147">
        <v>48.145099999999999</v>
      </c>
      <c r="P248" s="147">
        <v>48.112099999999998</v>
      </c>
      <c r="Q248" s="147"/>
      <c r="R248" s="148"/>
      <c r="S248" s="149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133"/>
      <c r="F249" s="133">
        <v>40.532899999999998</v>
      </c>
      <c r="G249" s="133">
        <v>46.735100000000003</v>
      </c>
      <c r="H249" s="133">
        <v>46.759099999999997</v>
      </c>
      <c r="I249" s="133"/>
      <c r="J249" s="134"/>
      <c r="K249" s="135"/>
      <c r="L249" s="29"/>
      <c r="M249" s="147"/>
      <c r="N249" s="147">
        <v>40.531199999999998</v>
      </c>
      <c r="O249" s="147">
        <v>46.741399999999999</v>
      </c>
      <c r="P249" s="147">
        <v>46.755200000000002</v>
      </c>
      <c r="Q249" s="147"/>
      <c r="R249" s="148"/>
      <c r="S249" s="149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1"/>
      <c r="D250" s="69">
        <v>40</v>
      </c>
      <c r="E250" s="136"/>
      <c r="F250" s="136">
        <v>38.590000000000003</v>
      </c>
      <c r="G250" s="136">
        <v>45.622999999999998</v>
      </c>
      <c r="H250" s="136">
        <v>45.561300000000003</v>
      </c>
      <c r="I250" s="136"/>
      <c r="J250" s="137"/>
      <c r="K250" s="138"/>
      <c r="L250" s="29"/>
      <c r="M250" s="150"/>
      <c r="N250" s="150">
        <v>38.590000000000003</v>
      </c>
      <c r="O250" s="150">
        <v>45.624000000000002</v>
      </c>
      <c r="P250" s="150">
        <v>45.555999999999997</v>
      </c>
      <c r="Q250" s="150"/>
      <c r="R250" s="151"/>
      <c r="S250" s="152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131"/>
      <c r="F251" s="131">
        <v>43.741700000000002</v>
      </c>
      <c r="G251" s="131">
        <v>48.833100000000002</v>
      </c>
      <c r="H251" s="131">
        <v>49.204900000000002</v>
      </c>
      <c r="I251" s="131"/>
      <c r="J251" s="131"/>
      <c r="K251" s="132"/>
      <c r="L251" s="29"/>
      <c r="M251" s="145"/>
      <c r="N251" s="145">
        <v>43.7425</v>
      </c>
      <c r="O251" s="145">
        <v>48.832599999999999</v>
      </c>
      <c r="P251" s="145">
        <v>49.219299999999997</v>
      </c>
      <c r="Q251" s="145"/>
      <c r="R251" s="145"/>
      <c r="S251" s="146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134"/>
      <c r="F252" s="134">
        <v>42.475200000000001</v>
      </c>
      <c r="G252" s="134">
        <v>47.646599999999999</v>
      </c>
      <c r="H252" s="134">
        <v>48.052300000000002</v>
      </c>
      <c r="I252" s="134"/>
      <c r="J252" s="134"/>
      <c r="K252" s="135"/>
      <c r="L252" s="29"/>
      <c r="M252" s="148"/>
      <c r="N252" s="148">
        <v>42.478000000000002</v>
      </c>
      <c r="O252" s="148">
        <v>47.642400000000002</v>
      </c>
      <c r="P252" s="148">
        <v>48.043100000000003</v>
      </c>
      <c r="Q252" s="148"/>
      <c r="R252" s="148"/>
      <c r="S252" s="149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134"/>
      <c r="F253" s="134">
        <v>40.806100000000001</v>
      </c>
      <c r="G253" s="134">
        <v>46.3553</v>
      </c>
      <c r="H253" s="134">
        <v>46.725900000000003</v>
      </c>
      <c r="I253" s="134"/>
      <c r="J253" s="134"/>
      <c r="K253" s="135"/>
      <c r="L253" s="29"/>
      <c r="M253" s="148"/>
      <c r="N253" s="148">
        <v>40.805399999999999</v>
      </c>
      <c r="O253" s="148">
        <v>46.384799999999998</v>
      </c>
      <c r="P253" s="148">
        <v>46.738399999999999</v>
      </c>
      <c r="Q253" s="148"/>
      <c r="R253" s="148"/>
      <c r="S253" s="149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1"/>
      <c r="D254" s="69">
        <v>40</v>
      </c>
      <c r="E254" s="137"/>
      <c r="F254" s="137">
        <v>38.792000000000002</v>
      </c>
      <c r="G254" s="137">
        <v>45.132100000000001</v>
      </c>
      <c r="H254" s="137">
        <v>45.462299999999999</v>
      </c>
      <c r="I254" s="137"/>
      <c r="J254" s="137"/>
      <c r="K254" s="138"/>
      <c r="L254" s="29"/>
      <c r="M254" s="151"/>
      <c r="N254" s="151">
        <v>38.792200000000001</v>
      </c>
      <c r="O254" s="151">
        <v>45.1526</v>
      </c>
      <c r="P254" s="151">
        <v>45.470199999999998</v>
      </c>
      <c r="Q254" s="151"/>
      <c r="R254" s="151"/>
      <c r="S254" s="152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131"/>
      <c r="F255" s="131">
        <v>42.924599999999998</v>
      </c>
      <c r="G255" s="131">
        <v>47.617199999999997</v>
      </c>
      <c r="H255" s="131">
        <v>48.146000000000001</v>
      </c>
      <c r="I255" s="131"/>
      <c r="J255" s="131"/>
      <c r="K255" s="132"/>
      <c r="L255" s="29"/>
      <c r="M255" s="145"/>
      <c r="N255" s="145">
        <v>42.925600000000003</v>
      </c>
      <c r="O255" s="145">
        <v>47.603299999999997</v>
      </c>
      <c r="P255" s="145">
        <v>48.173099999999998</v>
      </c>
      <c r="Q255" s="145"/>
      <c r="R255" s="145"/>
      <c r="S255" s="146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134"/>
      <c r="F256" s="134">
        <v>41.818199999999997</v>
      </c>
      <c r="G256" s="134">
        <v>46.614899999999999</v>
      </c>
      <c r="H256" s="134">
        <v>47.052599999999998</v>
      </c>
      <c r="I256" s="134"/>
      <c r="J256" s="134"/>
      <c r="K256" s="135"/>
      <c r="L256" s="29"/>
      <c r="M256" s="148"/>
      <c r="N256" s="148">
        <v>41.820700000000002</v>
      </c>
      <c r="O256" s="148">
        <v>46.603700000000003</v>
      </c>
      <c r="P256" s="148">
        <v>47.044499999999999</v>
      </c>
      <c r="Q256" s="148"/>
      <c r="R256" s="148"/>
      <c r="S256" s="149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134"/>
      <c r="F257" s="134">
        <v>40.297499999999999</v>
      </c>
      <c r="G257" s="134">
        <v>45.6081</v>
      </c>
      <c r="H257" s="134">
        <v>45.998100000000001</v>
      </c>
      <c r="I257" s="134"/>
      <c r="J257" s="134"/>
      <c r="K257" s="135"/>
      <c r="L257" s="29"/>
      <c r="M257" s="148"/>
      <c r="N257" s="148">
        <v>40.299599999999998</v>
      </c>
      <c r="O257" s="148">
        <v>45.641800000000003</v>
      </c>
      <c r="P257" s="148">
        <v>46.008000000000003</v>
      </c>
      <c r="Q257" s="148"/>
      <c r="R257" s="148"/>
      <c r="S257" s="149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1"/>
      <c r="D258" s="69">
        <v>40</v>
      </c>
      <c r="E258" s="137"/>
      <c r="F258" s="137">
        <v>38.433999999999997</v>
      </c>
      <c r="G258" s="137">
        <v>44.632300000000001</v>
      </c>
      <c r="H258" s="137">
        <v>44.849200000000003</v>
      </c>
      <c r="I258" s="137"/>
      <c r="J258" s="137"/>
      <c r="K258" s="138"/>
      <c r="L258" s="29"/>
      <c r="M258" s="151"/>
      <c r="N258" s="151">
        <v>38.438400000000001</v>
      </c>
      <c r="O258" s="151">
        <v>44.657200000000003</v>
      </c>
      <c r="P258" s="151">
        <v>44.859099999999998</v>
      </c>
      <c r="Q258" s="151"/>
      <c r="R258" s="151"/>
      <c r="S258" s="152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134">
        <v>1492.5889999999999</v>
      </c>
      <c r="F259" s="134"/>
      <c r="G259" s="134"/>
      <c r="H259" s="134"/>
      <c r="I259" s="134">
        <v>26495.03</v>
      </c>
      <c r="J259" s="134">
        <v>76.89</v>
      </c>
      <c r="K259" s="135">
        <v>607.69000000000005</v>
      </c>
      <c r="L259" s="29"/>
      <c r="M259" s="148">
        <v>1492.691</v>
      </c>
      <c r="N259" s="148"/>
      <c r="O259" s="148"/>
      <c r="P259" s="148"/>
      <c r="Q259" s="148">
        <v>26018.71</v>
      </c>
      <c r="R259" s="148">
        <v>88.98</v>
      </c>
      <c r="S259" s="149">
        <v>611.33000000000004</v>
      </c>
      <c r="U259" s="8"/>
      <c r="V259" s="9"/>
      <c r="W259" s="10"/>
      <c r="X259" s="29"/>
      <c r="Y259" s="59">
        <f>GEOMEAN(Q259:Q262)/GEOMEAN(I259:I262)</f>
        <v>0.99616179089265011</v>
      </c>
      <c r="Z259" s="59">
        <f>GEOMEAN(R259:R262)/GEOMEAN(J259:J262)</f>
        <v>0.9873202827434906</v>
      </c>
      <c r="AA259" s="55">
        <f>GEOMEAN(S259:S262)/GEOMEAN(K259:K262)</f>
        <v>1.0136570787373433</v>
      </c>
    </row>
    <row r="260" spans="1:27" ht="12.75">
      <c r="B260" s="36"/>
      <c r="C260" s="29"/>
      <c r="D260" s="32">
        <v>30</v>
      </c>
      <c r="E260" s="134">
        <v>612.68600000000004</v>
      </c>
      <c r="F260" s="134"/>
      <c r="G260" s="134"/>
      <c r="H260" s="134"/>
      <c r="I260" s="134">
        <v>21079.66</v>
      </c>
      <c r="J260" s="134">
        <v>84.42</v>
      </c>
      <c r="K260" s="135">
        <v>594.46</v>
      </c>
      <c r="L260" s="29"/>
      <c r="M260" s="148">
        <v>612.32600000000002</v>
      </c>
      <c r="N260" s="148"/>
      <c r="O260" s="148"/>
      <c r="P260" s="148"/>
      <c r="Q260" s="148">
        <v>21002.91</v>
      </c>
      <c r="R260" s="148">
        <v>78.099999999999994</v>
      </c>
      <c r="S260" s="149">
        <v>617.6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134">
        <v>312.346</v>
      </c>
      <c r="F261" s="134"/>
      <c r="G261" s="134"/>
      <c r="H261" s="134"/>
      <c r="I261" s="134">
        <v>18725.03</v>
      </c>
      <c r="J261" s="134">
        <v>83.16</v>
      </c>
      <c r="K261" s="135">
        <v>618.11</v>
      </c>
      <c r="L261" s="29"/>
      <c r="M261" s="148">
        <v>312.59300000000002</v>
      </c>
      <c r="N261" s="148"/>
      <c r="O261" s="148"/>
      <c r="P261" s="148"/>
      <c r="Q261" s="148">
        <v>18739.32</v>
      </c>
      <c r="R261" s="148">
        <v>72.430000000000007</v>
      </c>
      <c r="S261" s="149">
        <v>616.9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0"/>
      <c r="C262" s="51"/>
      <c r="D262" s="69">
        <v>40</v>
      </c>
      <c r="E262" s="137">
        <v>173.27099999999999</v>
      </c>
      <c r="F262" s="137"/>
      <c r="G262" s="137"/>
      <c r="H262" s="137"/>
      <c r="I262" s="137">
        <v>17483.599999999999</v>
      </c>
      <c r="J262" s="137">
        <v>73.45</v>
      </c>
      <c r="K262" s="138">
        <v>609.98</v>
      </c>
      <c r="L262" s="29"/>
      <c r="M262" s="151">
        <v>173.50299999999999</v>
      </c>
      <c r="N262" s="151"/>
      <c r="O262" s="151"/>
      <c r="P262" s="151"/>
      <c r="Q262" s="151">
        <v>17582.55</v>
      </c>
      <c r="R262" s="151">
        <v>74.849999999999994</v>
      </c>
      <c r="S262" s="152">
        <v>617.38</v>
      </c>
      <c r="U262" s="82"/>
      <c r="V262" s="83"/>
      <c r="W262" s="84"/>
      <c r="X262" s="29"/>
      <c r="Y262" s="47"/>
      <c r="Z262" s="47"/>
      <c r="AA262" s="52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130">
        <v>2440.0616</v>
      </c>
      <c r="F263" s="130">
        <v>39.862699999999997</v>
      </c>
      <c r="G263" s="130">
        <v>46.750500000000002</v>
      </c>
      <c r="H263" s="130">
        <v>46.033000000000001</v>
      </c>
      <c r="I263" s="130"/>
      <c r="J263" s="131"/>
      <c r="K263" s="132"/>
      <c r="L263" s="29"/>
      <c r="M263" s="144">
        <v>2440.0616</v>
      </c>
      <c r="N263" s="144">
        <v>39.862699999999997</v>
      </c>
      <c r="O263" s="144">
        <v>46.750500000000002</v>
      </c>
      <c r="P263" s="144">
        <v>46.033000000000001</v>
      </c>
      <c r="Q263" s="144"/>
      <c r="R263" s="145"/>
      <c r="S263" s="146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133">
        <v>955.89840000000004</v>
      </c>
      <c r="F264" s="133">
        <v>37.901400000000002</v>
      </c>
      <c r="G264" s="133">
        <v>45.310899999999997</v>
      </c>
      <c r="H264" s="133">
        <v>44.552900000000001</v>
      </c>
      <c r="I264" s="133"/>
      <c r="J264" s="134"/>
      <c r="K264" s="135"/>
      <c r="L264" s="29"/>
      <c r="M264" s="147">
        <v>955.89840000000004</v>
      </c>
      <c r="N264" s="147">
        <v>37.901400000000002</v>
      </c>
      <c r="O264" s="147">
        <v>45.310899999999997</v>
      </c>
      <c r="P264" s="147">
        <v>44.552900000000001</v>
      </c>
      <c r="Q264" s="147"/>
      <c r="R264" s="148"/>
      <c r="S264" s="149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133">
        <v>461.74079999999998</v>
      </c>
      <c r="F265" s="133">
        <v>35.8827</v>
      </c>
      <c r="G265" s="133">
        <v>43.552599999999998</v>
      </c>
      <c r="H265" s="133">
        <v>42.826900000000002</v>
      </c>
      <c r="I265" s="133"/>
      <c r="J265" s="134"/>
      <c r="K265" s="135"/>
      <c r="L265" s="29"/>
      <c r="M265" s="147">
        <v>461.74079999999998</v>
      </c>
      <c r="N265" s="147">
        <v>35.8827</v>
      </c>
      <c r="O265" s="147">
        <v>43.552599999999998</v>
      </c>
      <c r="P265" s="147">
        <v>42.826900000000002</v>
      </c>
      <c r="Q265" s="147"/>
      <c r="R265" s="148"/>
      <c r="S265" s="149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136">
        <v>241.04560000000001</v>
      </c>
      <c r="F266" s="136">
        <v>33.763199999999998</v>
      </c>
      <c r="G266" s="136">
        <v>42.313600000000001</v>
      </c>
      <c r="H266" s="136">
        <v>41.620699999999999</v>
      </c>
      <c r="I266" s="136"/>
      <c r="J266" s="137"/>
      <c r="K266" s="138"/>
      <c r="L266" s="29"/>
      <c r="M266" s="150">
        <v>241.04560000000001</v>
      </c>
      <c r="N266" s="150">
        <v>33.763199999999998</v>
      </c>
      <c r="O266" s="150">
        <v>42.313600000000001</v>
      </c>
      <c r="P266" s="150">
        <v>41.620699999999999</v>
      </c>
      <c r="Q266" s="150"/>
      <c r="R266" s="151"/>
      <c r="S266" s="152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133">
        <v>701.75040000000001</v>
      </c>
      <c r="F267" s="133">
        <v>38.9803</v>
      </c>
      <c r="G267" s="133">
        <v>46.5931</v>
      </c>
      <c r="H267" s="133">
        <v>44.726599999999998</v>
      </c>
      <c r="I267" s="133"/>
      <c r="J267" s="134"/>
      <c r="K267" s="135"/>
      <c r="L267" s="29"/>
      <c r="M267" s="147">
        <v>701.82159999999999</v>
      </c>
      <c r="N267" s="147">
        <v>38.981299999999997</v>
      </c>
      <c r="O267" s="147">
        <v>46.596899999999998</v>
      </c>
      <c r="P267" s="147">
        <v>44.7286</v>
      </c>
      <c r="Q267" s="147"/>
      <c r="R267" s="148"/>
      <c r="S267" s="149"/>
      <c r="U267" s="8">
        <f>bdrate($E267:$E270,F267:F270,$M267:$M270,N267:N270)</f>
        <v>-8.8537187166959352E-4</v>
      </c>
      <c r="V267" s="9">
        <f>bdrate($E267:$E270,G267:G270,$M267:$M270,O267:O270)</f>
        <v>2.3155278726973982E-3</v>
      </c>
      <c r="W267" s="10">
        <f>bdrate($E267:$E270,H267:H270,$M267:$M270,P267:P270)</f>
        <v>3.64354669897482E-4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133">
        <v>195.63040000000001</v>
      </c>
      <c r="F268" s="133">
        <v>37.1312</v>
      </c>
      <c r="G268" s="133">
        <v>45.1661</v>
      </c>
      <c r="H268" s="133">
        <v>43.101999999999997</v>
      </c>
      <c r="I268" s="133"/>
      <c r="J268" s="134"/>
      <c r="K268" s="135"/>
      <c r="L268" s="29"/>
      <c r="M268" s="147">
        <v>195.77359999999999</v>
      </c>
      <c r="N268" s="147">
        <v>37.133499999999998</v>
      </c>
      <c r="O268" s="147">
        <v>45.156799999999997</v>
      </c>
      <c r="P268" s="147">
        <v>43.098700000000001</v>
      </c>
      <c r="Q268" s="147"/>
      <c r="R268" s="148"/>
      <c r="S268" s="149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133">
        <v>75.448800000000006</v>
      </c>
      <c r="F269" s="133">
        <v>35.238500000000002</v>
      </c>
      <c r="G269" s="133">
        <v>43.679900000000004</v>
      </c>
      <c r="H269" s="133">
        <v>41.816400000000002</v>
      </c>
      <c r="I269" s="133"/>
      <c r="J269" s="134"/>
      <c r="K269" s="135"/>
      <c r="L269" s="29"/>
      <c r="M269" s="147">
        <v>75.256799999999998</v>
      </c>
      <c r="N269" s="147">
        <v>35.237400000000001</v>
      </c>
      <c r="O269" s="147">
        <v>43.679000000000002</v>
      </c>
      <c r="P269" s="147">
        <v>41.817900000000002</v>
      </c>
      <c r="Q269" s="147"/>
      <c r="R269" s="148"/>
      <c r="S269" s="149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133">
        <v>33.2376</v>
      </c>
      <c r="F270" s="133">
        <v>33.257399999999997</v>
      </c>
      <c r="G270" s="133">
        <v>42.500300000000003</v>
      </c>
      <c r="H270" s="133">
        <v>40.870800000000003</v>
      </c>
      <c r="I270" s="133"/>
      <c r="J270" s="134"/>
      <c r="K270" s="135"/>
      <c r="L270" s="29"/>
      <c r="M270" s="147">
        <v>33.306399999999996</v>
      </c>
      <c r="N270" s="147">
        <v>33.258600000000001</v>
      </c>
      <c r="O270" s="147">
        <v>42.498100000000001</v>
      </c>
      <c r="P270" s="147">
        <v>40.8703</v>
      </c>
      <c r="Q270" s="147"/>
      <c r="R270" s="148"/>
      <c r="S270" s="149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130">
        <v>691.84879999999998</v>
      </c>
      <c r="F271" s="130">
        <v>38.914400000000001</v>
      </c>
      <c r="G271" s="130">
        <v>46.424300000000002</v>
      </c>
      <c r="H271" s="130">
        <v>46.125799999999998</v>
      </c>
      <c r="I271" s="130"/>
      <c r="J271" s="131"/>
      <c r="K271" s="132"/>
      <c r="L271" s="29"/>
      <c r="M271" s="144">
        <v>691.41759999999999</v>
      </c>
      <c r="N271" s="144">
        <v>38.914299999999997</v>
      </c>
      <c r="O271" s="144">
        <v>46.420200000000001</v>
      </c>
      <c r="P271" s="144">
        <v>46.125999999999998</v>
      </c>
      <c r="Q271" s="144"/>
      <c r="R271" s="145"/>
      <c r="S271" s="146"/>
      <c r="U271" s="8">
        <f>bdrate($E271:$E274,F271:F274,$M271:$M274,N271:N274)</f>
        <v>-1.2428473107399807E-3</v>
      </c>
      <c r="V271" s="9">
        <f>bdrate($E271:$E274,G271:G274,$M271:$M274,O271:O274)</f>
        <v>-1.3012896941745344E-3</v>
      </c>
      <c r="W271" s="10">
        <f>bdrate($E271:$E274,H271:H274,$M271:$M274,P271:P274)</f>
        <v>-2.0146334359548712E-3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133">
        <v>192.9256</v>
      </c>
      <c r="F272" s="133">
        <v>36.946300000000001</v>
      </c>
      <c r="G272" s="133">
        <v>44.990900000000003</v>
      </c>
      <c r="H272" s="133">
        <v>44.7194</v>
      </c>
      <c r="I272" s="133"/>
      <c r="J272" s="134"/>
      <c r="K272" s="135"/>
      <c r="L272" s="29"/>
      <c r="M272" s="147">
        <v>192.9984</v>
      </c>
      <c r="N272" s="147">
        <v>36.947499999999998</v>
      </c>
      <c r="O272" s="147">
        <v>44.992899999999999</v>
      </c>
      <c r="P272" s="147">
        <v>44.721899999999998</v>
      </c>
      <c r="Q272" s="147"/>
      <c r="R272" s="148"/>
      <c r="S272" s="149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133">
        <v>73.843199999999996</v>
      </c>
      <c r="F273" s="133">
        <v>34.9711</v>
      </c>
      <c r="G273" s="133">
        <v>43.480800000000002</v>
      </c>
      <c r="H273" s="133">
        <v>43.124499999999998</v>
      </c>
      <c r="I273" s="133"/>
      <c r="J273" s="134"/>
      <c r="K273" s="135"/>
      <c r="L273" s="29"/>
      <c r="M273" s="147">
        <v>73.619200000000006</v>
      </c>
      <c r="N273" s="147">
        <v>34.971200000000003</v>
      </c>
      <c r="O273" s="147">
        <v>43.481900000000003</v>
      </c>
      <c r="P273" s="147">
        <v>43.124899999999997</v>
      </c>
      <c r="Q273" s="147"/>
      <c r="R273" s="148"/>
      <c r="S273" s="149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1"/>
      <c r="D274" s="69">
        <v>40</v>
      </c>
      <c r="E274" s="136">
        <v>31.3736</v>
      </c>
      <c r="F274" s="136">
        <v>32.947699999999998</v>
      </c>
      <c r="G274" s="136">
        <v>42.308300000000003</v>
      </c>
      <c r="H274" s="136">
        <v>41.923200000000001</v>
      </c>
      <c r="I274" s="136"/>
      <c r="J274" s="137"/>
      <c r="K274" s="138"/>
      <c r="L274" s="29"/>
      <c r="M274" s="150">
        <v>31.4008</v>
      </c>
      <c r="N274" s="150">
        <v>32.947899999999997</v>
      </c>
      <c r="O274" s="150">
        <v>42.308999999999997</v>
      </c>
      <c r="P274" s="150">
        <v>41.925899999999999</v>
      </c>
      <c r="Q274" s="150"/>
      <c r="R274" s="151"/>
      <c r="S274" s="152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130">
        <v>162.96080000000001</v>
      </c>
      <c r="F275" s="130">
        <v>43.912700000000001</v>
      </c>
      <c r="G275" s="130"/>
      <c r="H275" s="130"/>
      <c r="I275" s="130"/>
      <c r="J275" s="131"/>
      <c r="K275" s="132"/>
      <c r="L275" s="29"/>
      <c r="M275" s="144">
        <v>162.96080000000001</v>
      </c>
      <c r="N275" s="144">
        <v>43.912700000000001</v>
      </c>
      <c r="O275" s="144"/>
      <c r="P275" s="144"/>
      <c r="Q275" s="144"/>
      <c r="R275" s="145"/>
      <c r="S275" s="146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133">
        <v>49.723999999999997</v>
      </c>
      <c r="F276" s="133">
        <v>40.968200000000003</v>
      </c>
      <c r="G276" s="133"/>
      <c r="H276" s="133"/>
      <c r="I276" s="133"/>
      <c r="J276" s="134"/>
      <c r="K276" s="135"/>
      <c r="L276" s="29"/>
      <c r="M276" s="147">
        <v>49.723999999999997</v>
      </c>
      <c r="N276" s="147">
        <v>40.968200000000003</v>
      </c>
      <c r="O276" s="147"/>
      <c r="P276" s="147"/>
      <c r="Q276" s="147"/>
      <c r="R276" s="148"/>
      <c r="S276" s="149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133">
        <v>21.069600000000001</v>
      </c>
      <c r="F277" s="133">
        <v>37.422400000000003</v>
      </c>
      <c r="G277" s="133"/>
      <c r="H277" s="133"/>
      <c r="I277" s="133"/>
      <c r="J277" s="134"/>
      <c r="K277" s="135"/>
      <c r="L277" s="29"/>
      <c r="M277" s="147">
        <v>21.069600000000001</v>
      </c>
      <c r="N277" s="147">
        <v>37.422400000000003</v>
      </c>
      <c r="O277" s="147"/>
      <c r="P277" s="147"/>
      <c r="Q277" s="147"/>
      <c r="R277" s="148"/>
      <c r="S277" s="149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136">
        <v>11.1784</v>
      </c>
      <c r="F278" s="136">
        <v>35.413200000000003</v>
      </c>
      <c r="G278" s="136"/>
      <c r="H278" s="136"/>
      <c r="I278" s="136"/>
      <c r="J278" s="137"/>
      <c r="K278" s="138"/>
      <c r="L278" s="29"/>
      <c r="M278" s="150">
        <v>11.1784</v>
      </c>
      <c r="N278" s="150">
        <v>35.413200000000003</v>
      </c>
      <c r="O278" s="150"/>
      <c r="P278" s="150"/>
      <c r="Q278" s="150"/>
      <c r="R278" s="151"/>
      <c r="S278" s="152"/>
      <c r="U278" s="17"/>
      <c r="V278" s="18"/>
      <c r="W278" s="19"/>
      <c r="X278" s="29"/>
      <c r="Y278" s="59"/>
      <c r="Z278" s="59"/>
      <c r="AA278" s="55"/>
    </row>
    <row r="279" spans="2:27" ht="12.75">
      <c r="B279" s="36"/>
      <c r="C279" s="28" t="s">
        <v>30</v>
      </c>
      <c r="D279" s="31">
        <v>34</v>
      </c>
      <c r="E279" s="130">
        <v>99.818399999999997</v>
      </c>
      <c r="F279" s="130">
        <v>42.303899999999999</v>
      </c>
      <c r="G279" s="130"/>
      <c r="H279" s="130"/>
      <c r="I279" s="130"/>
      <c r="J279" s="131"/>
      <c r="K279" s="132"/>
      <c r="L279" s="29"/>
      <c r="M279" s="144">
        <v>99.533600000000007</v>
      </c>
      <c r="N279" s="144">
        <v>42.295499999999997</v>
      </c>
      <c r="O279" s="144"/>
      <c r="P279" s="144"/>
      <c r="Q279" s="144"/>
      <c r="R279" s="145"/>
      <c r="S279" s="146"/>
      <c r="U279" s="8">
        <f>bdrate($E279:$E282,F279:F282,$M279:$M282,N279:N282)</f>
        <v>9.3380248142782563E-4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133">
        <v>24.204799999999999</v>
      </c>
      <c r="F280" s="133">
        <v>39.7102</v>
      </c>
      <c r="G280" s="133"/>
      <c r="H280" s="133"/>
      <c r="I280" s="133"/>
      <c r="J280" s="134"/>
      <c r="K280" s="135"/>
      <c r="L280" s="29"/>
      <c r="M280" s="147">
        <v>24.391200000000001</v>
      </c>
      <c r="N280" s="147">
        <v>39.721400000000003</v>
      </c>
      <c r="O280" s="147"/>
      <c r="P280" s="147"/>
      <c r="Q280" s="147"/>
      <c r="R280" s="148"/>
      <c r="S280" s="149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133">
        <v>9.5039999999999996</v>
      </c>
      <c r="F281" s="133">
        <v>36.491</v>
      </c>
      <c r="G281" s="133"/>
      <c r="H281" s="133"/>
      <c r="I281" s="133"/>
      <c r="J281" s="134"/>
      <c r="K281" s="135"/>
      <c r="L281" s="29"/>
      <c r="M281" s="147">
        <v>9.5527999999999995</v>
      </c>
      <c r="N281" s="147">
        <v>36.519100000000002</v>
      </c>
      <c r="O281" s="147"/>
      <c r="P281" s="147"/>
      <c r="Q281" s="147"/>
      <c r="R281" s="148"/>
      <c r="S281" s="149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136">
        <v>4.8415999999999997</v>
      </c>
      <c r="F282" s="136">
        <v>34.560299999999998</v>
      </c>
      <c r="G282" s="136"/>
      <c r="H282" s="136"/>
      <c r="I282" s="136"/>
      <c r="J282" s="137"/>
      <c r="K282" s="138"/>
      <c r="L282" s="29"/>
      <c r="M282" s="150">
        <v>4.8600000000000003</v>
      </c>
      <c r="N282" s="150">
        <v>34.556800000000003</v>
      </c>
      <c r="O282" s="150"/>
      <c r="P282" s="150"/>
      <c r="Q282" s="150"/>
      <c r="R282" s="151"/>
      <c r="S282" s="152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130">
        <v>115.63760000000001</v>
      </c>
      <c r="F283" s="130">
        <v>41.752800000000001</v>
      </c>
      <c r="G283" s="130"/>
      <c r="H283" s="130"/>
      <c r="I283" s="130"/>
      <c r="J283" s="131"/>
      <c r="K283" s="132"/>
      <c r="L283" s="29"/>
      <c r="M283" s="144">
        <v>116.024</v>
      </c>
      <c r="N283" s="144">
        <v>41.775599999999997</v>
      </c>
      <c r="O283" s="144"/>
      <c r="P283" s="144"/>
      <c r="Q283" s="144"/>
      <c r="R283" s="145"/>
      <c r="S283" s="146"/>
      <c r="U283" s="8">
        <f>bdrate($E283:$E286,F283:F286,$M283:$M286,N283:N286)</f>
        <v>-1.0563437692415523E-2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133">
        <v>28.278400000000001</v>
      </c>
      <c r="F284" s="133">
        <v>39.123800000000003</v>
      </c>
      <c r="G284" s="133"/>
      <c r="H284" s="133"/>
      <c r="I284" s="133"/>
      <c r="J284" s="134"/>
      <c r="K284" s="135"/>
      <c r="L284" s="29"/>
      <c r="M284" s="147">
        <v>28.377600000000001</v>
      </c>
      <c r="N284" s="147">
        <v>39.182400000000001</v>
      </c>
      <c r="O284" s="147"/>
      <c r="P284" s="147"/>
      <c r="Q284" s="147"/>
      <c r="R284" s="148"/>
      <c r="S284" s="149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133">
        <v>10.276</v>
      </c>
      <c r="F285" s="133">
        <v>36.195099999999996</v>
      </c>
      <c r="G285" s="133"/>
      <c r="H285" s="133"/>
      <c r="I285" s="133"/>
      <c r="J285" s="134"/>
      <c r="K285" s="135"/>
      <c r="L285" s="29"/>
      <c r="M285" s="147">
        <v>10.268000000000001</v>
      </c>
      <c r="N285" s="147">
        <v>36.194000000000003</v>
      </c>
      <c r="O285" s="147"/>
      <c r="P285" s="147"/>
      <c r="Q285" s="147"/>
      <c r="R285" s="148"/>
      <c r="S285" s="149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136">
        <v>4.9063999999999997</v>
      </c>
      <c r="F286" s="136">
        <v>34.3322</v>
      </c>
      <c r="G286" s="136"/>
      <c r="H286" s="136"/>
      <c r="I286" s="136"/>
      <c r="J286" s="137"/>
      <c r="K286" s="138"/>
      <c r="L286" s="29"/>
      <c r="M286" s="150">
        <v>4.9279999999999999</v>
      </c>
      <c r="N286" s="150">
        <v>34.340499999999999</v>
      </c>
      <c r="O286" s="150"/>
      <c r="P286" s="150"/>
      <c r="Q286" s="150"/>
      <c r="R286" s="151"/>
      <c r="S286" s="152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130"/>
      <c r="F287" s="130">
        <v>40.000100000000003</v>
      </c>
      <c r="G287" s="130">
        <v>46.589300000000001</v>
      </c>
      <c r="H287" s="130">
        <v>46.005200000000002</v>
      </c>
      <c r="I287" s="130"/>
      <c r="J287" s="131"/>
      <c r="K287" s="132"/>
      <c r="L287" s="29"/>
      <c r="M287" s="144"/>
      <c r="N287" s="144">
        <v>40.001800000000003</v>
      </c>
      <c r="O287" s="144">
        <v>46.613399999999999</v>
      </c>
      <c r="P287" s="144">
        <v>46.0411</v>
      </c>
      <c r="Q287" s="144"/>
      <c r="R287" s="145"/>
      <c r="S287" s="146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133"/>
      <c r="F288" s="133">
        <v>37.922800000000002</v>
      </c>
      <c r="G288" s="133">
        <v>45.194200000000002</v>
      </c>
      <c r="H288" s="133">
        <v>44.347099999999998</v>
      </c>
      <c r="I288" s="133"/>
      <c r="J288" s="134"/>
      <c r="K288" s="135"/>
      <c r="L288" s="29"/>
      <c r="M288" s="147"/>
      <c r="N288" s="147">
        <v>37.921799999999998</v>
      </c>
      <c r="O288" s="147">
        <v>45.137999999999998</v>
      </c>
      <c r="P288" s="147">
        <v>44.320999999999998</v>
      </c>
      <c r="Q288" s="147"/>
      <c r="R288" s="148"/>
      <c r="S288" s="149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133"/>
      <c r="F289" s="133">
        <v>35.885399999999997</v>
      </c>
      <c r="G289" s="133">
        <v>43.704000000000001</v>
      </c>
      <c r="H289" s="133">
        <v>42.952500000000001</v>
      </c>
      <c r="I289" s="133"/>
      <c r="J289" s="134"/>
      <c r="K289" s="135"/>
      <c r="L289" s="29"/>
      <c r="M289" s="147"/>
      <c r="N289" s="147">
        <v>35.885300000000001</v>
      </c>
      <c r="O289" s="147">
        <v>43.682000000000002</v>
      </c>
      <c r="P289" s="147">
        <v>42.973500000000001</v>
      </c>
      <c r="Q289" s="147"/>
      <c r="R289" s="148"/>
      <c r="S289" s="149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1"/>
      <c r="D290" s="69">
        <v>40</v>
      </c>
      <c r="E290" s="136"/>
      <c r="F290" s="136">
        <v>33.770000000000003</v>
      </c>
      <c r="G290" s="136">
        <v>42.503900000000002</v>
      </c>
      <c r="H290" s="136">
        <v>42.029600000000002</v>
      </c>
      <c r="I290" s="136"/>
      <c r="J290" s="137"/>
      <c r="K290" s="138"/>
      <c r="L290" s="29"/>
      <c r="M290" s="150"/>
      <c r="N290" s="150">
        <v>33.768999999999998</v>
      </c>
      <c r="O290" s="150">
        <v>42.508499999999998</v>
      </c>
      <c r="P290" s="150">
        <v>42.023000000000003</v>
      </c>
      <c r="Q290" s="150"/>
      <c r="R290" s="151"/>
      <c r="S290" s="152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130"/>
      <c r="F291" s="130">
        <v>40.711500000000001</v>
      </c>
      <c r="G291" s="130">
        <v>47.330399999999997</v>
      </c>
      <c r="H291" s="130">
        <v>46.875500000000002</v>
      </c>
      <c r="I291" s="130"/>
      <c r="J291" s="131"/>
      <c r="K291" s="132"/>
      <c r="L291" s="29"/>
      <c r="M291" s="144"/>
      <c r="N291" s="144">
        <v>40.7089</v>
      </c>
      <c r="O291" s="144">
        <v>47.340499999999999</v>
      </c>
      <c r="P291" s="144">
        <v>46.895499999999998</v>
      </c>
      <c r="Q291" s="144"/>
      <c r="R291" s="145"/>
      <c r="S291" s="146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133"/>
      <c r="F292" s="133">
        <v>38.415900000000001</v>
      </c>
      <c r="G292" s="133">
        <v>45.711199999999998</v>
      </c>
      <c r="H292" s="133">
        <v>45.134099999999997</v>
      </c>
      <c r="I292" s="133"/>
      <c r="J292" s="134"/>
      <c r="K292" s="135"/>
      <c r="L292" s="29"/>
      <c r="M292" s="147"/>
      <c r="N292" s="147">
        <v>38.413800000000002</v>
      </c>
      <c r="O292" s="147">
        <v>45.689</v>
      </c>
      <c r="P292" s="147">
        <v>45.117899999999999</v>
      </c>
      <c r="Q292" s="147"/>
      <c r="R292" s="148"/>
      <c r="S292" s="149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133"/>
      <c r="F293" s="133">
        <v>36.244999999999997</v>
      </c>
      <c r="G293" s="133">
        <v>44.027099999999997</v>
      </c>
      <c r="H293" s="133">
        <v>43.499699999999997</v>
      </c>
      <c r="I293" s="133"/>
      <c r="J293" s="134"/>
      <c r="K293" s="135"/>
      <c r="L293" s="29"/>
      <c r="M293" s="147"/>
      <c r="N293" s="147">
        <v>36.245399999999997</v>
      </c>
      <c r="O293" s="147">
        <v>44.008200000000002</v>
      </c>
      <c r="P293" s="147">
        <v>43.516199999999998</v>
      </c>
      <c r="Q293" s="147"/>
      <c r="R293" s="148"/>
      <c r="S293" s="149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1"/>
      <c r="D294" s="69">
        <v>40</v>
      </c>
      <c r="E294" s="136"/>
      <c r="F294" s="136">
        <v>34.037300000000002</v>
      </c>
      <c r="G294" s="136">
        <v>42.705599999999997</v>
      </c>
      <c r="H294" s="136">
        <v>42.406799999999997</v>
      </c>
      <c r="I294" s="136"/>
      <c r="J294" s="137"/>
      <c r="K294" s="138"/>
      <c r="L294" s="29"/>
      <c r="M294" s="150"/>
      <c r="N294" s="150">
        <v>34.037100000000002</v>
      </c>
      <c r="O294" s="150">
        <v>42.706400000000002</v>
      </c>
      <c r="P294" s="150">
        <v>42.400500000000001</v>
      </c>
      <c r="Q294" s="150"/>
      <c r="R294" s="151"/>
      <c r="S294" s="152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130"/>
      <c r="F295" s="130">
        <v>40.616599999999998</v>
      </c>
      <c r="G295" s="130">
        <v>47.56</v>
      </c>
      <c r="H295" s="130">
        <v>47.197899999999997</v>
      </c>
      <c r="I295" s="130"/>
      <c r="J295" s="131"/>
      <c r="K295" s="132"/>
      <c r="L295" s="29"/>
      <c r="M295" s="144"/>
      <c r="N295" s="144">
        <v>40.616</v>
      </c>
      <c r="O295" s="144">
        <v>47.563000000000002</v>
      </c>
      <c r="P295" s="144">
        <v>47.198900000000002</v>
      </c>
      <c r="Q295" s="144"/>
      <c r="R295" s="145"/>
      <c r="S295" s="146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133"/>
      <c r="F296" s="133">
        <v>38.407499999999999</v>
      </c>
      <c r="G296" s="133">
        <v>46.017000000000003</v>
      </c>
      <c r="H296" s="133">
        <v>45.5807</v>
      </c>
      <c r="I296" s="133"/>
      <c r="J296" s="134"/>
      <c r="K296" s="135"/>
      <c r="L296" s="29"/>
      <c r="M296" s="147"/>
      <c r="N296" s="147">
        <v>38.407499999999999</v>
      </c>
      <c r="O296" s="147">
        <v>46.012500000000003</v>
      </c>
      <c r="P296" s="147">
        <v>45.578899999999997</v>
      </c>
      <c r="Q296" s="147"/>
      <c r="R296" s="148"/>
      <c r="S296" s="149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133"/>
      <c r="F297" s="133">
        <v>36.249699999999997</v>
      </c>
      <c r="G297" s="133">
        <v>44.187600000000003</v>
      </c>
      <c r="H297" s="133">
        <v>43.783299999999997</v>
      </c>
      <c r="I297" s="133"/>
      <c r="J297" s="134"/>
      <c r="K297" s="135"/>
      <c r="L297" s="29"/>
      <c r="M297" s="147"/>
      <c r="N297" s="147">
        <v>36.249400000000001</v>
      </c>
      <c r="O297" s="147">
        <v>44.1877</v>
      </c>
      <c r="P297" s="147">
        <v>43.784999999999997</v>
      </c>
      <c r="Q297" s="147"/>
      <c r="R297" s="148"/>
      <c r="S297" s="149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1"/>
      <c r="D298" s="69">
        <v>40</v>
      </c>
      <c r="E298" s="136"/>
      <c r="F298" s="136">
        <v>34.039200000000001</v>
      </c>
      <c r="G298" s="136">
        <v>42.878100000000003</v>
      </c>
      <c r="H298" s="136">
        <v>42.536799999999999</v>
      </c>
      <c r="I298" s="136"/>
      <c r="J298" s="137"/>
      <c r="K298" s="138"/>
      <c r="L298" s="29"/>
      <c r="M298" s="150"/>
      <c r="N298" s="150">
        <v>34.039000000000001</v>
      </c>
      <c r="O298" s="150">
        <v>42.877499999999998</v>
      </c>
      <c r="P298" s="150">
        <v>42.536999999999999</v>
      </c>
      <c r="Q298" s="150"/>
      <c r="R298" s="151"/>
      <c r="S298" s="152"/>
      <c r="U298" s="17"/>
      <c r="V298" s="18"/>
      <c r="W298" s="19"/>
      <c r="X298" s="29"/>
      <c r="Z298" s="59"/>
      <c r="AA298" s="55"/>
    </row>
    <row r="299" spans="2:27" ht="12.75">
      <c r="B299" s="36"/>
      <c r="C299" s="29" t="s">
        <v>50</v>
      </c>
      <c r="D299" s="32">
        <v>25</v>
      </c>
      <c r="E299" s="130"/>
      <c r="F299" s="130">
        <v>40.570500000000003</v>
      </c>
      <c r="G299" s="130">
        <v>47.481400000000001</v>
      </c>
      <c r="H299" s="130">
        <v>47.006500000000003</v>
      </c>
      <c r="I299" s="130"/>
      <c r="J299" s="131"/>
      <c r="K299" s="132"/>
      <c r="L299" s="29"/>
      <c r="M299" s="144"/>
      <c r="N299" s="144">
        <v>40.569299999999998</v>
      </c>
      <c r="O299" s="144">
        <v>47.479500000000002</v>
      </c>
      <c r="P299" s="144">
        <v>47.009900000000002</v>
      </c>
      <c r="Q299" s="144"/>
      <c r="R299" s="145"/>
      <c r="S299" s="146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133"/>
      <c r="F300" s="133">
        <v>38.350299999999997</v>
      </c>
      <c r="G300" s="133">
        <v>45.921199999999999</v>
      </c>
      <c r="H300" s="133">
        <v>45.38</v>
      </c>
      <c r="I300" s="133"/>
      <c r="J300" s="134"/>
      <c r="K300" s="135"/>
      <c r="L300" s="29"/>
      <c r="M300" s="147"/>
      <c r="N300" s="147">
        <v>38.351100000000002</v>
      </c>
      <c r="O300" s="147">
        <v>45.919400000000003</v>
      </c>
      <c r="P300" s="147">
        <v>45.380899999999997</v>
      </c>
      <c r="Q300" s="147"/>
      <c r="R300" s="148"/>
      <c r="S300" s="149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133"/>
      <c r="F301" s="133">
        <v>36.185899999999997</v>
      </c>
      <c r="G301" s="133">
        <v>44.081400000000002</v>
      </c>
      <c r="H301" s="133">
        <v>43.552399999999999</v>
      </c>
      <c r="I301" s="133"/>
      <c r="J301" s="134"/>
      <c r="K301" s="135"/>
      <c r="L301" s="29"/>
      <c r="M301" s="147"/>
      <c r="N301" s="147">
        <v>36.184100000000001</v>
      </c>
      <c r="O301" s="147">
        <v>44.079599999999999</v>
      </c>
      <c r="P301" s="147">
        <v>43.554499999999997</v>
      </c>
      <c r="Q301" s="147"/>
      <c r="R301" s="148"/>
      <c r="S301" s="149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1"/>
      <c r="D302" s="69">
        <v>40</v>
      </c>
      <c r="E302" s="136"/>
      <c r="F302" s="136">
        <v>33.963099999999997</v>
      </c>
      <c r="G302" s="136">
        <v>42.744500000000002</v>
      </c>
      <c r="H302" s="136">
        <v>42.277799999999999</v>
      </c>
      <c r="I302" s="136"/>
      <c r="J302" s="137"/>
      <c r="K302" s="138"/>
      <c r="L302" s="29"/>
      <c r="M302" s="150"/>
      <c r="N302" s="150">
        <v>33.962899999999998</v>
      </c>
      <c r="O302" s="150">
        <v>42.745100000000001</v>
      </c>
      <c r="P302" s="150">
        <v>42.277500000000003</v>
      </c>
      <c r="Q302" s="150"/>
      <c r="R302" s="151"/>
      <c r="S302" s="152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131"/>
      <c r="F303" s="131">
        <v>40.605600000000003</v>
      </c>
      <c r="G303" s="131">
        <v>47.047699999999999</v>
      </c>
      <c r="H303" s="131">
        <v>46.814999999999998</v>
      </c>
      <c r="I303" s="131"/>
      <c r="J303" s="131"/>
      <c r="K303" s="132"/>
      <c r="L303" s="29"/>
      <c r="M303" s="145"/>
      <c r="N303" s="145">
        <v>40.603499999999997</v>
      </c>
      <c r="O303" s="145">
        <v>47.031999999999996</v>
      </c>
      <c r="P303" s="145">
        <v>46.816400000000002</v>
      </c>
      <c r="Q303" s="145"/>
      <c r="R303" s="145"/>
      <c r="S303" s="146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134"/>
      <c r="F304" s="134">
        <v>38.270099999999999</v>
      </c>
      <c r="G304" s="134">
        <v>45.513599999999997</v>
      </c>
      <c r="H304" s="134">
        <v>45.19</v>
      </c>
      <c r="I304" s="134"/>
      <c r="J304" s="134"/>
      <c r="K304" s="135"/>
      <c r="L304" s="29"/>
      <c r="M304" s="148"/>
      <c r="N304" s="148">
        <v>38.268999999999998</v>
      </c>
      <c r="O304" s="148">
        <v>45.518300000000004</v>
      </c>
      <c r="P304" s="148">
        <v>45.1952</v>
      </c>
      <c r="Q304" s="148"/>
      <c r="R304" s="148"/>
      <c r="S304" s="149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134"/>
      <c r="F305" s="134">
        <v>36.077800000000003</v>
      </c>
      <c r="G305" s="134">
        <v>43.751100000000001</v>
      </c>
      <c r="H305" s="134">
        <v>43.403399999999998</v>
      </c>
      <c r="I305" s="134"/>
      <c r="J305" s="134"/>
      <c r="K305" s="135"/>
      <c r="L305" s="29"/>
      <c r="M305" s="148"/>
      <c r="N305" s="148">
        <v>36.075299999999999</v>
      </c>
      <c r="O305" s="148">
        <v>43.7562</v>
      </c>
      <c r="P305" s="148">
        <v>43.4208</v>
      </c>
      <c r="Q305" s="148"/>
      <c r="R305" s="148"/>
      <c r="S305" s="149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1"/>
      <c r="D306" s="69">
        <v>40</v>
      </c>
      <c r="E306" s="137"/>
      <c r="F306" s="137">
        <v>33.8611</v>
      </c>
      <c r="G306" s="137">
        <v>42.479199999999999</v>
      </c>
      <c r="H306" s="137">
        <v>42.0657</v>
      </c>
      <c r="I306" s="137"/>
      <c r="J306" s="137"/>
      <c r="K306" s="138"/>
      <c r="L306" s="29"/>
      <c r="M306" s="151"/>
      <c r="N306" s="151">
        <v>33.860399999999998</v>
      </c>
      <c r="O306" s="151">
        <v>42.4788</v>
      </c>
      <c r="P306" s="151">
        <v>42.062600000000003</v>
      </c>
      <c r="Q306" s="151"/>
      <c r="R306" s="151"/>
      <c r="S306" s="152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131"/>
      <c r="F307" s="131">
        <v>39.905099999999997</v>
      </c>
      <c r="G307" s="131">
        <v>46.216200000000001</v>
      </c>
      <c r="H307" s="131">
        <v>46.3949</v>
      </c>
      <c r="I307" s="131"/>
      <c r="J307" s="131"/>
      <c r="K307" s="132"/>
      <c r="L307" s="29"/>
      <c r="M307" s="145"/>
      <c r="N307" s="145">
        <v>39.905500000000004</v>
      </c>
      <c r="O307" s="145">
        <v>46.193199999999997</v>
      </c>
      <c r="P307" s="145">
        <v>46.390599999999999</v>
      </c>
      <c r="Q307" s="145"/>
      <c r="R307" s="145"/>
      <c r="S307" s="146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134"/>
      <c r="F308" s="134">
        <v>37.740400000000001</v>
      </c>
      <c r="G308" s="134">
        <v>44.888300000000001</v>
      </c>
      <c r="H308" s="134">
        <v>44.875700000000002</v>
      </c>
      <c r="I308" s="134"/>
      <c r="J308" s="134"/>
      <c r="K308" s="135"/>
      <c r="L308" s="29"/>
      <c r="M308" s="148"/>
      <c r="N308" s="148">
        <v>37.742600000000003</v>
      </c>
      <c r="O308" s="148">
        <v>44.898400000000002</v>
      </c>
      <c r="P308" s="148">
        <v>44.891500000000001</v>
      </c>
      <c r="Q308" s="148"/>
      <c r="R308" s="148"/>
      <c r="S308" s="149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134"/>
      <c r="F309" s="134">
        <v>35.661499999999997</v>
      </c>
      <c r="G309" s="134">
        <v>43.336399999999998</v>
      </c>
      <c r="H309" s="134">
        <v>43.204500000000003</v>
      </c>
      <c r="I309" s="134"/>
      <c r="J309" s="134"/>
      <c r="K309" s="135"/>
      <c r="L309" s="29"/>
      <c r="M309" s="148"/>
      <c r="N309" s="148">
        <v>35.659599999999998</v>
      </c>
      <c r="O309" s="148">
        <v>43.347299999999997</v>
      </c>
      <c r="P309" s="148">
        <v>43.216700000000003</v>
      </c>
      <c r="Q309" s="148"/>
      <c r="R309" s="148"/>
      <c r="S309" s="149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1"/>
      <c r="D310" s="69">
        <v>40</v>
      </c>
      <c r="E310" s="137"/>
      <c r="F310" s="137">
        <v>33.545400000000001</v>
      </c>
      <c r="G310" s="137">
        <v>42.153199999999998</v>
      </c>
      <c r="H310" s="137">
        <v>41.9392</v>
      </c>
      <c r="I310" s="137"/>
      <c r="J310" s="137"/>
      <c r="K310" s="138"/>
      <c r="L310" s="29"/>
      <c r="M310" s="151"/>
      <c r="N310" s="151">
        <v>33.545499999999997</v>
      </c>
      <c r="O310" s="151">
        <v>42.153700000000001</v>
      </c>
      <c r="P310" s="151">
        <v>41.94</v>
      </c>
      <c r="Q310" s="151"/>
      <c r="R310" s="151"/>
      <c r="S310" s="152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134">
        <v>4216.9080000000004</v>
      </c>
      <c r="F311" s="134"/>
      <c r="G311" s="134"/>
      <c r="H311" s="134"/>
      <c r="I311" s="134">
        <v>39394.230000000003</v>
      </c>
      <c r="J311" s="134">
        <v>106.52</v>
      </c>
      <c r="K311" s="135">
        <v>737.4</v>
      </c>
      <c r="L311" s="29"/>
      <c r="M311" s="148">
        <v>4216.6495999999997</v>
      </c>
      <c r="N311" s="148"/>
      <c r="O311" s="148"/>
      <c r="P311" s="148"/>
      <c r="Q311" s="148">
        <v>39362.26</v>
      </c>
      <c r="R311" s="148">
        <v>111.82</v>
      </c>
      <c r="S311" s="149">
        <v>770.45</v>
      </c>
      <c r="U311" s="8"/>
      <c r="V311" s="9"/>
      <c r="W311" s="10"/>
      <c r="X311" s="29"/>
      <c r="Y311" s="59">
        <f>GEOMEAN(Q311:Q314)/GEOMEAN(I311:I314)</f>
        <v>0.99744677043010865</v>
      </c>
      <c r="Z311" s="59">
        <f>GEOMEAN(R311:R314)/GEOMEAN(J311:J314)</f>
        <v>1.0007510915544993</v>
      </c>
      <c r="AA311" s="55">
        <f>GEOMEAN(S311:S314)/GEOMEAN(K311:K314)</f>
        <v>1.0163639288799442</v>
      </c>
    </row>
    <row r="312" spans="1:27" ht="12.75">
      <c r="B312" s="36"/>
      <c r="C312" s="29"/>
      <c r="D312" s="32">
        <v>30</v>
      </c>
      <c r="E312" s="134">
        <v>1451.492</v>
      </c>
      <c r="F312" s="134"/>
      <c r="G312" s="134"/>
      <c r="H312" s="134"/>
      <c r="I312" s="134">
        <v>30215.96</v>
      </c>
      <c r="J312" s="134">
        <v>87.89</v>
      </c>
      <c r="K312" s="135">
        <v>747.12</v>
      </c>
      <c r="L312" s="29"/>
      <c r="M312" s="148">
        <v>1451.9936</v>
      </c>
      <c r="N312" s="148"/>
      <c r="O312" s="148"/>
      <c r="P312" s="148"/>
      <c r="Q312" s="148">
        <v>30103.8</v>
      </c>
      <c r="R312" s="148">
        <v>86.3</v>
      </c>
      <c r="S312" s="149">
        <v>760.78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134">
        <v>656.71280000000002</v>
      </c>
      <c r="F313" s="134"/>
      <c r="G313" s="134"/>
      <c r="H313" s="134"/>
      <c r="I313" s="134">
        <v>26898.25</v>
      </c>
      <c r="J313" s="134">
        <v>96.06</v>
      </c>
      <c r="K313" s="135">
        <v>773.55</v>
      </c>
      <c r="L313" s="29"/>
      <c r="M313" s="148">
        <v>656.33759999999995</v>
      </c>
      <c r="N313" s="148"/>
      <c r="O313" s="148"/>
      <c r="P313" s="148"/>
      <c r="Q313" s="148">
        <v>26804.02</v>
      </c>
      <c r="R313" s="148">
        <v>93.19</v>
      </c>
      <c r="S313" s="149">
        <v>778.61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0"/>
      <c r="C314" s="51"/>
      <c r="D314" s="69">
        <v>40</v>
      </c>
      <c r="E314" s="137">
        <v>331.41359999999997</v>
      </c>
      <c r="F314" s="137"/>
      <c r="G314" s="137"/>
      <c r="H314" s="137"/>
      <c r="I314" s="137">
        <v>24208.65</v>
      </c>
      <c r="J314" s="137">
        <v>92.13</v>
      </c>
      <c r="K314" s="138">
        <v>774.56</v>
      </c>
      <c r="L314" s="29"/>
      <c r="M314" s="151">
        <v>331.5496</v>
      </c>
      <c r="N314" s="151"/>
      <c r="O314" s="151"/>
      <c r="P314" s="151"/>
      <c r="Q314" s="151">
        <v>24155.79</v>
      </c>
      <c r="R314" s="151">
        <v>92.41</v>
      </c>
      <c r="S314" s="152">
        <v>771.81</v>
      </c>
      <c r="U314" s="82"/>
      <c r="V314" s="83"/>
      <c r="W314" s="84"/>
      <c r="X314" s="29"/>
      <c r="Y314" s="47"/>
      <c r="Z314" s="47"/>
      <c r="AA314" s="52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130">
        <v>4628.1440000000002</v>
      </c>
      <c r="F315" s="130">
        <v>38.803199999999997</v>
      </c>
      <c r="G315" s="130">
        <v>46.650700000000001</v>
      </c>
      <c r="H315" s="130">
        <v>45.958799999999997</v>
      </c>
      <c r="I315" s="130"/>
      <c r="J315" s="131"/>
      <c r="K315" s="132"/>
      <c r="L315" s="29"/>
      <c r="M315" s="144">
        <v>4628.1440000000002</v>
      </c>
      <c r="N315" s="144">
        <v>38.803199999999997</v>
      </c>
      <c r="O315" s="144">
        <v>46.650700000000001</v>
      </c>
      <c r="P315" s="144">
        <v>45.958799999999997</v>
      </c>
      <c r="Q315" s="144"/>
      <c r="R315" s="145"/>
      <c r="S315" s="146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133">
        <v>2007.308</v>
      </c>
      <c r="F316" s="133">
        <v>35.911799999999999</v>
      </c>
      <c r="G316" s="133">
        <v>45.155500000000004</v>
      </c>
      <c r="H316" s="133">
        <v>44.572600000000001</v>
      </c>
      <c r="I316" s="133"/>
      <c r="J316" s="134"/>
      <c r="K316" s="135"/>
      <c r="L316" s="29"/>
      <c r="M316" s="147">
        <v>2007.308</v>
      </c>
      <c r="N316" s="147">
        <v>35.911799999999999</v>
      </c>
      <c r="O316" s="147">
        <v>45.155500000000004</v>
      </c>
      <c r="P316" s="147">
        <v>44.572600000000001</v>
      </c>
      <c r="Q316" s="147"/>
      <c r="R316" s="148"/>
      <c r="S316" s="149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133">
        <v>916.85599999999999</v>
      </c>
      <c r="F317" s="133">
        <v>33.377400000000002</v>
      </c>
      <c r="G317" s="133">
        <v>43.7864</v>
      </c>
      <c r="H317" s="133">
        <v>43.341200000000001</v>
      </c>
      <c r="I317" s="133"/>
      <c r="J317" s="134"/>
      <c r="K317" s="135"/>
      <c r="L317" s="29"/>
      <c r="M317" s="147">
        <v>916.85599999999999</v>
      </c>
      <c r="N317" s="147">
        <v>33.377400000000002</v>
      </c>
      <c r="O317" s="147">
        <v>43.7864</v>
      </c>
      <c r="P317" s="147">
        <v>43.341200000000001</v>
      </c>
      <c r="Q317" s="147"/>
      <c r="R317" s="148"/>
      <c r="S317" s="149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136">
        <v>425.44720000000001</v>
      </c>
      <c r="F318" s="136">
        <v>31.080500000000001</v>
      </c>
      <c r="G318" s="136">
        <v>42.991700000000002</v>
      </c>
      <c r="H318" s="136">
        <v>42.590800000000002</v>
      </c>
      <c r="I318" s="136"/>
      <c r="J318" s="137"/>
      <c r="K318" s="138"/>
      <c r="L318" s="29"/>
      <c r="M318" s="150">
        <v>425.44720000000001</v>
      </c>
      <c r="N318" s="150">
        <v>31.080500000000001</v>
      </c>
      <c r="O318" s="150">
        <v>42.991700000000002</v>
      </c>
      <c r="P318" s="150">
        <v>42.590800000000002</v>
      </c>
      <c r="Q318" s="150"/>
      <c r="R318" s="151"/>
      <c r="S318" s="152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133">
        <v>908.73599999999999</v>
      </c>
      <c r="F319" s="133">
        <v>37.978200000000001</v>
      </c>
      <c r="G319" s="133">
        <v>46.576300000000003</v>
      </c>
      <c r="H319" s="133">
        <v>45.973700000000001</v>
      </c>
      <c r="I319" s="133"/>
      <c r="J319" s="134"/>
      <c r="K319" s="135"/>
      <c r="L319" s="29"/>
      <c r="M319" s="147">
        <v>907.84</v>
      </c>
      <c r="N319" s="147">
        <v>37.978200000000001</v>
      </c>
      <c r="O319" s="147">
        <v>46.576300000000003</v>
      </c>
      <c r="P319" s="147">
        <v>45.974400000000003</v>
      </c>
      <c r="Q319" s="147"/>
      <c r="R319" s="148"/>
      <c r="S319" s="149"/>
      <c r="U319" s="8">
        <f>bdrate($E319:$E322,F319:F322,$M319:$M322,N319:N322)</f>
        <v>-1.070305550036621E-3</v>
      </c>
      <c r="V319" s="9">
        <f>bdrate($E319:$E322,G319:G322,$M319:$M322,O319:O322)</f>
        <v>-5.0632021934793325E-4</v>
      </c>
      <c r="W319" s="10">
        <f>bdrate($E319:$E322,H319:H322,$M319:$M322,P319:P322)</f>
        <v>-2.2526846212723717E-3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133">
        <v>318.01440000000002</v>
      </c>
      <c r="F320" s="133">
        <v>35.351900000000001</v>
      </c>
      <c r="G320" s="133">
        <v>45.123199999999997</v>
      </c>
      <c r="H320" s="133">
        <v>44.588999999999999</v>
      </c>
      <c r="I320" s="133"/>
      <c r="J320" s="134"/>
      <c r="K320" s="135"/>
      <c r="L320" s="29"/>
      <c r="M320" s="147">
        <v>318.14960000000002</v>
      </c>
      <c r="N320" s="147">
        <v>35.352600000000002</v>
      </c>
      <c r="O320" s="147">
        <v>45.121299999999998</v>
      </c>
      <c r="P320" s="147">
        <v>44.5899</v>
      </c>
      <c r="Q320" s="147"/>
      <c r="R320" s="148"/>
      <c r="S320" s="149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133">
        <v>136.0352</v>
      </c>
      <c r="F321" s="133">
        <v>32.953600000000002</v>
      </c>
      <c r="G321" s="133">
        <v>43.843200000000003</v>
      </c>
      <c r="H321" s="133">
        <v>43.408000000000001</v>
      </c>
      <c r="I321" s="133"/>
      <c r="J321" s="134"/>
      <c r="K321" s="135"/>
      <c r="L321" s="29"/>
      <c r="M321" s="147">
        <v>135.73519999999999</v>
      </c>
      <c r="N321" s="147">
        <v>32.954000000000001</v>
      </c>
      <c r="O321" s="147">
        <v>43.846200000000003</v>
      </c>
      <c r="P321" s="147">
        <v>43.4129</v>
      </c>
      <c r="Q321" s="147"/>
      <c r="R321" s="148"/>
      <c r="S321" s="149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133">
        <v>62.593600000000002</v>
      </c>
      <c r="F322" s="133">
        <v>30.733699999999999</v>
      </c>
      <c r="G322" s="133">
        <v>43.044499999999999</v>
      </c>
      <c r="H322" s="133">
        <v>42.6599</v>
      </c>
      <c r="I322" s="133"/>
      <c r="J322" s="134"/>
      <c r="K322" s="135"/>
      <c r="L322" s="29"/>
      <c r="M322" s="147">
        <v>62.548000000000002</v>
      </c>
      <c r="N322" s="147">
        <v>30.7363</v>
      </c>
      <c r="O322" s="147">
        <v>43.041200000000003</v>
      </c>
      <c r="P322" s="147">
        <v>42.659500000000001</v>
      </c>
      <c r="Q322" s="147"/>
      <c r="R322" s="148"/>
      <c r="S322" s="149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130">
        <v>863.74480000000005</v>
      </c>
      <c r="F323" s="130">
        <v>38.143799999999999</v>
      </c>
      <c r="G323" s="130">
        <v>46.514699999999998</v>
      </c>
      <c r="H323" s="130">
        <v>45.778599999999997</v>
      </c>
      <c r="I323" s="130"/>
      <c r="J323" s="131"/>
      <c r="K323" s="132"/>
      <c r="L323" s="29"/>
      <c r="M323" s="144">
        <v>864.33759999999995</v>
      </c>
      <c r="N323" s="144">
        <v>38.144100000000002</v>
      </c>
      <c r="O323" s="144">
        <v>46.515799999999999</v>
      </c>
      <c r="P323" s="144">
        <v>45.778700000000001</v>
      </c>
      <c r="Q323" s="144"/>
      <c r="R323" s="145"/>
      <c r="S323" s="146"/>
      <c r="U323" s="8">
        <f>bdrate($E323:$E326,F323:F326,$M323:$M326,N323:N326)</f>
        <v>-7.585201834544586E-4</v>
      </c>
      <c r="V323" s="9">
        <f>bdrate($E323:$E326,G323:G326,$M323:$M326,O323:O326)</f>
        <v>-2.4959253571532614E-4</v>
      </c>
      <c r="W323" s="10">
        <f>bdrate($E323:$E326,H323:H326,$M323:$M326,P323:P326)</f>
        <v>7.1321704893545501E-5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133">
        <v>302.82799999999997</v>
      </c>
      <c r="F324" s="133">
        <v>35.534300000000002</v>
      </c>
      <c r="G324" s="133">
        <v>45.05</v>
      </c>
      <c r="H324" s="133">
        <v>44.430399999999999</v>
      </c>
      <c r="I324" s="133"/>
      <c r="J324" s="134"/>
      <c r="K324" s="135"/>
      <c r="L324" s="29"/>
      <c r="M324" s="147">
        <v>302.82560000000001</v>
      </c>
      <c r="N324" s="147">
        <v>35.534199999999998</v>
      </c>
      <c r="O324" s="147">
        <v>45.049199999999999</v>
      </c>
      <c r="P324" s="147">
        <v>44.429499999999997</v>
      </c>
      <c r="Q324" s="147"/>
      <c r="R324" s="148"/>
      <c r="S324" s="149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133">
        <v>130.06960000000001</v>
      </c>
      <c r="F325" s="133">
        <v>33.1447</v>
      </c>
      <c r="G325" s="133">
        <v>43.759599999999999</v>
      </c>
      <c r="H325" s="133">
        <v>43.263399999999997</v>
      </c>
      <c r="I325" s="133"/>
      <c r="J325" s="134"/>
      <c r="K325" s="135"/>
      <c r="L325" s="29"/>
      <c r="M325" s="147">
        <v>129.83279999999999</v>
      </c>
      <c r="N325" s="147">
        <v>33.145000000000003</v>
      </c>
      <c r="O325" s="147">
        <v>43.759</v>
      </c>
      <c r="P325" s="147">
        <v>43.262900000000002</v>
      </c>
      <c r="Q325" s="147"/>
      <c r="R325" s="148"/>
      <c r="S325" s="149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1"/>
      <c r="D326" s="69">
        <v>40</v>
      </c>
      <c r="E326" s="136">
        <v>60.2256</v>
      </c>
      <c r="F326" s="136">
        <v>30.9087</v>
      </c>
      <c r="G326" s="136">
        <v>42.955599999999997</v>
      </c>
      <c r="H326" s="136">
        <v>42.518000000000001</v>
      </c>
      <c r="I326" s="136"/>
      <c r="J326" s="137"/>
      <c r="K326" s="138"/>
      <c r="L326" s="29"/>
      <c r="M326" s="150">
        <v>60.134399999999999</v>
      </c>
      <c r="N326" s="150">
        <v>30.9087</v>
      </c>
      <c r="O326" s="150">
        <v>42.955100000000002</v>
      </c>
      <c r="P326" s="150">
        <v>42.515799999999999</v>
      </c>
      <c r="Q326" s="150"/>
      <c r="R326" s="151"/>
      <c r="S326" s="152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130">
        <v>207.29679999999999</v>
      </c>
      <c r="F327" s="130">
        <v>47.519599999999997</v>
      </c>
      <c r="G327" s="130"/>
      <c r="H327" s="130"/>
      <c r="I327" s="130"/>
      <c r="J327" s="131"/>
      <c r="K327" s="132"/>
      <c r="L327" s="29"/>
      <c r="M327" s="144">
        <v>207.29679999999999</v>
      </c>
      <c r="N327" s="144">
        <v>47.519599999999997</v>
      </c>
      <c r="O327" s="144"/>
      <c r="P327" s="144"/>
      <c r="Q327" s="144"/>
      <c r="R327" s="145"/>
      <c r="S327" s="146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133">
        <v>93.056799999999996</v>
      </c>
      <c r="F328" s="133">
        <v>42.8932</v>
      </c>
      <c r="G328" s="133"/>
      <c r="H328" s="133"/>
      <c r="I328" s="133"/>
      <c r="J328" s="134"/>
      <c r="K328" s="135"/>
      <c r="L328" s="29"/>
      <c r="M328" s="147">
        <v>93.056799999999996</v>
      </c>
      <c r="N328" s="147">
        <v>42.8932</v>
      </c>
      <c r="O328" s="147"/>
      <c r="P328" s="147"/>
      <c r="Q328" s="147"/>
      <c r="R328" s="148"/>
      <c r="S328" s="149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133">
        <v>45.5336</v>
      </c>
      <c r="F329" s="133">
        <v>39.178699999999999</v>
      </c>
      <c r="G329" s="133"/>
      <c r="H329" s="133"/>
      <c r="I329" s="133"/>
      <c r="J329" s="134"/>
      <c r="K329" s="135"/>
      <c r="L329" s="29"/>
      <c r="M329" s="147">
        <v>45.5336</v>
      </c>
      <c r="N329" s="147">
        <v>39.178699999999999</v>
      </c>
      <c r="O329" s="147"/>
      <c r="P329" s="147"/>
      <c r="Q329" s="147"/>
      <c r="R329" s="148"/>
      <c r="S329" s="149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136">
        <v>21.655200000000001</v>
      </c>
      <c r="F330" s="136">
        <v>35.120699999999999</v>
      </c>
      <c r="G330" s="136"/>
      <c r="H330" s="136"/>
      <c r="I330" s="136"/>
      <c r="J330" s="137"/>
      <c r="K330" s="138"/>
      <c r="L330" s="29"/>
      <c r="M330" s="150">
        <v>21.655200000000001</v>
      </c>
      <c r="N330" s="150">
        <v>35.120699999999999</v>
      </c>
      <c r="O330" s="150"/>
      <c r="P330" s="150"/>
      <c r="Q330" s="150"/>
      <c r="R330" s="151"/>
      <c r="S330" s="152"/>
      <c r="U330" s="17"/>
      <c r="V330" s="18"/>
      <c r="W330" s="19"/>
      <c r="X330" s="29"/>
      <c r="Y330" s="59"/>
      <c r="Z330" s="59"/>
      <c r="AA330" s="55"/>
    </row>
    <row r="331" spans="2:27" ht="12.75">
      <c r="B331" s="36"/>
      <c r="C331" s="28" t="s">
        <v>30</v>
      </c>
      <c r="D331" s="31">
        <v>34</v>
      </c>
      <c r="E331" s="130">
        <v>93.115200000000002</v>
      </c>
      <c r="F331" s="130">
        <v>46.182299999999998</v>
      </c>
      <c r="G331" s="130"/>
      <c r="H331" s="130"/>
      <c r="I331" s="130"/>
      <c r="J331" s="131"/>
      <c r="K331" s="132"/>
      <c r="L331" s="29"/>
      <c r="M331" s="144">
        <v>93.322400000000002</v>
      </c>
      <c r="N331" s="144">
        <v>46.1935</v>
      </c>
      <c r="O331" s="144"/>
      <c r="P331" s="144"/>
      <c r="Q331" s="144"/>
      <c r="R331" s="145"/>
      <c r="S331" s="146"/>
      <c r="U331" s="8">
        <f>bdrate($E331:$E334,F331:F334,$M331:$M334,N331:N334)</f>
        <v>2.1074554252882294E-3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133">
        <v>37.171199999999999</v>
      </c>
      <c r="F332" s="133">
        <v>41.874200000000002</v>
      </c>
      <c r="G332" s="133"/>
      <c r="H332" s="133"/>
      <c r="I332" s="133"/>
      <c r="J332" s="134"/>
      <c r="K332" s="135"/>
      <c r="L332" s="29"/>
      <c r="M332" s="147">
        <v>37.336799999999997</v>
      </c>
      <c r="N332" s="147">
        <v>41.8598</v>
      </c>
      <c r="O332" s="147"/>
      <c r="P332" s="147"/>
      <c r="Q332" s="147"/>
      <c r="R332" s="148"/>
      <c r="S332" s="149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133">
        <v>18.799199999999999</v>
      </c>
      <c r="F333" s="133">
        <v>38.390599999999999</v>
      </c>
      <c r="G333" s="133"/>
      <c r="H333" s="133"/>
      <c r="I333" s="133"/>
      <c r="J333" s="134"/>
      <c r="K333" s="135"/>
      <c r="L333" s="29"/>
      <c r="M333" s="147">
        <v>18.753599999999999</v>
      </c>
      <c r="N333" s="147">
        <v>38.398899999999998</v>
      </c>
      <c r="O333" s="147"/>
      <c r="P333" s="147"/>
      <c r="Q333" s="147"/>
      <c r="R333" s="148"/>
      <c r="S333" s="149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136">
        <v>9.4960000000000004</v>
      </c>
      <c r="F334" s="136">
        <v>34.5565</v>
      </c>
      <c r="G334" s="136"/>
      <c r="H334" s="136"/>
      <c r="I334" s="136"/>
      <c r="J334" s="137"/>
      <c r="K334" s="138"/>
      <c r="L334" s="29"/>
      <c r="M334" s="150">
        <v>9.5215999999999994</v>
      </c>
      <c r="N334" s="150">
        <v>34.542299999999997</v>
      </c>
      <c r="O334" s="150"/>
      <c r="P334" s="150"/>
      <c r="Q334" s="150"/>
      <c r="R334" s="151"/>
      <c r="S334" s="152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130">
        <v>93.187200000000004</v>
      </c>
      <c r="F335" s="130">
        <v>46.325499999999998</v>
      </c>
      <c r="G335" s="130"/>
      <c r="H335" s="130"/>
      <c r="I335" s="130"/>
      <c r="J335" s="131"/>
      <c r="K335" s="132"/>
      <c r="L335" s="29"/>
      <c r="M335" s="144">
        <v>93.8</v>
      </c>
      <c r="N335" s="144">
        <v>46.337800000000001</v>
      </c>
      <c r="O335" s="144"/>
      <c r="P335" s="144"/>
      <c r="Q335" s="144"/>
      <c r="R335" s="145"/>
      <c r="S335" s="146"/>
      <c r="U335" s="8">
        <f>bdrate($E335:$E338,F335:F338,$M335:$M338,N335:N338)</f>
        <v>3.0165715461643039E-3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133">
        <v>38.4056</v>
      </c>
      <c r="F336" s="133">
        <v>41.969299999999997</v>
      </c>
      <c r="G336" s="133"/>
      <c r="H336" s="133"/>
      <c r="I336" s="133"/>
      <c r="J336" s="134"/>
      <c r="K336" s="135"/>
      <c r="L336" s="29"/>
      <c r="M336" s="147">
        <v>38.532800000000002</v>
      </c>
      <c r="N336" s="147">
        <v>41.975999999999999</v>
      </c>
      <c r="O336" s="147"/>
      <c r="P336" s="147"/>
      <c r="Q336" s="147"/>
      <c r="R336" s="148"/>
      <c r="S336" s="149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133">
        <v>19.591200000000001</v>
      </c>
      <c r="F337" s="133">
        <v>38.433700000000002</v>
      </c>
      <c r="G337" s="133"/>
      <c r="H337" s="133"/>
      <c r="I337" s="133"/>
      <c r="J337" s="134"/>
      <c r="K337" s="135"/>
      <c r="L337" s="29"/>
      <c r="M337" s="147">
        <v>19.571200000000001</v>
      </c>
      <c r="N337" s="147">
        <v>38.4176</v>
      </c>
      <c r="O337" s="147"/>
      <c r="P337" s="147"/>
      <c r="Q337" s="147"/>
      <c r="R337" s="148"/>
      <c r="S337" s="149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136">
        <v>10.1744</v>
      </c>
      <c r="F338" s="136">
        <v>34.748399999999997</v>
      </c>
      <c r="G338" s="136"/>
      <c r="H338" s="136"/>
      <c r="I338" s="136"/>
      <c r="J338" s="137"/>
      <c r="K338" s="138"/>
      <c r="L338" s="29"/>
      <c r="M338" s="150">
        <v>10.2576</v>
      </c>
      <c r="N338" s="150">
        <v>34.747399999999999</v>
      </c>
      <c r="O338" s="150"/>
      <c r="P338" s="150"/>
      <c r="Q338" s="150"/>
      <c r="R338" s="151"/>
      <c r="S338" s="152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130"/>
      <c r="F339" s="130">
        <v>38.519799999999996</v>
      </c>
      <c r="G339" s="130">
        <v>46.592300000000002</v>
      </c>
      <c r="H339" s="130">
        <v>45.676299999999998</v>
      </c>
      <c r="I339" s="130"/>
      <c r="J339" s="131"/>
      <c r="K339" s="132"/>
      <c r="L339" s="29"/>
      <c r="M339" s="144"/>
      <c r="N339" s="144">
        <v>38.520899999999997</v>
      </c>
      <c r="O339" s="144">
        <v>46.591700000000003</v>
      </c>
      <c r="P339" s="144">
        <v>45.6434</v>
      </c>
      <c r="Q339" s="144"/>
      <c r="R339" s="145"/>
      <c r="S339" s="146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133"/>
      <c r="F340" s="133">
        <v>35.700899999999997</v>
      </c>
      <c r="G340" s="133">
        <v>45.267000000000003</v>
      </c>
      <c r="H340" s="133">
        <v>44.497999999999998</v>
      </c>
      <c r="I340" s="133"/>
      <c r="J340" s="134"/>
      <c r="K340" s="135"/>
      <c r="L340" s="29"/>
      <c r="M340" s="147"/>
      <c r="N340" s="147">
        <v>35.698599999999999</v>
      </c>
      <c r="O340" s="147">
        <v>45.253900000000002</v>
      </c>
      <c r="P340" s="147">
        <v>44.522300000000001</v>
      </c>
      <c r="Q340" s="147"/>
      <c r="R340" s="148"/>
      <c r="S340" s="149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133"/>
      <c r="F341" s="133">
        <v>33.178400000000003</v>
      </c>
      <c r="G341" s="133">
        <v>43.975299999999997</v>
      </c>
      <c r="H341" s="133">
        <v>43.482399999999998</v>
      </c>
      <c r="I341" s="133"/>
      <c r="J341" s="134"/>
      <c r="K341" s="135"/>
      <c r="L341" s="29"/>
      <c r="M341" s="147"/>
      <c r="N341" s="147">
        <v>33.177500000000002</v>
      </c>
      <c r="O341" s="147">
        <v>43.955599999999997</v>
      </c>
      <c r="P341" s="147">
        <v>43.482300000000002</v>
      </c>
      <c r="Q341" s="147"/>
      <c r="R341" s="148"/>
      <c r="S341" s="149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1"/>
      <c r="D342" s="69">
        <v>40</v>
      </c>
      <c r="E342" s="136"/>
      <c r="F342" s="136">
        <v>30.865600000000001</v>
      </c>
      <c r="G342" s="136">
        <v>43.25</v>
      </c>
      <c r="H342" s="136">
        <v>42.758099999999999</v>
      </c>
      <c r="I342" s="136"/>
      <c r="J342" s="137"/>
      <c r="K342" s="138"/>
      <c r="L342" s="29"/>
      <c r="M342" s="150"/>
      <c r="N342" s="150">
        <v>30.866599999999998</v>
      </c>
      <c r="O342" s="150">
        <v>43.263800000000003</v>
      </c>
      <c r="P342" s="150">
        <v>42.759700000000002</v>
      </c>
      <c r="Q342" s="150"/>
      <c r="R342" s="151"/>
      <c r="S342" s="152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130"/>
      <c r="F343" s="130">
        <v>38.918100000000003</v>
      </c>
      <c r="G343" s="130">
        <v>46.955199999999998</v>
      </c>
      <c r="H343" s="130">
        <v>46.052199999999999</v>
      </c>
      <c r="I343" s="130"/>
      <c r="J343" s="131"/>
      <c r="K343" s="132"/>
      <c r="L343" s="29"/>
      <c r="M343" s="144"/>
      <c r="N343" s="144">
        <v>38.9208</v>
      </c>
      <c r="O343" s="144">
        <v>46.951999999999998</v>
      </c>
      <c r="P343" s="144">
        <v>46.013399999999997</v>
      </c>
      <c r="Q343" s="144"/>
      <c r="R343" s="145"/>
      <c r="S343" s="146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133"/>
      <c r="F344" s="133">
        <v>35.969900000000003</v>
      </c>
      <c r="G344" s="133">
        <v>45.519500000000001</v>
      </c>
      <c r="H344" s="133">
        <v>44.8108</v>
      </c>
      <c r="I344" s="133"/>
      <c r="J344" s="134"/>
      <c r="K344" s="135"/>
      <c r="L344" s="29"/>
      <c r="M344" s="147"/>
      <c r="N344" s="147">
        <v>35.970500000000001</v>
      </c>
      <c r="O344" s="147">
        <v>45.522799999999997</v>
      </c>
      <c r="P344" s="147">
        <v>44.8245</v>
      </c>
      <c r="Q344" s="147"/>
      <c r="R344" s="148"/>
      <c r="S344" s="149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133"/>
      <c r="F345" s="133">
        <v>33.369700000000002</v>
      </c>
      <c r="G345" s="133">
        <v>44.184600000000003</v>
      </c>
      <c r="H345" s="133">
        <v>43.7104</v>
      </c>
      <c r="I345" s="133"/>
      <c r="J345" s="134"/>
      <c r="K345" s="135"/>
      <c r="L345" s="29"/>
      <c r="M345" s="147"/>
      <c r="N345" s="147">
        <v>33.3673</v>
      </c>
      <c r="O345" s="147">
        <v>44.171100000000003</v>
      </c>
      <c r="P345" s="147">
        <v>43.7149</v>
      </c>
      <c r="Q345" s="147"/>
      <c r="R345" s="148"/>
      <c r="S345" s="149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1"/>
      <c r="D346" s="69">
        <v>40</v>
      </c>
      <c r="E346" s="136"/>
      <c r="F346" s="136">
        <v>31.0014</v>
      </c>
      <c r="G346" s="136">
        <v>43.407800000000002</v>
      </c>
      <c r="H346" s="136">
        <v>42.972499999999997</v>
      </c>
      <c r="I346" s="136"/>
      <c r="J346" s="137"/>
      <c r="K346" s="138"/>
      <c r="L346" s="29"/>
      <c r="M346" s="150"/>
      <c r="N346" s="150">
        <v>31.004100000000001</v>
      </c>
      <c r="O346" s="150">
        <v>43.415799999999997</v>
      </c>
      <c r="P346" s="150">
        <v>42.976900000000001</v>
      </c>
      <c r="Q346" s="150"/>
      <c r="R346" s="151"/>
      <c r="S346" s="152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130"/>
      <c r="F347" s="130">
        <v>39.0212</v>
      </c>
      <c r="G347" s="130">
        <v>47.397500000000001</v>
      </c>
      <c r="H347" s="130">
        <v>46.810899999999997</v>
      </c>
      <c r="I347" s="130"/>
      <c r="J347" s="131"/>
      <c r="K347" s="132"/>
      <c r="L347" s="29"/>
      <c r="M347" s="144"/>
      <c r="N347" s="144">
        <v>39.020099999999999</v>
      </c>
      <c r="O347" s="144">
        <v>47.396799999999999</v>
      </c>
      <c r="P347" s="144">
        <v>46.810299999999998</v>
      </c>
      <c r="Q347" s="144"/>
      <c r="R347" s="145"/>
      <c r="S347" s="146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133"/>
      <c r="F348" s="133">
        <v>36.0336</v>
      </c>
      <c r="G348" s="133">
        <v>45.8262</v>
      </c>
      <c r="H348" s="133">
        <v>45.2911</v>
      </c>
      <c r="I348" s="133"/>
      <c r="J348" s="134"/>
      <c r="K348" s="135"/>
      <c r="L348" s="29"/>
      <c r="M348" s="147"/>
      <c r="N348" s="147">
        <v>36.030500000000004</v>
      </c>
      <c r="O348" s="147">
        <v>45.825899999999997</v>
      </c>
      <c r="P348" s="147">
        <v>45.292099999999998</v>
      </c>
      <c r="Q348" s="147"/>
      <c r="R348" s="148"/>
      <c r="S348" s="149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133"/>
      <c r="F349" s="133">
        <v>33.423900000000003</v>
      </c>
      <c r="G349" s="133">
        <v>44.382100000000001</v>
      </c>
      <c r="H349" s="133">
        <v>43.961399999999998</v>
      </c>
      <c r="I349" s="133"/>
      <c r="J349" s="134"/>
      <c r="K349" s="135"/>
      <c r="L349" s="29"/>
      <c r="M349" s="147"/>
      <c r="N349" s="147">
        <v>33.422199999999997</v>
      </c>
      <c r="O349" s="147">
        <v>44.383499999999998</v>
      </c>
      <c r="P349" s="147">
        <v>43.962499999999999</v>
      </c>
      <c r="Q349" s="147"/>
      <c r="R349" s="148"/>
      <c r="S349" s="149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1"/>
      <c r="D350" s="69">
        <v>40</v>
      </c>
      <c r="E350" s="136"/>
      <c r="F350" s="136">
        <v>31.0549</v>
      </c>
      <c r="G350" s="136">
        <v>43.534700000000001</v>
      </c>
      <c r="H350" s="136">
        <v>43.154600000000002</v>
      </c>
      <c r="I350" s="136"/>
      <c r="J350" s="137"/>
      <c r="K350" s="138"/>
      <c r="L350" s="29"/>
      <c r="M350" s="150"/>
      <c r="N350" s="150">
        <v>31.057099999999998</v>
      </c>
      <c r="O350" s="150">
        <v>43.534100000000002</v>
      </c>
      <c r="P350" s="150">
        <v>43.154699999999998</v>
      </c>
      <c r="Q350" s="150"/>
      <c r="R350" s="151"/>
      <c r="S350" s="152"/>
      <c r="U350" s="17"/>
      <c r="V350" s="18"/>
      <c r="W350" s="19"/>
      <c r="X350" s="29"/>
      <c r="Z350" s="59"/>
      <c r="AA350" s="55"/>
    </row>
    <row r="351" spans="2:27" ht="12.75">
      <c r="B351" s="36"/>
      <c r="C351" s="29" t="s">
        <v>50</v>
      </c>
      <c r="D351" s="32">
        <v>25</v>
      </c>
      <c r="E351" s="130"/>
      <c r="F351" s="130">
        <v>39.025700000000001</v>
      </c>
      <c r="G351" s="130">
        <v>47.320599999999999</v>
      </c>
      <c r="H351" s="130">
        <v>46.802599999999998</v>
      </c>
      <c r="I351" s="130"/>
      <c r="J351" s="131"/>
      <c r="K351" s="132"/>
      <c r="L351" s="29"/>
      <c r="M351" s="144"/>
      <c r="N351" s="144">
        <v>39.021900000000002</v>
      </c>
      <c r="O351" s="144">
        <v>47.321100000000001</v>
      </c>
      <c r="P351" s="144">
        <v>46.802599999999998</v>
      </c>
      <c r="Q351" s="144"/>
      <c r="R351" s="145"/>
      <c r="S351" s="146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133"/>
      <c r="F352" s="133">
        <v>36.045699999999997</v>
      </c>
      <c r="G352" s="133">
        <v>45.744799999999998</v>
      </c>
      <c r="H352" s="133">
        <v>45.2639</v>
      </c>
      <c r="I352" s="133"/>
      <c r="J352" s="134"/>
      <c r="K352" s="135"/>
      <c r="L352" s="29"/>
      <c r="M352" s="147"/>
      <c r="N352" s="147">
        <v>36.043100000000003</v>
      </c>
      <c r="O352" s="147">
        <v>45.745899999999999</v>
      </c>
      <c r="P352" s="147">
        <v>45.265000000000001</v>
      </c>
      <c r="Q352" s="147"/>
      <c r="R352" s="148"/>
      <c r="S352" s="149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133"/>
      <c r="F353" s="133">
        <v>33.435299999999998</v>
      </c>
      <c r="G353" s="133">
        <v>44.3108</v>
      </c>
      <c r="H353" s="133">
        <v>43.912799999999997</v>
      </c>
      <c r="I353" s="133"/>
      <c r="J353" s="134"/>
      <c r="K353" s="135"/>
      <c r="L353" s="29"/>
      <c r="M353" s="147"/>
      <c r="N353" s="147">
        <v>33.431899999999999</v>
      </c>
      <c r="O353" s="147">
        <v>44.3095</v>
      </c>
      <c r="P353" s="147">
        <v>43.911299999999997</v>
      </c>
      <c r="Q353" s="147"/>
      <c r="R353" s="148"/>
      <c r="S353" s="149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1"/>
      <c r="D354" s="69">
        <v>40</v>
      </c>
      <c r="E354" s="136"/>
      <c r="F354" s="136">
        <v>31.060500000000001</v>
      </c>
      <c r="G354" s="136">
        <v>43.4649</v>
      </c>
      <c r="H354" s="136">
        <v>43.077599999999997</v>
      </c>
      <c r="I354" s="136"/>
      <c r="J354" s="137"/>
      <c r="K354" s="138"/>
      <c r="L354" s="29"/>
      <c r="M354" s="150"/>
      <c r="N354" s="150">
        <v>31.059799999999999</v>
      </c>
      <c r="O354" s="150">
        <v>43.4634</v>
      </c>
      <c r="P354" s="150">
        <v>43.077199999999998</v>
      </c>
      <c r="Q354" s="150"/>
      <c r="R354" s="151"/>
      <c r="S354" s="152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131"/>
      <c r="F355" s="131">
        <v>38.946800000000003</v>
      </c>
      <c r="G355" s="131">
        <v>46.416899999999998</v>
      </c>
      <c r="H355" s="131">
        <v>46.525700000000001</v>
      </c>
      <c r="I355" s="131"/>
      <c r="J355" s="131"/>
      <c r="K355" s="132"/>
      <c r="L355" s="29"/>
      <c r="M355" s="145"/>
      <c r="N355" s="145">
        <v>38.945500000000003</v>
      </c>
      <c r="O355" s="145">
        <v>46.4146</v>
      </c>
      <c r="P355" s="145">
        <v>46.523800000000001</v>
      </c>
      <c r="Q355" s="145"/>
      <c r="R355" s="145"/>
      <c r="S355" s="146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134"/>
      <c r="F356" s="134">
        <v>36.0212</v>
      </c>
      <c r="G356" s="134">
        <v>45.015300000000003</v>
      </c>
      <c r="H356" s="134">
        <v>45.029200000000003</v>
      </c>
      <c r="I356" s="134"/>
      <c r="J356" s="134"/>
      <c r="K356" s="135"/>
      <c r="L356" s="29"/>
      <c r="M356" s="148"/>
      <c r="N356" s="148">
        <v>36.022799999999997</v>
      </c>
      <c r="O356" s="148">
        <v>45.039900000000003</v>
      </c>
      <c r="P356" s="148">
        <v>45.032200000000003</v>
      </c>
      <c r="Q356" s="148"/>
      <c r="R356" s="148"/>
      <c r="S356" s="149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134"/>
      <c r="F357" s="134">
        <v>33.423400000000001</v>
      </c>
      <c r="G357" s="134">
        <v>43.763100000000001</v>
      </c>
      <c r="H357" s="134">
        <v>43.538400000000003</v>
      </c>
      <c r="I357" s="134"/>
      <c r="J357" s="134"/>
      <c r="K357" s="135"/>
      <c r="L357" s="29"/>
      <c r="M357" s="148"/>
      <c r="N357" s="148">
        <v>33.424599999999998</v>
      </c>
      <c r="O357" s="148">
        <v>43.753999999999998</v>
      </c>
      <c r="P357" s="148">
        <v>43.497799999999998</v>
      </c>
      <c r="Q357" s="148"/>
      <c r="R357" s="148"/>
      <c r="S357" s="149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1"/>
      <c r="D358" s="69">
        <v>40</v>
      </c>
      <c r="E358" s="137"/>
      <c r="F358" s="137">
        <v>31.041399999999999</v>
      </c>
      <c r="G358" s="137">
        <v>42.963700000000003</v>
      </c>
      <c r="H358" s="137">
        <v>42.509700000000002</v>
      </c>
      <c r="I358" s="137"/>
      <c r="J358" s="137"/>
      <c r="K358" s="138"/>
      <c r="L358" s="29"/>
      <c r="M358" s="151"/>
      <c r="N358" s="151">
        <v>31.043299999999999</v>
      </c>
      <c r="O358" s="151">
        <v>42.959899999999998</v>
      </c>
      <c r="P358" s="151">
        <v>42.518900000000002</v>
      </c>
      <c r="Q358" s="151"/>
      <c r="R358" s="151"/>
      <c r="S358" s="152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131"/>
      <c r="F359" s="131">
        <v>38.590800000000002</v>
      </c>
      <c r="G359" s="131">
        <v>46.068899999999999</v>
      </c>
      <c r="H359" s="131">
        <v>46.229399999999998</v>
      </c>
      <c r="I359" s="131"/>
      <c r="J359" s="131"/>
      <c r="K359" s="132"/>
      <c r="L359" s="29"/>
      <c r="M359" s="145"/>
      <c r="N359" s="145">
        <v>38.5869</v>
      </c>
      <c r="O359" s="145">
        <v>46.068100000000001</v>
      </c>
      <c r="P359" s="145">
        <v>46.222000000000001</v>
      </c>
      <c r="Q359" s="145"/>
      <c r="R359" s="145"/>
      <c r="S359" s="146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134"/>
      <c r="F360" s="134">
        <v>35.805900000000001</v>
      </c>
      <c r="G360" s="134">
        <v>44.7346</v>
      </c>
      <c r="H360" s="134">
        <v>44.795299999999997</v>
      </c>
      <c r="I360" s="134"/>
      <c r="J360" s="134"/>
      <c r="K360" s="135"/>
      <c r="L360" s="29"/>
      <c r="M360" s="148"/>
      <c r="N360" s="148">
        <v>35.8093</v>
      </c>
      <c r="O360" s="148">
        <v>44.780200000000001</v>
      </c>
      <c r="P360" s="148">
        <v>44.803199999999997</v>
      </c>
      <c r="Q360" s="148"/>
      <c r="R360" s="148"/>
      <c r="S360" s="149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134"/>
      <c r="F361" s="134">
        <v>33.297499999999999</v>
      </c>
      <c r="G361" s="134">
        <v>43.586300000000001</v>
      </c>
      <c r="H361" s="134">
        <v>43.337600000000002</v>
      </c>
      <c r="I361" s="134"/>
      <c r="J361" s="134"/>
      <c r="K361" s="135"/>
      <c r="L361" s="29"/>
      <c r="M361" s="148"/>
      <c r="N361" s="148">
        <v>33.295200000000001</v>
      </c>
      <c r="O361" s="148">
        <v>43.5578</v>
      </c>
      <c r="P361" s="148">
        <v>43.3172</v>
      </c>
      <c r="Q361" s="148"/>
      <c r="R361" s="148"/>
      <c r="S361" s="149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1"/>
      <c r="D362" s="69">
        <v>40</v>
      </c>
      <c r="E362" s="137"/>
      <c r="F362" s="137">
        <v>30.965199999999999</v>
      </c>
      <c r="G362" s="137">
        <v>42.807099999999998</v>
      </c>
      <c r="H362" s="137">
        <v>42.31</v>
      </c>
      <c r="I362" s="137"/>
      <c r="J362" s="137"/>
      <c r="K362" s="138"/>
      <c r="L362" s="29"/>
      <c r="M362" s="151"/>
      <c r="N362" s="151">
        <v>30.965699999999998</v>
      </c>
      <c r="O362" s="151">
        <v>42.796100000000003</v>
      </c>
      <c r="P362" s="151">
        <v>42.304000000000002</v>
      </c>
      <c r="Q362" s="151"/>
      <c r="R362" s="151"/>
      <c r="S362" s="152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134">
        <v>6799.0544</v>
      </c>
      <c r="F363" s="134"/>
      <c r="G363" s="134"/>
      <c r="H363" s="134"/>
      <c r="I363" s="134">
        <v>45226.05</v>
      </c>
      <c r="J363" s="134">
        <v>111.35</v>
      </c>
      <c r="K363" s="135">
        <v>759.25</v>
      </c>
      <c r="L363" s="29"/>
      <c r="M363" s="148">
        <v>6799.5712000000003</v>
      </c>
      <c r="N363" s="148"/>
      <c r="O363" s="148"/>
      <c r="P363" s="148"/>
      <c r="Q363" s="148">
        <v>45300.2</v>
      </c>
      <c r="R363" s="148">
        <v>105.45</v>
      </c>
      <c r="S363" s="149">
        <v>781.55</v>
      </c>
      <c r="U363" s="8"/>
      <c r="V363" s="9"/>
      <c r="W363" s="10"/>
      <c r="X363" s="29"/>
      <c r="Y363" s="59">
        <f>GEOMEAN(Q363:Q366)/GEOMEAN(I363:I366)</f>
        <v>0.99643308717699519</v>
      </c>
      <c r="Z363" s="59">
        <f>GEOMEAN(R363:R366)/GEOMEAN(J363:J366)</f>
        <v>0.92507658075711952</v>
      </c>
      <c r="AA363" s="55">
        <f>GEOMEAN(S363:S366)/GEOMEAN(K363:K366)</f>
        <v>1.0142875878886886</v>
      </c>
    </row>
    <row r="364" spans="1:27" ht="12.75">
      <c r="B364" s="36"/>
      <c r="C364" s="29"/>
      <c r="D364" s="32">
        <v>30</v>
      </c>
      <c r="E364" s="134">
        <v>2801.6143999999999</v>
      </c>
      <c r="F364" s="134"/>
      <c r="G364" s="134"/>
      <c r="H364" s="134"/>
      <c r="I364" s="134">
        <v>35914.239999999998</v>
      </c>
      <c r="J364" s="134">
        <v>116.99</v>
      </c>
      <c r="K364" s="135">
        <v>751.13</v>
      </c>
      <c r="L364" s="29"/>
      <c r="M364" s="148">
        <v>2802.04</v>
      </c>
      <c r="N364" s="148"/>
      <c r="O364" s="148"/>
      <c r="P364" s="148"/>
      <c r="Q364" s="148">
        <v>35640.26</v>
      </c>
      <c r="R364" s="148">
        <v>97.34</v>
      </c>
      <c r="S364" s="149">
        <v>759.57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134">
        <v>1271.7152000000001</v>
      </c>
      <c r="F365" s="134"/>
      <c r="G365" s="134"/>
      <c r="H365" s="134"/>
      <c r="I365" s="134">
        <v>30190.37</v>
      </c>
      <c r="J365" s="134">
        <v>110.53</v>
      </c>
      <c r="K365" s="135">
        <v>738.04</v>
      </c>
      <c r="L365" s="29"/>
      <c r="M365" s="148">
        <v>1271.1128000000001</v>
      </c>
      <c r="N365" s="148"/>
      <c r="O365" s="148"/>
      <c r="P365" s="148"/>
      <c r="Q365" s="148">
        <v>29901.94</v>
      </c>
      <c r="R365" s="148">
        <v>102.48</v>
      </c>
      <c r="S365" s="149">
        <v>768.42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2"/>
      <c r="B366" s="50"/>
      <c r="C366" s="51"/>
      <c r="D366" s="69">
        <v>40</v>
      </c>
      <c r="E366" s="137">
        <v>594.42240000000004</v>
      </c>
      <c r="F366" s="137"/>
      <c r="G366" s="137"/>
      <c r="H366" s="137"/>
      <c r="I366" s="137">
        <v>26839.72</v>
      </c>
      <c r="J366" s="137">
        <v>98.88</v>
      </c>
      <c r="K366" s="138">
        <v>781.3</v>
      </c>
      <c r="L366" s="29"/>
      <c r="M366" s="151">
        <v>594.39440000000002</v>
      </c>
      <c r="N366" s="151"/>
      <c r="O366" s="151"/>
      <c r="P366" s="151"/>
      <c r="Q366" s="151">
        <v>26875.34</v>
      </c>
      <c r="R366" s="151">
        <v>99.12</v>
      </c>
      <c r="S366" s="152">
        <v>762.99</v>
      </c>
      <c r="U366" s="82"/>
      <c r="V366" s="83"/>
      <c r="W366" s="84"/>
      <c r="X366" s="29"/>
      <c r="Y366" s="47"/>
      <c r="Z366" s="47"/>
      <c r="AA366" s="52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130">
        <v>4178.4160000000002</v>
      </c>
      <c r="F367" s="130">
        <v>41.485799999999998</v>
      </c>
      <c r="G367" s="130">
        <v>46.601900000000001</v>
      </c>
      <c r="H367" s="130">
        <v>46.044899999999998</v>
      </c>
      <c r="I367" s="130"/>
      <c r="J367" s="131"/>
      <c r="K367" s="132"/>
      <c r="L367" s="29"/>
      <c r="M367" s="144">
        <v>4178.4160000000002</v>
      </c>
      <c r="N367" s="144">
        <v>41.485799999999998</v>
      </c>
      <c r="O367" s="144">
        <v>46.601900000000001</v>
      </c>
      <c r="P367" s="144">
        <v>46.044899999999998</v>
      </c>
      <c r="Q367" s="144"/>
      <c r="R367" s="145"/>
      <c r="S367" s="146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133">
        <v>2104.3447999999999</v>
      </c>
      <c r="F368" s="133">
        <v>38.491999999999997</v>
      </c>
      <c r="G368" s="133">
        <v>44.899900000000002</v>
      </c>
      <c r="H368" s="133">
        <v>44.105200000000004</v>
      </c>
      <c r="I368" s="133"/>
      <c r="J368" s="134"/>
      <c r="K368" s="135"/>
      <c r="L368" s="29"/>
      <c r="M368" s="147">
        <v>2104.3447999999999</v>
      </c>
      <c r="N368" s="147">
        <v>38.491999999999997</v>
      </c>
      <c r="O368" s="147">
        <v>44.899900000000002</v>
      </c>
      <c r="P368" s="147">
        <v>44.105200000000004</v>
      </c>
      <c r="Q368" s="147"/>
      <c r="R368" s="148"/>
      <c r="S368" s="149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133">
        <v>1035.6823999999999</v>
      </c>
      <c r="F369" s="133">
        <v>35.669600000000003</v>
      </c>
      <c r="G369" s="133">
        <v>43.255800000000001</v>
      </c>
      <c r="H369" s="133">
        <v>42.232700000000001</v>
      </c>
      <c r="I369" s="133"/>
      <c r="J369" s="134"/>
      <c r="K369" s="135"/>
      <c r="L369" s="29"/>
      <c r="M369" s="147">
        <v>1035.6823999999999</v>
      </c>
      <c r="N369" s="147">
        <v>35.669600000000003</v>
      </c>
      <c r="O369" s="147">
        <v>43.255800000000001</v>
      </c>
      <c r="P369" s="147">
        <v>42.232700000000001</v>
      </c>
      <c r="Q369" s="147"/>
      <c r="R369" s="148"/>
      <c r="S369" s="149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136">
        <v>497.1456</v>
      </c>
      <c r="F370" s="136">
        <v>33.196399999999997</v>
      </c>
      <c r="G370" s="136">
        <v>42.267699999999998</v>
      </c>
      <c r="H370" s="136">
        <v>40.971499999999999</v>
      </c>
      <c r="I370" s="136"/>
      <c r="J370" s="137"/>
      <c r="K370" s="138"/>
      <c r="L370" s="29"/>
      <c r="M370" s="150">
        <v>497.1456</v>
      </c>
      <c r="N370" s="150">
        <v>33.196399999999997</v>
      </c>
      <c r="O370" s="150">
        <v>42.267699999999998</v>
      </c>
      <c r="P370" s="150">
        <v>40.971499999999999</v>
      </c>
      <c r="Q370" s="150"/>
      <c r="R370" s="151"/>
      <c r="S370" s="152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133">
        <v>520.35199999999998</v>
      </c>
      <c r="F371" s="133">
        <v>40.915399999999998</v>
      </c>
      <c r="G371" s="133">
        <v>46.512</v>
      </c>
      <c r="H371" s="133">
        <v>45.800800000000002</v>
      </c>
      <c r="I371" s="133"/>
      <c r="J371" s="134"/>
      <c r="K371" s="135"/>
      <c r="L371" s="29"/>
      <c r="M371" s="147">
        <v>519.62959999999998</v>
      </c>
      <c r="N371" s="147">
        <v>40.915700000000001</v>
      </c>
      <c r="O371" s="147">
        <v>46.510899999999999</v>
      </c>
      <c r="P371" s="147">
        <v>45.802799999999998</v>
      </c>
      <c r="Q371" s="147"/>
      <c r="R371" s="148"/>
      <c r="S371" s="149"/>
      <c r="U371" s="8">
        <f>bdrate($E371:$E374,F371:F374,$M371:$M374,N371:N374)</f>
        <v>-1.5186529106084867E-3</v>
      </c>
      <c r="V371" s="9">
        <f>bdrate($E371:$E374,G371:G374,$M371:$M374,O371:O374)</f>
        <v>-1.4397165720232419E-3</v>
      </c>
      <c r="W371" s="10">
        <f>bdrate($E371:$E374,H371:H374,$M371:$M374,P371:P374)</f>
        <v>-1.5931934281725457E-3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133">
        <v>216.108</v>
      </c>
      <c r="F372" s="133">
        <v>38.074199999999998</v>
      </c>
      <c r="G372" s="133">
        <v>44.8504</v>
      </c>
      <c r="H372" s="133">
        <v>43.940899999999999</v>
      </c>
      <c r="I372" s="133"/>
      <c r="J372" s="134"/>
      <c r="K372" s="135"/>
      <c r="L372" s="29"/>
      <c r="M372" s="147">
        <v>215.78559999999999</v>
      </c>
      <c r="N372" s="147">
        <v>38.074199999999998</v>
      </c>
      <c r="O372" s="147">
        <v>44.849499999999999</v>
      </c>
      <c r="P372" s="147">
        <v>43.939500000000002</v>
      </c>
      <c r="Q372" s="147"/>
      <c r="R372" s="148"/>
      <c r="S372" s="149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133">
        <v>101.6888</v>
      </c>
      <c r="F373" s="133">
        <v>35.3855</v>
      </c>
      <c r="G373" s="133">
        <v>43.255899999999997</v>
      </c>
      <c r="H373" s="133">
        <v>42.1708</v>
      </c>
      <c r="I373" s="133"/>
      <c r="J373" s="134"/>
      <c r="K373" s="135"/>
      <c r="L373" s="29"/>
      <c r="M373" s="147">
        <v>101.5072</v>
      </c>
      <c r="N373" s="147">
        <v>35.385899999999999</v>
      </c>
      <c r="O373" s="147">
        <v>43.256399999999999</v>
      </c>
      <c r="P373" s="147">
        <v>42.1721</v>
      </c>
      <c r="Q373" s="147"/>
      <c r="R373" s="148"/>
      <c r="S373" s="149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133">
        <v>49.308799999999998</v>
      </c>
      <c r="F374" s="133">
        <v>32.979100000000003</v>
      </c>
      <c r="G374" s="133">
        <v>42.260199999999998</v>
      </c>
      <c r="H374" s="133">
        <v>40.874499999999998</v>
      </c>
      <c r="I374" s="133"/>
      <c r="J374" s="134"/>
      <c r="K374" s="135"/>
      <c r="L374" s="29"/>
      <c r="M374" s="147">
        <v>49.2896</v>
      </c>
      <c r="N374" s="147">
        <v>32.979300000000002</v>
      </c>
      <c r="O374" s="147">
        <v>42.262500000000003</v>
      </c>
      <c r="P374" s="147">
        <v>40.8752</v>
      </c>
      <c r="Q374" s="147"/>
      <c r="R374" s="148"/>
      <c r="S374" s="149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130">
        <v>525.28</v>
      </c>
      <c r="F375" s="130">
        <v>40.9255</v>
      </c>
      <c r="G375" s="130">
        <v>46.500599999999999</v>
      </c>
      <c r="H375" s="130">
        <v>45.807499999999997</v>
      </c>
      <c r="I375" s="130"/>
      <c r="J375" s="131"/>
      <c r="K375" s="132"/>
      <c r="L375" s="29"/>
      <c r="M375" s="144">
        <v>524.6</v>
      </c>
      <c r="N375" s="144">
        <v>40.923900000000003</v>
      </c>
      <c r="O375" s="144">
        <v>46.502000000000002</v>
      </c>
      <c r="P375" s="144">
        <v>45.807200000000002</v>
      </c>
      <c r="Q375" s="144"/>
      <c r="R375" s="145"/>
      <c r="S375" s="146"/>
      <c r="U375" s="8">
        <f>bdrate($E375:$E378,F375:F378,$M375:$M378,N375:N378)</f>
        <v>-2.3130879168109519E-4</v>
      </c>
      <c r="V375" s="9">
        <f>bdrate($E375:$E378,G375:G378,$M375:$M378,O375:O378)</f>
        <v>-3.1981234462019614E-4</v>
      </c>
      <c r="W375" s="10">
        <f>bdrate($E375:$E378,H375:H378,$M375:$M378,P375:P378)</f>
        <v>-5.947177143095228E-4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133">
        <v>217.4392</v>
      </c>
      <c r="F376" s="133">
        <v>38.085500000000003</v>
      </c>
      <c r="G376" s="133">
        <v>44.836399999999998</v>
      </c>
      <c r="H376" s="133">
        <v>43.9499</v>
      </c>
      <c r="I376" s="133"/>
      <c r="J376" s="134"/>
      <c r="K376" s="135"/>
      <c r="L376" s="29"/>
      <c r="M376" s="147">
        <v>217.4528</v>
      </c>
      <c r="N376" s="147">
        <v>38.085299999999997</v>
      </c>
      <c r="O376" s="147">
        <v>44.836100000000002</v>
      </c>
      <c r="P376" s="147">
        <v>43.952800000000003</v>
      </c>
      <c r="Q376" s="147"/>
      <c r="R376" s="148"/>
      <c r="S376" s="149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133">
        <v>103.4776</v>
      </c>
      <c r="F377" s="133">
        <v>35.3992</v>
      </c>
      <c r="G377" s="133">
        <v>43.244</v>
      </c>
      <c r="H377" s="133">
        <v>42.175800000000002</v>
      </c>
      <c r="I377" s="133"/>
      <c r="J377" s="134"/>
      <c r="K377" s="135"/>
      <c r="L377" s="29"/>
      <c r="M377" s="147">
        <v>103.4072</v>
      </c>
      <c r="N377" s="147">
        <v>35.399099999999997</v>
      </c>
      <c r="O377" s="147">
        <v>43.243699999999997</v>
      </c>
      <c r="P377" s="147">
        <v>42.1753</v>
      </c>
      <c r="Q377" s="147"/>
      <c r="R377" s="148"/>
      <c r="S377" s="149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1"/>
      <c r="D378" s="69">
        <v>40</v>
      </c>
      <c r="E378" s="136">
        <v>50.957599999999999</v>
      </c>
      <c r="F378" s="136">
        <v>32.986400000000003</v>
      </c>
      <c r="G378" s="136">
        <v>42.231499999999997</v>
      </c>
      <c r="H378" s="136">
        <v>40.878100000000003</v>
      </c>
      <c r="I378" s="136"/>
      <c r="J378" s="137"/>
      <c r="K378" s="138"/>
      <c r="L378" s="29"/>
      <c r="M378" s="150">
        <v>50.991199999999999</v>
      </c>
      <c r="N378" s="150">
        <v>32.987000000000002</v>
      </c>
      <c r="O378" s="150">
        <v>42.231499999999997</v>
      </c>
      <c r="P378" s="150">
        <v>40.875</v>
      </c>
      <c r="Q378" s="150"/>
      <c r="R378" s="151"/>
      <c r="S378" s="152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130">
        <v>449.48320000000001</v>
      </c>
      <c r="F379" s="130">
        <v>38.630899999999997</v>
      </c>
      <c r="G379" s="130"/>
      <c r="H379" s="130"/>
      <c r="I379" s="130"/>
      <c r="J379" s="131"/>
      <c r="K379" s="132"/>
      <c r="L379" s="29"/>
      <c r="M379" s="144">
        <v>449.48320000000001</v>
      </c>
      <c r="N379" s="144">
        <v>38.630899999999997</v>
      </c>
      <c r="O379" s="144"/>
      <c r="P379" s="144"/>
      <c r="Q379" s="144"/>
      <c r="R379" s="145"/>
      <c r="S379" s="146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133">
        <v>147.97280000000001</v>
      </c>
      <c r="F380" s="133">
        <v>35.466000000000001</v>
      </c>
      <c r="G380" s="133"/>
      <c r="H380" s="133"/>
      <c r="I380" s="133"/>
      <c r="J380" s="134"/>
      <c r="K380" s="135"/>
      <c r="L380" s="29"/>
      <c r="M380" s="147">
        <v>147.97280000000001</v>
      </c>
      <c r="N380" s="147">
        <v>35.466000000000001</v>
      </c>
      <c r="O380" s="147"/>
      <c r="P380" s="147"/>
      <c r="Q380" s="147"/>
      <c r="R380" s="148"/>
      <c r="S380" s="149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133">
        <v>55.706400000000002</v>
      </c>
      <c r="F381" s="133">
        <v>32.829300000000003</v>
      </c>
      <c r="G381" s="133"/>
      <c r="H381" s="133"/>
      <c r="I381" s="133"/>
      <c r="J381" s="134"/>
      <c r="K381" s="135"/>
      <c r="L381" s="29"/>
      <c r="M381" s="147">
        <v>55.706400000000002</v>
      </c>
      <c r="N381" s="147">
        <v>32.829300000000003</v>
      </c>
      <c r="O381" s="147"/>
      <c r="P381" s="147"/>
      <c r="Q381" s="147"/>
      <c r="R381" s="148"/>
      <c r="S381" s="149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136">
        <v>23.162400000000002</v>
      </c>
      <c r="F382" s="136">
        <v>30.343699999999998</v>
      </c>
      <c r="G382" s="136"/>
      <c r="H382" s="136"/>
      <c r="I382" s="136"/>
      <c r="J382" s="137"/>
      <c r="K382" s="138"/>
      <c r="L382" s="29"/>
      <c r="M382" s="150">
        <v>23.162400000000002</v>
      </c>
      <c r="N382" s="150">
        <v>30.343699999999998</v>
      </c>
      <c r="O382" s="150"/>
      <c r="P382" s="150"/>
      <c r="Q382" s="150"/>
      <c r="R382" s="151"/>
      <c r="S382" s="152"/>
      <c r="U382" s="17"/>
      <c r="V382" s="18"/>
      <c r="W382" s="19"/>
      <c r="X382" s="29"/>
      <c r="Y382" s="59"/>
      <c r="Z382" s="59"/>
      <c r="AA382" s="55"/>
      <c r="AB382" s="24"/>
      <c r="AC382" s="24"/>
    </row>
    <row r="383" spans="2:29" ht="12.75">
      <c r="B383" s="36"/>
      <c r="C383" s="28" t="s">
        <v>30</v>
      </c>
      <c r="D383" s="31">
        <v>34</v>
      </c>
      <c r="E383" s="130">
        <v>189.83519999999999</v>
      </c>
      <c r="F383" s="130">
        <v>37.708199999999998</v>
      </c>
      <c r="G383" s="130"/>
      <c r="H383" s="130"/>
      <c r="I383" s="130"/>
      <c r="J383" s="131"/>
      <c r="K383" s="132"/>
      <c r="L383" s="29"/>
      <c r="M383" s="144">
        <v>189.70959999999999</v>
      </c>
      <c r="N383" s="144">
        <v>37.718400000000003</v>
      </c>
      <c r="O383" s="144"/>
      <c r="P383" s="144"/>
      <c r="Q383" s="144"/>
      <c r="R383" s="145"/>
      <c r="S383" s="146"/>
      <c r="U383" s="8">
        <f>bdrate($E383:$E386,F383:F386,$M383:$M386,N383:N386)</f>
        <v>1.4224437876955154E-3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133">
        <v>55.115200000000002</v>
      </c>
      <c r="F384" s="133">
        <v>34.822299999999998</v>
      </c>
      <c r="G384" s="133"/>
      <c r="H384" s="133"/>
      <c r="I384" s="133"/>
      <c r="J384" s="134"/>
      <c r="K384" s="135"/>
      <c r="L384" s="29"/>
      <c r="M384" s="147">
        <v>54.936</v>
      </c>
      <c r="N384" s="147">
        <v>34.816299999999998</v>
      </c>
      <c r="O384" s="147"/>
      <c r="P384" s="147"/>
      <c r="Q384" s="147"/>
      <c r="R384" s="148"/>
      <c r="S384" s="149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133">
        <v>22.024799999999999</v>
      </c>
      <c r="F385" s="133">
        <v>32.362099999999998</v>
      </c>
      <c r="G385" s="133"/>
      <c r="H385" s="133"/>
      <c r="I385" s="133"/>
      <c r="J385" s="134"/>
      <c r="K385" s="135"/>
      <c r="L385" s="29"/>
      <c r="M385" s="147">
        <v>22.139199999999999</v>
      </c>
      <c r="N385" s="147">
        <v>32.351900000000001</v>
      </c>
      <c r="O385" s="147"/>
      <c r="P385" s="147"/>
      <c r="Q385" s="147"/>
      <c r="R385" s="148"/>
      <c r="S385" s="149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136">
        <v>10.703200000000001</v>
      </c>
      <c r="F386" s="136">
        <v>29.924099999999999</v>
      </c>
      <c r="G386" s="136"/>
      <c r="H386" s="136"/>
      <c r="I386" s="136"/>
      <c r="J386" s="137"/>
      <c r="K386" s="138"/>
      <c r="L386" s="29"/>
      <c r="M386" s="150">
        <v>10.6456</v>
      </c>
      <c r="N386" s="150">
        <v>29.916899999999998</v>
      </c>
      <c r="O386" s="150"/>
      <c r="P386" s="150"/>
      <c r="Q386" s="150"/>
      <c r="R386" s="151"/>
      <c r="S386" s="152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130">
        <v>189.80719999999999</v>
      </c>
      <c r="F387" s="130">
        <v>37.479900000000001</v>
      </c>
      <c r="G387" s="130"/>
      <c r="H387" s="130"/>
      <c r="I387" s="130"/>
      <c r="J387" s="131"/>
      <c r="K387" s="132"/>
      <c r="L387" s="29"/>
      <c r="M387" s="144">
        <v>189.68</v>
      </c>
      <c r="N387" s="144">
        <v>37.496699999999997</v>
      </c>
      <c r="O387" s="144"/>
      <c r="P387" s="144"/>
      <c r="Q387" s="144"/>
      <c r="R387" s="145"/>
      <c r="S387" s="146"/>
      <c r="U387" s="8">
        <f>bdrate($E387:$E390,F387:F390,$M387:$M390,N387:N390)</f>
        <v>-3.6000003070976172E-3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133">
        <v>55.351999999999997</v>
      </c>
      <c r="F388" s="133">
        <v>34.5869</v>
      </c>
      <c r="G388" s="133"/>
      <c r="H388" s="133"/>
      <c r="I388" s="133"/>
      <c r="J388" s="134"/>
      <c r="K388" s="135"/>
      <c r="L388" s="29"/>
      <c r="M388" s="147">
        <v>55.334400000000002</v>
      </c>
      <c r="N388" s="147">
        <v>34.595799999999997</v>
      </c>
      <c r="O388" s="147"/>
      <c r="P388" s="147"/>
      <c r="Q388" s="147"/>
      <c r="R388" s="148"/>
      <c r="S388" s="149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133">
        <v>22.120799999999999</v>
      </c>
      <c r="F389" s="133">
        <v>32.176900000000003</v>
      </c>
      <c r="G389" s="133"/>
      <c r="H389" s="133"/>
      <c r="I389" s="133"/>
      <c r="J389" s="134"/>
      <c r="K389" s="135"/>
      <c r="L389" s="29"/>
      <c r="M389" s="147">
        <v>22.170400000000001</v>
      </c>
      <c r="N389" s="147">
        <v>32.187600000000003</v>
      </c>
      <c r="O389" s="147"/>
      <c r="P389" s="147"/>
      <c r="Q389" s="147"/>
      <c r="R389" s="148"/>
      <c r="S389" s="149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136">
        <v>10.4192</v>
      </c>
      <c r="F390" s="136">
        <v>29.7363</v>
      </c>
      <c r="G390" s="136"/>
      <c r="H390" s="136"/>
      <c r="I390" s="136"/>
      <c r="J390" s="137"/>
      <c r="K390" s="138"/>
      <c r="L390" s="29"/>
      <c r="M390" s="150">
        <v>10.378399999999999</v>
      </c>
      <c r="N390" s="150">
        <v>29.733899999999998</v>
      </c>
      <c r="O390" s="150"/>
      <c r="P390" s="150"/>
      <c r="Q390" s="150"/>
      <c r="R390" s="151"/>
      <c r="S390" s="152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130"/>
      <c r="F391" s="130">
        <v>40.658900000000003</v>
      </c>
      <c r="G391" s="130">
        <v>46.627200000000002</v>
      </c>
      <c r="H391" s="130">
        <v>46.384700000000002</v>
      </c>
      <c r="I391" s="130"/>
      <c r="J391" s="131"/>
      <c r="K391" s="132"/>
      <c r="L391" s="29"/>
      <c r="M391" s="144"/>
      <c r="N391" s="144">
        <v>40.655500000000004</v>
      </c>
      <c r="O391" s="144">
        <v>46.620800000000003</v>
      </c>
      <c r="P391" s="144">
        <v>46.3752</v>
      </c>
      <c r="Q391" s="144"/>
      <c r="R391" s="145"/>
      <c r="S391" s="146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133"/>
      <c r="F392" s="133">
        <v>37.890500000000003</v>
      </c>
      <c r="G392" s="133">
        <v>45.0428</v>
      </c>
      <c r="H392" s="133">
        <v>44.490900000000003</v>
      </c>
      <c r="I392" s="133"/>
      <c r="J392" s="134"/>
      <c r="K392" s="135"/>
      <c r="L392" s="29"/>
      <c r="M392" s="147"/>
      <c r="N392" s="147">
        <v>37.890999999999998</v>
      </c>
      <c r="O392" s="147">
        <v>45.040100000000002</v>
      </c>
      <c r="P392" s="147">
        <v>44.495699999999999</v>
      </c>
      <c r="Q392" s="147"/>
      <c r="R392" s="148"/>
      <c r="S392" s="149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133"/>
      <c r="F393" s="133">
        <v>35.245899999999999</v>
      </c>
      <c r="G393" s="133">
        <v>43.389899999999997</v>
      </c>
      <c r="H393" s="133">
        <v>42.579500000000003</v>
      </c>
      <c r="I393" s="133"/>
      <c r="J393" s="134"/>
      <c r="K393" s="135"/>
      <c r="L393" s="29"/>
      <c r="M393" s="147"/>
      <c r="N393" s="147">
        <v>35.245899999999999</v>
      </c>
      <c r="O393" s="147">
        <v>43.383499999999998</v>
      </c>
      <c r="P393" s="147">
        <v>42.576999999999998</v>
      </c>
      <c r="Q393" s="147"/>
      <c r="R393" s="148"/>
      <c r="S393" s="149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1"/>
      <c r="D394" s="69">
        <v>40</v>
      </c>
      <c r="E394" s="136"/>
      <c r="F394" s="136">
        <v>32.862699999999997</v>
      </c>
      <c r="G394" s="136">
        <v>42.379100000000001</v>
      </c>
      <c r="H394" s="136">
        <v>41.222200000000001</v>
      </c>
      <c r="I394" s="136"/>
      <c r="J394" s="137"/>
      <c r="K394" s="138"/>
      <c r="L394" s="29"/>
      <c r="M394" s="150"/>
      <c r="N394" s="150">
        <v>32.861899999999999</v>
      </c>
      <c r="O394" s="150">
        <v>42.372300000000003</v>
      </c>
      <c r="P394" s="150">
        <v>41.2273</v>
      </c>
      <c r="Q394" s="150"/>
      <c r="R394" s="151"/>
      <c r="S394" s="152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130"/>
      <c r="F395" s="130">
        <v>40.8431</v>
      </c>
      <c r="G395" s="130">
        <v>47.127299999999998</v>
      </c>
      <c r="H395" s="130">
        <v>46.515099999999997</v>
      </c>
      <c r="I395" s="130"/>
      <c r="J395" s="131"/>
      <c r="K395" s="132"/>
      <c r="L395" s="29"/>
      <c r="M395" s="144"/>
      <c r="N395" s="144">
        <v>40.8431</v>
      </c>
      <c r="O395" s="144">
        <v>47.13</v>
      </c>
      <c r="P395" s="144">
        <v>46.519399999999997</v>
      </c>
      <c r="Q395" s="144"/>
      <c r="R395" s="145"/>
      <c r="S395" s="146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133"/>
      <c r="F396" s="133">
        <v>38.026899999999998</v>
      </c>
      <c r="G396" s="133">
        <v>45.433799999999998</v>
      </c>
      <c r="H396" s="133">
        <v>44.622100000000003</v>
      </c>
      <c r="I396" s="133"/>
      <c r="J396" s="134"/>
      <c r="K396" s="135"/>
      <c r="L396" s="29"/>
      <c r="M396" s="147"/>
      <c r="N396" s="147">
        <v>38.029899999999998</v>
      </c>
      <c r="O396" s="147">
        <v>45.430399999999999</v>
      </c>
      <c r="P396" s="147">
        <v>44.618600000000001</v>
      </c>
      <c r="Q396" s="147"/>
      <c r="R396" s="148"/>
      <c r="S396" s="149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133"/>
      <c r="F397" s="133">
        <v>35.329000000000001</v>
      </c>
      <c r="G397" s="133">
        <v>43.628300000000003</v>
      </c>
      <c r="H397" s="133">
        <v>42.658499999999997</v>
      </c>
      <c r="I397" s="133"/>
      <c r="J397" s="134"/>
      <c r="K397" s="135"/>
      <c r="L397" s="29"/>
      <c r="M397" s="147"/>
      <c r="N397" s="147">
        <v>35.329700000000003</v>
      </c>
      <c r="O397" s="147">
        <v>43.631599999999999</v>
      </c>
      <c r="P397" s="147">
        <v>42.663899999999998</v>
      </c>
      <c r="Q397" s="147"/>
      <c r="R397" s="148"/>
      <c r="S397" s="149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1"/>
      <c r="D398" s="69">
        <v>40</v>
      </c>
      <c r="E398" s="136"/>
      <c r="F398" s="136">
        <v>32.907400000000003</v>
      </c>
      <c r="G398" s="136">
        <v>42.503</v>
      </c>
      <c r="H398" s="136">
        <v>41.311</v>
      </c>
      <c r="I398" s="136"/>
      <c r="J398" s="137"/>
      <c r="K398" s="138"/>
      <c r="L398" s="29"/>
      <c r="M398" s="150"/>
      <c r="N398" s="150">
        <v>32.9069</v>
      </c>
      <c r="O398" s="150">
        <v>42.4953</v>
      </c>
      <c r="P398" s="150">
        <v>41.313200000000002</v>
      </c>
      <c r="Q398" s="150"/>
      <c r="R398" s="151"/>
      <c r="S398" s="152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130"/>
      <c r="F399" s="130">
        <v>41.061</v>
      </c>
      <c r="G399" s="130">
        <v>47.625599999999999</v>
      </c>
      <c r="H399" s="130">
        <v>47.209400000000002</v>
      </c>
      <c r="I399" s="130"/>
      <c r="J399" s="131"/>
      <c r="K399" s="132"/>
      <c r="L399" s="29"/>
      <c r="M399" s="144"/>
      <c r="N399" s="144">
        <v>41.0623</v>
      </c>
      <c r="O399" s="144">
        <v>47.625599999999999</v>
      </c>
      <c r="P399" s="144">
        <v>47.211199999999998</v>
      </c>
      <c r="Q399" s="144"/>
      <c r="R399" s="145"/>
      <c r="S399" s="146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133"/>
      <c r="F400" s="133">
        <v>38.161900000000003</v>
      </c>
      <c r="G400" s="133">
        <v>45.800199999999997</v>
      </c>
      <c r="H400" s="133">
        <v>45.13</v>
      </c>
      <c r="I400" s="133"/>
      <c r="J400" s="134"/>
      <c r="K400" s="135"/>
      <c r="L400" s="29"/>
      <c r="M400" s="147"/>
      <c r="N400" s="147">
        <v>38.163200000000003</v>
      </c>
      <c r="O400" s="147">
        <v>45.7986</v>
      </c>
      <c r="P400" s="147">
        <v>45.129600000000003</v>
      </c>
      <c r="Q400" s="147"/>
      <c r="R400" s="148"/>
      <c r="S400" s="149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133"/>
      <c r="F401" s="133">
        <v>35.421700000000001</v>
      </c>
      <c r="G401" s="133">
        <v>43.957700000000003</v>
      </c>
      <c r="H401" s="133">
        <v>43.056899999999999</v>
      </c>
      <c r="I401" s="133"/>
      <c r="J401" s="134"/>
      <c r="K401" s="135"/>
      <c r="L401" s="29"/>
      <c r="M401" s="147"/>
      <c r="N401" s="147">
        <v>35.4223</v>
      </c>
      <c r="O401" s="147">
        <v>43.959499999999998</v>
      </c>
      <c r="P401" s="147">
        <v>43.059199999999997</v>
      </c>
      <c r="Q401" s="147"/>
      <c r="R401" s="148"/>
      <c r="S401" s="149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1"/>
      <c r="D402" s="69">
        <v>40</v>
      </c>
      <c r="E402" s="136"/>
      <c r="F402" s="136">
        <v>32.977400000000003</v>
      </c>
      <c r="G402" s="136">
        <v>42.754600000000003</v>
      </c>
      <c r="H402" s="136">
        <v>41.604199999999999</v>
      </c>
      <c r="I402" s="136"/>
      <c r="J402" s="137"/>
      <c r="K402" s="138"/>
      <c r="L402" s="29"/>
      <c r="M402" s="150"/>
      <c r="N402" s="150">
        <v>32.978200000000001</v>
      </c>
      <c r="O402" s="150">
        <v>42.755699999999997</v>
      </c>
      <c r="P402" s="150">
        <v>41.603299999999997</v>
      </c>
      <c r="Q402" s="150"/>
      <c r="R402" s="151"/>
      <c r="S402" s="152"/>
      <c r="U402" s="17"/>
      <c r="V402" s="18"/>
      <c r="W402" s="19"/>
      <c r="X402" s="29"/>
      <c r="Z402" s="59"/>
      <c r="AA402" s="55"/>
      <c r="AB402" s="24"/>
      <c r="AC402" s="24"/>
    </row>
    <row r="403" spans="2:29" ht="12.75">
      <c r="B403" s="36"/>
      <c r="C403" s="29" t="s">
        <v>50</v>
      </c>
      <c r="D403" s="32">
        <v>25</v>
      </c>
      <c r="E403" s="130"/>
      <c r="F403" s="130">
        <v>41.052999999999997</v>
      </c>
      <c r="G403" s="130">
        <v>47.680199999999999</v>
      </c>
      <c r="H403" s="130">
        <v>47.230200000000004</v>
      </c>
      <c r="I403" s="130"/>
      <c r="J403" s="131"/>
      <c r="K403" s="132"/>
      <c r="L403" s="29"/>
      <c r="M403" s="144"/>
      <c r="N403" s="144">
        <v>41.051000000000002</v>
      </c>
      <c r="O403" s="144">
        <v>47.677500000000002</v>
      </c>
      <c r="P403" s="144">
        <v>47.231400000000001</v>
      </c>
      <c r="Q403" s="144"/>
      <c r="R403" s="145"/>
      <c r="S403" s="146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133"/>
      <c r="F404" s="133">
        <v>38.161299999999997</v>
      </c>
      <c r="G404" s="133">
        <v>45.86</v>
      </c>
      <c r="H404" s="133">
        <v>45.151899999999998</v>
      </c>
      <c r="I404" s="133"/>
      <c r="J404" s="134"/>
      <c r="K404" s="135"/>
      <c r="L404" s="29"/>
      <c r="M404" s="147"/>
      <c r="N404" s="147">
        <v>38.160899999999998</v>
      </c>
      <c r="O404" s="147">
        <v>45.860999999999997</v>
      </c>
      <c r="P404" s="147">
        <v>45.152200000000001</v>
      </c>
      <c r="Q404" s="147"/>
      <c r="R404" s="148"/>
      <c r="S404" s="149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133"/>
      <c r="F405" s="133">
        <v>35.418900000000001</v>
      </c>
      <c r="G405" s="133">
        <v>44.030900000000003</v>
      </c>
      <c r="H405" s="133">
        <v>43.086399999999998</v>
      </c>
      <c r="I405" s="133"/>
      <c r="J405" s="134"/>
      <c r="K405" s="135"/>
      <c r="L405" s="29"/>
      <c r="M405" s="147"/>
      <c r="N405" s="147">
        <v>35.418999999999997</v>
      </c>
      <c r="O405" s="147">
        <v>44.029499999999999</v>
      </c>
      <c r="P405" s="147">
        <v>43.086500000000001</v>
      </c>
      <c r="Q405" s="147"/>
      <c r="R405" s="148"/>
      <c r="S405" s="149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1"/>
      <c r="D406" s="69">
        <v>40</v>
      </c>
      <c r="E406" s="136"/>
      <c r="F406" s="136">
        <v>32.9709</v>
      </c>
      <c r="G406" s="136">
        <v>42.828699999999998</v>
      </c>
      <c r="H406" s="136">
        <v>41.6143</v>
      </c>
      <c r="I406" s="136"/>
      <c r="J406" s="137"/>
      <c r="K406" s="138"/>
      <c r="L406" s="29"/>
      <c r="M406" s="150"/>
      <c r="N406" s="150">
        <v>32.970799999999997</v>
      </c>
      <c r="O406" s="150">
        <v>42.831899999999997</v>
      </c>
      <c r="P406" s="150">
        <v>41.611499999999999</v>
      </c>
      <c r="Q406" s="150"/>
      <c r="R406" s="151"/>
      <c r="S406" s="152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131"/>
      <c r="F407" s="131">
        <v>40.864899999999999</v>
      </c>
      <c r="G407" s="131">
        <v>46.813200000000002</v>
      </c>
      <c r="H407" s="131">
        <v>46.644199999999998</v>
      </c>
      <c r="I407" s="131"/>
      <c r="J407" s="131"/>
      <c r="K407" s="132"/>
      <c r="L407" s="29"/>
      <c r="M407" s="145"/>
      <c r="N407" s="145">
        <v>40.863199999999999</v>
      </c>
      <c r="O407" s="145">
        <v>46.811100000000003</v>
      </c>
      <c r="P407" s="145">
        <v>46.649799999999999</v>
      </c>
      <c r="Q407" s="145"/>
      <c r="R407" s="145"/>
      <c r="S407" s="146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134"/>
      <c r="F408" s="134">
        <v>38.042000000000002</v>
      </c>
      <c r="G408" s="134">
        <v>45.237299999999998</v>
      </c>
      <c r="H408" s="134">
        <v>44.716900000000003</v>
      </c>
      <c r="I408" s="134"/>
      <c r="J408" s="134"/>
      <c r="K408" s="135"/>
      <c r="L408" s="29"/>
      <c r="M408" s="148"/>
      <c r="N408" s="148">
        <v>38.042400000000001</v>
      </c>
      <c r="O408" s="148">
        <v>45.241599999999998</v>
      </c>
      <c r="P408" s="148">
        <v>44.721299999999999</v>
      </c>
      <c r="Q408" s="148"/>
      <c r="R408" s="148"/>
      <c r="S408" s="149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134"/>
      <c r="F409" s="134">
        <v>35.339599999999997</v>
      </c>
      <c r="G409" s="134">
        <v>43.591299999999997</v>
      </c>
      <c r="H409" s="134">
        <v>42.749200000000002</v>
      </c>
      <c r="I409" s="134"/>
      <c r="J409" s="134"/>
      <c r="K409" s="135"/>
      <c r="L409" s="29"/>
      <c r="M409" s="148"/>
      <c r="N409" s="148">
        <v>35.338900000000002</v>
      </c>
      <c r="O409" s="148">
        <v>43.590800000000002</v>
      </c>
      <c r="P409" s="148">
        <v>42.748899999999999</v>
      </c>
      <c r="Q409" s="148"/>
      <c r="R409" s="148"/>
      <c r="S409" s="149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1"/>
      <c r="D410" s="69">
        <v>40</v>
      </c>
      <c r="E410" s="137"/>
      <c r="F410" s="137">
        <v>32.900700000000001</v>
      </c>
      <c r="G410" s="137">
        <v>42.475200000000001</v>
      </c>
      <c r="H410" s="137">
        <v>41.3065</v>
      </c>
      <c r="I410" s="137"/>
      <c r="J410" s="137"/>
      <c r="K410" s="138"/>
      <c r="L410" s="29"/>
      <c r="M410" s="151"/>
      <c r="N410" s="151">
        <v>32.899900000000002</v>
      </c>
      <c r="O410" s="151">
        <v>42.476100000000002</v>
      </c>
      <c r="P410" s="151">
        <v>41.308599999999998</v>
      </c>
      <c r="Q410" s="151"/>
      <c r="R410" s="151"/>
      <c r="S410" s="152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131"/>
      <c r="F411" s="131">
        <v>40.686399999999999</v>
      </c>
      <c r="G411" s="131">
        <v>46.644599999999997</v>
      </c>
      <c r="H411" s="131">
        <v>46.613700000000001</v>
      </c>
      <c r="I411" s="131"/>
      <c r="J411" s="131"/>
      <c r="K411" s="132"/>
      <c r="L411" s="29"/>
      <c r="M411" s="145"/>
      <c r="N411" s="145">
        <v>40.684100000000001</v>
      </c>
      <c r="O411" s="145">
        <v>46.644199999999998</v>
      </c>
      <c r="P411" s="145">
        <v>46.6265</v>
      </c>
      <c r="Q411" s="145"/>
      <c r="R411" s="145"/>
      <c r="S411" s="146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134"/>
      <c r="F412" s="134">
        <v>37.912700000000001</v>
      </c>
      <c r="G412" s="134">
        <v>45.103200000000001</v>
      </c>
      <c r="H412" s="134">
        <v>44.636200000000002</v>
      </c>
      <c r="I412" s="134"/>
      <c r="J412" s="134"/>
      <c r="K412" s="135"/>
      <c r="L412" s="29"/>
      <c r="M412" s="148"/>
      <c r="N412" s="148">
        <v>37.911799999999999</v>
      </c>
      <c r="O412" s="148">
        <v>45.1312</v>
      </c>
      <c r="P412" s="148">
        <v>44.6554</v>
      </c>
      <c r="Q412" s="148"/>
      <c r="R412" s="148"/>
      <c r="S412" s="149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134"/>
      <c r="F413" s="134">
        <v>35.26</v>
      </c>
      <c r="G413" s="134">
        <v>43.502000000000002</v>
      </c>
      <c r="H413" s="134">
        <v>42.690899999999999</v>
      </c>
      <c r="I413" s="134"/>
      <c r="J413" s="134"/>
      <c r="K413" s="135"/>
      <c r="L413" s="29"/>
      <c r="M413" s="148"/>
      <c r="N413" s="148">
        <v>35.258899999999997</v>
      </c>
      <c r="O413" s="148">
        <v>43.495800000000003</v>
      </c>
      <c r="P413" s="148">
        <v>42.692599999999999</v>
      </c>
      <c r="Q413" s="148"/>
      <c r="R413" s="148"/>
      <c r="S413" s="149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1"/>
      <c r="D414" s="69">
        <v>40</v>
      </c>
      <c r="E414" s="137"/>
      <c r="F414" s="137">
        <v>32.8583</v>
      </c>
      <c r="G414" s="137">
        <v>42.443600000000004</v>
      </c>
      <c r="H414" s="137">
        <v>41.256700000000002</v>
      </c>
      <c r="I414" s="137"/>
      <c r="J414" s="137"/>
      <c r="K414" s="138"/>
      <c r="L414" s="29"/>
      <c r="M414" s="151"/>
      <c r="N414" s="151">
        <v>32.858699999999999</v>
      </c>
      <c r="O414" s="151">
        <v>42.447499999999998</v>
      </c>
      <c r="P414" s="151">
        <v>41.254600000000003</v>
      </c>
      <c r="Q414" s="151"/>
      <c r="R414" s="151"/>
      <c r="S414" s="152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134">
        <v>6058.9639999999999</v>
      </c>
      <c r="F415" s="134"/>
      <c r="G415" s="134"/>
      <c r="H415" s="134"/>
      <c r="I415" s="134">
        <v>60596.29</v>
      </c>
      <c r="J415" s="134">
        <v>147.61000000000001</v>
      </c>
      <c r="K415" s="135">
        <v>889.24</v>
      </c>
      <c r="L415" s="29"/>
      <c r="M415" s="148">
        <v>6057.3087999999998</v>
      </c>
      <c r="N415" s="148"/>
      <c r="O415" s="148"/>
      <c r="P415" s="148"/>
      <c r="Q415" s="148">
        <v>59377.24</v>
      </c>
      <c r="R415" s="148">
        <v>145.55000000000001</v>
      </c>
      <c r="S415" s="149">
        <v>904.5</v>
      </c>
      <c r="U415" s="8"/>
      <c r="V415" s="9"/>
      <c r="W415" s="10"/>
      <c r="X415" s="29"/>
      <c r="Y415" s="59">
        <f>GEOMEAN(Q415:Q418)/GEOMEAN(I415:I418)</f>
        <v>0.98457858253293595</v>
      </c>
      <c r="Z415" s="59">
        <f>GEOMEAN(R415:R418)/GEOMEAN(J415:J418)</f>
        <v>0.9935949060555187</v>
      </c>
      <c r="AA415" s="55">
        <f>GEOMEAN(S415:S418)/GEOMEAN(K415:K418)</f>
        <v>1.0173035008826854</v>
      </c>
      <c r="AB415" s="24"/>
      <c r="AC415" s="24"/>
    </row>
    <row r="416" spans="2:29" ht="12.75">
      <c r="B416" s="36"/>
      <c r="C416" s="29"/>
      <c r="D416" s="32">
        <v>30</v>
      </c>
      <c r="E416" s="134">
        <v>2802.1224000000002</v>
      </c>
      <c r="F416" s="134"/>
      <c r="G416" s="134"/>
      <c r="H416" s="134"/>
      <c r="I416" s="134">
        <v>45228.480000000003</v>
      </c>
      <c r="J416" s="134">
        <v>114.87</v>
      </c>
      <c r="K416" s="135">
        <v>897.66</v>
      </c>
      <c r="L416" s="29"/>
      <c r="M416" s="148">
        <v>2801.6167999999998</v>
      </c>
      <c r="N416" s="148"/>
      <c r="O416" s="148"/>
      <c r="P416" s="148"/>
      <c r="Q416" s="148">
        <v>44437.46</v>
      </c>
      <c r="R416" s="148">
        <v>122.19</v>
      </c>
      <c r="S416" s="149">
        <v>915.5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134">
        <v>1346.4911999999999</v>
      </c>
      <c r="F417" s="134"/>
      <c r="G417" s="134"/>
      <c r="H417" s="134"/>
      <c r="I417" s="134">
        <v>37026.86</v>
      </c>
      <c r="J417" s="134">
        <v>116.06</v>
      </c>
      <c r="K417" s="135">
        <v>910.31</v>
      </c>
      <c r="L417" s="29"/>
      <c r="M417" s="148">
        <v>1346.4032</v>
      </c>
      <c r="N417" s="148"/>
      <c r="O417" s="148"/>
      <c r="P417" s="148"/>
      <c r="Q417" s="148">
        <v>36732.07</v>
      </c>
      <c r="R417" s="148">
        <v>109.65</v>
      </c>
      <c r="S417" s="149">
        <v>921.7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2"/>
      <c r="B418" s="50"/>
      <c r="C418" s="51"/>
      <c r="D418" s="69">
        <v>40</v>
      </c>
      <c r="E418" s="137">
        <v>647.48720000000003</v>
      </c>
      <c r="F418" s="137"/>
      <c r="G418" s="137"/>
      <c r="H418" s="137"/>
      <c r="I418" s="137">
        <v>31778.34</v>
      </c>
      <c r="J418" s="137">
        <v>120.19</v>
      </c>
      <c r="K418" s="138">
        <v>907.82</v>
      </c>
      <c r="L418" s="29"/>
      <c r="M418" s="151">
        <v>647.40319999999997</v>
      </c>
      <c r="N418" s="151"/>
      <c r="O418" s="151"/>
      <c r="P418" s="151"/>
      <c r="Q418" s="151">
        <v>31267.49</v>
      </c>
      <c r="R418" s="151">
        <v>118.21</v>
      </c>
      <c r="S418" s="152">
        <v>925.69</v>
      </c>
      <c r="U418" s="82"/>
      <c r="V418" s="83"/>
      <c r="W418" s="84"/>
      <c r="X418" s="29"/>
      <c r="Y418" s="47"/>
      <c r="Z418" s="47"/>
      <c r="AA418" s="52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18822.137027405344</v>
      </c>
      <c r="J420" s="37">
        <f>GEOMEAN(J51:J54,J103:J106,J155:J158)</f>
        <v>43.782755971484391</v>
      </c>
      <c r="K420" s="39">
        <f>GEOMEAN(K51:K54,K103:K106,K155:K158)</f>
        <v>330.62520991438629</v>
      </c>
      <c r="M420" s="35"/>
      <c r="N420" s="22"/>
      <c r="O420" s="22"/>
      <c r="P420" s="22"/>
      <c r="Q420" s="37">
        <f>GEOMEAN(Q51:Q54,Q103:Q106,Q155:Q158)</f>
        <v>18780.262165833679</v>
      </c>
      <c r="R420" s="37">
        <f>GEOMEAN(R51:R54,R103:R106,R155:R158)</f>
        <v>44.504807767238994</v>
      </c>
      <c r="S420" s="39">
        <f>GEOMEAN(S51:S54,S103:S106,S155:S158)</f>
        <v>330.55827557317411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29705.301978578311</v>
      </c>
      <c r="J421" s="38">
        <f>GEOMEAN(J207:J210,J259:J262,J311:J314,J363:J366)</f>
        <v>95.550868222970422</v>
      </c>
      <c r="K421" s="40">
        <f>GEOMEAN(K207:K210,K259:K262,K311:K314,K363:K366)</f>
        <v>717.86304652881233</v>
      </c>
      <c r="M421" s="36"/>
      <c r="N421" s="24"/>
      <c r="O421" s="24"/>
      <c r="P421" s="24"/>
      <c r="Q421" s="38">
        <f>GEOMEAN(Q207:Q210,Q259:Q262,Q311:Q314,Q363:Q366)</f>
        <v>29669.17390040457</v>
      </c>
      <c r="R421" s="38">
        <f>GEOMEAN(R207:R210,R259:R262,R311:R314,R363:R366)</f>
        <v>91.918511972668</v>
      </c>
      <c r="S421" s="40">
        <f>GEOMEAN(S207:S210,S259:S262,S311:S314,S363:S366)</f>
        <v>727.10187912792549</v>
      </c>
      <c r="AB421" s="24"/>
      <c r="AC421" s="24"/>
    </row>
    <row r="422" spans="1:29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24429.022922683107</v>
      </c>
      <c r="J422" s="70">
        <f>GEOMEAN(J51:J54,J103:J106,J155:J158,J207:J210,J259:J262,J311:J314,J363:J366)</f>
        <v>68.387741651808881</v>
      </c>
      <c r="K422" s="71">
        <f>GEOMEAN(K51:K54,K103:K106,K155:K158,K207:K210,K259:K262,K311:K314,K363:K366)</f>
        <v>514.91931607163031</v>
      </c>
      <c r="M422" s="50"/>
      <c r="N422" s="47"/>
      <c r="O422" s="47"/>
      <c r="P422" s="47"/>
      <c r="Q422" s="70">
        <f>GEOMEAN(Q51:Q54,Q103:Q106,Q155:Q158,Q207:Q210,Q259:Q262,Q311:Q314,Q363:Q366)</f>
        <v>24388.749796944059</v>
      </c>
      <c r="R422" s="70">
        <f>GEOMEAN(R51:R54,R103:R106,R155:R158,R207:R210,R259:R262,R311:R314,R363:R366)</f>
        <v>67.360402814971039</v>
      </c>
      <c r="S422" s="71">
        <f>GEOMEAN(S51:S54,S103:S106,S155:S158,S207:S210,S259:S262,S311:S314,S363:S366)</f>
        <v>518.65076692296998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0.9977752334120884</v>
      </c>
      <c r="R423" s="45">
        <f t="shared" si="0"/>
        <v>1.0164916935842245</v>
      </c>
      <c r="S423" s="46">
        <f t="shared" si="0"/>
        <v>0.9997975522156054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0.99878378350774577</v>
      </c>
      <c r="R424" s="45">
        <f t="shared" si="0"/>
        <v>0.96198510471065291</v>
      </c>
      <c r="S424" s="46">
        <f t="shared" si="0"/>
        <v>1.0128699097185556</v>
      </c>
      <c r="AB424" s="24"/>
      <c r="AC424" s="24"/>
    </row>
    <row r="425" spans="1:29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0.99835142298296131</v>
      </c>
      <c r="R425" s="48">
        <f t="shared" si="0"/>
        <v>0.9849777341373771</v>
      </c>
      <c r="S425" s="49">
        <f t="shared" si="0"/>
        <v>1.0072466709538248</v>
      </c>
      <c r="AB425" s="24"/>
      <c r="AC425" s="24"/>
    </row>
    <row r="426" spans="1:29">
      <c r="AB426" s="24"/>
      <c r="AC426" s="24"/>
    </row>
    <row r="427" spans="1:29" ht="12.75" thickBot="1">
      <c r="A427" s="86" t="s">
        <v>38</v>
      </c>
      <c r="AB427" s="24"/>
      <c r="AC427" s="24"/>
    </row>
    <row r="428" spans="1:29" ht="12.75" thickBot="1">
      <c r="A428" s="7"/>
      <c r="B428" s="85"/>
      <c r="C428" s="7"/>
      <c r="D428" s="28"/>
      <c r="E428" s="141" t="s">
        <v>2</v>
      </c>
      <c r="F428" s="141"/>
      <c r="G428" s="141"/>
      <c r="H428" s="141"/>
      <c r="I428" s="141"/>
      <c r="J428" s="141"/>
      <c r="K428" s="142"/>
      <c r="L428" s="11"/>
      <c r="M428" s="143" t="s">
        <v>3</v>
      </c>
      <c r="N428" s="141"/>
      <c r="O428" s="141"/>
      <c r="P428" s="141"/>
      <c r="Q428" s="141"/>
      <c r="R428" s="141"/>
      <c r="S428" s="142"/>
      <c r="T428" s="34"/>
      <c r="U428" s="143" t="s">
        <v>10</v>
      </c>
      <c r="V428" s="141"/>
      <c r="W428" s="142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1146.4112</v>
      </c>
      <c r="F430" s="75">
        <f t="shared" ref="F430:H433" si="1">AVERAGE(F3,F7)</f>
        <v>42.656400000000005</v>
      </c>
      <c r="G430" s="75">
        <f t="shared" si="1"/>
        <v>43.257099999999994</v>
      </c>
      <c r="H430" s="75">
        <f t="shared" si="1"/>
        <v>43.554349999999999</v>
      </c>
      <c r="I430" s="76"/>
      <c r="J430" s="76"/>
      <c r="K430" s="77"/>
      <c r="L430" s="29"/>
      <c r="M430" s="79">
        <f>M3+M7</f>
        <v>1146.6152</v>
      </c>
      <c r="N430" s="75">
        <f t="shared" ref="N430:P433" si="2">AVERAGE(N3,N7)</f>
        <v>42.65945</v>
      </c>
      <c r="O430" s="75">
        <f t="shared" si="2"/>
        <v>43.254199999999997</v>
      </c>
      <c r="P430" s="75">
        <f t="shared" si="2"/>
        <v>43.554749999999999</v>
      </c>
      <c r="Q430" s="76"/>
      <c r="R430" s="76"/>
      <c r="S430" s="77"/>
      <c r="U430" s="8">
        <f>bdrate($E430:$E433,F430:F433,$M430:$M433,N430:N433)</f>
        <v>-3.8753390496515383E-4</v>
      </c>
      <c r="V430" s="9">
        <f>bdrate($E430:$E433,G430:G433,$M430:$M433,O430:O433)</f>
        <v>-3.5741386260945696E-4</v>
      </c>
      <c r="W430" s="10">
        <f>bdrate($E430:$E433,H430:H433,$M430:$M433,P430:P433)</f>
        <v>-2.8127934820454392E-4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68">
        <f>E4+E8</f>
        <v>603.65039999999999</v>
      </c>
      <c r="F431" s="68">
        <f t="shared" si="1"/>
        <v>40.475650000000002</v>
      </c>
      <c r="G431" s="68">
        <f t="shared" si="1"/>
        <v>41.978549999999998</v>
      </c>
      <c r="H431" s="68">
        <f t="shared" si="1"/>
        <v>41.936149999999998</v>
      </c>
      <c r="I431" s="64"/>
      <c r="J431" s="64"/>
      <c r="K431" s="65"/>
      <c r="L431" s="29"/>
      <c r="M431" s="80">
        <f>M4+M8</f>
        <v>603.99040000000002</v>
      </c>
      <c r="N431" s="68">
        <f t="shared" si="2"/>
        <v>40.478499999999997</v>
      </c>
      <c r="O431" s="68">
        <f t="shared" si="2"/>
        <v>41.980800000000002</v>
      </c>
      <c r="P431" s="68">
        <f t="shared" si="2"/>
        <v>41.937100000000001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68">
        <f>E5+E9</f>
        <v>341.01679999999999</v>
      </c>
      <c r="F432" s="68">
        <f t="shared" si="1"/>
        <v>37.883200000000002</v>
      </c>
      <c r="G432" s="68">
        <f t="shared" si="1"/>
        <v>40.605350000000001</v>
      </c>
      <c r="H432" s="68">
        <f t="shared" si="1"/>
        <v>40.288249999999998</v>
      </c>
      <c r="I432" s="64"/>
      <c r="J432" s="64"/>
      <c r="K432" s="65"/>
      <c r="L432" s="29"/>
      <c r="M432" s="80">
        <f>M5+M9</f>
        <v>340.95760000000001</v>
      </c>
      <c r="N432" s="68">
        <f t="shared" si="2"/>
        <v>37.884150000000005</v>
      </c>
      <c r="O432" s="68">
        <f t="shared" si="2"/>
        <v>40.606300000000005</v>
      </c>
      <c r="P432" s="68">
        <f t="shared" si="2"/>
        <v>40.290999999999997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201.45600000000002</v>
      </c>
      <c r="F433" s="78">
        <f t="shared" si="1"/>
        <v>35.112400000000001</v>
      </c>
      <c r="G433" s="78">
        <f t="shared" si="1"/>
        <v>39.5167</v>
      </c>
      <c r="H433" s="78">
        <f t="shared" si="1"/>
        <v>39.021000000000001</v>
      </c>
      <c r="I433" s="66"/>
      <c r="J433" s="66"/>
      <c r="K433" s="67"/>
      <c r="L433" s="29"/>
      <c r="M433" s="81">
        <f>M6+M10</f>
        <v>201.33360000000002</v>
      </c>
      <c r="N433" s="78">
        <f t="shared" si="2"/>
        <v>35.112700000000004</v>
      </c>
      <c r="O433" s="78">
        <f t="shared" si="2"/>
        <v>39.518950000000004</v>
      </c>
      <c r="P433" s="78">
        <f t="shared" si="2"/>
        <v>39.018599999999999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1443.8696</v>
      </c>
      <c r="F434" s="75">
        <f t="shared" ref="F434:H437" si="3">AVERAGE(F3,F7,F11)</f>
        <v>42.402500000000003</v>
      </c>
      <c r="G434" s="75">
        <f t="shared" si="3"/>
        <v>43.019066666666667</v>
      </c>
      <c r="H434" s="75">
        <f t="shared" si="3"/>
        <v>43.325633333333336</v>
      </c>
      <c r="I434" s="76"/>
      <c r="J434" s="76"/>
      <c r="K434" s="77"/>
      <c r="L434" s="29"/>
      <c r="M434" s="75">
        <f>M3+M7+M11</f>
        <v>1443.9032</v>
      </c>
      <c r="N434" s="75">
        <f t="shared" ref="N434:P437" si="4">AVERAGE(N3,N7,N11)</f>
        <v>42.404633333333329</v>
      </c>
      <c r="O434" s="75">
        <f t="shared" si="4"/>
        <v>43.018499999999996</v>
      </c>
      <c r="P434" s="75">
        <f t="shared" si="4"/>
        <v>43.3247</v>
      </c>
      <c r="Q434" s="76"/>
      <c r="R434" s="76"/>
      <c r="S434" s="77"/>
      <c r="U434" s="8">
        <f>bdrate($E434:$E437,F434:F437,$M434:$M437,N434:N437)</f>
        <v>-1.0310819169012664E-4</v>
      </c>
      <c r="V434" s="9">
        <f>bdrate($E434:$E437,G434:G437,$M434:$M437,O434:O437)</f>
        <v>-4.2670610384532015E-4</v>
      </c>
      <c r="W434" s="10">
        <f>bdrate($E434:$E437,H434:H437,$M434:$M437,P434:P437)</f>
        <v>-4.5624830312140929E-4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738.61199999999997</v>
      </c>
      <c r="F435" s="68">
        <f t="shared" si="3"/>
        <v>40.204666666666668</v>
      </c>
      <c r="G435" s="68">
        <f t="shared" si="3"/>
        <v>41.7241</v>
      </c>
      <c r="H435" s="68">
        <f t="shared" si="3"/>
        <v>41.724699999999999</v>
      </c>
      <c r="I435" s="64"/>
      <c r="J435" s="64"/>
      <c r="K435" s="65"/>
      <c r="L435" s="29"/>
      <c r="M435" s="68">
        <f>M4+M8+M12</f>
        <v>739.20240000000001</v>
      </c>
      <c r="N435" s="68">
        <f t="shared" si="4"/>
        <v>40.206833333333329</v>
      </c>
      <c r="O435" s="68">
        <f t="shared" si="4"/>
        <v>41.728233333333336</v>
      </c>
      <c r="P435" s="68">
        <f t="shared" si="4"/>
        <v>41.725466666666669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411.26400000000001</v>
      </c>
      <c r="F436" s="68">
        <f t="shared" si="3"/>
        <v>37.625033333333334</v>
      </c>
      <c r="G436" s="68">
        <f t="shared" si="3"/>
        <v>40.425166666666662</v>
      </c>
      <c r="H436" s="68">
        <f t="shared" si="3"/>
        <v>40.145333333333333</v>
      </c>
      <c r="I436" s="64"/>
      <c r="J436" s="64"/>
      <c r="K436" s="65"/>
      <c r="L436" s="29"/>
      <c r="M436" s="68">
        <f>M5+M9+M13</f>
        <v>411.20640000000003</v>
      </c>
      <c r="N436" s="68">
        <f t="shared" si="4"/>
        <v>37.624766666666666</v>
      </c>
      <c r="O436" s="68">
        <f t="shared" si="4"/>
        <v>40.42496666666667</v>
      </c>
      <c r="P436" s="68">
        <f t="shared" si="4"/>
        <v>40.150199999999998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238.81200000000001</v>
      </c>
      <c r="F437" s="78">
        <f t="shared" si="3"/>
        <v>34.876200000000004</v>
      </c>
      <c r="G437" s="78">
        <f t="shared" si="3"/>
        <v>39.352266666666672</v>
      </c>
      <c r="H437" s="78">
        <f t="shared" si="3"/>
        <v>38.881433333333334</v>
      </c>
      <c r="I437" s="66"/>
      <c r="J437" s="66"/>
      <c r="K437" s="67"/>
      <c r="L437" s="29"/>
      <c r="M437" s="78">
        <f>M6+M10+M14</f>
        <v>238.7672</v>
      </c>
      <c r="N437" s="78">
        <f t="shared" si="4"/>
        <v>34.877966666666673</v>
      </c>
      <c r="O437" s="78">
        <f t="shared" si="4"/>
        <v>39.351533333333336</v>
      </c>
      <c r="P437" s="78">
        <f t="shared" si="4"/>
        <v>38.8812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1348.9535999999998</v>
      </c>
      <c r="F438" s="75">
        <f t="shared" ref="F438:H441" si="5">AVERAGE(F27,F31,F35)</f>
        <v>42.768966666666671</v>
      </c>
      <c r="G438" s="75">
        <f t="shared" si="5"/>
        <v>45.631366666666672</v>
      </c>
      <c r="H438" s="75">
        <f t="shared" si="5"/>
        <v>45.515099999999997</v>
      </c>
      <c r="I438" s="76"/>
      <c r="J438" s="76"/>
      <c r="K438" s="77"/>
      <c r="L438" s="29"/>
      <c r="M438" s="79">
        <f>M3+M7+M15+M19</f>
        <v>1348.9375999999997</v>
      </c>
      <c r="N438" s="75">
        <f t="shared" ref="N438:P441" si="6">AVERAGE(N27,N31,N35)</f>
        <v>42.765799999999992</v>
      </c>
      <c r="O438" s="75">
        <f t="shared" si="6"/>
        <v>45.626800000000003</v>
      </c>
      <c r="P438" s="75">
        <f t="shared" si="6"/>
        <v>45.516799999999996</v>
      </c>
      <c r="Q438" s="76"/>
      <c r="R438" s="76"/>
      <c r="S438" s="77"/>
      <c r="U438" s="8">
        <f>bdrate($E438:$E441,F438:F441,$M438:$M441,N438:N441)</f>
        <v>6.6834540393490016E-4</v>
      </c>
      <c r="V438" s="9">
        <f>bdrate($E438:$E441,G438:G441,$M438:$M441,O438:O441)</f>
        <v>-9.3936200536437475E-5</v>
      </c>
      <c r="W438" s="10">
        <f>bdrate($E438:$E441,H438:H441,$M438:$M441,P438:P441)</f>
        <v>-8.3680370963290507E-5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670.35360000000003</v>
      </c>
      <c r="F439" s="68">
        <f t="shared" si="5"/>
        <v>40.549666666666667</v>
      </c>
      <c r="G439" s="68">
        <f t="shared" si="5"/>
        <v>43.961933333333327</v>
      </c>
      <c r="H439" s="68">
        <f t="shared" si="5"/>
        <v>43.514833333333335</v>
      </c>
      <c r="I439" s="64"/>
      <c r="J439" s="64"/>
      <c r="K439" s="65"/>
      <c r="L439" s="29"/>
      <c r="M439" s="80">
        <f>M4+M8+M16+M20</f>
        <v>670.6776000000001</v>
      </c>
      <c r="N439" s="68">
        <f t="shared" si="6"/>
        <v>40.546799999999998</v>
      </c>
      <c r="O439" s="68">
        <f t="shared" si="6"/>
        <v>43.962500000000006</v>
      </c>
      <c r="P439" s="68">
        <f t="shared" si="6"/>
        <v>43.518100000000004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369.80079999999998</v>
      </c>
      <c r="F440" s="68">
        <f t="shared" si="5"/>
        <v>37.996833333333335</v>
      </c>
      <c r="G440" s="68">
        <f t="shared" si="5"/>
        <v>42.180566666666671</v>
      </c>
      <c r="H440" s="68">
        <f t="shared" si="5"/>
        <v>41.526199999999996</v>
      </c>
      <c r="I440" s="64"/>
      <c r="J440" s="64"/>
      <c r="K440" s="65"/>
      <c r="L440" s="29"/>
      <c r="M440" s="80">
        <f>M5+M9+M17+M21</f>
        <v>369.72640000000001</v>
      </c>
      <c r="N440" s="68">
        <f t="shared" si="6"/>
        <v>37.994</v>
      </c>
      <c r="O440" s="68">
        <f t="shared" si="6"/>
        <v>42.179833333333335</v>
      </c>
      <c r="P440" s="68">
        <f t="shared" si="6"/>
        <v>41.521466666666669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215.69360000000003</v>
      </c>
      <c r="F441" s="78">
        <f t="shared" si="5"/>
        <v>35.253566666666664</v>
      </c>
      <c r="G441" s="78">
        <f t="shared" si="5"/>
        <v>40.817100000000003</v>
      </c>
      <c r="H441" s="78">
        <f t="shared" si="5"/>
        <v>40.0214</v>
      </c>
      <c r="I441" s="66"/>
      <c r="J441" s="66"/>
      <c r="K441" s="67"/>
      <c r="L441" s="29"/>
      <c r="M441" s="81">
        <f>M6+M10+M18+M22</f>
        <v>215.54079999999999</v>
      </c>
      <c r="N441" s="78">
        <f t="shared" si="6"/>
        <v>35.251666666666665</v>
      </c>
      <c r="O441" s="78">
        <f t="shared" si="6"/>
        <v>40.827233333333339</v>
      </c>
      <c r="P441" s="78">
        <f t="shared" si="6"/>
        <v>40.025366666666663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1747.952</v>
      </c>
      <c r="F442" s="75">
        <f t="shared" ref="F442:H445" si="7">AVERAGE(F27,F31,F35,F39,F43,F47)</f>
        <v>42.681100000000008</v>
      </c>
      <c r="G442" s="75">
        <f t="shared" si="7"/>
        <v>45.58368333333334</v>
      </c>
      <c r="H442" s="75">
        <f t="shared" si="7"/>
        <v>45.460349999999998</v>
      </c>
      <c r="I442" s="76"/>
      <c r="J442" s="76"/>
      <c r="K442" s="77"/>
      <c r="L442" s="29"/>
      <c r="M442" s="75">
        <f>M51</f>
        <v>1747.7439999999999</v>
      </c>
      <c r="N442" s="75">
        <f t="shared" ref="N442:P445" si="8">AVERAGE(N27,N31,N35,N39,N43,N47)</f>
        <v>42.684599999999996</v>
      </c>
      <c r="O442" s="75">
        <f t="shared" si="8"/>
        <v>45.580933333333341</v>
      </c>
      <c r="P442" s="75">
        <f t="shared" si="8"/>
        <v>45.458166666666664</v>
      </c>
      <c r="Q442" s="76"/>
      <c r="R442" s="76"/>
      <c r="S442" s="77"/>
      <c r="U442" s="8">
        <f>bdrate($E442:$E445,F442:F445,$M442:$M445,N442:N445)</f>
        <v>2.7600628572566066E-4</v>
      </c>
      <c r="V442" s="9">
        <f>bdrate($E442:$E445,G442:G445,$M442:$M445,O442:O445)</f>
        <v>-8.1636178530863912E-4</v>
      </c>
      <c r="W442" s="10">
        <f>bdrate($E442:$E445,H442:H445,$M442:$M445,P442:P445)</f>
        <v>-1.8759833543646742E-4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841.84799999999996</v>
      </c>
      <c r="F443" s="68">
        <f t="shared" si="7"/>
        <v>40.485599999999998</v>
      </c>
      <c r="G443" s="68">
        <f t="shared" si="7"/>
        <v>43.906649999999992</v>
      </c>
      <c r="H443" s="68">
        <f t="shared" si="7"/>
        <v>43.459399999999995</v>
      </c>
      <c r="I443" s="64"/>
      <c r="J443" s="64"/>
      <c r="K443" s="65"/>
      <c r="L443" s="29"/>
      <c r="M443" s="68">
        <f>M52</f>
        <v>842.31280000000004</v>
      </c>
      <c r="N443" s="68">
        <f t="shared" si="8"/>
        <v>40.484516666666671</v>
      </c>
      <c r="O443" s="68">
        <f t="shared" si="8"/>
        <v>43.911416666666675</v>
      </c>
      <c r="P443" s="68">
        <f t="shared" si="8"/>
        <v>43.460800000000006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459.06639999999999</v>
      </c>
      <c r="F444" s="68">
        <f t="shared" si="7"/>
        <v>37.944349999999993</v>
      </c>
      <c r="G444" s="68">
        <f t="shared" si="7"/>
        <v>42.13818333333333</v>
      </c>
      <c r="H444" s="68">
        <f t="shared" si="7"/>
        <v>41.476916666666668</v>
      </c>
      <c r="I444" s="64"/>
      <c r="J444" s="64"/>
      <c r="K444" s="65"/>
      <c r="L444" s="29"/>
      <c r="M444" s="68">
        <f>M53</f>
        <v>458.93520000000001</v>
      </c>
      <c r="N444" s="68">
        <f t="shared" si="8"/>
        <v>37.941916666666664</v>
      </c>
      <c r="O444" s="68">
        <f t="shared" si="8"/>
        <v>42.138766666666669</v>
      </c>
      <c r="P444" s="68">
        <f t="shared" si="8"/>
        <v>41.478683333333336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265.06</v>
      </c>
      <c r="F445" s="78">
        <f t="shared" si="7"/>
        <v>35.202466666666666</v>
      </c>
      <c r="G445" s="78">
        <f t="shared" si="7"/>
        <v>40.802216666666673</v>
      </c>
      <c r="H445" s="78">
        <f t="shared" si="7"/>
        <v>39.96736666666667</v>
      </c>
      <c r="I445" s="66"/>
      <c r="J445" s="66"/>
      <c r="K445" s="67"/>
      <c r="L445" s="29"/>
      <c r="M445" s="78">
        <f>M54</f>
        <v>265.04399999999998</v>
      </c>
      <c r="N445" s="78">
        <f t="shared" si="8"/>
        <v>35.200566666666667</v>
      </c>
      <c r="O445" s="78">
        <f t="shared" si="8"/>
        <v>40.80843333333334</v>
      </c>
      <c r="P445" s="78">
        <f t="shared" si="8"/>
        <v>39.968050000000005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1348.9535999999998</v>
      </c>
      <c r="F446" s="75">
        <f t="shared" ref="F446:H449" si="10">AVERAGE(F3,F7,F27,F31,F35)</f>
        <v>42.723940000000006</v>
      </c>
      <c r="G446" s="75">
        <f t="shared" si="10"/>
        <v>44.681660000000001</v>
      </c>
      <c r="H446" s="75">
        <f t="shared" si="10"/>
        <v>44.730800000000002</v>
      </c>
      <c r="I446" s="76"/>
      <c r="J446" s="76"/>
      <c r="K446" s="77"/>
      <c r="L446" s="29"/>
      <c r="M446" s="75">
        <f t="shared" ref="M446:M453" si="11">M438</f>
        <v>1348.9375999999997</v>
      </c>
      <c r="N446" s="75">
        <f t="shared" ref="N446:P449" si="12">AVERAGE(N3,N7,N27,N31,N35)</f>
        <v>42.723260000000003</v>
      </c>
      <c r="O446" s="75">
        <f t="shared" si="12"/>
        <v>44.677759999999999</v>
      </c>
      <c r="P446" s="75">
        <f t="shared" si="12"/>
        <v>44.73198</v>
      </c>
      <c r="Q446" s="76"/>
      <c r="R446" s="76"/>
      <c r="S446" s="77"/>
      <c r="U446" s="8">
        <f>bdrate($E446:$E449,F446:F449,$M446:$M449,N446:N449)</f>
        <v>2.0328714521045121E-4</v>
      </c>
      <c r="V446" s="9">
        <f>bdrate($E446:$E449,G446:G449,$M446:$M449,O446:O449)</f>
        <v>-2.1404040451866724E-4</v>
      </c>
      <c r="W446" s="10">
        <f>bdrate($E446:$E449,H446:H449,$M446:$M449,P446:P449)</f>
        <v>-1.8806508067525929E-4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670.35360000000003</v>
      </c>
      <c r="F447" s="68">
        <f t="shared" si="10"/>
        <v>40.520060000000001</v>
      </c>
      <c r="G447" s="68">
        <f t="shared" si="10"/>
        <v>43.168579999999999</v>
      </c>
      <c r="H447" s="68">
        <f t="shared" si="10"/>
        <v>42.883359999999996</v>
      </c>
      <c r="I447" s="64"/>
      <c r="J447" s="64"/>
      <c r="K447" s="65"/>
      <c r="L447" s="29"/>
      <c r="M447" s="68">
        <f t="shared" si="11"/>
        <v>670.6776000000001</v>
      </c>
      <c r="N447" s="68">
        <f t="shared" si="12"/>
        <v>40.519480000000001</v>
      </c>
      <c r="O447" s="68">
        <f t="shared" si="12"/>
        <v>43.169820000000001</v>
      </c>
      <c r="P447" s="68">
        <f t="shared" si="12"/>
        <v>42.8857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369.80079999999998</v>
      </c>
      <c r="F448" s="68">
        <f t="shared" si="10"/>
        <v>37.95138</v>
      </c>
      <c r="G448" s="68">
        <f t="shared" si="10"/>
        <v>41.550480000000007</v>
      </c>
      <c r="H448" s="68">
        <f t="shared" si="10"/>
        <v>41.031019999999998</v>
      </c>
      <c r="I448" s="64"/>
      <c r="J448" s="64"/>
      <c r="K448" s="65"/>
      <c r="L448" s="29"/>
      <c r="M448" s="68">
        <f t="shared" si="11"/>
        <v>369.72640000000001</v>
      </c>
      <c r="N448" s="68">
        <f t="shared" si="12"/>
        <v>37.950059999999993</v>
      </c>
      <c r="O448" s="68">
        <f t="shared" si="12"/>
        <v>41.550420000000003</v>
      </c>
      <c r="P448" s="68">
        <f t="shared" si="12"/>
        <v>41.02928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215.69360000000003</v>
      </c>
      <c r="F449" s="78">
        <f t="shared" si="10"/>
        <v>35.197099999999999</v>
      </c>
      <c r="G449" s="78">
        <f t="shared" si="10"/>
        <v>40.296939999999992</v>
      </c>
      <c r="H449" s="78">
        <f t="shared" si="10"/>
        <v>39.62124</v>
      </c>
      <c r="I449" s="66"/>
      <c r="J449" s="66"/>
      <c r="K449" s="67"/>
      <c r="L449" s="29"/>
      <c r="M449" s="78">
        <f t="shared" si="11"/>
        <v>215.54079999999999</v>
      </c>
      <c r="N449" s="78">
        <f t="shared" si="12"/>
        <v>35.196080000000002</v>
      </c>
      <c r="O449" s="78">
        <f t="shared" si="12"/>
        <v>40.303920000000005</v>
      </c>
      <c r="P449" s="78">
        <f t="shared" si="12"/>
        <v>39.622659999999996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1747.952</v>
      </c>
      <c r="F450" s="75">
        <f t="shared" ref="F450:H453" si="13">AVERAGE(F3,F7,F11,F27,F31,F35,F39,F43,F47)</f>
        <v>42.588233333333335</v>
      </c>
      <c r="G450" s="75">
        <f t="shared" si="13"/>
        <v>44.728811111111114</v>
      </c>
      <c r="H450" s="75">
        <f t="shared" si="13"/>
        <v>44.748777777777782</v>
      </c>
      <c r="I450" s="76"/>
      <c r="J450" s="76"/>
      <c r="K450" s="77"/>
      <c r="L450" s="29"/>
      <c r="M450" s="75">
        <f t="shared" si="11"/>
        <v>1747.7439999999999</v>
      </c>
      <c r="N450" s="75">
        <f t="shared" ref="N450:P453" si="14">AVERAGE(N3,N7,N11,N27,N31,N35,N39,N43,N47)</f>
        <v>42.591277777777776</v>
      </c>
      <c r="O450" s="75">
        <f t="shared" si="14"/>
        <v>44.72678888888889</v>
      </c>
      <c r="P450" s="75">
        <f t="shared" si="14"/>
        <v>44.747011111111107</v>
      </c>
      <c r="Q450" s="76"/>
      <c r="R450" s="76"/>
      <c r="S450" s="77"/>
      <c r="U450" s="8">
        <f>bdrate($E450:$E453,F450:F453,$M450:$M453,N450:N453)</f>
        <v>9.4538751541639598E-5</v>
      </c>
      <c r="V450" s="9">
        <f>bdrate($E450:$E453,G450:G453,$M450:$M453,O450:O453)</f>
        <v>-7.6389669383569725E-4</v>
      </c>
      <c r="W450" s="10">
        <f>bdrate($E450:$E453,H450:H453,$M450:$M453,P450:P453)</f>
        <v>-3.148107621188112E-4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841.84799999999996</v>
      </c>
      <c r="F451" s="68">
        <f t="shared" si="13"/>
        <v>40.391955555555548</v>
      </c>
      <c r="G451" s="68">
        <f t="shared" si="13"/>
        <v>43.17913333333334</v>
      </c>
      <c r="H451" s="68">
        <f t="shared" si="13"/>
        <v>42.881166666666672</v>
      </c>
      <c r="I451" s="64"/>
      <c r="J451" s="64"/>
      <c r="K451" s="65"/>
      <c r="L451" s="29"/>
      <c r="M451" s="68">
        <f t="shared" si="11"/>
        <v>842.31280000000004</v>
      </c>
      <c r="N451" s="68">
        <f t="shared" si="14"/>
        <v>40.391955555555548</v>
      </c>
      <c r="O451" s="68">
        <f t="shared" si="14"/>
        <v>43.183688888888888</v>
      </c>
      <c r="P451" s="68">
        <f t="shared" si="14"/>
        <v>42.882355555555556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459.06639999999999</v>
      </c>
      <c r="F452" s="68">
        <f t="shared" si="13"/>
        <v>37.837911111111111</v>
      </c>
      <c r="G452" s="68">
        <f t="shared" si="13"/>
        <v>41.567177777777779</v>
      </c>
      <c r="H452" s="68">
        <f t="shared" si="13"/>
        <v>41.033055555555549</v>
      </c>
      <c r="I452" s="64"/>
      <c r="J452" s="64"/>
      <c r="K452" s="65"/>
      <c r="L452" s="29"/>
      <c r="M452" s="68">
        <f t="shared" si="11"/>
        <v>458.93520000000001</v>
      </c>
      <c r="N452" s="68">
        <f t="shared" si="14"/>
        <v>37.836199999999998</v>
      </c>
      <c r="O452" s="68">
        <f t="shared" si="14"/>
        <v>41.56750000000001</v>
      </c>
      <c r="P452" s="68">
        <f t="shared" si="14"/>
        <v>41.035855555555557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265.06</v>
      </c>
      <c r="F453" s="78">
        <f t="shared" si="13"/>
        <v>35.093711111111105</v>
      </c>
      <c r="G453" s="78">
        <f t="shared" si="13"/>
        <v>40.318899999999999</v>
      </c>
      <c r="H453" s="78">
        <f t="shared" si="13"/>
        <v>39.605388888888882</v>
      </c>
      <c r="I453" s="66"/>
      <c r="J453" s="66"/>
      <c r="K453" s="67"/>
      <c r="L453" s="29"/>
      <c r="M453" s="78">
        <f t="shared" si="11"/>
        <v>265.04399999999998</v>
      </c>
      <c r="N453" s="78">
        <f t="shared" si="14"/>
        <v>35.093033333333338</v>
      </c>
      <c r="O453" s="78">
        <f t="shared" si="14"/>
        <v>40.322800000000001</v>
      </c>
      <c r="P453" s="78">
        <f t="shared" si="14"/>
        <v>39.605766666666668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1119.748</v>
      </c>
      <c r="F454" s="75">
        <f t="shared" ref="F454:H457" si="15">AVERAGE(F55,F59)</f>
        <v>43.14725</v>
      </c>
      <c r="G454" s="75">
        <f t="shared" si="15"/>
        <v>44.85</v>
      </c>
      <c r="H454" s="75">
        <f t="shared" si="15"/>
        <v>44.541200000000003</v>
      </c>
      <c r="I454" s="76"/>
      <c r="J454" s="76"/>
      <c r="K454" s="77"/>
      <c r="L454" s="29"/>
      <c r="M454" s="75">
        <f>M55+M59</f>
        <v>1119.2856000000002</v>
      </c>
      <c r="N454" s="75">
        <f t="shared" ref="N454:P457" si="16">AVERAGE(N55,N59)</f>
        <v>43.147350000000003</v>
      </c>
      <c r="O454" s="75">
        <f t="shared" si="16"/>
        <v>44.848050000000001</v>
      </c>
      <c r="P454" s="75">
        <f t="shared" si="16"/>
        <v>44.543399999999998</v>
      </c>
      <c r="Q454" s="76"/>
      <c r="R454" s="76"/>
      <c r="S454" s="77"/>
      <c r="U454" s="8">
        <f>bdrate($E454:$E457,F454:F457,$M454:$M457,N454:N457)</f>
        <v>-3.7045514711819827E-4</v>
      </c>
      <c r="V454" s="9">
        <f>bdrate($E454:$E457,G454:G457,$M454:$M457,O454:O457)</f>
        <v>-3.3489558733723612E-5</v>
      </c>
      <c r="W454" s="10">
        <f>bdrate($E454:$E457,H454:H457,$M454:$M457,P454:P457)</f>
        <v>-1.4977229888957222E-4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572.82240000000002</v>
      </c>
      <c r="F455" s="68">
        <f t="shared" si="15"/>
        <v>40.896799999999999</v>
      </c>
      <c r="G455" s="68">
        <f t="shared" si="15"/>
        <v>43.957300000000004</v>
      </c>
      <c r="H455" s="68">
        <f t="shared" si="15"/>
        <v>43.060299999999998</v>
      </c>
      <c r="I455" s="64"/>
      <c r="J455" s="64"/>
      <c r="K455" s="65"/>
      <c r="L455" s="29"/>
      <c r="M455" s="68">
        <f>M56+M60</f>
        <v>572.86799999999994</v>
      </c>
      <c r="N455" s="68">
        <f t="shared" si="16"/>
        <v>40.896599999999999</v>
      </c>
      <c r="O455" s="68">
        <f t="shared" si="16"/>
        <v>43.958849999999998</v>
      </c>
      <c r="P455" s="68">
        <f t="shared" si="16"/>
        <v>43.058850000000007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319.73360000000002</v>
      </c>
      <c r="F456" s="68">
        <f t="shared" si="15"/>
        <v>38.426000000000002</v>
      </c>
      <c r="G456" s="68">
        <f t="shared" si="15"/>
        <v>42.9816</v>
      </c>
      <c r="H456" s="68">
        <f t="shared" si="15"/>
        <v>41.542099999999998</v>
      </c>
      <c r="I456" s="64"/>
      <c r="J456" s="64"/>
      <c r="K456" s="65"/>
      <c r="L456" s="29"/>
      <c r="M456" s="68">
        <f>M57+M61</f>
        <v>319.5104</v>
      </c>
      <c r="N456" s="68">
        <f t="shared" si="16"/>
        <v>38.4253</v>
      </c>
      <c r="O456" s="68">
        <f t="shared" si="16"/>
        <v>42.981450000000002</v>
      </c>
      <c r="P456" s="68">
        <f t="shared" si="16"/>
        <v>41.542749999999998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188.07599999999999</v>
      </c>
      <c r="F457" s="78">
        <f t="shared" si="15"/>
        <v>35.845349999999996</v>
      </c>
      <c r="G457" s="78">
        <f t="shared" si="15"/>
        <v>42.136449999999996</v>
      </c>
      <c r="H457" s="78">
        <f t="shared" si="15"/>
        <v>40.23695</v>
      </c>
      <c r="I457" s="66"/>
      <c r="J457" s="66"/>
      <c r="K457" s="67"/>
      <c r="L457" s="29"/>
      <c r="M457" s="78">
        <f>M58+M62</f>
        <v>187.94159999999999</v>
      </c>
      <c r="N457" s="78">
        <f t="shared" si="16"/>
        <v>35.847499999999997</v>
      </c>
      <c r="O457" s="78">
        <f t="shared" si="16"/>
        <v>42.129549999999995</v>
      </c>
      <c r="P457" s="78">
        <f t="shared" si="16"/>
        <v>40.232700000000001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1409.8512000000001</v>
      </c>
      <c r="F458" s="75">
        <f t="shared" ref="F458:H461" si="17">AVERAGE(F55,F59,F63)</f>
        <v>42.872999999999998</v>
      </c>
      <c r="G458" s="75">
        <f t="shared" si="17"/>
        <v>44.548933333333338</v>
      </c>
      <c r="H458" s="75">
        <f t="shared" si="17"/>
        <v>44.324966666666661</v>
      </c>
      <c r="I458" s="76"/>
      <c r="J458" s="76"/>
      <c r="K458" s="77"/>
      <c r="L458" s="29"/>
      <c r="M458" s="75">
        <f>M55+M59+M63</f>
        <v>1408.8352000000002</v>
      </c>
      <c r="N458" s="75">
        <f t="shared" ref="N458:P461" si="18">AVERAGE(N55,N59,N63)</f>
        <v>42.873733333333341</v>
      </c>
      <c r="O458" s="75">
        <f t="shared" si="18"/>
        <v>44.54526666666667</v>
      </c>
      <c r="P458" s="75">
        <f t="shared" si="18"/>
        <v>44.32566666666667</v>
      </c>
      <c r="Q458" s="76"/>
      <c r="R458" s="76"/>
      <c r="S458" s="77"/>
      <c r="U458" s="8">
        <f>bdrate($E458:$E461,F458:F461,$M458:$M461,N458:N461)</f>
        <v>-6.3958198755964535E-4</v>
      </c>
      <c r="V458" s="9">
        <f>bdrate($E458:$E461,G458:G461,$M458:$M461,O458:O461)</f>
        <v>4.5656810132932435E-4</v>
      </c>
      <c r="W458" s="10">
        <f>bdrate($E458:$E461,H458:H461,$M458:$M461,P458:P461)</f>
        <v>-5.1183207352067939E-4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701.00880000000006</v>
      </c>
      <c r="F459" s="68">
        <f t="shared" si="17"/>
        <v>40.634033333333328</v>
      </c>
      <c r="G459" s="68">
        <f t="shared" si="17"/>
        <v>43.626766666666668</v>
      </c>
      <c r="H459" s="68">
        <f t="shared" si="17"/>
        <v>42.8611</v>
      </c>
      <c r="I459" s="64"/>
      <c r="J459" s="64"/>
      <c r="K459" s="65"/>
      <c r="L459" s="29"/>
      <c r="M459" s="68">
        <f>M56+M60+M64</f>
        <v>700.9799999999999</v>
      </c>
      <c r="N459" s="68">
        <f t="shared" si="18"/>
        <v>40.634466666666668</v>
      </c>
      <c r="O459" s="68">
        <f t="shared" si="18"/>
        <v>43.627600000000001</v>
      </c>
      <c r="P459" s="68">
        <f t="shared" si="18"/>
        <v>42.861833333333344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385.97280000000001</v>
      </c>
      <c r="F460" s="68">
        <f t="shared" si="17"/>
        <v>38.191099999999999</v>
      </c>
      <c r="G460" s="68">
        <f t="shared" si="17"/>
        <v>42.714966666666669</v>
      </c>
      <c r="H460" s="68">
        <f t="shared" si="17"/>
        <v>41.430633333333333</v>
      </c>
      <c r="I460" s="64"/>
      <c r="J460" s="64"/>
      <c r="K460" s="65"/>
      <c r="L460" s="29"/>
      <c r="M460" s="68">
        <f>M57+M61+M65</f>
        <v>385.76</v>
      </c>
      <c r="N460" s="68">
        <f t="shared" si="18"/>
        <v>38.192466666666668</v>
      </c>
      <c r="O460" s="68">
        <f t="shared" si="18"/>
        <v>42.713300000000004</v>
      </c>
      <c r="P460" s="68">
        <f t="shared" si="18"/>
        <v>41.431866666666664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223.35599999999999</v>
      </c>
      <c r="F461" s="78">
        <f t="shared" si="17"/>
        <v>35.637599999999999</v>
      </c>
      <c r="G461" s="78">
        <f t="shared" si="17"/>
        <v>41.896266666666662</v>
      </c>
      <c r="H461" s="78">
        <f t="shared" si="17"/>
        <v>40.15186666666667</v>
      </c>
      <c r="I461" s="66"/>
      <c r="J461" s="66"/>
      <c r="K461" s="67"/>
      <c r="L461" s="29"/>
      <c r="M461" s="78">
        <f>M58+M62+M66</f>
        <v>223.1688</v>
      </c>
      <c r="N461" s="78">
        <f t="shared" si="18"/>
        <v>35.638233333333332</v>
      </c>
      <c r="O461" s="78">
        <f t="shared" si="18"/>
        <v>41.892199999999995</v>
      </c>
      <c r="P461" s="78">
        <f t="shared" si="18"/>
        <v>40.146666666666668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1365.1608000000001</v>
      </c>
      <c r="F462" s="75">
        <f t="shared" ref="F462:H465" si="19">AVERAGE(F79,F83,F87)</f>
        <v>43.287566666666663</v>
      </c>
      <c r="G462" s="75">
        <f t="shared" si="19"/>
        <v>47.210700000000003</v>
      </c>
      <c r="H462" s="75">
        <f t="shared" si="19"/>
        <v>46.307266666666671</v>
      </c>
      <c r="I462" s="76"/>
      <c r="J462" s="76"/>
      <c r="K462" s="77"/>
      <c r="L462" s="29"/>
      <c r="M462" s="75">
        <f>M55+M59+M67+M71</f>
        <v>1364.5832000000003</v>
      </c>
      <c r="N462" s="75">
        <f t="shared" ref="N462:P465" si="20">AVERAGE(N79,N83,N87)</f>
        <v>43.290466666666667</v>
      </c>
      <c r="O462" s="75">
        <f t="shared" si="20"/>
        <v>47.211933333333327</v>
      </c>
      <c r="P462" s="75">
        <f t="shared" si="20"/>
        <v>46.304766666666666</v>
      </c>
      <c r="Q462" s="76"/>
      <c r="R462" s="76"/>
      <c r="S462" s="77"/>
      <c r="U462" s="8">
        <f>bdrate($E462:$E465,F462:F465,$M462:$M465,N462:N465)</f>
        <v>-3.0417627102907741E-4</v>
      </c>
      <c r="V462" s="9">
        <f>bdrate($E462:$E465,G462:G465,$M462:$M465,O462:O465)</f>
        <v>3.6476851163147472E-4</v>
      </c>
      <c r="W462" s="10">
        <f>bdrate($E462:$E465,H462:H465,$M462:$M465,P462:P465)</f>
        <v>1.5087262541644275E-3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656.44799999999998</v>
      </c>
      <c r="F463" s="68">
        <f t="shared" si="19"/>
        <v>40.984299999999998</v>
      </c>
      <c r="G463" s="68">
        <f t="shared" si="19"/>
        <v>46.052733333333329</v>
      </c>
      <c r="H463" s="68">
        <f t="shared" si="19"/>
        <v>44.548666666666662</v>
      </c>
      <c r="I463" s="64"/>
      <c r="J463" s="64"/>
      <c r="K463" s="65"/>
      <c r="L463" s="29"/>
      <c r="M463" s="68">
        <f>M56+M60+M68+M72</f>
        <v>656.32399999999996</v>
      </c>
      <c r="N463" s="68">
        <f t="shared" si="20"/>
        <v>40.980799999999995</v>
      </c>
      <c r="O463" s="68">
        <f t="shared" si="20"/>
        <v>46.055266666666661</v>
      </c>
      <c r="P463" s="68">
        <f t="shared" si="20"/>
        <v>44.537966666666669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355.89920000000001</v>
      </c>
      <c r="F464" s="68">
        <f t="shared" si="19"/>
        <v>38.529733333333333</v>
      </c>
      <c r="G464" s="68">
        <f t="shared" si="19"/>
        <v>44.78776666666667</v>
      </c>
      <c r="H464" s="68">
        <f t="shared" si="19"/>
        <v>42.799866666666667</v>
      </c>
      <c r="I464" s="64"/>
      <c r="J464" s="64"/>
      <c r="K464" s="65"/>
      <c r="L464" s="29"/>
      <c r="M464" s="68">
        <f>M57+M61+M69+M73</f>
        <v>355.49040000000002</v>
      </c>
      <c r="N464" s="68">
        <f t="shared" si="20"/>
        <v>38.527200000000001</v>
      </c>
      <c r="O464" s="68">
        <f t="shared" si="20"/>
        <v>44.781133333333337</v>
      </c>
      <c r="P464" s="68">
        <f t="shared" si="20"/>
        <v>42.798833333333334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205.4648</v>
      </c>
      <c r="F465" s="78">
        <f t="shared" si="19"/>
        <v>35.968966666666667</v>
      </c>
      <c r="G465" s="78">
        <f t="shared" si="19"/>
        <v>43.782666666666664</v>
      </c>
      <c r="H465" s="78">
        <f t="shared" si="19"/>
        <v>41.331799999999994</v>
      </c>
      <c r="I465" s="66"/>
      <c r="J465" s="66"/>
      <c r="K465" s="67"/>
      <c r="L465" s="29"/>
      <c r="M465" s="78">
        <f>M58+M62+M70+M74</f>
        <v>205.3288</v>
      </c>
      <c r="N465" s="78">
        <f t="shared" si="20"/>
        <v>35.973266666666667</v>
      </c>
      <c r="O465" s="78">
        <f t="shared" si="20"/>
        <v>43.77556666666667</v>
      </c>
      <c r="P465" s="78">
        <f t="shared" si="20"/>
        <v>41.326999999999998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1785.7352000000001</v>
      </c>
      <c r="F466" s="75">
        <f t="shared" ref="F466:H469" si="21">AVERAGE(F79,F83,F87,F91,F95,F99)</f>
        <v>43.168316666666662</v>
      </c>
      <c r="G466" s="75">
        <f t="shared" si="21"/>
        <v>47.04665</v>
      </c>
      <c r="H466" s="75">
        <f t="shared" si="21"/>
        <v>46.303033333333339</v>
      </c>
      <c r="I466" s="76"/>
      <c r="J466" s="76"/>
      <c r="K466" s="77"/>
      <c r="L466" s="29"/>
      <c r="M466" s="75">
        <f>M103</f>
        <v>1785.3512000000001</v>
      </c>
      <c r="N466" s="75">
        <f t="shared" ref="N466:P469" si="22">AVERAGE(N79,N83,N87,N91,N95,N99)</f>
        <v>43.168716666666676</v>
      </c>
      <c r="O466" s="75">
        <f t="shared" si="22"/>
        <v>47.042949999999998</v>
      </c>
      <c r="P466" s="75">
        <f t="shared" si="22"/>
        <v>46.300633333333337</v>
      </c>
      <c r="Q466" s="76"/>
      <c r="R466" s="76"/>
      <c r="S466" s="77"/>
      <c r="U466" s="8">
        <f>bdrate($E466:$E469,F466:F469,$M466:$M469,N466:N469)</f>
        <v>-8.4203272062199908E-4</v>
      </c>
      <c r="V466" s="9">
        <f>bdrate($E466:$E469,G466:G469,$M466:$M469,O466:O469)</f>
        <v>3.5809225955651947E-4</v>
      </c>
      <c r="W466" s="10">
        <f>bdrate($E466:$E469,H466:H469,$M466:$M469,P466:P469)</f>
        <v>4.0934840500694847E-4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830.77200000000005</v>
      </c>
      <c r="F467" s="68">
        <f t="shared" si="21"/>
        <v>40.875116666666671</v>
      </c>
      <c r="G467" s="68">
        <f t="shared" si="21"/>
        <v>45.916483333333332</v>
      </c>
      <c r="H467" s="68">
        <f t="shared" si="21"/>
        <v>44.548233333333336</v>
      </c>
      <c r="I467" s="64"/>
      <c r="J467" s="64"/>
      <c r="K467" s="65"/>
      <c r="L467" s="29"/>
      <c r="M467" s="68">
        <f>M104</f>
        <v>830.54319999999996</v>
      </c>
      <c r="N467" s="68">
        <f t="shared" si="22"/>
        <v>40.877016666666663</v>
      </c>
      <c r="O467" s="68">
        <f t="shared" si="22"/>
        <v>45.917516666666664</v>
      </c>
      <c r="P467" s="68">
        <f t="shared" si="22"/>
        <v>44.542133333333332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445.16320000000002</v>
      </c>
      <c r="F468" s="68">
        <f t="shared" si="21"/>
        <v>38.429650000000002</v>
      </c>
      <c r="G468" s="68">
        <f t="shared" si="21"/>
        <v>44.707999999999998</v>
      </c>
      <c r="H468" s="68">
        <f t="shared" si="21"/>
        <v>42.801333333333332</v>
      </c>
      <c r="I468" s="64"/>
      <c r="J468" s="64"/>
      <c r="K468" s="65"/>
      <c r="L468" s="29"/>
      <c r="M468" s="68">
        <f>M105</f>
        <v>444.66879999999998</v>
      </c>
      <c r="N468" s="68">
        <f t="shared" si="22"/>
        <v>38.42883333333333</v>
      </c>
      <c r="O468" s="68">
        <f t="shared" si="22"/>
        <v>44.70485</v>
      </c>
      <c r="P468" s="68">
        <f t="shared" si="22"/>
        <v>42.802466666666668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254.61279999999999</v>
      </c>
      <c r="F469" s="78">
        <f t="shared" si="21"/>
        <v>35.869450000000001</v>
      </c>
      <c r="G469" s="78">
        <f t="shared" si="21"/>
        <v>43.718416666666663</v>
      </c>
      <c r="H469" s="78">
        <f t="shared" si="21"/>
        <v>41.309483333333333</v>
      </c>
      <c r="I469" s="66"/>
      <c r="J469" s="66"/>
      <c r="K469" s="67"/>
      <c r="L469" s="29"/>
      <c r="M469" s="78">
        <f>M106</f>
        <v>254.5</v>
      </c>
      <c r="N469" s="78">
        <f t="shared" si="22"/>
        <v>35.872583333333331</v>
      </c>
      <c r="O469" s="78">
        <f t="shared" si="22"/>
        <v>43.714800000000004</v>
      </c>
      <c r="P469" s="78">
        <f t="shared" si="22"/>
        <v>41.308816666666672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1365.1608000000001</v>
      </c>
      <c r="F470" s="75">
        <f t="shared" ref="F470:H473" si="24">AVERAGE(F55,F59,F79,F83,F87)</f>
        <v>43.231439999999999</v>
      </c>
      <c r="G470" s="75">
        <f t="shared" si="24"/>
        <v>46.266419999999997</v>
      </c>
      <c r="H470" s="75">
        <f t="shared" si="24"/>
        <v>45.600840000000005</v>
      </c>
      <c r="I470" s="76"/>
      <c r="J470" s="76"/>
      <c r="K470" s="77"/>
      <c r="L470" s="29"/>
      <c r="M470" s="75">
        <f t="shared" ref="M470:M477" si="25">M462</f>
        <v>1364.5832000000003</v>
      </c>
      <c r="N470" s="75">
        <f t="shared" ref="N470:P473" si="26">AVERAGE(N55,N59,N79,N83,N87)</f>
        <v>43.233220000000003</v>
      </c>
      <c r="O470" s="75">
        <f t="shared" si="26"/>
        <v>46.266379999999998</v>
      </c>
      <c r="P470" s="75">
        <f t="shared" si="26"/>
        <v>45.600219999999993</v>
      </c>
      <c r="Q470" s="76"/>
      <c r="R470" s="76"/>
      <c r="S470" s="77"/>
      <c r="U470" s="8">
        <f>bdrate($E470:$E473,F470:F473,$M470:$M473,N470:N473)</f>
        <v>-4.3779693885925841E-4</v>
      </c>
      <c r="V470" s="9">
        <f>bdrate($E470:$E473,G470:G473,$M470:$M473,O470:O473)</f>
        <v>1.4067518868055018E-4</v>
      </c>
      <c r="W470" s="10">
        <f>bdrate($E470:$E473,H470:H473,$M470:$M473,P470:P473)</f>
        <v>8.0331890090801217E-4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656.44799999999998</v>
      </c>
      <c r="F471" s="68">
        <f t="shared" si="24"/>
        <v>40.949300000000001</v>
      </c>
      <c r="G471" s="68">
        <f t="shared" si="24"/>
        <v>45.214560000000006</v>
      </c>
      <c r="H471" s="68">
        <f t="shared" si="24"/>
        <v>43.953320000000005</v>
      </c>
      <c r="I471" s="64"/>
      <c r="J471" s="64"/>
      <c r="K471" s="65"/>
      <c r="L471" s="29"/>
      <c r="M471" s="68">
        <f t="shared" si="25"/>
        <v>656.32399999999996</v>
      </c>
      <c r="N471" s="68">
        <f t="shared" si="26"/>
        <v>40.947119999999998</v>
      </c>
      <c r="O471" s="68">
        <f t="shared" si="26"/>
        <v>45.216699999999996</v>
      </c>
      <c r="P471" s="68">
        <f t="shared" si="26"/>
        <v>43.94632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355.89920000000001</v>
      </c>
      <c r="F472" s="68">
        <f t="shared" si="24"/>
        <v>38.488239999999998</v>
      </c>
      <c r="G472" s="68">
        <f t="shared" si="24"/>
        <v>44.065299999999993</v>
      </c>
      <c r="H472" s="68">
        <f t="shared" si="24"/>
        <v>42.296759999999999</v>
      </c>
      <c r="I472" s="64"/>
      <c r="J472" s="64"/>
      <c r="K472" s="65"/>
      <c r="L472" s="29"/>
      <c r="M472" s="68">
        <f t="shared" si="25"/>
        <v>355.49040000000002</v>
      </c>
      <c r="N472" s="68">
        <f t="shared" si="26"/>
        <v>38.486440000000002</v>
      </c>
      <c r="O472" s="68">
        <f t="shared" si="26"/>
        <v>44.061260000000004</v>
      </c>
      <c r="P472" s="68">
        <f t="shared" si="26"/>
        <v>42.296399999999998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205.4648</v>
      </c>
      <c r="F473" s="78">
        <f t="shared" si="24"/>
        <v>35.919519999999999</v>
      </c>
      <c r="G473" s="78">
        <f t="shared" si="24"/>
        <v>43.124179999999996</v>
      </c>
      <c r="H473" s="78">
        <f t="shared" si="24"/>
        <v>40.893859999999997</v>
      </c>
      <c r="I473" s="66"/>
      <c r="J473" s="66"/>
      <c r="K473" s="67"/>
      <c r="L473" s="29"/>
      <c r="M473" s="78">
        <f t="shared" si="25"/>
        <v>205.3288</v>
      </c>
      <c r="N473" s="78">
        <f t="shared" si="26"/>
        <v>35.922960000000003</v>
      </c>
      <c r="O473" s="78">
        <f t="shared" si="26"/>
        <v>43.117159999999998</v>
      </c>
      <c r="P473" s="78">
        <f t="shared" si="26"/>
        <v>40.889279999999999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1785.7352000000001</v>
      </c>
      <c r="F474" s="75">
        <f t="shared" ref="F474:H477" si="27">AVERAGE(F55,F59,F63,F79,F83,F87,F91,F95,F99)</f>
        <v>43.069877777777783</v>
      </c>
      <c r="G474" s="75">
        <f t="shared" si="27"/>
        <v>46.214077777777774</v>
      </c>
      <c r="H474" s="75">
        <f t="shared" si="27"/>
        <v>45.643677777777775</v>
      </c>
      <c r="I474" s="76"/>
      <c r="J474" s="76"/>
      <c r="K474" s="77"/>
      <c r="L474" s="29"/>
      <c r="M474" s="75">
        <f t="shared" si="25"/>
        <v>1785.3512000000001</v>
      </c>
      <c r="N474" s="75">
        <f t="shared" ref="N474:P477" si="28">AVERAGE(N55,N59,N63,N79,N83,N87,N91,N95,N99)</f>
        <v>43.0703888888889</v>
      </c>
      <c r="O474" s="75">
        <f t="shared" si="28"/>
        <v>46.210388888888893</v>
      </c>
      <c r="P474" s="75">
        <f t="shared" si="28"/>
        <v>45.642311111111113</v>
      </c>
      <c r="Q474" s="76"/>
      <c r="R474" s="76"/>
      <c r="S474" s="77"/>
      <c r="U474" s="8">
        <f>bdrate($E474:$E477,F474:F477,$M474:$M477,N474:N477)</f>
        <v>-8.426237851446583E-4</v>
      </c>
      <c r="V474" s="9">
        <f>bdrate($E474:$E477,G474:G477,$M474:$M477,O474:O477)</f>
        <v>3.4729459138005403E-4</v>
      </c>
      <c r="W474" s="10">
        <f>bdrate($E474:$E477,H474:H477,$M474:$M477,P474:P477)</f>
        <v>7.9349237826153995E-5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830.77200000000005</v>
      </c>
      <c r="F475" s="68">
        <f t="shared" si="27"/>
        <v>40.794755555555554</v>
      </c>
      <c r="G475" s="68">
        <f t="shared" si="27"/>
        <v>45.153244444444447</v>
      </c>
      <c r="H475" s="68">
        <f t="shared" si="27"/>
        <v>43.98585555555556</v>
      </c>
      <c r="I475" s="64"/>
      <c r="J475" s="64"/>
      <c r="K475" s="65"/>
      <c r="L475" s="29"/>
      <c r="M475" s="68">
        <f t="shared" si="25"/>
        <v>830.54319999999996</v>
      </c>
      <c r="N475" s="68">
        <f t="shared" si="28"/>
        <v>40.796166666666664</v>
      </c>
      <c r="O475" s="68">
        <f t="shared" si="28"/>
        <v>45.15421111111111</v>
      </c>
      <c r="P475" s="68">
        <f t="shared" si="28"/>
        <v>43.982033333333334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445.16320000000002</v>
      </c>
      <c r="F476" s="68">
        <f t="shared" si="27"/>
        <v>38.350133333333332</v>
      </c>
      <c r="G476" s="68">
        <f t="shared" si="27"/>
        <v>44.043655555555553</v>
      </c>
      <c r="H476" s="68">
        <f t="shared" si="27"/>
        <v>42.344433333333335</v>
      </c>
      <c r="I476" s="64"/>
      <c r="J476" s="64"/>
      <c r="K476" s="65"/>
      <c r="L476" s="29"/>
      <c r="M476" s="68">
        <f t="shared" si="25"/>
        <v>444.66879999999998</v>
      </c>
      <c r="N476" s="68">
        <f t="shared" si="28"/>
        <v>38.350044444444435</v>
      </c>
      <c r="O476" s="68">
        <f t="shared" si="28"/>
        <v>44.040999999999997</v>
      </c>
      <c r="P476" s="68">
        <f t="shared" si="28"/>
        <v>42.345600000000005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254.61279999999999</v>
      </c>
      <c r="F477" s="78">
        <f t="shared" si="27"/>
        <v>35.79216666666666</v>
      </c>
      <c r="G477" s="78">
        <f t="shared" si="27"/>
        <v>43.111033333333332</v>
      </c>
      <c r="H477" s="78">
        <f t="shared" si="27"/>
        <v>40.923611111111107</v>
      </c>
      <c r="I477" s="66"/>
      <c r="J477" s="66"/>
      <c r="K477" s="67"/>
      <c r="L477" s="29"/>
      <c r="M477" s="78">
        <f t="shared" si="25"/>
        <v>254.5</v>
      </c>
      <c r="N477" s="78">
        <f t="shared" si="28"/>
        <v>35.794466666666665</v>
      </c>
      <c r="O477" s="78">
        <f t="shared" si="28"/>
        <v>43.107266666666668</v>
      </c>
      <c r="P477" s="78">
        <f t="shared" si="28"/>
        <v>40.921433333333333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1253.08</v>
      </c>
      <c r="F478" s="75">
        <f t="shared" ref="F478:H481" si="29">AVERAGE(F107,F111)</f>
        <v>40.829099999999997</v>
      </c>
      <c r="G478" s="75">
        <f t="shared" si="29"/>
        <v>43.546900000000001</v>
      </c>
      <c r="H478" s="75">
        <f t="shared" si="29"/>
        <v>43.6374</v>
      </c>
      <c r="I478" s="76"/>
      <c r="J478" s="76"/>
      <c r="K478" s="77"/>
      <c r="L478" s="29"/>
      <c r="M478" s="79">
        <f>M107+M111</f>
        <v>1253.1048000000001</v>
      </c>
      <c r="N478" s="75">
        <f t="shared" ref="N478:P481" si="30">AVERAGE(N107,N111)</f>
        <v>40.829599999999999</v>
      </c>
      <c r="O478" s="75">
        <f t="shared" si="30"/>
        <v>43.547449999999998</v>
      </c>
      <c r="P478" s="75">
        <f t="shared" si="30"/>
        <v>43.639949999999999</v>
      </c>
      <c r="Q478" s="76"/>
      <c r="R478" s="76"/>
      <c r="S478" s="77"/>
      <c r="U478" s="8">
        <f>bdrate($E478:$E481,F478:F481,$M478:$M481,N478:N481)</f>
        <v>-8.9730069635973742E-5</v>
      </c>
      <c r="V478" s="9">
        <f>bdrate($E478:$E481,G478:G481,$M478:$M481,O478:O481)</f>
        <v>9.6816126291532356E-5</v>
      </c>
      <c r="W478" s="10">
        <f>bdrate($E478:$E481,H478:H481,$M478:$M481,P478:P481)</f>
        <v>-1.3101540465032535E-3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629.34559999999999</v>
      </c>
      <c r="F479" s="68">
        <f t="shared" si="29"/>
        <v>38.478850000000001</v>
      </c>
      <c r="G479" s="68">
        <f t="shared" si="29"/>
        <v>41.916150000000002</v>
      </c>
      <c r="H479" s="68">
        <f t="shared" si="29"/>
        <v>41.985799999999998</v>
      </c>
      <c r="I479" s="64"/>
      <c r="J479" s="64"/>
      <c r="K479" s="65"/>
      <c r="L479" s="29"/>
      <c r="M479" s="80">
        <f>M108+M112</f>
        <v>629.11519999999996</v>
      </c>
      <c r="N479" s="68">
        <f t="shared" si="30"/>
        <v>38.477699999999999</v>
      </c>
      <c r="O479" s="68">
        <f t="shared" si="30"/>
        <v>41.915700000000001</v>
      </c>
      <c r="P479" s="68">
        <f t="shared" si="30"/>
        <v>41.9893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339.59119999999996</v>
      </c>
      <c r="F480" s="68">
        <f t="shared" si="29"/>
        <v>35.991050000000001</v>
      </c>
      <c r="G480" s="68">
        <f t="shared" si="29"/>
        <v>40.392400000000002</v>
      </c>
      <c r="H480" s="68">
        <f t="shared" si="29"/>
        <v>40.38035</v>
      </c>
      <c r="I480" s="64"/>
      <c r="J480" s="64"/>
      <c r="K480" s="65"/>
      <c r="L480" s="29"/>
      <c r="M480" s="80">
        <f>M109+M113</f>
        <v>339.43680000000001</v>
      </c>
      <c r="N480" s="68">
        <f t="shared" si="30"/>
        <v>35.989649999999997</v>
      </c>
      <c r="O480" s="68">
        <f t="shared" si="30"/>
        <v>40.390299999999996</v>
      </c>
      <c r="P480" s="68">
        <f t="shared" si="30"/>
        <v>40.382300000000001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193.8168</v>
      </c>
      <c r="F481" s="78">
        <f t="shared" si="29"/>
        <v>33.491399999999999</v>
      </c>
      <c r="G481" s="78">
        <f t="shared" si="29"/>
        <v>39.251900000000006</v>
      </c>
      <c r="H481" s="78">
        <f t="shared" si="29"/>
        <v>39.186149999999998</v>
      </c>
      <c r="I481" s="66"/>
      <c r="J481" s="66"/>
      <c r="K481" s="67"/>
      <c r="L481" s="29"/>
      <c r="M481" s="81">
        <f>M110+M114</f>
        <v>193.82320000000001</v>
      </c>
      <c r="N481" s="78">
        <f t="shared" si="30"/>
        <v>33.491700000000002</v>
      </c>
      <c r="O481" s="78">
        <f t="shared" si="30"/>
        <v>39.250950000000003</v>
      </c>
      <c r="P481" s="78">
        <f t="shared" si="30"/>
        <v>39.185850000000002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1599.3552</v>
      </c>
      <c r="F482" s="75">
        <f t="shared" ref="F482:H485" si="31">AVERAGE(F107,F111,F115)</f>
        <v>40.518833333333333</v>
      </c>
      <c r="G482" s="75">
        <f t="shared" si="31"/>
        <v>43.313866666666662</v>
      </c>
      <c r="H482" s="75">
        <f t="shared" si="31"/>
        <v>43.3399</v>
      </c>
      <c r="I482" s="76"/>
      <c r="J482" s="76"/>
      <c r="K482" s="77"/>
      <c r="L482" s="29"/>
      <c r="M482" s="75">
        <f>M107+M111+M115</f>
        <v>1600.4096</v>
      </c>
      <c r="N482" s="75">
        <f t="shared" ref="N482:P485" si="32">AVERAGE(N107,N111,N115)</f>
        <v>40.5212</v>
      </c>
      <c r="O482" s="75">
        <f t="shared" si="32"/>
        <v>43.315433333333338</v>
      </c>
      <c r="P482" s="75">
        <f t="shared" si="32"/>
        <v>43.342133333333329</v>
      </c>
      <c r="Q482" s="76"/>
      <c r="R482" s="76"/>
      <c r="S482" s="77"/>
      <c r="U482" s="8">
        <f>bdrate($E482:$E485,F482:F485,$M482:$M485,N482:N485)</f>
        <v>-2.4756910314993608E-4</v>
      </c>
      <c r="V482" s="9">
        <f>bdrate($E482:$E485,G482:G485,$M482:$M485,O482:O485)</f>
        <v>-9.6137008519514566E-4</v>
      </c>
      <c r="W482" s="10">
        <f>bdrate($E482:$E485,H482:H485,$M482:$M485,P482:P485)</f>
        <v>-8.4011327006716652E-4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779.54559999999992</v>
      </c>
      <c r="F483" s="68">
        <f t="shared" si="31"/>
        <v>38.159666666666666</v>
      </c>
      <c r="G483" s="68">
        <f t="shared" si="31"/>
        <v>41.733233333333338</v>
      </c>
      <c r="H483" s="68">
        <f t="shared" si="31"/>
        <v>41.691333333333333</v>
      </c>
      <c r="I483" s="64"/>
      <c r="J483" s="64"/>
      <c r="K483" s="65"/>
      <c r="L483" s="29"/>
      <c r="M483" s="68">
        <f>M108+M112+M116</f>
        <v>778.83999999999992</v>
      </c>
      <c r="N483" s="68">
        <f t="shared" si="32"/>
        <v>38.158233333333335</v>
      </c>
      <c r="O483" s="68">
        <f t="shared" si="32"/>
        <v>41.733866666666664</v>
      </c>
      <c r="P483" s="68">
        <f t="shared" si="32"/>
        <v>41.692366666666665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414.38399999999996</v>
      </c>
      <c r="F484" s="68">
        <f t="shared" si="31"/>
        <v>35.682099999999998</v>
      </c>
      <c r="G484" s="68">
        <f t="shared" si="31"/>
        <v>40.286200000000001</v>
      </c>
      <c r="H484" s="68">
        <f t="shared" si="31"/>
        <v>40.145933333333339</v>
      </c>
      <c r="I484" s="64"/>
      <c r="J484" s="64"/>
      <c r="K484" s="65"/>
      <c r="L484" s="29"/>
      <c r="M484" s="68">
        <f>M109+M113+M117</f>
        <v>414.2328</v>
      </c>
      <c r="N484" s="68">
        <f t="shared" si="32"/>
        <v>35.680799999999998</v>
      </c>
      <c r="O484" s="68">
        <f t="shared" si="32"/>
        <v>40.289099999999998</v>
      </c>
      <c r="P484" s="68">
        <f t="shared" si="32"/>
        <v>40.147166666666671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233.65039999999999</v>
      </c>
      <c r="F485" s="78">
        <f t="shared" si="31"/>
        <v>33.177866666666667</v>
      </c>
      <c r="G485" s="78">
        <f t="shared" si="31"/>
        <v>39.19713333333334</v>
      </c>
      <c r="H485" s="78">
        <f t="shared" si="31"/>
        <v>38.987899999999996</v>
      </c>
      <c r="I485" s="66"/>
      <c r="J485" s="66"/>
      <c r="K485" s="67"/>
      <c r="L485" s="29"/>
      <c r="M485" s="78">
        <f>M110+M114+M118</f>
        <v>233.6096</v>
      </c>
      <c r="N485" s="78">
        <f t="shared" si="32"/>
        <v>33.178033333333332</v>
      </c>
      <c r="O485" s="78">
        <f t="shared" si="32"/>
        <v>39.194333333333333</v>
      </c>
      <c r="P485" s="78">
        <f t="shared" si="32"/>
        <v>38.985800000000005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1564.4304</v>
      </c>
      <c r="F486" s="75">
        <f t="shared" ref="F486:H489" si="33">AVERAGE(F131,F135,F139)</f>
        <v>40.442833333333333</v>
      </c>
      <c r="G486" s="75">
        <f t="shared" si="33"/>
        <v>45.794233333333331</v>
      </c>
      <c r="H486" s="75">
        <f t="shared" si="33"/>
        <v>45.89276666666666</v>
      </c>
      <c r="I486" s="76"/>
      <c r="J486" s="76"/>
      <c r="K486" s="77"/>
      <c r="L486" s="29"/>
      <c r="M486" s="75">
        <f>M107+M111+M119+M123</f>
        <v>1564.1968000000002</v>
      </c>
      <c r="N486" s="75">
        <f t="shared" ref="N486:P489" si="34">AVERAGE(N131,N135,N139)</f>
        <v>40.434433333333331</v>
      </c>
      <c r="O486" s="75">
        <f t="shared" si="34"/>
        <v>45.793733333333329</v>
      </c>
      <c r="P486" s="75">
        <f t="shared" si="34"/>
        <v>45.894800000000004</v>
      </c>
      <c r="Q486" s="76"/>
      <c r="R486" s="76"/>
      <c r="S486" s="77"/>
      <c r="U486" s="8">
        <f>bdrate($E486:$E489,F486:F489,$M486:$M489,N486:N489)</f>
        <v>-6.1359665222826543E-4</v>
      </c>
      <c r="V486" s="9">
        <f>bdrate($E486:$E489,G486:G489,$M486:$M489,O486:O489)</f>
        <v>-8.4604834516099903E-4</v>
      </c>
      <c r="W486" s="10">
        <f>bdrate($E486:$E489,H486:H489,$M486:$M489,P486:P489)</f>
        <v>-1.6017811856651187E-3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736.43599999999992</v>
      </c>
      <c r="F487" s="68">
        <f t="shared" si="33"/>
        <v>38.204699999999995</v>
      </c>
      <c r="G487" s="68">
        <f t="shared" si="33"/>
        <v>43.991599999999998</v>
      </c>
      <c r="H487" s="68">
        <f t="shared" si="33"/>
        <v>44.026899999999991</v>
      </c>
      <c r="I487" s="64"/>
      <c r="J487" s="64"/>
      <c r="K487" s="65"/>
      <c r="L487" s="29"/>
      <c r="M487" s="68">
        <f>M108+M112+M120+M124</f>
        <v>736.18799999999987</v>
      </c>
      <c r="N487" s="68">
        <f t="shared" si="34"/>
        <v>38.205666666666666</v>
      </c>
      <c r="O487" s="68">
        <f t="shared" si="34"/>
        <v>43.996033333333337</v>
      </c>
      <c r="P487" s="68">
        <f t="shared" si="34"/>
        <v>44.032966666666674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384.37599999999992</v>
      </c>
      <c r="F488" s="68">
        <f t="shared" si="33"/>
        <v>35.823333333333331</v>
      </c>
      <c r="G488" s="68">
        <f t="shared" si="33"/>
        <v>42.189133333333331</v>
      </c>
      <c r="H488" s="68">
        <f t="shared" si="33"/>
        <v>42.115666666666662</v>
      </c>
      <c r="I488" s="64"/>
      <c r="J488" s="64"/>
      <c r="K488" s="65"/>
      <c r="L488" s="29"/>
      <c r="M488" s="68">
        <f>M109+M113+M121+M125</f>
        <v>384.2328</v>
      </c>
      <c r="N488" s="68">
        <f t="shared" si="34"/>
        <v>35.829100000000004</v>
      </c>
      <c r="O488" s="68">
        <f t="shared" si="34"/>
        <v>42.189066666666662</v>
      </c>
      <c r="P488" s="68">
        <f t="shared" si="34"/>
        <v>42.117466666666665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214.2304</v>
      </c>
      <c r="F489" s="78">
        <f t="shared" si="33"/>
        <v>33.38303333333333</v>
      </c>
      <c r="G489" s="78">
        <f t="shared" si="33"/>
        <v>40.780133333333339</v>
      </c>
      <c r="H489" s="78">
        <f t="shared" si="33"/>
        <v>40.67796666666667</v>
      </c>
      <c r="I489" s="66"/>
      <c r="J489" s="66"/>
      <c r="K489" s="67"/>
      <c r="L489" s="29"/>
      <c r="M489" s="78">
        <f>M110+M114+M122+M126</f>
        <v>214.18880000000001</v>
      </c>
      <c r="N489" s="78">
        <f t="shared" si="34"/>
        <v>33.382633333333331</v>
      </c>
      <c r="O489" s="78">
        <f t="shared" si="34"/>
        <v>40.777166666666666</v>
      </c>
      <c r="P489" s="78">
        <f t="shared" si="34"/>
        <v>40.678399999999996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2027.7688000000001</v>
      </c>
      <c r="F490" s="75">
        <f t="shared" ref="F490:H493" si="35">AVERAGE(F131,F135,F139,F143,F147,F151)</f>
        <v>40.411650000000002</v>
      </c>
      <c r="G490" s="75">
        <f t="shared" si="35"/>
        <v>45.704100000000004</v>
      </c>
      <c r="H490" s="75">
        <f t="shared" si="35"/>
        <v>45.75138333333333</v>
      </c>
      <c r="I490" s="76"/>
      <c r="J490" s="76"/>
      <c r="K490" s="77"/>
      <c r="L490" s="29"/>
      <c r="M490" s="75">
        <f>M155</f>
        <v>2028.7632000000001</v>
      </c>
      <c r="N490" s="75">
        <f t="shared" ref="N490:P493" si="36">AVERAGE(N131,N135,N139,N143,N147,N151)</f>
        <v>40.407016666666671</v>
      </c>
      <c r="O490" s="75">
        <f t="shared" si="36"/>
        <v>45.702116666666662</v>
      </c>
      <c r="P490" s="75">
        <f t="shared" si="36"/>
        <v>45.75266666666667</v>
      </c>
      <c r="Q490" s="76"/>
      <c r="R490" s="76"/>
      <c r="S490" s="77"/>
      <c r="U490" s="8">
        <f>bdrate($E490:$E493,F490:F493,$M490:$M493,N490:N493)</f>
        <v>-6.5353466361861567E-4</v>
      </c>
      <c r="V490" s="9">
        <f>bdrate($E490:$E493,G490:G493,$M490:$M493,O490:O493)</f>
        <v>-1.3905130617631878E-3</v>
      </c>
      <c r="W490" s="10">
        <f>bdrate($E490:$E493,H490:H493,$M490:$M493,P490:P493)</f>
        <v>-6.3673995700563868E-4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928.79200000000003</v>
      </c>
      <c r="F491" s="68">
        <f t="shared" si="35"/>
        <v>38.129466666666666</v>
      </c>
      <c r="G491" s="68">
        <f t="shared" si="35"/>
        <v>43.909399999999998</v>
      </c>
      <c r="H491" s="68">
        <f t="shared" si="35"/>
        <v>43.849666666666671</v>
      </c>
      <c r="I491" s="64"/>
      <c r="J491" s="64"/>
      <c r="K491" s="65"/>
      <c r="L491" s="29"/>
      <c r="M491" s="68">
        <f>M156</f>
        <v>928.09839999999997</v>
      </c>
      <c r="N491" s="68">
        <f t="shared" si="36"/>
        <v>38.132600000000004</v>
      </c>
      <c r="O491" s="68">
        <f t="shared" si="36"/>
        <v>43.911999999999999</v>
      </c>
      <c r="P491" s="68">
        <f t="shared" si="36"/>
        <v>43.851300000000002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480.57279999999997</v>
      </c>
      <c r="F492" s="68">
        <f t="shared" si="35"/>
        <v>35.726349999999996</v>
      </c>
      <c r="G492" s="68">
        <f t="shared" si="35"/>
        <v>42.112699999999997</v>
      </c>
      <c r="H492" s="68">
        <f t="shared" si="35"/>
        <v>41.922016666666671</v>
      </c>
      <c r="I492" s="64"/>
      <c r="J492" s="64"/>
      <c r="K492" s="65"/>
      <c r="L492" s="29"/>
      <c r="M492" s="68">
        <f>M157</f>
        <v>480.30239999999998</v>
      </c>
      <c r="N492" s="68">
        <f t="shared" si="36"/>
        <v>35.727600000000002</v>
      </c>
      <c r="O492" s="68">
        <f t="shared" si="36"/>
        <v>42.118133333333333</v>
      </c>
      <c r="P492" s="68">
        <f t="shared" si="36"/>
        <v>41.922133333333335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267.41199999999998</v>
      </c>
      <c r="F493" s="78">
        <f t="shared" si="35"/>
        <v>33.256616666666666</v>
      </c>
      <c r="G493" s="78">
        <f t="shared" si="35"/>
        <v>40.727266666666672</v>
      </c>
      <c r="H493" s="78">
        <f t="shared" si="35"/>
        <v>40.482199999999999</v>
      </c>
      <c r="I493" s="66"/>
      <c r="J493" s="66"/>
      <c r="K493" s="67"/>
      <c r="L493" s="29"/>
      <c r="M493" s="78">
        <f>M158</f>
        <v>267.31599999999997</v>
      </c>
      <c r="N493" s="78">
        <f t="shared" si="36"/>
        <v>33.253499999999995</v>
      </c>
      <c r="O493" s="78">
        <f t="shared" si="36"/>
        <v>40.724583333333335</v>
      </c>
      <c r="P493" s="78">
        <f t="shared" si="36"/>
        <v>40.477733333333333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1564.4304</v>
      </c>
      <c r="F494" s="75">
        <f t="shared" ref="F494:H497" si="38">AVERAGE(F107,F111,F131,F135,F139)</f>
        <v>40.597339999999996</v>
      </c>
      <c r="G494" s="75">
        <f t="shared" si="38"/>
        <v>44.895300000000006</v>
      </c>
      <c r="H494" s="75">
        <f t="shared" si="38"/>
        <v>44.99062</v>
      </c>
      <c r="I494" s="76"/>
      <c r="J494" s="76"/>
      <c r="K494" s="77"/>
      <c r="L494" s="29"/>
      <c r="M494" s="75">
        <f t="shared" ref="M494:M501" si="39">M486</f>
        <v>1564.1968000000002</v>
      </c>
      <c r="N494" s="75">
        <f t="shared" ref="N494:P497" si="40">AVERAGE(N107,N111,N131,N135,N139)</f>
        <v>40.592499999999994</v>
      </c>
      <c r="O494" s="75">
        <f t="shared" si="40"/>
        <v>44.895219999999995</v>
      </c>
      <c r="P494" s="75">
        <f t="shared" si="40"/>
        <v>44.99286</v>
      </c>
      <c r="Q494" s="76"/>
      <c r="R494" s="76"/>
      <c r="S494" s="77"/>
      <c r="U494" s="8">
        <f>bdrate($E494:$E497,F494:F497,$M494:$M497,N494:N497)</f>
        <v>-3.9574891026150638E-4</v>
      </c>
      <c r="V494" s="9">
        <f>bdrate($E494:$E497,G494:G497,$M494:$M497,O494:O497)</f>
        <v>-5.0127912929731622E-4</v>
      </c>
      <c r="W494" s="10">
        <f>bdrate($E494:$E497,H494:H497,$M494:$M497,P494:P497)</f>
        <v>-1.5249409445635687E-3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736.43599999999992</v>
      </c>
      <c r="F495" s="68">
        <f t="shared" si="38"/>
        <v>38.314360000000001</v>
      </c>
      <c r="G495" s="68">
        <f t="shared" si="38"/>
        <v>43.16142</v>
      </c>
      <c r="H495" s="68">
        <f t="shared" si="38"/>
        <v>43.210459999999998</v>
      </c>
      <c r="I495" s="64"/>
      <c r="J495" s="64"/>
      <c r="K495" s="65"/>
      <c r="L495" s="29"/>
      <c r="M495" s="68">
        <f t="shared" si="39"/>
        <v>736.18799999999987</v>
      </c>
      <c r="N495" s="68">
        <f t="shared" si="40"/>
        <v>38.314480000000003</v>
      </c>
      <c r="O495" s="68">
        <f t="shared" si="40"/>
        <v>43.163899999999998</v>
      </c>
      <c r="P495" s="68">
        <f t="shared" si="40"/>
        <v>43.215500000000006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384.37599999999992</v>
      </c>
      <c r="F496" s="68">
        <f t="shared" si="38"/>
        <v>35.890419999999999</v>
      </c>
      <c r="G496" s="68">
        <f t="shared" si="38"/>
        <v>41.470439999999996</v>
      </c>
      <c r="H496" s="68">
        <f t="shared" si="38"/>
        <v>41.421540000000007</v>
      </c>
      <c r="I496" s="64"/>
      <c r="J496" s="64"/>
      <c r="K496" s="65"/>
      <c r="L496" s="29"/>
      <c r="M496" s="68">
        <f t="shared" si="39"/>
        <v>384.2328</v>
      </c>
      <c r="N496" s="68">
        <f t="shared" si="40"/>
        <v>35.893320000000003</v>
      </c>
      <c r="O496" s="68">
        <f t="shared" si="40"/>
        <v>41.469559999999994</v>
      </c>
      <c r="P496" s="68">
        <f t="shared" si="40"/>
        <v>41.423400000000001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214.2304</v>
      </c>
      <c r="F497" s="78">
        <f t="shared" si="38"/>
        <v>33.426379999999995</v>
      </c>
      <c r="G497" s="78">
        <f t="shared" si="38"/>
        <v>40.168840000000003</v>
      </c>
      <c r="H497" s="78">
        <f t="shared" si="38"/>
        <v>40.081240000000001</v>
      </c>
      <c r="I497" s="66"/>
      <c r="J497" s="66"/>
      <c r="K497" s="67"/>
      <c r="L497" s="29"/>
      <c r="M497" s="78">
        <f t="shared" si="39"/>
        <v>214.18880000000001</v>
      </c>
      <c r="N497" s="78">
        <f t="shared" si="40"/>
        <v>33.426259999999999</v>
      </c>
      <c r="O497" s="78">
        <f t="shared" si="40"/>
        <v>40.166679999999999</v>
      </c>
      <c r="P497" s="78">
        <f t="shared" si="40"/>
        <v>40.081380000000003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2027.7688000000001</v>
      </c>
      <c r="F498" s="75">
        <f t="shared" ref="F498:H501" si="41">AVERAGE(F107,F111,F115,F131,F135,F139,F143,F147,F151)</f>
        <v>40.447377777777781</v>
      </c>
      <c r="G498" s="75">
        <f t="shared" si="41"/>
        <v>44.907355555555547</v>
      </c>
      <c r="H498" s="75">
        <f t="shared" si="41"/>
        <v>44.94755555555556</v>
      </c>
      <c r="I498" s="76"/>
      <c r="J498" s="76"/>
      <c r="K498" s="77"/>
      <c r="L498" s="29"/>
      <c r="M498" s="75">
        <f t="shared" si="39"/>
        <v>2028.7632000000001</v>
      </c>
      <c r="N498" s="75">
        <f t="shared" ref="N498:P501" si="42">AVERAGE(N107,N111,N115,N131,N135,N139,N143,N147,N151)</f>
        <v>40.445077777777776</v>
      </c>
      <c r="O498" s="75">
        <f t="shared" si="42"/>
        <v>44.906555555555556</v>
      </c>
      <c r="P498" s="75">
        <f t="shared" si="42"/>
        <v>44.949155555555556</v>
      </c>
      <c r="Q498" s="76"/>
      <c r="R498" s="76"/>
      <c r="S498" s="77"/>
      <c r="U498" s="8">
        <f>bdrate($E498:$E501,F498:F501,$M498:$M501,N498:N501)</f>
        <v>-5.3536389669583961E-4</v>
      </c>
      <c r="V498" s="9">
        <f>bdrate($E498:$E501,G498:G501,$M498:$M501,O498:O501)</f>
        <v>-1.2867028852926454E-3</v>
      </c>
      <c r="W498" s="10">
        <f>bdrate($E498:$E501,H498:H501,$M498:$M501,P498:P501)</f>
        <v>-7.174708759457582E-4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928.79200000000003</v>
      </c>
      <c r="F499" s="68">
        <f t="shared" si="41"/>
        <v>38.139533333333333</v>
      </c>
      <c r="G499" s="68">
        <f t="shared" si="41"/>
        <v>43.184011111111104</v>
      </c>
      <c r="H499" s="68">
        <f t="shared" si="41"/>
        <v>43.130222222222216</v>
      </c>
      <c r="I499" s="64"/>
      <c r="J499" s="64"/>
      <c r="K499" s="65"/>
      <c r="L499" s="29"/>
      <c r="M499" s="68">
        <f t="shared" si="39"/>
        <v>928.09839999999997</v>
      </c>
      <c r="N499" s="68">
        <f t="shared" si="42"/>
        <v>38.14114444444445</v>
      </c>
      <c r="O499" s="68">
        <f t="shared" si="42"/>
        <v>43.185955555555552</v>
      </c>
      <c r="P499" s="68">
        <f t="shared" si="42"/>
        <v>43.131655555555561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480.57279999999997</v>
      </c>
      <c r="F500" s="68">
        <f t="shared" si="41"/>
        <v>35.711600000000004</v>
      </c>
      <c r="G500" s="68">
        <f t="shared" si="41"/>
        <v>41.503866666666667</v>
      </c>
      <c r="H500" s="68">
        <f t="shared" si="41"/>
        <v>41.329988888888892</v>
      </c>
      <c r="I500" s="64"/>
      <c r="J500" s="64"/>
      <c r="K500" s="65"/>
      <c r="L500" s="29"/>
      <c r="M500" s="68">
        <f t="shared" si="39"/>
        <v>480.30239999999998</v>
      </c>
      <c r="N500" s="68">
        <f t="shared" si="42"/>
        <v>35.712000000000003</v>
      </c>
      <c r="O500" s="68">
        <f t="shared" si="42"/>
        <v>41.508455555555557</v>
      </c>
      <c r="P500" s="68">
        <f t="shared" si="42"/>
        <v>41.330477777777766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267.41199999999998</v>
      </c>
      <c r="F501" s="78">
        <f t="shared" si="41"/>
        <v>33.230366666666669</v>
      </c>
      <c r="G501" s="78">
        <f t="shared" si="41"/>
        <v>40.217222222222219</v>
      </c>
      <c r="H501" s="78">
        <f t="shared" si="41"/>
        <v>39.984099999999998</v>
      </c>
      <c r="I501" s="66"/>
      <c r="J501" s="66"/>
      <c r="K501" s="67"/>
      <c r="L501" s="29"/>
      <c r="M501" s="78">
        <f t="shared" si="39"/>
        <v>267.31599999999997</v>
      </c>
      <c r="N501" s="78">
        <f t="shared" si="42"/>
        <v>33.228344444444438</v>
      </c>
      <c r="O501" s="78">
        <f t="shared" si="42"/>
        <v>40.214500000000001</v>
      </c>
      <c r="P501" s="78">
        <f t="shared" si="42"/>
        <v>39.980422222222224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4237.1512000000002</v>
      </c>
      <c r="F502" s="75">
        <f t="shared" ref="F502:H505" si="43">AVERAGE(F159,F163)</f>
        <v>39.998649999999998</v>
      </c>
      <c r="G502" s="75">
        <f t="shared" si="43"/>
        <v>45.394300000000001</v>
      </c>
      <c r="H502" s="75">
        <f t="shared" si="43"/>
        <v>46.239450000000005</v>
      </c>
      <c r="I502" s="76"/>
      <c r="J502" s="76"/>
      <c r="K502" s="77"/>
      <c r="L502" s="29"/>
      <c r="M502" s="79">
        <f>M159+M163</f>
        <v>4237.1328000000003</v>
      </c>
      <c r="N502" s="75">
        <f t="shared" ref="N502:P505" si="44">AVERAGE(N159,N163)</f>
        <v>39.998900000000006</v>
      </c>
      <c r="O502" s="75">
        <f t="shared" si="44"/>
        <v>45.394400000000005</v>
      </c>
      <c r="P502" s="75">
        <f t="shared" si="44"/>
        <v>46.24015</v>
      </c>
      <c r="Q502" s="76"/>
      <c r="R502" s="76"/>
      <c r="S502" s="77"/>
      <c r="U502" s="8">
        <f>bdrate($E502:$E505,F502:F505,$M502:$M505,N502:N505)</f>
        <v>-1.8478423466405935E-4</v>
      </c>
      <c r="V502" s="9">
        <f>bdrate($E502:$E505,G502:G505,$M502:$M505,O502:O505)</f>
        <v>-3.3901060824903517E-4</v>
      </c>
      <c r="W502" s="10">
        <f>bdrate($E502:$E505,H502:H505,$M502:$M505,P502:P505)</f>
        <v>-9.6473758972925872E-5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1798.4888000000001</v>
      </c>
      <c r="F503" s="68">
        <f t="shared" si="43"/>
        <v>37.643649999999994</v>
      </c>
      <c r="G503" s="68">
        <f t="shared" si="43"/>
        <v>43.605249999999998</v>
      </c>
      <c r="H503" s="68">
        <f t="shared" si="43"/>
        <v>44.441050000000004</v>
      </c>
      <c r="I503" s="64"/>
      <c r="J503" s="64"/>
      <c r="K503" s="65"/>
      <c r="L503" s="29"/>
      <c r="M503" s="80">
        <f>M160+M164</f>
        <v>1798.4703999999999</v>
      </c>
      <c r="N503" s="68">
        <f t="shared" si="44"/>
        <v>37.64385</v>
      </c>
      <c r="O503" s="68">
        <f t="shared" si="44"/>
        <v>43.60595</v>
      </c>
      <c r="P503" s="68">
        <f t="shared" si="44"/>
        <v>44.440849999999998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830.30719999999997</v>
      </c>
      <c r="F504" s="68">
        <f t="shared" si="43"/>
        <v>35.502700000000004</v>
      </c>
      <c r="G504" s="68">
        <f t="shared" si="43"/>
        <v>41.800049999999999</v>
      </c>
      <c r="H504" s="68">
        <f t="shared" si="43"/>
        <v>42.620150000000002</v>
      </c>
      <c r="I504" s="64"/>
      <c r="J504" s="64"/>
      <c r="K504" s="65"/>
      <c r="L504" s="29"/>
      <c r="M504" s="80">
        <f>M161+M165</f>
        <v>830.18960000000004</v>
      </c>
      <c r="N504" s="68">
        <f t="shared" si="44"/>
        <v>35.503100000000003</v>
      </c>
      <c r="O504" s="68">
        <f t="shared" si="44"/>
        <v>41.800799999999995</v>
      </c>
      <c r="P504" s="68">
        <f t="shared" si="44"/>
        <v>42.620400000000004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399.71279999999996</v>
      </c>
      <c r="F505" s="78">
        <f t="shared" si="43"/>
        <v>33.38015</v>
      </c>
      <c r="G505" s="78">
        <f t="shared" si="43"/>
        <v>40.56465</v>
      </c>
      <c r="H505" s="78">
        <f t="shared" si="43"/>
        <v>41.405150000000006</v>
      </c>
      <c r="I505" s="66"/>
      <c r="J505" s="66"/>
      <c r="K505" s="67"/>
      <c r="L505" s="29"/>
      <c r="M505" s="81">
        <f>M162+M166</f>
        <v>399.55599999999998</v>
      </c>
      <c r="N505" s="78">
        <f t="shared" si="44"/>
        <v>33.379950000000001</v>
      </c>
      <c r="O505" s="78">
        <f t="shared" si="44"/>
        <v>40.564399999999999</v>
      </c>
      <c r="P505" s="78">
        <f t="shared" si="44"/>
        <v>41.404449999999997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4782.58</v>
      </c>
      <c r="F506" s="75">
        <f t="shared" ref="F506:H509" si="45">AVERAGE(F159,F163,F167)</f>
        <v>39.901333333333334</v>
      </c>
      <c r="G506" s="75">
        <f t="shared" si="45"/>
        <v>45.359900000000003</v>
      </c>
      <c r="H506" s="75">
        <f t="shared" si="45"/>
        <v>46.208033333333333</v>
      </c>
      <c r="I506" s="76"/>
      <c r="J506" s="76"/>
      <c r="K506" s="77"/>
      <c r="L506" s="29"/>
      <c r="M506" s="75">
        <f>M159+M163+M167</f>
        <v>4782.2984000000006</v>
      </c>
      <c r="N506" s="75">
        <f t="shared" ref="N506:P509" si="46">AVERAGE(N159,N163,N167)</f>
        <v>39.901500000000006</v>
      </c>
      <c r="O506" s="75">
        <f t="shared" si="46"/>
        <v>45.359666666666669</v>
      </c>
      <c r="P506" s="75">
        <f t="shared" si="46"/>
        <v>46.20836666666667</v>
      </c>
      <c r="Q506" s="76"/>
      <c r="R506" s="76"/>
      <c r="S506" s="77"/>
      <c r="U506" s="8">
        <f>bdrate($E506:$E509,F506:F509,$M506:$M509,N506:N509)</f>
        <v>-2.7325621234575159E-4</v>
      </c>
      <c r="V506" s="9">
        <f>bdrate($E506:$E509,G506:G509,$M506:$M509,O506:O509)</f>
        <v>-2.952375718966449E-4</v>
      </c>
      <c r="W506" s="10">
        <f>bdrate($E506:$E509,H506:H509,$M506:$M509,P506:P509)</f>
        <v>-1.6892549995406458E-4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1990.4416000000001</v>
      </c>
      <c r="F507" s="68">
        <f t="shared" si="45"/>
        <v>37.570599999999992</v>
      </c>
      <c r="G507" s="68">
        <f t="shared" si="45"/>
        <v>43.582699999999996</v>
      </c>
      <c r="H507" s="68">
        <f t="shared" si="45"/>
        <v>44.420833333333341</v>
      </c>
      <c r="I507" s="64"/>
      <c r="J507" s="64"/>
      <c r="K507" s="65"/>
      <c r="L507" s="29"/>
      <c r="M507" s="68">
        <f>M160+M164+M168</f>
        <v>1990.5527999999999</v>
      </c>
      <c r="N507" s="68">
        <f t="shared" si="46"/>
        <v>37.5717</v>
      </c>
      <c r="O507" s="68">
        <f t="shared" si="46"/>
        <v>43.583133333333336</v>
      </c>
      <c r="P507" s="68">
        <f t="shared" si="46"/>
        <v>44.420766666666658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909.03279999999995</v>
      </c>
      <c r="F508" s="68">
        <f t="shared" si="45"/>
        <v>35.447400000000002</v>
      </c>
      <c r="G508" s="68">
        <f t="shared" si="45"/>
        <v>41.786433333333328</v>
      </c>
      <c r="H508" s="68">
        <f t="shared" si="45"/>
        <v>42.608166666666669</v>
      </c>
      <c r="I508" s="64"/>
      <c r="J508" s="64"/>
      <c r="K508" s="65"/>
      <c r="L508" s="29"/>
      <c r="M508" s="68">
        <f>M161+M165+M169</f>
        <v>908.91280000000006</v>
      </c>
      <c r="N508" s="68">
        <f t="shared" si="46"/>
        <v>35.447533333333332</v>
      </c>
      <c r="O508" s="68">
        <f t="shared" si="46"/>
        <v>41.787399999999998</v>
      </c>
      <c r="P508" s="68">
        <f t="shared" si="46"/>
        <v>42.608699999999999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436.49679999999995</v>
      </c>
      <c r="F509" s="78">
        <f t="shared" si="45"/>
        <v>33.336966666666662</v>
      </c>
      <c r="G509" s="78">
        <f t="shared" si="45"/>
        <v>40.5503</v>
      </c>
      <c r="H509" s="78">
        <f t="shared" si="45"/>
        <v>41.392766666666667</v>
      </c>
      <c r="I509" s="66"/>
      <c r="J509" s="66"/>
      <c r="K509" s="67"/>
      <c r="L509" s="29"/>
      <c r="M509" s="78">
        <f>M162+M166+M170</f>
        <v>436.28319999999997</v>
      </c>
      <c r="N509" s="78">
        <f t="shared" si="46"/>
        <v>33.336866666666673</v>
      </c>
      <c r="O509" s="78">
        <f t="shared" si="46"/>
        <v>40.550166666666662</v>
      </c>
      <c r="P509" s="78">
        <f t="shared" si="46"/>
        <v>41.392733333333332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4619.8568000000005</v>
      </c>
      <c r="F510" s="75">
        <f t="shared" ref="F510:H513" si="47">AVERAGE(F183,F187,F191)</f>
        <v>40.041566666666661</v>
      </c>
      <c r="G510" s="75">
        <f t="shared" si="47"/>
        <v>46.605833333333329</v>
      </c>
      <c r="H510" s="75">
        <f t="shared" si="47"/>
        <v>47.036766666666665</v>
      </c>
      <c r="I510" s="76"/>
      <c r="J510" s="76"/>
      <c r="K510" s="77"/>
      <c r="L510" s="29"/>
      <c r="M510" s="75">
        <f>M159+M163+M171+M175</f>
        <v>4620.0488000000005</v>
      </c>
      <c r="N510" s="75">
        <f t="shared" ref="N510:P513" si="48">AVERAGE(N183,N187,N191)</f>
        <v>40.039833333333327</v>
      </c>
      <c r="O510" s="75">
        <f t="shared" si="48"/>
        <v>46.60573333333334</v>
      </c>
      <c r="P510" s="75">
        <f t="shared" si="48"/>
        <v>47.038400000000003</v>
      </c>
      <c r="Q510" s="76"/>
      <c r="R510" s="76"/>
      <c r="S510" s="77"/>
      <c r="U510" s="8">
        <f>bdrate($E510:$E513,F510:F513,$M510:$M513,N510:N513)</f>
        <v>-9.2645070430052989E-5</v>
      </c>
      <c r="V510" s="9">
        <f>bdrate($E510:$E513,G510:G513,$M510:$M513,O510:O513)</f>
        <v>2.5890202911282856E-4</v>
      </c>
      <c r="W510" s="10">
        <f>bdrate($E510:$E513,H510:H513,$M510:$M513,P510:P513)</f>
        <v>2.3865464570937966E-4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1924.3327999999999</v>
      </c>
      <c r="F511" s="68">
        <f t="shared" si="47"/>
        <v>37.726966666666662</v>
      </c>
      <c r="G511" s="68">
        <f t="shared" si="47"/>
        <v>44.827533333333328</v>
      </c>
      <c r="H511" s="68">
        <f t="shared" si="47"/>
        <v>45.393766666666664</v>
      </c>
      <c r="I511" s="64"/>
      <c r="J511" s="64"/>
      <c r="K511" s="65"/>
      <c r="L511" s="29"/>
      <c r="M511" s="68">
        <f>M160+M164+M172+M176</f>
        <v>1924.2535999999998</v>
      </c>
      <c r="N511" s="68">
        <f t="shared" si="48"/>
        <v>37.726933333333335</v>
      </c>
      <c r="O511" s="68">
        <f t="shared" si="48"/>
        <v>44.823866666666667</v>
      </c>
      <c r="P511" s="68">
        <f t="shared" si="48"/>
        <v>45.386099999999999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882.74399999999991</v>
      </c>
      <c r="F512" s="68">
        <f t="shared" si="47"/>
        <v>35.591766666666665</v>
      </c>
      <c r="G512" s="68">
        <f t="shared" si="47"/>
        <v>42.871866666666669</v>
      </c>
      <c r="H512" s="68">
        <f t="shared" si="47"/>
        <v>43.544833333333337</v>
      </c>
      <c r="I512" s="64"/>
      <c r="J512" s="64"/>
      <c r="K512" s="65"/>
      <c r="L512" s="29"/>
      <c r="M512" s="68">
        <f>M161+M165+M173+M177</f>
        <v>882.64480000000003</v>
      </c>
      <c r="N512" s="68">
        <f t="shared" si="48"/>
        <v>35.592833333333338</v>
      </c>
      <c r="O512" s="68">
        <f t="shared" si="48"/>
        <v>42.873933333333333</v>
      </c>
      <c r="P512" s="68">
        <f t="shared" si="48"/>
        <v>43.547533333333341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423.97039999999993</v>
      </c>
      <c r="F513" s="78">
        <f t="shared" si="47"/>
        <v>33.465800000000002</v>
      </c>
      <c r="G513" s="78">
        <f t="shared" si="47"/>
        <v>41.52976666666666</v>
      </c>
      <c r="H513" s="78">
        <f t="shared" si="47"/>
        <v>42.263100000000001</v>
      </c>
      <c r="I513" s="66"/>
      <c r="J513" s="66"/>
      <c r="K513" s="67"/>
      <c r="L513" s="29"/>
      <c r="M513" s="78">
        <f>M162+M166+M174+M178</f>
        <v>423.79599999999999</v>
      </c>
      <c r="N513" s="78">
        <f t="shared" si="48"/>
        <v>33.464566666666663</v>
      </c>
      <c r="O513" s="78">
        <f t="shared" si="48"/>
        <v>41.529733333333333</v>
      </c>
      <c r="P513" s="78">
        <f t="shared" si="48"/>
        <v>42.272733333333335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5273.3552</v>
      </c>
      <c r="F514" s="75">
        <f t="shared" ref="F514:H517" si="49">AVERAGE(F183,F187,F191,F195,F199,F203)</f>
        <v>40.034733333333335</v>
      </c>
      <c r="G514" s="75">
        <f t="shared" si="49"/>
        <v>46.57073333333333</v>
      </c>
      <c r="H514" s="75">
        <f t="shared" si="49"/>
        <v>47.085349999999998</v>
      </c>
      <c r="I514" s="76"/>
      <c r="J514" s="76"/>
      <c r="K514" s="77"/>
      <c r="L514" s="29"/>
      <c r="M514" s="75">
        <f>M207</f>
        <v>5272.8112000000001</v>
      </c>
      <c r="N514" s="75">
        <f t="shared" ref="N514:P517" si="50">AVERAGE(N183,N187,N191,N195,N199,N203)</f>
        <v>40.035916666666658</v>
      </c>
      <c r="O514" s="75">
        <f t="shared" si="50"/>
        <v>46.569533333333332</v>
      </c>
      <c r="P514" s="75">
        <f t="shared" si="50"/>
        <v>47.086816666666664</v>
      </c>
      <c r="Q514" s="76"/>
      <c r="R514" s="76"/>
      <c r="S514" s="77"/>
      <c r="U514" s="8">
        <f>bdrate($E514:$E517,F514:F517,$M514:$M517,N514:N517)</f>
        <v>-1.5475574993895069E-4</v>
      </c>
      <c r="V514" s="9">
        <f>bdrate($E514:$E517,G514:G517,$M514:$M517,O514:O517)</f>
        <v>1.1043897491087584E-3</v>
      </c>
      <c r="W514" s="10">
        <f>bdrate($E514:$E517,H514:H517,$M514:$M517,P514:P517)</f>
        <v>-2.698693995836221E-4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2151.9591999999998</v>
      </c>
      <c r="F515" s="68">
        <f t="shared" si="49"/>
        <v>37.71255</v>
      </c>
      <c r="G515" s="68">
        <f t="shared" si="49"/>
        <v>44.798883333333329</v>
      </c>
      <c r="H515" s="68">
        <f t="shared" si="49"/>
        <v>45.415250000000007</v>
      </c>
      <c r="I515" s="64"/>
      <c r="J515" s="64"/>
      <c r="K515" s="65"/>
      <c r="L515" s="29"/>
      <c r="M515" s="68">
        <f>M208</f>
        <v>2151.9304000000002</v>
      </c>
      <c r="N515" s="68">
        <f t="shared" si="50"/>
        <v>37.712300000000006</v>
      </c>
      <c r="O515" s="68">
        <f t="shared" si="50"/>
        <v>44.79761666666667</v>
      </c>
      <c r="P515" s="68">
        <f t="shared" si="50"/>
        <v>45.412983333333337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979.30880000000002</v>
      </c>
      <c r="F516" s="68">
        <f t="shared" si="49"/>
        <v>35.577800000000003</v>
      </c>
      <c r="G516" s="68">
        <f t="shared" si="49"/>
        <v>42.847983333333332</v>
      </c>
      <c r="H516" s="68">
        <f t="shared" si="49"/>
        <v>43.525183333333331</v>
      </c>
      <c r="I516" s="64"/>
      <c r="J516" s="64"/>
      <c r="K516" s="65"/>
      <c r="L516" s="29"/>
      <c r="M516" s="68">
        <f>M209</f>
        <v>979.20719999999994</v>
      </c>
      <c r="N516" s="68">
        <f t="shared" si="50"/>
        <v>35.578116666666666</v>
      </c>
      <c r="O516" s="68">
        <f t="shared" si="50"/>
        <v>42.843316666666674</v>
      </c>
      <c r="P516" s="68">
        <f t="shared" si="50"/>
        <v>43.527333333333331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471.94</v>
      </c>
      <c r="F517" s="78">
        <f t="shared" si="49"/>
        <v>33.452733333333335</v>
      </c>
      <c r="G517" s="78">
        <f t="shared" si="49"/>
        <v>41.506149999999991</v>
      </c>
      <c r="H517" s="78">
        <f t="shared" si="49"/>
        <v>42.231416666666661</v>
      </c>
      <c r="I517" s="66"/>
      <c r="J517" s="66"/>
      <c r="K517" s="67"/>
      <c r="L517" s="29"/>
      <c r="M517" s="78">
        <f>M210</f>
        <v>471.7176</v>
      </c>
      <c r="N517" s="78">
        <f t="shared" si="50"/>
        <v>33.452116666666662</v>
      </c>
      <c r="O517" s="78">
        <f t="shared" si="50"/>
        <v>41.503916666666669</v>
      </c>
      <c r="P517" s="78">
        <f t="shared" si="50"/>
        <v>42.233733333333333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4619.8568000000005</v>
      </c>
      <c r="F518" s="75">
        <f t="shared" ref="F518:H521" si="52">AVERAGE(F159,F163,F183,F187,F191)</f>
        <v>40.0244</v>
      </c>
      <c r="G518" s="75">
        <f t="shared" si="52"/>
        <v>46.121220000000001</v>
      </c>
      <c r="H518" s="75">
        <f t="shared" si="52"/>
        <v>46.717840000000002</v>
      </c>
      <c r="I518" s="76"/>
      <c r="J518" s="76"/>
      <c r="K518" s="77"/>
      <c r="L518" s="29"/>
      <c r="M518" s="75">
        <f t="shared" ref="M518:M525" si="53">M510</f>
        <v>4620.0488000000005</v>
      </c>
      <c r="N518" s="75">
        <f t="shared" ref="N518:P521" si="54">AVERAGE(N159,N163,N183,N187,N191)</f>
        <v>40.02346</v>
      </c>
      <c r="O518" s="75">
        <f t="shared" si="54"/>
        <v>46.121200000000002</v>
      </c>
      <c r="P518" s="75">
        <f t="shared" si="54"/>
        <v>46.719100000000005</v>
      </c>
      <c r="Q518" s="76"/>
      <c r="R518" s="76"/>
      <c r="S518" s="77"/>
      <c r="U518" s="8">
        <f>bdrate($E518:$E521,F518:F521,$M518:$M521,N518:N521)</f>
        <v>-1.2911959483863367E-4</v>
      </c>
      <c r="V518" s="9">
        <f>bdrate($E518:$E521,G518:G521,$M518:$M521,O518:O521)</f>
        <v>2.9258852860980511E-5</v>
      </c>
      <c r="W518" s="10">
        <f>bdrate($E518:$E521,H518:H521,$M518:$M521,P518:P521)</f>
        <v>1.088866340708261E-4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1924.3327999999999</v>
      </c>
      <c r="F519" s="68">
        <f t="shared" si="52"/>
        <v>37.693639999999995</v>
      </c>
      <c r="G519" s="68">
        <f t="shared" si="52"/>
        <v>44.338620000000006</v>
      </c>
      <c r="H519" s="68">
        <f t="shared" si="52"/>
        <v>45.012680000000003</v>
      </c>
      <c r="I519" s="64"/>
      <c r="J519" s="64"/>
      <c r="K519" s="65"/>
      <c r="L519" s="29"/>
      <c r="M519" s="68">
        <f t="shared" si="53"/>
        <v>1924.2535999999998</v>
      </c>
      <c r="N519" s="68">
        <f t="shared" si="54"/>
        <v>37.6937</v>
      </c>
      <c r="O519" s="68">
        <f t="shared" si="54"/>
        <v>44.3367</v>
      </c>
      <c r="P519" s="68">
        <f t="shared" si="54"/>
        <v>45.007999999999996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882.74399999999991</v>
      </c>
      <c r="F520" s="68">
        <f t="shared" si="52"/>
        <v>35.556140000000006</v>
      </c>
      <c r="G520" s="68">
        <f t="shared" si="52"/>
        <v>42.44314</v>
      </c>
      <c r="H520" s="68">
        <f t="shared" si="52"/>
        <v>43.174959999999999</v>
      </c>
      <c r="I520" s="64"/>
      <c r="J520" s="64"/>
      <c r="K520" s="65"/>
      <c r="L520" s="29"/>
      <c r="M520" s="68">
        <f t="shared" si="53"/>
        <v>882.64480000000003</v>
      </c>
      <c r="N520" s="68">
        <f t="shared" si="54"/>
        <v>35.556940000000004</v>
      </c>
      <c r="O520" s="68">
        <f t="shared" si="54"/>
        <v>42.444679999999991</v>
      </c>
      <c r="P520" s="68">
        <f t="shared" si="54"/>
        <v>43.176680000000005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423.97039999999993</v>
      </c>
      <c r="F521" s="78">
        <f t="shared" si="52"/>
        <v>33.431539999999998</v>
      </c>
      <c r="G521" s="78">
        <f t="shared" si="52"/>
        <v>41.143719999999995</v>
      </c>
      <c r="H521" s="78">
        <f t="shared" si="52"/>
        <v>41.919920000000005</v>
      </c>
      <c r="I521" s="66"/>
      <c r="J521" s="66"/>
      <c r="K521" s="67"/>
      <c r="L521" s="29"/>
      <c r="M521" s="78">
        <f t="shared" si="53"/>
        <v>423.79599999999999</v>
      </c>
      <c r="N521" s="78">
        <f t="shared" si="54"/>
        <v>33.430720000000001</v>
      </c>
      <c r="O521" s="78">
        <f t="shared" si="54"/>
        <v>41.143599999999992</v>
      </c>
      <c r="P521" s="78">
        <f t="shared" si="54"/>
        <v>41.925419999999995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5273.3552</v>
      </c>
      <c r="F522" s="75">
        <f t="shared" ref="F522:H525" si="55">AVERAGE(F159,F163,F167,F183,F187,F191,F195,F199,F203)</f>
        <v>39.990266666666656</v>
      </c>
      <c r="G522" s="75">
        <f t="shared" si="55"/>
        <v>46.167122222222218</v>
      </c>
      <c r="H522" s="75">
        <f t="shared" si="55"/>
        <v>46.792911111111117</v>
      </c>
      <c r="I522" s="76"/>
      <c r="J522" s="76"/>
      <c r="K522" s="77"/>
      <c r="L522" s="29"/>
      <c r="M522" s="75">
        <f t="shared" si="53"/>
        <v>5272.8112000000001</v>
      </c>
      <c r="N522" s="75">
        <f t="shared" ref="N522:P525" si="56">AVERAGE(N159,N163,N167,N183,N187,N191,N195,N199,N203)</f>
        <v>39.99111111111111</v>
      </c>
      <c r="O522" s="75">
        <f t="shared" si="56"/>
        <v>46.166244444444445</v>
      </c>
      <c r="P522" s="75">
        <f t="shared" si="56"/>
        <v>46.793999999999997</v>
      </c>
      <c r="Q522" s="76"/>
      <c r="R522" s="76"/>
      <c r="S522" s="77"/>
      <c r="U522" s="8">
        <f>bdrate($E522:$E525,F522:F525,$M522:$M525,N522:N525)</f>
        <v>-2.0169188457375142E-4</v>
      </c>
      <c r="V522" s="9">
        <f>bdrate($E522:$E525,G522:G525,$M522:$M525,O522:O525)</f>
        <v>6.4435497782255879E-4</v>
      </c>
      <c r="W522" s="10">
        <f>bdrate($E522:$E525,H522:H525,$M522:$M525,P522:P525)</f>
        <v>-2.4247312890424144E-4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2151.9591999999998</v>
      </c>
      <c r="F523" s="68">
        <f t="shared" si="55"/>
        <v>37.665233333333333</v>
      </c>
      <c r="G523" s="68">
        <f t="shared" si="55"/>
        <v>44.393488888888889</v>
      </c>
      <c r="H523" s="68">
        <f t="shared" si="55"/>
        <v>45.083777777777783</v>
      </c>
      <c r="I523" s="64"/>
      <c r="J523" s="64"/>
      <c r="K523" s="65"/>
      <c r="L523" s="29"/>
      <c r="M523" s="68">
        <f t="shared" si="53"/>
        <v>2151.9304000000002</v>
      </c>
      <c r="N523" s="68">
        <f t="shared" si="56"/>
        <v>37.66543333333334</v>
      </c>
      <c r="O523" s="68">
        <f t="shared" si="56"/>
        <v>44.39278888888888</v>
      </c>
      <c r="P523" s="68">
        <f t="shared" si="56"/>
        <v>45.082244444444441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979.30880000000002</v>
      </c>
      <c r="F524" s="68">
        <f t="shared" si="55"/>
        <v>35.534333333333329</v>
      </c>
      <c r="G524" s="68">
        <f t="shared" si="55"/>
        <v>42.494133333333338</v>
      </c>
      <c r="H524" s="68">
        <f t="shared" si="55"/>
        <v>43.21951111111111</v>
      </c>
      <c r="I524" s="64"/>
      <c r="J524" s="64"/>
      <c r="K524" s="65"/>
      <c r="L524" s="29"/>
      <c r="M524" s="68">
        <f t="shared" si="53"/>
        <v>979.20719999999994</v>
      </c>
      <c r="N524" s="68">
        <f t="shared" si="56"/>
        <v>35.534588888888891</v>
      </c>
      <c r="O524" s="68">
        <f t="shared" si="56"/>
        <v>42.491344444444444</v>
      </c>
      <c r="P524" s="68">
        <f t="shared" si="56"/>
        <v>43.22112222222222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471.94</v>
      </c>
      <c r="F525" s="78">
        <f t="shared" si="55"/>
        <v>33.414144444444446</v>
      </c>
      <c r="G525" s="78">
        <f t="shared" si="55"/>
        <v>41.187533333333334</v>
      </c>
      <c r="H525" s="78">
        <f t="shared" si="55"/>
        <v>41.951866666666675</v>
      </c>
      <c r="I525" s="66"/>
      <c r="J525" s="66"/>
      <c r="K525" s="67"/>
      <c r="L525" s="29"/>
      <c r="M525" s="78">
        <f t="shared" si="53"/>
        <v>471.7176</v>
      </c>
      <c r="N525" s="78">
        <f t="shared" si="56"/>
        <v>33.413699999999999</v>
      </c>
      <c r="O525" s="78">
        <f t="shared" si="56"/>
        <v>41.186</v>
      </c>
      <c r="P525" s="78">
        <f t="shared" si="56"/>
        <v>41.953399999999995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1057.8019999999999</v>
      </c>
      <c r="F526" s="75">
        <f t="shared" ref="F526:H529" si="57">AVERAGE(F211,F215)</f>
        <v>41.974550000000001</v>
      </c>
      <c r="G526" s="75">
        <f t="shared" si="57"/>
        <v>48.301000000000002</v>
      </c>
      <c r="H526" s="75">
        <f t="shared" si="57"/>
        <v>47.825850000000003</v>
      </c>
      <c r="I526" s="76"/>
      <c r="J526" s="76"/>
      <c r="K526" s="77"/>
      <c r="L526" s="29"/>
      <c r="M526" s="79">
        <f>M211+M215</f>
        <v>1057.876</v>
      </c>
      <c r="N526" s="75">
        <f t="shared" ref="N526:P529" si="58">AVERAGE(N211,N215)</f>
        <v>41.974699999999999</v>
      </c>
      <c r="O526" s="75">
        <f t="shared" si="58"/>
        <v>48.305700000000002</v>
      </c>
      <c r="P526" s="75">
        <f t="shared" si="58"/>
        <v>47.823549999999997</v>
      </c>
      <c r="Q526" s="76"/>
      <c r="R526" s="76"/>
      <c r="S526" s="77"/>
      <c r="U526" s="8">
        <f>bdrate($E526:$E529,F526:F529,$M526:$M529,N526:N529)</f>
        <v>1.9497173484861463E-4</v>
      </c>
      <c r="V526" s="9">
        <f>bdrate($E526:$E529,G526:G529,$M526:$M529,O526:O529)</f>
        <v>4.0312839175393744E-3</v>
      </c>
      <c r="W526" s="10">
        <f>bdrate($E526:$E529,H526:H529,$M526:$M529,P526:P529)</f>
        <v>-8.5281501541878413E-4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441.13900000000001</v>
      </c>
      <c r="F527" s="68">
        <f t="shared" si="57"/>
        <v>40.990450000000003</v>
      </c>
      <c r="G527" s="68">
        <f t="shared" si="57"/>
        <v>47.279800000000002</v>
      </c>
      <c r="H527" s="68">
        <f t="shared" si="57"/>
        <v>46.936199999999999</v>
      </c>
      <c r="I527" s="64"/>
      <c r="J527" s="64"/>
      <c r="K527" s="65"/>
      <c r="L527" s="29"/>
      <c r="M527" s="80">
        <f>M212+M216</f>
        <v>441.04399999999998</v>
      </c>
      <c r="N527" s="68">
        <f t="shared" si="58"/>
        <v>40.989900000000006</v>
      </c>
      <c r="O527" s="68">
        <f t="shared" si="58"/>
        <v>47.2712</v>
      </c>
      <c r="P527" s="68">
        <f t="shared" si="58"/>
        <v>46.936300000000003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225.04899999999998</v>
      </c>
      <c r="F528" s="68">
        <f t="shared" si="57"/>
        <v>39.582250000000002</v>
      </c>
      <c r="G528" s="68">
        <f t="shared" si="57"/>
        <v>45.978700000000003</v>
      </c>
      <c r="H528" s="68">
        <f t="shared" si="57"/>
        <v>45.736649999999997</v>
      </c>
      <c r="I528" s="64"/>
      <c r="J528" s="64"/>
      <c r="K528" s="65"/>
      <c r="L528" s="29"/>
      <c r="M528" s="80">
        <f>M213+M217</f>
        <v>225.08999999999997</v>
      </c>
      <c r="N528" s="68">
        <f t="shared" si="58"/>
        <v>39.582549999999998</v>
      </c>
      <c r="O528" s="68">
        <f t="shared" si="58"/>
        <v>45.968299999999999</v>
      </c>
      <c r="P528" s="68">
        <f t="shared" si="58"/>
        <v>45.740799999999993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123.995</v>
      </c>
      <c r="F529" s="78">
        <f t="shared" si="57"/>
        <v>37.820149999999998</v>
      </c>
      <c r="G529" s="78">
        <f t="shared" si="57"/>
        <v>44.85275</v>
      </c>
      <c r="H529" s="78">
        <f t="shared" si="57"/>
        <v>44.637550000000005</v>
      </c>
      <c r="I529" s="66"/>
      <c r="J529" s="66"/>
      <c r="K529" s="67"/>
      <c r="L529" s="29"/>
      <c r="M529" s="81">
        <f>M214+M218</f>
        <v>124.14</v>
      </c>
      <c r="N529" s="78">
        <f t="shared" si="58"/>
        <v>37.821550000000002</v>
      </c>
      <c r="O529" s="78">
        <f t="shared" si="58"/>
        <v>44.849599999999995</v>
      </c>
      <c r="P529" s="78">
        <f t="shared" si="58"/>
        <v>44.642499999999998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1316.1899999999998</v>
      </c>
      <c r="F530" s="75">
        <f t="shared" ref="F530:H533" si="59">AVERAGE(F211,F215,F219)</f>
        <v>41.878266666666669</v>
      </c>
      <c r="G530" s="75">
        <f t="shared" si="59"/>
        <v>47.949866666666672</v>
      </c>
      <c r="H530" s="75">
        <f t="shared" si="59"/>
        <v>47.439099999999996</v>
      </c>
      <c r="I530" s="76"/>
      <c r="J530" s="76"/>
      <c r="K530" s="77"/>
      <c r="L530" s="29"/>
      <c r="M530" s="75">
        <f>M211+M215+M219</f>
        <v>1316.3489999999999</v>
      </c>
      <c r="N530" s="75">
        <f t="shared" ref="N530:P533" si="60">AVERAGE(N211,N215,N219)</f>
        <v>41.878633333333333</v>
      </c>
      <c r="O530" s="75">
        <f t="shared" si="60"/>
        <v>47.957500000000003</v>
      </c>
      <c r="P530" s="75">
        <f t="shared" si="60"/>
        <v>47.44083333333333</v>
      </c>
      <c r="Q530" s="76"/>
      <c r="R530" s="76"/>
      <c r="S530" s="77"/>
      <c r="U530" s="8">
        <f>bdrate($E530:$E533,F530:F533,$M530:$M533,N530:N533)</f>
        <v>5.8438938393079454E-5</v>
      </c>
      <c r="V530" s="9">
        <f>bdrate($E530:$E533,G530:G533,$M530:$M533,O530:O533)</f>
        <v>2.3750632031149799E-3</v>
      </c>
      <c r="W530" s="10">
        <f>bdrate($E530:$E533,H530:H533,$M530:$M533,P530:P533)</f>
        <v>-2.2316950172200922E-3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538.62400000000002</v>
      </c>
      <c r="F531" s="68">
        <f t="shared" si="59"/>
        <v>40.909366666666671</v>
      </c>
      <c r="G531" s="68">
        <f t="shared" si="59"/>
        <v>46.957900000000002</v>
      </c>
      <c r="H531" s="68">
        <f t="shared" si="59"/>
        <v>46.472000000000001</v>
      </c>
      <c r="I531" s="64"/>
      <c r="J531" s="64"/>
      <c r="K531" s="65"/>
      <c r="L531" s="29"/>
      <c r="M531" s="68">
        <f>M212+M216+M220</f>
        <v>538.65200000000004</v>
      </c>
      <c r="N531" s="68">
        <f t="shared" si="60"/>
        <v>40.910500000000006</v>
      </c>
      <c r="O531" s="68">
        <f t="shared" si="60"/>
        <v>46.953266666666671</v>
      </c>
      <c r="P531" s="68">
        <f t="shared" si="60"/>
        <v>46.475099999999998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273.40199999999999</v>
      </c>
      <c r="F532" s="68">
        <f t="shared" si="59"/>
        <v>39.517500000000005</v>
      </c>
      <c r="G532" s="68">
        <f t="shared" si="59"/>
        <v>45.777700000000003</v>
      </c>
      <c r="H532" s="68">
        <f t="shared" si="59"/>
        <v>45.352766666666668</v>
      </c>
      <c r="I532" s="64"/>
      <c r="J532" s="64"/>
      <c r="K532" s="65"/>
      <c r="L532" s="29"/>
      <c r="M532" s="68">
        <f>M213+M217+M221</f>
        <v>273.72299999999996</v>
      </c>
      <c r="N532" s="68">
        <f t="shared" si="60"/>
        <v>39.519100000000002</v>
      </c>
      <c r="O532" s="68">
        <f t="shared" si="60"/>
        <v>45.773400000000002</v>
      </c>
      <c r="P532" s="68">
        <f t="shared" si="60"/>
        <v>45.359099999999991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149.547</v>
      </c>
      <c r="F533" s="78">
        <f t="shared" si="59"/>
        <v>37.769166666666671</v>
      </c>
      <c r="G533" s="78">
        <f t="shared" si="59"/>
        <v>44.706966666666666</v>
      </c>
      <c r="H533" s="78">
        <f t="shared" si="59"/>
        <v>44.249266666666671</v>
      </c>
      <c r="I533" s="66"/>
      <c r="J533" s="66"/>
      <c r="K533" s="67"/>
      <c r="L533" s="29"/>
      <c r="M533" s="78">
        <f>M214+M218+M222</f>
        <v>149.696</v>
      </c>
      <c r="N533" s="78">
        <f t="shared" si="60"/>
        <v>37.771700000000003</v>
      </c>
      <c r="O533" s="78">
        <f t="shared" si="60"/>
        <v>44.699466666666666</v>
      </c>
      <c r="P533" s="78">
        <f t="shared" si="60"/>
        <v>44.255133333333333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1180.26</v>
      </c>
      <c r="F534" s="75">
        <f t="shared" ref="F534:H537" si="61">AVERAGE(F235,F239,F243)</f>
        <v>43.209599999999995</v>
      </c>
      <c r="G534" s="75">
        <f t="shared" si="61"/>
        <v>48.848233333333326</v>
      </c>
      <c r="H534" s="75">
        <f t="shared" si="61"/>
        <v>48.197399999999995</v>
      </c>
      <c r="I534" s="76"/>
      <c r="J534" s="76"/>
      <c r="K534" s="77"/>
      <c r="L534" s="29"/>
      <c r="M534" s="75">
        <f>M211+M215+M223+M227</f>
        <v>1180.1949999999999</v>
      </c>
      <c r="N534" s="75">
        <f t="shared" ref="N534:P537" si="62">AVERAGE(N235,N239,N243)</f>
        <v>43.211333333333329</v>
      </c>
      <c r="O534" s="75">
        <f t="shared" si="62"/>
        <v>48.816900000000004</v>
      </c>
      <c r="P534" s="75">
        <f t="shared" si="62"/>
        <v>48.189033333333327</v>
      </c>
      <c r="Q534" s="76"/>
      <c r="R534" s="76"/>
      <c r="S534" s="77"/>
      <c r="U534" s="8">
        <f>bdrate($E534:$E537,F534:F537,$M534:$M537,N534:N537)</f>
        <v>1.3363816491462899E-3</v>
      </c>
      <c r="V534" s="9">
        <f>bdrate($E534:$E537,G534:G537,$M534:$M537,O534:O537)</f>
        <v>8.8971124425285542E-3</v>
      </c>
      <c r="W534" s="10">
        <f>bdrate($E534:$E537,H534:H537,$M534:$M537,P534:P537)</f>
        <v>-9.9808105465879482E-3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491.22800000000001</v>
      </c>
      <c r="F535" s="68">
        <f t="shared" si="61"/>
        <v>42.006766666666671</v>
      </c>
      <c r="G535" s="68">
        <f t="shared" si="61"/>
        <v>47.715666666666671</v>
      </c>
      <c r="H535" s="68">
        <f t="shared" si="61"/>
        <v>47.333433333333339</v>
      </c>
      <c r="I535" s="64"/>
      <c r="J535" s="64"/>
      <c r="K535" s="65"/>
      <c r="L535" s="29"/>
      <c r="M535" s="68">
        <f>M212+M216+M224+M228</f>
        <v>491.01499999999999</v>
      </c>
      <c r="N535" s="68">
        <f t="shared" si="62"/>
        <v>41.997399999999999</v>
      </c>
      <c r="O535" s="68">
        <f t="shared" si="62"/>
        <v>47.69733333333334</v>
      </c>
      <c r="P535" s="68">
        <f t="shared" si="62"/>
        <v>47.343966666666667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250.05899999999997</v>
      </c>
      <c r="F536" s="68">
        <f t="shared" si="61"/>
        <v>40.384266666666662</v>
      </c>
      <c r="G536" s="68">
        <f t="shared" si="61"/>
        <v>46.388566666666662</v>
      </c>
      <c r="H536" s="68">
        <f t="shared" si="61"/>
        <v>46.098800000000004</v>
      </c>
      <c r="I536" s="64"/>
      <c r="J536" s="64"/>
      <c r="K536" s="65"/>
      <c r="L536" s="29"/>
      <c r="M536" s="68">
        <f>M213+M217+M225+M229</f>
        <v>249.98399999999995</v>
      </c>
      <c r="N536" s="68">
        <f t="shared" si="62"/>
        <v>40.383433333333336</v>
      </c>
      <c r="O536" s="68">
        <f t="shared" si="62"/>
        <v>46.380500000000005</v>
      </c>
      <c r="P536" s="68">
        <f t="shared" si="62"/>
        <v>46.133499999999998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137.72900000000001</v>
      </c>
      <c r="F537" s="78">
        <f t="shared" si="61"/>
        <v>38.417966666666672</v>
      </c>
      <c r="G537" s="78">
        <f t="shared" si="61"/>
        <v>45.256866666666667</v>
      </c>
      <c r="H537" s="78">
        <f t="shared" si="61"/>
        <v>44.964500000000008</v>
      </c>
      <c r="I537" s="66"/>
      <c r="J537" s="66"/>
      <c r="K537" s="67"/>
      <c r="L537" s="29"/>
      <c r="M537" s="78">
        <f>M214+M218+M226+M230</f>
        <v>137.91199999999998</v>
      </c>
      <c r="N537" s="78">
        <f t="shared" si="62"/>
        <v>38.422333333333334</v>
      </c>
      <c r="O537" s="78">
        <f t="shared" si="62"/>
        <v>45.26</v>
      </c>
      <c r="P537" s="78">
        <f t="shared" si="62"/>
        <v>44.971766666666667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1492.5889999999999</v>
      </c>
      <c r="F538" s="75">
        <f t="shared" ref="F538:H541" si="63">AVERAGE(F235,F239,F243,F247,F251,F255)</f>
        <v>43.259983333333331</v>
      </c>
      <c r="G538" s="75">
        <f t="shared" si="63"/>
        <v>48.684400000000004</v>
      </c>
      <c r="H538" s="75">
        <f t="shared" si="63"/>
        <v>48.493050000000004</v>
      </c>
      <c r="I538" s="76"/>
      <c r="J538" s="76"/>
      <c r="K538" s="77"/>
      <c r="L538" s="29"/>
      <c r="M538" s="75">
        <f>M259</f>
        <v>1492.691</v>
      </c>
      <c r="N538" s="75">
        <f t="shared" ref="N538:P541" si="64">AVERAGE(N235,N239,N243,N247,N251,N255)</f>
        <v>43.26104999999999</v>
      </c>
      <c r="O538" s="75">
        <f t="shared" si="64"/>
        <v>48.666266666666665</v>
      </c>
      <c r="P538" s="75">
        <f t="shared" si="64"/>
        <v>48.495716666666659</v>
      </c>
      <c r="Q538" s="76"/>
      <c r="R538" s="76"/>
      <c r="S538" s="77"/>
      <c r="U538" s="8">
        <f>bdrate($E538:$E541,F538:F541,$M538:$M541,N538:N541)</f>
        <v>8.5773647233300387E-4</v>
      </c>
      <c r="V538" s="9">
        <f>bdrate($E538:$E541,G538:G541,$M538:$M541,O538:O541)</f>
        <v>2.9351239318335942E-3</v>
      </c>
      <c r="W538" s="10">
        <f>bdrate($E538:$E541,H538:H541,$M538:$M541,P538:P541)</f>
        <v>-5.3078850006843536E-3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612.68600000000004</v>
      </c>
      <c r="F539" s="68">
        <f t="shared" si="63"/>
        <v>42.071600000000004</v>
      </c>
      <c r="G539" s="68">
        <f t="shared" si="63"/>
        <v>47.591816666666666</v>
      </c>
      <c r="H539" s="68">
        <f t="shared" si="63"/>
        <v>47.53606666666667</v>
      </c>
      <c r="I539" s="64"/>
      <c r="J539" s="64"/>
      <c r="K539" s="65"/>
      <c r="L539" s="29"/>
      <c r="M539" s="68">
        <f>M260</f>
        <v>612.32600000000002</v>
      </c>
      <c r="N539" s="68">
        <f t="shared" si="64"/>
        <v>42.068166666666663</v>
      </c>
      <c r="O539" s="68">
        <f t="shared" si="64"/>
        <v>47.580533333333335</v>
      </c>
      <c r="P539" s="68">
        <f t="shared" si="64"/>
        <v>47.538600000000002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312.346</v>
      </c>
      <c r="F540" s="68">
        <f t="shared" si="63"/>
        <v>40.46488333333334</v>
      </c>
      <c r="G540" s="68">
        <f t="shared" si="63"/>
        <v>46.310699999999997</v>
      </c>
      <c r="H540" s="68">
        <f t="shared" si="63"/>
        <v>46.296583333333331</v>
      </c>
      <c r="I540" s="64"/>
      <c r="J540" s="64"/>
      <c r="K540" s="65"/>
      <c r="L540" s="29"/>
      <c r="M540" s="68">
        <f>M261</f>
        <v>312.59300000000002</v>
      </c>
      <c r="N540" s="68">
        <f t="shared" si="64"/>
        <v>40.464416666666665</v>
      </c>
      <c r="O540" s="68">
        <f t="shared" si="64"/>
        <v>46.318249999999999</v>
      </c>
      <c r="P540" s="68">
        <f t="shared" si="64"/>
        <v>46.31701666666666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173.27099999999999</v>
      </c>
      <c r="F541" s="78">
        <f t="shared" si="63"/>
        <v>38.511650000000003</v>
      </c>
      <c r="G541" s="78">
        <f t="shared" si="63"/>
        <v>45.193000000000005</v>
      </c>
      <c r="H541" s="78">
        <f t="shared" si="63"/>
        <v>45.127716666666679</v>
      </c>
      <c r="I541" s="66"/>
      <c r="J541" s="66"/>
      <c r="K541" s="67"/>
      <c r="L541" s="29"/>
      <c r="M541" s="78">
        <f>M262</f>
        <v>173.50299999999999</v>
      </c>
      <c r="N541" s="78">
        <f t="shared" si="64"/>
        <v>38.514600000000002</v>
      </c>
      <c r="O541" s="78">
        <f t="shared" si="64"/>
        <v>45.202300000000001</v>
      </c>
      <c r="P541" s="78">
        <f t="shared" si="64"/>
        <v>45.133433333333329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1180.26</v>
      </c>
      <c r="F542" s="75">
        <f t="shared" ref="F542:H545" si="66">AVERAGE(F211,F215,F235,F239,F243)</f>
        <v>42.715580000000003</v>
      </c>
      <c r="G542" s="75">
        <f t="shared" si="66"/>
        <v>48.629339999999999</v>
      </c>
      <c r="H542" s="75">
        <f t="shared" si="66"/>
        <v>48.048780000000001</v>
      </c>
      <c r="I542" s="76"/>
      <c r="J542" s="76"/>
      <c r="K542" s="77"/>
      <c r="L542" s="29"/>
      <c r="M542" s="75">
        <f t="shared" ref="M542:M549" si="67">M534</f>
        <v>1180.1949999999999</v>
      </c>
      <c r="N542" s="75">
        <f t="shared" ref="N542:P545" si="68">AVERAGE(N211,N215,N235,N239,N243)</f>
        <v>42.716679999999997</v>
      </c>
      <c r="O542" s="75">
        <f t="shared" si="68"/>
        <v>48.61242</v>
      </c>
      <c r="P542" s="75">
        <f t="shared" si="68"/>
        <v>48.042839999999998</v>
      </c>
      <c r="Q542" s="76"/>
      <c r="R542" s="76"/>
      <c r="S542" s="77"/>
      <c r="U542" s="8">
        <f>bdrate($E542:$E545,F542:F545,$M542:$M545,N542:N545)</f>
        <v>8.159870882340492E-4</v>
      </c>
      <c r="V542" s="9">
        <f>bdrate($E542:$E545,G542:G545,$M542:$M545,O542:O545)</f>
        <v>6.9152927249220841E-3</v>
      </c>
      <c r="W542" s="10">
        <f>bdrate($E542:$E545,H542:H545,$M542:$M545,P542:P545)</f>
        <v>-6.465185564314857E-3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491.22800000000001</v>
      </c>
      <c r="F543" s="68">
        <f t="shared" si="66"/>
        <v>41.600239999999999</v>
      </c>
      <c r="G543" s="68">
        <f t="shared" si="66"/>
        <v>47.541320000000006</v>
      </c>
      <c r="H543" s="68">
        <f t="shared" si="66"/>
        <v>47.17454</v>
      </c>
      <c r="I543" s="64"/>
      <c r="J543" s="64"/>
      <c r="K543" s="65"/>
      <c r="L543" s="29"/>
      <c r="M543" s="68">
        <f t="shared" si="67"/>
        <v>491.01499999999999</v>
      </c>
      <c r="N543" s="68">
        <f t="shared" si="68"/>
        <v>41.5944</v>
      </c>
      <c r="O543" s="68">
        <f t="shared" si="68"/>
        <v>47.526879999999998</v>
      </c>
      <c r="P543" s="68">
        <f t="shared" si="68"/>
        <v>47.180900000000001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250.05899999999997</v>
      </c>
      <c r="F544" s="68">
        <f t="shared" si="66"/>
        <v>40.063459999999999</v>
      </c>
      <c r="G544" s="68">
        <f t="shared" si="66"/>
        <v>46.224620000000002</v>
      </c>
      <c r="H544" s="68">
        <f t="shared" si="66"/>
        <v>45.953940000000003</v>
      </c>
      <c r="I544" s="64"/>
      <c r="J544" s="64"/>
      <c r="K544" s="65"/>
      <c r="L544" s="29"/>
      <c r="M544" s="68">
        <f t="shared" si="67"/>
        <v>249.98399999999995</v>
      </c>
      <c r="N544" s="68">
        <f t="shared" si="68"/>
        <v>40.063079999999999</v>
      </c>
      <c r="O544" s="68">
        <f t="shared" si="68"/>
        <v>46.215620000000001</v>
      </c>
      <c r="P544" s="68">
        <f t="shared" si="68"/>
        <v>45.976419999999997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137.72900000000001</v>
      </c>
      <c r="F545" s="78">
        <f t="shared" si="66"/>
        <v>38.178840000000001</v>
      </c>
      <c r="G545" s="78">
        <f t="shared" si="66"/>
        <v>45.095220000000005</v>
      </c>
      <c r="H545" s="78">
        <f t="shared" si="66"/>
        <v>44.833719999999992</v>
      </c>
      <c r="I545" s="66"/>
      <c r="J545" s="66"/>
      <c r="K545" s="67"/>
      <c r="L545" s="29"/>
      <c r="M545" s="78">
        <f t="shared" si="67"/>
        <v>137.91199999999998</v>
      </c>
      <c r="N545" s="78">
        <f t="shared" si="68"/>
        <v>38.182020000000009</v>
      </c>
      <c r="O545" s="78">
        <f t="shared" si="68"/>
        <v>45.095839999999995</v>
      </c>
      <c r="P545" s="78">
        <f t="shared" si="68"/>
        <v>44.840060000000001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1492.5889999999999</v>
      </c>
      <c r="F546" s="75">
        <f t="shared" ref="F546:H549" si="69">AVERAGE(F211,F215,F219,F235,F239,F243,F247,F251,F255)</f>
        <v>42.799411111111105</v>
      </c>
      <c r="G546" s="75">
        <f t="shared" si="69"/>
        <v>48.439555555555557</v>
      </c>
      <c r="H546" s="75">
        <f t="shared" si="69"/>
        <v>48.141733333333335</v>
      </c>
      <c r="I546" s="76"/>
      <c r="J546" s="76"/>
      <c r="K546" s="77"/>
      <c r="L546" s="29"/>
      <c r="M546" s="75">
        <f t="shared" si="67"/>
        <v>1492.691</v>
      </c>
      <c r="N546" s="75">
        <f t="shared" ref="N546:P549" si="70">AVERAGE(N211,N215,N219,N235,N239,N243,N247,N251,N255)</f>
        <v>42.800244444444438</v>
      </c>
      <c r="O546" s="75">
        <f t="shared" si="70"/>
        <v>48.430011111111106</v>
      </c>
      <c r="P546" s="75">
        <f t="shared" si="70"/>
        <v>48.144088888888881</v>
      </c>
      <c r="Q546" s="76"/>
      <c r="R546" s="76"/>
      <c r="S546" s="77"/>
      <c r="U546" s="8">
        <f>bdrate($E546:$E549,F546:F549,$M546:$M549,N546:N549)</f>
        <v>5.2537107205674616E-4</v>
      </c>
      <c r="V546" s="9">
        <f>bdrate($E546:$E549,G546:G549,$M546:$M549,O546:O549)</f>
        <v>2.6412984476711365E-3</v>
      </c>
      <c r="W546" s="10">
        <f>bdrate($E546:$E549,H546:H549,$M546:$M549,P546:P549)</f>
        <v>-4.4181720966754989E-3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612.68600000000004</v>
      </c>
      <c r="F547" s="68">
        <f t="shared" si="69"/>
        <v>41.68418888888889</v>
      </c>
      <c r="G547" s="68">
        <f t="shared" si="69"/>
        <v>47.380511111111112</v>
      </c>
      <c r="H547" s="68">
        <f t="shared" si="69"/>
        <v>47.181377777777776</v>
      </c>
      <c r="I547" s="64"/>
      <c r="J547" s="64"/>
      <c r="K547" s="65"/>
      <c r="L547" s="29"/>
      <c r="M547" s="68">
        <f t="shared" si="67"/>
        <v>612.32600000000002</v>
      </c>
      <c r="N547" s="68">
        <f t="shared" si="70"/>
        <v>41.682277777777784</v>
      </c>
      <c r="O547" s="68">
        <f t="shared" si="70"/>
        <v>47.37144444444445</v>
      </c>
      <c r="P547" s="68">
        <f t="shared" si="70"/>
        <v>47.184099999999994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312.346</v>
      </c>
      <c r="F548" s="68">
        <f t="shared" si="69"/>
        <v>40.14908888888889</v>
      </c>
      <c r="G548" s="68">
        <f t="shared" si="69"/>
        <v>46.13303333333333</v>
      </c>
      <c r="H548" s="68">
        <f t="shared" si="69"/>
        <v>45.981977777777786</v>
      </c>
      <c r="I548" s="64"/>
      <c r="J548" s="64"/>
      <c r="K548" s="65"/>
      <c r="L548" s="29"/>
      <c r="M548" s="68">
        <f t="shared" si="67"/>
        <v>312.59300000000002</v>
      </c>
      <c r="N548" s="68">
        <f t="shared" si="70"/>
        <v>40.149311111111118</v>
      </c>
      <c r="O548" s="68">
        <f t="shared" si="70"/>
        <v>46.136633333333329</v>
      </c>
      <c r="P548" s="68">
        <f t="shared" si="70"/>
        <v>45.997711111111109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173.27099999999999</v>
      </c>
      <c r="F549" s="78">
        <f t="shared" si="69"/>
        <v>38.264155555555554</v>
      </c>
      <c r="G549" s="78">
        <f t="shared" si="69"/>
        <v>45.030988888888885</v>
      </c>
      <c r="H549" s="78">
        <f t="shared" si="69"/>
        <v>44.834899999999998</v>
      </c>
      <c r="I549" s="66"/>
      <c r="J549" s="66"/>
      <c r="K549" s="67"/>
      <c r="L549" s="29"/>
      <c r="M549" s="78">
        <f t="shared" si="67"/>
        <v>173.50299999999999</v>
      </c>
      <c r="N549" s="78">
        <f t="shared" si="70"/>
        <v>38.266966666666661</v>
      </c>
      <c r="O549" s="78">
        <f t="shared" si="70"/>
        <v>45.034688888888894</v>
      </c>
      <c r="P549" s="78">
        <f t="shared" si="70"/>
        <v>44.840666666666664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3141.8119999999999</v>
      </c>
      <c r="F550" s="75">
        <f t="shared" ref="F550:H553" si="71">AVERAGE(F263,F267)</f>
        <v>39.421499999999995</v>
      </c>
      <c r="G550" s="75">
        <f t="shared" si="71"/>
        <v>46.671800000000005</v>
      </c>
      <c r="H550" s="75">
        <f t="shared" si="71"/>
        <v>45.379800000000003</v>
      </c>
      <c r="I550" s="76"/>
      <c r="J550" s="76"/>
      <c r="K550" s="77"/>
      <c r="L550" s="29"/>
      <c r="M550" s="79">
        <f>M263+M267</f>
        <v>3141.8832000000002</v>
      </c>
      <c r="N550" s="75">
        <f t="shared" ref="N550:P553" si="72">AVERAGE(N263,N267)</f>
        <v>39.421999999999997</v>
      </c>
      <c r="O550" s="75">
        <f t="shared" si="72"/>
        <v>46.673699999999997</v>
      </c>
      <c r="P550" s="75">
        <f t="shared" si="72"/>
        <v>45.380800000000001</v>
      </c>
      <c r="Q550" s="76"/>
      <c r="R550" s="76"/>
      <c r="S550" s="77"/>
      <c r="U550" s="8">
        <f>bdrate($E550:$E553,F550:F553,$M550:$M553,N550:N553)</f>
        <v>-2.2979222103558516E-4</v>
      </c>
      <c r="V550" s="9">
        <f>bdrate($E550:$E553,G550:G553,$M550:$M553,O550:O553)</f>
        <v>9.6409339024083884E-4</v>
      </c>
      <c r="W550" s="10">
        <f>bdrate($E550:$E553,H550:H553,$M550:$M553,P550:P553)</f>
        <v>1.3810208455233841E-4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1151.5288</v>
      </c>
      <c r="F551" s="68">
        <f t="shared" si="71"/>
        <v>37.516300000000001</v>
      </c>
      <c r="G551" s="68">
        <f t="shared" si="71"/>
        <v>45.238500000000002</v>
      </c>
      <c r="H551" s="68">
        <f t="shared" si="71"/>
        <v>43.827449999999999</v>
      </c>
      <c r="I551" s="64"/>
      <c r="J551" s="64"/>
      <c r="K551" s="65"/>
      <c r="L551" s="29"/>
      <c r="M551" s="80">
        <f>M264+M268</f>
        <v>1151.672</v>
      </c>
      <c r="N551" s="68">
        <f t="shared" si="72"/>
        <v>37.517449999999997</v>
      </c>
      <c r="O551" s="68">
        <f t="shared" si="72"/>
        <v>45.233849999999997</v>
      </c>
      <c r="P551" s="68">
        <f t="shared" si="72"/>
        <v>43.825800000000001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537.18959999999993</v>
      </c>
      <c r="F552" s="68">
        <f t="shared" si="71"/>
        <v>35.560600000000001</v>
      </c>
      <c r="G552" s="68">
        <f t="shared" si="71"/>
        <v>43.616250000000001</v>
      </c>
      <c r="H552" s="68">
        <f t="shared" si="71"/>
        <v>42.321650000000005</v>
      </c>
      <c r="I552" s="64"/>
      <c r="J552" s="64"/>
      <c r="K552" s="65"/>
      <c r="L552" s="29"/>
      <c r="M552" s="80">
        <f>M265+M269</f>
        <v>536.99759999999992</v>
      </c>
      <c r="N552" s="68">
        <f t="shared" si="72"/>
        <v>35.560050000000004</v>
      </c>
      <c r="O552" s="68">
        <f t="shared" si="72"/>
        <v>43.6158</v>
      </c>
      <c r="P552" s="68">
        <f t="shared" si="72"/>
        <v>42.322400000000002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274.28320000000002</v>
      </c>
      <c r="F553" s="78">
        <f t="shared" si="71"/>
        <v>33.510300000000001</v>
      </c>
      <c r="G553" s="78">
        <f t="shared" si="71"/>
        <v>42.406950000000002</v>
      </c>
      <c r="H553" s="78">
        <f t="shared" si="71"/>
        <v>41.245750000000001</v>
      </c>
      <c r="I553" s="66"/>
      <c r="J553" s="66"/>
      <c r="K553" s="67"/>
      <c r="L553" s="29"/>
      <c r="M553" s="81">
        <f>M266+M270</f>
        <v>274.35199999999998</v>
      </c>
      <c r="N553" s="78">
        <f t="shared" si="72"/>
        <v>33.510899999999999</v>
      </c>
      <c r="O553" s="78">
        <f t="shared" si="72"/>
        <v>42.405850000000001</v>
      </c>
      <c r="P553" s="78">
        <f t="shared" si="72"/>
        <v>41.2455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3833.6607999999997</v>
      </c>
      <c r="F554" s="75">
        <f t="shared" ref="F554:H557" si="73">AVERAGE(F263,F267,F271)</f>
        <v>39.252466666666663</v>
      </c>
      <c r="G554" s="75">
        <f t="shared" si="73"/>
        <v>46.589300000000001</v>
      </c>
      <c r="H554" s="75">
        <f t="shared" si="73"/>
        <v>45.628466666666668</v>
      </c>
      <c r="I554" s="76"/>
      <c r="J554" s="76"/>
      <c r="K554" s="77"/>
      <c r="L554" s="29"/>
      <c r="M554" s="75">
        <f>M263+M267+M271</f>
        <v>3833.3008</v>
      </c>
      <c r="N554" s="75">
        <f t="shared" ref="N554:P557" si="74">AVERAGE(N263,N267,N271)</f>
        <v>39.252766666666666</v>
      </c>
      <c r="O554" s="75">
        <f t="shared" si="74"/>
        <v>46.589199999999998</v>
      </c>
      <c r="P554" s="75">
        <f t="shared" si="74"/>
        <v>45.629199999999997</v>
      </c>
      <c r="Q554" s="76"/>
      <c r="R554" s="76"/>
      <c r="S554" s="77"/>
      <c r="U554" s="8">
        <f>bdrate($E554:$E557,F554:F557,$M554:$M557,N554:N557)</f>
        <v>-3.659763915548897E-4</v>
      </c>
      <c r="V554" s="9">
        <f>bdrate($E554:$E557,G554:G557,$M554:$M557,O554:O557)</f>
        <v>4.5302248144207802E-4</v>
      </c>
      <c r="W554" s="10">
        <f>bdrate($E554:$E557,H554:H557,$M554:$M557,P554:P557)</f>
        <v>-3.2838142334357112E-4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1344.4544000000001</v>
      </c>
      <c r="F555" s="68">
        <f t="shared" si="73"/>
        <v>37.326300000000003</v>
      </c>
      <c r="G555" s="68">
        <f t="shared" si="73"/>
        <v>45.155966666666671</v>
      </c>
      <c r="H555" s="68">
        <f t="shared" si="73"/>
        <v>44.124766666666666</v>
      </c>
      <c r="I555" s="64"/>
      <c r="J555" s="64"/>
      <c r="K555" s="65"/>
      <c r="L555" s="29"/>
      <c r="M555" s="68">
        <f>M264+M268+M272</f>
        <v>1344.6704</v>
      </c>
      <c r="N555" s="68">
        <f t="shared" si="74"/>
        <v>37.327466666666659</v>
      </c>
      <c r="O555" s="68">
        <f t="shared" si="74"/>
        <v>45.153533333333336</v>
      </c>
      <c r="P555" s="68">
        <f t="shared" si="74"/>
        <v>44.124500000000005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611.03279999999995</v>
      </c>
      <c r="F556" s="68">
        <f t="shared" si="73"/>
        <v>35.364100000000001</v>
      </c>
      <c r="G556" s="68">
        <f t="shared" si="73"/>
        <v>43.571100000000001</v>
      </c>
      <c r="H556" s="68">
        <f t="shared" si="73"/>
        <v>42.589266666666667</v>
      </c>
      <c r="I556" s="64"/>
      <c r="J556" s="64"/>
      <c r="K556" s="65"/>
      <c r="L556" s="29"/>
      <c r="M556" s="68">
        <f>M265+M269+M273</f>
        <v>610.6167999999999</v>
      </c>
      <c r="N556" s="68">
        <f t="shared" si="74"/>
        <v>35.36376666666667</v>
      </c>
      <c r="O556" s="68">
        <f t="shared" si="74"/>
        <v>43.57116666666667</v>
      </c>
      <c r="P556" s="68">
        <f t="shared" si="74"/>
        <v>42.5899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305.65680000000003</v>
      </c>
      <c r="F557" s="78">
        <f t="shared" si="73"/>
        <v>33.322766666666666</v>
      </c>
      <c r="G557" s="78">
        <f t="shared" si="73"/>
        <v>42.374066666666671</v>
      </c>
      <c r="H557" s="78">
        <f t="shared" si="73"/>
        <v>41.471566666666668</v>
      </c>
      <c r="I557" s="66"/>
      <c r="J557" s="66"/>
      <c r="K557" s="67"/>
      <c r="L557" s="29"/>
      <c r="M557" s="78">
        <f>M266+M270+M274</f>
        <v>305.75279999999998</v>
      </c>
      <c r="N557" s="78">
        <f t="shared" si="74"/>
        <v>33.323233333333327</v>
      </c>
      <c r="O557" s="78">
        <f t="shared" si="74"/>
        <v>42.373566666666669</v>
      </c>
      <c r="P557" s="78">
        <f t="shared" si="74"/>
        <v>41.472299999999997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3404.5911999999998</v>
      </c>
      <c r="F558" s="75">
        <f t="shared" ref="F558:H561" si="75">AVERAGE(F287,F291,F295)</f>
        <v>40.442733333333337</v>
      </c>
      <c r="G558" s="75">
        <f t="shared" si="75"/>
        <v>47.1599</v>
      </c>
      <c r="H558" s="75">
        <f t="shared" si="75"/>
        <v>46.692866666666667</v>
      </c>
      <c r="I558" s="76"/>
      <c r="J558" s="76"/>
      <c r="K558" s="77"/>
      <c r="L558" s="29"/>
      <c r="M558" s="75">
        <f>M263+M267+M275+M279</f>
        <v>3404.3776000000003</v>
      </c>
      <c r="N558" s="75">
        <f t="shared" ref="N558:P561" si="76">AVERAGE(N287,N291,N295)</f>
        <v>40.442233333333334</v>
      </c>
      <c r="O558" s="75">
        <f t="shared" si="76"/>
        <v>47.172300000000007</v>
      </c>
      <c r="P558" s="75">
        <f t="shared" si="76"/>
        <v>46.711833333333338</v>
      </c>
      <c r="Q558" s="76"/>
      <c r="R558" s="76"/>
      <c r="S558" s="77"/>
      <c r="U558" s="8">
        <f>bdrate($E558:$E561,F558:F561,$M558:$M561,N558:N561)</f>
        <v>2.4554397936582539E-4</v>
      </c>
      <c r="V558" s="9">
        <f>bdrate($E558:$E561,G558:G561,$M558:$M561,O558:O561)</f>
        <v>7.2871360161086418E-3</v>
      </c>
      <c r="W558" s="10">
        <f>bdrate($E558:$E561,H558:H561,$M558:$M561,P558:P561)</f>
        <v>-3.4475677751300005E-4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1225.4576</v>
      </c>
      <c r="F559" s="68">
        <f t="shared" si="75"/>
        <v>38.248733333333334</v>
      </c>
      <c r="G559" s="68">
        <f t="shared" si="75"/>
        <v>45.640800000000006</v>
      </c>
      <c r="H559" s="68">
        <f t="shared" si="75"/>
        <v>45.020633333333336</v>
      </c>
      <c r="I559" s="64"/>
      <c r="J559" s="64"/>
      <c r="K559" s="65"/>
      <c r="L559" s="29"/>
      <c r="M559" s="68">
        <f>M264+M268+M276+M280</f>
        <v>1225.7872</v>
      </c>
      <c r="N559" s="68">
        <f t="shared" si="76"/>
        <v>38.247700000000002</v>
      </c>
      <c r="O559" s="68">
        <f t="shared" si="76"/>
        <v>45.613166666666665</v>
      </c>
      <c r="P559" s="68">
        <f t="shared" si="76"/>
        <v>45.005933333333331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567.76319999999998</v>
      </c>
      <c r="F560" s="68">
        <f t="shared" si="75"/>
        <v>36.1267</v>
      </c>
      <c r="G560" s="68">
        <f t="shared" si="75"/>
        <v>43.972900000000003</v>
      </c>
      <c r="H560" s="68">
        <f t="shared" si="75"/>
        <v>43.411833333333334</v>
      </c>
      <c r="I560" s="64"/>
      <c r="J560" s="64"/>
      <c r="K560" s="65"/>
      <c r="L560" s="29"/>
      <c r="M560" s="68">
        <f>M265+M269+M277+M281</f>
        <v>567.62</v>
      </c>
      <c r="N560" s="68">
        <f t="shared" si="76"/>
        <v>36.1267</v>
      </c>
      <c r="O560" s="68">
        <f t="shared" si="76"/>
        <v>43.959300000000006</v>
      </c>
      <c r="P560" s="68">
        <f t="shared" si="76"/>
        <v>43.424900000000001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290.30320000000006</v>
      </c>
      <c r="F561" s="78">
        <f t="shared" si="75"/>
        <v>33.948833333333333</v>
      </c>
      <c r="G561" s="78">
        <f t="shared" si="75"/>
        <v>42.695866666666667</v>
      </c>
      <c r="H561" s="78">
        <f t="shared" si="75"/>
        <v>42.324399999999997</v>
      </c>
      <c r="I561" s="66"/>
      <c r="J561" s="66"/>
      <c r="K561" s="67"/>
      <c r="L561" s="29"/>
      <c r="M561" s="78">
        <f>M266+M270+M278+M282</f>
        <v>290.3904</v>
      </c>
      <c r="N561" s="78">
        <f t="shared" si="76"/>
        <v>33.948366666666665</v>
      </c>
      <c r="O561" s="78">
        <f t="shared" si="76"/>
        <v>42.697466666666664</v>
      </c>
      <c r="P561" s="78">
        <f t="shared" si="76"/>
        <v>42.320166666666665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4216.9080000000004</v>
      </c>
      <c r="F562" s="75">
        <f t="shared" ref="F562:H565" si="77">AVERAGE(F287,F291,F295,F299,F303,F307)</f>
        <v>40.401566666666675</v>
      </c>
      <c r="G562" s="75">
        <f t="shared" si="77"/>
        <v>47.037500000000001</v>
      </c>
      <c r="H562" s="75">
        <f t="shared" si="77"/>
        <v>46.715833333333336</v>
      </c>
      <c r="I562" s="76"/>
      <c r="J562" s="76"/>
      <c r="K562" s="77"/>
      <c r="L562" s="29"/>
      <c r="M562" s="75">
        <f>M311</f>
        <v>4216.6495999999997</v>
      </c>
      <c r="N562" s="75">
        <f t="shared" ref="N562:P565" si="78">AVERAGE(N287,N291,N295,N299,N303,N307)</f>
        <v>40.400833333333338</v>
      </c>
      <c r="O562" s="75">
        <f t="shared" si="78"/>
        <v>47.036933333333337</v>
      </c>
      <c r="P562" s="75">
        <f t="shared" si="78"/>
        <v>46.7254</v>
      </c>
      <c r="Q562" s="76"/>
      <c r="R562" s="76"/>
      <c r="S562" s="77"/>
      <c r="U562" s="8">
        <f>bdrate($E562:$E565,F562:F565,$M562:$M565,N562:N565)</f>
        <v>1.8786785649327342E-4</v>
      </c>
      <c r="V562" s="9">
        <f>bdrate($E562:$E565,G562:G565,$M562:$M565,O562:O565)</f>
        <v>3.4486247415255189E-3</v>
      </c>
      <c r="W562" s="10">
        <f>bdrate($E562:$E565,H562:H565,$M562:$M565,P562:P565)</f>
        <v>-2.0402967102972625E-3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1451.492</v>
      </c>
      <c r="F563" s="68">
        <f t="shared" si="77"/>
        <v>38.1845</v>
      </c>
      <c r="G563" s="68">
        <f t="shared" si="77"/>
        <v>45.540916666666668</v>
      </c>
      <c r="H563" s="68">
        <f t="shared" si="77"/>
        <v>45.084600000000002</v>
      </c>
      <c r="I563" s="64"/>
      <c r="J563" s="64"/>
      <c r="K563" s="65"/>
      <c r="L563" s="29"/>
      <c r="M563" s="68">
        <f>M312</f>
        <v>1451.9936</v>
      </c>
      <c r="N563" s="68">
        <f t="shared" si="78"/>
        <v>38.1843</v>
      </c>
      <c r="O563" s="68">
        <f t="shared" si="78"/>
        <v>45.529266666666665</v>
      </c>
      <c r="P563" s="68">
        <f t="shared" si="78"/>
        <v>45.080899999999993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656.71280000000002</v>
      </c>
      <c r="F564" s="68">
        <f t="shared" si="77"/>
        <v>36.050883333333331</v>
      </c>
      <c r="G564" s="68">
        <f t="shared" si="77"/>
        <v>43.847933333333337</v>
      </c>
      <c r="H564" s="68">
        <f t="shared" si="77"/>
        <v>43.399300000000004</v>
      </c>
      <c r="I564" s="64"/>
      <c r="J564" s="64"/>
      <c r="K564" s="65"/>
      <c r="L564" s="29"/>
      <c r="M564" s="68">
        <f>M313</f>
        <v>656.33759999999995</v>
      </c>
      <c r="N564" s="68">
        <f t="shared" si="78"/>
        <v>36.049849999999999</v>
      </c>
      <c r="O564" s="68">
        <f t="shared" si="78"/>
        <v>43.843500000000006</v>
      </c>
      <c r="P564" s="68">
        <f t="shared" si="78"/>
        <v>43.411116666666665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331.41359999999997</v>
      </c>
      <c r="F565" s="78">
        <f t="shared" si="77"/>
        <v>33.869349999999997</v>
      </c>
      <c r="G565" s="78">
        <f t="shared" si="77"/>
        <v>42.577416666666672</v>
      </c>
      <c r="H565" s="78">
        <f t="shared" si="77"/>
        <v>42.209316666666659</v>
      </c>
      <c r="I565" s="66"/>
      <c r="J565" s="66"/>
      <c r="K565" s="67"/>
      <c r="L565" s="29"/>
      <c r="M565" s="78">
        <f>M314</f>
        <v>331.5496</v>
      </c>
      <c r="N565" s="78">
        <f t="shared" si="78"/>
        <v>33.868983333333333</v>
      </c>
      <c r="O565" s="78">
        <f t="shared" si="78"/>
        <v>42.57833333333334</v>
      </c>
      <c r="P565" s="78">
        <f t="shared" si="78"/>
        <v>42.206766666666667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3404.5911999999998</v>
      </c>
      <c r="F566" s="75">
        <f t="shared" ref="F566:H569" si="80">AVERAGE(F263,F267,F287,F291,F295)</f>
        <v>40.034239999999997</v>
      </c>
      <c r="G566" s="75">
        <f t="shared" si="80"/>
        <v>46.964660000000002</v>
      </c>
      <c r="H566" s="75">
        <f t="shared" si="80"/>
        <v>46.167640000000006</v>
      </c>
      <c r="I566" s="76"/>
      <c r="J566" s="76"/>
      <c r="K566" s="77"/>
      <c r="L566" s="29"/>
      <c r="M566" s="75">
        <f t="shared" ref="M566:M573" si="81">M558</f>
        <v>3404.3776000000003</v>
      </c>
      <c r="N566" s="75">
        <f t="shared" ref="N566:P569" si="82">AVERAGE(N263,N267,N287,N291,N295)</f>
        <v>40.034140000000001</v>
      </c>
      <c r="O566" s="75">
        <f t="shared" si="82"/>
        <v>46.972860000000004</v>
      </c>
      <c r="P566" s="75">
        <f t="shared" si="82"/>
        <v>46.179420000000007</v>
      </c>
      <c r="Q566" s="76"/>
      <c r="R566" s="76"/>
      <c r="S566" s="77"/>
      <c r="U566" s="8">
        <f>bdrate($E566:$E569,F566:F569,$M566:$M569,N566:N569)</f>
        <v>9.7309093801012381E-5</v>
      </c>
      <c r="V566" s="9">
        <f>bdrate($E566:$E569,G566:G569,$M566:$M569,O566:O569)</f>
        <v>4.8498131930567734E-3</v>
      </c>
      <c r="W566" s="10">
        <f>bdrate($E566:$E569,H566:H569,$M566:$M569,P566:P569)</f>
        <v>-1.3794988743975889E-4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1225.4576</v>
      </c>
      <c r="F567" s="68">
        <f t="shared" si="80"/>
        <v>37.955759999999998</v>
      </c>
      <c r="G567" s="68">
        <f t="shared" si="80"/>
        <v>45.479879999999994</v>
      </c>
      <c r="H567" s="68">
        <f t="shared" si="80"/>
        <v>44.54336</v>
      </c>
      <c r="I567" s="64"/>
      <c r="J567" s="64"/>
      <c r="K567" s="65"/>
      <c r="L567" s="29"/>
      <c r="M567" s="68">
        <f t="shared" si="81"/>
        <v>1225.7872</v>
      </c>
      <c r="N567" s="68">
        <f t="shared" si="82"/>
        <v>37.955599999999997</v>
      </c>
      <c r="O567" s="68">
        <f t="shared" si="82"/>
        <v>45.461439999999996</v>
      </c>
      <c r="P567" s="68">
        <f t="shared" si="82"/>
        <v>44.533879999999996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567.76319999999998</v>
      </c>
      <c r="F568" s="68">
        <f t="shared" si="80"/>
        <v>35.900259999999996</v>
      </c>
      <c r="G568" s="68">
        <f t="shared" si="80"/>
        <v>43.830239999999996</v>
      </c>
      <c r="H568" s="68">
        <f t="shared" si="80"/>
        <v>42.975760000000001</v>
      </c>
      <c r="I568" s="64"/>
      <c r="J568" s="64"/>
      <c r="K568" s="65"/>
      <c r="L568" s="29"/>
      <c r="M568" s="68">
        <f t="shared" si="81"/>
        <v>567.62</v>
      </c>
      <c r="N568" s="68">
        <f t="shared" si="82"/>
        <v>35.900040000000004</v>
      </c>
      <c r="O568" s="68">
        <f t="shared" si="82"/>
        <v>43.821900000000007</v>
      </c>
      <c r="P568" s="68">
        <f t="shared" si="82"/>
        <v>42.983899999999998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290.30320000000006</v>
      </c>
      <c r="F569" s="78">
        <f t="shared" si="80"/>
        <v>33.773420000000002</v>
      </c>
      <c r="G569" s="78">
        <f t="shared" si="80"/>
        <v>42.580300000000001</v>
      </c>
      <c r="H569" s="78">
        <f t="shared" si="80"/>
        <v>41.892939999999996</v>
      </c>
      <c r="I569" s="66"/>
      <c r="J569" s="66"/>
      <c r="K569" s="67"/>
      <c r="L569" s="29"/>
      <c r="M569" s="78">
        <f t="shared" si="81"/>
        <v>290.3904</v>
      </c>
      <c r="N569" s="78">
        <f t="shared" si="82"/>
        <v>33.773379999999996</v>
      </c>
      <c r="O569" s="78">
        <f t="shared" si="82"/>
        <v>42.580820000000003</v>
      </c>
      <c r="P569" s="78">
        <f t="shared" si="82"/>
        <v>41.890300000000003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4216.9080000000004</v>
      </c>
      <c r="F570" s="75">
        <f t="shared" ref="F570:H573" si="83">AVERAGE(F263,F267,F271,F287,F291,F295,F299,F303,F307)</f>
        <v>40.01853333333333</v>
      </c>
      <c r="G570" s="75">
        <f t="shared" si="83"/>
        <v>46.888100000000009</v>
      </c>
      <c r="H570" s="75">
        <f t="shared" si="83"/>
        <v>46.35337777777778</v>
      </c>
      <c r="I570" s="76"/>
      <c r="J570" s="76"/>
      <c r="K570" s="77"/>
      <c r="L570" s="29"/>
      <c r="M570" s="75">
        <f t="shared" si="81"/>
        <v>4216.6495999999997</v>
      </c>
      <c r="N570" s="75">
        <f t="shared" ref="N570:P573" si="84">AVERAGE(N263,N267,N271,N287,N291,N295,N299,N303,N307)</f>
        <v>40.018144444444445</v>
      </c>
      <c r="O570" s="75">
        <f t="shared" si="84"/>
        <v>46.887688888888889</v>
      </c>
      <c r="P570" s="75">
        <f t="shared" si="84"/>
        <v>46.36</v>
      </c>
      <c r="Q570" s="76"/>
      <c r="R570" s="76"/>
      <c r="S570" s="77"/>
      <c r="U570" s="8">
        <f>bdrate($E570:$E573,F570:F573,$M570:$M573,N570:N573)</f>
        <v>5.3146721880503733E-5</v>
      </c>
      <c r="V570" s="9">
        <f>bdrate($E570:$E573,G570:G573,$M570:$M573,O570:O573)</f>
        <v>2.5307331263104693E-3</v>
      </c>
      <c r="W570" s="10">
        <f>bdrate($E570:$E573,H570:H573,$M570:$M573,P570:P573)</f>
        <v>-1.460637607369919E-3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1451.492</v>
      </c>
      <c r="F571" s="68">
        <f t="shared" si="83"/>
        <v>37.898433333333337</v>
      </c>
      <c r="G571" s="68">
        <f t="shared" si="83"/>
        <v>45.412600000000005</v>
      </c>
      <c r="H571" s="68">
        <f t="shared" si="83"/>
        <v>44.764655555555549</v>
      </c>
      <c r="I571" s="64"/>
      <c r="J571" s="64"/>
      <c r="K571" s="65"/>
      <c r="L571" s="29"/>
      <c r="M571" s="68">
        <f t="shared" si="81"/>
        <v>1451.9936</v>
      </c>
      <c r="N571" s="68">
        <f t="shared" si="84"/>
        <v>37.898688888888884</v>
      </c>
      <c r="O571" s="68">
        <f t="shared" si="84"/>
        <v>45.404022222222217</v>
      </c>
      <c r="P571" s="68">
        <f t="shared" si="84"/>
        <v>44.762100000000004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656.71280000000002</v>
      </c>
      <c r="F572" s="68">
        <f t="shared" si="83"/>
        <v>35.821955555555554</v>
      </c>
      <c r="G572" s="68">
        <f t="shared" si="83"/>
        <v>43.755655555555549</v>
      </c>
      <c r="H572" s="68">
        <f t="shared" si="83"/>
        <v>43.12928888888888</v>
      </c>
      <c r="I572" s="64"/>
      <c r="J572" s="64"/>
      <c r="K572" s="65"/>
      <c r="L572" s="29"/>
      <c r="M572" s="68">
        <f t="shared" si="81"/>
        <v>656.33759999999995</v>
      </c>
      <c r="N572" s="68">
        <f t="shared" si="84"/>
        <v>35.821155555555563</v>
      </c>
      <c r="O572" s="68">
        <f t="shared" si="84"/>
        <v>43.752722222222225</v>
      </c>
      <c r="P572" s="68">
        <f t="shared" si="84"/>
        <v>43.137377777777779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331.41359999999997</v>
      </c>
      <c r="F573" s="78">
        <f t="shared" si="83"/>
        <v>33.687155555555556</v>
      </c>
      <c r="G573" s="78">
        <f t="shared" si="83"/>
        <v>42.50963333333334</v>
      </c>
      <c r="H573" s="78">
        <f t="shared" si="83"/>
        <v>41.963400000000007</v>
      </c>
      <c r="I573" s="66"/>
      <c r="J573" s="66"/>
      <c r="K573" s="67"/>
      <c r="L573" s="29"/>
      <c r="M573" s="78">
        <f t="shared" si="81"/>
        <v>331.5496</v>
      </c>
      <c r="N573" s="78">
        <f t="shared" si="84"/>
        <v>33.687066666666666</v>
      </c>
      <c r="O573" s="78">
        <f t="shared" si="84"/>
        <v>42.510077777777774</v>
      </c>
      <c r="P573" s="78">
        <f t="shared" si="84"/>
        <v>41.961944444444441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5536.88</v>
      </c>
      <c r="F574" s="75">
        <f t="shared" ref="F574:H577" si="85">AVERAGE(F315,F319)</f>
        <v>38.390699999999995</v>
      </c>
      <c r="G574" s="75">
        <f t="shared" si="85"/>
        <v>46.613500000000002</v>
      </c>
      <c r="H574" s="75">
        <f t="shared" si="85"/>
        <v>45.966250000000002</v>
      </c>
      <c r="I574" s="76"/>
      <c r="J574" s="76"/>
      <c r="K574" s="77"/>
      <c r="L574" s="29"/>
      <c r="M574" s="79">
        <f>M315+M319</f>
        <v>5535.9840000000004</v>
      </c>
      <c r="N574" s="75">
        <f t="shared" ref="N574:P577" si="86">AVERAGE(N315,N319)</f>
        <v>38.390699999999995</v>
      </c>
      <c r="O574" s="75">
        <f t="shared" si="86"/>
        <v>46.613500000000002</v>
      </c>
      <c r="P574" s="75">
        <f t="shared" si="86"/>
        <v>45.9666</v>
      </c>
      <c r="Q574" s="76"/>
      <c r="R574" s="76"/>
      <c r="S574" s="77"/>
      <c r="U574" s="8">
        <f>bdrate($E574:$E577,F574:F577,$M574:$M577,N574:N577)</f>
        <v>-2.2540702724693773E-4</v>
      </c>
      <c r="V574" s="9">
        <f>bdrate($E574:$E577,G574:G577,$M574:$M577,O574:O577)</f>
        <v>-3.2202827225158437E-5</v>
      </c>
      <c r="W574" s="10">
        <f>bdrate($E574:$E577,H574:H577,$M574:$M577,P574:P577)</f>
        <v>-8.3347440806080808E-4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2325.3224</v>
      </c>
      <c r="F575" s="68">
        <f t="shared" si="85"/>
        <v>35.63185</v>
      </c>
      <c r="G575" s="68">
        <f t="shared" si="85"/>
        <v>45.13935</v>
      </c>
      <c r="H575" s="68">
        <f t="shared" si="85"/>
        <v>44.580799999999996</v>
      </c>
      <c r="I575" s="64"/>
      <c r="J575" s="64"/>
      <c r="K575" s="65"/>
      <c r="L575" s="29"/>
      <c r="M575" s="80">
        <f>M316+M320</f>
        <v>2325.4576000000002</v>
      </c>
      <c r="N575" s="68">
        <f t="shared" si="86"/>
        <v>35.632199999999997</v>
      </c>
      <c r="O575" s="68">
        <f t="shared" si="86"/>
        <v>45.138400000000004</v>
      </c>
      <c r="P575" s="68">
        <f t="shared" si="86"/>
        <v>44.581249999999997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1052.8912</v>
      </c>
      <c r="F576" s="68">
        <f t="shared" si="85"/>
        <v>33.165500000000002</v>
      </c>
      <c r="G576" s="68">
        <f t="shared" si="85"/>
        <v>43.814800000000005</v>
      </c>
      <c r="H576" s="68">
        <f t="shared" si="85"/>
        <v>43.374600000000001</v>
      </c>
      <c r="I576" s="64"/>
      <c r="J576" s="64"/>
      <c r="K576" s="65"/>
      <c r="L576" s="29"/>
      <c r="M576" s="80">
        <f>M317+M321</f>
        <v>1052.5912000000001</v>
      </c>
      <c r="N576" s="68">
        <f t="shared" si="86"/>
        <v>33.165700000000001</v>
      </c>
      <c r="O576" s="68">
        <f t="shared" si="86"/>
        <v>43.816299999999998</v>
      </c>
      <c r="P576" s="68">
        <f t="shared" si="86"/>
        <v>43.377049999999997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488.04079999999999</v>
      </c>
      <c r="F577" s="78">
        <f t="shared" si="85"/>
        <v>30.9071</v>
      </c>
      <c r="G577" s="78">
        <f t="shared" si="85"/>
        <v>43.018100000000004</v>
      </c>
      <c r="H577" s="78">
        <f t="shared" si="85"/>
        <v>42.625349999999997</v>
      </c>
      <c r="I577" s="66"/>
      <c r="J577" s="66"/>
      <c r="K577" s="67"/>
      <c r="L577" s="29"/>
      <c r="M577" s="81">
        <f>M318+M322</f>
        <v>487.99520000000001</v>
      </c>
      <c r="N577" s="78">
        <f t="shared" si="86"/>
        <v>30.9084</v>
      </c>
      <c r="O577" s="78">
        <f t="shared" si="86"/>
        <v>43.016450000000006</v>
      </c>
      <c r="P577" s="78">
        <f t="shared" si="86"/>
        <v>42.625150000000005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6400.6248000000005</v>
      </c>
      <c r="F578" s="75">
        <f t="shared" ref="F578:H581" si="87">AVERAGE(F315,F319,F323)</f>
        <v>38.308399999999999</v>
      </c>
      <c r="G578" s="75">
        <f t="shared" si="87"/>
        <v>46.58056666666667</v>
      </c>
      <c r="H578" s="75">
        <f t="shared" si="87"/>
        <v>45.903699999999994</v>
      </c>
      <c r="I578" s="76"/>
      <c r="J578" s="76"/>
      <c r="K578" s="77"/>
      <c r="L578" s="29"/>
      <c r="M578" s="75">
        <f>M315+M319+M323</f>
        <v>6400.3216000000002</v>
      </c>
      <c r="N578" s="75">
        <f t="shared" ref="N578:P581" si="88">AVERAGE(N315,N319,N323)</f>
        <v>38.308500000000002</v>
      </c>
      <c r="O578" s="75">
        <f t="shared" si="88"/>
        <v>46.580933333333327</v>
      </c>
      <c r="P578" s="75">
        <f t="shared" si="88"/>
        <v>45.903966666666669</v>
      </c>
      <c r="Q578" s="76"/>
      <c r="R578" s="76"/>
      <c r="S578" s="77"/>
      <c r="U578" s="8">
        <f>bdrate($E578:$E581,F578:F581,$M578:$M581,N578:N581)</f>
        <v>-2.6243396566538735E-4</v>
      </c>
      <c r="V578" s="9">
        <f>bdrate($E578:$E581,G578:G581,$M578:$M581,O578:O581)</f>
        <v>2.7187551066010229E-6</v>
      </c>
      <c r="W578" s="10">
        <f>bdrate($E578:$E581,H578:H581,$M578:$M581,P578:P581)</f>
        <v>-4.4447184199192247E-4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2628.1504</v>
      </c>
      <c r="F579" s="68">
        <f t="shared" si="87"/>
        <v>35.599333333333334</v>
      </c>
      <c r="G579" s="68">
        <f t="shared" si="87"/>
        <v>45.109566666666666</v>
      </c>
      <c r="H579" s="68">
        <f t="shared" si="87"/>
        <v>44.530666666666662</v>
      </c>
      <c r="I579" s="64"/>
      <c r="J579" s="64"/>
      <c r="K579" s="65"/>
      <c r="L579" s="29"/>
      <c r="M579" s="68">
        <f>M316+M320+M324</f>
        <v>2628.2832000000003</v>
      </c>
      <c r="N579" s="68">
        <f t="shared" si="88"/>
        <v>35.599533333333333</v>
      </c>
      <c r="O579" s="68">
        <f t="shared" si="88"/>
        <v>45.108666666666672</v>
      </c>
      <c r="P579" s="68">
        <f t="shared" si="88"/>
        <v>44.530666666666662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1182.9608000000001</v>
      </c>
      <c r="F580" s="68">
        <f t="shared" si="87"/>
        <v>33.158566666666665</v>
      </c>
      <c r="G580" s="68">
        <f t="shared" si="87"/>
        <v>43.796400000000006</v>
      </c>
      <c r="H580" s="68">
        <f t="shared" si="87"/>
        <v>43.337533333333333</v>
      </c>
      <c r="I580" s="64"/>
      <c r="J580" s="64"/>
      <c r="K580" s="65"/>
      <c r="L580" s="29"/>
      <c r="M580" s="68">
        <f>M317+M321+M325</f>
        <v>1182.424</v>
      </c>
      <c r="N580" s="68">
        <f t="shared" si="88"/>
        <v>33.158800000000006</v>
      </c>
      <c r="O580" s="68">
        <f t="shared" si="88"/>
        <v>43.797199999999997</v>
      </c>
      <c r="P580" s="68">
        <f t="shared" si="88"/>
        <v>43.338999999999999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548.26639999999998</v>
      </c>
      <c r="F581" s="78">
        <f t="shared" si="87"/>
        <v>30.907633333333333</v>
      </c>
      <c r="G581" s="78">
        <f t="shared" si="87"/>
        <v>42.997266666666668</v>
      </c>
      <c r="H581" s="78">
        <f t="shared" si="87"/>
        <v>42.589566666666663</v>
      </c>
      <c r="I581" s="66"/>
      <c r="J581" s="66"/>
      <c r="K581" s="67"/>
      <c r="L581" s="29"/>
      <c r="M581" s="78">
        <f>M318+M322+M326</f>
        <v>548.12959999999998</v>
      </c>
      <c r="N581" s="78">
        <f t="shared" si="88"/>
        <v>30.9085</v>
      </c>
      <c r="O581" s="78">
        <f t="shared" si="88"/>
        <v>42.996000000000002</v>
      </c>
      <c r="P581" s="78">
        <f t="shared" si="88"/>
        <v>42.588700000000003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5837.2920000000004</v>
      </c>
      <c r="F582" s="75">
        <f t="shared" ref="F582:H585" si="89">AVERAGE(F339,F343,F347)</f>
        <v>38.819700000000005</v>
      </c>
      <c r="G582" s="75">
        <f t="shared" si="89"/>
        <v>46.981666666666662</v>
      </c>
      <c r="H582" s="75">
        <f t="shared" si="89"/>
        <v>46.1798</v>
      </c>
      <c r="I582" s="76"/>
      <c r="J582" s="76"/>
      <c r="K582" s="77"/>
      <c r="L582" s="29"/>
      <c r="M582" s="75">
        <f>M315+M319+M327+M331</f>
        <v>5836.6032000000005</v>
      </c>
      <c r="N582" s="75">
        <f t="shared" ref="N582:P585" si="90">AVERAGE(N339,N343,N347)</f>
        <v>38.820599999999999</v>
      </c>
      <c r="O582" s="75">
        <f t="shared" si="90"/>
        <v>46.980166666666662</v>
      </c>
      <c r="P582" s="75">
        <f t="shared" si="90"/>
        <v>46.155700000000003</v>
      </c>
      <c r="Q582" s="76"/>
      <c r="R582" s="76"/>
      <c r="S582" s="77"/>
      <c r="U582" s="8">
        <f>bdrate($E582:$E585,F582:F585,$M582:$M585,N582:N585)</f>
        <v>1.8870414818228376E-4</v>
      </c>
      <c r="V582" s="9">
        <f>bdrate($E582:$E585,G582:G585,$M582:$M585,O582:O585)</f>
        <v>2.8249341977428788E-3</v>
      </c>
      <c r="W582" s="10">
        <f>bdrate($E582:$E585,H582:H585,$M582:$M585,P582:P585)</f>
        <v>-2.2737341484186935E-3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2455.5504000000001</v>
      </c>
      <c r="F583" s="68">
        <f t="shared" si="89"/>
        <v>35.901466666666664</v>
      </c>
      <c r="G583" s="68">
        <f t="shared" si="89"/>
        <v>45.53756666666667</v>
      </c>
      <c r="H583" s="68">
        <f t="shared" si="89"/>
        <v>44.866633333333333</v>
      </c>
      <c r="I583" s="64"/>
      <c r="J583" s="64"/>
      <c r="K583" s="65"/>
      <c r="L583" s="29"/>
      <c r="M583" s="68">
        <f>M316+M320+M328+M332</f>
        <v>2455.8512000000001</v>
      </c>
      <c r="N583" s="68">
        <f t="shared" si="90"/>
        <v>35.899866666666668</v>
      </c>
      <c r="O583" s="68">
        <f t="shared" si="90"/>
        <v>45.534199999999998</v>
      </c>
      <c r="P583" s="68">
        <f t="shared" si="90"/>
        <v>44.879633333333338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1117.2239999999999</v>
      </c>
      <c r="F584" s="68">
        <f t="shared" si="89"/>
        <v>33.324000000000005</v>
      </c>
      <c r="G584" s="68">
        <f t="shared" si="89"/>
        <v>44.180666666666667</v>
      </c>
      <c r="H584" s="68">
        <f t="shared" si="89"/>
        <v>43.718066666666665</v>
      </c>
      <c r="I584" s="64"/>
      <c r="J584" s="64"/>
      <c r="K584" s="65"/>
      <c r="L584" s="29"/>
      <c r="M584" s="68">
        <f>M317+M321+M329+M333</f>
        <v>1116.8784000000001</v>
      </c>
      <c r="N584" s="68">
        <f t="shared" si="90"/>
        <v>33.32233333333334</v>
      </c>
      <c r="O584" s="68">
        <f t="shared" si="90"/>
        <v>44.170066666666663</v>
      </c>
      <c r="P584" s="68">
        <f t="shared" si="90"/>
        <v>43.719900000000003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519.19200000000001</v>
      </c>
      <c r="F585" s="78">
        <f t="shared" si="89"/>
        <v>30.973966666666669</v>
      </c>
      <c r="G585" s="78">
        <f t="shared" si="89"/>
        <v>43.397500000000001</v>
      </c>
      <c r="H585" s="78">
        <f t="shared" si="89"/>
        <v>42.961733333333335</v>
      </c>
      <c r="I585" s="66"/>
      <c r="J585" s="66"/>
      <c r="K585" s="67"/>
      <c r="L585" s="29"/>
      <c r="M585" s="78">
        <f>M318+M322+M330+M334</f>
        <v>519.17200000000003</v>
      </c>
      <c r="N585" s="78">
        <f t="shared" si="90"/>
        <v>30.97593333333333</v>
      </c>
      <c r="O585" s="78">
        <f t="shared" si="90"/>
        <v>43.404566666666661</v>
      </c>
      <c r="P585" s="78">
        <f t="shared" si="90"/>
        <v>42.963766666666665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6799.0544</v>
      </c>
      <c r="F586" s="75">
        <f t="shared" ref="F586:H589" si="91">AVERAGE(F339,F343,F347,F351,F355,F359)</f>
        <v>38.837066666666665</v>
      </c>
      <c r="G586" s="75">
        <f t="shared" si="91"/>
        <v>46.791899999999998</v>
      </c>
      <c r="H586" s="75">
        <f t="shared" si="91"/>
        <v>46.349516666666659</v>
      </c>
      <c r="I586" s="76"/>
      <c r="J586" s="76"/>
      <c r="K586" s="77"/>
      <c r="L586" s="29"/>
      <c r="M586" s="75">
        <f>M363</f>
        <v>6799.5712000000003</v>
      </c>
      <c r="N586" s="75">
        <f t="shared" ref="N586:P589" si="92">AVERAGE(N339,N343,N347,N351,N355,N359)</f>
        <v>38.836016666666666</v>
      </c>
      <c r="O586" s="75">
        <f t="shared" si="92"/>
        <v>46.790716666666668</v>
      </c>
      <c r="P586" s="75">
        <f t="shared" si="92"/>
        <v>46.335916666666662</v>
      </c>
      <c r="Q586" s="76"/>
      <c r="R586" s="76"/>
      <c r="S586" s="77"/>
      <c r="U586" s="8">
        <f>bdrate($E586:$E589,F586:F589,$M586:$M589,N586:N589)</f>
        <v>1.2397767667748916E-4</v>
      </c>
      <c r="V586" s="9">
        <f>bdrate($E586:$E589,G586:G589,$M586:$M589,O586:O589)</f>
        <v>-1.1598966186299187E-4</v>
      </c>
      <c r="W586" s="10">
        <f>bdrate($E586:$E589,H586:H589,$M586:$M589,P586:P589)</f>
        <v>9.6298290383045604E-4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2801.6143999999999</v>
      </c>
      <c r="F587" s="68">
        <f t="shared" si="91"/>
        <v>35.929533333333332</v>
      </c>
      <c r="G587" s="68">
        <f t="shared" si="91"/>
        <v>45.351233333333333</v>
      </c>
      <c r="H587" s="68">
        <f t="shared" si="91"/>
        <v>44.948050000000002</v>
      </c>
      <c r="I587" s="64"/>
      <c r="J587" s="64"/>
      <c r="K587" s="65"/>
      <c r="L587" s="29"/>
      <c r="M587" s="68">
        <f>M364</f>
        <v>2802.04</v>
      </c>
      <c r="N587" s="68">
        <f t="shared" si="92"/>
        <v>35.929133333333333</v>
      </c>
      <c r="O587" s="68">
        <f t="shared" si="92"/>
        <v>45.361433333333331</v>
      </c>
      <c r="P587" s="68">
        <f t="shared" si="92"/>
        <v>44.95655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1271.7152000000001</v>
      </c>
      <c r="F588" s="68">
        <f t="shared" si="91"/>
        <v>33.354700000000008</v>
      </c>
      <c r="G588" s="68">
        <f t="shared" si="91"/>
        <v>44.033700000000003</v>
      </c>
      <c r="H588" s="68">
        <f t="shared" si="91"/>
        <v>43.657166666666662</v>
      </c>
      <c r="I588" s="64"/>
      <c r="J588" s="64"/>
      <c r="K588" s="65"/>
      <c r="L588" s="29"/>
      <c r="M588" s="68">
        <f>M365</f>
        <v>1271.1128000000001</v>
      </c>
      <c r="N588" s="68">
        <f t="shared" si="92"/>
        <v>33.353116666666672</v>
      </c>
      <c r="O588" s="68">
        <f t="shared" si="92"/>
        <v>44.021916666666669</v>
      </c>
      <c r="P588" s="68">
        <f t="shared" si="92"/>
        <v>43.647666666666673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594.42240000000004</v>
      </c>
      <c r="F589" s="78">
        <f t="shared" si="91"/>
        <v>30.998166666666673</v>
      </c>
      <c r="G589" s="78">
        <f t="shared" si="91"/>
        <v>43.238033333333334</v>
      </c>
      <c r="H589" s="78">
        <f t="shared" si="91"/>
        <v>42.79708333333334</v>
      </c>
      <c r="I589" s="66"/>
      <c r="J589" s="66"/>
      <c r="K589" s="67"/>
      <c r="L589" s="29"/>
      <c r="M589" s="78">
        <f>M366</f>
        <v>594.39440000000002</v>
      </c>
      <c r="N589" s="78">
        <f t="shared" si="92"/>
        <v>30.999433333333329</v>
      </c>
      <c r="O589" s="78">
        <f t="shared" si="92"/>
        <v>43.238850000000006</v>
      </c>
      <c r="P589" s="78">
        <f t="shared" si="92"/>
        <v>42.798566666666666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5837.2920000000004</v>
      </c>
      <c r="F590" s="75">
        <f t="shared" ref="F590:H593" si="94">AVERAGE(F315,F319,F339,F343,F347)</f>
        <v>38.648099999999999</v>
      </c>
      <c r="G590" s="75">
        <f t="shared" si="94"/>
        <v>46.834400000000002</v>
      </c>
      <c r="H590" s="75">
        <f t="shared" si="94"/>
        <v>46.094380000000001</v>
      </c>
      <c r="I590" s="76"/>
      <c r="J590" s="76"/>
      <c r="K590" s="77"/>
      <c r="L590" s="29"/>
      <c r="M590" s="75">
        <f t="shared" ref="M590:M597" si="95">M582</f>
        <v>5836.6032000000005</v>
      </c>
      <c r="N590" s="75">
        <f t="shared" ref="N590:P593" si="96">AVERAGE(N315,N319,N339,N343,N347)</f>
        <v>38.64864</v>
      </c>
      <c r="O590" s="75">
        <f t="shared" si="96"/>
        <v>46.833500000000001</v>
      </c>
      <c r="P590" s="75">
        <f t="shared" si="96"/>
        <v>46.080059999999989</v>
      </c>
      <c r="Q590" s="76"/>
      <c r="R590" s="76"/>
      <c r="S590" s="77"/>
      <c r="U590" s="8">
        <f>bdrate($E590:$E593,F590:F593,$M590:$M593,N590:N593)</f>
        <v>3.9425372144075155E-5</v>
      </c>
      <c r="V590" s="9">
        <f>bdrate($E590:$E593,G590:G593,$M590:$M593,O590:O593)</f>
        <v>1.6838355333570476E-3</v>
      </c>
      <c r="W590" s="10">
        <f>bdrate($E590:$E593,H590:H593,$M590:$M593,P590:P593)</f>
        <v>-1.664653048792708E-3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2455.5504000000001</v>
      </c>
      <c r="F591" s="68">
        <f t="shared" si="94"/>
        <v>35.793619999999997</v>
      </c>
      <c r="G591" s="68">
        <f t="shared" si="94"/>
        <v>45.378280000000004</v>
      </c>
      <c r="H591" s="68">
        <f t="shared" si="94"/>
        <v>44.752299999999998</v>
      </c>
      <c r="I591" s="64"/>
      <c r="J591" s="64"/>
      <c r="K591" s="65"/>
      <c r="L591" s="29"/>
      <c r="M591" s="68">
        <f t="shared" si="95"/>
        <v>2455.8512000000001</v>
      </c>
      <c r="N591" s="68">
        <f t="shared" si="96"/>
        <v>35.7928</v>
      </c>
      <c r="O591" s="68">
        <f t="shared" si="96"/>
        <v>45.375880000000002</v>
      </c>
      <c r="P591" s="68">
        <f t="shared" si="96"/>
        <v>44.760280000000002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1117.2239999999999</v>
      </c>
      <c r="F592" s="68">
        <f t="shared" si="94"/>
        <v>33.260599999999997</v>
      </c>
      <c r="G592" s="68">
        <f t="shared" si="94"/>
        <v>44.034320000000008</v>
      </c>
      <c r="H592" s="68">
        <f t="shared" si="94"/>
        <v>43.580680000000001</v>
      </c>
      <c r="I592" s="64"/>
      <c r="J592" s="64"/>
      <c r="K592" s="65"/>
      <c r="L592" s="29"/>
      <c r="M592" s="68">
        <f t="shared" si="95"/>
        <v>1116.8784000000001</v>
      </c>
      <c r="N592" s="68">
        <f t="shared" si="96"/>
        <v>33.259680000000003</v>
      </c>
      <c r="O592" s="68">
        <f t="shared" si="96"/>
        <v>44.028559999999999</v>
      </c>
      <c r="P592" s="68">
        <f t="shared" si="96"/>
        <v>43.58276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519.19200000000001</v>
      </c>
      <c r="F593" s="78">
        <f t="shared" si="94"/>
        <v>30.947219999999998</v>
      </c>
      <c r="G593" s="78">
        <f t="shared" si="94"/>
        <v>43.245739999999998</v>
      </c>
      <c r="H593" s="78">
        <f t="shared" si="94"/>
        <v>42.827179999999998</v>
      </c>
      <c r="I593" s="66"/>
      <c r="J593" s="66"/>
      <c r="K593" s="67"/>
      <c r="L593" s="29"/>
      <c r="M593" s="78">
        <f t="shared" si="95"/>
        <v>519.17200000000003</v>
      </c>
      <c r="N593" s="78">
        <f t="shared" si="96"/>
        <v>30.948919999999998</v>
      </c>
      <c r="O593" s="78">
        <f t="shared" si="96"/>
        <v>43.249319999999997</v>
      </c>
      <c r="P593" s="78">
        <f t="shared" si="96"/>
        <v>42.828320000000005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6799.0544</v>
      </c>
      <c r="F594" s="75">
        <f t="shared" ref="F594:H597" si="97">AVERAGE(F315,F319,F323,F339,F343,F347,F351,F355,F359)</f>
        <v>38.660844444444443</v>
      </c>
      <c r="G594" s="75">
        <f t="shared" si="97"/>
        <v>46.721455555555551</v>
      </c>
      <c r="H594" s="75">
        <f t="shared" si="97"/>
        <v>46.200911111111111</v>
      </c>
      <c r="I594" s="76"/>
      <c r="J594" s="76"/>
      <c r="K594" s="77"/>
      <c r="L594" s="29"/>
      <c r="M594" s="75">
        <f t="shared" si="95"/>
        <v>6799.5712000000003</v>
      </c>
      <c r="N594" s="75">
        <f t="shared" ref="N594:P597" si="98">AVERAGE(N315,N319,N323,N339,N343,N347,N351,N355,N359)</f>
        <v>38.660177777777776</v>
      </c>
      <c r="O594" s="75">
        <f t="shared" si="98"/>
        <v>46.72078888888889</v>
      </c>
      <c r="P594" s="75">
        <f t="shared" si="98"/>
        <v>46.191933333333324</v>
      </c>
      <c r="Q594" s="76"/>
      <c r="R594" s="76"/>
      <c r="S594" s="77"/>
      <c r="U594" s="8">
        <f>bdrate($E594:$E597,F594:F597,$M594:$M597,N594:N597)</f>
        <v>2.4231987575173974E-5</v>
      </c>
      <c r="V594" s="9">
        <f>bdrate($E594:$E597,G594:G597,$M594:$M597,O594:O597)</f>
        <v>-6.1898206251354004E-5</v>
      </c>
      <c r="W594" s="10">
        <f>bdrate($E594:$E597,H594:H597,$M594:$M597,P594:P597)</f>
        <v>5.1827602746645773E-4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2801.6143999999999</v>
      </c>
      <c r="F595" s="68">
        <f t="shared" si="97"/>
        <v>35.819466666666671</v>
      </c>
      <c r="G595" s="68">
        <f t="shared" si="97"/>
        <v>45.270677777777777</v>
      </c>
      <c r="H595" s="68">
        <f t="shared" si="97"/>
        <v>44.808922222222215</v>
      </c>
      <c r="I595" s="64"/>
      <c r="J595" s="64"/>
      <c r="K595" s="65"/>
      <c r="L595" s="29"/>
      <c r="M595" s="68">
        <f t="shared" si="95"/>
        <v>2802.04</v>
      </c>
      <c r="N595" s="68">
        <f t="shared" si="98"/>
        <v>35.819266666666664</v>
      </c>
      <c r="O595" s="68">
        <f t="shared" si="98"/>
        <v>45.27717777777778</v>
      </c>
      <c r="P595" s="68">
        <f t="shared" si="98"/>
        <v>44.814588888888885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1271.7152000000001</v>
      </c>
      <c r="F596" s="68">
        <f t="shared" si="97"/>
        <v>33.289322222222225</v>
      </c>
      <c r="G596" s="68">
        <f t="shared" si="97"/>
        <v>43.954599999999999</v>
      </c>
      <c r="H596" s="68">
        <f t="shared" si="97"/>
        <v>43.550622222222223</v>
      </c>
      <c r="I596" s="64"/>
      <c r="J596" s="64"/>
      <c r="K596" s="65"/>
      <c r="L596" s="29"/>
      <c r="M596" s="68">
        <f t="shared" si="95"/>
        <v>1271.1128000000001</v>
      </c>
      <c r="N596" s="68">
        <f t="shared" si="98"/>
        <v>33.288344444444448</v>
      </c>
      <c r="O596" s="68">
        <f t="shared" si="98"/>
        <v>43.947011111111109</v>
      </c>
      <c r="P596" s="68">
        <f t="shared" si="98"/>
        <v>43.544777777777774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594.42240000000004</v>
      </c>
      <c r="F597" s="78">
        <f t="shared" si="97"/>
        <v>30.96798888888889</v>
      </c>
      <c r="G597" s="78">
        <f t="shared" si="97"/>
        <v>43.157777777777781</v>
      </c>
      <c r="H597" s="78">
        <f t="shared" si="97"/>
        <v>42.727911111111112</v>
      </c>
      <c r="I597" s="66"/>
      <c r="J597" s="66"/>
      <c r="K597" s="67"/>
      <c r="L597" s="29"/>
      <c r="M597" s="78">
        <f t="shared" si="95"/>
        <v>594.39440000000002</v>
      </c>
      <c r="N597" s="78">
        <f t="shared" si="98"/>
        <v>30.969122222222218</v>
      </c>
      <c r="O597" s="78">
        <f t="shared" si="98"/>
        <v>43.157900000000005</v>
      </c>
      <c r="P597" s="78">
        <f t="shared" si="98"/>
        <v>42.728611111111114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4698.768</v>
      </c>
      <c r="F598" s="75">
        <f t="shared" ref="F598:H601" si="99">AVERAGE(F367,F371)</f>
        <v>41.200599999999994</v>
      </c>
      <c r="G598" s="75">
        <f t="shared" si="99"/>
        <v>46.556950000000001</v>
      </c>
      <c r="H598" s="75">
        <f t="shared" si="99"/>
        <v>45.922849999999997</v>
      </c>
      <c r="I598" s="76"/>
      <c r="J598" s="76"/>
      <c r="K598" s="77"/>
      <c r="L598" s="29"/>
      <c r="M598" s="75">
        <f>M367+M371</f>
        <v>4698.0456000000004</v>
      </c>
      <c r="N598" s="75">
        <f t="shared" ref="N598:P601" si="100">AVERAGE(N367,N371)</f>
        <v>41.200749999999999</v>
      </c>
      <c r="O598" s="75">
        <f t="shared" si="100"/>
        <v>46.556399999999996</v>
      </c>
      <c r="P598" s="75">
        <f t="shared" si="100"/>
        <v>45.923850000000002</v>
      </c>
      <c r="Q598" s="76"/>
      <c r="R598" s="76"/>
      <c r="S598" s="77"/>
      <c r="U598" s="8">
        <f>bdrate($E598:$E601,F598:F601,$M598:$M601,N598:N601)</f>
        <v>-1.6447051590440243E-4</v>
      </c>
      <c r="V598" s="9">
        <f>bdrate($E598:$E601,G598:G601,$M598:$M601,O598:O601)</f>
        <v>-1.4503975523727508E-4</v>
      </c>
      <c r="W598" s="10">
        <f>bdrate($E598:$E601,H598:H601,$M598:$M601,P598:P601)</f>
        <v>-1.9617269065119736E-4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2320.4528</v>
      </c>
      <c r="F599" s="68">
        <f t="shared" si="99"/>
        <v>38.283099999999997</v>
      </c>
      <c r="G599" s="68">
        <f t="shared" si="99"/>
        <v>44.875150000000005</v>
      </c>
      <c r="H599" s="68">
        <f t="shared" si="99"/>
        <v>44.023049999999998</v>
      </c>
      <c r="I599" s="64"/>
      <c r="J599" s="64"/>
      <c r="K599" s="65"/>
      <c r="L599" s="29"/>
      <c r="M599" s="68">
        <f>M368+M372</f>
        <v>2320.1304</v>
      </c>
      <c r="N599" s="68">
        <f t="shared" si="100"/>
        <v>38.283099999999997</v>
      </c>
      <c r="O599" s="68">
        <f t="shared" si="100"/>
        <v>44.874700000000004</v>
      </c>
      <c r="P599" s="68">
        <f t="shared" si="100"/>
        <v>44.022350000000003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1137.3711999999998</v>
      </c>
      <c r="F600" s="68">
        <f t="shared" si="99"/>
        <v>35.527550000000005</v>
      </c>
      <c r="G600" s="68">
        <f t="shared" si="99"/>
        <v>43.255849999999995</v>
      </c>
      <c r="H600" s="68">
        <f t="shared" si="99"/>
        <v>42.201750000000004</v>
      </c>
      <c r="I600" s="64"/>
      <c r="J600" s="64"/>
      <c r="K600" s="65"/>
      <c r="L600" s="29"/>
      <c r="M600" s="68">
        <f>M369+M373</f>
        <v>1137.1895999999999</v>
      </c>
      <c r="N600" s="68">
        <f t="shared" si="100"/>
        <v>35.527749999999997</v>
      </c>
      <c r="O600" s="68">
        <f t="shared" si="100"/>
        <v>43.256100000000004</v>
      </c>
      <c r="P600" s="68">
        <f t="shared" si="100"/>
        <v>42.202399999999997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546.45439999999996</v>
      </c>
      <c r="F601" s="78">
        <f t="shared" si="99"/>
        <v>33.08775</v>
      </c>
      <c r="G601" s="78">
        <f t="shared" si="99"/>
        <v>42.263949999999994</v>
      </c>
      <c r="H601" s="78">
        <f t="shared" si="99"/>
        <v>40.923000000000002</v>
      </c>
      <c r="I601" s="66"/>
      <c r="J601" s="66"/>
      <c r="K601" s="67"/>
      <c r="L601" s="29"/>
      <c r="M601" s="78">
        <f>M370+M374</f>
        <v>546.43520000000001</v>
      </c>
      <c r="N601" s="78">
        <f t="shared" si="100"/>
        <v>33.087850000000003</v>
      </c>
      <c r="O601" s="78">
        <f t="shared" si="100"/>
        <v>42.265100000000004</v>
      </c>
      <c r="P601" s="78">
        <f t="shared" si="100"/>
        <v>40.923349999999999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5224.0479999999998</v>
      </c>
      <c r="F602" s="75">
        <f t="shared" ref="F602:H605" si="101">AVERAGE(F367,F371,F375)</f>
        <v>41.108899999999998</v>
      </c>
      <c r="G602" s="75">
        <f t="shared" si="101"/>
        <v>46.538166666666662</v>
      </c>
      <c r="H602" s="75">
        <f t="shared" si="101"/>
        <v>45.884399999999999</v>
      </c>
      <c r="I602" s="76"/>
      <c r="J602" s="76"/>
      <c r="K602" s="77"/>
      <c r="L602" s="29"/>
      <c r="M602" s="75">
        <f>M367+M371+M375</f>
        <v>5222.6456000000007</v>
      </c>
      <c r="N602" s="75">
        <f t="shared" ref="N602:P605" si="102">AVERAGE(N367,N371,N375)</f>
        <v>41.108466666666665</v>
      </c>
      <c r="O602" s="75">
        <f t="shared" si="102"/>
        <v>46.538266666666665</v>
      </c>
      <c r="P602" s="75">
        <f t="shared" si="102"/>
        <v>45.884966666666664</v>
      </c>
      <c r="Q602" s="76"/>
      <c r="R602" s="76"/>
      <c r="S602" s="77"/>
      <c r="U602" s="8">
        <f>bdrate($E602:$E605,F602:F605,$M602:$M605,N602:N605)</f>
        <v>-1.5200319886987668E-4</v>
      </c>
      <c r="V602" s="9">
        <f>bdrate($E602:$E605,G602:G605,$M602:$M605,O602:O605)</f>
        <v>-1.5103754647072254E-4</v>
      </c>
      <c r="W602" s="10">
        <f>bdrate($E602:$E605,H602:H605,$M602:$M605,P602:P605)</f>
        <v>-2.6380495152877881E-4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2537.8919999999998</v>
      </c>
      <c r="F603" s="68">
        <f t="shared" si="101"/>
        <v>38.217233333333333</v>
      </c>
      <c r="G603" s="68">
        <f t="shared" si="101"/>
        <v>44.862233333333336</v>
      </c>
      <c r="H603" s="68">
        <f t="shared" si="101"/>
        <v>43.998666666666658</v>
      </c>
      <c r="I603" s="64"/>
      <c r="J603" s="64"/>
      <c r="K603" s="65"/>
      <c r="L603" s="29"/>
      <c r="M603" s="68">
        <f>M368+M372+M376</f>
        <v>2537.5832</v>
      </c>
      <c r="N603" s="68">
        <f t="shared" si="102"/>
        <v>38.217166666666664</v>
      </c>
      <c r="O603" s="68">
        <f t="shared" si="102"/>
        <v>44.861833333333344</v>
      </c>
      <c r="P603" s="68">
        <f t="shared" si="102"/>
        <v>43.999166666666667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1240.8487999999998</v>
      </c>
      <c r="F604" s="68">
        <f t="shared" si="101"/>
        <v>35.484766666666673</v>
      </c>
      <c r="G604" s="68">
        <f t="shared" si="101"/>
        <v>43.251899999999999</v>
      </c>
      <c r="H604" s="68">
        <f t="shared" si="101"/>
        <v>42.193100000000008</v>
      </c>
      <c r="I604" s="64"/>
      <c r="J604" s="64"/>
      <c r="K604" s="65"/>
      <c r="L604" s="29"/>
      <c r="M604" s="68">
        <f>M369+M373+M377</f>
        <v>1240.5968</v>
      </c>
      <c r="N604" s="68">
        <f t="shared" si="102"/>
        <v>35.484866666666669</v>
      </c>
      <c r="O604" s="68">
        <f t="shared" si="102"/>
        <v>43.251966666666668</v>
      </c>
      <c r="P604" s="68">
        <f t="shared" si="102"/>
        <v>42.193366666666662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597.41199999999992</v>
      </c>
      <c r="F605" s="78">
        <f t="shared" si="101"/>
        <v>33.053966666666668</v>
      </c>
      <c r="G605" s="78">
        <f t="shared" si="101"/>
        <v>42.253133333333331</v>
      </c>
      <c r="H605" s="78">
        <f t="shared" si="101"/>
        <v>40.908033333333336</v>
      </c>
      <c r="I605" s="66"/>
      <c r="J605" s="66"/>
      <c r="K605" s="67"/>
      <c r="L605" s="29"/>
      <c r="M605" s="78">
        <f>M370+M374+M378</f>
        <v>597.42640000000006</v>
      </c>
      <c r="N605" s="78">
        <f t="shared" si="102"/>
        <v>33.054233333333336</v>
      </c>
      <c r="O605" s="78">
        <f t="shared" si="102"/>
        <v>42.253900000000002</v>
      </c>
      <c r="P605" s="78">
        <f t="shared" si="102"/>
        <v>40.90723333333333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5338.0864000000001</v>
      </c>
      <c r="F606" s="75">
        <f t="shared" ref="F606:H609" si="103">AVERAGE(F391,F395,F399)</f>
        <v>40.854333333333336</v>
      </c>
      <c r="G606" s="75">
        <f t="shared" si="103"/>
        <v>47.1267</v>
      </c>
      <c r="H606" s="75">
        <f t="shared" si="103"/>
        <v>46.703066666666665</v>
      </c>
      <c r="I606" s="76"/>
      <c r="J606" s="76"/>
      <c r="K606" s="77"/>
      <c r="L606" s="29"/>
      <c r="M606" s="75">
        <f>M367+M371+M379+M383</f>
        <v>5337.2384000000002</v>
      </c>
      <c r="N606" s="75">
        <f t="shared" ref="N606:P609" si="104">AVERAGE(N391,N395,N399)</f>
        <v>40.853633333333335</v>
      </c>
      <c r="O606" s="75">
        <f t="shared" si="104"/>
        <v>47.125466666666661</v>
      </c>
      <c r="P606" s="75">
        <f t="shared" si="104"/>
        <v>46.701933333333329</v>
      </c>
      <c r="Q606" s="76"/>
      <c r="R606" s="76"/>
      <c r="S606" s="77"/>
      <c r="U606" s="8">
        <f>bdrate($E606:$E609,F606:F609,$M606:$M609,N606:N609)</f>
        <v>-3.1952457897110875E-4</v>
      </c>
      <c r="V606" s="9">
        <f>bdrate($E606:$E609,G606:G609,$M606:$M609,O606:O609)</f>
        <v>7.7638234766586045E-4</v>
      </c>
      <c r="W606" s="10">
        <f>bdrate($E606:$E609,H606:H609,$M606:$M609,P606:P609)</f>
        <v>-5.0216575914674433E-4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2523.5408000000002</v>
      </c>
      <c r="F607" s="68">
        <f t="shared" si="103"/>
        <v>38.026433333333337</v>
      </c>
      <c r="G607" s="68">
        <f t="shared" si="103"/>
        <v>45.425599999999996</v>
      </c>
      <c r="H607" s="68">
        <f t="shared" si="103"/>
        <v>44.747666666666667</v>
      </c>
      <c r="I607" s="64"/>
      <c r="J607" s="64"/>
      <c r="K607" s="65"/>
      <c r="L607" s="29"/>
      <c r="M607" s="68">
        <f>M368+M372+M380+M384</f>
        <v>2523.0392000000002</v>
      </c>
      <c r="N607" s="68">
        <f t="shared" si="104"/>
        <v>38.028033333333333</v>
      </c>
      <c r="O607" s="68">
        <f t="shared" si="104"/>
        <v>45.423033333333336</v>
      </c>
      <c r="P607" s="68">
        <f t="shared" si="104"/>
        <v>44.747966666666663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1215.1023999999998</v>
      </c>
      <c r="F608" s="68">
        <f t="shared" si="103"/>
        <v>35.3322</v>
      </c>
      <c r="G608" s="68">
        <f t="shared" si="103"/>
        <v>43.658633333333341</v>
      </c>
      <c r="H608" s="68">
        <f t="shared" si="103"/>
        <v>42.764966666666659</v>
      </c>
      <c r="I608" s="64"/>
      <c r="J608" s="64"/>
      <c r="K608" s="65"/>
      <c r="L608" s="29"/>
      <c r="M608" s="68">
        <f>M369+M373+M381+M385</f>
        <v>1215.0352</v>
      </c>
      <c r="N608" s="68">
        <f t="shared" si="104"/>
        <v>35.332633333333341</v>
      </c>
      <c r="O608" s="68">
        <f t="shared" si="104"/>
        <v>43.658199999999994</v>
      </c>
      <c r="P608" s="68">
        <f t="shared" si="104"/>
        <v>42.766699999999993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580.32000000000005</v>
      </c>
      <c r="F609" s="78">
        <f t="shared" si="103"/>
        <v>32.915833333333332</v>
      </c>
      <c r="G609" s="78">
        <f t="shared" si="103"/>
        <v>42.545566666666673</v>
      </c>
      <c r="H609" s="78">
        <f t="shared" si="103"/>
        <v>41.379133333333328</v>
      </c>
      <c r="I609" s="66"/>
      <c r="J609" s="66"/>
      <c r="K609" s="67"/>
      <c r="L609" s="29"/>
      <c r="M609" s="78">
        <f>M370+M374+M382+M386</f>
        <v>580.2432</v>
      </c>
      <c r="N609" s="78">
        <f t="shared" si="104"/>
        <v>32.915666666666667</v>
      </c>
      <c r="O609" s="78">
        <f t="shared" si="104"/>
        <v>42.5411</v>
      </c>
      <c r="P609" s="78">
        <f t="shared" si="104"/>
        <v>41.381266666666669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6058.9639999999999</v>
      </c>
      <c r="F610" s="75">
        <f t="shared" ref="F610:H613" si="105">AVERAGE(F391,F395,F399,F403,F407,F411)</f>
        <v>40.861216666666671</v>
      </c>
      <c r="G610" s="75">
        <f t="shared" si="105"/>
        <v>47.086350000000003</v>
      </c>
      <c r="H610" s="75">
        <f t="shared" si="105"/>
        <v>46.766216666666658</v>
      </c>
      <c r="I610" s="76"/>
      <c r="J610" s="76"/>
      <c r="K610" s="77"/>
      <c r="L610" s="29"/>
      <c r="M610" s="75">
        <f>M415</f>
        <v>6057.3087999999998</v>
      </c>
      <c r="N610" s="75">
        <f t="shared" ref="N610:P613" si="106">AVERAGE(N391,N395,N399,N403,N407,N411)</f>
        <v>40.859866666666669</v>
      </c>
      <c r="O610" s="75">
        <f t="shared" si="106"/>
        <v>47.08486666666667</v>
      </c>
      <c r="P610" s="75">
        <f t="shared" si="106"/>
        <v>46.768916666666662</v>
      </c>
      <c r="Q610" s="76"/>
      <c r="R610" s="76"/>
      <c r="S610" s="77"/>
      <c r="U610" s="8">
        <f>bdrate($E610:$E613,F610:F613,$M610:$M613,N610:N613)</f>
        <v>-1.5483568949903326E-4</v>
      </c>
      <c r="V610" s="9">
        <f>bdrate($E610:$E613,G610:G613,$M610:$M613,O610:O613)</f>
        <v>-5.2938557220538751E-4</v>
      </c>
      <c r="W610" s="10">
        <f>bdrate($E610:$E613,H610:H613,$M610:$M613,P610:P613)</f>
        <v>-1.1540008677490832E-3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2802.1224000000002</v>
      </c>
      <c r="F611" s="68">
        <f t="shared" si="105"/>
        <v>38.032550000000001</v>
      </c>
      <c r="G611" s="68">
        <f t="shared" si="105"/>
        <v>45.412883333333333</v>
      </c>
      <c r="H611" s="68">
        <f t="shared" si="105"/>
        <v>44.791333333333341</v>
      </c>
      <c r="I611" s="64"/>
      <c r="J611" s="64"/>
      <c r="K611" s="65"/>
      <c r="L611" s="29"/>
      <c r="M611" s="68">
        <f>M416</f>
        <v>2801.6167999999998</v>
      </c>
      <c r="N611" s="68">
        <f t="shared" si="106"/>
        <v>38.033200000000001</v>
      </c>
      <c r="O611" s="68">
        <f t="shared" si="106"/>
        <v>45.417149999999999</v>
      </c>
      <c r="P611" s="68">
        <f t="shared" si="106"/>
        <v>44.795466666666663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1346.4911999999999</v>
      </c>
      <c r="F612" s="68">
        <f t="shared" si="105"/>
        <v>35.335850000000001</v>
      </c>
      <c r="G612" s="68">
        <f t="shared" si="105"/>
        <v>43.683349999999997</v>
      </c>
      <c r="H612" s="68">
        <f t="shared" si="105"/>
        <v>42.803566666666661</v>
      </c>
      <c r="I612" s="64"/>
      <c r="J612" s="64"/>
      <c r="K612" s="65"/>
      <c r="L612" s="29"/>
      <c r="M612" s="68">
        <f>M417</f>
        <v>1346.4032</v>
      </c>
      <c r="N612" s="68">
        <f t="shared" si="106"/>
        <v>35.335783333333332</v>
      </c>
      <c r="O612" s="68">
        <f t="shared" si="106"/>
        <v>43.681783333333328</v>
      </c>
      <c r="P612" s="68">
        <f t="shared" si="106"/>
        <v>42.804683333333323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647.48720000000003</v>
      </c>
      <c r="F613" s="78">
        <f t="shared" si="105"/>
        <v>32.9129</v>
      </c>
      <c r="G613" s="78">
        <f t="shared" si="105"/>
        <v>42.564033333333334</v>
      </c>
      <c r="H613" s="78">
        <f t="shared" si="105"/>
        <v>41.385816666666663</v>
      </c>
      <c r="I613" s="66"/>
      <c r="J613" s="66"/>
      <c r="K613" s="67"/>
      <c r="L613" s="29"/>
      <c r="M613" s="78">
        <f>M418</f>
        <v>647.40319999999997</v>
      </c>
      <c r="N613" s="78">
        <f t="shared" si="106"/>
        <v>32.912733333333335</v>
      </c>
      <c r="O613" s="78">
        <f t="shared" si="106"/>
        <v>42.563133333333333</v>
      </c>
      <c r="P613" s="78">
        <f t="shared" si="106"/>
        <v>41.386416666666669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5338.0864000000001</v>
      </c>
      <c r="F614" s="75">
        <f t="shared" ref="F614:H617" si="108">AVERAGE(F367,F371,F391,F395,F399)</f>
        <v>40.992840000000001</v>
      </c>
      <c r="G614" s="75">
        <f t="shared" si="108"/>
        <v>46.898800000000001</v>
      </c>
      <c r="H614" s="75">
        <f t="shared" si="108"/>
        <v>46.390979999999999</v>
      </c>
      <c r="I614" s="76"/>
      <c r="J614" s="76"/>
      <c r="K614" s="77"/>
      <c r="L614" s="29"/>
      <c r="M614" s="75">
        <f t="shared" ref="M614:M621" si="109">M606</f>
        <v>5337.2384000000002</v>
      </c>
      <c r="N614" s="75">
        <f t="shared" ref="N614:P617" si="110">AVERAGE(N367,N371,N391,N395,N399)</f>
        <v>40.99248</v>
      </c>
      <c r="O614" s="75">
        <f t="shared" si="110"/>
        <v>46.897839999999995</v>
      </c>
      <c r="P614" s="75">
        <f t="shared" si="110"/>
        <v>46.390699999999995</v>
      </c>
      <c r="Q614" s="76"/>
      <c r="R614" s="76"/>
      <c r="S614" s="77"/>
      <c r="U614" s="8">
        <f>bdrate($E614:$E617,F614:F617,$M614:$M617,N614:N617)</f>
        <v>-2.5677460216266823E-4</v>
      </c>
      <c r="V614" s="9">
        <f>bdrate($E614:$E617,G614:G617,$M614:$M617,O614:O617)</f>
        <v>4.2427603268380132E-4</v>
      </c>
      <c r="W614" s="10">
        <f>bdrate($E614:$E617,H614:H617,$M614:$M617,P614:P617)</f>
        <v>-3.8624126837427664E-4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2523.5408000000002</v>
      </c>
      <c r="F615" s="68">
        <f t="shared" si="108"/>
        <v>38.129100000000001</v>
      </c>
      <c r="G615" s="68">
        <f t="shared" si="108"/>
        <v>45.205419999999997</v>
      </c>
      <c r="H615" s="68">
        <f t="shared" si="108"/>
        <v>44.457820000000005</v>
      </c>
      <c r="I615" s="64"/>
      <c r="J615" s="64"/>
      <c r="K615" s="65"/>
      <c r="L615" s="29"/>
      <c r="M615" s="68">
        <f t="shared" si="109"/>
        <v>2523.0392000000002</v>
      </c>
      <c r="N615" s="68">
        <f t="shared" si="110"/>
        <v>38.13006</v>
      </c>
      <c r="O615" s="68">
        <f t="shared" si="110"/>
        <v>45.203699999999998</v>
      </c>
      <c r="P615" s="68">
        <f t="shared" si="110"/>
        <v>44.457720000000002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1215.1023999999998</v>
      </c>
      <c r="F616" s="68">
        <f t="shared" si="108"/>
        <v>35.410340000000005</v>
      </c>
      <c r="G616" s="68">
        <f t="shared" si="108"/>
        <v>43.497519999999994</v>
      </c>
      <c r="H616" s="68">
        <f t="shared" si="108"/>
        <v>42.539679999999997</v>
      </c>
      <c r="I616" s="64"/>
      <c r="J616" s="64"/>
      <c r="K616" s="65"/>
      <c r="L616" s="29"/>
      <c r="M616" s="68">
        <f t="shared" si="109"/>
        <v>1215.0352</v>
      </c>
      <c r="N616" s="68">
        <f t="shared" si="110"/>
        <v>35.410679999999999</v>
      </c>
      <c r="O616" s="68">
        <f t="shared" si="110"/>
        <v>43.49736</v>
      </c>
      <c r="P616" s="68">
        <f t="shared" si="110"/>
        <v>42.540979999999998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580.32000000000005</v>
      </c>
      <c r="F617" s="78">
        <f t="shared" si="108"/>
        <v>32.9846</v>
      </c>
      <c r="G617" s="78">
        <f t="shared" si="108"/>
        <v>42.432919999999996</v>
      </c>
      <c r="H617" s="78">
        <f t="shared" si="108"/>
        <v>41.196680000000001</v>
      </c>
      <c r="I617" s="66"/>
      <c r="J617" s="66"/>
      <c r="K617" s="67"/>
      <c r="L617" s="29"/>
      <c r="M617" s="78">
        <f t="shared" si="109"/>
        <v>580.2432</v>
      </c>
      <c r="N617" s="78">
        <f t="shared" si="110"/>
        <v>32.984540000000003</v>
      </c>
      <c r="O617" s="78">
        <f t="shared" si="110"/>
        <v>42.430700000000002</v>
      </c>
      <c r="P617" s="78">
        <f t="shared" si="110"/>
        <v>41.198099999999997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6058.9639999999999</v>
      </c>
      <c r="F618" s="75">
        <f t="shared" ref="F618:H621" si="111">AVERAGE(F367,F371,F375,F391,F395,F399,F403,F407,F411)</f>
        <v>40.943777777777768</v>
      </c>
      <c r="G618" s="75">
        <f t="shared" si="111"/>
        <v>46.903622222222225</v>
      </c>
      <c r="H618" s="75">
        <f t="shared" si="111"/>
        <v>46.472277777777784</v>
      </c>
      <c r="I618" s="76"/>
      <c r="J618" s="76"/>
      <c r="K618" s="77"/>
      <c r="L618" s="29"/>
      <c r="M618" s="75">
        <f t="shared" si="109"/>
        <v>6057.3087999999998</v>
      </c>
      <c r="N618" s="75">
        <f t="shared" ref="N618:P621" si="112">AVERAGE(N367,N371,N375,N391,N395,N399,N403,N407,N411)</f>
        <v>40.942733333333337</v>
      </c>
      <c r="O618" s="75">
        <f t="shared" si="112"/>
        <v>46.902666666666669</v>
      </c>
      <c r="P618" s="75">
        <f t="shared" si="112"/>
        <v>46.474266666666665</v>
      </c>
      <c r="Q618" s="76"/>
      <c r="R618" s="76"/>
      <c r="S618" s="77"/>
      <c r="U618" s="8">
        <f>bdrate($E618:$E621,F618:F621,$M618:$M621,N618:N621)</f>
        <v>-1.5115194623915862E-4</v>
      </c>
      <c r="V618" s="9">
        <f>bdrate($E618:$E621,G618:G621,$M618:$M621,O618:O621)</f>
        <v>-4.0988995436197495E-4</v>
      </c>
      <c r="W618" s="10">
        <f>bdrate($E618:$E621,H618:H621,$M618:$M621,P618:P621)</f>
        <v>-8.7424161397409161E-4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2802.1224000000002</v>
      </c>
      <c r="F619" s="68">
        <f t="shared" si="111"/>
        <v>38.094111111111111</v>
      </c>
      <c r="G619" s="68">
        <f t="shared" si="111"/>
        <v>45.229333333333336</v>
      </c>
      <c r="H619" s="68">
        <f t="shared" si="111"/>
        <v>44.527111111111111</v>
      </c>
      <c r="I619" s="64"/>
      <c r="J619" s="64"/>
      <c r="K619" s="65"/>
      <c r="L619" s="29"/>
      <c r="M619" s="68">
        <f t="shared" si="109"/>
        <v>2801.6167999999998</v>
      </c>
      <c r="N619" s="68">
        <f t="shared" si="112"/>
        <v>38.094522222222217</v>
      </c>
      <c r="O619" s="68">
        <f t="shared" si="112"/>
        <v>45.232044444444441</v>
      </c>
      <c r="P619" s="68">
        <f t="shared" si="112"/>
        <v>44.530033333333328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1346.4911999999999</v>
      </c>
      <c r="F620" s="68">
        <f t="shared" si="111"/>
        <v>35.385488888888894</v>
      </c>
      <c r="G620" s="68">
        <f t="shared" si="111"/>
        <v>43.539533333333338</v>
      </c>
      <c r="H620" s="68">
        <f t="shared" si="111"/>
        <v>42.600077777777777</v>
      </c>
      <c r="I620" s="64"/>
      <c r="J620" s="64"/>
      <c r="K620" s="65"/>
      <c r="L620" s="29"/>
      <c r="M620" s="68">
        <f t="shared" si="109"/>
        <v>1346.4032</v>
      </c>
      <c r="N620" s="68">
        <f t="shared" si="112"/>
        <v>35.38547777777778</v>
      </c>
      <c r="O620" s="68">
        <f t="shared" si="112"/>
        <v>43.538511111111106</v>
      </c>
      <c r="P620" s="68">
        <f t="shared" si="112"/>
        <v>42.60091111111111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647.48720000000003</v>
      </c>
      <c r="F621" s="78">
        <f t="shared" si="111"/>
        <v>32.959922222222218</v>
      </c>
      <c r="G621" s="78">
        <f t="shared" si="111"/>
        <v>42.460400000000007</v>
      </c>
      <c r="H621" s="78">
        <f t="shared" si="111"/>
        <v>41.226555555555557</v>
      </c>
      <c r="I621" s="66"/>
      <c r="J621" s="66"/>
      <c r="K621" s="67"/>
      <c r="L621" s="29"/>
      <c r="M621" s="78">
        <f t="shared" si="109"/>
        <v>647.40319999999997</v>
      </c>
      <c r="N621" s="78">
        <f t="shared" si="112"/>
        <v>32.959899999999998</v>
      </c>
      <c r="O621" s="78">
        <f t="shared" si="112"/>
        <v>42.460055555555556</v>
      </c>
      <c r="P621" s="78">
        <f t="shared" si="112"/>
        <v>41.226688888888887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2014-04-11T02:54:42Z</dcterms:modified>
</cp:coreProperties>
</file>