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90" s="1"/>
  <c r="M583"/>
  <c r="M591" s="1"/>
  <c r="M584"/>
  <c r="M592" s="1"/>
  <c r="M585"/>
  <c r="M593" s="1"/>
  <c r="N582"/>
  <c r="N583"/>
  <c r="N584"/>
  <c r="N585"/>
  <c r="F574"/>
  <c r="F575"/>
  <c r="F576"/>
  <c r="F577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46" s="1"/>
  <c r="M439"/>
  <c r="M440"/>
  <c r="M448" s="1"/>
  <c r="M441"/>
  <c r="M449" s="1"/>
  <c r="N438"/>
  <c r="N439"/>
  <c r="N440"/>
  <c r="N441"/>
  <c r="F430"/>
  <c r="F431"/>
  <c r="F432"/>
  <c r="F433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51" s="1"/>
  <c r="M444"/>
  <c r="M452" s="1"/>
  <c r="M445"/>
  <c r="M453" s="1"/>
  <c r="N442"/>
  <c r="N443"/>
  <c r="N444"/>
  <c r="N445"/>
  <c r="F434"/>
  <c r="F435"/>
  <c r="F436"/>
  <c r="F437"/>
  <c r="M450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375"/>
  <c r="W614"/>
  <c r="U323"/>
  <c r="W578"/>
  <c r="V271"/>
  <c r="V554"/>
  <c r="V219"/>
  <c r="V526"/>
  <c r="W167"/>
  <c r="U510"/>
  <c r="V115"/>
  <c r="U494"/>
  <c r="U63"/>
  <c r="V55"/>
  <c r="W11"/>
  <c r="W446"/>
  <c r="V606"/>
  <c r="G11" i="23"/>
  <c r="U570" i="21"/>
  <c r="U219"/>
  <c r="U530"/>
  <c r="U490"/>
  <c r="W107"/>
  <c r="F22" i="23"/>
  <c r="U446" i="21"/>
  <c r="U371"/>
  <c r="V602"/>
  <c r="W582"/>
  <c r="U275"/>
  <c r="V566"/>
  <c r="V546"/>
  <c r="F25" i="23"/>
  <c r="U518" i="21"/>
  <c r="U478"/>
  <c r="V458"/>
  <c r="W430"/>
  <c r="V371"/>
  <c r="W602"/>
  <c r="W319"/>
  <c r="U590"/>
  <c r="W267"/>
  <c r="F26" i="23"/>
  <c r="W215" i="21"/>
  <c r="W530"/>
  <c r="W163"/>
  <c r="F24" i="23"/>
  <c r="U111" i="21"/>
  <c r="V478"/>
  <c r="W59"/>
  <c r="V462"/>
  <c r="W7"/>
  <c r="U434"/>
  <c r="W598"/>
  <c r="V315"/>
  <c r="U538"/>
  <c r="U163"/>
  <c r="W115"/>
  <c r="U454"/>
  <c r="W438"/>
  <c r="F27" i="23"/>
  <c r="V522" i="21"/>
  <c r="V111"/>
  <c r="W462"/>
  <c r="U430"/>
  <c r="U383"/>
  <c r="V614"/>
  <c r="U331"/>
  <c r="U582"/>
  <c r="U279"/>
  <c r="V558"/>
  <c r="U227"/>
  <c r="V542"/>
  <c r="U175"/>
  <c r="W518"/>
  <c r="U123"/>
  <c r="W494"/>
  <c r="U71"/>
  <c r="W454"/>
  <c r="U19"/>
  <c r="V430"/>
  <c r="W371"/>
  <c r="W323"/>
  <c r="V267"/>
  <c r="V263"/>
  <c r="W534"/>
  <c r="W510"/>
  <c r="W486"/>
  <c r="G6" i="23"/>
  <c r="V7" i="21"/>
  <c r="U379"/>
  <c r="U606"/>
  <c r="V594"/>
  <c r="V562"/>
  <c r="U550"/>
  <c r="U223"/>
  <c r="U542"/>
  <c r="U506"/>
  <c r="V482"/>
  <c r="V474"/>
  <c r="U7"/>
  <c r="V375"/>
  <c r="U602"/>
  <c r="V323"/>
  <c r="V578"/>
  <c r="W271"/>
  <c r="U263"/>
  <c r="W219"/>
  <c r="U534"/>
  <c r="V167"/>
  <c r="U159"/>
  <c r="U115"/>
  <c r="F23" i="23"/>
  <c r="W63" i="21"/>
  <c r="W55"/>
  <c r="V11"/>
  <c r="W3"/>
  <c r="G12" i="23"/>
  <c r="U574" i="21"/>
  <c r="W263"/>
  <c r="U514"/>
  <c r="U502"/>
  <c r="U466"/>
  <c r="U450"/>
  <c r="U327"/>
  <c r="V514"/>
  <c r="V490"/>
  <c r="U59"/>
  <c r="V450"/>
  <c r="W610"/>
  <c r="W606"/>
  <c r="W586"/>
  <c r="W574"/>
  <c r="W562"/>
  <c r="U566"/>
  <c r="W538"/>
  <c r="U211"/>
  <c r="W514"/>
  <c r="W159"/>
  <c r="W490"/>
  <c r="U482"/>
  <c r="W466"/>
  <c r="U470"/>
  <c r="W442"/>
  <c r="V438"/>
  <c r="U610"/>
  <c r="F28" i="23"/>
  <c r="U562" i="21"/>
  <c r="V550"/>
  <c r="G9" i="23"/>
  <c r="G8"/>
  <c r="V107" i="21"/>
  <c r="V59"/>
  <c r="U442"/>
  <c r="V610"/>
  <c r="V598"/>
  <c r="U319"/>
  <c r="V574"/>
  <c r="U554"/>
  <c r="V538"/>
  <c r="W542"/>
  <c r="V163"/>
  <c r="V498"/>
  <c r="U67"/>
  <c r="U15"/>
  <c r="U387"/>
  <c r="V367"/>
  <c r="U335"/>
  <c r="V582"/>
  <c r="U283"/>
  <c r="W566"/>
  <c r="U231"/>
  <c r="V534"/>
  <c r="U179"/>
  <c r="V502"/>
  <c r="U127"/>
  <c r="U107"/>
  <c r="U75"/>
  <c r="U55"/>
  <c r="U23"/>
  <c r="V434"/>
  <c r="U375"/>
  <c r="V319"/>
  <c r="U271"/>
  <c r="V211"/>
  <c r="W502"/>
  <c r="W478"/>
  <c r="U11"/>
  <c r="V618"/>
  <c r="U215"/>
  <c r="V159"/>
  <c r="U486"/>
  <c r="V442"/>
  <c r="W618"/>
  <c r="W367"/>
  <c r="W594"/>
  <c r="V590"/>
  <c r="W570"/>
  <c r="W550"/>
  <c r="W546"/>
  <c r="W526"/>
  <c r="W522"/>
  <c r="V510"/>
  <c r="W498"/>
  <c r="W482"/>
  <c r="W474"/>
  <c r="U462"/>
  <c r="W450"/>
  <c r="W434"/>
  <c r="U614"/>
  <c r="U315"/>
  <c r="U558"/>
  <c r="V215"/>
  <c r="U167"/>
  <c r="U498"/>
  <c r="V63"/>
  <c r="V470"/>
  <c r="V446"/>
  <c r="U367"/>
  <c r="V586"/>
  <c r="W315"/>
  <c r="U267"/>
  <c r="W558"/>
  <c r="W211"/>
  <c r="U171"/>
  <c r="U119"/>
  <c r="V466"/>
  <c r="W458"/>
  <c r="U438"/>
  <c r="U618"/>
  <c r="U598"/>
  <c r="U594"/>
  <c r="U578"/>
  <c r="G10" i="23"/>
  <c r="W554" i="21"/>
  <c r="U546"/>
  <c r="V530"/>
  <c r="U522"/>
  <c r="W506"/>
  <c r="G7" i="23"/>
  <c r="V486" i="21"/>
  <c r="U474"/>
  <c r="U458"/>
  <c r="G5" i="23"/>
  <c r="V3" i="21"/>
  <c r="U586"/>
  <c r="W590"/>
  <c r="U526"/>
  <c r="V518"/>
  <c r="W111"/>
  <c r="V454"/>
  <c r="F21" i="23"/>
  <c r="V570" i="21"/>
  <c r="V506"/>
  <c r="V494"/>
  <c r="W470"/>
  <c r="U3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<sst xmlns="http://schemas.openxmlformats.org/spreadsheetml/2006/main" count="255" uniqueCount="64">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</sst>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宋体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10"/>
      <color theme="1"/>
      <name val="宋体"/>
      <family val="1"/>
      <scheme val="major"/>
    </font>
    <font>
      <b/>
      <sz val="10"/>
      <color indexed="8"/>
      <name val="宋体"/>
      <family val="1"/>
      <scheme val="major"/>
    </font>
    <font>
      <b/>
      <sz val="20"/>
      <color theme="1"/>
      <name val="宋体"/>
      <family val="2"/>
      <scheme val="minor"/>
    </font>
    <font>
      <sz val="12"/>
      <color theme="1" tint="0.499984740745262"/>
      <name val="宋体"/>
      <family val="2"/>
      <scheme val="minor"/>
    </font>
    <font>
      <sz val="6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常规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N19" sqref="N19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2" customWidth="1"/>
    <col min="15" max="18" width="9" style="102" customWidth="1"/>
    <col min="19" max="19" width="13" style="102" customWidth="1"/>
    <col min="20" max="20" width="15.125" style="102" customWidth="1"/>
  </cols>
  <sheetData>
    <row r="2" spans="1:20" ht="25.5">
      <c r="B2" s="100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09"/>
      <c r="C4" s="110" t="s">
        <v>26</v>
      </c>
      <c r="D4" s="111" t="s">
        <v>27</v>
      </c>
      <c r="E4" s="112" t="s">
        <v>28</v>
      </c>
      <c r="F4" s="113" t="s">
        <v>58</v>
      </c>
      <c r="G4" s="114" t="s">
        <v>59</v>
      </c>
      <c r="H4" s="115" t="s">
        <v>60</v>
      </c>
      <c r="I4" s="111" t="s">
        <v>42</v>
      </c>
      <c r="J4" s="116" t="s">
        <v>43</v>
      </c>
      <c r="K4" s="112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1.1452196529782022E-3</v>
      </c>
      <c r="E5" s="10">
        <f>'experimental data'!U11</f>
        <v>8.9721706074796792E-4</v>
      </c>
      <c r="F5" s="8">
        <f>'experimental data'!U434</f>
        <v>1.7735995466305887E-4</v>
      </c>
      <c r="G5" s="9">
        <f>bdrate('experimental data'!E450:E453,'experimental data'!F434:F437,'experimental data'!M450:M453,'experimental data'!N434:N437)</f>
        <v>1.6802697126006017E-4</v>
      </c>
      <c r="H5" s="10">
        <f>'experimental data'!U442</f>
        <v>4.2137470798397914E-4</v>
      </c>
      <c r="I5" s="59">
        <f>'experimental data'!Y51</f>
        <v>1.0084231080195334</v>
      </c>
      <c r="J5" s="104">
        <f>'experimental data'!Z51</f>
        <v>1.0322191385400854</v>
      </c>
      <c r="K5" s="60">
        <f>'experimental data'!AA51</f>
        <v>0.99797772575651111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1.165964654629148E-3</v>
      </c>
      <c r="E6" s="19">
        <f>'experimental data'!U63</f>
        <v>-1.5764542537621828E-4</v>
      </c>
      <c r="F6" s="17">
        <f>'experimental data'!U458</f>
        <v>2.3908642715908535E-4</v>
      </c>
      <c r="G6" s="18">
        <f>bdrate('experimental data'!E474:E477,'experimental data'!F458:F461,'experimental data'!M474:M477,'experimental data'!N458:N461)</f>
        <v>2.9430503604377378E-4</v>
      </c>
      <c r="H6" s="19">
        <f>'experimental data'!U466</f>
        <v>2.9404658979315101E-4</v>
      </c>
      <c r="I6" s="61">
        <f>'experimental data'!Y103</f>
        <v>0.99910184201549013</v>
      </c>
      <c r="J6" s="105">
        <f>'experimental data'!Z103</f>
        <v>1.0214002003593594</v>
      </c>
      <c r="K6" s="57">
        <f>'experimental data'!AA103</f>
        <v>0.99994825343486848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-7.8381444884390028E-4</v>
      </c>
      <c r="E7" s="19">
        <f>'experimental data'!U115</f>
        <v>9.9361110420748133E-4</v>
      </c>
      <c r="F7" s="17">
        <f>'experimental data'!U482</f>
        <v>-5.9580878212228683E-6</v>
      </c>
      <c r="G7" s="18">
        <f>bdrate('experimental data'!E498:E501,'experimental data'!F482:F485,'experimental data'!M498:M501,'experimental data'!N482:N485)</f>
        <v>3.5137158374443089E-5</v>
      </c>
      <c r="H7" s="19">
        <f>'experimental data'!U490</f>
        <v>-6.8324835265198836E-5</v>
      </c>
      <c r="I7" s="61">
        <f>'experimental data'!Y155</f>
        <v>1.0068407225136209</v>
      </c>
      <c r="J7" s="105">
        <f>'experimental data'!Z155</f>
        <v>1.0203336885563388</v>
      </c>
      <c r="K7" s="57">
        <f>'experimental data'!AA155</f>
        <v>1.0047517613940284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-5.2821316616646907E-4</v>
      </c>
      <c r="E8" s="19">
        <f>'experimental data'!U167</f>
        <v>7.7602806639376354E-5</v>
      </c>
      <c r="F8" s="17">
        <f>'experimental data'!U506</f>
        <v>-3.8195883483860271E-6</v>
      </c>
      <c r="G8" s="18">
        <f>bdrate('experimental data'!E522:E525,'experimental data'!F506:F509,'experimental data'!M522:M525,'experimental data'!N506:N509)</f>
        <v>-1.4821289695188256E-4</v>
      </c>
      <c r="H8" s="19">
        <f>'experimental data'!U514</f>
        <v>-2.604999284281373E-4</v>
      </c>
      <c r="I8" s="61">
        <f>'experimental data'!Y207</f>
        <v>0.99917967212835546</v>
      </c>
      <c r="J8" s="105">
        <f>'experimental data'!Z207</f>
        <v>0.99907344552573274</v>
      </c>
      <c r="K8" s="57">
        <f>'experimental data'!AA207</f>
        <v>0.99805852350511748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1.9971295904086528E-3</v>
      </c>
      <c r="E9" s="19">
        <f>'experimental data'!U219</f>
        <v>1.699052257186251E-3</v>
      </c>
      <c r="F9" s="17">
        <f>'experimental data'!U530</f>
        <v>9.5191388164272972E-4</v>
      </c>
      <c r="G9" s="18">
        <f>bdrate('experimental data'!E546:E549,'experimental data'!F530:F533,'experimental data'!M546:M549,'experimental data'!N530:N533)</f>
        <v>9.8431122218234357E-4</v>
      </c>
      <c r="H9" s="19">
        <f>'experimental data'!U538</f>
        <v>1.4717619287505368E-3</v>
      </c>
      <c r="I9" s="61">
        <f>'experimental data'!Y259</f>
        <v>1.0007415692836026</v>
      </c>
      <c r="J9" s="105">
        <f>'experimental data'!Z259</f>
        <v>1.0025913355696248</v>
      </c>
      <c r="K9" s="57">
        <f>'experimental data'!AA259</f>
        <v>0.93964641579250452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-1.8583304908205145E-3</v>
      </c>
      <c r="E10" s="19">
        <f>'experimental data'!U271</f>
        <v>1.7403449120445558E-4</v>
      </c>
      <c r="F10" s="17">
        <f>'experimental data'!U554</f>
        <v>-3.3305673399874891E-4</v>
      </c>
      <c r="G10" s="18">
        <f>bdrate('experimental data'!E570:E573,'experimental data'!F554:F557,'experimental data'!M570:M573,'experimental data'!N554:N557)</f>
        <v>-3.2582809613768138E-4</v>
      </c>
      <c r="H10" s="19">
        <f>'experimental data'!U562</f>
        <v>-5.0715669446033118E-4</v>
      </c>
      <c r="I10" s="61">
        <f>'experimental data'!Y311</f>
        <v>1.0030262403465084</v>
      </c>
      <c r="J10" s="105">
        <f>'experimental data'!Z311</f>
        <v>1.0551750461853255</v>
      </c>
      <c r="K10" s="57">
        <f>'experimental data'!AA311</f>
        <v>0.9715073600227353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-9.6725670468023051E-4</v>
      </c>
      <c r="E11" s="19">
        <f>'experimental data'!U323</f>
        <v>-1.3968468770363396E-3</v>
      </c>
      <c r="F11" s="17">
        <f>'experimental data'!U578</f>
        <v>-2.2146144943369084E-4</v>
      </c>
      <c r="G11" s="18">
        <f>bdrate('experimental data'!E594:E597,'experimental data'!F578:F581,'experimental data'!M594:M597,'experimental data'!N578:N581)</f>
        <v>-3.4461832253418478E-4</v>
      </c>
      <c r="H11" s="19">
        <f>'experimental data'!U586</f>
        <v>9.768408694155184E-5</v>
      </c>
      <c r="I11" s="61">
        <f>'experimental data'!Y363</f>
        <v>1.0069019109932387</v>
      </c>
      <c r="J11" s="105">
        <f>'experimental data'!Z363</f>
        <v>1.0083878174534373</v>
      </c>
      <c r="K11" s="57">
        <f>'experimental data'!AA363</f>
        <v>0.94807920443244376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-2.4160134448003578E-4</v>
      </c>
      <c r="E12" s="92">
        <f>'experimental data'!U375</f>
        <v>8.658551496552036E-4</v>
      </c>
      <c r="F12" s="91">
        <f>'experimental data'!U602</f>
        <v>6.760875754019402E-5</v>
      </c>
      <c r="G12" s="75">
        <f>bdrate('experimental data'!E618:E621,'experimental data'!F602:F605,'experimental data'!M618:M621,'experimental data'!N602:N605)</f>
        <v>9.7081180414848589E-5</v>
      </c>
      <c r="H12" s="92">
        <f>'experimental data'!U610</f>
        <v>-1.3490414223105152E-4</v>
      </c>
      <c r="I12" s="63">
        <f>'experimental data'!Y415</f>
        <v>0.99992742660592282</v>
      </c>
      <c r="J12" s="106">
        <f>'experimental data'!Z415</f>
        <v>1.0011715123642047</v>
      </c>
      <c r="K12" s="64">
        <f>'experimental data'!AA415</f>
        <v>1.0143114520913308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117">
        <f t="shared" ref="C13:K13" si="0">AVERAGE(C5:C7)</f>
        <v>0</v>
      </c>
      <c r="D13" s="118">
        <f t="shared" si="0"/>
        <v>5.0912328625448333E-4</v>
      </c>
      <c r="E13" s="119">
        <f t="shared" si="0"/>
        <v>5.7772757985974366E-4</v>
      </c>
      <c r="F13" s="117">
        <f t="shared" si="0"/>
        <v>1.3682943133364045E-4</v>
      </c>
      <c r="G13" s="118">
        <f t="shared" si="0"/>
        <v>1.6582305522609234E-4</v>
      </c>
      <c r="H13" s="119">
        <f t="shared" si="0"/>
        <v>2.1569882083731043E-4</v>
      </c>
      <c r="I13" s="58">
        <f t="shared" si="0"/>
        <v>1.0047885575162148</v>
      </c>
      <c r="J13" s="104">
        <f t="shared" si="0"/>
        <v>1.0246510091519279</v>
      </c>
      <c r="K13" s="60">
        <f t="shared" si="0"/>
        <v>1.0008925801951361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26">
        <f>AVERAGE(C8:C12)</f>
        <v>0</v>
      </c>
      <c r="D14" s="127">
        <f t="shared" ref="D14:K14" si="1">AVERAGE(D8:D12)</f>
        <v>-3.1965442314771939E-4</v>
      </c>
      <c r="E14" s="128">
        <f t="shared" si="1"/>
        <v>2.8393956552978937E-4</v>
      </c>
      <c r="F14" s="120">
        <f t="shared" si="1"/>
        <v>9.2236973480419596E-5</v>
      </c>
      <c r="G14" s="121">
        <f t="shared" si="1"/>
        <v>5.2546617394688686E-5</v>
      </c>
      <c r="H14" s="122">
        <f t="shared" si="1"/>
        <v>1.3337705011451373E-4</v>
      </c>
      <c r="I14" s="62">
        <f t="shared" si="1"/>
        <v>1.0019553638715257</v>
      </c>
      <c r="J14" s="106">
        <f t="shared" si="1"/>
        <v>1.0132798314196649</v>
      </c>
      <c r="K14" s="64">
        <f t="shared" si="1"/>
        <v>0.97432059116882641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129">
        <f>AVERAGE(C5:C12)</f>
        <v>0</v>
      </c>
      <c r="D15" s="130">
        <f t="shared" ref="D15:K15" si="2">AVERAGE(D5:D12)</f>
        <v>-8.8627821218933978E-6</v>
      </c>
      <c r="E15" s="131">
        <f t="shared" si="2"/>
        <v>3.9411007090352224E-4</v>
      </c>
      <c r="F15" s="123">
        <f t="shared" si="2"/>
        <v>1.0895914517537741E-4</v>
      </c>
      <c r="G15" s="124">
        <f t="shared" si="2"/>
        <v>9.502528158146506E-5</v>
      </c>
      <c r="H15" s="125">
        <f t="shared" si="2"/>
        <v>1.6424771413556249E-4</v>
      </c>
      <c r="I15" s="98">
        <f>AVERAGE(I5:I12)</f>
        <v>1.0030178114882842</v>
      </c>
      <c r="J15" s="107">
        <f t="shared" si="2"/>
        <v>1.0175440230692638</v>
      </c>
      <c r="K15" s="99">
        <f t="shared" si="2"/>
        <v>0.98428508705369233</v>
      </c>
      <c r="M15" s="101"/>
      <c r="N15" s="101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7">
      <c r="B18" s="100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09"/>
      <c r="C20" s="110" t="s">
        <v>26</v>
      </c>
      <c r="D20" s="111" t="s">
        <v>27</v>
      </c>
      <c r="E20" s="113" t="s">
        <v>58</v>
      </c>
      <c r="F20" s="114" t="s">
        <v>59</v>
      </c>
      <c r="G20" s="115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1.1452196529782022E-3</v>
      </c>
      <c r="E21" s="8">
        <f>'experimental data'!U430</f>
        <v>4.805594270296254E-5</v>
      </c>
      <c r="F21" s="9">
        <f>bdrate('experimental data'!E446:E449,'experimental data'!F430:F433,'experimental data'!M446:M449,'experimental data'!N430:N433)</f>
        <v>4.3984910519379028E-5</v>
      </c>
      <c r="G21" s="10">
        <f>'experimental data'!U438</f>
        <v>7.7253111180008993E-4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1.165964654629148E-3</v>
      </c>
      <c r="E22" s="17">
        <f>'experimental data'!U454</f>
        <v>3.6037076047934491E-4</v>
      </c>
      <c r="F22" s="18">
        <f>bdrate('experimental data'!E470:E473,'experimental data'!F454:F457,'experimental data'!M470:M473,'experimental data'!N454:N457)</f>
        <v>5.561584606912362E-4</v>
      </c>
      <c r="G22" s="19">
        <f>'experimental data'!U462</f>
        <v>8.7240401839450143E-4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-7.8381444884390028E-4</v>
      </c>
      <c r="E23" s="17">
        <f>'experimental data'!U478</f>
        <v>-1.1769451054177704E-4</v>
      </c>
      <c r="F23" s="18">
        <f>bdrate('experimental data'!E494:E497,'experimental data'!F478:F481,'experimental data'!M494:M497,'experimental data'!N478:N481)</f>
        <v>-2.2907434321750575E-4</v>
      </c>
      <c r="G23" s="19">
        <f>'experimental data'!U486</f>
        <v>5.6293599712997633E-4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-5.2821316616646907E-4</v>
      </c>
      <c r="E24" s="17">
        <f>'experimental data'!U502</f>
        <v>1.0766392560412896E-4</v>
      </c>
      <c r="F24" s="18">
        <f>bdrate('experimental data'!E518:E521,'experimental data'!F502:F505,'experimental data'!M518:M521,'experimental data'!N502:N505)</f>
        <v>4.1525375230611061E-5</v>
      </c>
      <c r="G24" s="19">
        <f>'experimental data'!U510</f>
        <v>1.8916871053309414E-4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1.9971295904086528E-3</v>
      </c>
      <c r="E25" s="17">
        <f>'experimental data'!U526</f>
        <v>9.0430544777220234E-4</v>
      </c>
      <c r="F25" s="18">
        <f>bdrate('experimental data'!E542:E545,'experimental data'!F526:F529,'experimental data'!M542:M545,'experimental data'!N526:N529)</f>
        <v>9.1812100471933E-4</v>
      </c>
      <c r="G25" s="19">
        <f>'experimental data'!U534</f>
        <v>1.0298145238771816E-3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-1.8583304908205145E-3</v>
      </c>
      <c r="E26" s="17">
        <f>'experimental data'!U550</f>
        <v>-3.5510742750433089E-4</v>
      </c>
      <c r="F26" s="18">
        <f>bdrate('experimental data'!E566:E569,'experimental data'!F550:F553,'experimental data'!M566:M569,'experimental data'!N550:N553)</f>
        <v>-3.9026664038388503E-4</v>
      </c>
      <c r="G26" s="19">
        <f>'experimental data'!U558</f>
        <v>-6.4177681533994502E-4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-9.6725670468023051E-4</v>
      </c>
      <c r="E27" s="17">
        <f>'experimental data'!U574</f>
        <v>-2.6077577122585183E-5</v>
      </c>
      <c r="F27" s="18">
        <f>bdrate('experimental data'!E590:E593,'experimental data'!F574:F577,'experimental data'!M590:M593,'experimental data'!N574:N577)</f>
        <v>-1.9633842830124593E-4</v>
      </c>
      <c r="G27" s="19">
        <f>'experimental data'!U582</f>
        <v>-2.2311628399418471E-4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-2.4160134448003578E-4</v>
      </c>
      <c r="E28" s="91">
        <f>'experimental data'!U598</f>
        <v>1.1993474105409518E-5</v>
      </c>
      <c r="F28" s="75">
        <f>bdrate('experimental data'!E614:E617,'experimental data'!F598:F601,'experimental data'!M614:M617,'experimental data'!N598:N601)</f>
        <v>3.5609539213776742E-5</v>
      </c>
      <c r="G28" s="92">
        <f>'experimental data'!U606</f>
        <v>-5.6744659760687988E-5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5.0912328625448333E-4</v>
      </c>
      <c r="E29" s="8">
        <f>AVERAGE(E21:E23)</f>
        <v>9.6910730880176807E-5</v>
      </c>
      <c r="F29" s="9">
        <f>AVERAGE(F21:F23)</f>
        <v>1.2368967599770317E-4</v>
      </c>
      <c r="G29" s="10">
        <f>AVERAGE(G21:G23)</f>
        <v>7.359570424415226E-4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-3.1965442314771939E-4</v>
      </c>
      <c r="E30" s="91">
        <f>AVERAGE(E24:E28)</f>
        <v>1.2855556857096495E-4</v>
      </c>
      <c r="F30" s="75">
        <f>AVERAGE(F24:F28)</f>
        <v>8.1730170095717369E-5</v>
      </c>
      <c r="G30" s="92">
        <f>AVERAGE(G24:G28)</f>
        <v>5.9469095063091618E-5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-8.8627821218933978E-6</v>
      </c>
      <c r="E31" s="96">
        <f>AVERAGE(E21:E28)</f>
        <v>1.166887544369194E-4</v>
      </c>
      <c r="F31" s="108">
        <f>AVERAGE(F21:F28)</f>
        <v>9.7464984808962041E-5</v>
      </c>
      <c r="G31" s="97">
        <f>AVERAGE(G21:G28)</f>
        <v>3.1315207533000322E-4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3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3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3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3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3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3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3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3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3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3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3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3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3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3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3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3"/>
    </row>
    <row r="73" spans="1:14">
      <c r="A73" s="90"/>
      <c r="I73" s="61"/>
      <c r="J73" s="61"/>
      <c r="K73" s="61"/>
      <c r="L73" s="90"/>
      <c r="M73" s="90"/>
      <c r="N73" s="103"/>
    </row>
    <row r="74" spans="1:14">
      <c r="A74" s="90"/>
      <c r="I74" s="61"/>
      <c r="J74" s="61"/>
      <c r="K74" s="61"/>
      <c r="L74" s="90"/>
      <c r="M74" s="90"/>
      <c r="N74" s="103"/>
    </row>
    <row r="75" spans="1:14">
      <c r="A75" s="90"/>
      <c r="I75" s="61"/>
      <c r="J75" s="61"/>
      <c r="K75" s="61"/>
      <c r="L75" s="90"/>
      <c r="M75" s="90"/>
      <c r="N75" s="103"/>
    </row>
    <row r="76" spans="1:14">
      <c r="A76" s="90"/>
      <c r="I76" s="61"/>
      <c r="J76" s="61"/>
      <c r="K76" s="61"/>
      <c r="L76" s="90"/>
      <c r="M76" s="90"/>
      <c r="N76" s="103"/>
    </row>
    <row r="77" spans="1:14">
      <c r="A77" s="90"/>
      <c r="I77" s="61"/>
      <c r="J77" s="61"/>
      <c r="K77" s="61"/>
      <c r="L77" s="90"/>
      <c r="M77" s="90"/>
      <c r="N77" s="103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3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3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3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3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3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3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3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3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3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3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3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3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3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3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3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3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3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3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3"/>
    </row>
    <row r="97" spans="1:14">
      <c r="A97" s="90"/>
      <c r="I97" s="61"/>
      <c r="J97" s="61"/>
      <c r="K97" s="61"/>
      <c r="L97" s="90"/>
      <c r="M97" s="90"/>
      <c r="N97" s="103"/>
    </row>
    <row r="98" spans="1:14">
      <c r="A98" s="90"/>
      <c r="I98" s="61"/>
      <c r="J98" s="61"/>
      <c r="K98" s="61"/>
      <c r="L98" s="90"/>
      <c r="M98" s="90"/>
      <c r="N98" s="103"/>
    </row>
    <row r="99" spans="1:14">
      <c r="A99" s="90"/>
      <c r="I99" s="61"/>
      <c r="J99" s="61"/>
      <c r="K99" s="61"/>
      <c r="L99" s="90"/>
      <c r="M99" s="90"/>
      <c r="N99" s="103"/>
    </row>
    <row r="100" spans="1:14">
      <c r="A100" s="90"/>
      <c r="I100" s="61"/>
      <c r="J100" s="61"/>
      <c r="K100" s="61"/>
      <c r="L100" s="90"/>
      <c r="M100" s="90"/>
      <c r="N100" s="103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3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3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3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3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3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3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3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3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3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3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3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3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3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3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3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3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3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3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3"/>
    </row>
    <row r="121" spans="1:14">
      <c r="A121" s="90"/>
      <c r="I121" s="61"/>
      <c r="J121" s="61"/>
      <c r="K121" s="61"/>
      <c r="L121" s="90"/>
      <c r="M121" s="90"/>
      <c r="N121" s="103"/>
    </row>
    <row r="122" spans="1:14">
      <c r="A122" s="90"/>
      <c r="I122" s="61"/>
      <c r="J122" s="61"/>
      <c r="K122" s="61"/>
      <c r="L122" s="90"/>
      <c r="M122" s="90"/>
      <c r="N122" s="103"/>
    </row>
    <row r="123" spans="1:14">
      <c r="A123" s="90"/>
      <c r="I123" s="61"/>
      <c r="J123" s="61"/>
      <c r="K123" s="61"/>
      <c r="L123" s="90"/>
      <c r="M123" s="90"/>
      <c r="N123" s="103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3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3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3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3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3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3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3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3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3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3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3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3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3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3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3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3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3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3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3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3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3"/>
    </row>
    <row r="145" spans="1:14">
      <c r="A145" s="90"/>
      <c r="I145" s="61"/>
      <c r="J145" s="61"/>
      <c r="K145" s="61"/>
      <c r="L145" s="90"/>
      <c r="M145" s="90"/>
      <c r="N145" s="103"/>
    </row>
    <row r="146" spans="1:14">
      <c r="A146" s="90"/>
      <c r="I146" s="61"/>
      <c r="J146" s="61"/>
      <c r="K146" s="61"/>
      <c r="L146" s="90"/>
      <c r="M146" s="90"/>
      <c r="N146" s="103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3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3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3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3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3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3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3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3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3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3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3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3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3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3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3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3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3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3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3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3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3"/>
    </row>
    <row r="169" spans="1:14">
      <c r="A169" s="90"/>
      <c r="I169" s="61"/>
      <c r="J169" s="61"/>
      <c r="K169" s="61"/>
      <c r="L169" s="90"/>
      <c r="M169" s="90"/>
      <c r="N169" s="103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3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3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3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3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3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3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3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3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3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3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3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3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3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3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3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3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3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3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3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3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3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3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3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3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3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3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3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3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3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3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3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3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3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3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3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3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3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3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3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3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3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3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3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3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3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3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3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3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3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3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3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3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3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3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3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3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3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3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3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3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3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3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3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3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3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3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3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3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3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3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3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3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3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3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3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3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3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3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3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3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3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3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3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3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3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3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3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3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3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3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3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3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3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3"/>
      <c r="O317" s="103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3"/>
      <c r="O318" s="103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3"/>
      <c r="O319" s="103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3"/>
      <c r="O320" s="103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3"/>
      <c r="O321" s="103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3"/>
      <c r="O322" s="103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3"/>
      <c r="O323" s="103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3"/>
      <c r="O324" s="103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3"/>
      <c r="O325" s="103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3"/>
      <c r="O326" s="103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3"/>
      <c r="O327" s="103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3"/>
      <c r="O328" s="103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3"/>
      <c r="O329" s="103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3"/>
      <c r="O330" s="103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3"/>
      <c r="O331" s="103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3"/>
      <c r="O332" s="103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3"/>
      <c r="O333" s="103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3"/>
      <c r="O334" s="103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3"/>
      <c r="O335" s="103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3"/>
      <c r="O336" s="103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3"/>
      <c r="O337" s="103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3"/>
      <c r="O338" s="103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3"/>
      <c r="O339" s="103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3"/>
      <c r="O340" s="103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3"/>
      <c r="O341" s="103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3"/>
      <c r="O342" s="103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3"/>
      <c r="O343" s="103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3"/>
      <c r="O344" s="103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3"/>
      <c r="O345" s="103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3"/>
      <c r="O346" s="103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3"/>
      <c r="O347" s="103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3"/>
      <c r="O348" s="103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3"/>
      <c r="O349" s="103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3"/>
      <c r="O350" s="103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3"/>
      <c r="O351" s="103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3"/>
      <c r="O352" s="103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3"/>
      <c r="O353" s="103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3"/>
      <c r="O354" s="103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3"/>
      <c r="O355" s="103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3"/>
      <c r="O356" s="103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3"/>
      <c r="O357" s="103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3"/>
      <c r="O358" s="103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3"/>
      <c r="O359" s="103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3"/>
      <c r="O360" s="103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3"/>
      <c r="O361" s="103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3"/>
      <c r="O362" s="103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3"/>
      <c r="O363" s="103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3"/>
      <c r="O364" s="103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3"/>
      <c r="O365" s="103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3"/>
      <c r="O366" s="103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3"/>
      <c r="O367" s="103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3"/>
      <c r="O368" s="103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3"/>
      <c r="O369" s="103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3"/>
      <c r="O370" s="103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3"/>
      <c r="O371" s="103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3"/>
      <c r="O372" s="103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3"/>
      <c r="O373" s="103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3"/>
      <c r="O374" s="103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3"/>
      <c r="O375" s="103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3"/>
      <c r="O376" s="103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3"/>
      <c r="O377" s="103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3"/>
      <c r="O378" s="103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3"/>
      <c r="O379" s="103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3"/>
      <c r="O380" s="103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3"/>
      <c r="O381" s="103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3"/>
      <c r="O382" s="103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3"/>
      <c r="O383" s="103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3"/>
      <c r="O384" s="103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3"/>
      <c r="O385" s="103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3"/>
      <c r="O386" s="103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3"/>
      <c r="O387" s="103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3"/>
      <c r="O388" s="103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3"/>
      <c r="O389" s="103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3"/>
      <c r="O390" s="103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3"/>
      <c r="O391" s="103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3"/>
      <c r="O392" s="103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3"/>
      <c r="O393" s="103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3"/>
      <c r="O394" s="103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3"/>
      <c r="O395" s="103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3"/>
      <c r="O396" s="103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3"/>
      <c r="O397" s="103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3"/>
      <c r="O398" s="103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3"/>
      <c r="O399" s="103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3"/>
      <c r="O400" s="103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3"/>
      <c r="O401" s="103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3"/>
      <c r="O402" s="103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3"/>
      <c r="O403" s="103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3"/>
      <c r="O404" s="103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3"/>
      <c r="O405" s="103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3"/>
      <c r="O406" s="103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3"/>
      <c r="O407" s="103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3"/>
      <c r="O408" s="103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3"/>
      <c r="O409" s="103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3"/>
      <c r="O410" s="103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3"/>
      <c r="O411" s="103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3"/>
      <c r="O412" s="103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3"/>
      <c r="O413" s="103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3"/>
      <c r="O414" s="103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3"/>
      <c r="O415" s="103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3"/>
      <c r="O416" s="103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3"/>
      <c r="O417" s="103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3"/>
      <c r="O418" s="103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3"/>
      <c r="O419" s="103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3"/>
      <c r="O420" s="103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3"/>
      <c r="O421" s="103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3"/>
      <c r="O422" s="103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3"/>
      <c r="O423" s="103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3"/>
      <c r="O424" s="103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3"/>
      <c r="O425" s="103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3"/>
      <c r="O426" s="103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3"/>
      <c r="O427" s="103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3"/>
      <c r="O428" s="103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3"/>
      <c r="O429" s="103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3"/>
      <c r="O430" s="103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3"/>
      <c r="O431" s="103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3"/>
      <c r="O432" s="103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3"/>
      <c r="O433" s="103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3"/>
      <c r="O434" s="103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3"/>
      <c r="O435" s="103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3"/>
      <c r="O436" s="103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3"/>
      <c r="O437" s="103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3"/>
      <c r="O438" s="103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3"/>
      <c r="O439" s="103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3"/>
      <c r="O440" s="103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3"/>
      <c r="O441" s="103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3"/>
      <c r="O442" s="103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3"/>
      <c r="O443" s="103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3"/>
      <c r="O444" s="103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3"/>
      <c r="O445" s="103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3"/>
      <c r="O446" s="103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3"/>
      <c r="O447" s="103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3"/>
      <c r="O448" s="103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3"/>
      <c r="O449" s="103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3"/>
      <c r="O450" s="103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3"/>
      <c r="O451" s="103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3"/>
      <c r="O452" s="103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3"/>
      <c r="O453" s="103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3"/>
      <c r="O454" s="103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3"/>
      <c r="O455" s="103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3"/>
      <c r="O456" s="103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3"/>
      <c r="O457" s="103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3"/>
      <c r="O458" s="103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3"/>
      <c r="O459" s="103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3"/>
      <c r="O460" s="103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3"/>
      <c r="O461" s="103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3"/>
      <c r="O462" s="103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3"/>
      <c r="O463" s="103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3"/>
      <c r="O464" s="103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3"/>
      <c r="O465" s="103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3"/>
      <c r="O466" s="103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3"/>
      <c r="O467" s="103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3"/>
      <c r="O468" s="103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3"/>
      <c r="O469" s="103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3"/>
      <c r="O470" s="103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3"/>
      <c r="O471" s="103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3"/>
      <c r="O472" s="103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3"/>
      <c r="O473" s="103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3"/>
      <c r="O474" s="103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3"/>
      <c r="O475" s="103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3"/>
      <c r="O476" s="103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3"/>
      <c r="O477" s="103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3"/>
      <c r="O478" s="103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3"/>
      <c r="O479" s="103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3"/>
      <c r="O480" s="103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3"/>
      <c r="O481" s="103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3"/>
      <c r="O482" s="103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3"/>
      <c r="O483" s="103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3"/>
      <c r="O484" s="103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3"/>
      <c r="O485" s="103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3"/>
      <c r="O486" s="103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3"/>
      <c r="O487" s="103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3"/>
      <c r="O488" s="103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3"/>
      <c r="O489" s="103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3"/>
      <c r="O490" s="103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3"/>
      <c r="O491" s="103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3"/>
      <c r="O492" s="103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3"/>
      <c r="O493" s="103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3"/>
      <c r="O494" s="103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3"/>
      <c r="O495" s="103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3"/>
      <c r="O496" s="103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3"/>
      <c r="O497" s="103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3"/>
      <c r="O498" s="103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3"/>
      <c r="O499" s="103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3"/>
      <c r="O500" s="103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3"/>
      <c r="O501" s="103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3"/>
      <c r="O502" s="103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3"/>
      <c r="O503" s="103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3"/>
      <c r="O504" s="103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3"/>
      <c r="O505" s="103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3"/>
      <c r="O506" s="103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3"/>
      <c r="O507" s="103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3"/>
      <c r="O508" s="103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3"/>
      <c r="O509" s="103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3"/>
      <c r="O510" s="103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3"/>
      <c r="O511" s="103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3"/>
      <c r="O512" s="103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3"/>
      <c r="O513" s="103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3"/>
      <c r="O514" s="103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3"/>
      <c r="O515" s="103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3"/>
      <c r="O516" s="103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3"/>
      <c r="O517" s="103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3"/>
      <c r="O518" s="103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3"/>
      <c r="O519" s="103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3"/>
      <c r="O520" s="103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3"/>
      <c r="O521" s="103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3"/>
      <c r="O522" s="103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3"/>
      <c r="O523" s="103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3"/>
      <c r="O524" s="103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3"/>
      <c r="O525" s="103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3"/>
      <c r="O526" s="103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3"/>
      <c r="O527" s="103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3"/>
      <c r="O528" s="103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3"/>
      <c r="O529" s="103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3"/>
      <c r="O530" s="103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3"/>
      <c r="O531" s="103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3"/>
      <c r="O532" s="103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3"/>
      <c r="O533" s="103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3"/>
      <c r="O534" s="103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3"/>
      <c r="O535" s="103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3"/>
      <c r="O536" s="103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3"/>
      <c r="O537" s="103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3"/>
      <c r="O538" s="103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3"/>
      <c r="O539" s="103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3"/>
      <c r="O540" s="103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3"/>
      <c r="O541" s="103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3"/>
      <c r="O542" s="103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3"/>
      <c r="O543" s="103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3"/>
      <c r="O544" s="103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3"/>
      <c r="O545" s="103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3"/>
      <c r="O546" s="103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3"/>
      <c r="O547" s="103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3"/>
      <c r="O548" s="103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3"/>
      <c r="O549" s="103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3"/>
      <c r="O550" s="103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3"/>
      <c r="O551" s="103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3"/>
      <c r="O552" s="103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3"/>
      <c r="O553" s="103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3"/>
      <c r="O554" s="103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3"/>
      <c r="O555" s="103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3"/>
      <c r="O556" s="103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3"/>
      <c r="O557" s="103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3"/>
      <c r="O558" s="103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3"/>
      <c r="O559" s="103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3"/>
      <c r="O560" s="103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3"/>
      <c r="O561" s="103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3"/>
      <c r="O562" s="103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3"/>
      <c r="O563" s="103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3"/>
      <c r="O564" s="103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3"/>
      <c r="O565" s="103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3"/>
      <c r="O566" s="103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3"/>
      <c r="O567" s="103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3"/>
      <c r="O568" s="103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3"/>
      <c r="O569" s="103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3"/>
      <c r="O570" s="103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3"/>
      <c r="O571" s="103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3"/>
      <c r="O572" s="103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3"/>
      <c r="O573" s="103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3"/>
      <c r="O574" s="103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3"/>
      <c r="O575" s="103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3"/>
      <c r="O576" s="103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3"/>
      <c r="O577" s="103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3"/>
      <c r="O578" s="103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3"/>
      <c r="O579" s="103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3"/>
      <c r="O580" s="103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3"/>
      <c r="O581" s="103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3"/>
      <c r="O582" s="103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3"/>
      <c r="O583" s="103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3"/>
      <c r="O584" s="103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3"/>
      <c r="O585" s="103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3"/>
      <c r="O586" s="103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3"/>
      <c r="O587" s="103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3"/>
      <c r="O588" s="103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3"/>
      <c r="O589" s="103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3"/>
      <c r="O590" s="103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3"/>
      <c r="O591" s="103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3"/>
      <c r="O592" s="103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3"/>
      <c r="O593" s="103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3"/>
      <c r="O594" s="103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3"/>
      <c r="O595" s="103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3"/>
      <c r="O596" s="103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3"/>
      <c r="O597" s="103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3"/>
      <c r="O598" s="103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3"/>
      <c r="O599" s="103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3"/>
      <c r="O600" s="103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3"/>
      <c r="O601" s="103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3"/>
      <c r="O602" s="103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3"/>
      <c r="O603" s="103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3"/>
      <c r="O604" s="103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3"/>
      <c r="O605" s="103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3"/>
      <c r="O606" s="103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3"/>
      <c r="O607" s="103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3"/>
      <c r="O608" s="103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3"/>
      <c r="O609" s="103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3"/>
      <c r="O610" s="103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3"/>
      <c r="O611" s="103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3"/>
      <c r="O612" s="103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3"/>
      <c r="O613" s="103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3"/>
      <c r="O614" s="103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3"/>
      <c r="O615" s="103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3"/>
      <c r="O616" s="103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3"/>
      <c r="O617" s="103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3"/>
      <c r="O618" s="103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3"/>
      <c r="O619" s="103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3"/>
      <c r="O620" s="103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3"/>
      <c r="O621" s="103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3"/>
      <c r="O622" s="103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3"/>
      <c r="O623" s="103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3"/>
      <c r="O624" s="103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3"/>
      <c r="O625" s="103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3"/>
      <c r="O626" s="103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3"/>
      <c r="O627" s="103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3"/>
      <c r="O628" s="103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3"/>
      <c r="O629" s="103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3"/>
      <c r="O630" s="103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3"/>
      <c r="O631" s="103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3"/>
      <c r="O632" s="103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3"/>
      <c r="O633" s="103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3"/>
      <c r="O634" s="103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3"/>
      <c r="O635" s="103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3"/>
      <c r="O636" s="103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3"/>
      <c r="O637" s="103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3"/>
      <c r="O638" s="103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3"/>
      <c r="O639" s="103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3"/>
      <c r="O640" s="103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3"/>
      <c r="O641" s="103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3"/>
      <c r="O642" s="103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3"/>
      <c r="O643" s="103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3"/>
      <c r="O644" s="103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3"/>
      <c r="O645" s="103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3"/>
      <c r="O646" s="103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3"/>
      <c r="O647" s="103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3"/>
      <c r="O648" s="103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3"/>
      <c r="O649" s="103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3"/>
      <c r="O650" s="103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3"/>
      <c r="O651" s="103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3"/>
      <c r="O652" s="103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3"/>
      <c r="O653" s="103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3"/>
      <c r="O654" s="103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3"/>
      <c r="O655" s="103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3"/>
      <c r="O656" s="103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3"/>
      <c r="O657" s="103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3"/>
      <c r="O658" s="103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3"/>
      <c r="O659" s="103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3"/>
      <c r="O660" s="103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3"/>
      <c r="O661" s="103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3"/>
      <c r="O662" s="103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3"/>
      <c r="O663" s="103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3"/>
      <c r="O664" s="103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3"/>
      <c r="O665" s="103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3"/>
      <c r="O666" s="103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3"/>
      <c r="O667" s="103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3"/>
      <c r="O668" s="103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3"/>
      <c r="O669" s="103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3"/>
      <c r="O670" s="103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3"/>
      <c r="O671" s="103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3"/>
      <c r="O672" s="103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3"/>
      <c r="O673" s="103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3"/>
      <c r="O674" s="103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3"/>
      <c r="O675" s="103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3"/>
      <c r="O676" s="103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3"/>
      <c r="O677" s="103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3"/>
      <c r="O678" s="103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3"/>
      <c r="O679" s="103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3"/>
      <c r="O680" s="103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3"/>
      <c r="O681" s="103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3"/>
      <c r="O682" s="103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3"/>
      <c r="O683" s="103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3"/>
      <c r="O684" s="103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3"/>
      <c r="O685" s="103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3"/>
      <c r="O686" s="103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3"/>
      <c r="O687" s="103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3"/>
      <c r="O688" s="103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3"/>
      <c r="O689" s="103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3"/>
      <c r="O690" s="103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3"/>
      <c r="O691" s="103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3"/>
      <c r="O692" s="103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3"/>
      <c r="O693" s="103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3"/>
      <c r="O694" s="103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3"/>
      <c r="O695" s="103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3"/>
      <c r="O696" s="103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3"/>
      <c r="O697" s="103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3"/>
      <c r="O698" s="103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3"/>
      <c r="O699" s="103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3"/>
      <c r="O700" s="103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3"/>
      <c r="O701" s="103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3"/>
      <c r="O702" s="103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3"/>
      <c r="O703" s="103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3"/>
      <c r="O704" s="103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3"/>
      <c r="O705" s="103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3"/>
      <c r="O706" s="103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3"/>
      <c r="O707" s="103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3"/>
      <c r="O708" s="103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3"/>
      <c r="O709" s="103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3"/>
      <c r="O710" s="103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3"/>
      <c r="O711" s="103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3"/>
      <c r="O712" s="103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3"/>
      <c r="O713" s="103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3"/>
      <c r="O714" s="103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3"/>
      <c r="O715" s="103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3"/>
      <c r="O716" s="103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3"/>
      <c r="O717" s="103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3"/>
      <c r="O718" s="103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3"/>
      <c r="O719" s="103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3"/>
      <c r="O720" s="103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3"/>
      <c r="O721" s="103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3"/>
      <c r="O722" s="103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3"/>
      <c r="O723" s="103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3"/>
      <c r="O724" s="103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3"/>
      <c r="O725" s="103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3"/>
      <c r="O726" s="103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3"/>
      <c r="O727" s="103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3"/>
      <c r="O728" s="103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3"/>
      <c r="O729" s="103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3"/>
      <c r="O730" s="103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3"/>
      <c r="O731" s="103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3"/>
      <c r="O732" s="103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3"/>
      <c r="O733" s="103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3"/>
      <c r="O734" s="103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3"/>
      <c r="O735" s="103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3"/>
      <c r="O736" s="103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3"/>
      <c r="O737" s="103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3"/>
      <c r="O738" s="103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3"/>
      <c r="O739" s="103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3"/>
      <c r="O740" s="103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3"/>
      <c r="O741" s="103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3"/>
      <c r="O742" s="103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3"/>
      <c r="O743" s="103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3"/>
      <c r="O744" s="103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3"/>
      <c r="O745" s="103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3"/>
      <c r="O746" s="103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3"/>
      <c r="O747" s="103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3"/>
      <c r="O748" s="103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3"/>
      <c r="O749" s="103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3"/>
      <c r="O750" s="103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3"/>
      <c r="O751" s="103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3"/>
      <c r="O752" s="103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3"/>
      <c r="O753" s="103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3"/>
      <c r="O754" s="103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3"/>
      <c r="O755" s="103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3"/>
      <c r="O756" s="103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3"/>
      <c r="O757" s="103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3"/>
      <c r="O758" s="103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3"/>
      <c r="O759" s="103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3"/>
      <c r="O760" s="103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3"/>
      <c r="O761" s="103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3"/>
      <c r="O762" s="103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3"/>
      <c r="O763" s="103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3"/>
      <c r="O764" s="103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3"/>
      <c r="O765" s="103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3"/>
      <c r="O766" s="103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3"/>
      <c r="O767" s="103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3"/>
      <c r="O768" s="103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3"/>
      <c r="O769" s="103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3"/>
      <c r="O770" s="103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3"/>
      <c r="O771" s="103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3"/>
      <c r="O772" s="103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3"/>
      <c r="O773" s="103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3"/>
      <c r="O774" s="103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3"/>
      <c r="O775" s="103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3"/>
      <c r="O776" s="103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3"/>
      <c r="O777" s="103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3"/>
      <c r="O778" s="103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3"/>
      <c r="O779" s="103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3"/>
      <c r="O780" s="103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3"/>
      <c r="O781" s="103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3"/>
      <c r="O782" s="103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3"/>
      <c r="O783" s="103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3"/>
      <c r="O784" s="103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3"/>
      <c r="O785" s="103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3"/>
      <c r="O786" s="103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3"/>
      <c r="O787" s="103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3"/>
      <c r="O788" s="103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3"/>
      <c r="O789" s="103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3"/>
      <c r="O790" s="103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3"/>
      <c r="O791" s="103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3"/>
      <c r="O792" s="103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3"/>
      <c r="O793" s="103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3"/>
      <c r="O794" s="103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3"/>
      <c r="O795" s="103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3"/>
      <c r="O796" s="103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3"/>
      <c r="O797" s="103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3"/>
      <c r="O798" s="103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3"/>
      <c r="O799" s="103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3"/>
      <c r="O800" s="103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3"/>
      <c r="O801" s="103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3"/>
      <c r="O802" s="103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3"/>
      <c r="O803" s="103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3"/>
      <c r="O804" s="103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3"/>
      <c r="O805" s="103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3"/>
      <c r="O806" s="103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3"/>
      <c r="O807" s="103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3"/>
      <c r="O808" s="103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3"/>
      <c r="O809" s="103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3"/>
      <c r="O810" s="103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3"/>
      <c r="O811" s="103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3"/>
      <c r="O812" s="103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3"/>
      <c r="O813" s="103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3"/>
      <c r="O814" s="103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3"/>
      <c r="O815" s="103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3"/>
      <c r="O816" s="103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3"/>
      <c r="O817" s="103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3"/>
      <c r="O818" s="103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3"/>
      <c r="O819" s="103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3"/>
      <c r="O820" s="103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3"/>
      <c r="O821" s="103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3"/>
      <c r="O822" s="103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3"/>
      <c r="O823" s="103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3"/>
      <c r="O824" s="103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3"/>
      <c r="O825" s="103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3"/>
      <c r="O826" s="103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3"/>
      <c r="O827" s="103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3"/>
      <c r="O828" s="103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3"/>
      <c r="O829" s="103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3"/>
      <c r="O830" s="103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3"/>
      <c r="O831" s="103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3"/>
      <c r="O832" s="103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3"/>
      <c r="O833" s="103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3"/>
      <c r="O834" s="103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3"/>
      <c r="O835" s="103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3"/>
      <c r="O836" s="103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3"/>
      <c r="O837" s="103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3"/>
      <c r="O838" s="103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3"/>
      <c r="O839" s="103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3"/>
      <c r="O840" s="103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3"/>
      <c r="O841" s="103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3"/>
      <c r="O842" s="103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3"/>
      <c r="O843" s="103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3"/>
      <c r="O844" s="103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3"/>
      <c r="O845" s="103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3"/>
      <c r="O846" s="103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3"/>
      <c r="O847" s="103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3"/>
      <c r="O848" s="103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3"/>
      <c r="O849" s="103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3"/>
      <c r="O850" s="103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3"/>
      <c r="O851" s="103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3"/>
      <c r="O852" s="103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3"/>
      <c r="O853" s="103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3"/>
      <c r="O854" s="103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3"/>
      <c r="O855" s="103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3"/>
      <c r="O856" s="103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3"/>
      <c r="O857" s="103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3"/>
      <c r="O858" s="103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3"/>
      <c r="O859" s="103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3"/>
      <c r="O860" s="103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3"/>
      <c r="O861" s="103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3"/>
      <c r="O862" s="103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3"/>
      <c r="O863" s="103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3"/>
      <c r="O864" s="103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3"/>
      <c r="O865" s="103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3"/>
      <c r="O866" s="103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3"/>
      <c r="O867" s="103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3"/>
      <c r="O868" s="103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3"/>
      <c r="O869" s="103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3"/>
      <c r="O870" s="103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3"/>
      <c r="O871" s="103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3"/>
      <c r="O872" s="103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3"/>
      <c r="O873" s="103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3"/>
      <c r="O874" s="103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3"/>
      <c r="O875" s="103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3"/>
      <c r="O876" s="103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3"/>
      <c r="O877" s="103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3"/>
      <c r="O878" s="103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3"/>
      <c r="O879" s="103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3"/>
      <c r="O880" s="103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3"/>
      <c r="O881" s="103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3"/>
      <c r="O882" s="103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3"/>
      <c r="O883" s="103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3"/>
      <c r="O884" s="103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3"/>
      <c r="O885" s="103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3"/>
      <c r="O886" s="103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3"/>
      <c r="O887" s="103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3"/>
      <c r="O888" s="103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3"/>
      <c r="O889" s="103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3"/>
      <c r="O890" s="103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3"/>
      <c r="O891" s="103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3"/>
      <c r="O892" s="103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3"/>
      <c r="O893" s="103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3"/>
      <c r="O894" s="103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3"/>
      <c r="O895" s="103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3"/>
      <c r="O896" s="103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3"/>
      <c r="O897" s="103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3"/>
      <c r="O898" s="103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3"/>
      <c r="O899" s="103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3"/>
      <c r="O900" s="103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3"/>
      <c r="O901" s="103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3"/>
      <c r="O902" s="103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3"/>
      <c r="O903" s="103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3"/>
      <c r="O904" s="103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3"/>
      <c r="O905" s="103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3"/>
      <c r="O906" s="103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3"/>
      <c r="O907" s="103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3"/>
      <c r="O908" s="103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3"/>
      <c r="O909" s="103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3"/>
      <c r="O910" s="103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3"/>
      <c r="O911" s="103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3"/>
      <c r="O912" s="103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3"/>
      <c r="O913" s="103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3"/>
      <c r="O914" s="103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3"/>
      <c r="O915" s="103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3"/>
      <c r="O916" s="103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3"/>
      <c r="O917" s="103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3"/>
      <c r="O918" s="103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3"/>
      <c r="O919" s="103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3"/>
      <c r="O920" s="103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3"/>
      <c r="O921" s="103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3"/>
      <c r="O922" s="103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3"/>
      <c r="O923" s="103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3"/>
      <c r="O924" s="103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3"/>
      <c r="O925" s="103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3"/>
      <c r="O926" s="103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3"/>
      <c r="O927" s="103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3"/>
      <c r="O928" s="103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3"/>
      <c r="O929" s="103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3"/>
      <c r="O930" s="103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3"/>
      <c r="O931" s="103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3"/>
      <c r="O932" s="103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3"/>
      <c r="O933" s="103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3"/>
      <c r="O934" s="103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3"/>
      <c r="O935" s="103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3"/>
      <c r="O936" s="103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3"/>
      <c r="O937" s="103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3"/>
      <c r="O938" s="103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3"/>
      <c r="O939" s="103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3"/>
      <c r="O940" s="103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3"/>
      <c r="O941" s="103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3"/>
      <c r="O942" s="103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3"/>
      <c r="O943" s="103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3"/>
      <c r="O944" s="103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3"/>
      <c r="O945" s="103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3"/>
      <c r="O946" s="103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3"/>
      <c r="O947" s="103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3"/>
      <c r="O948" s="103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3"/>
      <c r="O949" s="103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3"/>
      <c r="O950" s="103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3"/>
      <c r="O951" s="103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3"/>
      <c r="O952" s="103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3"/>
      <c r="O953" s="103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3"/>
      <c r="O954" s="103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3"/>
      <c r="O955" s="103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3"/>
      <c r="O956" s="103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3"/>
      <c r="O957" s="103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3"/>
      <c r="O958" s="103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3"/>
      <c r="O959" s="103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3"/>
      <c r="O960" s="103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3"/>
      <c r="O961" s="103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3"/>
      <c r="O962" s="103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3"/>
      <c r="O963" s="103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3"/>
      <c r="O964" s="103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3"/>
      <c r="O965" s="103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3"/>
      <c r="O966" s="103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3"/>
      <c r="O967" s="103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3"/>
      <c r="O968" s="103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3"/>
      <c r="O969" s="103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3"/>
      <c r="O970" s="103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3"/>
      <c r="O971" s="103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3"/>
      <c r="O972" s="103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3"/>
      <c r="O973" s="103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3"/>
      <c r="O974" s="103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3"/>
      <c r="O975" s="103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3"/>
      <c r="O976" s="103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3"/>
      <c r="O977" s="103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3"/>
      <c r="O978" s="103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3"/>
      <c r="O979" s="103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3"/>
      <c r="O980" s="103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3"/>
      <c r="O981" s="103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3"/>
      <c r="O982" s="103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3"/>
      <c r="O983" s="103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3"/>
      <c r="O984" s="103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3"/>
      <c r="O985" s="103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3"/>
      <c r="O986" s="103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3"/>
      <c r="O987" s="103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3"/>
      <c r="O988" s="103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3"/>
      <c r="O989" s="103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3"/>
      <c r="O990" s="103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3"/>
      <c r="O991" s="103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3"/>
      <c r="O992" s="103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3"/>
      <c r="O993" s="103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3"/>
      <c r="O994" s="103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3"/>
      <c r="O995" s="103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3"/>
      <c r="O996" s="103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3"/>
      <c r="O997" s="103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3"/>
      <c r="O998" s="103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3"/>
      <c r="O999" s="103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3"/>
      <c r="O1000" s="103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3"/>
      <c r="O1001" s="103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3"/>
      <c r="O1002" s="103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3"/>
      <c r="O1003" s="103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3"/>
      <c r="O1004" s="103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3"/>
      <c r="O1005" s="103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3"/>
      <c r="O1006" s="103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3"/>
      <c r="O1007" s="103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3"/>
      <c r="O1008" s="103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3"/>
      <c r="O1009" s="103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3"/>
      <c r="O1010" s="103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3"/>
      <c r="O1011" s="103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3"/>
      <c r="O1012" s="103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3"/>
      <c r="O1013" s="103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3"/>
      <c r="O1014" s="103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3"/>
      <c r="O1015" s="103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3"/>
      <c r="O1016" s="103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3"/>
      <c r="O1017" s="103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3"/>
      <c r="O1018" s="103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3"/>
      <c r="O1019" s="103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3"/>
      <c r="O1020" s="103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3"/>
      <c r="O1021" s="103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3"/>
      <c r="O1022" s="103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3"/>
      <c r="O1023" s="103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3"/>
      <c r="O1024" s="103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3"/>
      <c r="O1025" s="103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3"/>
      <c r="O1026" s="103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3"/>
      <c r="O1027" s="103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3"/>
      <c r="O1028" s="103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3"/>
      <c r="O1029" s="103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3"/>
      <c r="O1030" s="103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3"/>
      <c r="O1031" s="103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3"/>
      <c r="O1032" s="103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3"/>
      <c r="O1033" s="103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3"/>
      <c r="O1034" s="103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3"/>
      <c r="O1035" s="103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3"/>
      <c r="O1036" s="103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3"/>
      <c r="O1037" s="103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3"/>
      <c r="O1038" s="103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3"/>
      <c r="O1039" s="103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3"/>
      <c r="O1040" s="103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3"/>
      <c r="O1041" s="103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3"/>
      <c r="O1042" s="103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3"/>
      <c r="O1043" s="103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3"/>
      <c r="O1044" s="103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3"/>
      <c r="O1045" s="103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3"/>
      <c r="O1046" s="103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3"/>
      <c r="O1047" s="103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3"/>
      <c r="O1048" s="103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3"/>
      <c r="O1049" s="103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3"/>
      <c r="O1050" s="103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3"/>
      <c r="O1051" s="103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3"/>
      <c r="O1052" s="103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3"/>
      <c r="O1053" s="103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3"/>
      <c r="O1054" s="103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3"/>
      <c r="O1055" s="103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3"/>
      <c r="O1056" s="103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3"/>
      <c r="O1057" s="103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3"/>
      <c r="O1058" s="103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3"/>
      <c r="O1059" s="103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3"/>
      <c r="O1060" s="103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3"/>
      <c r="O1061" s="103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3"/>
      <c r="O1062" s="103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3"/>
      <c r="O1063" s="103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3"/>
      <c r="O1064" s="103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3"/>
      <c r="O1065" s="103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3"/>
      <c r="O1066" s="103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3"/>
      <c r="O1067" s="103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3"/>
      <c r="O1068" s="103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3"/>
      <c r="O1069" s="103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3"/>
      <c r="O1070" s="103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3"/>
      <c r="O1071" s="103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3"/>
      <c r="O1072" s="103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3"/>
      <c r="O1073" s="103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3"/>
      <c r="O1074" s="103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3"/>
      <c r="O1075" s="103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3"/>
      <c r="O1076" s="103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3"/>
      <c r="O1077" s="103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3"/>
      <c r="O1078" s="103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3"/>
      <c r="O1079" s="103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3"/>
      <c r="O1080" s="103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3"/>
      <c r="O1081" s="103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3"/>
      <c r="O1082" s="103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3"/>
      <c r="O1083" s="103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3"/>
      <c r="O1084" s="103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3"/>
      <c r="O1085" s="103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3"/>
      <c r="O1086" s="103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3"/>
      <c r="O1087" s="103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3"/>
      <c r="O1088" s="103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3"/>
      <c r="O1089" s="103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3"/>
      <c r="O1090" s="103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3"/>
      <c r="O1091" s="103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3"/>
      <c r="O1092" s="103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3"/>
      <c r="O1093" s="103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3"/>
      <c r="O1094" s="103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3"/>
      <c r="O1095" s="103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3"/>
      <c r="O1096" s="103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3"/>
      <c r="O1097" s="103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3"/>
      <c r="O1098" s="103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3"/>
      <c r="O1099" s="103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3"/>
      <c r="O1100" s="103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3"/>
      <c r="O1101" s="103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3"/>
      <c r="O1102" s="103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3"/>
      <c r="O1103" s="103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3"/>
      <c r="O1104" s="103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3"/>
      <c r="O1105" s="103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3"/>
      <c r="O1106" s="103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3"/>
      <c r="O1107" s="103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3"/>
      <c r="O1108" s="103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3"/>
      <c r="O1109" s="103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3"/>
      <c r="O1110" s="103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3"/>
      <c r="O1111" s="103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3"/>
      <c r="O1112" s="103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3"/>
      <c r="O1113" s="103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3"/>
      <c r="O1114" s="103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3"/>
      <c r="O1115" s="103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3"/>
      <c r="O1116" s="103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3"/>
      <c r="O1117" s="103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3"/>
      <c r="O1118" s="103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3"/>
      <c r="O1119" s="103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3"/>
      <c r="O1120" s="103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3"/>
      <c r="O1121" s="103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3"/>
      <c r="O1122" s="103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3"/>
      <c r="O1123" s="103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3"/>
      <c r="O1124" s="103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3"/>
      <c r="O1125" s="103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3"/>
      <c r="O1126" s="103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3"/>
      <c r="O1127" s="103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3"/>
      <c r="O1128" s="103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3"/>
      <c r="O1129" s="103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3"/>
      <c r="O1130" s="103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3"/>
      <c r="O1131" s="103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3"/>
      <c r="O1132" s="103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3"/>
      <c r="O1133" s="103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3"/>
      <c r="O1134" s="103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3"/>
      <c r="O1135" s="103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3"/>
      <c r="O1136" s="103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3"/>
      <c r="O1137" s="103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3"/>
      <c r="O1138" s="103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3"/>
      <c r="O1139" s="103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3"/>
      <c r="O1140" s="103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3"/>
      <c r="O1141" s="103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3"/>
      <c r="O1142" s="103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3"/>
      <c r="O1143" s="103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3"/>
      <c r="O1144" s="103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3"/>
      <c r="O1145" s="103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3"/>
      <c r="O1146" s="103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3"/>
      <c r="O1147" s="103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3"/>
      <c r="O1148" s="103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3"/>
      <c r="O1149" s="103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3"/>
      <c r="O1150" s="103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3"/>
      <c r="O1151" s="103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3"/>
      <c r="O1152" s="103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3"/>
      <c r="O1153" s="103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3"/>
      <c r="O1154" s="103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3"/>
      <c r="O1155" s="103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3"/>
      <c r="O1156" s="103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3"/>
      <c r="O1157" s="103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3"/>
      <c r="O1158" s="103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3"/>
      <c r="O1159" s="103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3"/>
      <c r="O1160" s="103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3"/>
      <c r="O1161" s="103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3"/>
      <c r="O1162" s="103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3"/>
      <c r="O1163" s="103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3"/>
      <c r="O1164" s="103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3"/>
      <c r="O1165" s="103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3"/>
      <c r="O1166" s="103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3"/>
      <c r="O1167" s="103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3"/>
      <c r="O1168" s="103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3"/>
      <c r="O1169" s="103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3"/>
      <c r="O1170" s="103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3"/>
      <c r="O1171" s="103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3"/>
      <c r="O1172" s="103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3"/>
      <c r="O1173" s="103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3"/>
      <c r="O1174" s="103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3"/>
      <c r="O1175" s="103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3"/>
      <c r="O1176" s="103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3"/>
      <c r="O1177" s="103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3"/>
      <c r="O1178" s="103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3"/>
      <c r="O1179" s="103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3"/>
      <c r="O1180" s="103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3"/>
      <c r="O1181" s="103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3"/>
      <c r="O1182" s="103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3"/>
      <c r="O1183" s="103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3"/>
      <c r="O1184" s="103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3"/>
      <c r="O1185" s="103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3"/>
      <c r="O1186" s="103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3"/>
      <c r="O1187" s="103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3"/>
      <c r="O1188" s="103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3"/>
      <c r="O1189" s="103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3"/>
      <c r="O1190" s="103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3"/>
      <c r="O1191" s="103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3"/>
      <c r="O1192" s="103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3"/>
      <c r="O1193" s="103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3"/>
      <c r="O1194" s="103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3"/>
      <c r="O1195" s="103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3"/>
      <c r="O1196" s="103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3"/>
      <c r="O1197" s="103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3"/>
      <c r="O1198" s="103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3"/>
      <c r="O1199" s="103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3"/>
      <c r="O1200" s="103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3"/>
      <c r="O1201" s="103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3"/>
      <c r="O1202" s="103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3"/>
      <c r="O1203" s="103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3"/>
      <c r="O1204" s="103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3"/>
      <c r="O1205" s="103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3"/>
      <c r="O1206" s="103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3"/>
      <c r="O1207" s="103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3"/>
      <c r="O1208" s="103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3"/>
      <c r="O1209" s="103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3"/>
      <c r="O1210" s="103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3"/>
      <c r="O1211" s="103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3"/>
      <c r="O1212" s="103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3"/>
      <c r="O1213" s="103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3"/>
      <c r="O1214" s="103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3"/>
      <c r="O1215" s="103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3"/>
      <c r="O1216" s="103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3"/>
      <c r="O1217" s="103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3"/>
      <c r="O1218" s="103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3"/>
      <c r="O1219" s="103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3"/>
      <c r="O1220" s="103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3"/>
      <c r="O1221" s="103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3"/>
      <c r="O1222" s="103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3"/>
      <c r="O1223" s="103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3"/>
      <c r="O1224" s="103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3"/>
      <c r="O1225" s="103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3"/>
      <c r="O1226" s="103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3"/>
      <c r="O1227" s="103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3"/>
      <c r="O1228" s="103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3"/>
      <c r="O1229" s="103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3"/>
      <c r="O1230" s="103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3"/>
      <c r="O1231" s="103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3"/>
      <c r="O1232" s="103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3"/>
      <c r="O1233" s="103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3"/>
      <c r="O1234" s="103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3"/>
      <c r="O1235" s="103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3"/>
      <c r="O1236" s="103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3"/>
      <c r="O1237" s="103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3"/>
      <c r="O1238" s="103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3"/>
      <c r="O1239" s="103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3"/>
      <c r="O1240" s="103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3"/>
      <c r="O1241" s="103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3"/>
      <c r="O1242" s="103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3"/>
      <c r="O1243" s="103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3"/>
      <c r="O1244" s="103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3"/>
      <c r="O1245" s="103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3"/>
      <c r="O1246" s="103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3"/>
      <c r="O1247" s="103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3"/>
      <c r="O1248" s="103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3"/>
      <c r="O1249" s="103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3"/>
      <c r="O1250" s="103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3"/>
      <c r="O1251" s="103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3"/>
      <c r="O1252" s="103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3"/>
      <c r="O1253" s="103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3"/>
      <c r="O1254" s="103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3"/>
      <c r="O1255" s="103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3"/>
      <c r="O1256" s="103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3"/>
      <c r="O1257" s="103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3"/>
      <c r="O1258" s="103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3"/>
      <c r="O1259" s="103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3"/>
      <c r="O1260" s="103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3"/>
      <c r="O1261" s="103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3"/>
      <c r="O1262" s="103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3"/>
      <c r="O1263" s="103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3"/>
      <c r="O1264" s="103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3"/>
      <c r="O1265" s="103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3"/>
      <c r="O1266" s="103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3"/>
      <c r="O1267" s="103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3"/>
      <c r="O1268" s="103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3"/>
      <c r="O1269" s="103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3"/>
      <c r="O1270" s="103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3"/>
      <c r="O1271" s="103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3"/>
      <c r="O1272" s="103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3"/>
      <c r="O1273" s="103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3"/>
      <c r="O1274" s="103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3"/>
      <c r="O1275" s="103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3"/>
      <c r="O1276" s="103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3"/>
      <c r="O1277" s="103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3"/>
      <c r="O1278" s="103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3"/>
      <c r="O1279" s="103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3"/>
      <c r="O1280" s="103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3"/>
      <c r="O1281" s="103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3"/>
      <c r="O1282" s="103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3"/>
      <c r="O1283" s="103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3"/>
      <c r="O1284" s="103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3"/>
      <c r="O1285" s="103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3"/>
      <c r="O1286" s="103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3"/>
      <c r="O1287" s="103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3"/>
      <c r="O1288" s="103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3"/>
      <c r="O1289" s="103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3"/>
      <c r="O1290" s="103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3"/>
      <c r="O1291" s="103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3"/>
      <c r="O1292" s="103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3"/>
      <c r="O1293" s="103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3"/>
      <c r="O1294" s="103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3"/>
      <c r="O1295" s="103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3"/>
      <c r="O1296" s="103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3"/>
      <c r="O1297" s="103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3"/>
      <c r="O1298" s="103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3"/>
      <c r="O1299" s="103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3"/>
      <c r="O1300" s="103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3"/>
      <c r="O1301" s="103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3"/>
      <c r="O1302" s="103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3"/>
      <c r="O1303" s="103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3"/>
      <c r="O1304" s="103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3"/>
      <c r="O1305" s="103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3"/>
      <c r="O1306" s="103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3"/>
      <c r="O1307" s="103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3"/>
      <c r="O1308" s="103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3"/>
      <c r="O1309" s="103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3"/>
      <c r="O1310" s="103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3"/>
      <c r="O1311" s="103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3"/>
      <c r="O1312" s="103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3"/>
      <c r="O1313" s="103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3"/>
      <c r="O1314" s="103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3"/>
      <c r="O1315" s="103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3"/>
      <c r="O1316" s="103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3"/>
      <c r="O1317" s="103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3"/>
      <c r="O1318" s="103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3"/>
      <c r="O1319" s="103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3"/>
      <c r="O1320" s="103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3"/>
      <c r="O1321" s="103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3"/>
      <c r="O1322" s="103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3"/>
      <c r="O1323" s="103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3"/>
      <c r="O1324" s="103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3"/>
      <c r="O1325" s="103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3"/>
      <c r="O1326" s="103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3"/>
      <c r="O1327" s="103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3"/>
      <c r="O1328" s="103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3"/>
      <c r="O1329" s="103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3"/>
      <c r="O1330" s="103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3"/>
      <c r="O1331" s="103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3"/>
      <c r="O1332" s="103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3"/>
      <c r="O1333" s="103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3"/>
      <c r="O1334" s="103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3"/>
      <c r="O1335" s="103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3"/>
      <c r="O1336" s="103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3"/>
      <c r="O1337" s="103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3"/>
      <c r="O1338" s="103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3"/>
      <c r="O1339" s="103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3"/>
      <c r="O1340" s="103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3"/>
      <c r="O1341" s="103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3"/>
      <c r="O1342" s="103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3"/>
      <c r="O1343" s="103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3"/>
      <c r="O1344" s="103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3"/>
      <c r="O1345" s="103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3"/>
      <c r="O1346" s="103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3"/>
      <c r="O1347" s="103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3"/>
      <c r="O1348" s="103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3"/>
      <c r="O1349" s="103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3"/>
      <c r="O1350" s="103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3"/>
      <c r="O1351" s="103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3"/>
      <c r="O1352" s="103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3"/>
      <c r="O1353" s="103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3"/>
      <c r="O1354" s="103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3"/>
      <c r="O1355" s="103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3"/>
      <c r="O1356" s="103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3"/>
      <c r="O1357" s="103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3"/>
      <c r="O1358" s="103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3"/>
      <c r="O1359" s="103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3"/>
      <c r="O1360" s="103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3"/>
      <c r="O1361" s="103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3"/>
      <c r="O1362" s="103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3"/>
      <c r="O1363" s="103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3"/>
      <c r="O1364" s="103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3"/>
      <c r="O1365" s="103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3"/>
      <c r="O1366" s="103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3"/>
      <c r="O1367" s="103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3"/>
      <c r="O1368" s="103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3"/>
      <c r="O1369" s="103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3"/>
      <c r="O1370" s="103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3"/>
      <c r="O1371" s="103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3"/>
      <c r="O1372" s="103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3"/>
      <c r="O1373" s="103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3"/>
      <c r="O1374" s="103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3"/>
      <c r="O1375" s="103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3"/>
      <c r="O1376" s="103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3"/>
      <c r="O1377" s="103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3"/>
      <c r="O1378" s="103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3"/>
      <c r="O1379" s="103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3"/>
      <c r="O1380" s="103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3"/>
      <c r="O1381" s="103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3"/>
      <c r="O1382" s="103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3"/>
      <c r="O1383" s="103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3"/>
      <c r="O1384" s="103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3"/>
      <c r="O1385" s="103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3"/>
      <c r="O1386" s="103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3"/>
      <c r="O1387" s="103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3"/>
      <c r="O1388" s="103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3"/>
      <c r="O1389" s="103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3"/>
      <c r="O1390" s="103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3"/>
      <c r="O1391" s="103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3"/>
      <c r="O1392" s="103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3"/>
      <c r="O1393" s="103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3"/>
      <c r="O1394" s="103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3"/>
      <c r="O1395" s="103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3"/>
      <c r="O1396" s="103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3"/>
      <c r="O1397" s="103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3"/>
      <c r="O1398" s="103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3"/>
      <c r="O1399" s="103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3"/>
      <c r="O1400" s="103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3"/>
      <c r="O1401" s="103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3"/>
      <c r="O1402" s="103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3"/>
      <c r="O1403" s="103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3"/>
      <c r="O1404" s="103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3"/>
      <c r="O1405" s="103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3"/>
      <c r="O1406" s="103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3"/>
      <c r="O1407" s="103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3"/>
      <c r="O1408" s="103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3"/>
      <c r="O1409" s="103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3"/>
      <c r="O1410" s="103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3"/>
      <c r="O1411" s="103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3"/>
      <c r="O1412" s="103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3"/>
      <c r="O1413" s="103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3"/>
      <c r="O1414" s="103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3"/>
      <c r="O1415" s="103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3"/>
      <c r="O1416" s="103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3"/>
      <c r="O1417" s="103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3"/>
      <c r="O1418" s="103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3"/>
      <c r="O1419" s="103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3"/>
      <c r="O1420" s="103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3"/>
      <c r="O1421" s="103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3"/>
      <c r="O1422" s="103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3"/>
      <c r="O1423" s="103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3"/>
      <c r="O1424" s="103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3"/>
      <c r="O1425" s="103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3"/>
      <c r="O1426" s="103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3"/>
      <c r="O1427" s="103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3"/>
      <c r="O1428" s="103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3"/>
      <c r="O1429" s="103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3"/>
      <c r="O1430" s="103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3"/>
      <c r="O1431" s="103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3"/>
      <c r="O1432" s="103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3"/>
      <c r="O1433" s="103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3"/>
      <c r="O1434" s="103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3"/>
      <c r="O1435" s="103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3"/>
      <c r="O1436" s="103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3"/>
      <c r="O1437" s="103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3"/>
      <c r="O1438" s="103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3"/>
      <c r="O1439" s="103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3"/>
      <c r="O1440" s="103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3"/>
      <c r="O1441" s="103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3"/>
      <c r="O1442" s="103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3"/>
      <c r="O1443" s="103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3"/>
      <c r="O1444" s="103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3"/>
      <c r="O1445" s="103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3"/>
      <c r="O1446" s="103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3"/>
      <c r="O1447" s="103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3"/>
      <c r="O1448" s="103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3"/>
      <c r="O1449" s="103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3"/>
      <c r="O1450" s="103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3"/>
      <c r="O1451" s="103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3"/>
      <c r="O1452" s="103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3"/>
      <c r="O1453" s="103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3"/>
      <c r="O1454" s="103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3"/>
      <c r="O1455" s="103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3"/>
      <c r="O1456" s="103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3"/>
      <c r="O1457" s="103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3"/>
      <c r="O1458" s="103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3"/>
      <c r="O1459" s="103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3"/>
      <c r="O1460" s="103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3"/>
      <c r="O1461" s="103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3"/>
      <c r="O1462" s="103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3"/>
      <c r="O1463" s="103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3"/>
      <c r="O1464" s="103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3"/>
      <c r="O1465" s="103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3"/>
      <c r="O1466" s="103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3"/>
      <c r="O1467" s="103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3"/>
      <c r="O1468" s="103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3"/>
      <c r="O1469" s="103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3"/>
      <c r="O1470" s="103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3"/>
      <c r="O1471" s="103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3"/>
      <c r="O1472" s="103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3"/>
      <c r="O1473" s="103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3"/>
      <c r="O1474" s="103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3"/>
      <c r="O1475" s="103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3"/>
      <c r="O1476" s="103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3"/>
      <c r="O1477" s="103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3"/>
      <c r="O1478" s="103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3"/>
      <c r="O1479" s="103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3"/>
      <c r="O1480" s="103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3"/>
      <c r="O1481" s="103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3"/>
      <c r="O1482" s="103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3"/>
      <c r="O1483" s="103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3"/>
      <c r="O1484" s="103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3"/>
      <c r="O1485" s="103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3"/>
      <c r="O1486" s="103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3"/>
      <c r="O1487" s="103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3"/>
      <c r="O1488" s="103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3"/>
      <c r="O1489" s="103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3"/>
      <c r="O1490" s="103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3"/>
      <c r="O1491" s="103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3"/>
      <c r="O1492" s="103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3"/>
      <c r="O1493" s="103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3"/>
      <c r="O1494" s="103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3"/>
      <c r="O1495" s="103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3"/>
      <c r="O1496" s="103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3"/>
      <c r="O1497" s="103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3"/>
      <c r="O1498" s="103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3"/>
      <c r="O1499" s="103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3"/>
      <c r="O1500" s="103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3"/>
      <c r="O1501" s="103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3"/>
      <c r="O1502" s="103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3"/>
      <c r="O1503" s="103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3"/>
      <c r="O1504" s="103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3"/>
      <c r="O1505" s="103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3"/>
      <c r="O1506" s="103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3"/>
      <c r="O1507" s="103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3"/>
      <c r="O1508" s="103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3"/>
      <c r="O1509" s="103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3"/>
      <c r="O1510" s="103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3"/>
      <c r="O1511" s="103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3"/>
      <c r="O1512" s="103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3"/>
      <c r="O1513" s="103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3"/>
      <c r="O1514" s="103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3"/>
      <c r="O1515" s="103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3"/>
      <c r="O1516" s="103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3"/>
      <c r="O1517" s="103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3"/>
      <c r="O1518" s="103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3"/>
      <c r="O1519" s="103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3"/>
      <c r="O1520" s="103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3"/>
      <c r="O1521" s="103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3"/>
      <c r="O1522" s="103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3"/>
      <c r="O1523" s="103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3"/>
      <c r="O1524" s="103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3"/>
      <c r="O1525" s="103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3"/>
      <c r="O1526" s="103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3"/>
      <c r="O1527" s="103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3"/>
      <c r="O1528" s="103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3"/>
      <c r="O1529" s="103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3"/>
      <c r="O1530" s="103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3"/>
      <c r="O1531" s="103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3"/>
      <c r="O1532" s="103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3"/>
      <c r="O1533" s="103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3"/>
      <c r="O1534" s="103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3"/>
      <c r="O1535" s="103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3"/>
      <c r="O1536" s="103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3"/>
      <c r="O1537" s="103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3"/>
      <c r="O1538" s="103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3"/>
      <c r="O1539" s="103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3"/>
      <c r="O1540" s="103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3"/>
      <c r="O1541" s="103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3"/>
      <c r="O1542" s="103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3"/>
      <c r="O1543" s="103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3"/>
      <c r="O1544" s="103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3"/>
      <c r="O1545" s="103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3"/>
      <c r="O1546" s="103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3"/>
      <c r="O1547" s="103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3"/>
      <c r="O1548" s="103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3"/>
      <c r="O1549" s="103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3"/>
      <c r="O1550" s="103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3"/>
      <c r="O1551" s="103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3"/>
      <c r="O1552" s="103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3"/>
      <c r="O1553" s="103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3"/>
      <c r="O1554" s="103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3"/>
      <c r="O1555" s="103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3"/>
      <c r="O1556" s="103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3"/>
      <c r="O1557" s="103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3"/>
      <c r="O1558" s="103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3"/>
      <c r="O1559" s="103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3"/>
      <c r="O1560" s="103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3"/>
      <c r="O1561" s="103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3"/>
      <c r="O1562" s="103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3"/>
      <c r="O1563" s="103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3"/>
      <c r="O1564" s="103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3"/>
      <c r="O1565" s="103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3"/>
      <c r="O1566" s="103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3"/>
      <c r="O1567" s="103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3"/>
      <c r="O1568" s="103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3"/>
      <c r="O1569" s="103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3"/>
      <c r="O1570" s="103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3"/>
      <c r="O1571" s="103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3"/>
      <c r="O1572" s="103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3"/>
      <c r="O1573" s="103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3"/>
      <c r="O1574" s="103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3"/>
      <c r="O1575" s="103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3"/>
      <c r="O1576" s="103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3"/>
      <c r="O1577" s="103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3"/>
      <c r="O1578" s="103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3"/>
      <c r="O1579" s="103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3"/>
      <c r="O1580" s="103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3"/>
      <c r="O1581" s="103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3"/>
      <c r="O1582" s="103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3"/>
      <c r="O1583" s="103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3"/>
      <c r="O1584" s="103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3"/>
      <c r="O1585" s="103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3"/>
      <c r="O1586" s="103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3"/>
      <c r="O1587" s="103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3"/>
      <c r="O1588" s="103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3"/>
      <c r="O1589" s="103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3"/>
      <c r="O1590" s="103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3"/>
      <c r="O1591" s="103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3"/>
      <c r="O1592" s="103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3"/>
      <c r="O1593" s="103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3"/>
      <c r="O1594" s="103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3"/>
      <c r="O1595" s="103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3"/>
      <c r="O1596" s="103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3"/>
      <c r="O1597" s="103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3"/>
      <c r="O1598" s="103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3"/>
      <c r="O1599" s="103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3"/>
      <c r="O1600" s="103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3"/>
      <c r="O1601" s="103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3"/>
      <c r="O1602" s="103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3"/>
      <c r="O1603" s="103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3"/>
      <c r="O1604" s="103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3"/>
      <c r="O1605" s="103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3"/>
      <c r="O1606" s="103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3"/>
      <c r="O1607" s="103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3"/>
      <c r="O1608" s="103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3"/>
      <c r="O1609" s="103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3"/>
      <c r="O1610" s="103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3"/>
      <c r="O1611" s="103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3"/>
      <c r="O1612" s="103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3"/>
      <c r="O1613" s="103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3"/>
      <c r="O1614" s="103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3"/>
      <c r="O1615" s="103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3"/>
      <c r="O1616" s="103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3"/>
      <c r="O1617" s="103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3"/>
      <c r="O1618" s="103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3"/>
      <c r="O1619" s="103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3"/>
      <c r="O1620" s="103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3"/>
      <c r="O1621" s="103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3"/>
      <c r="O1622" s="103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3"/>
      <c r="O1623" s="103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3"/>
      <c r="O1624" s="103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3"/>
      <c r="O1625" s="103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3"/>
      <c r="O1626" s="103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3"/>
      <c r="O1627" s="103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3"/>
      <c r="O1628" s="103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3"/>
      <c r="O1629" s="103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3"/>
      <c r="O1630" s="103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3"/>
      <c r="O1631" s="103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3"/>
      <c r="O1632" s="103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3"/>
      <c r="O1633" s="103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3"/>
      <c r="O1634" s="103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3"/>
      <c r="O1635" s="103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3"/>
      <c r="O1636" s="103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3"/>
      <c r="O1637" s="103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3"/>
      <c r="O1638" s="103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3"/>
      <c r="O1639" s="103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3"/>
      <c r="O1640" s="103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3"/>
      <c r="O1641" s="103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3"/>
      <c r="O1642" s="103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3"/>
      <c r="O1643" s="103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3"/>
      <c r="O1644" s="103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3"/>
      <c r="O1645" s="103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3"/>
      <c r="O1646" s="103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3"/>
      <c r="O1647" s="103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3"/>
      <c r="O1648" s="103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3"/>
      <c r="O1649" s="103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3"/>
      <c r="O1650" s="103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3"/>
      <c r="O1651" s="103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3"/>
      <c r="O1652" s="103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3"/>
      <c r="O1653" s="103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3"/>
      <c r="O1654" s="103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3"/>
      <c r="O1655" s="103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3"/>
      <c r="O1656" s="103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3"/>
      <c r="O1657" s="103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3"/>
      <c r="O1658" s="103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3"/>
      <c r="O1659" s="103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3"/>
      <c r="O1660" s="103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3"/>
      <c r="O1661" s="103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3"/>
      <c r="O1662" s="103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3"/>
      <c r="O1663" s="103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3"/>
      <c r="O1664" s="103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3"/>
      <c r="O1665" s="103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3"/>
      <c r="O1666" s="103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3"/>
      <c r="O1667" s="103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3"/>
      <c r="O1668" s="103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3"/>
      <c r="O1669" s="103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3"/>
      <c r="O1670" s="103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3"/>
      <c r="O1671" s="103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3"/>
      <c r="O1672" s="103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3"/>
      <c r="O1673" s="103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3"/>
      <c r="O1674" s="103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3"/>
      <c r="O1675" s="103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3"/>
      <c r="O1676" s="103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3"/>
      <c r="O1677" s="103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3"/>
      <c r="O1678" s="103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3"/>
      <c r="O1679" s="103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3"/>
      <c r="O1680" s="103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3"/>
      <c r="O1681" s="103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3"/>
      <c r="O1682" s="103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3"/>
      <c r="O1683" s="103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3"/>
      <c r="O1684" s="103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3"/>
      <c r="O1685" s="103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3"/>
      <c r="O1686" s="103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3"/>
      <c r="O1687" s="103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3"/>
      <c r="O1688" s="103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3"/>
      <c r="O1689" s="103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3"/>
      <c r="O1690" s="103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3"/>
      <c r="O1691" s="103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3"/>
      <c r="O1692" s="103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3"/>
      <c r="O1693" s="103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3"/>
      <c r="O1694" s="103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3"/>
      <c r="O1695" s="103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3"/>
      <c r="O1696" s="103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3"/>
      <c r="O1697" s="103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3"/>
      <c r="O1698" s="103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3"/>
      <c r="O1699" s="103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3"/>
      <c r="O1700" s="103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3"/>
      <c r="O1701" s="103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3"/>
      <c r="O1702" s="103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3"/>
      <c r="O1703" s="103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3"/>
      <c r="O1704" s="103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3"/>
      <c r="O1705" s="103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3"/>
      <c r="O1706" s="103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3"/>
      <c r="O1707" s="103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3"/>
      <c r="O1708" s="103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3"/>
      <c r="O1709" s="103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3"/>
      <c r="O1710" s="103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3"/>
      <c r="O1711" s="103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3"/>
      <c r="O1712" s="103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3"/>
      <c r="O1713" s="103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3"/>
      <c r="O1714" s="103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3"/>
      <c r="O1715" s="103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3"/>
      <c r="O1716" s="103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3"/>
      <c r="O1717" s="103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3"/>
      <c r="O1718" s="103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3"/>
      <c r="O1719" s="103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3"/>
      <c r="O1720" s="103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3"/>
      <c r="O1721" s="103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3"/>
      <c r="O1722" s="103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3"/>
      <c r="O1723" s="103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3"/>
      <c r="O1724" s="103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3"/>
      <c r="O1725" s="103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3"/>
      <c r="O1726" s="103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3"/>
      <c r="O1727" s="103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3"/>
      <c r="O1728" s="103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3"/>
      <c r="O1729" s="103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3"/>
      <c r="O1730" s="103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3"/>
      <c r="O1731" s="103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3"/>
      <c r="O1732" s="103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3"/>
      <c r="O1733" s="103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3"/>
      <c r="O1734" s="103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3"/>
      <c r="O1735" s="103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3"/>
      <c r="O1736" s="103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3"/>
      <c r="O1737" s="103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3"/>
      <c r="O1738" s="103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3"/>
      <c r="O1739" s="103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3"/>
      <c r="O1740" s="103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3"/>
      <c r="O1741" s="103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3"/>
      <c r="O1742" s="103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3"/>
      <c r="O1743" s="103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3"/>
      <c r="O1744" s="103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3"/>
      <c r="O1745" s="103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3"/>
      <c r="O1746" s="103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3"/>
      <c r="O1747" s="103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3"/>
      <c r="O1748" s="103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3"/>
      <c r="O1749" s="103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3"/>
      <c r="O1750" s="103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3"/>
      <c r="O1751" s="103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3"/>
      <c r="O1752" s="103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3"/>
      <c r="O1753" s="103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3"/>
      <c r="O1754" s="103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3"/>
      <c r="O1755" s="103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3"/>
      <c r="O1756" s="103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3"/>
      <c r="O1757" s="103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3"/>
      <c r="O1758" s="103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3"/>
      <c r="O1759" s="103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3"/>
      <c r="O1760" s="103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3"/>
      <c r="O1761" s="103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3"/>
      <c r="O1762" s="103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3"/>
      <c r="O1763" s="103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3"/>
      <c r="O1764" s="103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3"/>
      <c r="O1765" s="103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3"/>
      <c r="O1766" s="103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3"/>
      <c r="O1767" s="103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3"/>
      <c r="O1768" s="103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3"/>
      <c r="O1769" s="103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3"/>
      <c r="O1770" s="103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3"/>
      <c r="O1771" s="103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3"/>
      <c r="O1772" s="103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3"/>
      <c r="O1773" s="103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3"/>
      <c r="O1774" s="103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3"/>
      <c r="O1775" s="103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3"/>
      <c r="O1776" s="103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3"/>
      <c r="O1777" s="103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3"/>
      <c r="O1778" s="103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3"/>
      <c r="O1779" s="103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3"/>
      <c r="O1780" s="103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3"/>
      <c r="O1781" s="103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3"/>
      <c r="O1782" s="103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3"/>
      <c r="O1783" s="103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3"/>
      <c r="O1784" s="103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3"/>
      <c r="O1785" s="103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3"/>
      <c r="O1786" s="103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3"/>
      <c r="O1787" s="103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3"/>
      <c r="O1788" s="103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3"/>
      <c r="O1789" s="103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3"/>
      <c r="O1790" s="103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3"/>
      <c r="O1791" s="103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3"/>
      <c r="O1792" s="103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3"/>
      <c r="O1793" s="103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3"/>
      <c r="O1794" s="103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3"/>
      <c r="O1795" s="103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3"/>
      <c r="O1796" s="103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3"/>
      <c r="O1797" s="103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3"/>
      <c r="O1798" s="103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3"/>
      <c r="O1799" s="103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3"/>
      <c r="O1800" s="103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3"/>
      <c r="O1801" s="103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3"/>
      <c r="O1802" s="103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3"/>
      <c r="O1803" s="103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3"/>
      <c r="O1804" s="103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3"/>
      <c r="O1805" s="103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3"/>
      <c r="O1806" s="103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3"/>
      <c r="O1807" s="103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3"/>
      <c r="O1808" s="103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3"/>
      <c r="O1809" s="103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3"/>
      <c r="O1810" s="103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3"/>
      <c r="O1811" s="103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3"/>
      <c r="O1812" s="103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3"/>
      <c r="O1813" s="103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3"/>
      <c r="O1814" s="103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3"/>
      <c r="O1815" s="103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3"/>
      <c r="O1816" s="103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3"/>
      <c r="O1817" s="103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3"/>
      <c r="O1818" s="103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3"/>
      <c r="O1819" s="103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3"/>
      <c r="O1820" s="103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3"/>
      <c r="O1821" s="103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3"/>
      <c r="O1822" s="103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3"/>
      <c r="O1823" s="103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3"/>
      <c r="O1824" s="103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3"/>
      <c r="O1825" s="103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3"/>
      <c r="O1826" s="103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3"/>
      <c r="O1827" s="103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3"/>
      <c r="O1828" s="103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3"/>
      <c r="O1829" s="103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3"/>
      <c r="O1830" s="103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3"/>
      <c r="O1831" s="103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3"/>
      <c r="O1832" s="103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3"/>
      <c r="O1833" s="103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3"/>
      <c r="O1834" s="103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3"/>
      <c r="O1835" s="103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3"/>
      <c r="O1836" s="103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3"/>
      <c r="O1837" s="103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3"/>
      <c r="O1838" s="103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3"/>
      <c r="O1839" s="103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3"/>
      <c r="O1840" s="103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3"/>
      <c r="O1841" s="103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3"/>
      <c r="O1842" s="103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3"/>
      <c r="O1843" s="103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3"/>
      <c r="O1844" s="103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3"/>
      <c r="O1845" s="103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3"/>
      <c r="O1846" s="103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3"/>
      <c r="O1847" s="103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3"/>
      <c r="O1848" s="103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3"/>
      <c r="O1849" s="103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3"/>
      <c r="O1850" s="103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3"/>
      <c r="O1851" s="103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3"/>
      <c r="O1852" s="103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3"/>
      <c r="O1853" s="103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3"/>
      <c r="O1854" s="103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3"/>
      <c r="O1855" s="103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3"/>
      <c r="O1856" s="103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3"/>
      <c r="O1857" s="103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3"/>
      <c r="O1858" s="103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3"/>
      <c r="O1859" s="103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3"/>
      <c r="O1860" s="103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3"/>
      <c r="O1861" s="103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3"/>
      <c r="O1862" s="103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3"/>
      <c r="O1863" s="103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3"/>
      <c r="O1864" s="103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3"/>
      <c r="O1865" s="103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3"/>
      <c r="O1866" s="103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3"/>
      <c r="O1867" s="103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3"/>
      <c r="O1868" s="103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3"/>
      <c r="O1869" s="103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3"/>
      <c r="O1870" s="103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3"/>
      <c r="O1871" s="103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3"/>
      <c r="O1872" s="103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3"/>
      <c r="O1873" s="103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3"/>
      <c r="O1874" s="103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3"/>
      <c r="O1875" s="103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3"/>
      <c r="O1876" s="103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3"/>
      <c r="O1877" s="103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3"/>
      <c r="O1878" s="103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3"/>
      <c r="O1879" s="103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3"/>
      <c r="O1880" s="103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3"/>
      <c r="O1881" s="103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3"/>
      <c r="O1882" s="103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3"/>
      <c r="O1883" s="103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3"/>
      <c r="O1884" s="103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3"/>
      <c r="O1885" s="103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3"/>
      <c r="O1886" s="103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3"/>
      <c r="O1887" s="103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3"/>
      <c r="O1888" s="103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3"/>
      <c r="O1889" s="103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3"/>
      <c r="O1890" s="103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3"/>
      <c r="O1891" s="103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3"/>
      <c r="O1892" s="103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3"/>
      <c r="O1893" s="103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3"/>
      <c r="O1894" s="103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3"/>
      <c r="O1895" s="103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3"/>
      <c r="O1896" s="103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3"/>
      <c r="O1897" s="103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3"/>
      <c r="O1898" s="103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3"/>
      <c r="O1899" s="103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3"/>
      <c r="O1900" s="103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3"/>
      <c r="O1901" s="103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3"/>
      <c r="O1902" s="103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3"/>
      <c r="O1903" s="103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3"/>
      <c r="O1904" s="103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3"/>
      <c r="O1905" s="103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3"/>
      <c r="O1906" s="103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3"/>
      <c r="O1907" s="103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3"/>
      <c r="O1908" s="103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3"/>
      <c r="O1909" s="103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3"/>
      <c r="O1910" s="103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3"/>
      <c r="O1911" s="103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3"/>
      <c r="O1912" s="103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3"/>
      <c r="O1913" s="103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3"/>
      <c r="O1914" s="103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3"/>
      <c r="O1915" s="103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3"/>
      <c r="O1916" s="103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3"/>
      <c r="O1917" s="103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3"/>
      <c r="O1918" s="103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3"/>
      <c r="O1919" s="103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3"/>
      <c r="O1920" s="103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3"/>
      <c r="O1921" s="103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3"/>
      <c r="O1922" s="103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3"/>
      <c r="O1923" s="103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3"/>
      <c r="O1924" s="103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3"/>
      <c r="O1925" s="103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3"/>
      <c r="O1926" s="103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3"/>
      <c r="O1927" s="103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3"/>
      <c r="O1928" s="103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3"/>
      <c r="O1929" s="103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3"/>
      <c r="O1930" s="103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3"/>
      <c r="O1931" s="103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3"/>
      <c r="O1932" s="103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3"/>
      <c r="O1933" s="103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3"/>
      <c r="O1934" s="103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3"/>
      <c r="O1935" s="103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3"/>
      <c r="O1936" s="103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3"/>
      <c r="O1937" s="103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3"/>
      <c r="O1938" s="103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3"/>
      <c r="O1939" s="103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3"/>
      <c r="O1940" s="103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3"/>
      <c r="O1941" s="103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3"/>
      <c r="O1942" s="103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3"/>
      <c r="O1943" s="103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3"/>
      <c r="O1944" s="103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3"/>
      <c r="O1945" s="103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3"/>
      <c r="O1946" s="103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3"/>
      <c r="O1947" s="103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3"/>
      <c r="O1948" s="103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3"/>
      <c r="O1949" s="103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3"/>
      <c r="O1950" s="103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3"/>
      <c r="O1951" s="103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3"/>
      <c r="O1952" s="103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3"/>
      <c r="O1953" s="103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3"/>
      <c r="O1954" s="103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3"/>
      <c r="O1955" s="103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3"/>
      <c r="O1956" s="103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3"/>
      <c r="O1957" s="103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3"/>
      <c r="O1958" s="103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3"/>
      <c r="O1959" s="103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3"/>
      <c r="O1960" s="103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3"/>
      <c r="O1961" s="103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3"/>
      <c r="O1962" s="103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3"/>
      <c r="O1963" s="103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3"/>
      <c r="O1964" s="103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3"/>
      <c r="O1965" s="103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3"/>
      <c r="O1966" s="103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3"/>
      <c r="O1967" s="103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Normal="100" workbookViewId="0">
      <selection activeCell="M3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3" t="s">
        <v>2</v>
      </c>
      <c r="F1" s="133"/>
      <c r="G1" s="133"/>
      <c r="H1" s="133"/>
      <c r="I1" s="133"/>
      <c r="J1" s="133"/>
      <c r="K1" s="134"/>
      <c r="L1" s="11"/>
      <c r="M1" s="132" t="s">
        <v>3</v>
      </c>
      <c r="N1" s="133"/>
      <c r="O1" s="133"/>
      <c r="P1" s="133"/>
      <c r="Q1" s="133"/>
      <c r="R1" s="133"/>
      <c r="S1" s="134"/>
      <c r="T1" s="34"/>
      <c r="U1" s="132" t="s">
        <v>10</v>
      </c>
      <c r="V1" s="133"/>
      <c r="W1" s="134"/>
      <c r="X1" s="29"/>
      <c r="Y1" s="135" t="s">
        <v>1</v>
      </c>
      <c r="Z1" s="135"/>
      <c r="AA1" s="136"/>
      <c r="AC1" s="132" t="s">
        <v>62</v>
      </c>
      <c r="AD1" s="133"/>
      <c r="AE1" s="133"/>
      <c r="AF1" s="133"/>
      <c r="AG1" s="133"/>
      <c r="AH1" s="133"/>
      <c r="AI1" s="134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271.2088</v>
      </c>
      <c r="F7" s="45">
        <v>42.231200000000001</v>
      </c>
      <c r="G7" s="45">
        <v>43.103700000000003</v>
      </c>
      <c r="H7" s="45">
        <v>43.1325</v>
      </c>
      <c r="I7" s="79"/>
      <c r="J7" s="79"/>
      <c r="K7" s="80"/>
      <c r="L7" s="29"/>
      <c r="M7" s="45">
        <v>271.3648</v>
      </c>
      <c r="N7" s="45">
        <v>42.231299999999997</v>
      </c>
      <c r="O7" s="45">
        <v>43.100700000000003</v>
      </c>
      <c r="P7" s="45">
        <v>43.132300000000001</v>
      </c>
      <c r="Q7" s="79"/>
      <c r="R7" s="79"/>
      <c r="S7" s="80"/>
      <c r="U7" s="8">
        <f>bdrate($E7:$E10,F7:F10,$M7:$M10,N7:N10)</f>
        <v>1.1452196529782022E-3</v>
      </c>
      <c r="V7" s="9">
        <f>bdrate($E7:$E10,G7:G10,$M7:$M10,O7:O10)</f>
        <v>8.3602561896878314E-5</v>
      </c>
      <c r="W7" s="10">
        <f>bdrate($E7:$E10,H7:H10,$M7:$M10,P7:P10)</f>
        <v>2.0954311567100703E-3</v>
      </c>
      <c r="X7" s="29"/>
      <c r="Y7" s="24"/>
      <c r="Z7" s="24"/>
      <c r="AA7" s="27"/>
      <c r="AC7" s="45">
        <f t="shared" si="0"/>
        <v>-0.15600000000000591</v>
      </c>
      <c r="AD7" s="45">
        <f t="shared" si="0"/>
        <v>-9.9999999996214228E-5</v>
      </c>
      <c r="AE7" s="45">
        <f t="shared" si="0"/>
        <v>3.0000000000001137E-3</v>
      </c>
      <c r="AF7" s="45">
        <f t="shared" si="0"/>
        <v>1.9999999999953388E-4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123.4408</v>
      </c>
      <c r="F8" s="46">
        <v>39.915900000000001</v>
      </c>
      <c r="G8" s="46">
        <v>41.818100000000001</v>
      </c>
      <c r="H8" s="46">
        <v>41.53</v>
      </c>
      <c r="I8" s="66"/>
      <c r="J8" s="66"/>
      <c r="K8" s="67"/>
      <c r="L8" s="29"/>
      <c r="M8" s="46">
        <v>123.68640000000001</v>
      </c>
      <c r="N8" s="46">
        <v>39.918700000000001</v>
      </c>
      <c r="O8" s="46">
        <v>41.823799999999999</v>
      </c>
      <c r="P8" s="46">
        <v>41.531199999999998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-0.24560000000001025</v>
      </c>
      <c r="AD8" s="46">
        <f t="shared" si="0"/>
        <v>-2.8000000000005798E-3</v>
      </c>
      <c r="AE8" s="46">
        <f t="shared" si="0"/>
        <v>-5.6999999999973738E-3</v>
      </c>
      <c r="AF8" s="46">
        <f t="shared" si="0"/>
        <v>-1.1999999999972033E-3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64.404799999999994</v>
      </c>
      <c r="F9" s="46">
        <v>37.313200000000002</v>
      </c>
      <c r="G9" s="46">
        <v>40.566200000000002</v>
      </c>
      <c r="H9" s="46">
        <v>40.051400000000001</v>
      </c>
      <c r="I9" s="66"/>
      <c r="J9" s="66"/>
      <c r="K9" s="67"/>
      <c r="L9" s="29"/>
      <c r="M9" s="46">
        <v>64.501599999999996</v>
      </c>
      <c r="N9" s="46">
        <v>37.316499999999998</v>
      </c>
      <c r="O9" s="46">
        <v>40.5687</v>
      </c>
      <c r="P9" s="46">
        <v>40.043300000000002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-9.6800000000001774E-2</v>
      </c>
      <c r="AD9" s="46">
        <f t="shared" si="0"/>
        <v>-3.2999999999958618E-3</v>
      </c>
      <c r="AE9" s="46">
        <f t="shared" si="0"/>
        <v>-2.4999999999977263E-3</v>
      </c>
      <c r="AF9" s="46">
        <f t="shared" si="0"/>
        <v>8.0999999999988859E-3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33.863199999999999</v>
      </c>
      <c r="F10" s="46">
        <v>34.5839</v>
      </c>
      <c r="G10" s="46">
        <v>39.469299999999997</v>
      </c>
      <c r="H10" s="46">
        <v>38.793900000000001</v>
      </c>
      <c r="I10" s="66"/>
      <c r="J10" s="66"/>
      <c r="K10" s="67"/>
      <c r="L10" s="29"/>
      <c r="M10" s="46">
        <v>33.990400000000001</v>
      </c>
      <c r="N10" s="46">
        <v>34.587800000000001</v>
      </c>
      <c r="O10" s="46">
        <v>39.472900000000003</v>
      </c>
      <c r="P10" s="46">
        <v>38.8078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-0.12720000000000198</v>
      </c>
      <c r="AD10" s="46">
        <f t="shared" si="0"/>
        <v>-3.9000000000015689E-3</v>
      </c>
      <c r="AE10" s="46">
        <f t="shared" si="0"/>
        <v>-3.6000000000058208E-3</v>
      </c>
      <c r="AF10" s="46">
        <f t="shared" si="0"/>
        <v>-1.3899999999999579E-2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300.16239999999999</v>
      </c>
      <c r="F11" s="45">
        <v>41.902799999999999</v>
      </c>
      <c r="G11" s="45">
        <v>42.546599999999998</v>
      </c>
      <c r="H11" s="45">
        <v>42.863599999999998</v>
      </c>
      <c r="I11" s="79"/>
      <c r="J11" s="79"/>
      <c r="K11" s="80"/>
      <c r="L11" s="29"/>
      <c r="M11" s="45">
        <v>300.5136</v>
      </c>
      <c r="N11" s="45">
        <v>41.904000000000003</v>
      </c>
      <c r="O11" s="45">
        <v>42.547400000000003</v>
      </c>
      <c r="P11" s="45">
        <v>42.867899999999999</v>
      </c>
      <c r="Q11" s="79"/>
      <c r="R11" s="79"/>
      <c r="S11" s="80"/>
      <c r="U11" s="8">
        <f>bdrate($E11:$E14,F11:F14,$M11:$M14,N11:N14)</f>
        <v>8.9721706074796792E-4</v>
      </c>
      <c r="V11" s="9">
        <f>bdrate($E11:$E14,G11:G14,$M11:$M14,O11:O14)</f>
        <v>6.0329058496872978E-3</v>
      </c>
      <c r="W11" s="10">
        <f>bdrate($E11:$E14,H11:H14,$M11:$M14,P11:P14)</f>
        <v>2.0068336125078634E-3</v>
      </c>
      <c r="X11" s="29"/>
      <c r="Y11" s="24"/>
      <c r="Z11" s="24"/>
      <c r="AA11" s="27"/>
      <c r="AC11" s="45">
        <f t="shared" si="0"/>
        <v>-0.35120000000000573</v>
      </c>
      <c r="AD11" s="45">
        <f t="shared" si="0"/>
        <v>-1.2000000000043087E-3</v>
      </c>
      <c r="AE11" s="45">
        <f t="shared" si="0"/>
        <v>-8.0000000000524096E-4</v>
      </c>
      <c r="AF11" s="45">
        <f t="shared" si="0"/>
        <v>-4.3000000000006366E-3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136.06720000000001</v>
      </c>
      <c r="F12" s="46">
        <v>39.668500000000002</v>
      </c>
      <c r="G12" s="46">
        <v>41.237099999999998</v>
      </c>
      <c r="H12" s="46">
        <v>41.304400000000001</v>
      </c>
      <c r="I12" s="66"/>
      <c r="J12" s="66"/>
      <c r="K12" s="67"/>
      <c r="L12" s="29"/>
      <c r="M12" s="46">
        <v>136.1576</v>
      </c>
      <c r="N12" s="46">
        <v>39.671799999999998</v>
      </c>
      <c r="O12" s="46">
        <v>41.228299999999997</v>
      </c>
      <c r="P12" s="46">
        <v>41.300699999999999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-9.0399999999988268E-2</v>
      </c>
      <c r="AD12" s="46">
        <f t="shared" si="0"/>
        <v>-3.2999999999958618E-3</v>
      </c>
      <c r="AE12" s="46">
        <f t="shared" si="0"/>
        <v>8.8000000000008072E-3</v>
      </c>
      <c r="AF12" s="46">
        <f t="shared" si="0"/>
        <v>3.700000000002035E-3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71.078400000000002</v>
      </c>
      <c r="F13" s="46">
        <v>37.107199999999999</v>
      </c>
      <c r="G13" s="46">
        <v>40.077599999999997</v>
      </c>
      <c r="H13" s="46">
        <v>39.859900000000003</v>
      </c>
      <c r="I13" s="66"/>
      <c r="J13" s="66"/>
      <c r="K13" s="67"/>
      <c r="L13" s="29"/>
      <c r="M13" s="46">
        <v>71.231200000000001</v>
      </c>
      <c r="N13" s="46">
        <v>37.108899999999998</v>
      </c>
      <c r="O13" s="46">
        <v>40.063299999999998</v>
      </c>
      <c r="P13" s="46">
        <v>39.855499999999999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-0.15279999999999916</v>
      </c>
      <c r="AD13" s="46">
        <f t="shared" si="0"/>
        <v>-1.6999999999995907E-3</v>
      </c>
      <c r="AE13" s="46">
        <f t="shared" si="0"/>
        <v>1.4299999999998647E-2</v>
      </c>
      <c r="AF13" s="46">
        <f t="shared" si="0"/>
        <v>4.4000000000039563E-3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37.650399999999998</v>
      </c>
      <c r="F14" s="72">
        <v>34.4009</v>
      </c>
      <c r="G14" s="72">
        <v>38.993600000000001</v>
      </c>
      <c r="H14" s="72">
        <v>38.595300000000002</v>
      </c>
      <c r="I14" s="68"/>
      <c r="J14" s="68"/>
      <c r="K14" s="69"/>
      <c r="L14" s="29"/>
      <c r="M14" s="72">
        <v>37.706400000000002</v>
      </c>
      <c r="N14" s="72">
        <v>34.400199999999998</v>
      </c>
      <c r="O14" s="72">
        <v>38.994900000000001</v>
      </c>
      <c r="P14" s="72">
        <v>38.602899999999998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-5.6000000000004491E-2</v>
      </c>
      <c r="AD14" s="72">
        <f t="shared" si="0"/>
        <v>7.0000000000192131E-4</v>
      </c>
      <c r="AE14" s="72">
        <f t="shared" si="0"/>
        <v>-1.300000000000523E-3</v>
      </c>
      <c r="AF14" s="72">
        <f t="shared" si="0"/>
        <v>-7.5999999999964984E-3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116.1408</v>
      </c>
      <c r="F15" s="45">
        <v>39.5929</v>
      </c>
      <c r="G15" s="78"/>
      <c r="H15" s="78"/>
      <c r="I15" s="79"/>
      <c r="J15" s="79"/>
      <c r="K15" s="80"/>
      <c r="L15" s="29"/>
      <c r="M15" s="45">
        <v>116.8232</v>
      </c>
      <c r="N15" s="45">
        <v>39.599200000000003</v>
      </c>
      <c r="O15" s="78"/>
      <c r="P15" s="78"/>
      <c r="Q15" s="79"/>
      <c r="R15" s="79"/>
      <c r="S15" s="80"/>
      <c r="U15" s="8">
        <f>bdrate($E15:$E18,F15:F18,$M15:$M18,N15:N18)</f>
        <v>-5.030396764209577E-4</v>
      </c>
      <c r="V15" s="9"/>
      <c r="W15" s="10"/>
      <c r="X15" s="29"/>
      <c r="Y15" s="24"/>
      <c r="Z15" s="24"/>
      <c r="AA15" s="27"/>
      <c r="AC15" s="45">
        <f t="shared" si="0"/>
        <v>-0.68240000000000123</v>
      </c>
      <c r="AD15" s="45">
        <f t="shared" si="0"/>
        <v>-6.3000000000030809E-3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38.808</v>
      </c>
      <c r="F16" s="46">
        <v>36.426000000000002</v>
      </c>
      <c r="G16" s="70"/>
      <c r="H16" s="70"/>
      <c r="I16" s="66"/>
      <c r="J16" s="66"/>
      <c r="K16" s="67"/>
      <c r="L16" s="29"/>
      <c r="M16" s="46">
        <v>38.872799999999998</v>
      </c>
      <c r="N16" s="46">
        <v>36.445700000000002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-6.4799999999998192E-2</v>
      </c>
      <c r="AD16" s="46">
        <f t="shared" si="0"/>
        <v>-1.9700000000000273E-2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16.9192</v>
      </c>
      <c r="F17" s="46">
        <v>34.028100000000002</v>
      </c>
      <c r="G17" s="70"/>
      <c r="H17" s="70"/>
      <c r="I17" s="66"/>
      <c r="J17" s="66"/>
      <c r="K17" s="67"/>
      <c r="L17" s="29"/>
      <c r="M17" s="46">
        <v>16.860800000000001</v>
      </c>
      <c r="N17" s="46">
        <v>34.017800000000001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5.8399999999998897E-2</v>
      </c>
      <c r="AD17" s="46">
        <f t="shared" si="0"/>
        <v>1.0300000000000864E-2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8.4687999999999999</v>
      </c>
      <c r="F18" s="46">
        <v>31.5505</v>
      </c>
      <c r="G18" s="70"/>
      <c r="H18" s="70"/>
      <c r="I18" s="66"/>
      <c r="J18" s="66"/>
      <c r="K18" s="67"/>
      <c r="L18" s="29"/>
      <c r="M18" s="46">
        <v>8.5007999999999999</v>
      </c>
      <c r="N18" s="46">
        <v>31.5244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-3.2000000000000028E-2</v>
      </c>
      <c r="AD18" s="46">
        <f t="shared" si="0"/>
        <v>2.6099999999999568E-2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86.388000000000005</v>
      </c>
      <c r="F19" s="45">
        <v>37.4617</v>
      </c>
      <c r="G19" s="78"/>
      <c r="H19" s="78"/>
      <c r="I19" s="79"/>
      <c r="J19" s="79"/>
      <c r="K19" s="80"/>
      <c r="L19" s="29"/>
      <c r="M19" s="45">
        <v>86.380799999999994</v>
      </c>
      <c r="N19" s="45">
        <v>37.459299999999999</v>
      </c>
      <c r="O19" s="78"/>
      <c r="P19" s="78"/>
      <c r="Q19" s="79"/>
      <c r="R19" s="79"/>
      <c r="S19" s="80"/>
      <c r="U19" s="8">
        <f>bdrate($E19:$E22,F19:F22,$M19:$M22,N19:N22)</f>
        <v>-7.1523020212655997E-3</v>
      </c>
      <c r="V19" s="9"/>
      <c r="W19" s="10"/>
      <c r="X19" s="29"/>
      <c r="Y19" s="24"/>
      <c r="Z19" s="24"/>
      <c r="AA19" s="27"/>
      <c r="AC19" s="45">
        <f t="shared" si="0"/>
        <v>7.2000000000116415E-3</v>
      </c>
      <c r="AD19" s="45">
        <f t="shared" si="0"/>
        <v>2.400000000001512E-3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28.317599999999999</v>
      </c>
      <c r="F20" s="46">
        <v>34.4452</v>
      </c>
      <c r="G20" s="70"/>
      <c r="H20" s="70"/>
      <c r="I20" s="66"/>
      <c r="J20" s="66"/>
      <c r="K20" s="67"/>
      <c r="L20" s="29"/>
      <c r="M20" s="46">
        <v>28.202400000000001</v>
      </c>
      <c r="N20" s="46">
        <v>34.4574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0.11519999999999797</v>
      </c>
      <c r="AD20" s="46">
        <f t="shared" si="0"/>
        <v>-1.2199999999999989E-2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12.076000000000001</v>
      </c>
      <c r="F21" s="46">
        <v>31.960899999999999</v>
      </c>
      <c r="G21" s="70"/>
      <c r="H21" s="70"/>
      <c r="I21" s="66"/>
      <c r="J21" s="66"/>
      <c r="K21" s="67"/>
      <c r="L21" s="29"/>
      <c r="M21" s="46">
        <v>12.1264</v>
      </c>
      <c r="N21" s="46">
        <v>32.007399999999997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-5.0399999999999778E-2</v>
      </c>
      <c r="AD21" s="46">
        <f t="shared" si="0"/>
        <v>-4.6499999999998209E-2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5.8727999999999998</v>
      </c>
      <c r="F22" s="46">
        <v>29.346800000000002</v>
      </c>
      <c r="G22" s="70"/>
      <c r="H22" s="70"/>
      <c r="I22" s="66"/>
      <c r="J22" s="66"/>
      <c r="K22" s="67"/>
      <c r="L22" s="29"/>
      <c r="M22" s="46">
        <v>5.8743999999999996</v>
      </c>
      <c r="N22" s="46">
        <v>29.363600000000002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-1.5999999999998238E-3</v>
      </c>
      <c r="AD22" s="46">
        <f t="shared" si="0"/>
        <v>-1.6799999999999926E-2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96.1096</v>
      </c>
      <c r="F23" s="45">
        <v>36.782299999999999</v>
      </c>
      <c r="G23" s="78"/>
      <c r="H23" s="78"/>
      <c r="I23" s="79"/>
      <c r="J23" s="79"/>
      <c r="K23" s="80"/>
      <c r="L23" s="29"/>
      <c r="M23" s="45">
        <v>96.391999999999996</v>
      </c>
      <c r="N23" s="45">
        <v>36.767099999999999</v>
      </c>
      <c r="O23" s="78"/>
      <c r="P23" s="78"/>
      <c r="Q23" s="79"/>
      <c r="R23" s="79"/>
      <c r="S23" s="80"/>
      <c r="U23" s="8">
        <f>bdrate($E23:$E26,F23:F26,$M23:$M26,N23:N26)</f>
        <v>5.8520764335010522E-3</v>
      </c>
      <c r="V23" s="9"/>
      <c r="W23" s="10"/>
      <c r="X23" s="29"/>
      <c r="Y23" s="24"/>
      <c r="Z23" s="24"/>
      <c r="AA23" s="27"/>
      <c r="AC23" s="45">
        <f t="shared" si="0"/>
        <v>-0.28239999999999554</v>
      </c>
      <c r="AD23" s="45">
        <f t="shared" si="0"/>
        <v>1.5200000000000102E-2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31.0016</v>
      </c>
      <c r="F24" s="46">
        <v>33.600999999999999</v>
      </c>
      <c r="G24" s="70"/>
      <c r="H24" s="70"/>
      <c r="I24" s="66"/>
      <c r="J24" s="66"/>
      <c r="K24" s="67"/>
      <c r="L24" s="29"/>
      <c r="M24" s="46">
        <v>31.2624</v>
      </c>
      <c r="N24" s="46">
        <v>33.589700000000001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-0.2607999999999997</v>
      </c>
      <c r="AD24" s="46">
        <f t="shared" si="0"/>
        <v>1.1299999999998533E-2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13.4056</v>
      </c>
      <c r="F25" s="46">
        <v>31.041899999999998</v>
      </c>
      <c r="G25" s="70"/>
      <c r="H25" s="70"/>
      <c r="I25" s="66"/>
      <c r="J25" s="66"/>
      <c r="K25" s="67"/>
      <c r="L25" s="29"/>
      <c r="M25" s="46">
        <v>13.297599999999999</v>
      </c>
      <c r="N25" s="46">
        <v>31.019600000000001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0.10800000000000054</v>
      </c>
      <c r="AD25" s="46">
        <f t="shared" si="0"/>
        <v>2.2299999999997766E-2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6.3487999999999998</v>
      </c>
      <c r="F26" s="46">
        <v>28.143799999999999</v>
      </c>
      <c r="G26" s="70"/>
      <c r="H26" s="70"/>
      <c r="I26" s="66"/>
      <c r="J26" s="66"/>
      <c r="K26" s="67"/>
      <c r="L26" s="29"/>
      <c r="M26" s="46">
        <v>6.3712</v>
      </c>
      <c r="N26" s="46">
        <v>28.144400000000001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-2.2400000000000198E-2</v>
      </c>
      <c r="AD26" s="46">
        <f t="shared" si="0"/>
        <v>-6.0000000000215437E-4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42.319499999999998</v>
      </c>
      <c r="G27" s="45">
        <v>45.363999999999997</v>
      </c>
      <c r="H27" s="45">
        <v>45.081400000000002</v>
      </c>
      <c r="I27" s="79"/>
      <c r="J27" s="79"/>
      <c r="K27" s="80"/>
      <c r="L27" s="29"/>
      <c r="M27" s="78"/>
      <c r="N27" s="45">
        <v>42.327199999999998</v>
      </c>
      <c r="O27" s="45">
        <v>45.363500000000002</v>
      </c>
      <c r="P27" s="45">
        <v>45.079700000000003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-7.6999999999998181E-3</v>
      </c>
      <c r="AE27" s="45">
        <f>G27 -O27</f>
        <v>4.99999999995282E-4</v>
      </c>
      <c r="AF27" s="45">
        <f>H27 -P27</f>
        <v>1.6999999999995907E-3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40.116500000000002</v>
      </c>
      <c r="G28" s="46">
        <v>43.7241</v>
      </c>
      <c r="H28" s="46">
        <v>43.112299999999998</v>
      </c>
      <c r="I28" s="66"/>
      <c r="J28" s="66"/>
      <c r="K28" s="67"/>
      <c r="L28" s="29"/>
      <c r="M28" s="70"/>
      <c r="N28" s="46">
        <v>40.122</v>
      </c>
      <c r="O28" s="46">
        <v>43.7346</v>
      </c>
      <c r="P28" s="46">
        <v>43.134900000000002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-5.49999999999784E-3</v>
      </c>
      <c r="AE28" s="46">
        <f t="shared" si="1"/>
        <v>-1.0500000000000398E-2</v>
      </c>
      <c r="AF28" s="46">
        <f t="shared" si="1"/>
        <v>-2.2600000000004172E-2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37.628500000000003</v>
      </c>
      <c r="G29" s="46">
        <v>42.067300000000003</v>
      </c>
      <c r="H29" s="46">
        <v>41.292999999999999</v>
      </c>
      <c r="I29" s="66"/>
      <c r="J29" s="66"/>
      <c r="K29" s="67"/>
      <c r="L29" s="29"/>
      <c r="M29" s="70"/>
      <c r="N29" s="46">
        <v>37.630299999999998</v>
      </c>
      <c r="O29" s="46">
        <v>42.067999999999998</v>
      </c>
      <c r="P29" s="46">
        <v>41.288699999999999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-1.799999999995805E-3</v>
      </c>
      <c r="AE29" s="46">
        <f t="shared" si="1"/>
        <v>-6.9999999999481588E-4</v>
      </c>
      <c r="AF29" s="46">
        <f t="shared" si="1"/>
        <v>4.3000000000006366E-3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34.93</v>
      </c>
      <c r="G30" s="72">
        <v>40.713299999999997</v>
      </c>
      <c r="H30" s="72">
        <v>39.810600000000001</v>
      </c>
      <c r="I30" s="68"/>
      <c r="J30" s="68"/>
      <c r="K30" s="69"/>
      <c r="L30" s="29"/>
      <c r="M30" s="81"/>
      <c r="N30" s="72">
        <v>34.930500000000002</v>
      </c>
      <c r="O30" s="72">
        <v>40.720500000000001</v>
      </c>
      <c r="P30" s="72">
        <v>39.829599999999999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-5.0000000000238742E-4</v>
      </c>
      <c r="AE30" s="72">
        <f t="shared" si="1"/>
        <v>-7.2000000000045361E-3</v>
      </c>
      <c r="AF30" s="72">
        <f t="shared" si="1"/>
        <v>-1.8999999999998352E-2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42.929099999999998</v>
      </c>
      <c r="G31" s="45">
        <v>45.9681</v>
      </c>
      <c r="H31" s="45">
        <v>45.773299999999999</v>
      </c>
      <c r="I31" s="66"/>
      <c r="J31" s="66"/>
      <c r="K31" s="67"/>
      <c r="L31" s="29"/>
      <c r="M31" s="70"/>
      <c r="N31" s="45">
        <v>42.932099999999998</v>
      </c>
      <c r="O31" s="45">
        <v>45.967399999999998</v>
      </c>
      <c r="P31" s="45">
        <v>45.773499999999999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-3.0000000000001137E-3</v>
      </c>
      <c r="AE31" s="45">
        <f t="shared" si="1"/>
        <v>7.0000000000192131E-4</v>
      </c>
      <c r="AF31" s="45">
        <f t="shared" si="1"/>
        <v>-1.9999999999953388E-4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40.647300000000001</v>
      </c>
      <c r="G32" s="46">
        <v>44.217399999999998</v>
      </c>
      <c r="H32" s="46">
        <v>43.683300000000003</v>
      </c>
      <c r="I32" s="66"/>
      <c r="J32" s="66"/>
      <c r="K32" s="67"/>
      <c r="L32" s="29"/>
      <c r="M32" s="70"/>
      <c r="N32" s="46">
        <v>40.641599999999997</v>
      </c>
      <c r="O32" s="46">
        <v>44.223399999999998</v>
      </c>
      <c r="P32" s="46">
        <v>43.698999999999998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5.7000000000044793E-3</v>
      </c>
      <c r="AE32" s="46">
        <f t="shared" si="1"/>
        <v>-6.0000000000002274E-3</v>
      </c>
      <c r="AF32" s="46">
        <f t="shared" si="1"/>
        <v>-1.5699999999995384E-2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38.055599999999998</v>
      </c>
      <c r="G33" s="46">
        <v>42.366300000000003</v>
      </c>
      <c r="H33" s="46">
        <v>41.649299999999997</v>
      </c>
      <c r="I33" s="66"/>
      <c r="J33" s="66"/>
      <c r="K33" s="67"/>
      <c r="L33" s="29"/>
      <c r="M33" s="70"/>
      <c r="N33" s="46">
        <v>38.054200000000002</v>
      </c>
      <c r="O33" s="46">
        <v>42.367899999999999</v>
      </c>
      <c r="P33" s="46">
        <v>41.6464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1.3999999999967372E-3</v>
      </c>
      <c r="AE33" s="46">
        <f t="shared" si="1"/>
        <v>-1.5999999999962711E-3</v>
      </c>
      <c r="AF33" s="46">
        <f t="shared" si="1"/>
        <v>2.899999999996794E-3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35.276800000000001</v>
      </c>
      <c r="G34" s="72">
        <v>40.943300000000001</v>
      </c>
      <c r="H34" s="72">
        <v>40.089700000000001</v>
      </c>
      <c r="I34" s="68"/>
      <c r="J34" s="68"/>
      <c r="K34" s="69"/>
      <c r="L34" s="29"/>
      <c r="M34" s="81"/>
      <c r="N34" s="46">
        <v>35.275399999999998</v>
      </c>
      <c r="O34" s="72">
        <v>40.947899999999997</v>
      </c>
      <c r="P34" s="72">
        <v>40.1051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1.4000000000038426E-3</v>
      </c>
      <c r="AE34" s="46">
        <f t="shared" si="1"/>
        <v>-4.5999999999963848E-3</v>
      </c>
      <c r="AF34" s="46">
        <f t="shared" si="1"/>
        <v>-1.5399999999999636E-2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43.056100000000001</v>
      </c>
      <c r="G35" s="45">
        <v>45.584200000000003</v>
      </c>
      <c r="H35" s="45">
        <v>45.704000000000001</v>
      </c>
      <c r="I35" s="66"/>
      <c r="J35" s="66"/>
      <c r="K35" s="67"/>
      <c r="L35" s="29"/>
      <c r="M35" s="70"/>
      <c r="N35" s="45">
        <v>43.055199999999999</v>
      </c>
      <c r="O35" s="45">
        <v>45.582700000000003</v>
      </c>
      <c r="P35" s="45">
        <v>45.705599999999997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9.0000000000145519E-4</v>
      </c>
      <c r="AE35" s="45">
        <f t="shared" si="1"/>
        <v>1.5000000000000568E-3</v>
      </c>
      <c r="AF35" s="45">
        <f t="shared" si="1"/>
        <v>-1.5999999999962711E-3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40.910800000000002</v>
      </c>
      <c r="G36" s="46">
        <v>43.966200000000001</v>
      </c>
      <c r="H36" s="46">
        <v>43.712899999999998</v>
      </c>
      <c r="I36" s="66"/>
      <c r="J36" s="66"/>
      <c r="K36" s="67"/>
      <c r="L36" s="29"/>
      <c r="M36" s="70"/>
      <c r="N36" s="46">
        <v>40.897599999999997</v>
      </c>
      <c r="O36" s="46">
        <v>43.968499999999999</v>
      </c>
      <c r="P36" s="46">
        <v>43.718200000000003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1.3200000000004763E-2</v>
      </c>
      <c r="AE36" s="46">
        <f t="shared" si="1"/>
        <v>-2.2999999999981924E-3</v>
      </c>
      <c r="AF36" s="46">
        <f t="shared" si="1"/>
        <v>-5.3000000000054115E-3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38.347299999999997</v>
      </c>
      <c r="G37" s="46">
        <v>42.123399999999997</v>
      </c>
      <c r="H37" s="46">
        <v>41.635599999999997</v>
      </c>
      <c r="I37" s="66"/>
      <c r="J37" s="66"/>
      <c r="K37" s="67"/>
      <c r="L37" s="29"/>
      <c r="M37" s="70"/>
      <c r="N37" s="46">
        <v>38.342300000000002</v>
      </c>
      <c r="O37" s="46">
        <v>42.124899999999997</v>
      </c>
      <c r="P37" s="46">
        <v>41.632899999999999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4.9999999999954525E-3</v>
      </c>
      <c r="AE37" s="46">
        <f t="shared" si="1"/>
        <v>-1.5000000000000568E-3</v>
      </c>
      <c r="AF37" s="46">
        <f t="shared" si="1"/>
        <v>2.6999999999972601E-3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35.546199999999999</v>
      </c>
      <c r="G38" s="72">
        <v>40.800800000000002</v>
      </c>
      <c r="H38" s="72">
        <v>40.100200000000001</v>
      </c>
      <c r="I38" s="68"/>
      <c r="J38" s="68"/>
      <c r="K38" s="69"/>
      <c r="L38" s="29"/>
      <c r="M38" s="81"/>
      <c r="N38" s="46">
        <v>35.549399999999999</v>
      </c>
      <c r="O38" s="72">
        <v>40.804000000000002</v>
      </c>
      <c r="P38" s="72">
        <v>40.1066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-3.1999999999996476E-3</v>
      </c>
      <c r="AE38" s="46">
        <f t="shared" si="1"/>
        <v>-3.1999999999996476E-3</v>
      </c>
      <c r="AF38" s="46">
        <f t="shared" si="1"/>
        <v>-6.3999999999992951E-3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42.948599999999999</v>
      </c>
      <c r="G39" s="45">
        <v>45.591700000000003</v>
      </c>
      <c r="H39" s="45">
        <v>45.68</v>
      </c>
      <c r="I39" s="66"/>
      <c r="J39" s="66"/>
      <c r="K39" s="67"/>
      <c r="L39" s="29"/>
      <c r="M39" s="70"/>
      <c r="N39" s="45">
        <v>42.952100000000002</v>
      </c>
      <c r="O39" s="45">
        <v>45.588299999999997</v>
      </c>
      <c r="P39" s="45">
        <v>45.674599999999998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-3.5000000000025011E-3</v>
      </c>
      <c r="AE39" s="45">
        <f t="shared" si="1"/>
        <v>3.4000000000062869E-3</v>
      </c>
      <c r="AF39" s="45">
        <f t="shared" si="1"/>
        <v>5.4000000000016257E-3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40.805900000000001</v>
      </c>
      <c r="G40" s="46">
        <v>43.969200000000001</v>
      </c>
      <c r="H40" s="46">
        <v>43.688299999999998</v>
      </c>
      <c r="I40" s="66"/>
      <c r="J40" s="66"/>
      <c r="K40" s="67"/>
      <c r="L40" s="29"/>
      <c r="M40" s="70"/>
      <c r="N40" s="46">
        <v>40.806100000000001</v>
      </c>
      <c r="O40" s="46">
        <v>43.9636</v>
      </c>
      <c r="P40" s="46">
        <v>43.689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-1.9999999999953388E-4</v>
      </c>
      <c r="AE40" s="46">
        <f t="shared" si="1"/>
        <v>5.6000000000011596E-3</v>
      </c>
      <c r="AF40" s="46">
        <f t="shared" si="1"/>
        <v>-7.0000000000192131E-4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38.251899999999999</v>
      </c>
      <c r="G41" s="46">
        <v>42.140999999999998</v>
      </c>
      <c r="H41" s="46">
        <v>41.622999999999998</v>
      </c>
      <c r="I41" s="66"/>
      <c r="J41" s="66"/>
      <c r="K41" s="67"/>
      <c r="L41" s="29"/>
      <c r="M41" s="70"/>
      <c r="N41" s="46">
        <v>38.254300000000001</v>
      </c>
      <c r="O41" s="46">
        <v>42.133600000000001</v>
      </c>
      <c r="P41" s="46">
        <v>41.621200000000002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-2.400000000001512E-3</v>
      </c>
      <c r="AE41" s="46">
        <f t="shared" si="1"/>
        <v>7.3999999999969646E-3</v>
      </c>
      <c r="AF41" s="46">
        <f t="shared" si="1"/>
        <v>1.799999999995805E-3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35.447800000000001</v>
      </c>
      <c r="G42" s="72">
        <v>40.801099999999998</v>
      </c>
      <c r="H42" s="72">
        <v>40.070599999999999</v>
      </c>
      <c r="I42" s="68"/>
      <c r="J42" s="68"/>
      <c r="K42" s="69"/>
      <c r="L42" s="29"/>
      <c r="M42" s="81"/>
      <c r="N42" s="46">
        <v>35.447899999999997</v>
      </c>
      <c r="O42" s="72">
        <v>40.798400000000001</v>
      </c>
      <c r="P42" s="72">
        <v>40.073599999999999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-9.9999999996214228E-5</v>
      </c>
      <c r="AE42" s="46">
        <f t="shared" si="1"/>
        <v>2.6999999999972601E-3</v>
      </c>
      <c r="AF42" s="46">
        <f t="shared" si="1"/>
        <v>-3.0000000000001137E-3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42.748399999999997</v>
      </c>
      <c r="G43" s="45">
        <v>45.887</v>
      </c>
      <c r="H43" s="45">
        <v>45.661799999999999</v>
      </c>
      <c r="I43" s="66"/>
      <c r="J43" s="66"/>
      <c r="K43" s="67"/>
      <c r="L43" s="29"/>
      <c r="M43" s="70"/>
      <c r="N43" s="45">
        <v>42.758299999999998</v>
      </c>
      <c r="O43" s="45">
        <v>45.884300000000003</v>
      </c>
      <c r="P43" s="45">
        <v>45.655099999999997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-9.9000000000017963E-3</v>
      </c>
      <c r="AE43" s="45">
        <f t="shared" si="2"/>
        <v>2.6999999999972601E-3</v>
      </c>
      <c r="AF43" s="45">
        <f t="shared" si="2"/>
        <v>6.7000000000021487E-3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40.498600000000003</v>
      </c>
      <c r="G44" s="46">
        <v>44.157800000000002</v>
      </c>
      <c r="H44" s="46">
        <v>43.571300000000001</v>
      </c>
      <c r="I44" s="66"/>
      <c r="J44" s="66"/>
      <c r="K44" s="67"/>
      <c r="L44" s="29"/>
      <c r="M44" s="70"/>
      <c r="N44" s="46">
        <v>40.499200000000002</v>
      </c>
      <c r="O44" s="46">
        <v>44.137999999999998</v>
      </c>
      <c r="P44" s="46">
        <v>43.566600000000001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-5.9999999999860165E-4</v>
      </c>
      <c r="AE44" s="46">
        <f t="shared" si="2"/>
        <v>1.9800000000003593E-2</v>
      </c>
      <c r="AF44" s="46">
        <f t="shared" si="2"/>
        <v>4.6999999999997044E-3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37.954900000000002</v>
      </c>
      <c r="G45" s="46">
        <v>42.328600000000002</v>
      </c>
      <c r="H45" s="46">
        <v>41.563800000000001</v>
      </c>
      <c r="I45" s="66"/>
      <c r="J45" s="66"/>
      <c r="K45" s="67"/>
      <c r="L45" s="29"/>
      <c r="M45" s="70"/>
      <c r="N45" s="46">
        <v>37.955100000000002</v>
      </c>
      <c r="O45" s="46">
        <v>42.306600000000003</v>
      </c>
      <c r="P45" s="46">
        <v>41.549199999999999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-1.9999999999953388E-4</v>
      </c>
      <c r="AE45" s="46">
        <f t="shared" si="2"/>
        <v>2.1999999999998465E-2</v>
      </c>
      <c r="AF45" s="46">
        <f t="shared" si="2"/>
        <v>1.4600000000001501E-2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35.175600000000003</v>
      </c>
      <c r="G46" s="72">
        <v>40.926299999999998</v>
      </c>
      <c r="H46" s="72">
        <v>39.970799999999997</v>
      </c>
      <c r="I46" s="68"/>
      <c r="J46" s="68"/>
      <c r="K46" s="69"/>
      <c r="L46" s="29"/>
      <c r="M46" s="81"/>
      <c r="N46" s="72">
        <v>35.1721</v>
      </c>
      <c r="O46" s="72">
        <v>40.926499999999997</v>
      </c>
      <c r="P46" s="72">
        <v>39.97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3.5000000000025011E-3</v>
      </c>
      <c r="AE46" s="72">
        <f t="shared" si="2"/>
        <v>-1.9999999999953388E-4</v>
      </c>
      <c r="AF46" s="72">
        <f t="shared" si="2"/>
        <v>7.9999999999813554E-4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42.084099999999999</v>
      </c>
      <c r="G47" s="45">
        <v>45.144199999999998</v>
      </c>
      <c r="H47" s="45">
        <v>44.894100000000002</v>
      </c>
      <c r="I47" s="66"/>
      <c r="J47" s="66"/>
      <c r="K47" s="67"/>
      <c r="L47" s="29"/>
      <c r="M47" s="70"/>
      <c r="N47" s="45">
        <v>42.094999999999999</v>
      </c>
      <c r="O47" s="45">
        <v>45.130899999999997</v>
      </c>
      <c r="P47" s="45">
        <v>44.878100000000003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-1.0899999999999466E-2</v>
      </c>
      <c r="AE47" s="45">
        <f t="shared" si="2"/>
        <v>1.3300000000000978E-2</v>
      </c>
      <c r="AF47" s="45">
        <f t="shared" si="2"/>
        <v>1.5999999999998238E-2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39.9544</v>
      </c>
      <c r="G48" s="46">
        <v>43.503300000000003</v>
      </c>
      <c r="H48" s="46">
        <v>42.937899999999999</v>
      </c>
      <c r="I48" s="66"/>
      <c r="J48" s="66"/>
      <c r="K48" s="67"/>
      <c r="L48" s="29"/>
      <c r="M48" s="70"/>
      <c r="N48" s="46">
        <v>39.957000000000001</v>
      </c>
      <c r="O48" s="46">
        <v>43.476399999999998</v>
      </c>
      <c r="P48" s="46">
        <v>42.926600000000001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-2.6000000000010459E-3</v>
      </c>
      <c r="AE48" s="46">
        <f t="shared" si="2"/>
        <v>2.6900000000004809E-2</v>
      </c>
      <c r="AF48" s="46">
        <f t="shared" si="2"/>
        <v>1.1299999999998533E-2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37.4876</v>
      </c>
      <c r="G49" s="46">
        <v>41.886000000000003</v>
      </c>
      <c r="H49" s="46">
        <v>41.142600000000002</v>
      </c>
      <c r="I49" s="66"/>
      <c r="J49" s="66"/>
      <c r="K49" s="67"/>
      <c r="L49" s="29"/>
      <c r="M49" s="70"/>
      <c r="N49" s="46">
        <v>37.495100000000001</v>
      </c>
      <c r="O49" s="46">
        <v>41.862200000000001</v>
      </c>
      <c r="P49" s="46">
        <v>41.125599999999999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-7.5000000000002842E-3</v>
      </c>
      <c r="AE49" s="46">
        <f t="shared" si="2"/>
        <v>2.3800000000001376E-2</v>
      </c>
      <c r="AF49" s="46">
        <f t="shared" si="2"/>
        <v>1.7000000000003013E-2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34.805</v>
      </c>
      <c r="G50" s="72">
        <v>40.582900000000002</v>
      </c>
      <c r="H50" s="72">
        <v>39.648499999999999</v>
      </c>
      <c r="I50" s="68"/>
      <c r="J50" s="68"/>
      <c r="K50" s="69"/>
      <c r="L50" s="29"/>
      <c r="M50" s="81"/>
      <c r="N50" s="72">
        <v>34.801200000000001</v>
      </c>
      <c r="O50" s="72">
        <v>40.583599999999997</v>
      </c>
      <c r="P50" s="72">
        <v>39.645400000000002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3.7999999999982492E-3</v>
      </c>
      <c r="AE50" s="72">
        <f t="shared" si="2"/>
        <v>-6.9999999999481588E-4</v>
      </c>
      <c r="AF50" s="72">
        <f t="shared" si="2"/>
        <v>3.0999999999963279E-3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1753.9544000000001</v>
      </c>
      <c r="F51" s="70"/>
      <c r="G51" s="70"/>
      <c r="H51" s="70"/>
      <c r="I51" s="45">
        <v>32941.25</v>
      </c>
      <c r="J51" s="45">
        <v>67.015000000000001</v>
      </c>
      <c r="K51" s="45">
        <v>362.89</v>
      </c>
      <c r="L51" s="29"/>
      <c r="M51" s="45">
        <v>1755.4192</v>
      </c>
      <c r="N51" s="70"/>
      <c r="O51" s="70"/>
      <c r="P51" s="70"/>
      <c r="Q51" s="45">
        <v>33294.296999999999</v>
      </c>
      <c r="R51" s="45">
        <v>67.718000000000004</v>
      </c>
      <c r="S51" s="45">
        <v>365.71899999999999</v>
      </c>
      <c r="U51" s="8"/>
      <c r="V51" s="9"/>
      <c r="W51" s="10"/>
      <c r="X51" s="29"/>
      <c r="Y51" s="61">
        <f>GEOMEAN(Q51:Q54)/GEOMEAN(I51:I54)</f>
        <v>1.0084231080195334</v>
      </c>
      <c r="Z51" s="61">
        <f>GEOMEAN(R51:R54)/GEOMEAN(J51:J54)</f>
        <v>1.0322191385400854</v>
      </c>
      <c r="AA51" s="57">
        <f>GEOMEAN(S51:S54)/GEOMEAN(K51:K54)</f>
        <v>0.99797772575651111</v>
      </c>
      <c r="AC51" s="45">
        <f>E51 -M51</f>
        <v>-1.4647999999999683</v>
      </c>
      <c r="AD51" s="70"/>
      <c r="AE51" s="70"/>
      <c r="AF51" s="70"/>
      <c r="AG51" s="45">
        <f t="shared" ref="AG51:AI54" si="3">I51 -Q51</f>
        <v>-353.04699999999866</v>
      </c>
      <c r="AH51" s="45">
        <f t="shared" si="3"/>
        <v>-0.70300000000000296</v>
      </c>
      <c r="AI51" s="45">
        <f t="shared" si="3"/>
        <v>-2.8290000000000077</v>
      </c>
    </row>
    <row r="52" spans="1:35" ht="12">
      <c r="A52" s="27"/>
      <c r="B52" s="36"/>
      <c r="C52" s="29"/>
      <c r="D52" s="32">
        <v>30</v>
      </c>
      <c r="E52" s="46">
        <v>844.99199999999996</v>
      </c>
      <c r="F52" s="70"/>
      <c r="G52" s="70"/>
      <c r="H52" s="70"/>
      <c r="I52" s="46">
        <v>25363.780999999999</v>
      </c>
      <c r="J52" s="46">
        <v>61.063000000000002</v>
      </c>
      <c r="K52" s="46">
        <v>370.15600000000001</v>
      </c>
      <c r="L52" s="29"/>
      <c r="M52" s="46">
        <v>845.53840000000002</v>
      </c>
      <c r="N52" s="70"/>
      <c r="O52" s="70"/>
      <c r="P52" s="70"/>
      <c r="Q52" s="46">
        <v>25703</v>
      </c>
      <c r="R52" s="46">
        <v>63.359000000000002</v>
      </c>
      <c r="S52" s="46">
        <v>363.5</v>
      </c>
      <c r="U52" s="41"/>
      <c r="V52" s="42"/>
      <c r="W52" s="43"/>
      <c r="X52" s="29"/>
      <c r="Y52" s="24"/>
      <c r="Z52" s="24"/>
      <c r="AA52" s="27"/>
      <c r="AC52" s="46">
        <f>E52 -M52</f>
        <v>-0.54640000000006239</v>
      </c>
      <c r="AD52" s="70"/>
      <c r="AE52" s="70"/>
      <c r="AF52" s="70"/>
      <c r="AG52" s="46">
        <f t="shared" si="3"/>
        <v>-339.21900000000096</v>
      </c>
      <c r="AH52" s="46">
        <f t="shared" si="3"/>
        <v>-2.2959999999999994</v>
      </c>
      <c r="AI52" s="46">
        <f t="shared" si="3"/>
        <v>6.6560000000000059</v>
      </c>
    </row>
    <row r="53" spans="1:35" ht="12">
      <c r="A53" s="27"/>
      <c r="B53" s="36"/>
      <c r="C53" s="29"/>
      <c r="D53" s="32">
        <v>35</v>
      </c>
      <c r="E53" s="46">
        <v>460.85680000000002</v>
      </c>
      <c r="F53" s="70"/>
      <c r="G53" s="70"/>
      <c r="H53" s="70"/>
      <c r="I53" s="46">
        <v>21589</v>
      </c>
      <c r="J53" s="46">
        <v>58.078000000000003</v>
      </c>
      <c r="K53" s="46">
        <v>382.28199999999998</v>
      </c>
      <c r="L53" s="29"/>
      <c r="M53" s="46">
        <v>460.99040000000002</v>
      </c>
      <c r="N53" s="70"/>
      <c r="O53" s="70"/>
      <c r="P53" s="70"/>
      <c r="Q53" s="46">
        <v>21648.812999999998</v>
      </c>
      <c r="R53" s="46">
        <v>59.546999999999997</v>
      </c>
      <c r="S53" s="46">
        <v>370.875</v>
      </c>
      <c r="U53" s="17"/>
      <c r="V53" s="18"/>
      <c r="W53" s="19"/>
      <c r="X53" s="29"/>
      <c r="Y53" s="24"/>
      <c r="Z53" s="24"/>
      <c r="AA53" s="27"/>
      <c r="AC53" s="46">
        <f>E53 -M53</f>
        <v>-0.13360000000000127</v>
      </c>
      <c r="AD53" s="70"/>
      <c r="AE53" s="70"/>
      <c r="AF53" s="70"/>
      <c r="AG53" s="46">
        <f t="shared" si="3"/>
        <v>-59.812999999998283</v>
      </c>
      <c r="AH53" s="46">
        <f t="shared" si="3"/>
        <v>-1.4689999999999941</v>
      </c>
      <c r="AI53" s="46">
        <f t="shared" si="3"/>
        <v>11.406999999999982</v>
      </c>
    </row>
    <row r="54" spans="1:35" ht="12.75" thickBot="1">
      <c r="A54" s="27"/>
      <c r="B54" s="52"/>
      <c r="C54" s="53"/>
      <c r="D54" s="71">
        <v>40</v>
      </c>
      <c r="E54" s="72">
        <v>265.69439999999997</v>
      </c>
      <c r="F54" s="81"/>
      <c r="G54" s="81"/>
      <c r="H54" s="81"/>
      <c r="I54" s="72">
        <v>18735.203000000001</v>
      </c>
      <c r="J54" s="72">
        <v>54.094000000000001</v>
      </c>
      <c r="K54" s="72">
        <v>370.40600000000001</v>
      </c>
      <c r="L54" s="29"/>
      <c r="M54" s="72">
        <v>265.93360000000001</v>
      </c>
      <c r="N54" s="81"/>
      <c r="O54" s="81"/>
      <c r="P54" s="81"/>
      <c r="Q54" s="72">
        <v>18863.766</v>
      </c>
      <c r="R54" s="72">
        <v>57.125</v>
      </c>
      <c r="S54" s="72">
        <v>382.67099999999999</v>
      </c>
      <c r="U54" s="85"/>
      <c r="V54" s="86"/>
      <c r="W54" s="87"/>
      <c r="X54" s="29"/>
      <c r="Y54" s="49"/>
      <c r="Z54" s="49"/>
      <c r="AA54" s="54"/>
      <c r="AC54" s="72">
        <f>E54 -M54</f>
        <v>-0.23920000000003938</v>
      </c>
      <c r="AD54" s="81"/>
      <c r="AE54" s="81"/>
      <c r="AF54" s="81"/>
      <c r="AG54" s="72">
        <f t="shared" si="3"/>
        <v>-128.56299999999828</v>
      </c>
      <c r="AH54" s="72">
        <f t="shared" si="3"/>
        <v>-3.0309999999999988</v>
      </c>
      <c r="AI54" s="72">
        <f t="shared" si="3"/>
        <v>-12.264999999999986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274.2688</v>
      </c>
      <c r="F59" s="45">
        <v>42.694299999999998</v>
      </c>
      <c r="G59" s="45">
        <v>44.750999999999998</v>
      </c>
      <c r="H59" s="45">
        <v>44.156599999999997</v>
      </c>
      <c r="I59" s="79"/>
      <c r="J59" s="79"/>
      <c r="K59" s="80"/>
      <c r="L59" s="29"/>
      <c r="M59" s="45">
        <v>274.86799999999999</v>
      </c>
      <c r="N59" s="45">
        <v>42.695700000000002</v>
      </c>
      <c r="O59" s="45">
        <v>44.749499999999998</v>
      </c>
      <c r="P59" s="45">
        <v>44.147199999999998</v>
      </c>
      <c r="Q59" s="79"/>
      <c r="R59" s="79"/>
      <c r="S59" s="80"/>
      <c r="U59" s="8">
        <f>bdrate($E59:$E62,F59:F62,$M59:$M62,N59:N62)</f>
        <v>1.165964654629148E-3</v>
      </c>
      <c r="V59" s="9">
        <f>bdrate($E59:$E62,G59:G62,$M59:$M62,O59:O62)</f>
        <v>2.13379243223355E-3</v>
      </c>
      <c r="W59" s="10">
        <f>bdrate($E59:$E62,H59:H62,$M59:$M62,P59:P62)</f>
        <v>-2.1589146688383298E-4</v>
      </c>
      <c r="X59" s="29"/>
      <c r="Y59" s="24"/>
      <c r="Z59" s="24"/>
      <c r="AA59" s="27"/>
      <c r="AC59" s="45">
        <f t="shared" si="5"/>
        <v>-0.59919999999999618</v>
      </c>
      <c r="AD59" s="45">
        <f t="shared" si="4"/>
        <v>-1.4000000000038426E-3</v>
      </c>
      <c r="AE59" s="45">
        <f t="shared" si="4"/>
        <v>1.5000000000000568E-3</v>
      </c>
      <c r="AF59" s="45">
        <f t="shared" si="4"/>
        <v>9.3999999999994088E-3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122.76479999999999</v>
      </c>
      <c r="F60" s="46">
        <v>40.358199999999997</v>
      </c>
      <c r="G60" s="46">
        <v>43.825499999999998</v>
      </c>
      <c r="H60" s="46">
        <v>42.65</v>
      </c>
      <c r="I60" s="66"/>
      <c r="J60" s="66"/>
      <c r="K60" s="67"/>
      <c r="L60" s="29"/>
      <c r="M60" s="46">
        <v>122.8</v>
      </c>
      <c r="N60" s="46">
        <v>40.3581</v>
      </c>
      <c r="O60" s="46">
        <v>43.8202</v>
      </c>
      <c r="P60" s="46">
        <v>42.654299999999999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-3.5200000000003229E-2</v>
      </c>
      <c r="AD60" s="46">
        <f t="shared" si="4"/>
        <v>9.9999999996214228E-5</v>
      </c>
      <c r="AE60" s="46">
        <f t="shared" si="4"/>
        <v>5.2999999999983061E-3</v>
      </c>
      <c r="AF60" s="46">
        <f t="shared" si="4"/>
        <v>-4.3000000000006366E-3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64.057599999999994</v>
      </c>
      <c r="F61" s="46">
        <v>37.924100000000003</v>
      </c>
      <c r="G61" s="46">
        <v>42.887900000000002</v>
      </c>
      <c r="H61" s="46">
        <v>41.302599999999998</v>
      </c>
      <c r="I61" s="66"/>
      <c r="J61" s="66"/>
      <c r="K61" s="67"/>
      <c r="L61" s="29"/>
      <c r="M61" s="46">
        <v>64.098399999999998</v>
      </c>
      <c r="N61" s="46">
        <v>37.9193</v>
      </c>
      <c r="O61" s="46">
        <v>42.886699999999998</v>
      </c>
      <c r="P61" s="46">
        <v>41.3065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-4.0800000000004388E-2</v>
      </c>
      <c r="AD61" s="46">
        <f t="shared" si="4"/>
        <v>4.8000000000030241E-3</v>
      </c>
      <c r="AE61" s="46">
        <f t="shared" si="4"/>
        <v>1.2000000000043087E-3</v>
      </c>
      <c r="AF61" s="46">
        <f t="shared" si="4"/>
        <v>-3.9000000000015689E-3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34.5152</v>
      </c>
      <c r="F62" s="46">
        <v>35.378</v>
      </c>
      <c r="G62" s="46">
        <v>41.994100000000003</v>
      </c>
      <c r="H62" s="46">
        <v>39.994399999999999</v>
      </c>
      <c r="I62" s="66"/>
      <c r="J62" s="66"/>
      <c r="K62" s="67"/>
      <c r="L62" s="29"/>
      <c r="M62" s="46">
        <v>34.536000000000001</v>
      </c>
      <c r="N62" s="46">
        <v>35.376100000000001</v>
      </c>
      <c r="O62" s="46">
        <v>42.0015</v>
      </c>
      <c r="P62" s="46">
        <v>39.9968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-2.0800000000001262E-2</v>
      </c>
      <c r="AD62" s="46">
        <f t="shared" si="4"/>
        <v>1.8999999999991246E-3</v>
      </c>
      <c r="AE62" s="46">
        <f t="shared" si="4"/>
        <v>-7.3999999999969646E-3</v>
      </c>
      <c r="AF62" s="46">
        <f t="shared" si="4"/>
        <v>-2.400000000001512E-3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292.23360000000002</v>
      </c>
      <c r="F63" s="45">
        <v>42.330599999999997</v>
      </c>
      <c r="G63" s="45">
        <v>43.96</v>
      </c>
      <c r="H63" s="45">
        <v>43.883299999999998</v>
      </c>
      <c r="I63" s="79"/>
      <c r="J63" s="79"/>
      <c r="K63" s="80"/>
      <c r="L63" s="29"/>
      <c r="M63" s="45">
        <v>292.14479999999998</v>
      </c>
      <c r="N63" s="45">
        <v>42.331699999999998</v>
      </c>
      <c r="O63" s="45">
        <v>43.9634</v>
      </c>
      <c r="P63" s="45">
        <v>43.8812</v>
      </c>
      <c r="Q63" s="79"/>
      <c r="R63" s="79"/>
      <c r="S63" s="80"/>
      <c r="U63" s="8">
        <f>bdrate($E63:$E66,F63:F66,$M63:$M66,N63:N66)</f>
        <v>-1.5764542537621828E-4</v>
      </c>
      <c r="V63" s="9">
        <f>bdrate($E63:$E66,G63:G66,$M63:$M66,O63:O66)</f>
        <v>-8.3918900005577335E-3</v>
      </c>
      <c r="W63" s="10">
        <f>bdrate($E63:$E66,H63:H66,$M63:$M66,P63:P66)</f>
        <v>-1.2065654538632176E-3</v>
      </c>
      <c r="X63" s="29"/>
      <c r="Y63" s="24"/>
      <c r="Z63" s="24"/>
      <c r="AA63" s="27"/>
      <c r="AC63" s="45">
        <f t="shared" si="5"/>
        <v>8.880000000004884E-2</v>
      </c>
      <c r="AD63" s="45">
        <f t="shared" si="4"/>
        <v>-1.1000000000009891E-3</v>
      </c>
      <c r="AE63" s="45">
        <f t="shared" si="4"/>
        <v>-3.3999999999991815E-3</v>
      </c>
      <c r="AF63" s="45">
        <f t="shared" si="4"/>
        <v>2.0999999999986585E-3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129.24799999999999</v>
      </c>
      <c r="F64" s="46">
        <v>40.1113</v>
      </c>
      <c r="G64" s="46">
        <v>42.978000000000002</v>
      </c>
      <c r="H64" s="46">
        <v>42.446100000000001</v>
      </c>
      <c r="I64" s="66"/>
      <c r="J64" s="66"/>
      <c r="K64" s="67"/>
      <c r="L64" s="29"/>
      <c r="M64" s="46">
        <v>129.11760000000001</v>
      </c>
      <c r="N64" s="46">
        <v>40.110300000000002</v>
      </c>
      <c r="O64" s="46">
        <v>42.9895</v>
      </c>
      <c r="P64" s="46">
        <v>42.451300000000003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0.13039999999998031</v>
      </c>
      <c r="AD64" s="46">
        <f t="shared" si="4"/>
        <v>9.9999999999766942E-4</v>
      </c>
      <c r="AE64" s="46">
        <f t="shared" si="4"/>
        <v>-1.1499999999998067E-2</v>
      </c>
      <c r="AF64" s="46">
        <f t="shared" si="4"/>
        <v>-5.2000000000020918E-3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67.133600000000001</v>
      </c>
      <c r="F65" s="46">
        <v>37.732199999999999</v>
      </c>
      <c r="G65" s="46">
        <v>42.2014</v>
      </c>
      <c r="H65" s="46">
        <v>41.210900000000002</v>
      </c>
      <c r="I65" s="66"/>
      <c r="J65" s="66"/>
      <c r="K65" s="67"/>
      <c r="L65" s="29"/>
      <c r="M65" s="46">
        <v>67.233599999999996</v>
      </c>
      <c r="N65" s="46">
        <v>37.7363</v>
      </c>
      <c r="O65" s="46">
        <v>42.211599999999997</v>
      </c>
      <c r="P65" s="46">
        <v>41.211399999999998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-9.9999999999994316E-2</v>
      </c>
      <c r="AD65" s="46">
        <f t="shared" si="4"/>
        <v>-4.1000000000011028E-3</v>
      </c>
      <c r="AE65" s="46">
        <f t="shared" si="4"/>
        <v>-1.0199999999997544E-2</v>
      </c>
      <c r="AF65" s="46">
        <f t="shared" si="4"/>
        <v>-4.99999999995282E-4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35.911999999999999</v>
      </c>
      <c r="F66" s="72">
        <v>35.236600000000003</v>
      </c>
      <c r="G66" s="72">
        <v>41.420999999999999</v>
      </c>
      <c r="H66" s="72">
        <v>39.955800000000004</v>
      </c>
      <c r="I66" s="68"/>
      <c r="J66" s="68"/>
      <c r="K66" s="69"/>
      <c r="L66" s="29"/>
      <c r="M66" s="72">
        <v>35.808</v>
      </c>
      <c r="N66" s="72">
        <v>35.2241</v>
      </c>
      <c r="O66" s="72">
        <v>41.432099999999998</v>
      </c>
      <c r="P66" s="72">
        <v>39.954099999999997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0.1039999999999992</v>
      </c>
      <c r="AD66" s="72">
        <f t="shared" si="4"/>
        <v>1.2500000000002842E-2</v>
      </c>
      <c r="AE66" s="72">
        <f t="shared" si="4"/>
        <v>-1.1099999999999E-2</v>
      </c>
      <c r="AF66" s="72">
        <f t="shared" si="4"/>
        <v>1.7000000000066962E-3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136.29040000000001</v>
      </c>
      <c r="F67" s="45">
        <v>39.1783</v>
      </c>
      <c r="G67" s="78"/>
      <c r="H67" s="78"/>
      <c r="I67" s="79"/>
      <c r="J67" s="79"/>
      <c r="K67" s="80"/>
      <c r="L67" s="29"/>
      <c r="M67" s="45">
        <v>136.4144</v>
      </c>
      <c r="N67" s="45">
        <v>39.176299999999998</v>
      </c>
      <c r="O67" s="78"/>
      <c r="P67" s="78"/>
      <c r="Q67" s="79"/>
      <c r="R67" s="79"/>
      <c r="S67" s="80"/>
      <c r="U67" s="8">
        <f>bdrate($E67:$E70,F67:F70,$M67:$M70,N67:N70)</f>
        <v>5.9295184199319451E-3</v>
      </c>
      <c r="V67" s="9"/>
      <c r="W67" s="10"/>
      <c r="X67" s="29"/>
      <c r="Y67" s="24"/>
      <c r="Z67" s="24"/>
      <c r="AA67" s="27"/>
      <c r="AC67" s="45">
        <f t="shared" si="5"/>
        <v>-0.12399999999999523</v>
      </c>
      <c r="AD67" s="45">
        <f t="shared" si="4"/>
        <v>2.0000000000024443E-3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47.578400000000002</v>
      </c>
      <c r="F68" s="46">
        <v>35.197299999999998</v>
      </c>
      <c r="G68" s="70"/>
      <c r="H68" s="70"/>
      <c r="I68" s="66"/>
      <c r="J68" s="66"/>
      <c r="K68" s="67"/>
      <c r="L68" s="29"/>
      <c r="M68" s="46">
        <v>47.833599999999997</v>
      </c>
      <c r="N68" s="46">
        <v>35.190300000000001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-0.25519999999999499</v>
      </c>
      <c r="AD68" s="46">
        <f t="shared" si="4"/>
        <v>6.9999999999978968E-3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20.457599999999999</v>
      </c>
      <c r="F69" s="46">
        <v>32.222999999999999</v>
      </c>
      <c r="G69" s="70"/>
      <c r="H69" s="70"/>
      <c r="I69" s="66"/>
      <c r="J69" s="66"/>
      <c r="K69" s="67"/>
      <c r="L69" s="29"/>
      <c r="M69" s="46">
        <v>20.571999999999999</v>
      </c>
      <c r="N69" s="46">
        <v>32.223599999999998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-0.11439999999999984</v>
      </c>
      <c r="AD69" s="46">
        <f t="shared" si="4"/>
        <v>-5.9999999999860165E-4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9.9055999999999997</v>
      </c>
      <c r="F70" s="46">
        <v>29.738700000000001</v>
      </c>
      <c r="G70" s="70"/>
      <c r="H70" s="70"/>
      <c r="I70" s="66"/>
      <c r="J70" s="66"/>
      <c r="K70" s="67"/>
      <c r="L70" s="29"/>
      <c r="M70" s="46">
        <v>9.8952000000000009</v>
      </c>
      <c r="N70" s="46">
        <v>29.705200000000001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1.0399999999998855E-2</v>
      </c>
      <c r="AD70" s="46">
        <f t="shared" si="4"/>
        <v>3.3500000000000085E-2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108.1832</v>
      </c>
      <c r="F71" s="45">
        <v>36.151000000000003</v>
      </c>
      <c r="G71" s="78"/>
      <c r="H71" s="78"/>
      <c r="I71" s="79"/>
      <c r="J71" s="79"/>
      <c r="K71" s="80"/>
      <c r="L71" s="29"/>
      <c r="M71" s="45">
        <v>108.24720000000001</v>
      </c>
      <c r="N71" s="45">
        <v>36.144399999999997</v>
      </c>
      <c r="O71" s="78"/>
      <c r="P71" s="78"/>
      <c r="Q71" s="79"/>
      <c r="R71" s="79"/>
      <c r="S71" s="80"/>
      <c r="U71" s="8">
        <f>bdrate($E71:$E74,F71:F74,$M71:$M74,N71:N74)</f>
        <v>3.4217356285277667E-3</v>
      </c>
      <c r="V71" s="9"/>
      <c r="W71" s="10"/>
      <c r="X71" s="29"/>
      <c r="Y71" s="24"/>
      <c r="Z71" s="24"/>
      <c r="AA71" s="27"/>
      <c r="AC71" s="45">
        <f t="shared" si="5"/>
        <v>-6.4000000000007162E-2</v>
      </c>
      <c r="AD71" s="45">
        <f t="shared" si="4"/>
        <v>6.6000000000059345E-3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35.9696</v>
      </c>
      <c r="F72" s="46">
        <v>32.217500000000001</v>
      </c>
      <c r="G72" s="70"/>
      <c r="H72" s="70"/>
      <c r="I72" s="66"/>
      <c r="J72" s="66"/>
      <c r="K72" s="67"/>
      <c r="L72" s="29"/>
      <c r="M72" s="46">
        <v>35.851999999999997</v>
      </c>
      <c r="N72" s="46">
        <v>32.201700000000002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0.11760000000000304</v>
      </c>
      <c r="AD72" s="46">
        <f t="shared" si="4"/>
        <v>1.5799999999998704E-2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15.488799999999999</v>
      </c>
      <c r="F73" s="46">
        <v>29.524000000000001</v>
      </c>
      <c r="G73" s="70"/>
      <c r="H73" s="70"/>
      <c r="I73" s="66"/>
      <c r="J73" s="66"/>
      <c r="K73" s="67"/>
      <c r="L73" s="29"/>
      <c r="M73" s="46">
        <v>15.4544</v>
      </c>
      <c r="N73" s="46">
        <v>29.5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3.4399999999999764E-2</v>
      </c>
      <c r="AD73" s="46">
        <f t="shared" si="4"/>
        <v>2.4000000000000909E-2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7.3752000000000004</v>
      </c>
      <c r="F74" s="46">
        <v>26.9222</v>
      </c>
      <c r="G74" s="70"/>
      <c r="H74" s="70"/>
      <c r="I74" s="66"/>
      <c r="J74" s="66"/>
      <c r="K74" s="67"/>
      <c r="L74" s="29"/>
      <c r="M74" s="46">
        <v>7.4311999999999996</v>
      </c>
      <c r="N74" s="46">
        <v>26.916499999999999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-5.5999999999999162E-2</v>
      </c>
      <c r="AD74" s="46">
        <f t="shared" si="4"/>
        <v>5.7000000000009265E-3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125.8336</v>
      </c>
      <c r="F75" s="45">
        <v>35.312100000000001</v>
      </c>
      <c r="G75" s="78"/>
      <c r="H75" s="78"/>
      <c r="I75" s="79"/>
      <c r="J75" s="79"/>
      <c r="K75" s="80"/>
      <c r="L75" s="29"/>
      <c r="M75" s="45">
        <v>125.4832</v>
      </c>
      <c r="N75" s="45">
        <v>35.293399999999998</v>
      </c>
      <c r="O75" s="78"/>
      <c r="P75" s="78"/>
      <c r="Q75" s="79"/>
      <c r="R75" s="79"/>
      <c r="S75" s="80"/>
      <c r="U75" s="8">
        <f>bdrate($E75:$E78,F75:F78,$M75:$M78,N75:N78)</f>
        <v>4.7079451518321491E-3</v>
      </c>
      <c r="V75" s="9"/>
      <c r="W75" s="10"/>
      <c r="X75" s="29"/>
      <c r="Y75" s="24"/>
      <c r="Z75" s="24"/>
      <c r="AA75" s="27"/>
      <c r="AC75" s="45">
        <f t="shared" si="5"/>
        <v>0.35040000000000759</v>
      </c>
      <c r="AD75" s="45">
        <f t="shared" si="4"/>
        <v>1.8700000000002603E-2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41.0152</v>
      </c>
      <c r="F76" s="46">
        <v>31.490200000000002</v>
      </c>
      <c r="G76" s="70"/>
      <c r="H76" s="70"/>
      <c r="I76" s="66"/>
      <c r="J76" s="66"/>
      <c r="K76" s="67"/>
      <c r="L76" s="29"/>
      <c r="M76" s="46">
        <v>41.005600000000001</v>
      </c>
      <c r="N76" s="46">
        <v>31.463799999999999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9.5999999999989427E-3</v>
      </c>
      <c r="AD76" s="46">
        <f t="shared" si="4"/>
        <v>2.6400000000002422E-2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17.478400000000001</v>
      </c>
      <c r="F77" s="46">
        <v>28.782399999999999</v>
      </c>
      <c r="G77" s="70"/>
      <c r="H77" s="70"/>
      <c r="I77" s="66"/>
      <c r="J77" s="66"/>
      <c r="K77" s="67"/>
      <c r="L77" s="29"/>
      <c r="M77" s="46">
        <v>17.428000000000001</v>
      </c>
      <c r="N77" s="46">
        <v>28.762599999999999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5.0399999999999778E-2</v>
      </c>
      <c r="AD77" s="46">
        <f t="shared" si="4"/>
        <v>1.980000000000004E-2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8.2544000000000004</v>
      </c>
      <c r="F78" s="46">
        <v>26.172599999999999</v>
      </c>
      <c r="G78" s="70"/>
      <c r="H78" s="70"/>
      <c r="I78" s="66"/>
      <c r="J78" s="66"/>
      <c r="K78" s="67"/>
      <c r="L78" s="29"/>
      <c r="M78" s="46">
        <v>8.2064000000000004</v>
      </c>
      <c r="N78" s="46">
        <v>26.153300000000002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4.8000000000000043E-2</v>
      </c>
      <c r="AD78" s="46">
        <f t="shared" si="4"/>
        <v>1.9299999999997652E-2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42.763100000000001</v>
      </c>
      <c r="G79" s="45">
        <v>46.996400000000001</v>
      </c>
      <c r="H79" s="45">
        <v>45.791899999999998</v>
      </c>
      <c r="I79" s="79"/>
      <c r="J79" s="79"/>
      <c r="K79" s="80"/>
      <c r="L79" s="29"/>
      <c r="M79" s="78"/>
      <c r="N79" s="45">
        <v>42.7699</v>
      </c>
      <c r="O79" s="45">
        <v>46.996899999999997</v>
      </c>
      <c r="P79" s="45">
        <v>45.777700000000003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-6.7999999999983629E-3</v>
      </c>
      <c r="AE79" s="45">
        <f t="shared" si="4"/>
        <v>-4.99999999995282E-4</v>
      </c>
      <c r="AF79" s="45">
        <f t="shared" si="4"/>
        <v>1.4199999999995327E-2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40.529200000000003</v>
      </c>
      <c r="G80" s="46">
        <v>45.823599999999999</v>
      </c>
      <c r="H80" s="46">
        <v>44.045999999999999</v>
      </c>
      <c r="I80" s="66"/>
      <c r="J80" s="66"/>
      <c r="K80" s="67"/>
      <c r="L80" s="29"/>
      <c r="M80" s="70"/>
      <c r="N80" s="46">
        <v>40.522100000000002</v>
      </c>
      <c r="O80" s="46">
        <v>45.848399999999998</v>
      </c>
      <c r="P80" s="46">
        <v>44.032200000000003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7.1000000000012164E-3</v>
      </c>
      <c r="AE80" s="46">
        <f t="shared" si="4"/>
        <v>-2.4799999999999045E-2</v>
      </c>
      <c r="AF80" s="46">
        <f t="shared" si="4"/>
        <v>1.379999999999626E-2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38.178199999999997</v>
      </c>
      <c r="G81" s="46">
        <v>44.637</v>
      </c>
      <c r="H81" s="46">
        <v>42.476700000000001</v>
      </c>
      <c r="I81" s="66"/>
      <c r="J81" s="66"/>
      <c r="K81" s="67"/>
      <c r="L81" s="29"/>
      <c r="M81" s="70"/>
      <c r="N81" s="46">
        <v>38.179299999999998</v>
      </c>
      <c r="O81" s="46">
        <v>44.6342</v>
      </c>
      <c r="P81" s="46">
        <v>42.489199999999997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-1.1000000000009891E-3</v>
      </c>
      <c r="AE81" s="46">
        <f t="shared" si="4"/>
        <v>2.8000000000005798E-3</v>
      </c>
      <c r="AF81" s="46">
        <f t="shared" si="4"/>
        <v>-1.2499999999995737E-2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35.702399999999997</v>
      </c>
      <c r="G82" s="72">
        <v>43.642499999999998</v>
      </c>
      <c r="H82" s="72">
        <v>41.049599999999998</v>
      </c>
      <c r="I82" s="68"/>
      <c r="J82" s="68"/>
      <c r="K82" s="69"/>
      <c r="L82" s="29"/>
      <c r="M82" s="81"/>
      <c r="N82" s="72">
        <v>35.693199999999997</v>
      </c>
      <c r="O82" s="72">
        <v>43.635199999999998</v>
      </c>
      <c r="P82" s="72">
        <v>41.049900000000001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9.1999999999998749E-3</v>
      </c>
      <c r="AE82" s="72">
        <f t="shared" si="4"/>
        <v>7.3000000000007503E-3</v>
      </c>
      <c r="AF82" s="72">
        <f t="shared" si="4"/>
        <v>-3.0000000000285354E-4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43.466500000000003</v>
      </c>
      <c r="G83" s="45">
        <v>47.601199999999999</v>
      </c>
      <c r="H83" s="45">
        <v>46.616199999999999</v>
      </c>
      <c r="I83" s="66"/>
      <c r="J83" s="66"/>
      <c r="K83" s="67"/>
      <c r="L83" s="29"/>
      <c r="M83" s="70"/>
      <c r="N83" s="45">
        <v>43.4816</v>
      </c>
      <c r="O83" s="45">
        <v>47.591999999999999</v>
      </c>
      <c r="P83" s="45">
        <v>46.613300000000002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-1.5099999999996783E-2</v>
      </c>
      <c r="AE83" s="45">
        <f t="shared" si="4"/>
        <v>9.1999999999998749E-3</v>
      </c>
      <c r="AF83" s="45">
        <f t="shared" si="4"/>
        <v>2.899999999996794E-3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41.0869</v>
      </c>
      <c r="G84" s="46">
        <v>46.334099999999999</v>
      </c>
      <c r="H84" s="46">
        <v>44.776600000000002</v>
      </c>
      <c r="I84" s="66"/>
      <c r="J84" s="66"/>
      <c r="K84" s="67"/>
      <c r="L84" s="29"/>
      <c r="M84" s="70"/>
      <c r="N84" s="46">
        <v>41.072800000000001</v>
      </c>
      <c r="O84" s="46">
        <v>46.348399999999998</v>
      </c>
      <c r="P84" s="46">
        <v>44.765000000000001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1.4099999999999113E-2</v>
      </c>
      <c r="AE84" s="46">
        <f t="shared" si="4"/>
        <v>-1.4299999999998647E-2</v>
      </c>
      <c r="AF84" s="46">
        <f t="shared" si="4"/>
        <v>1.1600000000001387E-2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38.595599999999997</v>
      </c>
      <c r="G85" s="46">
        <v>44.9724</v>
      </c>
      <c r="H85" s="46">
        <v>42.972499999999997</v>
      </c>
      <c r="I85" s="66"/>
      <c r="J85" s="66"/>
      <c r="K85" s="67"/>
      <c r="L85" s="29"/>
      <c r="M85" s="70"/>
      <c r="N85" s="46">
        <v>38.603400000000001</v>
      </c>
      <c r="O85" s="46">
        <v>44.974699999999999</v>
      </c>
      <c r="P85" s="46">
        <v>42.983499999999999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-7.8000000000031378E-3</v>
      </c>
      <c r="AE85" s="46">
        <f t="shared" si="4"/>
        <v>-2.2999999999981924E-3</v>
      </c>
      <c r="AF85" s="46">
        <f t="shared" si="4"/>
        <v>-1.1000000000002785E-2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36.017400000000002</v>
      </c>
      <c r="G86" s="72">
        <v>43.908099999999997</v>
      </c>
      <c r="H86" s="72">
        <v>41.451099999999997</v>
      </c>
      <c r="I86" s="68"/>
      <c r="J86" s="68"/>
      <c r="K86" s="69"/>
      <c r="L86" s="29"/>
      <c r="M86" s="81"/>
      <c r="N86" s="46">
        <v>36.013199999999998</v>
      </c>
      <c r="O86" s="72">
        <v>43.904699999999998</v>
      </c>
      <c r="P86" s="72">
        <v>41.453499999999998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4.2000000000044224E-3</v>
      </c>
      <c r="AE86" s="46">
        <f t="shared" si="4"/>
        <v>3.3999999999991815E-3</v>
      </c>
      <c r="AF86" s="46">
        <f t="shared" si="4"/>
        <v>-2.400000000001512E-3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43.637700000000002</v>
      </c>
      <c r="G87" s="45">
        <v>47.053800000000003</v>
      </c>
      <c r="H87" s="45">
        <v>46.542400000000001</v>
      </c>
      <c r="I87" s="66"/>
      <c r="J87" s="66"/>
      <c r="K87" s="67"/>
      <c r="L87" s="29"/>
      <c r="M87" s="70"/>
      <c r="N87" s="45">
        <v>43.638100000000001</v>
      </c>
      <c r="O87" s="45">
        <v>47.050899999999999</v>
      </c>
      <c r="P87" s="45">
        <v>46.540700000000001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-3.9999999999906777E-4</v>
      </c>
      <c r="AE87" s="45">
        <f t="shared" si="4"/>
        <v>2.9000000000038995E-3</v>
      </c>
      <c r="AF87" s="45">
        <f t="shared" si="4"/>
        <v>1.6999999999995907E-3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41.354300000000002</v>
      </c>
      <c r="G88" s="46">
        <v>45.996699999999997</v>
      </c>
      <c r="H88" s="46">
        <v>44.805700000000002</v>
      </c>
      <c r="I88" s="66"/>
      <c r="J88" s="66"/>
      <c r="K88" s="67"/>
      <c r="L88" s="29"/>
      <c r="M88" s="70"/>
      <c r="N88" s="46">
        <v>41.343699999999998</v>
      </c>
      <c r="O88" s="46">
        <v>46.006999999999998</v>
      </c>
      <c r="P88" s="46">
        <v>44.8065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1.0600000000003718E-2</v>
      </c>
      <c r="AE88" s="46">
        <f t="shared" si="4"/>
        <v>-1.0300000000000864E-2</v>
      </c>
      <c r="AF88" s="46">
        <f t="shared" si="4"/>
        <v>-7.9999999999813554E-4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38.850900000000003</v>
      </c>
      <c r="G89" s="46">
        <v>44.714799999999997</v>
      </c>
      <c r="H89" s="46">
        <v>42.960799999999999</v>
      </c>
      <c r="I89" s="66"/>
      <c r="J89" s="66"/>
      <c r="K89" s="67"/>
      <c r="L89" s="29"/>
      <c r="M89" s="70"/>
      <c r="N89" s="46">
        <v>38.853900000000003</v>
      </c>
      <c r="O89" s="46">
        <v>44.720999999999997</v>
      </c>
      <c r="P89" s="46">
        <v>42.963200000000001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-3.0000000000001137E-3</v>
      </c>
      <c r="AE89" s="46">
        <f t="shared" si="4"/>
        <v>-6.1999999999997613E-3</v>
      </c>
      <c r="AF89" s="46">
        <f t="shared" si="4"/>
        <v>-2.400000000001512E-3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36.241999999999997</v>
      </c>
      <c r="G90" s="72">
        <v>43.764600000000002</v>
      </c>
      <c r="H90" s="72">
        <v>41.448099999999997</v>
      </c>
      <c r="I90" s="68"/>
      <c r="J90" s="68"/>
      <c r="K90" s="69"/>
      <c r="L90" s="29"/>
      <c r="M90" s="81"/>
      <c r="N90" s="46">
        <v>36.240699999999997</v>
      </c>
      <c r="O90" s="72">
        <v>43.764200000000002</v>
      </c>
      <c r="P90" s="72">
        <v>41.447800000000001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1.300000000000523E-3</v>
      </c>
      <c r="AE90" s="46">
        <f t="shared" si="4"/>
        <v>3.9999999999906777E-4</v>
      </c>
      <c r="AF90" s="46">
        <f t="shared" si="4"/>
        <v>2.9999999999574811E-4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43.482999999999997</v>
      </c>
      <c r="G91" s="45">
        <v>47.038800000000002</v>
      </c>
      <c r="H91" s="45">
        <v>46.596400000000003</v>
      </c>
      <c r="I91" s="66"/>
      <c r="J91" s="66"/>
      <c r="K91" s="67"/>
      <c r="L91" s="29"/>
      <c r="M91" s="70"/>
      <c r="N91" s="45">
        <v>43.480699999999999</v>
      </c>
      <c r="O91" s="45">
        <v>47.042000000000002</v>
      </c>
      <c r="P91" s="45">
        <v>46.5914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2.2999999999981924E-3</v>
      </c>
      <c r="AE91" s="45">
        <f t="shared" si="4"/>
        <v>-3.1999999999996476E-3</v>
      </c>
      <c r="AF91" s="45">
        <f t="shared" si="4"/>
        <v>5.000000000002558E-3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41.194699999999997</v>
      </c>
      <c r="G92" s="46">
        <v>46.026899999999998</v>
      </c>
      <c r="H92" s="46">
        <v>44.851700000000001</v>
      </c>
      <c r="I92" s="66"/>
      <c r="J92" s="66"/>
      <c r="K92" s="67"/>
      <c r="L92" s="29"/>
      <c r="M92" s="70"/>
      <c r="N92" s="46">
        <v>41.198399999999999</v>
      </c>
      <c r="O92" s="46">
        <v>46.026299999999999</v>
      </c>
      <c r="P92" s="46">
        <v>44.849899999999998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-3.700000000002035E-3</v>
      </c>
      <c r="AE92" s="46">
        <f t="shared" si="4"/>
        <v>5.9999999999860165E-4</v>
      </c>
      <c r="AF92" s="46">
        <f t="shared" si="4"/>
        <v>1.8000000000029104E-3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38.703699999999998</v>
      </c>
      <c r="G93" s="46">
        <v>44.771000000000001</v>
      </c>
      <c r="H93" s="46">
        <v>42.988599999999998</v>
      </c>
      <c r="I93" s="66"/>
      <c r="J93" s="66"/>
      <c r="K93" s="67"/>
      <c r="L93" s="29"/>
      <c r="M93" s="70"/>
      <c r="N93" s="46">
        <v>38.706499999999998</v>
      </c>
      <c r="O93" s="46">
        <v>44.773600000000002</v>
      </c>
      <c r="P93" s="46">
        <v>42.988700000000001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-2.8000000000005798E-3</v>
      </c>
      <c r="AE93" s="46">
        <f t="shared" si="4"/>
        <v>-2.6000000000010459E-3</v>
      </c>
      <c r="AF93" s="46">
        <f t="shared" si="4"/>
        <v>-1.0000000000331966E-4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36.104999999999997</v>
      </c>
      <c r="G94" s="72">
        <v>43.792999999999999</v>
      </c>
      <c r="H94" s="72">
        <v>41.441299999999998</v>
      </c>
      <c r="I94" s="68"/>
      <c r="J94" s="68"/>
      <c r="K94" s="69"/>
      <c r="L94" s="29"/>
      <c r="M94" s="81"/>
      <c r="N94" s="46">
        <v>36.103400000000001</v>
      </c>
      <c r="O94" s="72">
        <v>43.795099999999998</v>
      </c>
      <c r="P94" s="72">
        <v>41.440300000000001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1.5999999999962711E-3</v>
      </c>
      <c r="AE94" s="46">
        <f t="shared" si="4"/>
        <v>-2.0999999999986585E-3</v>
      </c>
      <c r="AF94" s="46">
        <f t="shared" si="4"/>
        <v>9.9999999999766942E-4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43.2151</v>
      </c>
      <c r="G95" s="45">
        <v>47.301200000000001</v>
      </c>
      <c r="H95" s="45">
        <v>46.606299999999997</v>
      </c>
      <c r="I95" s="66"/>
      <c r="J95" s="66"/>
      <c r="K95" s="67"/>
      <c r="L95" s="29"/>
      <c r="M95" s="70"/>
      <c r="N95" s="45">
        <v>43.212400000000002</v>
      </c>
      <c r="O95" s="45">
        <v>47.308</v>
      </c>
      <c r="P95" s="45">
        <v>46.594299999999997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2.6999999999972601E-3</v>
      </c>
      <c r="AE95" s="45">
        <f t="shared" si="4"/>
        <v>-6.7999999999983629E-3</v>
      </c>
      <c r="AF95" s="45">
        <f t="shared" si="4"/>
        <v>1.2000000000000455E-2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40.855600000000003</v>
      </c>
      <c r="G96" s="46">
        <v>46.144500000000001</v>
      </c>
      <c r="H96" s="46">
        <v>44.763500000000001</v>
      </c>
      <c r="I96" s="66"/>
      <c r="J96" s="66"/>
      <c r="K96" s="67"/>
      <c r="L96" s="29"/>
      <c r="M96" s="70"/>
      <c r="N96" s="46">
        <v>40.860799999999998</v>
      </c>
      <c r="O96" s="46">
        <v>46.1539</v>
      </c>
      <c r="P96" s="46">
        <v>44.764299999999999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-5.1999999999949864E-3</v>
      </c>
      <c r="AE96" s="46">
        <f t="shared" si="4"/>
        <v>-9.3999999999994088E-3</v>
      </c>
      <c r="AF96" s="46">
        <f t="shared" si="4"/>
        <v>-7.9999999999813554E-4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38.389099999999999</v>
      </c>
      <c r="G97" s="46">
        <v>44.942</v>
      </c>
      <c r="H97" s="46">
        <v>43.000599999999999</v>
      </c>
      <c r="I97" s="66"/>
      <c r="J97" s="66"/>
      <c r="K97" s="67"/>
      <c r="L97" s="29"/>
      <c r="M97" s="70"/>
      <c r="N97" s="46">
        <v>38.383400000000002</v>
      </c>
      <c r="O97" s="46">
        <v>44.943800000000003</v>
      </c>
      <c r="P97" s="46">
        <v>42.985500000000002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5.6999999999973738E-3</v>
      </c>
      <c r="AE97" s="46">
        <f t="shared" si="4"/>
        <v>-1.8000000000029104E-3</v>
      </c>
      <c r="AF97" s="46">
        <f t="shared" si="4"/>
        <v>1.5099999999996783E-2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35.813200000000002</v>
      </c>
      <c r="G98" s="72">
        <v>43.927399999999999</v>
      </c>
      <c r="H98" s="72">
        <v>41.405000000000001</v>
      </c>
      <c r="I98" s="68"/>
      <c r="J98" s="68"/>
      <c r="K98" s="69"/>
      <c r="L98" s="29"/>
      <c r="M98" s="81"/>
      <c r="N98" s="72">
        <v>35.811300000000003</v>
      </c>
      <c r="O98" s="72">
        <v>43.934199999999997</v>
      </c>
      <c r="P98" s="72">
        <v>41.4084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1.8999999999991246E-3</v>
      </c>
      <c r="AE98" s="72">
        <f t="shared" si="4"/>
        <v>-6.7999999999983629E-3</v>
      </c>
      <c r="AF98" s="72">
        <f t="shared" si="4"/>
        <v>-3.3999999999991815E-3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42.459299999999999</v>
      </c>
      <c r="G99" s="45">
        <v>46.354799999999997</v>
      </c>
      <c r="H99" s="45">
        <v>45.754100000000001</v>
      </c>
      <c r="I99" s="66"/>
      <c r="J99" s="66"/>
      <c r="K99" s="67"/>
      <c r="L99" s="29"/>
      <c r="M99" s="70"/>
      <c r="N99" s="45">
        <v>42.470399999999998</v>
      </c>
      <c r="O99" s="45">
        <v>46.361499999999999</v>
      </c>
      <c r="P99" s="45">
        <v>45.741399999999999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-1.1099999999999E-2</v>
      </c>
      <c r="AE99" s="45">
        <f t="shared" si="4"/>
        <v>-6.7000000000021487E-3</v>
      </c>
      <c r="AF99" s="45">
        <f t="shared" si="4"/>
        <v>1.2700000000002376E-2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40.276200000000003</v>
      </c>
      <c r="G100" s="46">
        <v>45.229900000000001</v>
      </c>
      <c r="H100" s="46">
        <v>44.025399999999998</v>
      </c>
      <c r="I100" s="66"/>
      <c r="J100" s="66"/>
      <c r="K100" s="67"/>
      <c r="L100" s="29"/>
      <c r="M100" s="70"/>
      <c r="N100" s="46">
        <v>40.281199999999998</v>
      </c>
      <c r="O100" s="46">
        <v>45.239699999999999</v>
      </c>
      <c r="P100" s="46">
        <v>44.0242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-4.9999999999954525E-3</v>
      </c>
      <c r="AE100" s="46">
        <f t="shared" si="4"/>
        <v>-9.7999999999984766E-3</v>
      </c>
      <c r="AF100" s="46">
        <f t="shared" si="4"/>
        <v>1.1999999999972033E-3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37.939100000000003</v>
      </c>
      <c r="G101" s="46">
        <v>44.2258</v>
      </c>
      <c r="H101" s="46">
        <v>42.5002</v>
      </c>
      <c r="I101" s="66"/>
      <c r="J101" s="66"/>
      <c r="K101" s="67"/>
      <c r="L101" s="29"/>
      <c r="M101" s="70"/>
      <c r="N101" s="46">
        <v>37.935000000000002</v>
      </c>
      <c r="O101" s="46">
        <v>44.231499999999997</v>
      </c>
      <c r="P101" s="46">
        <v>42.491199999999999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4.1000000000011028E-3</v>
      </c>
      <c r="AE101" s="46">
        <f t="shared" si="4"/>
        <v>-5.6999999999973738E-3</v>
      </c>
      <c r="AF101" s="46">
        <f t="shared" si="4"/>
        <v>9.0000000000003411E-3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35.462000000000003</v>
      </c>
      <c r="G102" s="72">
        <v>43.3307</v>
      </c>
      <c r="H102" s="72">
        <v>41.009599999999999</v>
      </c>
      <c r="I102" s="68"/>
      <c r="J102" s="68"/>
      <c r="K102" s="69"/>
      <c r="L102" s="29"/>
      <c r="M102" s="81"/>
      <c r="N102" s="72">
        <v>35.452500000000001</v>
      </c>
      <c r="O102" s="72">
        <v>43.345100000000002</v>
      </c>
      <c r="P102" s="72">
        <v>41.0154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9.5000000000027285E-3</v>
      </c>
      <c r="AE102" s="72">
        <f t="shared" si="4"/>
        <v>-1.4400000000001967E-2</v>
      </c>
      <c r="AF102" s="72">
        <f t="shared" si="4"/>
        <v>-5.8000000000006935E-3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1789.3607999999999</v>
      </c>
      <c r="F103" s="70"/>
      <c r="G103" s="70"/>
      <c r="H103" s="70"/>
      <c r="I103" s="45">
        <v>37014.031000000003</v>
      </c>
      <c r="J103" s="45">
        <v>62.594000000000001</v>
      </c>
      <c r="K103" s="45">
        <v>360.29599999999999</v>
      </c>
      <c r="L103" s="29"/>
      <c r="M103" s="45">
        <v>1789.7088000000001</v>
      </c>
      <c r="N103" s="70"/>
      <c r="O103" s="70"/>
      <c r="P103" s="70"/>
      <c r="Q103" s="45">
        <v>37840.313000000002</v>
      </c>
      <c r="R103" s="45">
        <v>62.438000000000002</v>
      </c>
      <c r="S103" s="45">
        <v>361.40600000000001</v>
      </c>
      <c r="U103" s="8"/>
      <c r="V103" s="9"/>
      <c r="W103" s="10"/>
      <c r="X103" s="29"/>
      <c r="Y103" s="61">
        <f>GEOMEAN(Q103:Q106)/GEOMEAN(I103:I106)</f>
        <v>0.99910184201549013</v>
      </c>
      <c r="Z103" s="61">
        <f>GEOMEAN(R103:R106)/GEOMEAN(J103:J106)</f>
        <v>1.0214002003593594</v>
      </c>
      <c r="AA103" s="57">
        <f>GEOMEAN(S103:S106)/GEOMEAN(K103:K106)</f>
        <v>0.99994825343486848</v>
      </c>
      <c r="AC103" s="45">
        <f>E103 -M103</f>
        <v>-0.34800000000018372</v>
      </c>
      <c r="AD103" s="70"/>
      <c r="AE103" s="70"/>
      <c r="AF103" s="70"/>
      <c r="AG103" s="45">
        <f t="shared" ref="AG103:AI106" si="6">I103 -Q103</f>
        <v>-826.28199999999924</v>
      </c>
      <c r="AH103" s="45">
        <f t="shared" si="6"/>
        <v>0.15599999999999881</v>
      </c>
      <c r="AI103" s="45">
        <f t="shared" si="6"/>
        <v>-1.1100000000000136</v>
      </c>
    </row>
    <row r="104" spans="1:35" ht="12">
      <c r="A104" s="27"/>
      <c r="B104" s="36"/>
      <c r="C104" s="29"/>
      <c r="D104" s="32">
        <v>30</v>
      </c>
      <c r="E104" s="46">
        <v>833.19759999999997</v>
      </c>
      <c r="F104" s="70"/>
      <c r="G104" s="70"/>
      <c r="H104" s="70"/>
      <c r="I104" s="46">
        <v>28944.453000000001</v>
      </c>
      <c r="J104" s="46">
        <v>57.920999999999999</v>
      </c>
      <c r="K104" s="46">
        <v>366.07799999999997</v>
      </c>
      <c r="L104" s="29"/>
      <c r="M104" s="46">
        <v>833.23040000000003</v>
      </c>
      <c r="N104" s="70"/>
      <c r="O104" s="70"/>
      <c r="P104" s="70"/>
      <c r="Q104" s="46">
        <v>29012.687999999998</v>
      </c>
      <c r="R104" s="46">
        <v>61.203000000000003</v>
      </c>
      <c r="S104" s="46">
        <v>367.85899999999998</v>
      </c>
      <c r="U104" s="41"/>
      <c r="V104" s="42"/>
      <c r="W104" s="43"/>
      <c r="X104" s="29"/>
      <c r="Y104" s="24"/>
      <c r="Z104" s="24"/>
      <c r="AA104" s="27"/>
      <c r="AC104" s="46">
        <f>E104 -M104</f>
        <v>-3.2800000000065666E-2</v>
      </c>
      <c r="AD104" s="70"/>
      <c r="AE104" s="70"/>
      <c r="AF104" s="70"/>
      <c r="AG104" s="46">
        <f t="shared" si="6"/>
        <v>-68.234999999996944</v>
      </c>
      <c r="AH104" s="46">
        <f t="shared" si="6"/>
        <v>-3.2820000000000036</v>
      </c>
      <c r="AI104" s="46">
        <f t="shared" si="6"/>
        <v>-1.7810000000000059</v>
      </c>
    </row>
    <row r="105" spans="1:35" ht="12">
      <c r="A105" s="27"/>
      <c r="B105" s="36"/>
      <c r="C105" s="29"/>
      <c r="D105" s="32">
        <v>35</v>
      </c>
      <c r="E105" s="46">
        <v>446.62959999999998</v>
      </c>
      <c r="F105" s="70"/>
      <c r="G105" s="70"/>
      <c r="H105" s="70"/>
      <c r="I105" s="46">
        <v>24533.094000000001</v>
      </c>
      <c r="J105" s="46">
        <v>57.375</v>
      </c>
      <c r="K105" s="46">
        <v>387.09399999999999</v>
      </c>
      <c r="L105" s="29"/>
      <c r="M105" s="46">
        <v>446.8</v>
      </c>
      <c r="N105" s="70"/>
      <c r="O105" s="70"/>
      <c r="P105" s="70"/>
      <c r="Q105" s="46">
        <v>23979.546999999999</v>
      </c>
      <c r="R105" s="46">
        <v>58.155999999999999</v>
      </c>
      <c r="S105" s="46">
        <v>382.96899999999999</v>
      </c>
      <c r="U105" s="17"/>
      <c r="V105" s="18"/>
      <c r="W105" s="19"/>
      <c r="X105" s="29"/>
      <c r="Y105" s="24"/>
      <c r="Z105" s="24"/>
      <c r="AA105" s="27"/>
      <c r="AC105" s="46">
        <f>E105 -M105</f>
        <v>-0.17040000000002919</v>
      </c>
      <c r="AD105" s="70"/>
      <c r="AE105" s="70"/>
      <c r="AF105" s="70"/>
      <c r="AG105" s="46">
        <f t="shared" si="6"/>
        <v>553.5470000000023</v>
      </c>
      <c r="AH105" s="46">
        <f t="shared" si="6"/>
        <v>-0.78099999999999881</v>
      </c>
      <c r="AI105" s="46">
        <f t="shared" si="6"/>
        <v>4.125</v>
      </c>
    </row>
    <row r="106" spans="1:35" ht="12.75" thickBot="1">
      <c r="A106" s="27"/>
      <c r="B106" s="52"/>
      <c r="C106" s="53"/>
      <c r="D106" s="71">
        <v>40</v>
      </c>
      <c r="E106" s="72">
        <v>255.71199999999999</v>
      </c>
      <c r="F106" s="81"/>
      <c r="G106" s="81"/>
      <c r="H106" s="81"/>
      <c r="I106" s="72">
        <v>21329.328000000001</v>
      </c>
      <c r="J106" s="72">
        <v>53.390999999999998</v>
      </c>
      <c r="K106" s="72">
        <v>363.10899999999998</v>
      </c>
      <c r="L106" s="29"/>
      <c r="M106" s="72">
        <v>255.62639999999999</v>
      </c>
      <c r="N106" s="81"/>
      <c r="O106" s="81"/>
      <c r="P106" s="81"/>
      <c r="Q106" s="72">
        <v>21218.594000000001</v>
      </c>
      <c r="R106" s="72">
        <v>54.390999999999998</v>
      </c>
      <c r="S106" s="72">
        <v>364.04599999999999</v>
      </c>
      <c r="U106" s="85"/>
      <c r="V106" s="86"/>
      <c r="W106" s="87"/>
      <c r="X106" s="29"/>
      <c r="Y106" s="49"/>
      <c r="Z106" s="49"/>
      <c r="AA106" s="54"/>
      <c r="AC106" s="72">
        <f>E106 -M106</f>
        <v>8.5599999999999454E-2</v>
      </c>
      <c r="AD106" s="81"/>
      <c r="AE106" s="81"/>
      <c r="AF106" s="81"/>
      <c r="AG106" s="72">
        <f t="shared" si="6"/>
        <v>110.73400000000038</v>
      </c>
      <c r="AH106" s="72">
        <f t="shared" si="6"/>
        <v>-1</v>
      </c>
      <c r="AI106" s="72">
        <f t="shared" si="6"/>
        <v>-0.93700000000001182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305.00240000000002</v>
      </c>
      <c r="F111" s="45">
        <v>40.302799999999998</v>
      </c>
      <c r="G111" s="45">
        <v>42.966500000000003</v>
      </c>
      <c r="H111" s="45">
        <v>43.068800000000003</v>
      </c>
      <c r="I111" s="79"/>
      <c r="J111" s="79"/>
      <c r="K111" s="80"/>
      <c r="L111" s="29"/>
      <c r="M111" s="45">
        <v>304.79360000000003</v>
      </c>
      <c r="N111" s="45">
        <v>40.302199999999999</v>
      </c>
      <c r="O111" s="45">
        <v>42.9589</v>
      </c>
      <c r="P111" s="45">
        <v>43.068100000000001</v>
      </c>
      <c r="Q111" s="79"/>
      <c r="R111" s="79"/>
      <c r="S111" s="80"/>
      <c r="U111" s="8">
        <f>bdrate($E111:$E114,F111:F114,$M111:$M114,N111:N114)</f>
        <v>-7.8381444884390028E-4</v>
      </c>
      <c r="V111" s="9">
        <f>bdrate($E111:$E114,G111:G114,$M111:$M114,O111:O114)</f>
        <v>-3.0399598961838858E-3</v>
      </c>
      <c r="W111" s="10">
        <f>bdrate($E111:$E114,H111:H114,$M111:$M114,P111:P114)</f>
        <v>-3.2932847251071484E-3</v>
      </c>
      <c r="X111" s="29"/>
      <c r="Y111" s="24"/>
      <c r="Z111" s="24"/>
      <c r="AA111" s="27"/>
      <c r="AC111" s="45">
        <f t="shared" si="8"/>
        <v>0.20879999999999654</v>
      </c>
      <c r="AD111" s="45">
        <f t="shared" si="7"/>
        <v>5.9999999999860165E-4</v>
      </c>
      <c r="AE111" s="45">
        <f t="shared" si="7"/>
        <v>7.6000000000036039E-3</v>
      </c>
      <c r="AF111" s="45">
        <f t="shared" si="7"/>
        <v>7.0000000000192131E-4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129.97280000000001</v>
      </c>
      <c r="F112" s="46">
        <v>37.963099999999997</v>
      </c>
      <c r="G112" s="46">
        <v>41.298900000000003</v>
      </c>
      <c r="H112" s="46">
        <v>41.432200000000002</v>
      </c>
      <c r="I112" s="66"/>
      <c r="J112" s="66"/>
      <c r="K112" s="67"/>
      <c r="L112" s="29"/>
      <c r="M112" s="46">
        <v>129.4872</v>
      </c>
      <c r="N112" s="46">
        <v>37.960999999999999</v>
      </c>
      <c r="O112" s="46">
        <v>41.304000000000002</v>
      </c>
      <c r="P112" s="46">
        <v>41.434699999999999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0.48560000000000514</v>
      </c>
      <c r="AD112" s="46">
        <f t="shared" si="7"/>
        <v>2.0999999999986585E-3</v>
      </c>
      <c r="AE112" s="46">
        <f t="shared" si="7"/>
        <v>-5.0999999999987722E-3</v>
      </c>
      <c r="AF112" s="46">
        <f t="shared" si="7"/>
        <v>-2.4999999999977263E-3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64.084000000000003</v>
      </c>
      <c r="F113" s="46">
        <v>35.519500000000001</v>
      </c>
      <c r="G113" s="46">
        <v>40.021700000000003</v>
      </c>
      <c r="H113" s="46">
        <v>40.051699999999997</v>
      </c>
      <c r="I113" s="66"/>
      <c r="J113" s="66"/>
      <c r="K113" s="67"/>
      <c r="L113" s="29"/>
      <c r="M113" s="46">
        <v>64.191199999999995</v>
      </c>
      <c r="N113" s="46">
        <v>35.520600000000002</v>
      </c>
      <c r="O113" s="46">
        <v>40.025500000000001</v>
      </c>
      <c r="P113" s="46">
        <v>40.053899999999999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-0.10719999999999175</v>
      </c>
      <c r="AD113" s="46">
        <f t="shared" si="7"/>
        <v>-1.1000000000009891E-3</v>
      </c>
      <c r="AE113" s="46">
        <f t="shared" si="7"/>
        <v>-3.7999999999982492E-3</v>
      </c>
      <c r="AF113" s="46">
        <f t="shared" si="7"/>
        <v>-2.2000000000019782E-3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34.485599999999998</v>
      </c>
      <c r="F114" s="46">
        <v>33.109099999999998</v>
      </c>
      <c r="G114" s="46">
        <v>38.9694</v>
      </c>
      <c r="H114" s="46">
        <v>38.9392</v>
      </c>
      <c r="I114" s="66"/>
      <c r="J114" s="66"/>
      <c r="K114" s="67"/>
      <c r="L114" s="29"/>
      <c r="M114" s="46">
        <v>34.433599999999998</v>
      </c>
      <c r="N114" s="46">
        <v>33.106699999999996</v>
      </c>
      <c r="O114" s="46">
        <v>38.9756</v>
      </c>
      <c r="P114" s="46">
        <v>38.958500000000001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5.1999999999999602E-2</v>
      </c>
      <c r="AD114" s="46">
        <f t="shared" si="7"/>
        <v>2.400000000001512E-3</v>
      </c>
      <c r="AE114" s="46">
        <f t="shared" si="7"/>
        <v>-6.1999999999997613E-3</v>
      </c>
      <c r="AF114" s="46">
        <f t="shared" si="7"/>
        <v>-1.9300000000001205E-2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348.44240000000002</v>
      </c>
      <c r="F115" s="45">
        <v>39.902799999999999</v>
      </c>
      <c r="G115" s="45">
        <v>42.850200000000001</v>
      </c>
      <c r="H115" s="45">
        <v>42.744599999999998</v>
      </c>
      <c r="I115" s="79"/>
      <c r="J115" s="79"/>
      <c r="K115" s="80"/>
      <c r="L115" s="29"/>
      <c r="M115" s="45">
        <v>348.16640000000001</v>
      </c>
      <c r="N115" s="45">
        <v>39.902900000000002</v>
      </c>
      <c r="O115" s="45">
        <v>42.856200000000001</v>
      </c>
      <c r="P115" s="45">
        <v>42.747100000000003</v>
      </c>
      <c r="Q115" s="79"/>
      <c r="R115" s="79"/>
      <c r="S115" s="80"/>
      <c r="U115" s="8">
        <f>bdrate($E115:$E118,F115:F118,$M115:$M118,N115:N118)</f>
        <v>9.9361110420748133E-4</v>
      </c>
      <c r="V115" s="9">
        <f>bdrate($E115:$E118,G115:G118,$M115:$M118,O115:O118)</f>
        <v>3.8026359215577177E-3</v>
      </c>
      <c r="W115" s="10">
        <f>bdrate($E115:$E118,H115:H118,$M115:$M118,P115:P118)</f>
        <v>4.7985080945807113E-3</v>
      </c>
      <c r="X115" s="29"/>
      <c r="Y115" s="24"/>
      <c r="Z115" s="24"/>
      <c r="AA115" s="27"/>
      <c r="AC115" s="45">
        <f t="shared" si="8"/>
        <v>0.27600000000001046</v>
      </c>
      <c r="AD115" s="45">
        <f t="shared" si="7"/>
        <v>-1.0000000000331966E-4</v>
      </c>
      <c r="AE115" s="45">
        <f t="shared" si="7"/>
        <v>-6.0000000000002274E-3</v>
      </c>
      <c r="AF115" s="45">
        <f t="shared" si="7"/>
        <v>-2.5000000000048317E-3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150.2544</v>
      </c>
      <c r="F116" s="46">
        <v>37.516500000000001</v>
      </c>
      <c r="G116" s="46">
        <v>41.369</v>
      </c>
      <c r="H116" s="46">
        <v>41.096800000000002</v>
      </c>
      <c r="I116" s="66"/>
      <c r="J116" s="66"/>
      <c r="K116" s="67"/>
      <c r="L116" s="29"/>
      <c r="M116" s="46">
        <v>150.56880000000001</v>
      </c>
      <c r="N116" s="46">
        <v>37.517699999999998</v>
      </c>
      <c r="O116" s="46">
        <v>41.367899999999999</v>
      </c>
      <c r="P116" s="46">
        <v>41.088700000000003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-0.31440000000000623</v>
      </c>
      <c r="AD116" s="46">
        <f t="shared" si="7"/>
        <v>-1.1999999999972033E-3</v>
      </c>
      <c r="AE116" s="46">
        <f t="shared" si="7"/>
        <v>1.1000000000009891E-3</v>
      </c>
      <c r="AF116" s="46">
        <f t="shared" si="7"/>
        <v>8.0999999999988859E-3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75.325599999999994</v>
      </c>
      <c r="F117" s="46">
        <v>35.059600000000003</v>
      </c>
      <c r="G117" s="46">
        <v>40.0916</v>
      </c>
      <c r="H117" s="46">
        <v>39.676400000000001</v>
      </c>
      <c r="I117" s="66"/>
      <c r="J117" s="66"/>
      <c r="K117" s="67"/>
      <c r="L117" s="29"/>
      <c r="M117" s="46">
        <v>75.456800000000001</v>
      </c>
      <c r="N117" s="46">
        <v>35.063899999999997</v>
      </c>
      <c r="O117" s="46">
        <v>40.078000000000003</v>
      </c>
      <c r="P117" s="46">
        <v>39.666200000000003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-0.13120000000000687</v>
      </c>
      <c r="AD117" s="46">
        <f t="shared" si="7"/>
        <v>-4.2999999999935312E-3</v>
      </c>
      <c r="AE117" s="46">
        <f t="shared" si="7"/>
        <v>1.3599999999996726E-2</v>
      </c>
      <c r="AF117" s="46">
        <f t="shared" si="7"/>
        <v>1.0199999999997544E-2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40.058399999999999</v>
      </c>
      <c r="F118" s="72">
        <v>32.549700000000001</v>
      </c>
      <c r="G118" s="72">
        <v>39.084099999999999</v>
      </c>
      <c r="H118" s="72">
        <v>38.598199999999999</v>
      </c>
      <c r="I118" s="68"/>
      <c r="J118" s="68"/>
      <c r="K118" s="69"/>
      <c r="L118" s="29"/>
      <c r="M118" s="72">
        <v>40.165599999999998</v>
      </c>
      <c r="N118" s="72">
        <v>32.5533</v>
      </c>
      <c r="O118" s="72">
        <v>39.084899999999998</v>
      </c>
      <c r="P118" s="72">
        <v>38.599400000000003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-0.10719999999999885</v>
      </c>
      <c r="AD118" s="72">
        <f t="shared" si="7"/>
        <v>-3.5999999999987153E-3</v>
      </c>
      <c r="AE118" s="72">
        <f t="shared" si="7"/>
        <v>-7.9999999999813554E-4</v>
      </c>
      <c r="AF118" s="72">
        <f t="shared" si="7"/>
        <v>-1.2000000000043087E-3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190.04159999999999</v>
      </c>
      <c r="F119" s="45">
        <v>38.375100000000003</v>
      </c>
      <c r="G119" s="78"/>
      <c r="H119" s="78"/>
      <c r="I119" s="79"/>
      <c r="J119" s="79"/>
      <c r="K119" s="80"/>
      <c r="L119" s="29"/>
      <c r="M119" s="45">
        <v>189.2064</v>
      </c>
      <c r="N119" s="45">
        <v>38.347000000000001</v>
      </c>
      <c r="O119" s="78"/>
      <c r="P119" s="78"/>
      <c r="Q119" s="79"/>
      <c r="R119" s="79"/>
      <c r="S119" s="80"/>
      <c r="U119" s="8">
        <f>bdrate($E119:$E122,F119:F122,$M119:$M122,N119:N122)</f>
        <v>3.1304585436819909E-3</v>
      </c>
      <c r="V119" s="9"/>
      <c r="W119" s="10"/>
      <c r="X119" s="29"/>
      <c r="Y119" s="24"/>
      <c r="Z119" s="24"/>
      <c r="AA119" s="27"/>
      <c r="AC119" s="45">
        <f t="shared" si="8"/>
        <v>0.83519999999998618</v>
      </c>
      <c r="AD119" s="45">
        <f t="shared" si="7"/>
        <v>2.8100000000002012E-2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63.987200000000001</v>
      </c>
      <c r="F120" s="46">
        <v>35.073799999999999</v>
      </c>
      <c r="G120" s="70"/>
      <c r="H120" s="70"/>
      <c r="I120" s="66"/>
      <c r="J120" s="66"/>
      <c r="K120" s="67"/>
      <c r="L120" s="29"/>
      <c r="M120" s="46">
        <v>64.327200000000005</v>
      </c>
      <c r="N120" s="46">
        <v>35.070599999999999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-0.34000000000000341</v>
      </c>
      <c r="AD120" s="46">
        <f t="shared" si="7"/>
        <v>3.1999999999996476E-3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26.28</v>
      </c>
      <c r="F121" s="46">
        <v>32.482900000000001</v>
      </c>
      <c r="G121" s="70"/>
      <c r="H121" s="70"/>
      <c r="I121" s="66"/>
      <c r="J121" s="66"/>
      <c r="K121" s="67"/>
      <c r="L121" s="29"/>
      <c r="M121" s="46">
        <v>26.0624</v>
      </c>
      <c r="N121" s="46">
        <v>32.467700000000001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0.2176000000000009</v>
      </c>
      <c r="AD121" s="46">
        <f t="shared" si="7"/>
        <v>1.5200000000000102E-2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11.7</v>
      </c>
      <c r="F122" s="46">
        <v>29.547599999999999</v>
      </c>
      <c r="G122" s="70"/>
      <c r="H122" s="70"/>
      <c r="I122" s="66"/>
      <c r="J122" s="66"/>
      <c r="K122" s="67"/>
      <c r="L122" s="29"/>
      <c r="M122" s="46">
        <v>11.7224</v>
      </c>
      <c r="N122" s="46">
        <v>29.5151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-2.2400000000001086E-2</v>
      </c>
      <c r="AD122" s="46">
        <f t="shared" si="7"/>
        <v>3.2499999999998863E-2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123.63679999999999</v>
      </c>
      <c r="F123" s="45">
        <v>37.214700000000001</v>
      </c>
      <c r="G123" s="78"/>
      <c r="H123" s="78"/>
      <c r="I123" s="79"/>
      <c r="J123" s="79"/>
      <c r="K123" s="80"/>
      <c r="L123" s="29"/>
      <c r="M123" s="45">
        <v>123.9328</v>
      </c>
      <c r="N123" s="45">
        <v>37.205300000000001</v>
      </c>
      <c r="O123" s="78"/>
      <c r="P123" s="78"/>
      <c r="Q123" s="79"/>
      <c r="R123" s="79"/>
      <c r="S123" s="80"/>
      <c r="U123" s="8">
        <f>bdrate($E123:$E126,F123:F126,$M123:$M126,N123:N126)</f>
        <v>2.9392440370561435E-3</v>
      </c>
      <c r="V123" s="9"/>
      <c r="W123" s="10"/>
      <c r="X123" s="29"/>
      <c r="Y123" s="24"/>
      <c r="Z123" s="24"/>
      <c r="AA123" s="27"/>
      <c r="AC123" s="45">
        <f t="shared" si="8"/>
        <v>-0.29600000000000648</v>
      </c>
      <c r="AD123" s="45">
        <f t="shared" si="7"/>
        <v>9.3999999999994088E-3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43.824800000000003</v>
      </c>
      <c r="F124" s="46">
        <v>34.134</v>
      </c>
      <c r="G124" s="70"/>
      <c r="H124" s="70"/>
      <c r="I124" s="66"/>
      <c r="J124" s="66"/>
      <c r="K124" s="67"/>
      <c r="L124" s="29"/>
      <c r="M124" s="46">
        <v>43.796799999999998</v>
      </c>
      <c r="N124" s="46">
        <v>34.129300000000001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2.8000000000005798E-2</v>
      </c>
      <c r="AD124" s="46">
        <f t="shared" si="7"/>
        <v>4.6999999999997044E-3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18.7896</v>
      </c>
      <c r="F125" s="46">
        <v>31.611499999999999</v>
      </c>
      <c r="G125" s="70"/>
      <c r="H125" s="70"/>
      <c r="I125" s="66"/>
      <c r="J125" s="66"/>
      <c r="K125" s="67"/>
      <c r="L125" s="29"/>
      <c r="M125" s="46">
        <v>18.778400000000001</v>
      </c>
      <c r="N125" s="46">
        <v>31.5763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1.1199999999998766E-2</v>
      </c>
      <c r="AD125" s="46">
        <f t="shared" si="7"/>
        <v>3.5199999999999676E-2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8.6376000000000008</v>
      </c>
      <c r="F126" s="46">
        <v>28.341799999999999</v>
      </c>
      <c r="G126" s="70"/>
      <c r="H126" s="70"/>
      <c r="I126" s="66"/>
      <c r="J126" s="66"/>
      <c r="K126" s="67"/>
      <c r="L126" s="29"/>
      <c r="M126" s="46">
        <v>8.5511999999999997</v>
      </c>
      <c r="N126" s="46">
        <v>28.351400000000002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8.6400000000001143E-2</v>
      </c>
      <c r="AD126" s="46">
        <f t="shared" si="7"/>
        <v>-9.6000000000024954E-3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111.6688</v>
      </c>
      <c r="F127" s="45">
        <v>37.151699999999998</v>
      </c>
      <c r="G127" s="78"/>
      <c r="H127" s="78"/>
      <c r="I127" s="79"/>
      <c r="J127" s="79"/>
      <c r="K127" s="80"/>
      <c r="L127" s="29"/>
      <c r="M127" s="45">
        <v>111.1408</v>
      </c>
      <c r="N127" s="45">
        <v>37.158700000000003</v>
      </c>
      <c r="O127" s="78"/>
      <c r="P127" s="78"/>
      <c r="Q127" s="79"/>
      <c r="R127" s="79"/>
      <c r="S127" s="80"/>
      <c r="U127" s="8">
        <f>bdrate($E127:$E130,F127:F130,$M127:$M130,N127:N130)</f>
        <v>1.0321960510582651E-2</v>
      </c>
      <c r="V127" s="9"/>
      <c r="W127" s="10"/>
      <c r="X127" s="29"/>
      <c r="Y127" s="24"/>
      <c r="Z127" s="24"/>
      <c r="AA127" s="27"/>
      <c r="AC127" s="45">
        <f t="shared" si="8"/>
        <v>0.5280000000000058</v>
      </c>
      <c r="AD127" s="45">
        <f t="shared" si="7"/>
        <v>-7.0000000000050022E-3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36.756799999999998</v>
      </c>
      <c r="F128" s="46">
        <v>34.119300000000003</v>
      </c>
      <c r="G128" s="70"/>
      <c r="H128" s="70"/>
      <c r="I128" s="66"/>
      <c r="J128" s="66"/>
      <c r="K128" s="67"/>
      <c r="L128" s="29"/>
      <c r="M128" s="46">
        <v>36.834400000000002</v>
      </c>
      <c r="N128" s="46">
        <v>34.125799999999998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-7.7600000000003888E-2</v>
      </c>
      <c r="AD128" s="46">
        <f t="shared" si="7"/>
        <v>-6.4999999999955094E-3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15.618399999999999</v>
      </c>
      <c r="F129" s="46">
        <v>31.6312</v>
      </c>
      <c r="G129" s="70"/>
      <c r="H129" s="70"/>
      <c r="I129" s="66"/>
      <c r="J129" s="66"/>
      <c r="K129" s="67"/>
      <c r="L129" s="29"/>
      <c r="M129" s="46">
        <v>15.7936</v>
      </c>
      <c r="N129" s="46">
        <v>31.573499999999999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-0.17520000000000024</v>
      </c>
      <c r="AD129" s="46">
        <f t="shared" si="7"/>
        <v>5.7700000000000529E-2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7.532</v>
      </c>
      <c r="F130" s="46">
        <v>29.023900000000001</v>
      </c>
      <c r="G130" s="70"/>
      <c r="H130" s="70"/>
      <c r="I130" s="66"/>
      <c r="J130" s="66"/>
      <c r="K130" s="67"/>
      <c r="L130" s="29"/>
      <c r="M130" s="46">
        <v>7.6167999999999996</v>
      </c>
      <c r="N130" s="46">
        <v>29.0185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-8.4799999999999542E-2</v>
      </c>
      <c r="AD130" s="46">
        <f t="shared" si="7"/>
        <v>5.4000000000016257E-3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39.9238</v>
      </c>
      <c r="G131" s="45">
        <v>45.2759</v>
      </c>
      <c r="H131" s="45">
        <v>45.4467</v>
      </c>
      <c r="I131" s="79"/>
      <c r="J131" s="79"/>
      <c r="K131" s="80"/>
      <c r="L131" s="29"/>
      <c r="M131" s="78"/>
      <c r="N131" s="45">
        <v>39.917900000000003</v>
      </c>
      <c r="O131" s="45">
        <v>45.269399999999997</v>
      </c>
      <c r="P131" s="45">
        <v>45.442399999999999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5.8999999999969077E-3</v>
      </c>
      <c r="AE131" s="45">
        <f t="shared" si="7"/>
        <v>6.5000000000026148E-3</v>
      </c>
      <c r="AF131" s="45">
        <f t="shared" si="7"/>
        <v>4.3000000000006366E-3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37.786999999999999</v>
      </c>
      <c r="G132" s="46">
        <v>43.472799999999999</v>
      </c>
      <c r="H132" s="46">
        <v>43.6203</v>
      </c>
      <c r="I132" s="66"/>
      <c r="J132" s="66"/>
      <c r="K132" s="67"/>
      <c r="L132" s="29"/>
      <c r="M132" s="70"/>
      <c r="N132" s="46">
        <v>37.778500000000001</v>
      </c>
      <c r="O132" s="46">
        <v>43.469499999999996</v>
      </c>
      <c r="P132" s="46">
        <v>43.619300000000003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8.4999999999979536E-3</v>
      </c>
      <c r="AE132" s="46">
        <f t="shared" si="7"/>
        <v>3.3000000000029672E-3</v>
      </c>
      <c r="AF132" s="46">
        <f t="shared" si="7"/>
        <v>9.9999999999766942E-4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35.500300000000003</v>
      </c>
      <c r="G133" s="46">
        <v>41.873899999999999</v>
      </c>
      <c r="H133" s="46">
        <v>41.895600000000002</v>
      </c>
      <c r="I133" s="66"/>
      <c r="J133" s="66"/>
      <c r="K133" s="67"/>
      <c r="L133" s="29"/>
      <c r="M133" s="70"/>
      <c r="N133" s="46">
        <v>35.497900000000001</v>
      </c>
      <c r="O133" s="46">
        <v>41.869399999999999</v>
      </c>
      <c r="P133" s="46">
        <v>41.902799999999999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2.400000000001512E-3</v>
      </c>
      <c r="AE133" s="46">
        <f t="shared" si="7"/>
        <v>4.5000000000001705E-3</v>
      </c>
      <c r="AF133" s="46">
        <f t="shared" si="7"/>
        <v>-7.1999999999974307E-3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33.143599999999999</v>
      </c>
      <c r="G134" s="72">
        <v>40.5428</v>
      </c>
      <c r="H134" s="72">
        <v>40.523699999999998</v>
      </c>
      <c r="I134" s="68"/>
      <c r="J134" s="68"/>
      <c r="K134" s="69"/>
      <c r="L134" s="29"/>
      <c r="M134" s="81"/>
      <c r="N134" s="72">
        <v>33.137500000000003</v>
      </c>
      <c r="O134" s="72">
        <v>40.5411</v>
      </c>
      <c r="P134" s="72">
        <v>40.5413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6.0999999999964416E-3</v>
      </c>
      <c r="AE134" s="72">
        <f t="shared" si="7"/>
        <v>1.6999999999995907E-3</v>
      </c>
      <c r="AF134" s="72">
        <f t="shared" si="7"/>
        <v>-1.7600000000001614E-2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40.459400000000002</v>
      </c>
      <c r="G135" s="45">
        <v>46.128900000000002</v>
      </c>
      <c r="H135" s="45">
        <v>46.172400000000003</v>
      </c>
      <c r="I135" s="66"/>
      <c r="J135" s="66"/>
      <c r="K135" s="67"/>
      <c r="L135" s="29"/>
      <c r="M135" s="70"/>
      <c r="N135" s="45">
        <v>40.463799999999999</v>
      </c>
      <c r="O135" s="45">
        <v>46.126800000000003</v>
      </c>
      <c r="P135" s="45">
        <v>46.170699999999997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-4.3999999999968509E-3</v>
      </c>
      <c r="AE135" s="45">
        <f t="shared" si="7"/>
        <v>2.0999999999986585E-3</v>
      </c>
      <c r="AF135" s="45">
        <f t="shared" si="7"/>
        <v>1.7000000000066962E-3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38.192799999999998</v>
      </c>
      <c r="G136" s="46">
        <v>44.238300000000002</v>
      </c>
      <c r="H136" s="46">
        <v>44.2331</v>
      </c>
      <c r="I136" s="66"/>
      <c r="J136" s="66"/>
      <c r="K136" s="67"/>
      <c r="L136" s="29"/>
      <c r="M136" s="70"/>
      <c r="N136" s="46">
        <v>38.192799999999998</v>
      </c>
      <c r="O136" s="46">
        <v>44.238999999999997</v>
      </c>
      <c r="P136" s="46">
        <v>44.236699999999999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</v>
      </c>
      <c r="AE136" s="46">
        <f t="shared" si="7"/>
        <v>-6.9999999999481588E-4</v>
      </c>
      <c r="AF136" s="46">
        <f t="shared" si="7"/>
        <v>-3.5999999999987153E-3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35.799599999999998</v>
      </c>
      <c r="G137" s="46">
        <v>42.389899999999997</v>
      </c>
      <c r="H137" s="46">
        <v>42.263500000000001</v>
      </c>
      <c r="I137" s="66"/>
      <c r="J137" s="66"/>
      <c r="K137" s="67"/>
      <c r="L137" s="29"/>
      <c r="M137" s="70"/>
      <c r="N137" s="46">
        <v>35.795499999999997</v>
      </c>
      <c r="O137" s="46">
        <v>42.381799999999998</v>
      </c>
      <c r="P137" s="46">
        <v>42.266399999999997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4.1000000000011028E-3</v>
      </c>
      <c r="AE137" s="46">
        <f t="shared" si="7"/>
        <v>8.0999999999988859E-3</v>
      </c>
      <c r="AF137" s="46">
        <f t="shared" si="7"/>
        <v>-2.899999999996794E-3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33.343899999999998</v>
      </c>
      <c r="G138" s="72">
        <v>40.9163</v>
      </c>
      <c r="H138" s="72">
        <v>40.761000000000003</v>
      </c>
      <c r="I138" s="68"/>
      <c r="J138" s="68"/>
      <c r="K138" s="69"/>
      <c r="L138" s="29"/>
      <c r="M138" s="81"/>
      <c r="N138" s="46">
        <v>33.344999999999999</v>
      </c>
      <c r="O138" s="72">
        <v>40.915999999999997</v>
      </c>
      <c r="P138" s="72">
        <v>40.770899999999997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-1.1000000000009891E-3</v>
      </c>
      <c r="AE138" s="46">
        <f t="shared" si="7"/>
        <v>3.0000000000285354E-4</v>
      </c>
      <c r="AF138" s="46">
        <f t="shared" si="7"/>
        <v>-9.8999999999946908E-3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40.957099999999997</v>
      </c>
      <c r="G139" s="45">
        <v>46.035200000000003</v>
      </c>
      <c r="H139" s="45">
        <v>46.095399999999998</v>
      </c>
      <c r="I139" s="66"/>
      <c r="J139" s="66"/>
      <c r="K139" s="67"/>
      <c r="L139" s="29"/>
      <c r="M139" s="70"/>
      <c r="N139" s="45">
        <v>40.943399999999997</v>
      </c>
      <c r="O139" s="45">
        <v>46.032499999999999</v>
      </c>
      <c r="P139" s="45">
        <v>46.093000000000004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1.3700000000000045E-2</v>
      </c>
      <c r="AE139" s="45">
        <f t="shared" si="7"/>
        <v>2.7000000000043656E-3</v>
      </c>
      <c r="AF139" s="45">
        <f t="shared" si="7"/>
        <v>2.3999999999944066E-3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38.658999999999999</v>
      </c>
      <c r="G140" s="46">
        <v>44.260300000000001</v>
      </c>
      <c r="H140" s="46">
        <v>44.228900000000003</v>
      </c>
      <c r="I140" s="66"/>
      <c r="J140" s="66"/>
      <c r="K140" s="67"/>
      <c r="L140" s="29"/>
      <c r="M140" s="70"/>
      <c r="N140" s="46">
        <v>38.6526</v>
      </c>
      <c r="O140" s="46">
        <v>44.262999999999998</v>
      </c>
      <c r="P140" s="46">
        <v>44.229900000000001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6.3999999999992951E-3</v>
      </c>
      <c r="AE140" s="46">
        <f t="shared" si="7"/>
        <v>-2.6999999999972601E-3</v>
      </c>
      <c r="AF140" s="46">
        <f t="shared" si="7"/>
        <v>-9.9999999999766942E-4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36.196599999999997</v>
      </c>
      <c r="G141" s="46">
        <v>42.324199999999998</v>
      </c>
      <c r="H141" s="46">
        <v>42.192500000000003</v>
      </c>
      <c r="I141" s="66"/>
      <c r="J141" s="66"/>
      <c r="K141" s="67"/>
      <c r="L141" s="29"/>
      <c r="M141" s="70"/>
      <c r="N141" s="46">
        <v>36.201099999999997</v>
      </c>
      <c r="O141" s="46">
        <v>42.3172</v>
      </c>
      <c r="P141" s="46">
        <v>42.195099999999996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-4.5000000000001705E-3</v>
      </c>
      <c r="AE141" s="46">
        <f t="shared" si="7"/>
        <v>6.9999999999978968E-3</v>
      </c>
      <c r="AF141" s="46">
        <f t="shared" si="7"/>
        <v>-2.5999999999939405E-3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33.680900000000001</v>
      </c>
      <c r="G142" s="72">
        <v>40.8491</v>
      </c>
      <c r="H142" s="72">
        <v>40.696300000000001</v>
      </c>
      <c r="I142" s="68"/>
      <c r="J142" s="68"/>
      <c r="K142" s="69"/>
      <c r="L142" s="29"/>
      <c r="M142" s="81"/>
      <c r="N142" s="46">
        <v>33.679200000000002</v>
      </c>
      <c r="O142" s="72">
        <v>40.848599999999998</v>
      </c>
      <c r="P142" s="72">
        <v>40.704000000000001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1.6999999999995907E-3</v>
      </c>
      <c r="AE142" s="46">
        <f t="shared" si="7"/>
        <v>5.0000000000238742E-4</v>
      </c>
      <c r="AF142" s="46">
        <f t="shared" si="7"/>
        <v>-7.6999999999998181E-3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40.9129</v>
      </c>
      <c r="G143" s="45">
        <v>45.867600000000003</v>
      </c>
      <c r="H143" s="45">
        <v>45.939399999999999</v>
      </c>
      <c r="I143" s="66"/>
      <c r="J143" s="66"/>
      <c r="K143" s="67"/>
      <c r="L143" s="29"/>
      <c r="M143" s="70"/>
      <c r="N143" s="45">
        <v>40.930300000000003</v>
      </c>
      <c r="O143" s="45">
        <v>45.872700000000002</v>
      </c>
      <c r="P143" s="45">
        <v>45.944899999999997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-1.740000000000208E-2</v>
      </c>
      <c r="AE143" s="45">
        <f t="shared" si="7"/>
        <v>-5.0999999999987722E-3</v>
      </c>
      <c r="AF143" s="45">
        <f t="shared" si="7"/>
        <v>-5.49999999999784E-3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38.583799999999997</v>
      </c>
      <c r="G144" s="46">
        <v>44.066400000000002</v>
      </c>
      <c r="H144" s="46">
        <v>44.043700000000001</v>
      </c>
      <c r="I144" s="66"/>
      <c r="J144" s="66"/>
      <c r="K144" s="67"/>
      <c r="L144" s="29"/>
      <c r="M144" s="70"/>
      <c r="N144" s="46">
        <v>38.597799999999999</v>
      </c>
      <c r="O144" s="46">
        <v>44.070300000000003</v>
      </c>
      <c r="P144" s="46">
        <v>44.045499999999997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-1.4000000000002899E-2</v>
      </c>
      <c r="AE144" s="46">
        <f t="shared" si="7"/>
        <v>-3.9000000000015689E-3</v>
      </c>
      <c r="AF144" s="46">
        <f t="shared" si="7"/>
        <v>-1.799999999995805E-3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36.121499999999997</v>
      </c>
      <c r="G145" s="46">
        <v>42.147300000000001</v>
      </c>
      <c r="H145" s="46">
        <v>41.981099999999998</v>
      </c>
      <c r="I145" s="66"/>
      <c r="J145" s="66"/>
      <c r="K145" s="67"/>
      <c r="L145" s="29"/>
      <c r="M145" s="70"/>
      <c r="N145" s="46">
        <v>36.116599999999998</v>
      </c>
      <c r="O145" s="46">
        <v>42.1479</v>
      </c>
      <c r="P145" s="46">
        <v>41.9724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4.8999999999992383E-3</v>
      </c>
      <c r="AE145" s="46">
        <f t="shared" si="7"/>
        <v>-5.9999999999860165E-4</v>
      </c>
      <c r="AF145" s="46">
        <f t="shared" si="7"/>
        <v>8.6999999999974875E-3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33.597499999999997</v>
      </c>
      <c r="G146" s="72">
        <v>40.714700000000001</v>
      </c>
      <c r="H146" s="72">
        <v>40.5017</v>
      </c>
      <c r="I146" s="68"/>
      <c r="J146" s="68"/>
      <c r="K146" s="69"/>
      <c r="L146" s="29"/>
      <c r="M146" s="81"/>
      <c r="N146" s="46">
        <v>33.601300000000002</v>
      </c>
      <c r="O146" s="72">
        <v>40.714399999999998</v>
      </c>
      <c r="P146" s="72">
        <v>40.497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-3.8000000000053547E-3</v>
      </c>
      <c r="AE146" s="46">
        <f t="shared" si="7"/>
        <v>3.0000000000285354E-4</v>
      </c>
      <c r="AF146" s="46">
        <f t="shared" si="7"/>
        <v>4.6999999999997044E-3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40.291499999999999</v>
      </c>
      <c r="G147" s="45">
        <v>45.898800000000001</v>
      </c>
      <c r="H147" s="45">
        <v>45.860999999999997</v>
      </c>
      <c r="I147" s="66"/>
      <c r="J147" s="66"/>
      <c r="K147" s="67"/>
      <c r="L147" s="29"/>
      <c r="M147" s="70"/>
      <c r="N147" s="45">
        <v>40.311500000000002</v>
      </c>
      <c r="O147" s="45">
        <v>45.899299999999997</v>
      </c>
      <c r="P147" s="45">
        <v>45.868699999999997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-2.0000000000003126E-2</v>
      </c>
      <c r="AE147" s="45">
        <f t="shared" si="7"/>
        <v>-4.99999999995282E-4</v>
      </c>
      <c r="AF147" s="45">
        <f t="shared" si="7"/>
        <v>-7.6999999999998181E-3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37.966700000000003</v>
      </c>
      <c r="G148" s="46">
        <v>44.055799999999998</v>
      </c>
      <c r="H148" s="46">
        <v>43.866399999999999</v>
      </c>
      <c r="I148" s="66"/>
      <c r="J148" s="66"/>
      <c r="K148" s="67"/>
      <c r="L148" s="29"/>
      <c r="M148" s="70"/>
      <c r="N148" s="46">
        <v>37.982399999999998</v>
      </c>
      <c r="O148" s="46">
        <v>44.056800000000003</v>
      </c>
      <c r="P148" s="46">
        <v>43.867199999999997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-1.5699999999995384E-2</v>
      </c>
      <c r="AE148" s="46">
        <f t="shared" si="7"/>
        <v>-1.0000000000047748E-3</v>
      </c>
      <c r="AF148" s="46">
        <f t="shared" si="7"/>
        <v>-7.9999999999813554E-4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35.568300000000001</v>
      </c>
      <c r="G149" s="46">
        <v>42.220399999999998</v>
      </c>
      <c r="H149" s="46">
        <v>41.860100000000003</v>
      </c>
      <c r="I149" s="66"/>
      <c r="J149" s="66"/>
      <c r="K149" s="67"/>
      <c r="L149" s="29"/>
      <c r="M149" s="70"/>
      <c r="N149" s="46">
        <v>35.5642</v>
      </c>
      <c r="O149" s="46">
        <v>42.216700000000003</v>
      </c>
      <c r="P149" s="46">
        <v>41.844299999999997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4.1000000000011028E-3</v>
      </c>
      <c r="AE149" s="46">
        <f t="shared" si="7"/>
        <v>3.6999999999949296E-3</v>
      </c>
      <c r="AF149" s="46">
        <f t="shared" si="7"/>
        <v>1.5800000000005809E-2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33.080100000000002</v>
      </c>
      <c r="G150" s="72">
        <v>40.788699999999999</v>
      </c>
      <c r="H150" s="72">
        <v>40.395299999999999</v>
      </c>
      <c r="I150" s="68"/>
      <c r="J150" s="68"/>
      <c r="K150" s="69"/>
      <c r="L150" s="29"/>
      <c r="M150" s="81"/>
      <c r="N150" s="72">
        <v>33.073099999999997</v>
      </c>
      <c r="O150" s="72">
        <v>40.792999999999999</v>
      </c>
      <c r="P150" s="72">
        <v>40.393599999999999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7.0000000000050022E-3</v>
      </c>
      <c r="AE150" s="72">
        <f t="shared" si="7"/>
        <v>-4.3000000000006366E-3</v>
      </c>
      <c r="AF150" s="72">
        <f t="shared" si="7"/>
        <v>1.6999999999995907E-3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39.941899999999997</v>
      </c>
      <c r="G151" s="45">
        <v>45.081499999999998</v>
      </c>
      <c r="H151" s="45">
        <v>45.0413</v>
      </c>
      <c r="I151" s="66"/>
      <c r="J151" s="66"/>
      <c r="K151" s="67"/>
      <c r="L151" s="29"/>
      <c r="M151" s="70"/>
      <c r="N151" s="45">
        <v>39.945900000000002</v>
      </c>
      <c r="O151" s="45">
        <v>45.085700000000003</v>
      </c>
      <c r="P151" s="45">
        <v>45.043799999999997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-4.0000000000048885E-3</v>
      </c>
      <c r="AE151" s="45">
        <f t="shared" si="7"/>
        <v>-4.2000000000044224E-3</v>
      </c>
      <c r="AF151" s="45">
        <f t="shared" si="7"/>
        <v>-2.4999999999977263E-3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37.608199999999997</v>
      </c>
      <c r="G152" s="46">
        <v>43.377499999999998</v>
      </c>
      <c r="H152" s="46">
        <v>43.120399999999997</v>
      </c>
      <c r="I152" s="66"/>
      <c r="J152" s="66"/>
      <c r="K152" s="67"/>
      <c r="L152" s="29"/>
      <c r="M152" s="70"/>
      <c r="N152" s="46">
        <v>37.608899999999998</v>
      </c>
      <c r="O152" s="46">
        <v>43.3735</v>
      </c>
      <c r="P152" s="46">
        <v>43.115900000000003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-7.0000000000192131E-4</v>
      </c>
      <c r="AE152" s="46">
        <f t="shared" si="7"/>
        <v>3.9999999999977831E-3</v>
      </c>
      <c r="AF152" s="46">
        <f t="shared" si="7"/>
        <v>4.4999999999930651E-3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35.1935</v>
      </c>
      <c r="G153" s="46">
        <v>41.783200000000001</v>
      </c>
      <c r="H153" s="46">
        <v>41.334499999999998</v>
      </c>
      <c r="I153" s="66"/>
      <c r="J153" s="66"/>
      <c r="K153" s="67"/>
      <c r="L153" s="29"/>
      <c r="M153" s="70"/>
      <c r="N153" s="46">
        <v>35.1935</v>
      </c>
      <c r="O153" s="46">
        <v>41.775700000000001</v>
      </c>
      <c r="P153" s="46">
        <v>41.315199999999997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0</v>
      </c>
      <c r="AE153" s="46">
        <f t="shared" si="7"/>
        <v>7.5000000000002842E-3</v>
      </c>
      <c r="AF153" s="46">
        <f t="shared" si="7"/>
        <v>1.9300000000001205E-2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32.6967</v>
      </c>
      <c r="G154" s="72">
        <v>40.492100000000001</v>
      </c>
      <c r="H154" s="72">
        <v>39.992600000000003</v>
      </c>
      <c r="I154" s="68"/>
      <c r="J154" s="68"/>
      <c r="K154" s="69"/>
      <c r="L154" s="29"/>
      <c r="M154" s="81"/>
      <c r="N154" s="72">
        <v>32.695599999999999</v>
      </c>
      <c r="O154" s="72">
        <v>40.5002</v>
      </c>
      <c r="P154" s="72">
        <v>39.9863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1.1000000000009891E-3</v>
      </c>
      <c r="AE154" s="72">
        <f t="shared" si="7"/>
        <v>-8.0999999999988859E-3</v>
      </c>
      <c r="AF154" s="72">
        <f t="shared" si="7"/>
        <v>6.3000000000030809E-3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2034.4672</v>
      </c>
      <c r="F155" s="70"/>
      <c r="G155" s="70"/>
      <c r="H155" s="70"/>
      <c r="I155" s="45">
        <v>30015.485000000001</v>
      </c>
      <c r="J155" s="45">
        <v>56.844000000000001</v>
      </c>
      <c r="K155" s="45">
        <v>378.36</v>
      </c>
      <c r="L155" s="29"/>
      <c r="M155" s="45">
        <v>2032.9151999999999</v>
      </c>
      <c r="N155" s="70"/>
      <c r="O155" s="70"/>
      <c r="P155" s="70"/>
      <c r="Q155" s="45">
        <v>30195.812000000002</v>
      </c>
      <c r="R155" s="45">
        <v>63.265999999999998</v>
      </c>
      <c r="S155" s="45">
        <v>364.96899999999999</v>
      </c>
      <c r="T155" s="24"/>
      <c r="U155" s="8"/>
      <c r="V155" s="9"/>
      <c r="W155" s="10"/>
      <c r="X155" s="29"/>
      <c r="Y155" s="61">
        <f>GEOMEAN(Q155:Q158)/GEOMEAN(I155:I158)</f>
        <v>1.0068407225136209</v>
      </c>
      <c r="Z155" s="61">
        <f>GEOMEAN(R155:R158)/GEOMEAN(J155:J158)</f>
        <v>1.0203336885563388</v>
      </c>
      <c r="AA155" s="57">
        <f>GEOMEAN(S155:S158)/GEOMEAN(K155:K158)</f>
        <v>1.0047517613940284</v>
      </c>
      <c r="AB155" s="24"/>
      <c r="AC155" s="45">
        <f>E155 -M155</f>
        <v>1.5520000000001346</v>
      </c>
      <c r="AD155" s="70"/>
      <c r="AE155" s="70"/>
      <c r="AF155" s="70"/>
      <c r="AG155" s="45">
        <f t="shared" ref="AG155:AI158" si="9">I155 -Q155</f>
        <v>-180.32700000000114</v>
      </c>
      <c r="AH155" s="45">
        <f t="shared" si="9"/>
        <v>-6.421999999999997</v>
      </c>
      <c r="AI155" s="45">
        <f t="shared" si="9"/>
        <v>13.39100000000002</v>
      </c>
    </row>
    <row r="156" spans="1:35" ht="12">
      <c r="B156" s="36"/>
      <c r="C156" s="29"/>
      <c r="D156" s="32">
        <v>30</v>
      </c>
      <c r="E156" s="46">
        <v>930.36400000000003</v>
      </c>
      <c r="F156" s="70"/>
      <c r="G156" s="70"/>
      <c r="H156" s="70"/>
      <c r="I156" s="46">
        <v>24084.485000000001</v>
      </c>
      <c r="J156" s="46">
        <v>53.906999999999996</v>
      </c>
      <c r="K156" s="46">
        <v>361.93799999999999</v>
      </c>
      <c r="L156" s="29"/>
      <c r="M156" s="46">
        <v>930.58240000000001</v>
      </c>
      <c r="N156" s="70"/>
      <c r="O156" s="70"/>
      <c r="P156" s="70"/>
      <c r="Q156" s="46">
        <v>24255.516</v>
      </c>
      <c r="R156" s="46">
        <v>51.828000000000003</v>
      </c>
      <c r="S156" s="46">
        <v>366.81200000000001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-0.21839999999997417</v>
      </c>
      <c r="AD156" s="70"/>
      <c r="AE156" s="70"/>
      <c r="AF156" s="70"/>
      <c r="AG156" s="46">
        <f t="shared" si="9"/>
        <v>-171.03099999999904</v>
      </c>
      <c r="AH156" s="46">
        <f t="shared" si="9"/>
        <v>2.0789999999999935</v>
      </c>
      <c r="AI156" s="46">
        <f t="shared" si="9"/>
        <v>-4.8740000000000236</v>
      </c>
    </row>
    <row r="157" spans="1:35" ht="12">
      <c r="B157" s="36"/>
      <c r="C157" s="29"/>
      <c r="D157" s="32">
        <v>35</v>
      </c>
      <c r="E157" s="46">
        <v>480.90480000000002</v>
      </c>
      <c r="F157" s="70"/>
      <c r="G157" s="70"/>
      <c r="H157" s="70"/>
      <c r="I157" s="46">
        <v>21065.766</v>
      </c>
      <c r="J157" s="46">
        <v>49.045999999999999</v>
      </c>
      <c r="K157" s="46">
        <v>363.40600000000001</v>
      </c>
      <c r="L157" s="29"/>
      <c r="M157" s="46">
        <v>481.08960000000002</v>
      </c>
      <c r="N157" s="70"/>
      <c r="O157" s="70"/>
      <c r="P157" s="70"/>
      <c r="Q157" s="46">
        <v>21434.859</v>
      </c>
      <c r="R157" s="46">
        <v>49.295999999999999</v>
      </c>
      <c r="S157" s="46">
        <v>360.43700000000001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-0.18479999999999563</v>
      </c>
      <c r="AD157" s="70"/>
      <c r="AE157" s="70"/>
      <c r="AF157" s="70"/>
      <c r="AG157" s="46">
        <f t="shared" si="9"/>
        <v>-369.09300000000076</v>
      </c>
      <c r="AH157" s="46">
        <f t="shared" si="9"/>
        <v>-0.25</v>
      </c>
      <c r="AI157" s="46">
        <f t="shared" si="9"/>
        <v>2.9689999999999941</v>
      </c>
    </row>
    <row r="158" spans="1:35" ht="12.75" thickBot="1">
      <c r="B158" s="52"/>
      <c r="C158" s="53"/>
      <c r="D158" s="71">
        <v>40</v>
      </c>
      <c r="E158" s="72">
        <v>267.4864</v>
      </c>
      <c r="F158" s="81"/>
      <c r="G158" s="81"/>
      <c r="H158" s="81"/>
      <c r="I158" s="72">
        <v>18336.641</v>
      </c>
      <c r="J158" s="72">
        <v>48.344000000000001</v>
      </c>
      <c r="K158" s="72">
        <v>374.98500000000001</v>
      </c>
      <c r="L158" s="29"/>
      <c r="M158" s="72">
        <v>267.56240000000003</v>
      </c>
      <c r="N158" s="81"/>
      <c r="O158" s="81"/>
      <c r="P158" s="81"/>
      <c r="Q158" s="72">
        <v>18278.687000000002</v>
      </c>
      <c r="R158" s="72">
        <v>48.719000000000001</v>
      </c>
      <c r="S158" s="72">
        <v>394.14100000000002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-7.6000000000021828E-2</v>
      </c>
      <c r="AD158" s="81"/>
      <c r="AE158" s="81"/>
      <c r="AF158" s="81"/>
      <c r="AG158" s="72">
        <f t="shared" si="9"/>
        <v>57.953999999997905</v>
      </c>
      <c r="AH158" s="72">
        <f t="shared" si="9"/>
        <v>-0.375</v>
      </c>
      <c r="AI158" s="72">
        <f t="shared" si="9"/>
        <v>-19.156000000000006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525.25599999999997</v>
      </c>
      <c r="F163" s="45">
        <v>39.743600000000001</v>
      </c>
      <c r="G163" s="45">
        <v>45.321599999999997</v>
      </c>
      <c r="H163" s="45">
        <v>46.172600000000003</v>
      </c>
      <c r="I163" s="79"/>
      <c r="J163" s="79"/>
      <c r="K163" s="80"/>
      <c r="L163" s="29"/>
      <c r="M163" s="45">
        <v>525.67280000000005</v>
      </c>
      <c r="N163" s="45">
        <v>39.744399999999999</v>
      </c>
      <c r="O163" s="45">
        <v>45.322600000000001</v>
      </c>
      <c r="P163" s="45">
        <v>46.173499999999997</v>
      </c>
      <c r="Q163" s="79"/>
      <c r="R163" s="79"/>
      <c r="S163" s="80"/>
      <c r="T163" s="24"/>
      <c r="U163" s="8">
        <f>bdrate($E163:$E166,F163:F166,$M163:$M166,N163:N166)</f>
        <v>-5.2821316616646907E-4</v>
      </c>
      <c r="V163" s="9">
        <f>bdrate($E163:$E166,G163:G166,$M163:$M166,O163:O166)</f>
        <v>-7.6462923122933013E-4</v>
      </c>
      <c r="W163" s="10">
        <f>bdrate($E163:$E166,H163:H166,$M163:$M166,P163:P166)</f>
        <v>-5.1505449351707533E-4</v>
      </c>
      <c r="X163" s="29"/>
      <c r="Y163" s="24"/>
      <c r="Z163" s="24"/>
      <c r="AA163" s="27"/>
      <c r="AB163" s="24"/>
      <c r="AC163" s="45">
        <f t="shared" si="11"/>
        <v>-0.41680000000008022</v>
      </c>
      <c r="AD163" s="45">
        <f t="shared" si="10"/>
        <v>-7.9999999999813554E-4</v>
      </c>
      <c r="AE163" s="45">
        <f t="shared" si="10"/>
        <v>-1.0000000000047748E-3</v>
      </c>
      <c r="AF163" s="45">
        <f t="shared" si="10"/>
        <v>-8.9999999999434976E-4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183.65119999999999</v>
      </c>
      <c r="F164" s="46">
        <v>37.47</v>
      </c>
      <c r="G164" s="46">
        <v>43.568300000000001</v>
      </c>
      <c r="H164" s="46">
        <v>44.4084</v>
      </c>
      <c r="I164" s="66"/>
      <c r="J164" s="66"/>
      <c r="K164" s="67"/>
      <c r="L164" s="29"/>
      <c r="M164" s="46">
        <v>183.56559999999999</v>
      </c>
      <c r="N164" s="46">
        <v>37.468699999999998</v>
      </c>
      <c r="O164" s="46">
        <v>43.567700000000002</v>
      </c>
      <c r="P164" s="46">
        <v>44.408000000000001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8.5599999999999454E-2</v>
      </c>
      <c r="AD164" s="46">
        <f t="shared" si="10"/>
        <v>1.300000000000523E-3</v>
      </c>
      <c r="AE164" s="46">
        <f t="shared" si="10"/>
        <v>5.9999999999860165E-4</v>
      </c>
      <c r="AF164" s="46">
        <f t="shared" si="10"/>
        <v>3.9999999999906777E-4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75.046400000000006</v>
      </c>
      <c r="F165" s="46">
        <v>35.381</v>
      </c>
      <c r="G165" s="46">
        <v>41.796399999999998</v>
      </c>
      <c r="H165" s="46">
        <v>42.630600000000001</v>
      </c>
      <c r="I165" s="66"/>
      <c r="J165" s="66"/>
      <c r="K165" s="67"/>
      <c r="L165" s="29"/>
      <c r="M165" s="46">
        <v>74.801599999999993</v>
      </c>
      <c r="N165" s="46">
        <v>35.379800000000003</v>
      </c>
      <c r="O165" s="46">
        <v>41.795699999999997</v>
      </c>
      <c r="P165" s="46">
        <v>42.628399999999999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0.24480000000001212</v>
      </c>
      <c r="AD165" s="46">
        <f t="shared" si="10"/>
        <v>1.1999999999972033E-3</v>
      </c>
      <c r="AE165" s="46">
        <f t="shared" si="10"/>
        <v>7.0000000000192131E-4</v>
      </c>
      <c r="AF165" s="46">
        <f t="shared" si="10"/>
        <v>2.2000000000019782E-3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34.6584</v>
      </c>
      <c r="F166" s="46">
        <v>33.295099999999998</v>
      </c>
      <c r="G166" s="46">
        <v>40.557899999999997</v>
      </c>
      <c r="H166" s="46">
        <v>41.397300000000001</v>
      </c>
      <c r="I166" s="66"/>
      <c r="J166" s="66"/>
      <c r="K166" s="67"/>
      <c r="L166" s="29"/>
      <c r="M166" s="46">
        <v>34.7376</v>
      </c>
      <c r="N166" s="46">
        <v>33.2928</v>
      </c>
      <c r="O166" s="46">
        <v>40.557099999999998</v>
      </c>
      <c r="P166" s="46">
        <v>41.3964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-7.9200000000000159E-2</v>
      </c>
      <c r="AD166" s="46">
        <f t="shared" si="10"/>
        <v>2.2999999999981924E-3</v>
      </c>
      <c r="AE166" s="46">
        <f t="shared" si="10"/>
        <v>7.9999999999813554E-4</v>
      </c>
      <c r="AF166" s="46">
        <f t="shared" si="10"/>
        <v>9.0000000000145519E-4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545.7192</v>
      </c>
      <c r="F167" s="45">
        <v>39.7072</v>
      </c>
      <c r="G167" s="45">
        <v>45.280900000000003</v>
      </c>
      <c r="H167" s="45">
        <v>46.137599999999999</v>
      </c>
      <c r="I167" s="79"/>
      <c r="J167" s="79"/>
      <c r="K167" s="80"/>
      <c r="L167" s="29"/>
      <c r="M167" s="45">
        <v>546.32719999999995</v>
      </c>
      <c r="N167" s="45">
        <v>39.707599999999999</v>
      </c>
      <c r="O167" s="45">
        <v>45.28</v>
      </c>
      <c r="P167" s="45">
        <v>46.136899999999997</v>
      </c>
      <c r="Q167" s="79"/>
      <c r="R167" s="79"/>
      <c r="S167" s="80"/>
      <c r="T167" s="65"/>
      <c r="U167" s="8">
        <f>bdrate($E167:$E170,F167:F170,$M167:$M170,N167:N170)</f>
        <v>7.7602806639376354E-5</v>
      </c>
      <c r="V167" s="9">
        <f>bdrate($E167:$E170,G167:G170,$M167:$M170,O167:O170)</f>
        <v>3.7219318392178735E-4</v>
      </c>
      <c r="W167" s="10">
        <f>bdrate($E167:$E170,H167:H170,$M167:$M170,P167:P170)</f>
        <v>5.2221479464154008E-4</v>
      </c>
      <c r="X167" s="29"/>
      <c r="Y167" s="24"/>
      <c r="Z167" s="24"/>
      <c r="AA167" s="27"/>
      <c r="AB167" s="24"/>
      <c r="AC167" s="45">
        <f t="shared" si="11"/>
        <v>-0.60799999999994725</v>
      </c>
      <c r="AD167" s="45">
        <f t="shared" si="10"/>
        <v>-3.9999999999906777E-4</v>
      </c>
      <c r="AE167" s="45">
        <f t="shared" si="10"/>
        <v>9.0000000000145519E-4</v>
      </c>
      <c r="AF167" s="45">
        <f t="shared" si="10"/>
        <v>7.0000000000192131E-4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192.32239999999999</v>
      </c>
      <c r="F168" s="46">
        <v>37.4268</v>
      </c>
      <c r="G168" s="46">
        <v>43.524099999999997</v>
      </c>
      <c r="H168" s="46">
        <v>44.369900000000001</v>
      </c>
      <c r="I168" s="66"/>
      <c r="J168" s="66"/>
      <c r="K168" s="67"/>
      <c r="L168" s="29"/>
      <c r="M168" s="46">
        <v>192.1688</v>
      </c>
      <c r="N168" s="46">
        <v>37.426400000000001</v>
      </c>
      <c r="O168" s="46">
        <v>43.523400000000002</v>
      </c>
      <c r="P168" s="46">
        <v>44.369300000000003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0.15359999999998308</v>
      </c>
      <c r="AD168" s="46">
        <f t="shared" si="10"/>
        <v>3.9999999999906777E-4</v>
      </c>
      <c r="AE168" s="46">
        <f t="shared" si="10"/>
        <v>6.9999999999481588E-4</v>
      </c>
      <c r="AF168" s="46">
        <f t="shared" si="10"/>
        <v>5.9999999999860165E-4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79.116</v>
      </c>
      <c r="F169" s="46">
        <v>35.335500000000003</v>
      </c>
      <c r="G169" s="46">
        <v>41.756599999999999</v>
      </c>
      <c r="H169" s="46">
        <v>42.593600000000002</v>
      </c>
      <c r="I169" s="66"/>
      <c r="J169" s="66"/>
      <c r="K169" s="67"/>
      <c r="L169" s="29"/>
      <c r="M169" s="46">
        <v>79.150400000000005</v>
      </c>
      <c r="N169" s="46">
        <v>35.337600000000002</v>
      </c>
      <c r="O169" s="46">
        <v>41.756999999999998</v>
      </c>
      <c r="P169" s="46">
        <v>42.593400000000003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-3.4400000000005093E-2</v>
      </c>
      <c r="AD169" s="46">
        <f t="shared" si="10"/>
        <v>-2.0999999999986585E-3</v>
      </c>
      <c r="AE169" s="46">
        <f t="shared" si="10"/>
        <v>-3.9999999999906777E-4</v>
      </c>
      <c r="AF169" s="46">
        <f t="shared" si="10"/>
        <v>1.9999999999953388E-4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36.732799999999997</v>
      </c>
      <c r="F170" s="72">
        <v>33.244</v>
      </c>
      <c r="G170" s="72">
        <v>40.5122</v>
      </c>
      <c r="H170" s="72">
        <v>41.355699999999999</v>
      </c>
      <c r="I170" s="68"/>
      <c r="J170" s="68"/>
      <c r="K170" s="69"/>
      <c r="L170" s="29"/>
      <c r="M170" s="72">
        <v>36.844799999999999</v>
      </c>
      <c r="N170" s="72">
        <v>33.244799999999998</v>
      </c>
      <c r="O170" s="72">
        <v>40.512599999999999</v>
      </c>
      <c r="P170" s="72">
        <v>41.354700000000001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-0.11200000000000188</v>
      </c>
      <c r="AD170" s="72">
        <f t="shared" si="10"/>
        <v>-7.9999999999813554E-4</v>
      </c>
      <c r="AE170" s="72">
        <f t="shared" si="10"/>
        <v>-3.9999999999906777E-4</v>
      </c>
      <c r="AF170" s="72">
        <f t="shared" si="10"/>
        <v>9.9999999999766942E-4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288.45359999999999</v>
      </c>
      <c r="F171" s="45">
        <v>43.258099999999999</v>
      </c>
      <c r="G171" s="78"/>
      <c r="H171" s="78"/>
      <c r="I171" s="79"/>
      <c r="J171" s="79"/>
      <c r="K171" s="80"/>
      <c r="L171" s="29"/>
      <c r="M171" s="45">
        <v>288.81119999999999</v>
      </c>
      <c r="N171" s="45">
        <v>43.197000000000003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1.3172207058938401E-2</v>
      </c>
      <c r="V171" s="9"/>
      <c r="W171" s="10"/>
      <c r="X171" s="29"/>
      <c r="Y171" s="24"/>
      <c r="Z171" s="24"/>
      <c r="AA171" s="27"/>
      <c r="AB171" s="24"/>
      <c r="AC171" s="45">
        <f t="shared" si="11"/>
        <v>-0.35759999999999081</v>
      </c>
      <c r="AD171" s="45">
        <f t="shared" si="10"/>
        <v>6.1099999999996157E-2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98.266400000000004</v>
      </c>
      <c r="F172" s="46">
        <v>38.929299999999998</v>
      </c>
      <c r="G172" s="70"/>
      <c r="H172" s="70"/>
      <c r="I172" s="66"/>
      <c r="J172" s="66"/>
      <c r="K172" s="67"/>
      <c r="L172" s="29"/>
      <c r="M172" s="46">
        <v>98.220799999999997</v>
      </c>
      <c r="N172" s="46">
        <v>38.846800000000002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4.5600000000007412E-2</v>
      </c>
      <c r="AD172" s="46">
        <f t="shared" si="10"/>
        <v>8.2499999999996021E-2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37.253599999999999</v>
      </c>
      <c r="F173" s="46">
        <v>34.970300000000002</v>
      </c>
      <c r="G173" s="70"/>
      <c r="H173" s="70"/>
      <c r="I173" s="66"/>
      <c r="J173" s="66"/>
      <c r="K173" s="67"/>
      <c r="L173" s="29"/>
      <c r="M173" s="46">
        <v>36.953600000000002</v>
      </c>
      <c r="N173" s="46">
        <v>34.937899999999999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0.29999999999999716</v>
      </c>
      <c r="AD173" s="46">
        <f t="shared" si="10"/>
        <v>3.2400000000002649E-2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14.831200000000001</v>
      </c>
      <c r="F174" s="46">
        <v>31.490500000000001</v>
      </c>
      <c r="G174" s="70"/>
      <c r="H174" s="70"/>
      <c r="I174" s="66"/>
      <c r="J174" s="66"/>
      <c r="K174" s="67"/>
      <c r="L174" s="29"/>
      <c r="M174" s="46">
        <v>14.8728</v>
      </c>
      <c r="N174" s="46">
        <v>31.410900000000002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-4.1599999999998971E-2</v>
      </c>
      <c r="AD174" s="46">
        <f t="shared" si="10"/>
        <v>7.9599999999999227E-2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100.952</v>
      </c>
      <c r="F175" s="45">
        <v>42.264200000000002</v>
      </c>
      <c r="G175" s="78"/>
      <c r="H175" s="78"/>
      <c r="I175" s="79"/>
      <c r="J175" s="79"/>
      <c r="K175" s="80"/>
      <c r="L175" s="29"/>
      <c r="M175" s="45">
        <v>100.9472</v>
      </c>
      <c r="N175" s="45">
        <v>42.212000000000003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1.2077557593832999E-2</v>
      </c>
      <c r="V175" s="9"/>
      <c r="W175" s="10"/>
      <c r="X175" s="29"/>
      <c r="Y175" s="24"/>
      <c r="Z175" s="24"/>
      <c r="AA175" s="27"/>
      <c r="AB175" s="24"/>
      <c r="AC175" s="45">
        <f t="shared" si="11"/>
        <v>4.8000000000030241E-3</v>
      </c>
      <c r="AD175" s="45">
        <f t="shared" si="10"/>
        <v>5.2199999999999136E-2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29.34</v>
      </c>
      <c r="F176" s="46">
        <v>38.085099999999997</v>
      </c>
      <c r="G176" s="70"/>
      <c r="H176" s="70"/>
      <c r="I176" s="66"/>
      <c r="J176" s="66"/>
      <c r="K176" s="67"/>
      <c r="L176" s="29"/>
      <c r="M176" s="46">
        <v>29.221599999999999</v>
      </c>
      <c r="N176" s="46">
        <v>38.0441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0.11840000000000117</v>
      </c>
      <c r="AD176" s="46">
        <f t="shared" si="10"/>
        <v>4.0999999999996817E-2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11.925599999999999</v>
      </c>
      <c r="F177" s="46">
        <v>34.246899999999997</v>
      </c>
      <c r="G177" s="70"/>
      <c r="H177" s="70"/>
      <c r="I177" s="66"/>
      <c r="J177" s="66"/>
      <c r="K177" s="67"/>
      <c r="L177" s="29"/>
      <c r="M177" s="46">
        <v>12.0168</v>
      </c>
      <c r="N177" s="46">
        <v>34.224400000000003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-9.1200000000000614E-2</v>
      </c>
      <c r="AD177" s="46">
        <f t="shared" si="10"/>
        <v>2.2499999999993747E-2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6.0279999999999996</v>
      </c>
      <c r="F178" s="46">
        <v>30.798100000000002</v>
      </c>
      <c r="G178" s="70"/>
      <c r="H178" s="70"/>
      <c r="I178" s="66"/>
      <c r="J178" s="66"/>
      <c r="K178" s="67"/>
      <c r="L178" s="29"/>
      <c r="M178" s="46">
        <v>6.1055999999999999</v>
      </c>
      <c r="N178" s="46">
        <v>30.7347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-7.7600000000000335E-2</v>
      </c>
      <c r="AD178" s="46">
        <f t="shared" si="10"/>
        <v>6.3400000000001455E-2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105.0112</v>
      </c>
      <c r="F179" s="45">
        <v>42.264099999999999</v>
      </c>
      <c r="G179" s="78"/>
      <c r="H179" s="78"/>
      <c r="I179" s="79"/>
      <c r="J179" s="79"/>
      <c r="K179" s="80"/>
      <c r="L179" s="29"/>
      <c r="M179" s="45">
        <v>104.6768</v>
      </c>
      <c r="N179" s="45">
        <v>42.195999999999998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6.426846404275155E-3</v>
      </c>
      <c r="V179" s="9"/>
      <c r="W179" s="10"/>
      <c r="X179" s="29"/>
      <c r="Y179" s="24"/>
      <c r="Z179" s="24"/>
      <c r="AA179" s="27"/>
      <c r="AB179" s="24"/>
      <c r="AC179" s="45">
        <f t="shared" si="11"/>
        <v>0.33440000000000225</v>
      </c>
      <c r="AD179" s="45">
        <f t="shared" si="10"/>
        <v>6.810000000000116E-2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30.763200000000001</v>
      </c>
      <c r="F180" s="46">
        <v>38.026499999999999</v>
      </c>
      <c r="G180" s="70"/>
      <c r="H180" s="70"/>
      <c r="I180" s="66"/>
      <c r="J180" s="66"/>
      <c r="K180" s="67"/>
      <c r="L180" s="29"/>
      <c r="M180" s="46">
        <v>30.751999999999999</v>
      </c>
      <c r="N180" s="46">
        <v>37.975700000000003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1.1200000000002319E-2</v>
      </c>
      <c r="AD180" s="46">
        <f t="shared" si="10"/>
        <v>5.0799999999995293E-2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12.628</v>
      </c>
      <c r="F181" s="46">
        <v>34.289200000000001</v>
      </c>
      <c r="G181" s="70"/>
      <c r="H181" s="70"/>
      <c r="I181" s="66"/>
      <c r="J181" s="66"/>
      <c r="K181" s="67"/>
      <c r="L181" s="29"/>
      <c r="M181" s="46">
        <v>12.5448</v>
      </c>
      <c r="N181" s="46">
        <v>34.255600000000001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8.3199999999999719E-2</v>
      </c>
      <c r="AD181" s="46">
        <f t="shared" si="10"/>
        <v>3.3599999999999852E-2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6.2248000000000001</v>
      </c>
      <c r="F182" s="46">
        <v>30.863499999999998</v>
      </c>
      <c r="G182" s="70"/>
      <c r="H182" s="70"/>
      <c r="I182" s="66"/>
      <c r="J182" s="66"/>
      <c r="K182" s="67"/>
      <c r="L182" s="29"/>
      <c r="M182" s="46">
        <v>6.0663999999999998</v>
      </c>
      <c r="N182" s="46">
        <v>30.813700000000001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0.15840000000000032</v>
      </c>
      <c r="AD182" s="46">
        <f t="shared" si="10"/>
        <v>4.9799999999997624E-2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39.844000000000001</v>
      </c>
      <c r="G183" s="45">
        <v>46.506399999999999</v>
      </c>
      <c r="H183" s="45">
        <v>46.485700000000001</v>
      </c>
      <c r="I183" s="79"/>
      <c r="J183" s="79"/>
      <c r="K183" s="80"/>
      <c r="L183" s="29"/>
      <c r="M183" s="78"/>
      <c r="N183" s="45">
        <v>39.846800000000002</v>
      </c>
      <c r="O183" s="45">
        <v>46.514499999999998</v>
      </c>
      <c r="P183" s="45">
        <v>46.487900000000003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-2.8000000000005798E-3</v>
      </c>
      <c r="AE183" s="45">
        <f t="shared" si="10"/>
        <v>-8.0999999999988859E-3</v>
      </c>
      <c r="AF183" s="45">
        <f t="shared" si="10"/>
        <v>-2.2000000000019782E-3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37.595399999999998</v>
      </c>
      <c r="G184" s="46">
        <v>44.757199999999997</v>
      </c>
      <c r="H184" s="46">
        <v>45.047600000000003</v>
      </c>
      <c r="I184" s="66"/>
      <c r="J184" s="66"/>
      <c r="K184" s="67"/>
      <c r="L184" s="29"/>
      <c r="M184" s="70"/>
      <c r="N184" s="46">
        <v>37.590800000000002</v>
      </c>
      <c r="O184" s="46">
        <v>44.735300000000002</v>
      </c>
      <c r="P184" s="46">
        <v>45.0169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4.5999999999963848E-3</v>
      </c>
      <c r="AE184" s="46">
        <f t="shared" si="10"/>
        <v>2.1899999999995146E-2</v>
      </c>
      <c r="AF184" s="46">
        <f t="shared" si="10"/>
        <v>3.0700000000003058E-2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35.509399999999999</v>
      </c>
      <c r="G185" s="46">
        <v>42.807699999999997</v>
      </c>
      <c r="H185" s="46">
        <v>43.394799999999996</v>
      </c>
      <c r="I185" s="66"/>
      <c r="J185" s="66"/>
      <c r="K185" s="67"/>
      <c r="L185" s="29"/>
      <c r="M185" s="70"/>
      <c r="N185" s="46">
        <v>35.512300000000003</v>
      </c>
      <c r="O185" s="46">
        <v>42.800600000000003</v>
      </c>
      <c r="P185" s="46">
        <v>43.379399999999997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-2.9000000000038995E-3</v>
      </c>
      <c r="AE185" s="46">
        <f t="shared" si="10"/>
        <v>7.099999999994111E-3</v>
      </c>
      <c r="AF185" s="46">
        <f t="shared" si="10"/>
        <v>1.5399999999999636E-2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33.4178</v>
      </c>
      <c r="G186" s="72">
        <v>41.412599999999998</v>
      </c>
      <c r="H186" s="72">
        <v>42.1098</v>
      </c>
      <c r="I186" s="68"/>
      <c r="J186" s="68"/>
      <c r="K186" s="69"/>
      <c r="L186" s="29"/>
      <c r="M186" s="81"/>
      <c r="N186" s="72">
        <v>33.414900000000003</v>
      </c>
      <c r="O186" s="72">
        <v>41.383800000000001</v>
      </c>
      <c r="P186" s="72">
        <v>42.110599999999998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2.899999999996794E-3</v>
      </c>
      <c r="AE186" s="72">
        <f t="shared" si="10"/>
        <v>2.8799999999996828E-2</v>
      </c>
      <c r="AF186" s="72">
        <f t="shared" si="10"/>
        <v>-7.9999999999813554E-4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40.036499999999997</v>
      </c>
      <c r="G187" s="45">
        <v>46.307899999999997</v>
      </c>
      <c r="H187" s="45">
        <v>46.744700000000002</v>
      </c>
      <c r="I187" s="66"/>
      <c r="J187" s="66"/>
      <c r="K187" s="67"/>
      <c r="L187" s="29"/>
      <c r="M187" s="70"/>
      <c r="N187" s="45">
        <v>40.032600000000002</v>
      </c>
      <c r="O187" s="45">
        <v>46.314900000000002</v>
      </c>
      <c r="P187" s="45">
        <v>46.746099999999998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3.8999999999944635E-3</v>
      </c>
      <c r="AE187" s="45">
        <f t="shared" si="10"/>
        <v>-7.0000000000050022E-3</v>
      </c>
      <c r="AF187" s="45">
        <f t="shared" si="10"/>
        <v>-1.3999999999967372E-3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37.749299999999998</v>
      </c>
      <c r="G188" s="46">
        <v>44.671999999999997</v>
      </c>
      <c r="H188" s="46">
        <v>45.198799999999999</v>
      </c>
      <c r="I188" s="66"/>
      <c r="J188" s="66"/>
      <c r="K188" s="67"/>
      <c r="L188" s="29"/>
      <c r="M188" s="70"/>
      <c r="N188" s="46">
        <v>37.7468</v>
      </c>
      <c r="O188" s="46">
        <v>44.6584</v>
      </c>
      <c r="P188" s="46">
        <v>45.192900000000002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2.4999999999977263E-3</v>
      </c>
      <c r="AE188" s="46">
        <f t="shared" si="10"/>
        <v>1.3599999999996726E-2</v>
      </c>
      <c r="AF188" s="46">
        <f t="shared" si="10"/>
        <v>5.8999999999969077E-3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35.615499999999997</v>
      </c>
      <c r="G189" s="46">
        <v>42.822600000000001</v>
      </c>
      <c r="H189" s="46">
        <v>43.432000000000002</v>
      </c>
      <c r="I189" s="66"/>
      <c r="J189" s="66"/>
      <c r="K189" s="67"/>
      <c r="L189" s="29"/>
      <c r="M189" s="70"/>
      <c r="N189" s="46">
        <v>35.618299999999998</v>
      </c>
      <c r="O189" s="46">
        <v>42.823099999999997</v>
      </c>
      <c r="P189" s="46">
        <v>43.450400000000002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-2.8000000000005798E-3</v>
      </c>
      <c r="AE189" s="46">
        <f t="shared" si="10"/>
        <v>-4.99999999995282E-4</v>
      </c>
      <c r="AF189" s="46">
        <f t="shared" si="10"/>
        <v>-1.839999999999975E-2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33.4893</v>
      </c>
      <c r="G190" s="72">
        <v>41.486800000000002</v>
      </c>
      <c r="H190" s="72">
        <v>42.1599</v>
      </c>
      <c r="I190" s="68"/>
      <c r="J190" s="68"/>
      <c r="K190" s="69"/>
      <c r="L190" s="29"/>
      <c r="M190" s="81"/>
      <c r="N190" s="46">
        <v>33.4863</v>
      </c>
      <c r="O190" s="72">
        <v>41.475200000000001</v>
      </c>
      <c r="P190" s="72">
        <v>42.155299999999997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3.0000000000001137E-3</v>
      </c>
      <c r="AE190" s="46">
        <f t="shared" si="10"/>
        <v>1.1600000000001387E-2</v>
      </c>
      <c r="AF190" s="46">
        <f t="shared" si="10"/>
        <v>4.6000000000034902E-3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40.286799999999999</v>
      </c>
      <c r="G191" s="45">
        <v>46.961300000000001</v>
      </c>
      <c r="H191" s="45">
        <v>47.795499999999997</v>
      </c>
      <c r="I191" s="66"/>
      <c r="J191" s="66"/>
      <c r="K191" s="67"/>
      <c r="L191" s="29"/>
      <c r="M191" s="70"/>
      <c r="N191" s="45">
        <v>40.2851</v>
      </c>
      <c r="O191" s="45">
        <v>46.960599999999999</v>
      </c>
      <c r="P191" s="45">
        <v>47.795299999999997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1.6999999999995907E-3</v>
      </c>
      <c r="AE191" s="45">
        <f t="shared" si="10"/>
        <v>7.0000000000192131E-4</v>
      </c>
      <c r="AF191" s="45">
        <f t="shared" si="10"/>
        <v>1.9999999999953388E-4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37.879800000000003</v>
      </c>
      <c r="G192" s="46">
        <v>45.050800000000002</v>
      </c>
      <c r="H192" s="46">
        <v>45.8673</v>
      </c>
      <c r="I192" s="66"/>
      <c r="J192" s="66"/>
      <c r="K192" s="67"/>
      <c r="L192" s="29"/>
      <c r="M192" s="70"/>
      <c r="N192" s="46">
        <v>37.877299999999998</v>
      </c>
      <c r="O192" s="46">
        <v>45.050899999999999</v>
      </c>
      <c r="P192" s="46">
        <v>45.866399999999999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2.5000000000048317E-3</v>
      </c>
      <c r="AE192" s="46">
        <f t="shared" si="10"/>
        <v>-9.9999999996214228E-5</v>
      </c>
      <c r="AF192" s="46">
        <f t="shared" si="10"/>
        <v>9.0000000000145519E-4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35.6815</v>
      </c>
      <c r="G193" s="46">
        <v>43.036900000000003</v>
      </c>
      <c r="H193" s="46">
        <v>43.827100000000002</v>
      </c>
      <c r="I193" s="66"/>
      <c r="J193" s="66"/>
      <c r="K193" s="67"/>
      <c r="L193" s="29"/>
      <c r="M193" s="70"/>
      <c r="N193" s="46">
        <v>35.681899999999999</v>
      </c>
      <c r="O193" s="46">
        <v>43.039200000000001</v>
      </c>
      <c r="P193" s="46">
        <v>43.8292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-3.9999999999906777E-4</v>
      </c>
      <c r="AE193" s="46">
        <f t="shared" si="10"/>
        <v>-2.2999999999981924E-3</v>
      </c>
      <c r="AF193" s="46">
        <f t="shared" si="10"/>
        <v>-2.0999999999986585E-3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33.520800000000001</v>
      </c>
      <c r="G194" s="72">
        <v>41.656999999999996</v>
      </c>
      <c r="H194" s="72">
        <v>42.439900000000002</v>
      </c>
      <c r="I194" s="68"/>
      <c r="J194" s="68"/>
      <c r="K194" s="69"/>
      <c r="L194" s="29"/>
      <c r="M194" s="81"/>
      <c r="N194" s="46">
        <v>33.519599999999997</v>
      </c>
      <c r="O194" s="72">
        <v>41.656700000000001</v>
      </c>
      <c r="P194" s="72">
        <v>42.438499999999998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1.2000000000043087E-3</v>
      </c>
      <c r="AE194" s="46">
        <f t="shared" si="10"/>
        <v>2.9999999999574811E-4</v>
      </c>
      <c r="AF194" s="46">
        <f t="shared" si="10"/>
        <v>1.4000000000038426E-3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40.264099999999999</v>
      </c>
      <c r="G195" s="45">
        <v>46.9617</v>
      </c>
      <c r="H195" s="45">
        <v>47.786099999999998</v>
      </c>
      <c r="I195" s="66"/>
      <c r="J195" s="66"/>
      <c r="K195" s="67"/>
      <c r="L195" s="29"/>
      <c r="M195" s="70"/>
      <c r="N195" s="45">
        <v>40.266399999999997</v>
      </c>
      <c r="O195" s="45">
        <v>46.9602</v>
      </c>
      <c r="P195" s="45">
        <v>47.786099999999998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-2.2999999999981924E-3</v>
      </c>
      <c r="AE195" s="45">
        <f t="shared" si="10"/>
        <v>1.5000000000000568E-3</v>
      </c>
      <c r="AF195" s="45">
        <f t="shared" si="10"/>
        <v>0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37.859000000000002</v>
      </c>
      <c r="G196" s="46">
        <v>45.048200000000001</v>
      </c>
      <c r="H196" s="46">
        <v>45.851999999999997</v>
      </c>
      <c r="I196" s="66"/>
      <c r="J196" s="66"/>
      <c r="K196" s="67"/>
      <c r="L196" s="29"/>
      <c r="M196" s="70"/>
      <c r="N196" s="46">
        <v>37.861600000000003</v>
      </c>
      <c r="O196" s="46">
        <v>45.047899999999998</v>
      </c>
      <c r="P196" s="46">
        <v>45.851700000000001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-2.6000000000010459E-3</v>
      </c>
      <c r="AE196" s="46">
        <f t="shared" si="10"/>
        <v>3.0000000000285354E-4</v>
      </c>
      <c r="AF196" s="46">
        <f t="shared" si="10"/>
        <v>2.9999999999574811E-4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35.671799999999998</v>
      </c>
      <c r="G197" s="46">
        <v>43.029200000000003</v>
      </c>
      <c r="H197" s="46">
        <v>43.812399999999997</v>
      </c>
      <c r="I197" s="66"/>
      <c r="J197" s="66"/>
      <c r="K197" s="67"/>
      <c r="L197" s="29"/>
      <c r="M197" s="70"/>
      <c r="N197" s="46">
        <v>35.673099999999998</v>
      </c>
      <c r="O197" s="46">
        <v>43.030200000000001</v>
      </c>
      <c r="P197" s="46">
        <v>43.8127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-1.300000000000523E-3</v>
      </c>
      <c r="AE197" s="46">
        <f t="shared" si="10"/>
        <v>-9.9999999999766942E-4</v>
      </c>
      <c r="AF197" s="46">
        <f t="shared" si="10"/>
        <v>-3.0000000000285354E-4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33.516300000000001</v>
      </c>
      <c r="G198" s="72">
        <v>41.650700000000001</v>
      </c>
      <c r="H198" s="72">
        <v>42.4193</v>
      </c>
      <c r="I198" s="68"/>
      <c r="J198" s="68"/>
      <c r="K198" s="69"/>
      <c r="L198" s="29"/>
      <c r="M198" s="81"/>
      <c r="N198" s="46">
        <v>33.513599999999997</v>
      </c>
      <c r="O198" s="72">
        <v>41.650199999999998</v>
      </c>
      <c r="P198" s="72">
        <v>42.418300000000002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2.7000000000043656E-3</v>
      </c>
      <c r="AE198" s="46">
        <f t="shared" si="10"/>
        <v>5.0000000000238742E-4</v>
      </c>
      <c r="AF198" s="46">
        <f t="shared" si="10"/>
        <v>9.9999999999766942E-4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40.041800000000002</v>
      </c>
      <c r="G199" s="45">
        <v>46.279499999999999</v>
      </c>
      <c r="H199" s="45">
        <v>47.012700000000002</v>
      </c>
      <c r="I199" s="66"/>
      <c r="J199" s="66"/>
      <c r="K199" s="67"/>
      <c r="L199" s="29"/>
      <c r="M199" s="70"/>
      <c r="N199" s="45">
        <v>40.035200000000003</v>
      </c>
      <c r="O199" s="45">
        <v>46.277299999999997</v>
      </c>
      <c r="P199" s="45">
        <v>47.002400000000002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6.599999999998829E-3</v>
      </c>
      <c r="AE199" s="45">
        <f t="shared" si="10"/>
        <v>2.2000000000019782E-3</v>
      </c>
      <c r="AF199" s="45">
        <f t="shared" si="10"/>
        <v>1.0300000000000864E-2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37.717700000000001</v>
      </c>
      <c r="G200" s="46">
        <v>44.625500000000002</v>
      </c>
      <c r="H200" s="46">
        <v>45.307200000000002</v>
      </c>
      <c r="I200" s="66"/>
      <c r="J200" s="66"/>
      <c r="K200" s="67"/>
      <c r="L200" s="29"/>
      <c r="M200" s="70"/>
      <c r="N200" s="46">
        <v>37.720399999999998</v>
      </c>
      <c r="O200" s="46">
        <v>44.643000000000001</v>
      </c>
      <c r="P200" s="46">
        <v>45.312899999999999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-2.6999999999972601E-3</v>
      </c>
      <c r="AE200" s="46">
        <f t="shared" si="10"/>
        <v>-1.7499999999998295E-2</v>
      </c>
      <c r="AF200" s="46">
        <f t="shared" si="10"/>
        <v>-5.6999999999973738E-3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35.592199999999998</v>
      </c>
      <c r="G201" s="46">
        <v>42.764699999999998</v>
      </c>
      <c r="H201" s="46">
        <v>43.459000000000003</v>
      </c>
      <c r="I201" s="66"/>
      <c r="J201" s="66"/>
      <c r="K201" s="67"/>
      <c r="L201" s="29"/>
      <c r="M201" s="70"/>
      <c r="N201" s="46">
        <v>35.595399999999998</v>
      </c>
      <c r="O201" s="46">
        <v>42.760599999999997</v>
      </c>
      <c r="P201" s="46">
        <v>43.461599999999997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-3.1999999999996476E-3</v>
      </c>
      <c r="AE201" s="46">
        <f t="shared" si="10"/>
        <v>4.1000000000011028E-3</v>
      </c>
      <c r="AF201" s="46">
        <f t="shared" si="10"/>
        <v>-2.5999999999939405E-3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33.464399999999998</v>
      </c>
      <c r="G202" s="72">
        <v>41.438499999999998</v>
      </c>
      <c r="H202" s="72">
        <v>42.1357</v>
      </c>
      <c r="I202" s="68"/>
      <c r="J202" s="68"/>
      <c r="K202" s="69"/>
      <c r="L202" s="29"/>
      <c r="M202" s="81"/>
      <c r="N202" s="72">
        <v>33.462200000000003</v>
      </c>
      <c r="O202" s="72">
        <v>41.447699999999998</v>
      </c>
      <c r="P202" s="72">
        <v>42.124600000000001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2.1999999999948727E-3</v>
      </c>
      <c r="AE202" s="72">
        <f t="shared" si="10"/>
        <v>-9.1999999999998749E-3</v>
      </c>
      <c r="AF202" s="72">
        <f t="shared" si="10"/>
        <v>1.1099999999999E-2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39.836300000000001</v>
      </c>
      <c r="G203" s="45">
        <v>46.331299999999999</v>
      </c>
      <c r="H203" s="45">
        <v>46.567900000000002</v>
      </c>
      <c r="I203" s="66"/>
      <c r="J203" s="66"/>
      <c r="K203" s="67"/>
      <c r="L203" s="29"/>
      <c r="M203" s="70"/>
      <c r="N203" s="45">
        <v>39.821899999999999</v>
      </c>
      <c r="O203" s="45">
        <v>46.340800000000002</v>
      </c>
      <c r="P203" s="45">
        <v>46.560899999999997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1.4400000000001967E-2</v>
      </c>
      <c r="AE203" s="45">
        <f t="shared" si="10"/>
        <v>-9.5000000000027285E-3</v>
      </c>
      <c r="AF203" s="45">
        <f t="shared" si="10"/>
        <v>7.0000000000050022E-3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37.540799999999997</v>
      </c>
      <c r="G204" s="46">
        <v>44.600900000000003</v>
      </c>
      <c r="H204" s="46">
        <v>45.081400000000002</v>
      </c>
      <c r="I204" s="66"/>
      <c r="J204" s="66"/>
      <c r="K204" s="67"/>
      <c r="L204" s="29"/>
      <c r="M204" s="70"/>
      <c r="N204" s="46">
        <v>37.544699999999999</v>
      </c>
      <c r="O204" s="46">
        <v>44.595999999999997</v>
      </c>
      <c r="P204" s="46">
        <v>45.085999999999999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-3.9000000000015689E-3</v>
      </c>
      <c r="AE204" s="46">
        <f t="shared" si="10"/>
        <v>4.9000000000063437E-3</v>
      </c>
      <c r="AF204" s="46">
        <f t="shared" si="10"/>
        <v>-4.5999999999963848E-3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35.4587</v>
      </c>
      <c r="G205" s="46">
        <v>42.666200000000003</v>
      </c>
      <c r="H205" s="46">
        <v>43.253300000000003</v>
      </c>
      <c r="I205" s="66"/>
      <c r="J205" s="66"/>
      <c r="K205" s="67"/>
      <c r="L205" s="29"/>
      <c r="M205" s="70"/>
      <c r="N205" s="46">
        <v>35.463700000000003</v>
      </c>
      <c r="O205" s="46">
        <v>42.677</v>
      </c>
      <c r="P205" s="46">
        <v>43.268700000000003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-5.000000000002558E-3</v>
      </c>
      <c r="AE205" s="46">
        <f t="shared" si="10"/>
        <v>-1.0799999999996146E-2</v>
      </c>
      <c r="AF205" s="46">
        <f t="shared" si="10"/>
        <v>-1.5399999999999636E-2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33.365200000000002</v>
      </c>
      <c r="G206" s="72">
        <v>41.329000000000001</v>
      </c>
      <c r="H206" s="72">
        <v>41.987000000000002</v>
      </c>
      <c r="I206" s="68"/>
      <c r="J206" s="68"/>
      <c r="K206" s="69"/>
      <c r="L206" s="29"/>
      <c r="M206" s="81"/>
      <c r="N206" s="72">
        <v>33.367100000000001</v>
      </c>
      <c r="O206" s="72">
        <v>41.3352</v>
      </c>
      <c r="P206" s="72">
        <v>41.981699999999996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-1.8999999999991246E-3</v>
      </c>
      <c r="AE206" s="72">
        <f t="shared" si="10"/>
        <v>-6.1999999999997613E-3</v>
      </c>
      <c r="AF206" s="72">
        <f t="shared" si="10"/>
        <v>5.3000000000054115E-3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5282.8407999999999</v>
      </c>
      <c r="F207" s="70"/>
      <c r="G207" s="70"/>
      <c r="H207" s="70"/>
      <c r="I207" s="45">
        <v>75212.639999999999</v>
      </c>
      <c r="J207" s="45">
        <v>129.828</v>
      </c>
      <c r="K207" s="45">
        <v>820.06299999999999</v>
      </c>
      <c r="L207" s="29"/>
      <c r="M207" s="45">
        <v>5283.884</v>
      </c>
      <c r="N207" s="70"/>
      <c r="O207" s="70"/>
      <c r="P207" s="70"/>
      <c r="Q207" s="45">
        <v>75664.218999999997</v>
      </c>
      <c r="R207" s="45">
        <v>132.68700000000001</v>
      </c>
      <c r="S207" s="45">
        <v>825.79700000000003</v>
      </c>
      <c r="U207" s="8"/>
      <c r="V207" s="9"/>
      <c r="W207" s="10"/>
      <c r="X207" s="29"/>
      <c r="Y207" s="61">
        <f>GEOMEAN(Q207:Q210)/GEOMEAN(I207:I210)</f>
        <v>0.99917967212835546</v>
      </c>
      <c r="Z207" s="61">
        <f>GEOMEAN(R207:R210)/GEOMEAN(J207:J210)</f>
        <v>0.99907344552573274</v>
      </c>
      <c r="AA207" s="57">
        <f>GEOMEAN(S207:S210)/GEOMEAN(K207:K210)</f>
        <v>0.99805852350511748</v>
      </c>
      <c r="AC207" s="45">
        <f>E207 -M207</f>
        <v>-1.0432000000000698</v>
      </c>
      <c r="AD207" s="70"/>
      <c r="AE207" s="70"/>
      <c r="AF207" s="70"/>
      <c r="AG207" s="45">
        <f t="shared" ref="AG207:AI210" si="12">I207 -Q207</f>
        <v>-451.5789999999979</v>
      </c>
      <c r="AH207" s="45">
        <f t="shared" si="12"/>
        <v>-2.8590000000000089</v>
      </c>
      <c r="AI207" s="45">
        <f t="shared" si="12"/>
        <v>-5.7340000000000373</v>
      </c>
    </row>
    <row r="208" spans="2:35" ht="12">
      <c r="B208" s="36"/>
      <c r="C208" s="29"/>
      <c r="D208" s="32">
        <v>30</v>
      </c>
      <c r="E208" s="46">
        <v>2155.6496000000002</v>
      </c>
      <c r="F208" s="70"/>
      <c r="G208" s="70"/>
      <c r="H208" s="70"/>
      <c r="I208" s="46">
        <v>55668.781999999999</v>
      </c>
      <c r="J208" s="46">
        <v>124.73399999999999</v>
      </c>
      <c r="K208" s="46">
        <v>822.82799999999997</v>
      </c>
      <c r="L208" s="29"/>
      <c r="M208" s="46">
        <v>2155.2352000000001</v>
      </c>
      <c r="N208" s="70"/>
      <c r="O208" s="70"/>
      <c r="P208" s="70"/>
      <c r="Q208" s="46">
        <v>55957.406000000003</v>
      </c>
      <c r="R208" s="46">
        <v>125.35899999999999</v>
      </c>
      <c r="S208" s="46">
        <v>817.15599999999995</v>
      </c>
      <c r="U208" s="41"/>
      <c r="V208" s="42"/>
      <c r="W208" s="43"/>
      <c r="X208" s="29"/>
      <c r="Y208" s="24"/>
      <c r="Z208" s="24"/>
      <c r="AA208" s="27"/>
      <c r="AC208" s="46">
        <f>E208 -M208</f>
        <v>0.41440000000011423</v>
      </c>
      <c r="AD208" s="70"/>
      <c r="AE208" s="70"/>
      <c r="AF208" s="70"/>
      <c r="AG208" s="46">
        <f t="shared" si="12"/>
        <v>-288.62400000000343</v>
      </c>
      <c r="AH208" s="46">
        <f t="shared" si="12"/>
        <v>-0.625</v>
      </c>
      <c r="AI208" s="46">
        <f t="shared" si="12"/>
        <v>5.6720000000000255</v>
      </c>
    </row>
    <row r="209" spans="1:35" ht="12">
      <c r="B209" s="36"/>
      <c r="C209" s="29"/>
      <c r="D209" s="32">
        <v>35</v>
      </c>
      <c r="E209" s="46">
        <v>977.29920000000004</v>
      </c>
      <c r="F209" s="70"/>
      <c r="G209" s="70"/>
      <c r="H209" s="70"/>
      <c r="I209" s="46">
        <v>45543.89</v>
      </c>
      <c r="J209" s="46">
        <v>127.578</v>
      </c>
      <c r="K209" s="46">
        <v>873.40599999999995</v>
      </c>
      <c r="L209" s="29"/>
      <c r="M209" s="46">
        <v>976.79679999999996</v>
      </c>
      <c r="N209" s="70"/>
      <c r="O209" s="70"/>
      <c r="P209" s="70"/>
      <c r="Q209" s="46">
        <v>45028.436999999998</v>
      </c>
      <c r="R209" s="46">
        <v>122.562</v>
      </c>
      <c r="S209" s="46">
        <v>883.01599999999996</v>
      </c>
      <c r="U209" s="17"/>
      <c r="V209" s="18"/>
      <c r="W209" s="19"/>
      <c r="X209" s="29"/>
      <c r="Y209" s="24"/>
      <c r="Z209" s="24"/>
      <c r="AA209" s="27"/>
      <c r="AC209" s="46">
        <f>E209 -M209</f>
        <v>0.50240000000007967</v>
      </c>
      <c r="AD209" s="70"/>
      <c r="AE209" s="70"/>
      <c r="AF209" s="70"/>
      <c r="AG209" s="46">
        <f t="shared" si="12"/>
        <v>515.45300000000134</v>
      </c>
      <c r="AH209" s="46">
        <f t="shared" si="12"/>
        <v>5.0160000000000053</v>
      </c>
      <c r="AI209" s="46">
        <f t="shared" si="12"/>
        <v>-9.6100000000000136</v>
      </c>
    </row>
    <row r="210" spans="1:35" ht="12.75" thickBot="1">
      <c r="B210" s="52"/>
      <c r="C210" s="53"/>
      <c r="D210" s="71">
        <v>40</v>
      </c>
      <c r="E210" s="72">
        <v>468.60160000000002</v>
      </c>
      <c r="F210" s="81"/>
      <c r="G210" s="81"/>
      <c r="H210" s="81"/>
      <c r="I210" s="72">
        <v>38301.264999999999</v>
      </c>
      <c r="J210" s="72">
        <v>122.76600000000001</v>
      </c>
      <c r="K210" s="72">
        <v>1019.422</v>
      </c>
      <c r="L210" s="29"/>
      <c r="M210" s="72">
        <v>468.75360000000001</v>
      </c>
      <c r="N210" s="81"/>
      <c r="O210" s="81"/>
      <c r="P210" s="81"/>
      <c r="Q210" s="72">
        <v>38184.328000000001</v>
      </c>
      <c r="R210" s="72">
        <v>123.953</v>
      </c>
      <c r="S210" s="72">
        <v>1000.4690000000001</v>
      </c>
      <c r="U210" s="85"/>
      <c r="V210" s="86"/>
      <c r="W210" s="87"/>
      <c r="X210" s="29"/>
      <c r="Y210" s="49"/>
      <c r="Z210" s="49"/>
      <c r="AA210" s="54"/>
      <c r="AC210" s="72">
        <f>E210 -M210</f>
        <v>-0.15199999999998681</v>
      </c>
      <c r="AD210" s="81"/>
      <c r="AE210" s="81"/>
      <c r="AF210" s="81"/>
      <c r="AG210" s="72">
        <f t="shared" si="12"/>
        <v>116.93699999999808</v>
      </c>
      <c r="AH210" s="72">
        <f t="shared" si="12"/>
        <v>-1.1869999999999976</v>
      </c>
      <c r="AI210" s="72">
        <f t="shared" si="12"/>
        <v>18.952999999999975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250.512</v>
      </c>
      <c r="F215" s="45">
        <v>41.833100000000002</v>
      </c>
      <c r="G215" s="45">
        <v>48.1813</v>
      </c>
      <c r="H215" s="45">
        <v>47.510800000000003</v>
      </c>
      <c r="I215" s="79"/>
      <c r="J215" s="79"/>
      <c r="K215" s="80"/>
      <c r="L215" s="29"/>
      <c r="M215" s="45">
        <v>249.31100000000001</v>
      </c>
      <c r="N215" s="45">
        <v>41.833199999999998</v>
      </c>
      <c r="O215" s="45">
        <v>48.172899999999998</v>
      </c>
      <c r="P215" s="45">
        <v>47.512700000000002</v>
      </c>
      <c r="Q215" s="79"/>
      <c r="R215" s="79"/>
      <c r="S215" s="80"/>
      <c r="U215" s="8">
        <f>bdrate($E215:$E218,F215:F218,$M215:$M218,N215:N218)</f>
        <v>1.9971295904086528E-3</v>
      </c>
      <c r="V215" s="9">
        <f>bdrate($E215:$E218,G215:G218,$M215:$M218,O215:O218)</f>
        <v>7.3270243859613338E-4</v>
      </c>
      <c r="W215" s="10">
        <f>bdrate($E215:$E218,H215:H218,$M215:$M218,P215:P218)</f>
        <v>-6.1151915230148735E-3</v>
      </c>
      <c r="X215" s="29"/>
      <c r="Y215" s="24"/>
      <c r="Z215" s="24"/>
      <c r="AA215" s="27"/>
      <c r="AC215" s="45">
        <f t="shared" si="14"/>
        <v>1.2009999999999934</v>
      </c>
      <c r="AD215" s="45">
        <f t="shared" si="13"/>
        <v>-9.9999999996214228E-5</v>
      </c>
      <c r="AE215" s="45">
        <f t="shared" si="13"/>
        <v>8.4000000000017394E-3</v>
      </c>
      <c r="AF215" s="45">
        <f t="shared" si="13"/>
        <v>-1.8999999999991246E-3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96.125</v>
      </c>
      <c r="F216" s="46">
        <v>40.834800000000001</v>
      </c>
      <c r="G216" s="46">
        <v>47.079900000000002</v>
      </c>
      <c r="H216" s="46">
        <v>46.589300000000001</v>
      </c>
      <c r="I216" s="66"/>
      <c r="J216" s="66"/>
      <c r="K216" s="67"/>
      <c r="L216" s="29"/>
      <c r="M216" s="46">
        <v>96.222999999999999</v>
      </c>
      <c r="N216" s="46">
        <v>40.832299999999996</v>
      </c>
      <c r="O216" s="46">
        <v>47.081299999999999</v>
      </c>
      <c r="P216" s="46">
        <v>46.583799999999997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-9.7999999999998977E-2</v>
      </c>
      <c r="AD216" s="46">
        <f t="shared" si="13"/>
        <v>2.5000000000048317E-3</v>
      </c>
      <c r="AE216" s="46">
        <f t="shared" si="13"/>
        <v>-1.3999999999967372E-3</v>
      </c>
      <c r="AF216" s="46">
        <f t="shared" si="13"/>
        <v>5.5000000000049454E-3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47.777999999999999</v>
      </c>
      <c r="F217" s="46">
        <v>39.4163</v>
      </c>
      <c r="G217" s="46">
        <v>45.903100000000002</v>
      </c>
      <c r="H217" s="46">
        <v>45.535200000000003</v>
      </c>
      <c r="I217" s="66"/>
      <c r="J217" s="66"/>
      <c r="K217" s="67"/>
      <c r="L217" s="29"/>
      <c r="M217" s="46">
        <v>47.796999999999997</v>
      </c>
      <c r="N217" s="46">
        <v>39.411000000000001</v>
      </c>
      <c r="O217" s="46">
        <v>45.899299999999997</v>
      </c>
      <c r="P217" s="46">
        <v>45.560200000000002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-1.8999999999998352E-2</v>
      </c>
      <c r="AD217" s="46">
        <f t="shared" si="13"/>
        <v>5.2999999999983061E-3</v>
      </c>
      <c r="AE217" s="46">
        <f t="shared" si="13"/>
        <v>3.8000000000053547E-3</v>
      </c>
      <c r="AF217" s="46">
        <f t="shared" si="13"/>
        <v>-2.4999999999998579E-2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25.513000000000002</v>
      </c>
      <c r="F218" s="46">
        <v>37.6327</v>
      </c>
      <c r="G218" s="46">
        <v>44.811900000000001</v>
      </c>
      <c r="H218" s="46">
        <v>44.493499999999997</v>
      </c>
      <c r="I218" s="66"/>
      <c r="J218" s="66"/>
      <c r="K218" s="67"/>
      <c r="L218" s="29"/>
      <c r="M218" s="46">
        <v>25.530999999999999</v>
      </c>
      <c r="N218" s="46">
        <v>37.626199999999997</v>
      </c>
      <c r="O218" s="46">
        <v>44.823700000000002</v>
      </c>
      <c r="P218" s="46">
        <v>44.512099999999997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-1.7999999999997129E-2</v>
      </c>
      <c r="AD218" s="46">
        <f t="shared" si="13"/>
        <v>6.5000000000026148E-3</v>
      </c>
      <c r="AE218" s="46">
        <f t="shared" si="13"/>
        <v>-1.1800000000000921E-2</v>
      </c>
      <c r="AF218" s="46">
        <f t="shared" si="13"/>
        <v>-1.8599999999999284E-2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259.69200000000001</v>
      </c>
      <c r="F219" s="45">
        <v>41.685499999999998</v>
      </c>
      <c r="G219" s="45">
        <v>47.252600000000001</v>
      </c>
      <c r="H219" s="45">
        <v>46.666899999999998</v>
      </c>
      <c r="I219" s="79"/>
      <c r="J219" s="79"/>
      <c r="K219" s="80"/>
      <c r="L219" s="29"/>
      <c r="M219" s="45">
        <v>259.77</v>
      </c>
      <c r="N219" s="45">
        <v>41.686500000000002</v>
      </c>
      <c r="O219" s="45">
        <v>47.256700000000002</v>
      </c>
      <c r="P219" s="45">
        <v>46.660400000000003</v>
      </c>
      <c r="Q219" s="79"/>
      <c r="R219" s="79"/>
      <c r="S219" s="80"/>
      <c r="U219" s="8">
        <f>bdrate($E219:$E222,F219:F222,$M219:$M222,N219:N222)</f>
        <v>1.699052257186251E-3</v>
      </c>
      <c r="V219" s="9">
        <f>bdrate($E219:$E222,G219:G222,$M219:$M222,O219:O222)</f>
        <v>7.1611080861311294E-4</v>
      </c>
      <c r="W219" s="10">
        <f>bdrate($E219:$E222,H219:H222,$M219:$M222,P219:P222)</f>
        <v>-3.4431392501598213E-3</v>
      </c>
      <c r="X219" s="29"/>
      <c r="Y219" s="24"/>
      <c r="Z219" s="24"/>
      <c r="AA219" s="27"/>
      <c r="AC219" s="45">
        <f t="shared" si="14"/>
        <v>-7.7999999999974534E-2</v>
      </c>
      <c r="AD219" s="45">
        <f t="shared" si="13"/>
        <v>-1.0000000000047748E-3</v>
      </c>
      <c r="AE219" s="45">
        <f t="shared" si="13"/>
        <v>-4.1000000000011028E-3</v>
      </c>
      <c r="AF219" s="45">
        <f t="shared" si="13"/>
        <v>6.4999999999955094E-3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97.191000000000003</v>
      </c>
      <c r="F220" s="46">
        <v>40.747399999999999</v>
      </c>
      <c r="G220" s="46">
        <v>46.316899999999997</v>
      </c>
      <c r="H220" s="46">
        <v>45.526899999999998</v>
      </c>
      <c r="I220" s="66"/>
      <c r="J220" s="66"/>
      <c r="K220" s="67"/>
      <c r="L220" s="29"/>
      <c r="M220" s="46">
        <v>97.215999999999994</v>
      </c>
      <c r="N220" s="46">
        <v>40.746200000000002</v>
      </c>
      <c r="O220" s="46">
        <v>46.301000000000002</v>
      </c>
      <c r="P220" s="46">
        <v>45.539099999999998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-2.4999999999991473E-2</v>
      </c>
      <c r="AD220" s="46">
        <f t="shared" si="13"/>
        <v>1.1999999999972033E-3</v>
      </c>
      <c r="AE220" s="46">
        <f t="shared" si="13"/>
        <v>1.5899999999994918E-2</v>
      </c>
      <c r="AF220" s="46">
        <f t="shared" si="13"/>
        <v>-1.2199999999999989E-2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48.402000000000001</v>
      </c>
      <c r="F221" s="46">
        <v>39.3949</v>
      </c>
      <c r="G221" s="46">
        <v>45.357999999999997</v>
      </c>
      <c r="H221" s="46">
        <v>44.593299999999999</v>
      </c>
      <c r="I221" s="66"/>
      <c r="J221" s="66"/>
      <c r="K221" s="67"/>
      <c r="L221" s="29"/>
      <c r="M221" s="46">
        <v>48.572000000000003</v>
      </c>
      <c r="N221" s="46">
        <v>39.395800000000001</v>
      </c>
      <c r="O221" s="46">
        <v>45.383699999999997</v>
      </c>
      <c r="P221" s="46">
        <v>44.6006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-0.17000000000000171</v>
      </c>
      <c r="AD221" s="46">
        <f t="shared" si="13"/>
        <v>-9.0000000000145519E-4</v>
      </c>
      <c r="AE221" s="46">
        <f t="shared" si="13"/>
        <v>-2.57000000000005E-2</v>
      </c>
      <c r="AF221" s="46">
        <f t="shared" si="13"/>
        <v>-7.3000000000007503E-3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25.591999999999999</v>
      </c>
      <c r="F222" s="72">
        <v>37.661200000000001</v>
      </c>
      <c r="G222" s="72">
        <v>44.435400000000001</v>
      </c>
      <c r="H222" s="72">
        <v>43.482500000000002</v>
      </c>
      <c r="I222" s="68"/>
      <c r="J222" s="68"/>
      <c r="K222" s="69"/>
      <c r="L222" s="29"/>
      <c r="M222" s="72">
        <v>25.553000000000001</v>
      </c>
      <c r="N222" s="72">
        <v>37.656199999999998</v>
      </c>
      <c r="O222" s="72">
        <v>44.414900000000003</v>
      </c>
      <c r="P222" s="72">
        <v>43.483800000000002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3.8999999999997925E-2</v>
      </c>
      <c r="AD222" s="72">
        <f t="shared" si="13"/>
        <v>5.000000000002558E-3</v>
      </c>
      <c r="AE222" s="72">
        <f t="shared" si="13"/>
        <v>2.0499999999998408E-2</v>
      </c>
      <c r="AF222" s="72">
        <f t="shared" si="13"/>
        <v>-1.300000000000523E-3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72.570999999999998</v>
      </c>
      <c r="F223" s="45">
        <v>46.144100000000002</v>
      </c>
      <c r="G223" s="78"/>
      <c r="H223" s="78"/>
      <c r="I223" s="79"/>
      <c r="J223" s="79"/>
      <c r="K223" s="80"/>
      <c r="L223" s="29"/>
      <c r="M223" s="45">
        <v>72.643000000000001</v>
      </c>
      <c r="N223" s="45">
        <v>46.164200000000001</v>
      </c>
      <c r="O223" s="78"/>
      <c r="P223" s="78"/>
      <c r="Q223" s="79"/>
      <c r="R223" s="79"/>
      <c r="S223" s="80"/>
      <c r="U223" s="8">
        <f>bdrate($E223:$E226,F223:F226,$M223:$M226,N223:N226)</f>
        <v>-3.483924155645024E-4</v>
      </c>
      <c r="V223" s="9"/>
      <c r="W223" s="10"/>
      <c r="X223" s="29"/>
      <c r="Y223" s="24"/>
      <c r="Z223" s="24"/>
      <c r="AA223" s="27"/>
      <c r="AC223" s="45">
        <f t="shared" si="14"/>
        <v>-7.2000000000002728E-2</v>
      </c>
      <c r="AD223" s="45">
        <f t="shared" si="13"/>
        <v>-2.0099999999999341E-2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29.911000000000001</v>
      </c>
      <c r="F224" s="46">
        <v>42.686300000000003</v>
      </c>
      <c r="G224" s="70"/>
      <c r="H224" s="70"/>
      <c r="I224" s="66"/>
      <c r="J224" s="66"/>
      <c r="K224" s="67"/>
      <c r="L224" s="29"/>
      <c r="M224" s="46">
        <v>29.962</v>
      </c>
      <c r="N224" s="46">
        <v>42.717700000000001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-5.099999999999838E-2</v>
      </c>
      <c r="AD224" s="46">
        <f t="shared" si="13"/>
        <v>-3.1399999999997874E-2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15.077</v>
      </c>
      <c r="F225" s="46">
        <v>40.081000000000003</v>
      </c>
      <c r="G225" s="70"/>
      <c r="H225" s="70"/>
      <c r="I225" s="66"/>
      <c r="J225" s="66"/>
      <c r="K225" s="67"/>
      <c r="L225" s="29"/>
      <c r="M225" s="46">
        <v>15.007</v>
      </c>
      <c r="N225" s="46">
        <v>40.047800000000002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7.0000000000000284E-2</v>
      </c>
      <c r="AD225" s="46">
        <f t="shared" si="13"/>
        <v>3.3200000000000784E-2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8.3460000000000001</v>
      </c>
      <c r="F226" s="46">
        <v>36.9086</v>
      </c>
      <c r="G226" s="70"/>
      <c r="H226" s="70"/>
      <c r="I226" s="66"/>
      <c r="J226" s="66"/>
      <c r="K226" s="67"/>
      <c r="L226" s="29"/>
      <c r="M226" s="46">
        <v>8.3759999999999994</v>
      </c>
      <c r="N226" s="46">
        <v>36.841099999999997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-2.9999999999999361E-2</v>
      </c>
      <c r="AD226" s="46">
        <f t="shared" si="13"/>
        <v>6.7500000000002558E-2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49.856000000000002</v>
      </c>
      <c r="F227" s="45">
        <v>44.686799999999998</v>
      </c>
      <c r="G227" s="78"/>
      <c r="H227" s="78"/>
      <c r="I227" s="79"/>
      <c r="J227" s="79"/>
      <c r="K227" s="80"/>
      <c r="L227" s="29"/>
      <c r="M227" s="45">
        <v>50.220999999999997</v>
      </c>
      <c r="N227" s="45">
        <v>44.680199999999999</v>
      </c>
      <c r="O227" s="78"/>
      <c r="P227" s="78"/>
      <c r="Q227" s="79"/>
      <c r="R227" s="79"/>
      <c r="S227" s="80"/>
      <c r="U227" s="8">
        <f>bdrate($E227:$E230,F227:F230,$M227:$M230,N227:N230)</f>
        <v>1.1867356434076326E-2</v>
      </c>
      <c r="V227" s="9"/>
      <c r="W227" s="10"/>
      <c r="X227" s="29"/>
      <c r="Y227" s="24"/>
      <c r="Z227" s="24"/>
      <c r="AA227" s="27"/>
      <c r="AC227" s="45">
        <f t="shared" si="14"/>
        <v>-0.36499999999999488</v>
      </c>
      <c r="AD227" s="45">
        <f t="shared" si="13"/>
        <v>6.599999999998829E-3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19.562999999999999</v>
      </c>
      <c r="F228" s="46">
        <v>41.557600000000001</v>
      </c>
      <c r="G228" s="70"/>
      <c r="H228" s="70"/>
      <c r="I228" s="66"/>
      <c r="J228" s="66"/>
      <c r="K228" s="67"/>
      <c r="L228" s="29"/>
      <c r="M228" s="46">
        <v>19.588000000000001</v>
      </c>
      <c r="N228" s="46">
        <v>41.510899999999999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-2.5000000000002132E-2</v>
      </c>
      <c r="AD228" s="46">
        <f t="shared" si="13"/>
        <v>4.6700000000001296E-2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9.51</v>
      </c>
      <c r="F229" s="46">
        <v>38.450400000000002</v>
      </c>
      <c r="G229" s="70"/>
      <c r="H229" s="70"/>
      <c r="I229" s="66"/>
      <c r="J229" s="66"/>
      <c r="K229" s="67"/>
      <c r="L229" s="29"/>
      <c r="M229" s="46">
        <v>9.5069999999999997</v>
      </c>
      <c r="N229" s="46">
        <v>38.383200000000002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3.0000000000001137E-3</v>
      </c>
      <c r="AD229" s="46">
        <f t="shared" si="13"/>
        <v>6.7199999999999704E-2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5.2350000000000003</v>
      </c>
      <c r="F230" s="46">
        <v>35.3018</v>
      </c>
      <c r="G230" s="70"/>
      <c r="H230" s="70"/>
      <c r="I230" s="66"/>
      <c r="J230" s="66"/>
      <c r="K230" s="67"/>
      <c r="L230" s="29"/>
      <c r="M230" s="46">
        <v>5.2679999999999998</v>
      </c>
      <c r="N230" s="46">
        <v>35.322099999999999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-3.2999999999999474E-2</v>
      </c>
      <c r="AD230" s="46">
        <f t="shared" si="13"/>
        <v>-2.0299999999998875E-2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49.386000000000003</v>
      </c>
      <c r="F231" s="45">
        <v>44.494799999999998</v>
      </c>
      <c r="G231" s="78"/>
      <c r="H231" s="78"/>
      <c r="I231" s="79"/>
      <c r="J231" s="79"/>
      <c r="K231" s="80"/>
      <c r="L231" s="29"/>
      <c r="M231" s="45">
        <v>49.23</v>
      </c>
      <c r="N231" s="45">
        <v>44.510100000000001</v>
      </c>
      <c r="O231" s="78"/>
      <c r="P231" s="78"/>
      <c r="Q231" s="79"/>
      <c r="R231" s="79"/>
      <c r="S231" s="80"/>
      <c r="U231" s="8">
        <f>bdrate($E231:$E234,F231:F234,$M231:$M234,N231:N234)</f>
        <v>-2.2179301034223053E-3</v>
      </c>
      <c r="V231" s="9"/>
      <c r="W231" s="10"/>
      <c r="X231" s="29"/>
      <c r="Y231" s="24"/>
      <c r="Z231" s="24"/>
      <c r="AA231" s="27"/>
      <c r="AC231" s="45">
        <f t="shared" si="14"/>
        <v>0.15600000000000591</v>
      </c>
      <c r="AD231" s="45">
        <f t="shared" si="13"/>
        <v>-1.5300000000003422E-2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18.806999999999999</v>
      </c>
      <c r="F232" s="46">
        <v>41.441699999999997</v>
      </c>
      <c r="G232" s="70"/>
      <c r="H232" s="70"/>
      <c r="I232" s="66"/>
      <c r="J232" s="66"/>
      <c r="K232" s="67"/>
      <c r="L232" s="29"/>
      <c r="M232" s="46">
        <v>18.989999999999998</v>
      </c>
      <c r="N232" s="46">
        <v>41.4788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-0.18299999999999983</v>
      </c>
      <c r="AD232" s="46">
        <f t="shared" si="13"/>
        <v>-3.7100000000002353E-2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9.1329999999999991</v>
      </c>
      <c r="F233" s="46">
        <v>38.722999999999999</v>
      </c>
      <c r="G233" s="70"/>
      <c r="H233" s="70"/>
      <c r="I233" s="66"/>
      <c r="J233" s="66"/>
      <c r="K233" s="67"/>
      <c r="L233" s="29"/>
      <c r="M233" s="46">
        <v>9.1069999999999993</v>
      </c>
      <c r="N233" s="46">
        <v>38.724299999999999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2.5999999999999801E-2</v>
      </c>
      <c r="AD233" s="46">
        <f t="shared" si="13"/>
        <v>-1.300000000000523E-3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5.1589999999999998</v>
      </c>
      <c r="F234" s="46">
        <v>35.837600000000002</v>
      </c>
      <c r="G234" s="70"/>
      <c r="H234" s="70"/>
      <c r="I234" s="66"/>
      <c r="J234" s="66"/>
      <c r="K234" s="67"/>
      <c r="L234" s="29"/>
      <c r="M234" s="46">
        <v>5.1920000000000002</v>
      </c>
      <c r="N234" s="46">
        <v>35.854300000000002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-3.3000000000000362E-2</v>
      </c>
      <c r="AD234" s="46">
        <f t="shared" si="13"/>
        <v>-1.6700000000000159E-2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42.872799999999998</v>
      </c>
      <c r="G235" s="45">
        <v>48.159100000000002</v>
      </c>
      <c r="H235" s="45">
        <v>47.279499999999999</v>
      </c>
      <c r="I235" s="79"/>
      <c r="J235" s="79"/>
      <c r="K235" s="80"/>
      <c r="L235" s="29"/>
      <c r="M235" s="78"/>
      <c r="N235" s="45">
        <v>42.877099999999999</v>
      </c>
      <c r="O235" s="45">
        <v>48.137900000000002</v>
      </c>
      <c r="P235" s="45">
        <v>47.290700000000001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-4.3000000000006366E-3</v>
      </c>
      <c r="AE235" s="45">
        <f t="shared" si="13"/>
        <v>2.120000000000033E-2</v>
      </c>
      <c r="AF235" s="45">
        <f t="shared" si="13"/>
        <v>-1.1200000000002319E-2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41.71</v>
      </c>
      <c r="G236" s="46">
        <v>47.028799999999997</v>
      </c>
      <c r="H236" s="46">
        <v>46.529299999999999</v>
      </c>
      <c r="I236" s="66"/>
      <c r="J236" s="66"/>
      <c r="K236" s="67"/>
      <c r="L236" s="29"/>
      <c r="M236" s="70"/>
      <c r="N236" s="46">
        <v>41.710999999999999</v>
      </c>
      <c r="O236" s="46">
        <v>46.988599999999998</v>
      </c>
      <c r="P236" s="46">
        <v>46.509900000000002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-9.9999999999766942E-4</v>
      </c>
      <c r="AE236" s="46">
        <f t="shared" si="13"/>
        <v>4.0199999999998681E-2</v>
      </c>
      <c r="AF236" s="46">
        <f t="shared" si="13"/>
        <v>1.9399999999997419E-2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40.1355</v>
      </c>
      <c r="G237" s="46">
        <v>45.844000000000001</v>
      </c>
      <c r="H237" s="46">
        <v>45.541600000000003</v>
      </c>
      <c r="I237" s="66"/>
      <c r="J237" s="66"/>
      <c r="K237" s="67"/>
      <c r="L237" s="29"/>
      <c r="M237" s="70"/>
      <c r="N237" s="46">
        <v>40.122100000000003</v>
      </c>
      <c r="O237" s="46">
        <v>45.786200000000001</v>
      </c>
      <c r="P237" s="46">
        <v>45.580500000000001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1.3399999999997192E-2</v>
      </c>
      <c r="AE237" s="46">
        <f t="shared" si="13"/>
        <v>5.7800000000000296E-2</v>
      </c>
      <c r="AF237" s="46">
        <f t="shared" si="13"/>
        <v>-3.8899999999998158E-2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38.203800000000001</v>
      </c>
      <c r="G238" s="72">
        <v>44.841500000000003</v>
      </c>
      <c r="H238" s="72">
        <v>44.428400000000003</v>
      </c>
      <c r="I238" s="68"/>
      <c r="J238" s="68"/>
      <c r="K238" s="69"/>
      <c r="L238" s="29"/>
      <c r="M238" s="81"/>
      <c r="N238" s="72">
        <v>38.197899999999997</v>
      </c>
      <c r="O238" s="72">
        <v>44.868400000000001</v>
      </c>
      <c r="P238" s="72">
        <v>44.435400000000001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5.9000000000040131E-3</v>
      </c>
      <c r="AE238" s="72">
        <f t="shared" si="13"/>
        <v>-2.6899999999997704E-2</v>
      </c>
      <c r="AF238" s="72">
        <f t="shared" si="13"/>
        <v>-6.9999999999978968E-3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43.607799999999997</v>
      </c>
      <c r="G239" s="45">
        <v>49.058999999999997</v>
      </c>
      <c r="H239" s="45">
        <v>48.465899999999998</v>
      </c>
      <c r="I239" s="66"/>
      <c r="J239" s="66"/>
      <c r="K239" s="67"/>
      <c r="L239" s="29"/>
      <c r="M239" s="70"/>
      <c r="N239" s="45">
        <v>43.595599999999997</v>
      </c>
      <c r="O239" s="45">
        <v>49.047499999999999</v>
      </c>
      <c r="P239" s="45">
        <v>48.475700000000003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1.2199999999999989E-2</v>
      </c>
      <c r="AE239" s="45">
        <f t="shared" si="13"/>
        <v>1.1499999999998067E-2</v>
      </c>
      <c r="AF239" s="45">
        <f t="shared" si="13"/>
        <v>-9.800000000005582E-3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42.2958</v>
      </c>
      <c r="G240" s="46">
        <v>47.878900000000002</v>
      </c>
      <c r="H240" s="46">
        <v>47.511800000000001</v>
      </c>
      <c r="I240" s="66"/>
      <c r="J240" s="66"/>
      <c r="K240" s="67"/>
      <c r="L240" s="29"/>
      <c r="M240" s="70"/>
      <c r="N240" s="46">
        <v>42.2956</v>
      </c>
      <c r="O240" s="46">
        <v>47.850700000000003</v>
      </c>
      <c r="P240" s="46">
        <v>47.505600000000001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1.9999999999953388E-4</v>
      </c>
      <c r="AE240" s="46">
        <f t="shared" si="13"/>
        <v>2.8199999999998226E-2</v>
      </c>
      <c r="AF240" s="46">
        <f t="shared" si="13"/>
        <v>6.1999999999997613E-3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40.598100000000002</v>
      </c>
      <c r="G241" s="46">
        <v>46.517499999999998</v>
      </c>
      <c r="H241" s="46">
        <v>46.248399999999997</v>
      </c>
      <c r="I241" s="66"/>
      <c r="J241" s="66"/>
      <c r="K241" s="67"/>
      <c r="L241" s="29"/>
      <c r="M241" s="70"/>
      <c r="N241" s="46">
        <v>40.5929</v>
      </c>
      <c r="O241" s="46">
        <v>46.476100000000002</v>
      </c>
      <c r="P241" s="46">
        <v>46.256500000000003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5.2000000000020918E-3</v>
      </c>
      <c r="AE241" s="46">
        <f t="shared" si="13"/>
        <v>4.1399999999995885E-2</v>
      </c>
      <c r="AF241" s="46">
        <f t="shared" si="13"/>
        <v>-8.1000000000059913E-3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38.557600000000001</v>
      </c>
      <c r="G242" s="72">
        <v>45.296300000000002</v>
      </c>
      <c r="H242" s="72">
        <v>44.9773</v>
      </c>
      <c r="I242" s="68"/>
      <c r="J242" s="68"/>
      <c r="K242" s="69"/>
      <c r="L242" s="29"/>
      <c r="M242" s="81"/>
      <c r="N242" s="46">
        <v>38.554299999999998</v>
      </c>
      <c r="O242" s="72">
        <v>45.321100000000001</v>
      </c>
      <c r="P242" s="72">
        <v>44.982199999999999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3.3000000000029672E-3</v>
      </c>
      <c r="AE242" s="46">
        <f t="shared" si="13"/>
        <v>-2.4799999999999045E-2</v>
      </c>
      <c r="AF242" s="46">
        <f t="shared" si="13"/>
        <v>-4.8999999999992383E-3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43.147799999999997</v>
      </c>
      <c r="G243" s="45">
        <v>49.246099999999998</v>
      </c>
      <c r="H243" s="45">
        <v>48.784300000000002</v>
      </c>
      <c r="I243" s="66"/>
      <c r="J243" s="66"/>
      <c r="K243" s="67"/>
      <c r="L243" s="29"/>
      <c r="M243" s="70"/>
      <c r="N243" s="45">
        <v>43.147300000000001</v>
      </c>
      <c r="O243" s="45">
        <v>49.245100000000001</v>
      </c>
      <c r="P243" s="45">
        <v>48.791899999999998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4.99999999995282E-4</v>
      </c>
      <c r="AE243" s="45">
        <f t="shared" si="13"/>
        <v>9.9999999999766942E-4</v>
      </c>
      <c r="AF243" s="45">
        <f t="shared" si="13"/>
        <v>-7.5999999999964984E-3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41.9955</v>
      </c>
      <c r="G244" s="46">
        <v>48.2288</v>
      </c>
      <c r="H244" s="46">
        <v>47.911900000000003</v>
      </c>
      <c r="I244" s="66"/>
      <c r="J244" s="66"/>
      <c r="K244" s="67"/>
      <c r="L244" s="29"/>
      <c r="M244" s="70"/>
      <c r="N244" s="46">
        <v>42.003999999999998</v>
      </c>
      <c r="O244" s="46">
        <v>48.228000000000002</v>
      </c>
      <c r="P244" s="46">
        <v>47.9131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-8.4999999999979536E-3</v>
      </c>
      <c r="AE244" s="46">
        <f t="shared" si="13"/>
        <v>7.9999999999813554E-4</v>
      </c>
      <c r="AF244" s="46">
        <f t="shared" si="13"/>
        <v>-1.1999999999972033E-3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40.432400000000001</v>
      </c>
      <c r="G245" s="46">
        <v>46.7607</v>
      </c>
      <c r="H245" s="46">
        <v>46.595799999999997</v>
      </c>
      <c r="I245" s="66"/>
      <c r="J245" s="66"/>
      <c r="K245" s="67"/>
      <c r="L245" s="29"/>
      <c r="M245" s="70"/>
      <c r="N245" s="46">
        <v>40.429000000000002</v>
      </c>
      <c r="O245" s="46">
        <v>46.756799999999998</v>
      </c>
      <c r="P245" s="46">
        <v>46.607799999999997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3.3999999999991815E-3</v>
      </c>
      <c r="AE245" s="46">
        <f t="shared" si="13"/>
        <v>3.9000000000015689E-3</v>
      </c>
      <c r="AF245" s="46">
        <f t="shared" si="13"/>
        <v>-1.2000000000000455E-2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38.512700000000002</v>
      </c>
      <c r="G246" s="72">
        <v>45.587699999999998</v>
      </c>
      <c r="H246" s="72">
        <v>45.431699999999999</v>
      </c>
      <c r="I246" s="68"/>
      <c r="J246" s="68"/>
      <c r="K246" s="69"/>
      <c r="L246" s="29"/>
      <c r="M246" s="81"/>
      <c r="N246" s="46">
        <v>38.5137</v>
      </c>
      <c r="O246" s="72">
        <v>45.5884</v>
      </c>
      <c r="P246" s="72">
        <v>45.432400000000001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-9.9999999999766942E-4</v>
      </c>
      <c r="AE246" s="46">
        <f t="shared" si="13"/>
        <v>-7.0000000000192131E-4</v>
      </c>
      <c r="AF246" s="46">
        <f t="shared" si="13"/>
        <v>-7.0000000000192131E-4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43.257399999999997</v>
      </c>
      <c r="G247" s="45">
        <v>49.1128</v>
      </c>
      <c r="H247" s="45">
        <v>49.0137</v>
      </c>
      <c r="I247" s="66"/>
      <c r="J247" s="66"/>
      <c r="K247" s="67"/>
      <c r="L247" s="29"/>
      <c r="M247" s="70"/>
      <c r="N247" s="45">
        <v>43.262599999999999</v>
      </c>
      <c r="O247" s="45">
        <v>49.115900000000003</v>
      </c>
      <c r="P247" s="45">
        <v>49.013500000000001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-5.2000000000020918E-3</v>
      </c>
      <c r="AE247" s="45">
        <f t="shared" si="13"/>
        <v>-3.1000000000034333E-3</v>
      </c>
      <c r="AF247" s="45">
        <f t="shared" si="13"/>
        <v>1.9999999999953388E-4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42.118000000000002</v>
      </c>
      <c r="G248" s="46">
        <v>48.1492</v>
      </c>
      <c r="H248" s="46">
        <v>48.116399999999999</v>
      </c>
      <c r="I248" s="66"/>
      <c r="J248" s="66"/>
      <c r="K248" s="67"/>
      <c r="L248" s="29"/>
      <c r="M248" s="70"/>
      <c r="N248" s="46">
        <v>42.113199999999999</v>
      </c>
      <c r="O248" s="46">
        <v>48.147399999999998</v>
      </c>
      <c r="P248" s="46">
        <v>48.118499999999997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4.8000000000030241E-3</v>
      </c>
      <c r="AE248" s="46">
        <f t="shared" si="13"/>
        <v>1.8000000000029104E-3</v>
      </c>
      <c r="AF248" s="46">
        <f t="shared" si="13"/>
        <v>-2.0999999999986585E-3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40.536799999999999</v>
      </c>
      <c r="G249" s="46">
        <v>46.743499999999997</v>
      </c>
      <c r="H249" s="46">
        <v>46.760899999999999</v>
      </c>
      <c r="I249" s="66"/>
      <c r="J249" s="66"/>
      <c r="K249" s="67"/>
      <c r="L249" s="29"/>
      <c r="M249" s="70"/>
      <c r="N249" s="46">
        <v>40.536099999999998</v>
      </c>
      <c r="O249" s="46">
        <v>46.755200000000002</v>
      </c>
      <c r="P249" s="46">
        <v>46.761000000000003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7.0000000000192131E-4</v>
      </c>
      <c r="AE249" s="46">
        <f t="shared" si="13"/>
        <v>-1.1700000000004707E-2</v>
      </c>
      <c r="AF249" s="46">
        <f t="shared" si="13"/>
        <v>-1.0000000000331966E-4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38.594200000000001</v>
      </c>
      <c r="G250" s="72">
        <v>45.625700000000002</v>
      </c>
      <c r="H250" s="72">
        <v>45.554000000000002</v>
      </c>
      <c r="I250" s="68"/>
      <c r="J250" s="68"/>
      <c r="K250" s="69"/>
      <c r="L250" s="29"/>
      <c r="M250" s="81"/>
      <c r="N250" s="46">
        <v>38.594299999999997</v>
      </c>
      <c r="O250" s="72">
        <v>45.625</v>
      </c>
      <c r="P250" s="72">
        <v>45.552399999999999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-9.9999999996214228E-5</v>
      </c>
      <c r="AE250" s="46">
        <f t="shared" si="13"/>
        <v>7.0000000000192131E-4</v>
      </c>
      <c r="AF250" s="46">
        <f t="shared" si="13"/>
        <v>1.6000000000033765E-3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43.729799999999997</v>
      </c>
      <c r="G251" s="45">
        <v>48.840400000000002</v>
      </c>
      <c r="H251" s="45">
        <v>49.214399999999998</v>
      </c>
      <c r="I251" s="66"/>
      <c r="J251" s="66"/>
      <c r="K251" s="67"/>
      <c r="L251" s="29"/>
      <c r="M251" s="70"/>
      <c r="N251" s="45">
        <v>43.726900000000001</v>
      </c>
      <c r="O251" s="45">
        <v>48.833199999999998</v>
      </c>
      <c r="P251" s="45">
        <v>49.201900000000002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2.899999999996794E-3</v>
      </c>
      <c r="AE251" s="45">
        <f t="shared" si="13"/>
        <v>7.2000000000045361E-3</v>
      </c>
      <c r="AF251" s="45">
        <f t="shared" si="13"/>
        <v>1.2499999999995737E-2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42.470700000000001</v>
      </c>
      <c r="G252" s="46">
        <v>47.657499999999999</v>
      </c>
      <c r="H252" s="46">
        <v>48.056100000000001</v>
      </c>
      <c r="I252" s="66"/>
      <c r="J252" s="66"/>
      <c r="K252" s="67"/>
      <c r="L252" s="29"/>
      <c r="M252" s="70"/>
      <c r="N252" s="46">
        <v>42.469099999999997</v>
      </c>
      <c r="O252" s="46">
        <v>47.6584</v>
      </c>
      <c r="P252" s="46">
        <v>48.038699999999999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1.6000000000033765E-3</v>
      </c>
      <c r="AE252" s="46">
        <f t="shared" si="13"/>
        <v>-9.0000000000145519E-4</v>
      </c>
      <c r="AF252" s="46">
        <f t="shared" si="13"/>
        <v>1.740000000000208E-2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40.799799999999998</v>
      </c>
      <c r="G253" s="46">
        <v>46.370899999999999</v>
      </c>
      <c r="H253" s="46">
        <v>46.738700000000001</v>
      </c>
      <c r="I253" s="66"/>
      <c r="J253" s="66"/>
      <c r="K253" s="67"/>
      <c r="L253" s="29"/>
      <c r="M253" s="70"/>
      <c r="N253" s="46">
        <v>40.7926</v>
      </c>
      <c r="O253" s="46">
        <v>46.398499999999999</v>
      </c>
      <c r="P253" s="46">
        <v>46.738100000000003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7.1999999999974307E-3</v>
      </c>
      <c r="AE253" s="46">
        <f t="shared" si="13"/>
        <v>-2.7599999999999625E-2</v>
      </c>
      <c r="AF253" s="46">
        <f t="shared" si="13"/>
        <v>5.9999999999860165E-4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38.799799999999998</v>
      </c>
      <c r="G254" s="72">
        <v>45.190800000000003</v>
      </c>
      <c r="H254" s="72">
        <v>45.4377</v>
      </c>
      <c r="I254" s="68"/>
      <c r="J254" s="68"/>
      <c r="K254" s="69"/>
      <c r="L254" s="29"/>
      <c r="M254" s="81"/>
      <c r="N254" s="72">
        <v>38.797699999999999</v>
      </c>
      <c r="O254" s="72">
        <v>45.166899999999998</v>
      </c>
      <c r="P254" s="72">
        <v>45.429200000000002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2.0999999999986585E-3</v>
      </c>
      <c r="AE254" s="72">
        <f t="shared" si="13"/>
        <v>2.3900000000004695E-2</v>
      </c>
      <c r="AF254" s="72">
        <f t="shared" si="13"/>
        <v>8.4999999999979536E-3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42.929400000000001</v>
      </c>
      <c r="G255" s="45">
        <v>47.628999999999998</v>
      </c>
      <c r="H255" s="45">
        <v>48.159799999999997</v>
      </c>
      <c r="I255" s="66"/>
      <c r="J255" s="66"/>
      <c r="K255" s="67"/>
      <c r="L255" s="29"/>
      <c r="M255" s="70"/>
      <c r="N255" s="45">
        <v>42.9236</v>
      </c>
      <c r="O255" s="45">
        <v>47.613700000000001</v>
      </c>
      <c r="P255" s="45">
        <v>48.142099999999999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5.8000000000006935E-3</v>
      </c>
      <c r="AE255" s="45">
        <f t="shared" si="13"/>
        <v>1.5299999999996317E-2</v>
      </c>
      <c r="AF255" s="45">
        <f t="shared" si="13"/>
        <v>1.7699999999997829E-2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41.823300000000003</v>
      </c>
      <c r="G256" s="46">
        <v>46.590800000000002</v>
      </c>
      <c r="H256" s="46">
        <v>47.065899999999999</v>
      </c>
      <c r="I256" s="66"/>
      <c r="J256" s="66"/>
      <c r="K256" s="67"/>
      <c r="L256" s="29"/>
      <c r="M256" s="70"/>
      <c r="N256" s="46">
        <v>41.818899999999999</v>
      </c>
      <c r="O256" s="46">
        <v>46.608499999999999</v>
      </c>
      <c r="P256" s="46">
        <v>47.030099999999997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4.4000000000039563E-3</v>
      </c>
      <c r="AE256" s="46">
        <f t="shared" si="13"/>
        <v>-1.7699999999997829E-2</v>
      </c>
      <c r="AF256" s="46">
        <f t="shared" si="13"/>
        <v>3.580000000000183E-2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40.294600000000003</v>
      </c>
      <c r="G257" s="46">
        <v>45.611899999999999</v>
      </c>
      <c r="H257" s="46">
        <v>46.0197</v>
      </c>
      <c r="I257" s="66"/>
      <c r="J257" s="66"/>
      <c r="K257" s="67"/>
      <c r="L257" s="29"/>
      <c r="M257" s="70"/>
      <c r="N257" s="46">
        <v>40.294199999999996</v>
      </c>
      <c r="O257" s="46">
        <v>45.661299999999997</v>
      </c>
      <c r="P257" s="46">
        <v>46.017499999999998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4.000000000061732E-4</v>
      </c>
      <c r="AE257" s="46">
        <f t="shared" si="13"/>
        <v>-4.9399999999998556E-2</v>
      </c>
      <c r="AF257" s="46">
        <f t="shared" si="13"/>
        <v>2.2000000000019782E-3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38.444299999999998</v>
      </c>
      <c r="G258" s="72">
        <v>44.686700000000002</v>
      </c>
      <c r="H258" s="72">
        <v>44.836799999999997</v>
      </c>
      <c r="I258" s="68"/>
      <c r="J258" s="68"/>
      <c r="K258" s="69"/>
      <c r="L258" s="29"/>
      <c r="M258" s="81"/>
      <c r="N258" s="72">
        <v>38.436599999999999</v>
      </c>
      <c r="O258" s="72">
        <v>44.665500000000002</v>
      </c>
      <c r="P258" s="72">
        <v>44.820599999999999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7.6999999999998181E-3</v>
      </c>
      <c r="AE258" s="72">
        <f t="shared" si="13"/>
        <v>2.120000000000033E-2</v>
      </c>
      <c r="AF258" s="72">
        <f t="shared" si="13"/>
        <v>1.6199999999997772E-2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1496.575</v>
      </c>
      <c r="F259" s="70"/>
      <c r="G259" s="70"/>
      <c r="H259" s="70"/>
      <c r="I259" s="45">
        <v>35540.75</v>
      </c>
      <c r="J259" s="45">
        <v>102.375</v>
      </c>
      <c r="K259" s="45">
        <v>710.84400000000005</v>
      </c>
      <c r="L259" s="29"/>
      <c r="M259" s="45">
        <v>1495.7329999999999</v>
      </c>
      <c r="N259" s="70"/>
      <c r="O259" s="70"/>
      <c r="P259" s="70"/>
      <c r="Q259" s="45">
        <v>35921.421999999999</v>
      </c>
      <c r="R259" s="45">
        <v>109.5</v>
      </c>
      <c r="S259" s="45">
        <v>691.17200000000003</v>
      </c>
      <c r="U259" s="8"/>
      <c r="V259" s="9"/>
      <c r="W259" s="10"/>
      <c r="X259" s="29"/>
      <c r="Y259" s="61">
        <f>GEOMEAN(Q259:Q262)/GEOMEAN(I259:I262)</f>
        <v>1.0007415692836026</v>
      </c>
      <c r="Z259" s="61">
        <f>GEOMEAN(R259:R262)/GEOMEAN(J259:J262)</f>
        <v>1.0025913355696248</v>
      </c>
      <c r="AA259" s="57">
        <f>GEOMEAN(S259:S262)/GEOMEAN(K259:K262)</f>
        <v>0.93964641579250452</v>
      </c>
      <c r="AC259" s="45">
        <f>E259 -M259</f>
        <v>0.84200000000009823</v>
      </c>
      <c r="AD259" s="70"/>
      <c r="AE259" s="70"/>
      <c r="AF259" s="70"/>
      <c r="AG259" s="45">
        <f t="shared" ref="AG259:AI262" si="15">I259 -Q259</f>
        <v>-380.67199999999866</v>
      </c>
      <c r="AH259" s="45">
        <f t="shared" si="15"/>
        <v>-7.125</v>
      </c>
      <c r="AI259" s="45">
        <f t="shared" si="15"/>
        <v>19.672000000000025</v>
      </c>
    </row>
    <row r="260" spans="1:35" ht="12">
      <c r="B260" s="36"/>
      <c r="C260" s="29"/>
      <c r="D260" s="32">
        <v>30</v>
      </c>
      <c r="E260" s="46">
        <v>611.72799999999995</v>
      </c>
      <c r="F260" s="70"/>
      <c r="G260" s="70"/>
      <c r="H260" s="70"/>
      <c r="I260" s="46">
        <v>28336.5</v>
      </c>
      <c r="J260" s="46">
        <v>100.45399999999999</v>
      </c>
      <c r="K260" s="46">
        <v>741.875</v>
      </c>
      <c r="L260" s="29"/>
      <c r="M260" s="46">
        <v>612.11</v>
      </c>
      <c r="N260" s="70"/>
      <c r="O260" s="70"/>
      <c r="P260" s="70"/>
      <c r="Q260" s="46">
        <v>28585.796999999999</v>
      </c>
      <c r="R260" s="46">
        <v>98.686999999999998</v>
      </c>
      <c r="S260" s="46">
        <v>660.21900000000005</v>
      </c>
      <c r="U260" s="41"/>
      <c r="V260" s="42"/>
      <c r="W260" s="43"/>
      <c r="X260" s="29"/>
      <c r="Y260" s="24"/>
      <c r="Z260" s="24"/>
      <c r="AA260" s="27"/>
      <c r="AC260" s="46">
        <f>E260 -M260</f>
        <v>-0.38200000000006185</v>
      </c>
      <c r="AD260" s="70"/>
      <c r="AE260" s="70"/>
      <c r="AF260" s="70"/>
      <c r="AG260" s="46">
        <f t="shared" si="15"/>
        <v>-249.29699999999866</v>
      </c>
      <c r="AH260" s="46">
        <f t="shared" si="15"/>
        <v>1.7669999999999959</v>
      </c>
      <c r="AI260" s="46">
        <f t="shared" si="15"/>
        <v>81.655999999999949</v>
      </c>
    </row>
    <row r="261" spans="1:35" ht="12">
      <c r="B261" s="36"/>
      <c r="C261" s="29"/>
      <c r="D261" s="32">
        <v>35</v>
      </c>
      <c r="E261" s="46">
        <v>311.78699999999998</v>
      </c>
      <c r="F261" s="70"/>
      <c r="G261" s="70"/>
      <c r="H261" s="70"/>
      <c r="I261" s="46">
        <v>25221.968000000001</v>
      </c>
      <c r="J261" s="46">
        <v>103.078</v>
      </c>
      <c r="K261" s="46">
        <v>780.75</v>
      </c>
      <c r="L261" s="29"/>
      <c r="M261" s="46">
        <v>311.87700000000001</v>
      </c>
      <c r="N261" s="70"/>
      <c r="O261" s="70"/>
      <c r="P261" s="70"/>
      <c r="Q261" s="46">
        <v>25213.64</v>
      </c>
      <c r="R261" s="46">
        <v>100.485</v>
      </c>
      <c r="S261" s="46">
        <v>697.70299999999997</v>
      </c>
      <c r="U261" s="17"/>
      <c r="V261" s="18"/>
      <c r="W261" s="19"/>
      <c r="X261" s="29"/>
      <c r="Y261" s="24"/>
      <c r="Z261" s="24"/>
      <c r="AA261" s="27"/>
      <c r="AC261" s="46">
        <f>E261 -M261</f>
        <v>-9.0000000000031832E-2</v>
      </c>
      <c r="AD261" s="70"/>
      <c r="AE261" s="70"/>
      <c r="AF261" s="70"/>
      <c r="AG261" s="46">
        <f t="shared" si="15"/>
        <v>8.3280000000013388</v>
      </c>
      <c r="AH261" s="46">
        <f t="shared" si="15"/>
        <v>2.5930000000000035</v>
      </c>
      <c r="AI261" s="46">
        <f t="shared" si="15"/>
        <v>83.047000000000025</v>
      </c>
    </row>
    <row r="262" spans="1:35" ht="12.75" thickBot="1">
      <c r="B262" s="52"/>
      <c r="C262" s="53"/>
      <c r="D262" s="71">
        <v>40</v>
      </c>
      <c r="E262" s="72">
        <v>173.31100000000001</v>
      </c>
      <c r="F262" s="81"/>
      <c r="G262" s="81"/>
      <c r="H262" s="81"/>
      <c r="I262" s="72">
        <v>23555.921999999999</v>
      </c>
      <c r="J262" s="72">
        <v>95.281000000000006</v>
      </c>
      <c r="K262" s="72">
        <v>811.61</v>
      </c>
      <c r="L262" s="29"/>
      <c r="M262" s="72">
        <v>173.386</v>
      </c>
      <c r="N262" s="81"/>
      <c r="O262" s="81"/>
      <c r="P262" s="81"/>
      <c r="Q262" s="72">
        <v>23179.296999999999</v>
      </c>
      <c r="R262" s="72">
        <v>93.983999999999995</v>
      </c>
      <c r="S262" s="72">
        <v>818.23400000000004</v>
      </c>
      <c r="U262" s="85"/>
      <c r="V262" s="86"/>
      <c r="W262" s="87"/>
      <c r="X262" s="29"/>
      <c r="Y262" s="49"/>
      <c r="Z262" s="49"/>
      <c r="AA262" s="54"/>
      <c r="AC262" s="72">
        <f>E262 -M262</f>
        <v>-7.4999999999988631E-2</v>
      </c>
      <c r="AD262" s="81"/>
      <c r="AE262" s="81"/>
      <c r="AF262" s="81"/>
      <c r="AG262" s="72">
        <f t="shared" si="15"/>
        <v>376.625</v>
      </c>
      <c r="AH262" s="72">
        <f t="shared" si="15"/>
        <v>1.2970000000000113</v>
      </c>
      <c r="AI262" s="72">
        <f t="shared" si="15"/>
        <v>-6.6240000000000236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701.93200000000002</v>
      </c>
      <c r="F267" s="45">
        <v>38.981400000000001</v>
      </c>
      <c r="G267" s="45">
        <v>46.5976</v>
      </c>
      <c r="H267" s="45">
        <v>44.732500000000002</v>
      </c>
      <c r="I267" s="79"/>
      <c r="J267" s="79"/>
      <c r="K267" s="80"/>
      <c r="L267" s="29"/>
      <c r="M267" s="45">
        <v>701.52080000000001</v>
      </c>
      <c r="N267" s="45">
        <v>38.980899999999998</v>
      </c>
      <c r="O267" s="45">
        <v>46.597499999999997</v>
      </c>
      <c r="P267" s="45">
        <v>44.730400000000003</v>
      </c>
      <c r="Q267" s="79"/>
      <c r="R267" s="79"/>
      <c r="S267" s="80"/>
      <c r="U267" s="8">
        <f>bdrate($E267:$E270,F267:F270,$M267:$M270,N267:N270)</f>
        <v>-1.8583304908205145E-3</v>
      </c>
      <c r="V267" s="9">
        <f>bdrate($E267:$E270,G267:G270,$M267:$M270,O267:O270)</f>
        <v>-2.9623838273198366E-3</v>
      </c>
      <c r="W267" s="10">
        <f>bdrate($E267:$E270,H267:H270,$M267:$M270,P267:P270)</f>
        <v>-3.1898526168191443E-3</v>
      </c>
      <c r="X267" s="29"/>
      <c r="Y267" s="24"/>
      <c r="Z267" s="24"/>
      <c r="AA267" s="27"/>
      <c r="AC267" s="45">
        <f t="shared" si="17"/>
        <v>0.411200000000008</v>
      </c>
      <c r="AD267" s="45">
        <f t="shared" si="16"/>
        <v>5.0000000000238742E-4</v>
      </c>
      <c r="AE267" s="45">
        <f t="shared" si="16"/>
        <v>1.0000000000331966E-4</v>
      </c>
      <c r="AF267" s="45">
        <f t="shared" si="16"/>
        <v>2.0999999999986585E-3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195.8544</v>
      </c>
      <c r="F268" s="46">
        <v>37.1327</v>
      </c>
      <c r="G268" s="46">
        <v>45.166200000000003</v>
      </c>
      <c r="H268" s="46">
        <v>43.106200000000001</v>
      </c>
      <c r="I268" s="66"/>
      <c r="J268" s="66"/>
      <c r="K268" s="67"/>
      <c r="L268" s="29"/>
      <c r="M268" s="46">
        <v>195.49359999999999</v>
      </c>
      <c r="N268" s="46">
        <v>37.1342</v>
      </c>
      <c r="O268" s="46">
        <v>45.168900000000001</v>
      </c>
      <c r="P268" s="46">
        <v>43.107900000000001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0.36080000000001178</v>
      </c>
      <c r="AD268" s="46">
        <f t="shared" si="16"/>
        <v>-1.5000000000000568E-3</v>
      </c>
      <c r="AE268" s="46">
        <f t="shared" si="16"/>
        <v>-2.6999999999972601E-3</v>
      </c>
      <c r="AF268" s="46">
        <f t="shared" si="16"/>
        <v>-1.6999999999995907E-3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75.392799999999994</v>
      </c>
      <c r="F269" s="46">
        <v>35.240600000000001</v>
      </c>
      <c r="G269" s="46">
        <v>43.677199999999999</v>
      </c>
      <c r="H269" s="46">
        <v>41.817900000000002</v>
      </c>
      <c r="I269" s="66"/>
      <c r="J269" s="66"/>
      <c r="K269" s="67"/>
      <c r="L269" s="29"/>
      <c r="M269" s="46">
        <v>75.284000000000006</v>
      </c>
      <c r="N269" s="46">
        <v>35.241100000000003</v>
      </c>
      <c r="O269" s="46">
        <v>43.6798</v>
      </c>
      <c r="P269" s="46">
        <v>41.822699999999998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0.10879999999998802</v>
      </c>
      <c r="AD269" s="46">
        <f t="shared" si="16"/>
        <v>-5.0000000000238742E-4</v>
      </c>
      <c r="AE269" s="46">
        <f t="shared" si="16"/>
        <v>-2.6000000000010459E-3</v>
      </c>
      <c r="AF269" s="46">
        <f t="shared" si="16"/>
        <v>-4.7999999999959186E-3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33.524799999999999</v>
      </c>
      <c r="F270" s="46">
        <v>33.264099999999999</v>
      </c>
      <c r="G270" s="46">
        <v>42.492600000000003</v>
      </c>
      <c r="H270" s="46">
        <v>40.877400000000002</v>
      </c>
      <c r="I270" s="66"/>
      <c r="J270" s="66"/>
      <c r="K270" s="67"/>
      <c r="L270" s="29"/>
      <c r="M270" s="46">
        <v>33.458399999999997</v>
      </c>
      <c r="N270" s="46">
        <v>33.262900000000002</v>
      </c>
      <c r="O270" s="46">
        <v>42.492699999999999</v>
      </c>
      <c r="P270" s="46">
        <v>40.880299999999998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6.6400000000001569E-2</v>
      </c>
      <c r="AD270" s="46">
        <f t="shared" si="16"/>
        <v>1.1999999999972033E-3</v>
      </c>
      <c r="AE270" s="46">
        <f t="shared" si="16"/>
        <v>-9.9999999996214228E-5</v>
      </c>
      <c r="AF270" s="46">
        <f t="shared" si="16"/>
        <v>-2.899999999996794E-3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691.85839999999996</v>
      </c>
      <c r="F271" s="45">
        <v>38.914099999999998</v>
      </c>
      <c r="G271" s="45">
        <v>46.425800000000002</v>
      </c>
      <c r="H271" s="45">
        <v>46.127499999999998</v>
      </c>
      <c r="I271" s="79"/>
      <c r="J271" s="79"/>
      <c r="K271" s="80"/>
      <c r="L271" s="29"/>
      <c r="M271" s="45">
        <v>691.14639999999997</v>
      </c>
      <c r="N271" s="45">
        <v>38.912199999999999</v>
      </c>
      <c r="O271" s="45">
        <v>46.419600000000003</v>
      </c>
      <c r="P271" s="45">
        <v>46.1282</v>
      </c>
      <c r="Q271" s="79"/>
      <c r="R271" s="79"/>
      <c r="S271" s="80"/>
      <c r="U271" s="8">
        <f>bdrate($E271:$E274,F271:F274,$M271:$M274,N271:N274)</f>
        <v>1.7403449120445558E-4</v>
      </c>
      <c r="V271" s="9">
        <f>bdrate($E271:$E274,G271:G274,$M271:$M274,O271:O274)</f>
        <v>6.7908626237977998E-4</v>
      </c>
      <c r="W271" s="10">
        <f>bdrate($E271:$E274,H271:H274,$M271:$M274,P271:P274)</f>
        <v>1.1893201902035688E-3</v>
      </c>
      <c r="X271" s="29"/>
      <c r="Y271" s="24"/>
      <c r="Z271" s="24"/>
      <c r="AA271" s="27"/>
      <c r="AC271" s="45">
        <f t="shared" si="17"/>
        <v>0.71199999999998909</v>
      </c>
      <c r="AD271" s="45">
        <f t="shared" si="16"/>
        <v>1.8999999999991246E-3</v>
      </c>
      <c r="AE271" s="45">
        <f t="shared" si="16"/>
        <v>6.1999999999997613E-3</v>
      </c>
      <c r="AF271" s="45">
        <f t="shared" si="16"/>
        <v>-7.0000000000192131E-4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192.71360000000001</v>
      </c>
      <c r="F272" s="46">
        <v>36.946300000000001</v>
      </c>
      <c r="G272" s="46">
        <v>44.990299999999998</v>
      </c>
      <c r="H272" s="46">
        <v>44.721299999999999</v>
      </c>
      <c r="I272" s="66"/>
      <c r="J272" s="66"/>
      <c r="K272" s="67"/>
      <c r="L272" s="29"/>
      <c r="M272" s="46">
        <v>193.25919999999999</v>
      </c>
      <c r="N272" s="46">
        <v>36.948799999999999</v>
      </c>
      <c r="O272" s="46">
        <v>44.990699999999997</v>
      </c>
      <c r="P272" s="46">
        <v>44.715600000000002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-0.54559999999997899</v>
      </c>
      <c r="AD272" s="46">
        <f t="shared" si="16"/>
        <v>-2.4999999999977263E-3</v>
      </c>
      <c r="AE272" s="46">
        <f t="shared" si="16"/>
        <v>-3.9999999999906777E-4</v>
      </c>
      <c r="AF272" s="46">
        <f t="shared" si="16"/>
        <v>5.6999999999973738E-3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73.819199999999995</v>
      </c>
      <c r="F273" s="46">
        <v>34.973199999999999</v>
      </c>
      <c r="G273" s="46">
        <v>43.480800000000002</v>
      </c>
      <c r="H273" s="46">
        <v>43.122700000000002</v>
      </c>
      <c r="I273" s="66"/>
      <c r="J273" s="66"/>
      <c r="K273" s="67"/>
      <c r="L273" s="29"/>
      <c r="M273" s="46">
        <v>73.900000000000006</v>
      </c>
      <c r="N273" s="46">
        <v>34.975099999999998</v>
      </c>
      <c r="O273" s="46">
        <v>43.486600000000003</v>
      </c>
      <c r="P273" s="46">
        <v>43.13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-8.0800000000010641E-2</v>
      </c>
      <c r="AD273" s="46">
        <f t="shared" si="16"/>
        <v>-1.8999999999991246E-3</v>
      </c>
      <c r="AE273" s="46">
        <f t="shared" si="16"/>
        <v>-5.8000000000006935E-3</v>
      </c>
      <c r="AF273" s="46">
        <f t="shared" si="16"/>
        <v>-7.3000000000007503E-3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31.6248</v>
      </c>
      <c r="F274" s="72">
        <v>32.952599999999997</v>
      </c>
      <c r="G274" s="72">
        <v>42.314500000000002</v>
      </c>
      <c r="H274" s="72">
        <v>41.922199999999997</v>
      </c>
      <c r="I274" s="68"/>
      <c r="J274" s="68"/>
      <c r="K274" s="69"/>
      <c r="L274" s="29"/>
      <c r="M274" s="72">
        <v>31.484000000000002</v>
      </c>
      <c r="N274" s="72">
        <v>32.951000000000001</v>
      </c>
      <c r="O274" s="72">
        <v>42.309600000000003</v>
      </c>
      <c r="P274" s="72">
        <v>41.9178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0.1407999999999987</v>
      </c>
      <c r="AD274" s="72">
        <f t="shared" si="16"/>
        <v>1.5999999999962711E-3</v>
      </c>
      <c r="AE274" s="72">
        <f t="shared" si="16"/>
        <v>4.8999999999992383E-3</v>
      </c>
      <c r="AF274" s="72">
        <f t="shared" si="16"/>
        <v>4.3999999999968509E-3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163.83519999999999</v>
      </c>
      <c r="F275" s="45">
        <v>43.921599999999998</v>
      </c>
      <c r="G275" s="78"/>
      <c r="H275" s="78"/>
      <c r="I275" s="79"/>
      <c r="J275" s="79"/>
      <c r="K275" s="80"/>
      <c r="L275" s="29"/>
      <c r="M275" s="45">
        <v>163.95599999999999</v>
      </c>
      <c r="N275" s="45">
        <v>43.907899999999998</v>
      </c>
      <c r="O275" s="78"/>
      <c r="P275" s="78"/>
      <c r="Q275" s="79"/>
      <c r="R275" s="79"/>
      <c r="S275" s="80"/>
      <c r="U275" s="8">
        <f>bdrate($E275:$E278,F275:F278,$M275:$M278,N275:N278)</f>
        <v>2.9695057634615551E-3</v>
      </c>
      <c r="V275" s="9"/>
      <c r="W275" s="10"/>
      <c r="X275" s="29"/>
      <c r="Y275" s="24"/>
      <c r="Z275" s="24"/>
      <c r="AA275" s="27"/>
      <c r="AC275" s="45">
        <f t="shared" si="17"/>
        <v>-0.12080000000000268</v>
      </c>
      <c r="AD275" s="45">
        <f t="shared" si="16"/>
        <v>1.3700000000000045E-2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49.773600000000002</v>
      </c>
      <c r="F276" s="46">
        <v>40.816099999999999</v>
      </c>
      <c r="G276" s="70"/>
      <c r="H276" s="70"/>
      <c r="I276" s="66"/>
      <c r="J276" s="66"/>
      <c r="K276" s="67"/>
      <c r="L276" s="29"/>
      <c r="M276" s="46">
        <v>49.742400000000004</v>
      </c>
      <c r="N276" s="46">
        <v>40.811300000000003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3.119999999999834E-2</v>
      </c>
      <c r="AD276" s="46">
        <f t="shared" si="16"/>
        <v>4.7999999999959186E-3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20.457599999999999</v>
      </c>
      <c r="F277" s="46">
        <v>37.32</v>
      </c>
      <c r="G277" s="70"/>
      <c r="H277" s="70"/>
      <c r="I277" s="66"/>
      <c r="J277" s="66"/>
      <c r="K277" s="67"/>
      <c r="L277" s="29"/>
      <c r="M277" s="46">
        <v>20.512799999999999</v>
      </c>
      <c r="N277" s="46">
        <v>37.3185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-5.519999999999925E-2</v>
      </c>
      <c r="AD277" s="46">
        <f t="shared" si="16"/>
        <v>1.5000000000000568E-3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9.7232000000000003</v>
      </c>
      <c r="F278" s="46">
        <v>33.9328</v>
      </c>
      <c r="G278" s="70"/>
      <c r="H278" s="70"/>
      <c r="I278" s="66"/>
      <c r="J278" s="66"/>
      <c r="K278" s="67"/>
      <c r="L278" s="29"/>
      <c r="M278" s="46">
        <v>9.7287999999999997</v>
      </c>
      <c r="N278" s="46">
        <v>33.9101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-5.5999999999993832E-3</v>
      </c>
      <c r="AD278" s="46">
        <f t="shared" si="16"/>
        <v>2.2700000000000387E-2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100.3064</v>
      </c>
      <c r="F279" s="45">
        <v>42.307699999999997</v>
      </c>
      <c r="G279" s="78"/>
      <c r="H279" s="78"/>
      <c r="I279" s="79"/>
      <c r="J279" s="79"/>
      <c r="K279" s="80"/>
      <c r="L279" s="29"/>
      <c r="M279" s="45">
        <v>100.596</v>
      </c>
      <c r="N279" s="45">
        <v>42.291699999999999</v>
      </c>
      <c r="O279" s="78"/>
      <c r="P279" s="78"/>
      <c r="Q279" s="79"/>
      <c r="R279" s="79"/>
      <c r="S279" s="80"/>
      <c r="U279" s="8">
        <f>bdrate($E279:$E282,F279:F282,$M279:$M282,N279:N282)</f>
        <v>-3.6377163237104604E-3</v>
      </c>
      <c r="V279" s="9"/>
      <c r="W279" s="10"/>
      <c r="X279" s="29"/>
      <c r="Y279" s="24"/>
      <c r="Z279" s="24"/>
      <c r="AA279" s="27"/>
      <c r="AC279" s="45">
        <f t="shared" si="17"/>
        <v>-0.28960000000000719</v>
      </c>
      <c r="AD279" s="45">
        <f t="shared" si="16"/>
        <v>1.5999999999998238E-2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24.506399999999999</v>
      </c>
      <c r="F280" s="46">
        <v>39.474600000000002</v>
      </c>
      <c r="G280" s="70"/>
      <c r="H280" s="70"/>
      <c r="I280" s="66"/>
      <c r="J280" s="66"/>
      <c r="K280" s="67"/>
      <c r="L280" s="29"/>
      <c r="M280" s="46">
        <v>24.408799999999999</v>
      </c>
      <c r="N280" s="46">
        <v>39.485300000000002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9.7599999999999909E-2</v>
      </c>
      <c r="AD280" s="46">
        <f t="shared" si="16"/>
        <v>-1.0699999999999932E-2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9.5047999999999995</v>
      </c>
      <c r="F281" s="46">
        <v>36.386200000000002</v>
      </c>
      <c r="G281" s="70"/>
      <c r="H281" s="70"/>
      <c r="I281" s="66"/>
      <c r="J281" s="66"/>
      <c r="K281" s="67"/>
      <c r="L281" s="29"/>
      <c r="M281" s="46">
        <v>9.4391999999999996</v>
      </c>
      <c r="N281" s="46">
        <v>36.372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6.5599999999999881E-2</v>
      </c>
      <c r="AD281" s="46">
        <f t="shared" si="16"/>
        <v>1.4200000000002433E-2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4.8743999999999996</v>
      </c>
      <c r="F282" s="46">
        <v>33.424500000000002</v>
      </c>
      <c r="G282" s="70"/>
      <c r="H282" s="70"/>
      <c r="I282" s="66"/>
      <c r="J282" s="66"/>
      <c r="K282" s="67"/>
      <c r="L282" s="29"/>
      <c r="M282" s="46">
        <v>4.8319999999999999</v>
      </c>
      <c r="N282" s="46">
        <v>33.414099999999998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4.2399999999999771E-2</v>
      </c>
      <c r="AD282" s="46">
        <f t="shared" si="16"/>
        <v>1.0400000000004184E-2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117.05200000000001</v>
      </c>
      <c r="F283" s="45">
        <v>41.763300000000001</v>
      </c>
      <c r="G283" s="78"/>
      <c r="H283" s="78"/>
      <c r="I283" s="79"/>
      <c r="J283" s="79"/>
      <c r="K283" s="80"/>
      <c r="L283" s="29"/>
      <c r="M283" s="45">
        <v>117.0864</v>
      </c>
      <c r="N283" s="45">
        <v>41.767200000000003</v>
      </c>
      <c r="O283" s="78"/>
      <c r="P283" s="78"/>
      <c r="Q283" s="79"/>
      <c r="R283" s="79"/>
      <c r="S283" s="80"/>
      <c r="U283" s="8">
        <f>bdrate($E283:$E286,F283:F286,$M283:$M286,N283:N286)</f>
        <v>5.3239135102487456E-3</v>
      </c>
      <c r="V283" s="9"/>
      <c r="W283" s="10"/>
      <c r="X283" s="29"/>
      <c r="Y283" s="24"/>
      <c r="Z283" s="24"/>
      <c r="AA283" s="27"/>
      <c r="AC283" s="45">
        <f t="shared" si="17"/>
        <v>-3.4399999999990882E-2</v>
      </c>
      <c r="AD283" s="45">
        <f t="shared" si="16"/>
        <v>-3.9000000000015689E-3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28.206399999999999</v>
      </c>
      <c r="F284" s="46">
        <v>38.960500000000003</v>
      </c>
      <c r="G284" s="70"/>
      <c r="H284" s="70"/>
      <c r="I284" s="66"/>
      <c r="J284" s="66"/>
      <c r="K284" s="67"/>
      <c r="L284" s="29"/>
      <c r="M284" s="46">
        <v>28.404</v>
      </c>
      <c r="N284" s="46">
        <v>38.9542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-0.19760000000000133</v>
      </c>
      <c r="AD284" s="46">
        <f t="shared" si="16"/>
        <v>6.3000000000030809E-3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10.267200000000001</v>
      </c>
      <c r="F285" s="46">
        <v>36.040700000000001</v>
      </c>
      <c r="G285" s="70"/>
      <c r="H285" s="70"/>
      <c r="I285" s="66"/>
      <c r="J285" s="66"/>
      <c r="K285" s="67"/>
      <c r="L285" s="29"/>
      <c r="M285" s="46">
        <v>10.2736</v>
      </c>
      <c r="N285" s="46">
        <v>36.027799999999999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-6.3999999999992951E-3</v>
      </c>
      <c r="AD285" s="46">
        <f t="shared" si="16"/>
        <v>1.290000000000191E-2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4.8440000000000003</v>
      </c>
      <c r="F286" s="46">
        <v>33.057299999999998</v>
      </c>
      <c r="G286" s="70"/>
      <c r="H286" s="70"/>
      <c r="I286" s="66"/>
      <c r="J286" s="66"/>
      <c r="K286" s="67"/>
      <c r="L286" s="29"/>
      <c r="M286" s="46">
        <v>4.8159999999999998</v>
      </c>
      <c r="N286" s="46">
        <v>33.017499999999998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2.8000000000000469E-2</v>
      </c>
      <c r="AD286" s="46">
        <f t="shared" si="16"/>
        <v>3.9799999999999613E-2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40.0032</v>
      </c>
      <c r="G287" s="45">
        <v>46.618899999999996</v>
      </c>
      <c r="H287" s="45">
        <v>46.012300000000003</v>
      </c>
      <c r="I287" s="79"/>
      <c r="J287" s="79"/>
      <c r="K287" s="80"/>
      <c r="L287" s="29"/>
      <c r="M287" s="78"/>
      <c r="N287" s="45">
        <v>40.002099999999999</v>
      </c>
      <c r="O287" s="45">
        <v>46.657299999999999</v>
      </c>
      <c r="P287" s="45">
        <v>45.980899999999998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1.1000000000009891E-3</v>
      </c>
      <c r="AE287" s="45">
        <f t="shared" si="16"/>
        <v>-3.8400000000002876E-2</v>
      </c>
      <c r="AF287" s="45">
        <f t="shared" si="16"/>
        <v>3.1400000000004979E-2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37.923499999999997</v>
      </c>
      <c r="G288" s="46">
        <v>45.120199999999997</v>
      </c>
      <c r="H288" s="46">
        <v>44.3384</v>
      </c>
      <c r="I288" s="66"/>
      <c r="J288" s="66"/>
      <c r="K288" s="67"/>
      <c r="L288" s="29"/>
      <c r="M288" s="70"/>
      <c r="N288" s="46">
        <v>37.929400000000001</v>
      </c>
      <c r="O288" s="46">
        <v>45.122599999999998</v>
      </c>
      <c r="P288" s="46">
        <v>44.344000000000001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-5.9000000000040131E-3</v>
      </c>
      <c r="AE288" s="46">
        <f t="shared" si="16"/>
        <v>-2.400000000001512E-3</v>
      </c>
      <c r="AF288" s="46">
        <f t="shared" si="16"/>
        <v>-5.6000000000011596E-3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35.885800000000003</v>
      </c>
      <c r="G289" s="46">
        <v>43.656999999999996</v>
      </c>
      <c r="H289" s="46">
        <v>42.967700000000001</v>
      </c>
      <c r="I289" s="66"/>
      <c r="J289" s="66"/>
      <c r="K289" s="67"/>
      <c r="L289" s="29"/>
      <c r="M289" s="70"/>
      <c r="N289" s="46">
        <v>35.886400000000002</v>
      </c>
      <c r="O289" s="46">
        <v>43.6691</v>
      </c>
      <c r="P289" s="46">
        <v>42.970199999999998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-5.9999999999860165E-4</v>
      </c>
      <c r="AE289" s="46">
        <f t="shared" si="16"/>
        <v>-1.2100000000003774E-2</v>
      </c>
      <c r="AF289" s="46">
        <f t="shared" si="16"/>
        <v>-2.4999999999977263E-3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33.775300000000001</v>
      </c>
      <c r="G290" s="72">
        <v>42.480800000000002</v>
      </c>
      <c r="H290" s="72">
        <v>42.014800000000001</v>
      </c>
      <c r="I290" s="68"/>
      <c r="J290" s="68"/>
      <c r="K290" s="69"/>
      <c r="L290" s="29"/>
      <c r="M290" s="81"/>
      <c r="N290" s="72">
        <v>33.776600000000002</v>
      </c>
      <c r="O290" s="72">
        <v>42.4895</v>
      </c>
      <c r="P290" s="72">
        <v>42.006799999999998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-1.300000000000523E-3</v>
      </c>
      <c r="AE290" s="72">
        <f t="shared" si="16"/>
        <v>-8.6999999999974875E-3</v>
      </c>
      <c r="AF290" s="72">
        <f t="shared" si="16"/>
        <v>8.0000000000026716E-3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40.710700000000003</v>
      </c>
      <c r="G291" s="45">
        <v>47.357300000000002</v>
      </c>
      <c r="H291" s="45">
        <v>46.880099999999999</v>
      </c>
      <c r="I291" s="66"/>
      <c r="J291" s="66"/>
      <c r="K291" s="67"/>
      <c r="L291" s="29"/>
      <c r="M291" s="70"/>
      <c r="N291" s="45">
        <v>40.710099999999997</v>
      </c>
      <c r="O291" s="45">
        <v>47.373600000000003</v>
      </c>
      <c r="P291" s="45">
        <v>46.858400000000003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6.0000000000570708E-4</v>
      </c>
      <c r="AE291" s="45">
        <f t="shared" si="16"/>
        <v>-1.6300000000001091E-2</v>
      </c>
      <c r="AF291" s="45">
        <f t="shared" si="16"/>
        <v>2.1699999999995612E-2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38.418399999999998</v>
      </c>
      <c r="G292" s="46">
        <v>45.670699999999997</v>
      </c>
      <c r="H292" s="46">
        <v>45.132800000000003</v>
      </c>
      <c r="I292" s="66"/>
      <c r="J292" s="66"/>
      <c r="K292" s="67"/>
      <c r="L292" s="29"/>
      <c r="M292" s="70"/>
      <c r="N292" s="46">
        <v>38.420400000000001</v>
      </c>
      <c r="O292" s="46">
        <v>45.688600000000001</v>
      </c>
      <c r="P292" s="46">
        <v>45.131100000000004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-2.0000000000024443E-3</v>
      </c>
      <c r="AE292" s="46">
        <f t="shared" si="16"/>
        <v>-1.7900000000004468E-2</v>
      </c>
      <c r="AF292" s="46">
        <f t="shared" si="16"/>
        <v>1.6999999999995907E-3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36.2468</v>
      </c>
      <c r="G293" s="46">
        <v>44.005899999999997</v>
      </c>
      <c r="H293" s="46">
        <v>43.519300000000001</v>
      </c>
      <c r="I293" s="66"/>
      <c r="J293" s="66"/>
      <c r="K293" s="67"/>
      <c r="L293" s="29"/>
      <c r="M293" s="70"/>
      <c r="N293" s="46">
        <v>36.246099999999998</v>
      </c>
      <c r="O293" s="46">
        <v>44.012900000000002</v>
      </c>
      <c r="P293" s="46">
        <v>43.509900000000002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7.0000000000192131E-4</v>
      </c>
      <c r="AE293" s="46">
        <f t="shared" si="16"/>
        <v>-7.0000000000050022E-3</v>
      </c>
      <c r="AF293" s="46">
        <f t="shared" si="16"/>
        <v>9.3999999999994088E-3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34.0383</v>
      </c>
      <c r="G294" s="72">
        <v>42.698999999999998</v>
      </c>
      <c r="H294" s="72">
        <v>42.392499999999998</v>
      </c>
      <c r="I294" s="68"/>
      <c r="J294" s="68"/>
      <c r="K294" s="69"/>
      <c r="L294" s="29"/>
      <c r="M294" s="81"/>
      <c r="N294" s="46">
        <v>34.038499999999999</v>
      </c>
      <c r="O294" s="72">
        <v>42.7027</v>
      </c>
      <c r="P294" s="72">
        <v>42.3812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-1.9999999999953388E-4</v>
      </c>
      <c r="AE294" s="46">
        <f t="shared" si="16"/>
        <v>-3.700000000002035E-3</v>
      </c>
      <c r="AF294" s="46">
        <f t="shared" si="16"/>
        <v>1.1299999999998533E-2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40.616799999999998</v>
      </c>
      <c r="G295" s="45">
        <v>47.5623</v>
      </c>
      <c r="H295" s="45">
        <v>47.198599999999999</v>
      </c>
      <c r="I295" s="66"/>
      <c r="J295" s="66"/>
      <c r="K295" s="67"/>
      <c r="L295" s="29"/>
      <c r="M295" s="70"/>
      <c r="N295" s="45">
        <v>40.617100000000001</v>
      </c>
      <c r="O295" s="45">
        <v>47.561700000000002</v>
      </c>
      <c r="P295" s="45">
        <v>47.196800000000003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-3.0000000000285354E-4</v>
      </c>
      <c r="AE295" s="45">
        <f t="shared" si="16"/>
        <v>5.9999999999860165E-4</v>
      </c>
      <c r="AF295" s="45">
        <f t="shared" si="16"/>
        <v>1.799999999995805E-3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38.409399999999998</v>
      </c>
      <c r="G296" s="46">
        <v>46.0152</v>
      </c>
      <c r="H296" s="46">
        <v>45.578899999999997</v>
      </c>
      <c r="I296" s="66"/>
      <c r="J296" s="66"/>
      <c r="K296" s="67"/>
      <c r="L296" s="29"/>
      <c r="M296" s="70"/>
      <c r="N296" s="46">
        <v>38.409500000000001</v>
      </c>
      <c r="O296" s="46">
        <v>46.014699999999998</v>
      </c>
      <c r="P296" s="46">
        <v>45.584200000000003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-1.0000000000331966E-4</v>
      </c>
      <c r="AE296" s="46">
        <f t="shared" si="16"/>
        <v>5.0000000000238742E-4</v>
      </c>
      <c r="AF296" s="46">
        <f t="shared" si="16"/>
        <v>-5.3000000000054115E-3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36.249899999999997</v>
      </c>
      <c r="G297" s="46">
        <v>44.185899999999997</v>
      </c>
      <c r="H297" s="46">
        <v>43.783999999999999</v>
      </c>
      <c r="I297" s="66"/>
      <c r="J297" s="66"/>
      <c r="K297" s="67"/>
      <c r="L297" s="29"/>
      <c r="M297" s="70"/>
      <c r="N297" s="46">
        <v>36.249699999999997</v>
      </c>
      <c r="O297" s="46">
        <v>44.188899999999997</v>
      </c>
      <c r="P297" s="46">
        <v>43.785499999999999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1.9999999999953388E-4</v>
      </c>
      <c r="AE297" s="46">
        <f t="shared" si="16"/>
        <v>-3.0000000000001137E-3</v>
      </c>
      <c r="AF297" s="46">
        <f t="shared" si="16"/>
        <v>-1.5000000000000568E-3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34.037100000000002</v>
      </c>
      <c r="G298" s="72">
        <v>42.877899999999997</v>
      </c>
      <c r="H298" s="72">
        <v>42.539200000000001</v>
      </c>
      <c r="I298" s="68"/>
      <c r="J298" s="68"/>
      <c r="K298" s="69"/>
      <c r="L298" s="29"/>
      <c r="M298" s="81"/>
      <c r="N298" s="46">
        <v>34.035800000000002</v>
      </c>
      <c r="O298" s="72">
        <v>42.878700000000002</v>
      </c>
      <c r="P298" s="72">
        <v>42.542400000000001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1.300000000000523E-3</v>
      </c>
      <c r="AE298" s="46">
        <f t="shared" si="16"/>
        <v>-8.0000000000524096E-4</v>
      </c>
      <c r="AF298" s="46">
        <f t="shared" si="16"/>
        <v>-3.1999999999996476E-3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40.574599999999997</v>
      </c>
      <c r="G299" s="45">
        <v>47.4861</v>
      </c>
      <c r="H299" s="45">
        <v>47.014699999999998</v>
      </c>
      <c r="I299" s="66"/>
      <c r="J299" s="66"/>
      <c r="K299" s="67"/>
      <c r="L299" s="29"/>
      <c r="M299" s="70"/>
      <c r="N299" s="45">
        <v>40.571300000000001</v>
      </c>
      <c r="O299" s="45">
        <v>47.482700000000001</v>
      </c>
      <c r="P299" s="45">
        <v>47.011499999999998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3.2999999999958618E-3</v>
      </c>
      <c r="AE299" s="45">
        <f t="shared" si="16"/>
        <v>3.3999999999991815E-3</v>
      </c>
      <c r="AF299" s="45">
        <f t="shared" si="16"/>
        <v>3.1999999999996476E-3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38.352200000000003</v>
      </c>
      <c r="G300" s="46">
        <v>45.924399999999999</v>
      </c>
      <c r="H300" s="46">
        <v>45.383899999999997</v>
      </c>
      <c r="I300" s="66"/>
      <c r="J300" s="66"/>
      <c r="K300" s="67"/>
      <c r="L300" s="29"/>
      <c r="M300" s="70"/>
      <c r="N300" s="46">
        <v>38.351100000000002</v>
      </c>
      <c r="O300" s="46">
        <v>45.923900000000003</v>
      </c>
      <c r="P300" s="46">
        <v>45.381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1.1000000000009891E-3</v>
      </c>
      <c r="AE300" s="46">
        <f t="shared" si="16"/>
        <v>4.99999999995282E-4</v>
      </c>
      <c r="AF300" s="46">
        <f t="shared" si="16"/>
        <v>2.899999999996794E-3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36.186300000000003</v>
      </c>
      <c r="G301" s="46">
        <v>44.082900000000002</v>
      </c>
      <c r="H301" s="46">
        <v>43.556899999999999</v>
      </c>
      <c r="I301" s="66"/>
      <c r="J301" s="66"/>
      <c r="K301" s="67"/>
      <c r="L301" s="29"/>
      <c r="M301" s="70"/>
      <c r="N301" s="46">
        <v>36.1875</v>
      </c>
      <c r="O301" s="46">
        <v>44.082700000000003</v>
      </c>
      <c r="P301" s="46">
        <v>43.555999999999997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-1.1999999999972033E-3</v>
      </c>
      <c r="AE301" s="46">
        <f t="shared" si="16"/>
        <v>1.9999999999953388E-4</v>
      </c>
      <c r="AF301" s="46">
        <f t="shared" si="16"/>
        <v>9.0000000000145519E-4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33.9602</v>
      </c>
      <c r="G302" s="72">
        <v>42.752200000000002</v>
      </c>
      <c r="H302" s="72">
        <v>42.274900000000002</v>
      </c>
      <c r="I302" s="68"/>
      <c r="J302" s="68"/>
      <c r="K302" s="69"/>
      <c r="L302" s="29"/>
      <c r="M302" s="81"/>
      <c r="N302" s="46">
        <v>33.964100000000002</v>
      </c>
      <c r="O302" s="72">
        <v>42.752000000000002</v>
      </c>
      <c r="P302" s="72">
        <v>42.278599999999997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-3.9000000000015689E-3</v>
      </c>
      <c r="AE302" s="46">
        <f t="shared" si="16"/>
        <v>1.9999999999953388E-4</v>
      </c>
      <c r="AF302" s="46">
        <f t="shared" si="16"/>
        <v>-3.6999999999949296E-3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40.606699999999996</v>
      </c>
      <c r="G303" s="45">
        <v>47.066600000000001</v>
      </c>
      <c r="H303" s="45">
        <v>46.814</v>
      </c>
      <c r="I303" s="66"/>
      <c r="J303" s="66"/>
      <c r="K303" s="67"/>
      <c r="L303" s="29"/>
      <c r="M303" s="70"/>
      <c r="N303" s="45">
        <v>40.607900000000001</v>
      </c>
      <c r="O303" s="45">
        <v>47.041400000000003</v>
      </c>
      <c r="P303" s="45">
        <v>46.810299999999998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-1.2000000000043087E-3</v>
      </c>
      <c r="AE303" s="45">
        <f t="shared" si="16"/>
        <v>2.5199999999998113E-2</v>
      </c>
      <c r="AF303" s="45">
        <f t="shared" si="16"/>
        <v>3.700000000002035E-3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38.271999999999998</v>
      </c>
      <c r="G304" s="46">
        <v>45.517200000000003</v>
      </c>
      <c r="H304" s="46">
        <v>45.201900000000002</v>
      </c>
      <c r="I304" s="66"/>
      <c r="J304" s="66"/>
      <c r="K304" s="67"/>
      <c r="L304" s="29"/>
      <c r="M304" s="70"/>
      <c r="N304" s="46">
        <v>38.2714</v>
      </c>
      <c r="O304" s="46">
        <v>45.510599999999997</v>
      </c>
      <c r="P304" s="46">
        <v>45.197400000000002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5.9999999999860165E-4</v>
      </c>
      <c r="AE304" s="46">
        <f t="shared" si="16"/>
        <v>6.6000000000059345E-3</v>
      </c>
      <c r="AF304" s="46">
        <f t="shared" si="16"/>
        <v>4.5000000000001705E-3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36.077800000000003</v>
      </c>
      <c r="G305" s="46">
        <v>43.747799999999998</v>
      </c>
      <c r="H305" s="46">
        <v>43.3887</v>
      </c>
      <c r="I305" s="66"/>
      <c r="J305" s="66"/>
      <c r="K305" s="67"/>
      <c r="L305" s="29"/>
      <c r="M305" s="70"/>
      <c r="N305" s="46">
        <v>36.0809</v>
      </c>
      <c r="O305" s="46">
        <v>43.762700000000002</v>
      </c>
      <c r="P305" s="46">
        <v>43.398800000000001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-3.0999999999963279E-3</v>
      </c>
      <c r="AE305" s="46">
        <f t="shared" si="16"/>
        <v>-1.4900000000004354E-2</v>
      </c>
      <c r="AF305" s="46">
        <f t="shared" si="16"/>
        <v>-1.010000000000133E-2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33.861199999999997</v>
      </c>
      <c r="G306" s="72">
        <v>42.489600000000003</v>
      </c>
      <c r="H306" s="72">
        <v>42.045299999999997</v>
      </c>
      <c r="I306" s="68"/>
      <c r="J306" s="68"/>
      <c r="K306" s="69"/>
      <c r="L306" s="29"/>
      <c r="M306" s="81"/>
      <c r="N306" s="72">
        <v>33.864600000000003</v>
      </c>
      <c r="O306" s="72">
        <v>42.479599999999998</v>
      </c>
      <c r="P306" s="72">
        <v>42.055799999999998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-3.4000000000062869E-3</v>
      </c>
      <c r="AE306" s="72">
        <f t="shared" si="16"/>
        <v>1.0000000000005116E-2</v>
      </c>
      <c r="AF306" s="72">
        <f t="shared" si="16"/>
        <v>-1.0500000000000398E-2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39.908099999999997</v>
      </c>
      <c r="G307" s="45">
        <v>46.245399999999997</v>
      </c>
      <c r="H307" s="45">
        <v>46.393599999999999</v>
      </c>
      <c r="I307" s="66"/>
      <c r="J307" s="66"/>
      <c r="K307" s="67"/>
      <c r="L307" s="29"/>
      <c r="M307" s="70"/>
      <c r="N307" s="45">
        <v>39.907499999999999</v>
      </c>
      <c r="O307" s="45">
        <v>46.203099999999999</v>
      </c>
      <c r="P307" s="45">
        <v>46.392699999999998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5.9999999999860165E-4</v>
      </c>
      <c r="AE307" s="45">
        <f t="shared" si="16"/>
        <v>4.229999999999734E-2</v>
      </c>
      <c r="AF307" s="45">
        <f t="shared" si="16"/>
        <v>9.0000000000145519E-4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37.741599999999998</v>
      </c>
      <c r="G308" s="46">
        <v>44.882199999999997</v>
      </c>
      <c r="H308" s="46">
        <v>44.886899999999997</v>
      </c>
      <c r="I308" s="66"/>
      <c r="J308" s="66"/>
      <c r="K308" s="67"/>
      <c r="L308" s="29"/>
      <c r="M308" s="70"/>
      <c r="N308" s="46">
        <v>37.746200000000002</v>
      </c>
      <c r="O308" s="46">
        <v>44.877899999999997</v>
      </c>
      <c r="P308" s="46">
        <v>44.878300000000003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-4.6000000000034902E-3</v>
      </c>
      <c r="AE308" s="46">
        <f t="shared" si="16"/>
        <v>4.3000000000006366E-3</v>
      </c>
      <c r="AF308" s="46">
        <f t="shared" si="16"/>
        <v>8.5999999999941679E-3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35.662399999999998</v>
      </c>
      <c r="G309" s="46">
        <v>43.335799999999999</v>
      </c>
      <c r="H309" s="46">
        <v>43.192100000000003</v>
      </c>
      <c r="I309" s="66"/>
      <c r="J309" s="66"/>
      <c r="K309" s="67"/>
      <c r="L309" s="29"/>
      <c r="M309" s="70"/>
      <c r="N309" s="46">
        <v>35.664999999999999</v>
      </c>
      <c r="O309" s="46">
        <v>43.344299999999997</v>
      </c>
      <c r="P309" s="46">
        <v>43.213299999999997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-2.6000000000010459E-3</v>
      </c>
      <c r="AE309" s="46">
        <f t="shared" si="16"/>
        <v>-8.4999999999979536E-3</v>
      </c>
      <c r="AF309" s="46">
        <f t="shared" si="16"/>
        <v>-2.1199999999993224E-2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33.5456</v>
      </c>
      <c r="G310" s="72">
        <v>42.165900000000001</v>
      </c>
      <c r="H310" s="72">
        <v>41.927</v>
      </c>
      <c r="I310" s="68"/>
      <c r="J310" s="68"/>
      <c r="K310" s="69"/>
      <c r="L310" s="29"/>
      <c r="M310" s="81"/>
      <c r="N310" s="72">
        <v>33.546599999999998</v>
      </c>
      <c r="O310" s="72">
        <v>42.154299999999999</v>
      </c>
      <c r="P310" s="72">
        <v>41.924599999999998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-9.9999999999766942E-4</v>
      </c>
      <c r="AE310" s="72">
        <f t="shared" si="16"/>
        <v>1.1600000000001387E-2</v>
      </c>
      <c r="AF310" s="72">
        <f t="shared" si="16"/>
        <v>2.400000000001512E-3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4220.4096</v>
      </c>
      <c r="F311" s="70"/>
      <c r="G311" s="70"/>
      <c r="H311" s="70"/>
      <c r="I311" s="45">
        <v>53599.328000000001</v>
      </c>
      <c r="J311" s="45">
        <v>124.73399999999999</v>
      </c>
      <c r="K311" s="45">
        <v>833.54700000000003</v>
      </c>
      <c r="L311" s="29"/>
      <c r="M311" s="45">
        <v>4219.7312000000002</v>
      </c>
      <c r="N311" s="70"/>
      <c r="O311" s="70"/>
      <c r="P311" s="70"/>
      <c r="Q311" s="45">
        <v>53801.186999999998</v>
      </c>
      <c r="R311" s="45">
        <v>123.578</v>
      </c>
      <c r="S311" s="45">
        <v>810.11</v>
      </c>
      <c r="U311" s="8"/>
      <c r="V311" s="9"/>
      <c r="W311" s="10"/>
      <c r="X311" s="29"/>
      <c r="Y311" s="61">
        <f>GEOMEAN(Q311:Q314)/GEOMEAN(I311:I314)</f>
        <v>1.0030262403465084</v>
      </c>
      <c r="Z311" s="61">
        <f>GEOMEAN(R311:R314)/GEOMEAN(J311:J314)</f>
        <v>1.0551750461853255</v>
      </c>
      <c r="AA311" s="57">
        <f>GEOMEAN(S311:S314)/GEOMEAN(K311:K314)</f>
        <v>0.9715073600227353</v>
      </c>
      <c r="AC311" s="45">
        <f>E311 -M311</f>
        <v>0.67839999999978318</v>
      </c>
      <c r="AD311" s="70"/>
      <c r="AE311" s="70"/>
      <c r="AF311" s="70"/>
      <c r="AG311" s="45">
        <f t="shared" ref="AG311:AI314" si="18">I311 -Q311</f>
        <v>-201.85899999999674</v>
      </c>
      <c r="AH311" s="45">
        <f t="shared" si="18"/>
        <v>1.1559999999999917</v>
      </c>
      <c r="AI311" s="45">
        <f t="shared" si="18"/>
        <v>23.437000000000012</v>
      </c>
    </row>
    <row r="312" spans="1:35" ht="12">
      <c r="B312" s="36"/>
      <c r="C312" s="29"/>
      <c r="D312" s="32">
        <v>30</v>
      </c>
      <c r="E312" s="46">
        <v>1452.3208</v>
      </c>
      <c r="F312" s="70"/>
      <c r="G312" s="70"/>
      <c r="H312" s="70"/>
      <c r="I312" s="46">
        <v>41634.125</v>
      </c>
      <c r="J312" s="46">
        <v>117.078</v>
      </c>
      <c r="K312" s="46">
        <v>862.17200000000003</v>
      </c>
      <c r="L312" s="29"/>
      <c r="M312" s="46">
        <v>1452.5744</v>
      </c>
      <c r="N312" s="70"/>
      <c r="O312" s="70"/>
      <c r="P312" s="70"/>
      <c r="Q312" s="46">
        <v>41671.766000000003</v>
      </c>
      <c r="R312" s="46">
        <v>112.89</v>
      </c>
      <c r="S312" s="46">
        <v>827.98500000000001</v>
      </c>
      <c r="U312" s="41"/>
      <c r="V312" s="42"/>
      <c r="W312" s="43"/>
      <c r="X312" s="29"/>
      <c r="Y312" s="24"/>
      <c r="Z312" s="24"/>
      <c r="AA312" s="27"/>
      <c r="AC312" s="46">
        <f>E312 -M312</f>
        <v>-0.25360000000000582</v>
      </c>
      <c r="AD312" s="70"/>
      <c r="AE312" s="70"/>
      <c r="AF312" s="70"/>
      <c r="AG312" s="46">
        <f t="shared" si="18"/>
        <v>-37.64100000000326</v>
      </c>
      <c r="AH312" s="46">
        <f t="shared" si="18"/>
        <v>4.1880000000000024</v>
      </c>
      <c r="AI312" s="46">
        <f t="shared" si="18"/>
        <v>34.187000000000012</v>
      </c>
    </row>
    <row r="313" spans="1:35" ht="12">
      <c r="B313" s="36"/>
      <c r="C313" s="29"/>
      <c r="D313" s="32">
        <v>35</v>
      </c>
      <c r="E313" s="46">
        <v>656.05119999999999</v>
      </c>
      <c r="F313" s="70"/>
      <c r="G313" s="70"/>
      <c r="H313" s="70"/>
      <c r="I313" s="46">
        <v>35891.921000000002</v>
      </c>
      <c r="J313" s="46">
        <v>111.437</v>
      </c>
      <c r="K313" s="46">
        <v>905.59400000000005</v>
      </c>
      <c r="L313" s="29"/>
      <c r="M313" s="46">
        <v>656.01919999999996</v>
      </c>
      <c r="N313" s="70"/>
      <c r="O313" s="70"/>
      <c r="P313" s="70"/>
      <c r="Q313" s="46">
        <v>36053.093999999997</v>
      </c>
      <c r="R313" s="46">
        <v>135.172</v>
      </c>
      <c r="S313" s="46">
        <v>908.36</v>
      </c>
      <c r="U313" s="17"/>
      <c r="V313" s="18"/>
      <c r="W313" s="19"/>
      <c r="X313" s="29"/>
      <c r="Y313" s="24"/>
      <c r="Z313" s="24"/>
      <c r="AA313" s="27"/>
      <c r="AC313" s="46">
        <f>E313 -M313</f>
        <v>3.2000000000039108E-2</v>
      </c>
      <c r="AD313" s="70"/>
      <c r="AE313" s="70"/>
      <c r="AF313" s="70"/>
      <c r="AG313" s="46">
        <f t="shared" si="18"/>
        <v>-161.17299999999523</v>
      </c>
      <c r="AH313" s="46">
        <f t="shared" si="18"/>
        <v>-23.734999999999999</v>
      </c>
      <c r="AI313" s="46">
        <f t="shared" si="18"/>
        <v>-2.7659999999999627</v>
      </c>
    </row>
    <row r="314" spans="1:35" ht="12.75" thickBot="1">
      <c r="B314" s="52"/>
      <c r="C314" s="53"/>
      <c r="D314" s="71">
        <v>40</v>
      </c>
      <c r="E314" s="72">
        <v>330.9504</v>
      </c>
      <c r="F314" s="81"/>
      <c r="G314" s="81"/>
      <c r="H314" s="81"/>
      <c r="I314" s="72">
        <v>32284.891</v>
      </c>
      <c r="J314" s="72">
        <v>122.672</v>
      </c>
      <c r="K314" s="72">
        <v>1010.375</v>
      </c>
      <c r="L314" s="29"/>
      <c r="M314" s="72">
        <v>330.67840000000001</v>
      </c>
      <c r="N314" s="81"/>
      <c r="O314" s="81"/>
      <c r="P314" s="81"/>
      <c r="Q314" s="72">
        <v>32380.062999999998</v>
      </c>
      <c r="R314" s="72">
        <v>131.23500000000001</v>
      </c>
      <c r="S314" s="72">
        <v>961.39099999999996</v>
      </c>
      <c r="U314" s="85"/>
      <c r="V314" s="86"/>
      <c r="W314" s="87"/>
      <c r="X314" s="29"/>
      <c r="Y314" s="49"/>
      <c r="Z314" s="49"/>
      <c r="AA314" s="54"/>
      <c r="AC314" s="72">
        <f>E314 -M314</f>
        <v>0.27199999999999136</v>
      </c>
      <c r="AD314" s="81"/>
      <c r="AE314" s="81"/>
      <c r="AF314" s="81"/>
      <c r="AG314" s="72">
        <f t="shared" si="18"/>
        <v>-95.171999999998661</v>
      </c>
      <c r="AH314" s="72">
        <f t="shared" si="18"/>
        <v>-8.5630000000000166</v>
      </c>
      <c r="AI314" s="72">
        <f t="shared" si="18"/>
        <v>48.984000000000037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909.06560000000002</v>
      </c>
      <c r="F319" s="45">
        <v>37.973599999999998</v>
      </c>
      <c r="G319" s="45">
        <v>46.573599999999999</v>
      </c>
      <c r="H319" s="45">
        <v>45.974299999999999</v>
      </c>
      <c r="I319" s="79"/>
      <c r="J319" s="79"/>
      <c r="K319" s="80"/>
      <c r="L319" s="29"/>
      <c r="M319" s="45">
        <v>909.58640000000003</v>
      </c>
      <c r="N319" s="45">
        <v>37.974899999999998</v>
      </c>
      <c r="O319" s="45">
        <v>46.575899999999997</v>
      </c>
      <c r="P319" s="45">
        <v>45.974299999999999</v>
      </c>
      <c r="Q319" s="79"/>
      <c r="R319" s="79"/>
      <c r="S319" s="80"/>
      <c r="U319" s="8">
        <f>bdrate($E319:$E322,F319:F322,$M319:$M322,N319:N322)</f>
        <v>-9.6725670468023051E-4</v>
      </c>
      <c r="V319" s="9">
        <f>bdrate($E319:$E322,G319:G322,$M319:$M322,O319:O322)</f>
        <v>-2.3097491384513891E-3</v>
      </c>
      <c r="W319" s="10">
        <f>bdrate($E319:$E322,H319:H322,$M319:$M322,P319:P322)</f>
        <v>-1.1382464884535093E-4</v>
      </c>
      <c r="X319" s="29"/>
      <c r="Y319" s="24"/>
      <c r="Z319" s="24"/>
      <c r="AA319" s="27"/>
      <c r="AC319" s="45">
        <f t="shared" si="20"/>
        <v>-0.52080000000000837</v>
      </c>
      <c r="AD319" s="45">
        <f t="shared" si="19"/>
        <v>-1.300000000000523E-3</v>
      </c>
      <c r="AE319" s="45">
        <f t="shared" si="19"/>
        <v>-2.2999999999981924E-3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318.74</v>
      </c>
      <c r="F320" s="46">
        <v>35.3476</v>
      </c>
      <c r="G320" s="46">
        <v>45.113300000000002</v>
      </c>
      <c r="H320" s="46">
        <v>44.588900000000002</v>
      </c>
      <c r="I320" s="66"/>
      <c r="J320" s="66"/>
      <c r="K320" s="67"/>
      <c r="L320" s="29"/>
      <c r="M320" s="46">
        <v>318.89920000000001</v>
      </c>
      <c r="N320" s="46">
        <v>35.3459</v>
      </c>
      <c r="O320" s="46">
        <v>45.114400000000003</v>
      </c>
      <c r="P320" s="46">
        <v>44.587600000000002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-0.15919999999999845</v>
      </c>
      <c r="AD320" s="46">
        <f t="shared" si="19"/>
        <v>1.6999999999995907E-3</v>
      </c>
      <c r="AE320" s="46">
        <f t="shared" si="19"/>
        <v>-1.1000000000009891E-3</v>
      </c>
      <c r="AF320" s="46">
        <f t="shared" si="19"/>
        <v>1.300000000000523E-3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136.77279999999999</v>
      </c>
      <c r="F321" s="46">
        <v>32.949800000000003</v>
      </c>
      <c r="G321" s="46">
        <v>43.850900000000003</v>
      </c>
      <c r="H321" s="46">
        <v>43.408999999999999</v>
      </c>
      <c r="I321" s="66"/>
      <c r="J321" s="66"/>
      <c r="K321" s="67"/>
      <c r="L321" s="29"/>
      <c r="M321" s="46">
        <v>136.2688</v>
      </c>
      <c r="N321" s="46">
        <v>32.950000000000003</v>
      </c>
      <c r="O321" s="46">
        <v>43.850999999999999</v>
      </c>
      <c r="P321" s="46">
        <v>43.4071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0.50399999999999068</v>
      </c>
      <c r="AD321" s="46">
        <f t="shared" si="19"/>
        <v>-1.9999999999953388E-4</v>
      </c>
      <c r="AE321" s="46">
        <f t="shared" si="19"/>
        <v>-9.9999999996214228E-5</v>
      </c>
      <c r="AF321" s="46">
        <f t="shared" si="19"/>
        <v>1.8999999999991246E-3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63.373600000000003</v>
      </c>
      <c r="F322" s="46">
        <v>30.733000000000001</v>
      </c>
      <c r="G322" s="46">
        <v>43.0304</v>
      </c>
      <c r="H322" s="46">
        <v>42.652200000000001</v>
      </c>
      <c r="I322" s="66"/>
      <c r="J322" s="66"/>
      <c r="K322" s="67"/>
      <c r="L322" s="29"/>
      <c r="M322" s="46">
        <v>63.244</v>
      </c>
      <c r="N322" s="46">
        <v>30.7301</v>
      </c>
      <c r="O322" s="46">
        <v>43.039299999999997</v>
      </c>
      <c r="P322" s="46">
        <v>42.653500000000001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0.12960000000000349</v>
      </c>
      <c r="AD322" s="46">
        <f t="shared" si="19"/>
        <v>2.9000000000003467E-3</v>
      </c>
      <c r="AE322" s="46">
        <f t="shared" si="19"/>
        <v>-8.8999999999970214E-3</v>
      </c>
      <c r="AF322" s="46">
        <f t="shared" si="19"/>
        <v>-1.300000000000523E-3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865.00879999999995</v>
      </c>
      <c r="F323" s="45">
        <v>38.140799999999999</v>
      </c>
      <c r="G323" s="45">
        <v>46.516599999999997</v>
      </c>
      <c r="H323" s="45">
        <v>45.777799999999999</v>
      </c>
      <c r="I323" s="79"/>
      <c r="J323" s="79"/>
      <c r="K323" s="80"/>
      <c r="L323" s="29"/>
      <c r="M323" s="45">
        <v>864.38720000000001</v>
      </c>
      <c r="N323" s="45">
        <v>38.140599999999999</v>
      </c>
      <c r="O323" s="45">
        <v>46.5154</v>
      </c>
      <c r="P323" s="45">
        <v>45.7759</v>
      </c>
      <c r="Q323" s="79"/>
      <c r="R323" s="79"/>
      <c r="S323" s="80"/>
      <c r="U323" s="8">
        <f>bdrate($E323:$E326,F323:F326,$M323:$M326,N323:N326)</f>
        <v>-1.3968468770363396E-3</v>
      </c>
      <c r="V323" s="9">
        <f>bdrate($E323:$E326,G323:G326,$M323:$M326,O323:O326)</f>
        <v>2.0229588619913308E-4</v>
      </c>
      <c r="W323" s="10">
        <f>bdrate($E323:$E326,H323:H326,$M323:$M326,P323:P326)</f>
        <v>-7.7389383475678919E-4</v>
      </c>
      <c r="X323" s="29"/>
      <c r="Y323" s="24"/>
      <c r="Z323" s="24"/>
      <c r="AA323" s="27"/>
      <c r="AC323" s="45">
        <f t="shared" si="20"/>
        <v>0.62159999999994398</v>
      </c>
      <c r="AD323" s="45">
        <f t="shared" si="19"/>
        <v>1.9999999999953388E-4</v>
      </c>
      <c r="AE323" s="45">
        <f t="shared" si="19"/>
        <v>1.1999999999972033E-3</v>
      </c>
      <c r="AF323" s="45">
        <f t="shared" si="19"/>
        <v>1.8999999999991246E-3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304.37040000000002</v>
      </c>
      <c r="F324" s="46">
        <v>35.533299999999997</v>
      </c>
      <c r="G324" s="46">
        <v>45.048200000000001</v>
      </c>
      <c r="H324" s="46">
        <v>44.429699999999997</v>
      </c>
      <c r="I324" s="66"/>
      <c r="J324" s="66"/>
      <c r="K324" s="67"/>
      <c r="L324" s="29"/>
      <c r="M324" s="46">
        <v>304.57920000000001</v>
      </c>
      <c r="N324" s="46">
        <v>35.533099999999997</v>
      </c>
      <c r="O324" s="46">
        <v>45.045000000000002</v>
      </c>
      <c r="P324" s="46">
        <v>44.432299999999998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-0.20879999999999654</v>
      </c>
      <c r="AD324" s="46">
        <f t="shared" si="19"/>
        <v>1.9999999999953388E-4</v>
      </c>
      <c r="AE324" s="46">
        <f t="shared" si="19"/>
        <v>3.1999999999996476E-3</v>
      </c>
      <c r="AF324" s="46">
        <f t="shared" si="19"/>
        <v>-2.6000000000010459E-3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130.71360000000001</v>
      </c>
      <c r="F325" s="46">
        <v>33.1404</v>
      </c>
      <c r="G325" s="46">
        <v>43.7562</v>
      </c>
      <c r="H325" s="46">
        <v>43.265300000000003</v>
      </c>
      <c r="I325" s="66"/>
      <c r="J325" s="66"/>
      <c r="K325" s="67"/>
      <c r="L325" s="29"/>
      <c r="M325" s="46">
        <v>130.53440000000001</v>
      </c>
      <c r="N325" s="46">
        <v>33.141800000000003</v>
      </c>
      <c r="O325" s="46">
        <v>43.755099999999999</v>
      </c>
      <c r="P325" s="46">
        <v>43.262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0.17920000000000869</v>
      </c>
      <c r="AD325" s="46">
        <f t="shared" si="19"/>
        <v>-1.4000000000038426E-3</v>
      </c>
      <c r="AE325" s="46">
        <f t="shared" si="19"/>
        <v>1.1000000000009891E-3</v>
      </c>
      <c r="AF325" s="46">
        <f t="shared" si="19"/>
        <v>3.3000000000029672E-3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61.103999999999999</v>
      </c>
      <c r="F326" s="72">
        <v>30.907299999999999</v>
      </c>
      <c r="G326" s="72">
        <v>42.949199999999998</v>
      </c>
      <c r="H326" s="72">
        <v>42.501300000000001</v>
      </c>
      <c r="I326" s="68"/>
      <c r="J326" s="68"/>
      <c r="K326" s="69"/>
      <c r="L326" s="29"/>
      <c r="M326" s="72">
        <v>60.563200000000002</v>
      </c>
      <c r="N326" s="72">
        <v>30.905999999999999</v>
      </c>
      <c r="O326" s="72">
        <v>42.953099999999999</v>
      </c>
      <c r="P326" s="72">
        <v>42.502000000000002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0.54079999999999728</v>
      </c>
      <c r="AD326" s="72">
        <f t="shared" si="19"/>
        <v>1.300000000000523E-3</v>
      </c>
      <c r="AE326" s="72">
        <f t="shared" si="19"/>
        <v>-3.9000000000015689E-3</v>
      </c>
      <c r="AF326" s="72">
        <f t="shared" si="19"/>
        <v>-7.0000000000192131E-4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213.89760000000001</v>
      </c>
      <c r="F327" s="45">
        <v>47.806600000000003</v>
      </c>
      <c r="G327" s="78"/>
      <c r="H327" s="78"/>
      <c r="I327" s="79"/>
      <c r="J327" s="79"/>
      <c r="K327" s="80"/>
      <c r="L327" s="29"/>
      <c r="M327" s="45">
        <v>213.17679999999999</v>
      </c>
      <c r="N327" s="45">
        <v>47.753799999999998</v>
      </c>
      <c r="O327" s="78"/>
      <c r="P327" s="78"/>
      <c r="Q327" s="79"/>
      <c r="R327" s="79"/>
      <c r="S327" s="80"/>
      <c r="U327" s="8">
        <f>bdrate($E327:$E330,F327:F330,$M327:$M330,N327:N330)</f>
        <v>-2.4961464067829731E-4</v>
      </c>
      <c r="V327" s="9"/>
      <c r="W327" s="10"/>
      <c r="X327" s="29"/>
      <c r="Y327" s="24"/>
      <c r="Z327" s="24"/>
      <c r="AA327" s="27"/>
      <c r="AC327" s="45">
        <f t="shared" si="20"/>
        <v>0.72080000000002542</v>
      </c>
      <c r="AD327" s="45">
        <f t="shared" si="19"/>
        <v>5.2800000000004843E-2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96.4512</v>
      </c>
      <c r="F328" s="46">
        <v>43.129399999999997</v>
      </c>
      <c r="G328" s="70"/>
      <c r="H328" s="70"/>
      <c r="I328" s="66"/>
      <c r="J328" s="66"/>
      <c r="K328" s="67"/>
      <c r="L328" s="29"/>
      <c r="M328" s="46">
        <v>95.991200000000006</v>
      </c>
      <c r="N328" s="46">
        <v>43.088900000000002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0.45999999999999375</v>
      </c>
      <c r="AD328" s="46">
        <f t="shared" si="19"/>
        <v>4.0499999999994429E-2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46.255200000000002</v>
      </c>
      <c r="F329" s="46">
        <v>39.330399999999997</v>
      </c>
      <c r="G329" s="70"/>
      <c r="H329" s="70"/>
      <c r="I329" s="66"/>
      <c r="J329" s="66"/>
      <c r="K329" s="67"/>
      <c r="L329" s="29"/>
      <c r="M329" s="46">
        <v>46.189599999999999</v>
      </c>
      <c r="N329" s="46">
        <v>39.378999999999998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6.5600000000003433E-2</v>
      </c>
      <c r="AD329" s="46">
        <f t="shared" si="19"/>
        <v>-4.8600000000000421E-2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21.526399999999999</v>
      </c>
      <c r="F330" s="46">
        <v>35.499699999999997</v>
      </c>
      <c r="G330" s="70"/>
      <c r="H330" s="70"/>
      <c r="I330" s="66"/>
      <c r="J330" s="66"/>
      <c r="K330" s="67"/>
      <c r="L330" s="29"/>
      <c r="M330" s="46">
        <v>21.458400000000001</v>
      </c>
      <c r="N330" s="46">
        <v>35.411000000000001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6.799999999999784E-2</v>
      </c>
      <c r="AD330" s="46">
        <f t="shared" si="19"/>
        <v>8.8699999999995782E-2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94.099199999999996</v>
      </c>
      <c r="F331" s="45">
        <v>46.307099999999998</v>
      </c>
      <c r="G331" s="78"/>
      <c r="H331" s="78"/>
      <c r="I331" s="79"/>
      <c r="J331" s="79"/>
      <c r="K331" s="80"/>
      <c r="L331" s="29"/>
      <c r="M331" s="45">
        <v>94.106399999999994</v>
      </c>
      <c r="N331" s="45">
        <v>46.292999999999999</v>
      </c>
      <c r="O331" s="78"/>
      <c r="P331" s="78"/>
      <c r="Q331" s="79"/>
      <c r="R331" s="79"/>
      <c r="S331" s="80"/>
      <c r="U331" s="8">
        <f>bdrate($E331:$E334,F331:F334,$M331:$M334,N331:N334)</f>
        <v>-6.6079010857200693E-4</v>
      </c>
      <c r="V331" s="9"/>
      <c r="W331" s="10"/>
      <c r="X331" s="29"/>
      <c r="Y331" s="24"/>
      <c r="Z331" s="24"/>
      <c r="AA331" s="27"/>
      <c r="AC331" s="45">
        <f t="shared" si="20"/>
        <v>-7.1999999999974307E-3</v>
      </c>
      <c r="AD331" s="45">
        <f t="shared" si="19"/>
        <v>1.4099999999999113E-2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37.458399999999997</v>
      </c>
      <c r="F332" s="46">
        <v>41.974400000000003</v>
      </c>
      <c r="G332" s="70"/>
      <c r="H332" s="70"/>
      <c r="I332" s="66"/>
      <c r="J332" s="66"/>
      <c r="K332" s="67"/>
      <c r="L332" s="29"/>
      <c r="M332" s="46">
        <v>37.435200000000002</v>
      </c>
      <c r="N332" s="46">
        <v>41.979300000000002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2.3199999999995669E-2</v>
      </c>
      <c r="AD332" s="46">
        <f t="shared" si="19"/>
        <v>-4.8999999999992383E-3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18.792000000000002</v>
      </c>
      <c r="F333" s="46">
        <v>38.432400000000001</v>
      </c>
      <c r="G333" s="70"/>
      <c r="H333" s="70"/>
      <c r="I333" s="66"/>
      <c r="J333" s="66"/>
      <c r="K333" s="67"/>
      <c r="L333" s="29"/>
      <c r="M333" s="46">
        <v>18.6768</v>
      </c>
      <c r="N333" s="46">
        <v>38.408900000000003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0.11520000000000152</v>
      </c>
      <c r="AD333" s="46">
        <f t="shared" si="19"/>
        <v>2.3499999999998522E-2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9.3992000000000004</v>
      </c>
      <c r="F334" s="46">
        <v>34.762500000000003</v>
      </c>
      <c r="G334" s="70"/>
      <c r="H334" s="70"/>
      <c r="I334" s="66"/>
      <c r="J334" s="66"/>
      <c r="K334" s="67"/>
      <c r="L334" s="29"/>
      <c r="M334" s="46">
        <v>9.3423999999999996</v>
      </c>
      <c r="N334" s="46">
        <v>34.725900000000003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5.680000000000085E-2</v>
      </c>
      <c r="AD334" s="46">
        <f t="shared" si="19"/>
        <v>3.6599999999999966E-2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94.433599999999998</v>
      </c>
      <c r="F335" s="45">
        <v>46.425400000000003</v>
      </c>
      <c r="G335" s="78"/>
      <c r="H335" s="78"/>
      <c r="I335" s="79"/>
      <c r="J335" s="79"/>
      <c r="K335" s="80"/>
      <c r="L335" s="29"/>
      <c r="M335" s="45">
        <v>94.465599999999995</v>
      </c>
      <c r="N335" s="45">
        <v>46.441600000000001</v>
      </c>
      <c r="O335" s="78"/>
      <c r="P335" s="78"/>
      <c r="Q335" s="79"/>
      <c r="R335" s="79"/>
      <c r="S335" s="80"/>
      <c r="U335" s="8">
        <f>bdrate($E335:$E338,F335:F338,$M335:$M338,N335:N338)</f>
        <v>8.9107093707285756E-4</v>
      </c>
      <c r="V335" s="9"/>
      <c r="W335" s="10"/>
      <c r="X335" s="29"/>
      <c r="Y335" s="24"/>
      <c r="Z335" s="24"/>
      <c r="AA335" s="27"/>
      <c r="AC335" s="45">
        <f t="shared" si="20"/>
        <v>-3.1999999999996476E-2</v>
      </c>
      <c r="AD335" s="45">
        <f t="shared" si="19"/>
        <v>-1.6199999999997772E-2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38.967199999999998</v>
      </c>
      <c r="F336" s="46">
        <v>42.097099999999998</v>
      </c>
      <c r="G336" s="70"/>
      <c r="H336" s="70"/>
      <c r="I336" s="66"/>
      <c r="J336" s="66"/>
      <c r="K336" s="67"/>
      <c r="L336" s="29"/>
      <c r="M336" s="46">
        <v>39.055999999999997</v>
      </c>
      <c r="N336" s="46">
        <v>42.101999999999997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-8.8799999999999102E-2</v>
      </c>
      <c r="AD336" s="46">
        <f t="shared" si="19"/>
        <v>-4.8999999999992383E-3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19.820799999999998</v>
      </c>
      <c r="F337" s="46">
        <v>38.410299999999999</v>
      </c>
      <c r="G337" s="70"/>
      <c r="H337" s="70"/>
      <c r="I337" s="66"/>
      <c r="J337" s="66"/>
      <c r="K337" s="67"/>
      <c r="L337" s="29"/>
      <c r="M337" s="46">
        <v>19.788</v>
      </c>
      <c r="N337" s="46">
        <v>38.425699999999999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3.2799999999998164E-2</v>
      </c>
      <c r="AD337" s="46">
        <f t="shared" si="19"/>
        <v>-1.5399999999999636E-2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10.200799999999999</v>
      </c>
      <c r="F338" s="46">
        <v>34.858600000000003</v>
      </c>
      <c r="G338" s="70"/>
      <c r="H338" s="70"/>
      <c r="I338" s="66"/>
      <c r="J338" s="66"/>
      <c r="K338" s="67"/>
      <c r="L338" s="29"/>
      <c r="M338" s="46">
        <v>10.244</v>
      </c>
      <c r="N338" s="46">
        <v>34.769100000000002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-4.3200000000000571E-2</v>
      </c>
      <c r="AD338" s="46">
        <f t="shared" si="19"/>
        <v>8.9500000000001023E-2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38.524799999999999</v>
      </c>
      <c r="G339" s="45">
        <v>46.582599999999999</v>
      </c>
      <c r="H339" s="45">
        <v>45.599600000000002</v>
      </c>
      <c r="I339" s="79"/>
      <c r="J339" s="79"/>
      <c r="K339" s="80"/>
      <c r="L339" s="29"/>
      <c r="M339" s="78"/>
      <c r="N339" s="45">
        <v>38.524299999999997</v>
      </c>
      <c r="O339" s="45">
        <v>46.607799999999997</v>
      </c>
      <c r="P339" s="45">
        <v>45.603700000000003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5.0000000000238742E-4</v>
      </c>
      <c r="AE339" s="45">
        <f t="shared" si="19"/>
        <v>-2.5199999999998113E-2</v>
      </c>
      <c r="AF339" s="45">
        <f t="shared" si="19"/>
        <v>-4.1000000000011028E-3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35.703000000000003</v>
      </c>
      <c r="G340" s="46">
        <v>45.251199999999997</v>
      </c>
      <c r="H340" s="46">
        <v>44.406500000000001</v>
      </c>
      <c r="I340" s="66"/>
      <c r="J340" s="66"/>
      <c r="K340" s="67"/>
      <c r="L340" s="29"/>
      <c r="M340" s="70"/>
      <c r="N340" s="46">
        <v>35.703299999999999</v>
      </c>
      <c r="O340" s="46">
        <v>45.250300000000003</v>
      </c>
      <c r="P340" s="46">
        <v>44.408700000000003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-2.9999999999574811E-4</v>
      </c>
      <c r="AE340" s="46">
        <f t="shared" si="19"/>
        <v>8.9999999999434976E-4</v>
      </c>
      <c r="AF340" s="46">
        <f t="shared" si="19"/>
        <v>-2.2000000000019782E-3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33.1783</v>
      </c>
      <c r="G341" s="46">
        <v>43.994300000000003</v>
      </c>
      <c r="H341" s="46">
        <v>43.4435</v>
      </c>
      <c r="I341" s="66"/>
      <c r="J341" s="66"/>
      <c r="K341" s="67"/>
      <c r="L341" s="29"/>
      <c r="M341" s="70"/>
      <c r="N341" s="46">
        <v>33.1751</v>
      </c>
      <c r="O341" s="46">
        <v>44.004600000000003</v>
      </c>
      <c r="P341" s="46">
        <v>43.423999999999999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3.1999999999996476E-3</v>
      </c>
      <c r="AE341" s="46">
        <f t="shared" si="19"/>
        <v>-1.0300000000000864E-2</v>
      </c>
      <c r="AF341" s="46">
        <f t="shared" si="19"/>
        <v>1.9500000000000739E-2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30.8644</v>
      </c>
      <c r="G342" s="72">
        <v>43.273200000000003</v>
      </c>
      <c r="H342" s="72">
        <v>42.778500000000001</v>
      </c>
      <c r="I342" s="68"/>
      <c r="J342" s="68"/>
      <c r="K342" s="69"/>
      <c r="L342" s="29"/>
      <c r="M342" s="81"/>
      <c r="N342" s="72">
        <v>30.868300000000001</v>
      </c>
      <c r="O342" s="72">
        <v>43.267000000000003</v>
      </c>
      <c r="P342" s="72">
        <v>42.776000000000003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-3.9000000000015689E-3</v>
      </c>
      <c r="AE342" s="72">
        <f t="shared" si="19"/>
        <v>6.1999999999997613E-3</v>
      </c>
      <c r="AF342" s="72">
        <f t="shared" si="19"/>
        <v>2.4999999999977263E-3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38.920900000000003</v>
      </c>
      <c r="G343" s="45">
        <v>46.9435</v>
      </c>
      <c r="H343" s="45">
        <v>46.002800000000001</v>
      </c>
      <c r="I343" s="66"/>
      <c r="J343" s="66"/>
      <c r="K343" s="67"/>
      <c r="L343" s="29"/>
      <c r="M343" s="70"/>
      <c r="N343" s="45">
        <v>38.926099999999998</v>
      </c>
      <c r="O343" s="45">
        <v>46.957700000000003</v>
      </c>
      <c r="P343" s="45">
        <v>46.007300000000001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-5.1999999999949864E-3</v>
      </c>
      <c r="AE343" s="45">
        <f t="shared" si="19"/>
        <v>-1.4200000000002433E-2</v>
      </c>
      <c r="AF343" s="45">
        <f t="shared" si="19"/>
        <v>-4.5000000000001705E-3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35.981200000000001</v>
      </c>
      <c r="G344" s="46">
        <v>45.520600000000002</v>
      </c>
      <c r="H344" s="46">
        <v>44.781399999999998</v>
      </c>
      <c r="I344" s="66"/>
      <c r="J344" s="66"/>
      <c r="K344" s="67"/>
      <c r="L344" s="29"/>
      <c r="M344" s="70"/>
      <c r="N344" s="46">
        <v>35.9803</v>
      </c>
      <c r="O344" s="46">
        <v>45.528100000000002</v>
      </c>
      <c r="P344" s="46">
        <v>44.769100000000002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9.0000000000145519E-4</v>
      </c>
      <c r="AE344" s="46">
        <f t="shared" si="19"/>
        <v>-7.5000000000002842E-3</v>
      </c>
      <c r="AF344" s="46">
        <f t="shared" si="19"/>
        <v>1.2299999999996203E-2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33.375</v>
      </c>
      <c r="G345" s="46">
        <v>44.205100000000002</v>
      </c>
      <c r="H345" s="46">
        <v>43.7029</v>
      </c>
      <c r="I345" s="66"/>
      <c r="J345" s="66"/>
      <c r="K345" s="67"/>
      <c r="L345" s="29"/>
      <c r="M345" s="70"/>
      <c r="N345" s="46">
        <v>33.374200000000002</v>
      </c>
      <c r="O345" s="46">
        <v>44.218699999999998</v>
      </c>
      <c r="P345" s="46">
        <v>43.695799999999998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7.9999999999813554E-4</v>
      </c>
      <c r="AE345" s="46">
        <f t="shared" si="19"/>
        <v>-1.3599999999996726E-2</v>
      </c>
      <c r="AF345" s="46">
        <f t="shared" si="19"/>
        <v>7.1000000000012164E-3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31.0029</v>
      </c>
      <c r="G346" s="72">
        <v>43.430599999999998</v>
      </c>
      <c r="H346" s="72">
        <v>42.987400000000001</v>
      </c>
      <c r="I346" s="68"/>
      <c r="J346" s="68"/>
      <c r="K346" s="69"/>
      <c r="L346" s="29"/>
      <c r="M346" s="81"/>
      <c r="N346" s="46">
        <v>31.0032</v>
      </c>
      <c r="O346" s="72">
        <v>43.429699999999997</v>
      </c>
      <c r="P346" s="72">
        <v>42.988900000000001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-2.9999999999930083E-4</v>
      </c>
      <c r="AE346" s="46">
        <f t="shared" si="19"/>
        <v>9.0000000000145519E-4</v>
      </c>
      <c r="AF346" s="46">
        <f t="shared" si="19"/>
        <v>-1.5000000000000568E-3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39.023000000000003</v>
      </c>
      <c r="G347" s="45">
        <v>47.3979</v>
      </c>
      <c r="H347" s="45">
        <v>46.808100000000003</v>
      </c>
      <c r="I347" s="66"/>
      <c r="J347" s="66"/>
      <c r="K347" s="67"/>
      <c r="L347" s="29"/>
      <c r="M347" s="70"/>
      <c r="N347" s="45">
        <v>39.025399999999998</v>
      </c>
      <c r="O347" s="45">
        <v>47.399500000000003</v>
      </c>
      <c r="P347" s="45">
        <v>46.807499999999997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-2.3999999999944066E-3</v>
      </c>
      <c r="AE347" s="45">
        <f t="shared" si="19"/>
        <v>-1.6000000000033765E-3</v>
      </c>
      <c r="AF347" s="45">
        <f t="shared" si="19"/>
        <v>6.0000000000570708E-4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36.049599999999998</v>
      </c>
      <c r="G348" s="46">
        <v>45.823500000000003</v>
      </c>
      <c r="H348" s="46">
        <v>45.291200000000003</v>
      </c>
      <c r="I348" s="66"/>
      <c r="J348" s="66"/>
      <c r="K348" s="67"/>
      <c r="L348" s="29"/>
      <c r="M348" s="70"/>
      <c r="N348" s="46">
        <v>36.047400000000003</v>
      </c>
      <c r="O348" s="46">
        <v>45.823599999999999</v>
      </c>
      <c r="P348" s="46">
        <v>45.290700000000001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2.1999999999948727E-3</v>
      </c>
      <c r="AE348" s="46">
        <f t="shared" si="19"/>
        <v>-9.9999999996214228E-5</v>
      </c>
      <c r="AF348" s="46">
        <f t="shared" si="19"/>
        <v>5.0000000000238742E-4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33.4236</v>
      </c>
      <c r="G349" s="46">
        <v>44.389200000000002</v>
      </c>
      <c r="H349" s="46">
        <v>43.961799999999997</v>
      </c>
      <c r="I349" s="66"/>
      <c r="J349" s="66"/>
      <c r="K349" s="67"/>
      <c r="L349" s="29"/>
      <c r="M349" s="70"/>
      <c r="N349" s="46">
        <v>33.423099999999998</v>
      </c>
      <c r="O349" s="46">
        <v>44.390700000000002</v>
      </c>
      <c r="P349" s="46">
        <v>43.960500000000003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5.0000000000238742E-4</v>
      </c>
      <c r="AE349" s="46">
        <f t="shared" si="19"/>
        <v>-1.5000000000000568E-3</v>
      </c>
      <c r="AF349" s="46">
        <f t="shared" si="19"/>
        <v>1.2999999999934175E-3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31.049099999999999</v>
      </c>
      <c r="G350" s="72">
        <v>43.536799999999999</v>
      </c>
      <c r="H350" s="72">
        <v>43.153500000000001</v>
      </c>
      <c r="I350" s="68"/>
      <c r="J350" s="68"/>
      <c r="K350" s="69"/>
      <c r="L350" s="29"/>
      <c r="M350" s="81"/>
      <c r="N350" s="46">
        <v>31.051300000000001</v>
      </c>
      <c r="O350" s="72">
        <v>43.5413</v>
      </c>
      <c r="P350" s="72">
        <v>43.155000000000001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-2.2000000000019782E-3</v>
      </c>
      <c r="AE350" s="46">
        <f t="shared" si="19"/>
        <v>-4.5000000000001705E-3</v>
      </c>
      <c r="AF350" s="46">
        <f t="shared" si="19"/>
        <v>-1.5000000000000568E-3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39.033999999999999</v>
      </c>
      <c r="G351" s="45">
        <v>47.322899999999997</v>
      </c>
      <c r="H351" s="45">
        <v>46.804600000000001</v>
      </c>
      <c r="I351" s="66"/>
      <c r="J351" s="66"/>
      <c r="K351" s="67"/>
      <c r="L351" s="29"/>
      <c r="M351" s="70"/>
      <c r="N351" s="45">
        <v>39.034500000000001</v>
      </c>
      <c r="O351" s="45">
        <v>47.320599999999999</v>
      </c>
      <c r="P351" s="45">
        <v>46.803199999999997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-5.0000000000238742E-4</v>
      </c>
      <c r="AE351" s="45">
        <f t="shared" si="19"/>
        <v>2.2999999999981924E-3</v>
      </c>
      <c r="AF351" s="45">
        <f t="shared" si="19"/>
        <v>1.4000000000038426E-3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36.053800000000003</v>
      </c>
      <c r="G352" s="46">
        <v>45.742400000000004</v>
      </c>
      <c r="H352" s="46">
        <v>45.268300000000004</v>
      </c>
      <c r="I352" s="66"/>
      <c r="J352" s="66"/>
      <c r="K352" s="67"/>
      <c r="L352" s="29"/>
      <c r="M352" s="70"/>
      <c r="N352" s="46">
        <v>36.0501</v>
      </c>
      <c r="O352" s="46">
        <v>45.7425</v>
      </c>
      <c r="P352" s="46">
        <v>45.269399999999997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3.700000000002035E-3</v>
      </c>
      <c r="AE352" s="46">
        <f t="shared" si="19"/>
        <v>-9.9999999996214228E-5</v>
      </c>
      <c r="AF352" s="46">
        <f t="shared" si="19"/>
        <v>-1.0999999999938836E-3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33.435699999999997</v>
      </c>
      <c r="G353" s="46">
        <v>44.314500000000002</v>
      </c>
      <c r="H353" s="46">
        <v>43.9163</v>
      </c>
      <c r="I353" s="66"/>
      <c r="J353" s="66"/>
      <c r="K353" s="67"/>
      <c r="L353" s="29"/>
      <c r="M353" s="70"/>
      <c r="N353" s="46">
        <v>33.432000000000002</v>
      </c>
      <c r="O353" s="46">
        <v>44.313699999999997</v>
      </c>
      <c r="P353" s="46">
        <v>43.915399999999998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3.6999999999949296E-3</v>
      </c>
      <c r="AE353" s="46">
        <f t="shared" si="19"/>
        <v>8.0000000000524096E-4</v>
      </c>
      <c r="AF353" s="46">
        <f t="shared" si="19"/>
        <v>9.0000000000145519E-4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31.0627</v>
      </c>
      <c r="G354" s="72">
        <v>43.473199999999999</v>
      </c>
      <c r="H354" s="72">
        <v>43.082299999999996</v>
      </c>
      <c r="I354" s="68"/>
      <c r="J354" s="68"/>
      <c r="K354" s="69"/>
      <c r="L354" s="29"/>
      <c r="M354" s="81"/>
      <c r="N354" s="46">
        <v>31.063500000000001</v>
      </c>
      <c r="O354" s="72">
        <v>43.472099999999998</v>
      </c>
      <c r="P354" s="72">
        <v>43.081299999999999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-8.0000000000168825E-4</v>
      </c>
      <c r="AE354" s="46">
        <f t="shared" si="19"/>
        <v>1.1000000000009891E-3</v>
      </c>
      <c r="AF354" s="46">
        <f t="shared" si="19"/>
        <v>9.9999999999766942E-4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38.953600000000002</v>
      </c>
      <c r="G355" s="45">
        <v>46.343499999999999</v>
      </c>
      <c r="H355" s="45">
        <v>46.558599999999998</v>
      </c>
      <c r="I355" s="66"/>
      <c r="J355" s="66"/>
      <c r="K355" s="67"/>
      <c r="L355" s="29"/>
      <c r="M355" s="70"/>
      <c r="N355" s="45">
        <v>38.959000000000003</v>
      </c>
      <c r="O355" s="45">
        <v>46.316600000000001</v>
      </c>
      <c r="P355" s="45">
        <v>46.555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-5.4000000000016257E-3</v>
      </c>
      <c r="AE355" s="45">
        <f t="shared" si="19"/>
        <v>2.6899999999997704E-2</v>
      </c>
      <c r="AF355" s="45">
        <f t="shared" si="19"/>
        <v>3.5999999999987153E-3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36.031500000000001</v>
      </c>
      <c r="G356" s="46">
        <v>44.976100000000002</v>
      </c>
      <c r="H356" s="46">
        <v>45.058599999999998</v>
      </c>
      <c r="I356" s="66"/>
      <c r="J356" s="66"/>
      <c r="K356" s="67"/>
      <c r="L356" s="29"/>
      <c r="M356" s="70"/>
      <c r="N356" s="46">
        <v>36.025300000000001</v>
      </c>
      <c r="O356" s="46">
        <v>44.973100000000002</v>
      </c>
      <c r="P356" s="46">
        <v>45.048999999999999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6.1999999999997613E-3</v>
      </c>
      <c r="AE356" s="46">
        <f t="shared" si="19"/>
        <v>3.0000000000001137E-3</v>
      </c>
      <c r="AF356" s="46">
        <f t="shared" si="19"/>
        <v>9.5999999999989427E-3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33.433999999999997</v>
      </c>
      <c r="G357" s="46">
        <v>43.732300000000002</v>
      </c>
      <c r="H357" s="46">
        <v>43.584200000000003</v>
      </c>
      <c r="I357" s="66"/>
      <c r="J357" s="66"/>
      <c r="K357" s="67"/>
      <c r="L357" s="29"/>
      <c r="M357" s="70"/>
      <c r="N357" s="46">
        <v>33.43</v>
      </c>
      <c r="O357" s="46">
        <v>43.728400000000001</v>
      </c>
      <c r="P357" s="46">
        <v>43.5854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3.9999999999977831E-3</v>
      </c>
      <c r="AE357" s="46">
        <f t="shared" si="19"/>
        <v>3.9000000000015689E-3</v>
      </c>
      <c r="AF357" s="46">
        <f t="shared" si="19"/>
        <v>-1.1999999999972033E-3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31.048300000000001</v>
      </c>
      <c r="G358" s="72">
        <v>42.964799999999997</v>
      </c>
      <c r="H358" s="72">
        <v>42.696899999999999</v>
      </c>
      <c r="I358" s="68"/>
      <c r="J358" s="68"/>
      <c r="K358" s="69"/>
      <c r="L358" s="29"/>
      <c r="M358" s="81"/>
      <c r="N358" s="72">
        <v>31.0474</v>
      </c>
      <c r="O358" s="72">
        <v>42.9831</v>
      </c>
      <c r="P358" s="72">
        <v>42.675199999999997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9.0000000000145519E-4</v>
      </c>
      <c r="AE358" s="72">
        <f t="shared" si="19"/>
        <v>-1.8300000000003536E-2</v>
      </c>
      <c r="AF358" s="72">
        <f t="shared" si="19"/>
        <v>2.1700000000002717E-2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38.587200000000003</v>
      </c>
      <c r="G359" s="45">
        <v>45.948999999999998</v>
      </c>
      <c r="H359" s="45">
        <v>46.2498</v>
      </c>
      <c r="I359" s="66"/>
      <c r="J359" s="66"/>
      <c r="K359" s="67"/>
      <c r="L359" s="29"/>
      <c r="M359" s="70"/>
      <c r="N359" s="45">
        <v>38.591299999999997</v>
      </c>
      <c r="O359" s="45">
        <v>45.941499999999998</v>
      </c>
      <c r="P359" s="45">
        <v>46.244100000000003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-4.0999999999939973E-3</v>
      </c>
      <c r="AE359" s="45">
        <f t="shared" si="19"/>
        <v>7.5000000000002842E-3</v>
      </c>
      <c r="AF359" s="45">
        <f t="shared" si="19"/>
        <v>5.6999999999973738E-3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35.816899999999997</v>
      </c>
      <c r="G360" s="46">
        <v>44.644500000000001</v>
      </c>
      <c r="H360" s="46">
        <v>44.832900000000002</v>
      </c>
      <c r="I360" s="66"/>
      <c r="J360" s="66"/>
      <c r="K360" s="67"/>
      <c r="L360" s="29"/>
      <c r="M360" s="70"/>
      <c r="N360" s="46">
        <v>35.8108</v>
      </c>
      <c r="O360" s="46">
        <v>44.645099999999999</v>
      </c>
      <c r="P360" s="46">
        <v>44.811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6.0999999999964416E-3</v>
      </c>
      <c r="AE360" s="46">
        <f t="shared" si="19"/>
        <v>-5.9999999999860165E-4</v>
      </c>
      <c r="AF360" s="46">
        <f t="shared" si="19"/>
        <v>2.1900000000002251E-2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33.297400000000003</v>
      </c>
      <c r="G361" s="46">
        <v>43.514699999999998</v>
      </c>
      <c r="H361" s="46">
        <v>43.405299999999997</v>
      </c>
      <c r="I361" s="66"/>
      <c r="J361" s="66"/>
      <c r="K361" s="67"/>
      <c r="L361" s="29"/>
      <c r="M361" s="70"/>
      <c r="N361" s="46">
        <v>33.295000000000002</v>
      </c>
      <c r="O361" s="46">
        <v>43.5443</v>
      </c>
      <c r="P361" s="46">
        <v>43.414900000000003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2.400000000001512E-3</v>
      </c>
      <c r="AE361" s="46">
        <f t="shared" si="19"/>
        <v>-2.9600000000002069E-2</v>
      </c>
      <c r="AF361" s="46">
        <f t="shared" si="19"/>
        <v>-9.6000000000060481E-3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30.967400000000001</v>
      </c>
      <c r="G362" s="72">
        <v>42.786200000000001</v>
      </c>
      <c r="H362" s="72">
        <v>42.492699999999999</v>
      </c>
      <c r="I362" s="68"/>
      <c r="J362" s="68"/>
      <c r="K362" s="69"/>
      <c r="L362" s="29"/>
      <c r="M362" s="81"/>
      <c r="N362" s="72">
        <v>30.965900000000001</v>
      </c>
      <c r="O362" s="72">
        <v>42.824399999999997</v>
      </c>
      <c r="P362" s="72">
        <v>42.461500000000001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1.5000000000000568E-3</v>
      </c>
      <c r="AE362" s="72">
        <f t="shared" si="19"/>
        <v>-3.8199999999996237E-2</v>
      </c>
      <c r="AF362" s="72">
        <f t="shared" si="19"/>
        <v>3.119999999999834E-2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6812.0432000000001</v>
      </c>
      <c r="F363" s="70"/>
      <c r="G363" s="70"/>
      <c r="H363" s="70"/>
      <c r="I363" s="45">
        <v>63818.718000000001</v>
      </c>
      <c r="J363" s="45">
        <v>139.203</v>
      </c>
      <c r="K363" s="45">
        <v>826</v>
      </c>
      <c r="L363" s="29"/>
      <c r="M363" s="45">
        <v>6811.2608</v>
      </c>
      <c r="N363" s="70"/>
      <c r="O363" s="70"/>
      <c r="P363" s="70"/>
      <c r="Q363" s="45">
        <v>64309.875</v>
      </c>
      <c r="R363" s="45">
        <v>140.828</v>
      </c>
      <c r="S363" s="45">
        <v>808.89099999999996</v>
      </c>
      <c r="U363" s="8"/>
      <c r="V363" s="9"/>
      <c r="W363" s="10"/>
      <c r="X363" s="29"/>
      <c r="Y363" s="61">
        <f>GEOMEAN(Q363:Q366)/GEOMEAN(I363:I366)</f>
        <v>1.0069019109932387</v>
      </c>
      <c r="Z363" s="61">
        <f>GEOMEAN(R363:R366)/GEOMEAN(J363:J366)</f>
        <v>1.0083878174534373</v>
      </c>
      <c r="AA363" s="57">
        <f>GEOMEAN(S363:S366)/GEOMEAN(K363:K366)</f>
        <v>0.94807920443244376</v>
      </c>
      <c r="AC363" s="45">
        <f>E363 -M363</f>
        <v>0.78240000000005239</v>
      </c>
      <c r="AD363" s="70"/>
      <c r="AE363" s="70"/>
      <c r="AF363" s="70"/>
      <c r="AG363" s="45">
        <f t="shared" ref="AG363:AI366" si="21">I363 -Q363</f>
        <v>-491.15699999999924</v>
      </c>
      <c r="AH363" s="45">
        <f t="shared" si="21"/>
        <v>-1.625</v>
      </c>
      <c r="AI363" s="45">
        <f t="shared" si="21"/>
        <v>17.109000000000037</v>
      </c>
    </row>
    <row r="364" spans="1:35" ht="12">
      <c r="B364" s="36"/>
      <c r="C364" s="29"/>
      <c r="D364" s="32">
        <v>30</v>
      </c>
      <c r="E364" s="46">
        <v>2807.8128000000002</v>
      </c>
      <c r="F364" s="70"/>
      <c r="G364" s="70"/>
      <c r="H364" s="70"/>
      <c r="I364" s="46">
        <v>49778.078000000001</v>
      </c>
      <c r="J364" s="46">
        <v>133.64099999999999</v>
      </c>
      <c r="K364" s="46">
        <v>828.23400000000004</v>
      </c>
      <c r="L364" s="29"/>
      <c r="M364" s="46">
        <v>2807.7864</v>
      </c>
      <c r="N364" s="70"/>
      <c r="O364" s="70"/>
      <c r="P364" s="70"/>
      <c r="Q364" s="46">
        <v>49904.266000000003</v>
      </c>
      <c r="R364" s="46">
        <v>133.672</v>
      </c>
      <c r="S364" s="46">
        <v>814.92100000000005</v>
      </c>
      <c r="U364" s="41"/>
      <c r="V364" s="42"/>
      <c r="W364" s="43"/>
      <c r="X364" s="29"/>
      <c r="Y364" s="24"/>
      <c r="Z364" s="24"/>
      <c r="AA364" s="27"/>
      <c r="AC364" s="46">
        <f>E364 -M364</f>
        <v>2.6400000000194268E-2</v>
      </c>
      <c r="AD364" s="70"/>
      <c r="AE364" s="70"/>
      <c r="AF364" s="70"/>
      <c r="AG364" s="46">
        <f t="shared" si="21"/>
        <v>-126.18800000000192</v>
      </c>
      <c r="AH364" s="46">
        <f t="shared" si="21"/>
        <v>-3.1000000000005912E-2</v>
      </c>
      <c r="AI364" s="46">
        <f t="shared" si="21"/>
        <v>13.312999999999988</v>
      </c>
    </row>
    <row r="365" spans="1:35" ht="12">
      <c r="B365" s="36"/>
      <c r="C365" s="29"/>
      <c r="D365" s="32">
        <v>35</v>
      </c>
      <c r="E365" s="46">
        <v>1274.308</v>
      </c>
      <c r="F365" s="70"/>
      <c r="G365" s="70"/>
      <c r="H365" s="70"/>
      <c r="I365" s="46">
        <v>41647.608999999997</v>
      </c>
      <c r="J365" s="46">
        <v>128.96899999999999</v>
      </c>
      <c r="K365" s="46">
        <v>875.25</v>
      </c>
      <c r="L365" s="29"/>
      <c r="M365" s="46">
        <v>1273.4112</v>
      </c>
      <c r="N365" s="70"/>
      <c r="O365" s="70"/>
      <c r="P365" s="70"/>
      <c r="Q365" s="46">
        <v>41684.218999999997</v>
      </c>
      <c r="R365" s="46">
        <v>129.06200000000001</v>
      </c>
      <c r="S365" s="46">
        <v>829.18700000000001</v>
      </c>
      <c r="U365" s="17"/>
      <c r="V365" s="18"/>
      <c r="W365" s="19"/>
      <c r="X365" s="29"/>
      <c r="Y365" s="24"/>
      <c r="Z365" s="24"/>
      <c r="AA365" s="27"/>
      <c r="AC365" s="46">
        <f>E365 -M365</f>
        <v>0.89679999999998472</v>
      </c>
      <c r="AD365" s="70"/>
      <c r="AE365" s="70"/>
      <c r="AF365" s="70"/>
      <c r="AG365" s="46">
        <f t="shared" si="21"/>
        <v>-36.610000000000582</v>
      </c>
      <c r="AH365" s="46">
        <f t="shared" si="21"/>
        <v>-9.3000000000017735E-2</v>
      </c>
      <c r="AI365" s="46">
        <f t="shared" si="21"/>
        <v>46.062999999999988</v>
      </c>
    </row>
    <row r="366" spans="1:35" ht="12.75" thickBot="1">
      <c r="A366" s="54"/>
      <c r="B366" s="52"/>
      <c r="C366" s="53"/>
      <c r="D366" s="71">
        <v>40</v>
      </c>
      <c r="E366" s="72">
        <v>595.66399999999999</v>
      </c>
      <c r="F366" s="81"/>
      <c r="G366" s="81"/>
      <c r="H366" s="81"/>
      <c r="I366" s="72">
        <v>36171.936999999998</v>
      </c>
      <c r="J366" s="72">
        <v>126.047</v>
      </c>
      <c r="K366" s="72">
        <v>1009.5940000000001</v>
      </c>
      <c r="L366" s="29"/>
      <c r="M366" s="72">
        <v>594.91200000000003</v>
      </c>
      <c r="N366" s="81"/>
      <c r="O366" s="81"/>
      <c r="P366" s="81"/>
      <c r="Q366" s="72">
        <v>36771.360000000001</v>
      </c>
      <c r="R366" s="72">
        <v>128.703</v>
      </c>
      <c r="S366" s="72">
        <v>893.57799999999997</v>
      </c>
      <c r="U366" s="85"/>
      <c r="V366" s="86"/>
      <c r="W366" s="87"/>
      <c r="X366" s="29"/>
      <c r="Y366" s="49"/>
      <c r="Z366" s="49"/>
      <c r="AA366" s="54"/>
      <c r="AC366" s="72">
        <f>E366 -M366</f>
        <v>0.75199999999995271</v>
      </c>
      <c r="AD366" s="81"/>
      <c r="AE366" s="81"/>
      <c r="AF366" s="81"/>
      <c r="AG366" s="72">
        <f t="shared" si="21"/>
        <v>-599.4230000000025</v>
      </c>
      <c r="AH366" s="72">
        <f t="shared" si="21"/>
        <v>-2.6560000000000059</v>
      </c>
      <c r="AI366" s="72">
        <f t="shared" si="21"/>
        <v>116.01600000000008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522.20479999999998</v>
      </c>
      <c r="F371" s="45">
        <v>40.918300000000002</v>
      </c>
      <c r="G371" s="45">
        <v>46.505499999999998</v>
      </c>
      <c r="H371" s="45">
        <v>45.793199999999999</v>
      </c>
      <c r="I371" s="79"/>
      <c r="J371" s="79"/>
      <c r="K371" s="80"/>
      <c r="L371" s="29"/>
      <c r="M371" s="45">
        <v>522.28319999999997</v>
      </c>
      <c r="N371" s="45">
        <v>40.9178</v>
      </c>
      <c r="O371" s="45">
        <v>46.504100000000001</v>
      </c>
      <c r="P371" s="45">
        <v>45.7956</v>
      </c>
      <c r="Q371" s="79"/>
      <c r="R371" s="79"/>
      <c r="S371" s="80"/>
      <c r="U371" s="8">
        <f>bdrate($E371:$E374,F371:F374,$M371:$M374,N371:N374)</f>
        <v>-2.4160134448003578E-4</v>
      </c>
      <c r="V371" s="9">
        <f>bdrate($E371:$E374,G371:G374,$M371:$M374,O371:O374)</f>
        <v>-4.9020749347294945E-4</v>
      </c>
      <c r="W371" s="10">
        <f>bdrate($E371:$E374,H371:H374,$M371:$M374,P371:P374)</f>
        <v>-1.3846657603212575E-3</v>
      </c>
      <c r="X371" s="29"/>
      <c r="Y371" s="24"/>
      <c r="Z371" s="24"/>
      <c r="AA371" s="27"/>
      <c r="AC371" s="45">
        <f t="shared" si="25"/>
        <v>-7.8399999999987813E-2</v>
      </c>
      <c r="AD371" s="45">
        <f t="shared" si="22"/>
        <v>5.0000000000238742E-4</v>
      </c>
      <c r="AE371" s="45">
        <f t="shared" si="23"/>
        <v>1.3999999999967372E-3</v>
      </c>
      <c r="AF371" s="45">
        <f t="shared" si="24"/>
        <v>-2.400000000001512E-3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217.14959999999999</v>
      </c>
      <c r="F372" s="46">
        <v>38.076500000000003</v>
      </c>
      <c r="G372" s="46">
        <v>44.846200000000003</v>
      </c>
      <c r="H372" s="46">
        <v>43.936599999999999</v>
      </c>
      <c r="I372" s="66"/>
      <c r="J372" s="66"/>
      <c r="K372" s="67"/>
      <c r="L372" s="29"/>
      <c r="M372" s="46">
        <v>216.87119999999999</v>
      </c>
      <c r="N372" s="46">
        <v>38.075499999999998</v>
      </c>
      <c r="O372" s="46">
        <v>44.845599999999997</v>
      </c>
      <c r="P372" s="46">
        <v>43.940800000000003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0.27840000000000487</v>
      </c>
      <c r="AD372" s="46">
        <f t="shared" si="22"/>
        <v>1.0000000000047748E-3</v>
      </c>
      <c r="AE372" s="46">
        <f t="shared" si="23"/>
        <v>6.0000000000570708E-4</v>
      </c>
      <c r="AF372" s="46">
        <f t="shared" si="24"/>
        <v>-4.2000000000044224E-3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101.9736</v>
      </c>
      <c r="F373" s="46">
        <v>35.386400000000002</v>
      </c>
      <c r="G373" s="46">
        <v>43.256100000000004</v>
      </c>
      <c r="H373" s="46">
        <v>42.163600000000002</v>
      </c>
      <c r="I373" s="66"/>
      <c r="J373" s="66"/>
      <c r="K373" s="67"/>
      <c r="L373" s="29"/>
      <c r="M373" s="46">
        <v>101.91200000000001</v>
      </c>
      <c r="N373" s="46">
        <v>35.386000000000003</v>
      </c>
      <c r="O373" s="46">
        <v>43.255800000000001</v>
      </c>
      <c r="P373" s="46">
        <v>42.160899999999998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6.1599999999998545E-2</v>
      </c>
      <c r="AD373" s="46">
        <f t="shared" si="22"/>
        <v>3.9999999999906777E-4</v>
      </c>
      <c r="AE373" s="46">
        <f t="shared" si="23"/>
        <v>3.0000000000285354E-4</v>
      </c>
      <c r="AF373" s="46">
        <f t="shared" si="24"/>
        <v>2.7000000000043656E-3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49.354399999999998</v>
      </c>
      <c r="F374" s="46">
        <v>32.981200000000001</v>
      </c>
      <c r="G374" s="46">
        <v>42.264400000000002</v>
      </c>
      <c r="H374" s="46">
        <v>40.865499999999997</v>
      </c>
      <c r="I374" s="66"/>
      <c r="J374" s="66"/>
      <c r="K374" s="67"/>
      <c r="L374" s="29"/>
      <c r="M374" s="46">
        <v>49.509599999999999</v>
      </c>
      <c r="N374" s="46">
        <v>32.982999999999997</v>
      </c>
      <c r="O374" s="46">
        <v>42.268599999999999</v>
      </c>
      <c r="P374" s="46">
        <v>40.872399999999999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-0.15520000000000067</v>
      </c>
      <c r="AD374" s="46">
        <f t="shared" si="22"/>
        <v>-1.799999999995805E-3</v>
      </c>
      <c r="AE374" s="46">
        <f t="shared" si="23"/>
        <v>-4.199999999997317E-3</v>
      </c>
      <c r="AF374" s="46">
        <f t="shared" si="24"/>
        <v>-6.9000000000016826E-3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526.65920000000006</v>
      </c>
      <c r="F375" s="45">
        <v>40.927399999999999</v>
      </c>
      <c r="G375" s="45">
        <v>46.493699999999997</v>
      </c>
      <c r="H375" s="45">
        <v>45.798999999999999</v>
      </c>
      <c r="I375" s="79"/>
      <c r="J375" s="79"/>
      <c r="K375" s="80"/>
      <c r="L375" s="29"/>
      <c r="M375" s="45">
        <v>526.39200000000005</v>
      </c>
      <c r="N375" s="45">
        <v>40.926600000000001</v>
      </c>
      <c r="O375" s="45">
        <v>46.496400000000001</v>
      </c>
      <c r="P375" s="45">
        <v>45.802</v>
      </c>
      <c r="Q375" s="79"/>
      <c r="R375" s="79"/>
      <c r="S375" s="80"/>
      <c r="U375" s="8">
        <f>bdrate($E375:$E378,F375:F378,$M375:$M378,N375:N378)</f>
        <v>8.658551496552036E-4</v>
      </c>
      <c r="V375" s="9">
        <f>bdrate($E375:$E378,G375:G378,$M375:$M378,O375:O378)</f>
        <v>-8.537500026828404E-6</v>
      </c>
      <c r="W375" s="10">
        <f>bdrate($E375:$E378,H375:H378,$M375:$M378,P375:P378)</f>
        <v>5.2224884526430593E-4</v>
      </c>
      <c r="X375" s="29"/>
      <c r="Y375" s="24"/>
      <c r="Z375" s="24"/>
      <c r="AA375" s="27"/>
      <c r="AB375" s="24"/>
      <c r="AC375" s="45">
        <f t="shared" si="25"/>
        <v>0.26720000000000255</v>
      </c>
      <c r="AD375" s="45">
        <f t="shared" si="22"/>
        <v>7.9999999999813554E-4</v>
      </c>
      <c r="AE375" s="45">
        <f t="shared" si="23"/>
        <v>-2.7000000000043656E-3</v>
      </c>
      <c r="AF375" s="45">
        <f t="shared" si="24"/>
        <v>-3.0000000000001137E-3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218.26400000000001</v>
      </c>
      <c r="F376" s="46">
        <v>38.085700000000003</v>
      </c>
      <c r="G376" s="46">
        <v>44.825499999999998</v>
      </c>
      <c r="H376" s="46">
        <v>43.947400000000002</v>
      </c>
      <c r="I376" s="66"/>
      <c r="J376" s="66"/>
      <c r="K376" s="67"/>
      <c r="L376" s="29"/>
      <c r="M376" s="46">
        <v>218.5848</v>
      </c>
      <c r="N376" s="46">
        <v>38.0869</v>
      </c>
      <c r="O376" s="46">
        <v>44.827399999999997</v>
      </c>
      <c r="P376" s="46">
        <v>43.948500000000003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-0.32079999999999131</v>
      </c>
      <c r="AD376" s="46">
        <f t="shared" si="22"/>
        <v>-1.1999999999972033E-3</v>
      </c>
      <c r="AE376" s="46">
        <f t="shared" si="23"/>
        <v>-1.8999999999991246E-3</v>
      </c>
      <c r="AF376" s="46">
        <f t="shared" si="24"/>
        <v>-1.1000000000009891E-3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103.8728</v>
      </c>
      <c r="F377" s="46">
        <v>35.400799999999997</v>
      </c>
      <c r="G377" s="46">
        <v>43.241599999999998</v>
      </c>
      <c r="H377" s="46">
        <v>42.166600000000003</v>
      </c>
      <c r="I377" s="66"/>
      <c r="J377" s="66"/>
      <c r="K377" s="67"/>
      <c r="L377" s="29"/>
      <c r="M377" s="46">
        <v>103.9872</v>
      </c>
      <c r="N377" s="46">
        <v>35.399700000000003</v>
      </c>
      <c r="O377" s="46">
        <v>43.242400000000004</v>
      </c>
      <c r="P377" s="46">
        <v>42.167099999999998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-0.11440000000000339</v>
      </c>
      <c r="AD377" s="46">
        <f t="shared" si="22"/>
        <v>1.0999999999938836E-3</v>
      </c>
      <c r="AE377" s="46">
        <f t="shared" si="23"/>
        <v>-8.0000000000524096E-4</v>
      </c>
      <c r="AF377" s="46">
        <f t="shared" si="24"/>
        <v>-4.99999999995282E-4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51.0944</v>
      </c>
      <c r="F378" s="72">
        <v>32.986800000000002</v>
      </c>
      <c r="G378" s="72">
        <v>42.235300000000002</v>
      </c>
      <c r="H378" s="72">
        <v>40.8718</v>
      </c>
      <c r="I378" s="68"/>
      <c r="J378" s="68"/>
      <c r="K378" s="69"/>
      <c r="L378" s="29"/>
      <c r="M378" s="72">
        <v>51.088000000000001</v>
      </c>
      <c r="N378" s="72">
        <v>32.9878</v>
      </c>
      <c r="O378" s="72">
        <v>42.237699999999997</v>
      </c>
      <c r="P378" s="72">
        <v>40.869999999999997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6.3999999999992951E-3</v>
      </c>
      <c r="AD378" s="72">
        <f t="shared" si="22"/>
        <v>-9.9999999999766942E-4</v>
      </c>
      <c r="AE378" s="72">
        <f t="shared" si="23"/>
        <v>-2.3999999999944066E-3</v>
      </c>
      <c r="AF378" s="72">
        <f t="shared" si="24"/>
        <v>1.8000000000029104E-3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451.916</v>
      </c>
      <c r="F379" s="45">
        <v>38.764600000000002</v>
      </c>
      <c r="G379" s="78"/>
      <c r="H379" s="78"/>
      <c r="I379" s="79"/>
      <c r="J379" s="79"/>
      <c r="K379" s="80"/>
      <c r="L379" s="29"/>
      <c r="M379" s="45">
        <v>451.31360000000001</v>
      </c>
      <c r="N379" s="45">
        <v>38.746899999999997</v>
      </c>
      <c r="O379" s="78"/>
      <c r="P379" s="78"/>
      <c r="Q379" s="79"/>
      <c r="R379" s="79"/>
      <c r="S379" s="80"/>
      <c r="U379" s="8">
        <f>bdrate($E379:$E382,F379:F382,$M379:$M382,N379:N382)</f>
        <v>-5.159054773905547E-4</v>
      </c>
      <c r="V379" s="9"/>
      <c r="W379" s="10"/>
      <c r="X379" s="29"/>
      <c r="Y379" s="24"/>
      <c r="Z379" s="24"/>
      <c r="AA379" s="27"/>
      <c r="AB379" s="24"/>
      <c r="AC379" s="45">
        <f t="shared" si="25"/>
        <v>0.60239999999998872</v>
      </c>
      <c r="AD379" s="45">
        <f t="shared" si="22"/>
        <v>1.7700000000004934E-2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147.99119999999999</v>
      </c>
      <c r="F380" s="46">
        <v>35.658700000000003</v>
      </c>
      <c r="G380" s="70"/>
      <c r="H380" s="70"/>
      <c r="I380" s="66"/>
      <c r="J380" s="66"/>
      <c r="K380" s="67"/>
      <c r="L380" s="29"/>
      <c r="M380" s="46">
        <v>147.77680000000001</v>
      </c>
      <c r="N380" s="46">
        <v>35.661900000000003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0.21439999999998349</v>
      </c>
      <c r="AD380" s="46">
        <f t="shared" si="22"/>
        <v>-3.1999999999996476E-3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54.517600000000002</v>
      </c>
      <c r="F381" s="46">
        <v>33.124600000000001</v>
      </c>
      <c r="G381" s="70"/>
      <c r="H381" s="70"/>
      <c r="I381" s="66"/>
      <c r="J381" s="66"/>
      <c r="K381" s="67"/>
      <c r="L381" s="29"/>
      <c r="M381" s="46">
        <v>54.623199999999997</v>
      </c>
      <c r="N381" s="46">
        <v>33.1342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-0.10559999999999548</v>
      </c>
      <c r="AD381" s="46">
        <f t="shared" si="22"/>
        <v>-9.5999999999989427E-3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22.072800000000001</v>
      </c>
      <c r="F382" s="46">
        <v>30.753799999999998</v>
      </c>
      <c r="G382" s="70"/>
      <c r="H382" s="70"/>
      <c r="I382" s="66"/>
      <c r="J382" s="66"/>
      <c r="K382" s="67"/>
      <c r="L382" s="29"/>
      <c r="M382" s="46">
        <v>21.9176</v>
      </c>
      <c r="N382" s="46">
        <v>30.723199999999999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0.15520000000000067</v>
      </c>
      <c r="AD382" s="46">
        <f t="shared" si="22"/>
        <v>3.0599999999999739E-2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191.73759999999999</v>
      </c>
      <c r="F383" s="45">
        <v>37.777299999999997</v>
      </c>
      <c r="G383" s="78"/>
      <c r="H383" s="78"/>
      <c r="I383" s="79"/>
      <c r="J383" s="79"/>
      <c r="K383" s="80"/>
      <c r="L383" s="29"/>
      <c r="M383" s="45">
        <v>192.09119999999999</v>
      </c>
      <c r="N383" s="45">
        <v>37.767600000000002</v>
      </c>
      <c r="O383" s="78"/>
      <c r="P383" s="78"/>
      <c r="Q383" s="79"/>
      <c r="R383" s="79"/>
      <c r="S383" s="80"/>
      <c r="U383" s="8">
        <f>bdrate($E383:$E386,F383:F386,$M383:$M386,N383:N386)</f>
        <v>5.8840032504423601E-3</v>
      </c>
      <c r="V383" s="9"/>
      <c r="W383" s="10"/>
      <c r="X383" s="29"/>
      <c r="Y383" s="24"/>
      <c r="Z383" s="24"/>
      <c r="AA383" s="27"/>
      <c r="AB383" s="24"/>
      <c r="AC383" s="45">
        <f t="shared" si="25"/>
        <v>-0.35360000000000014</v>
      </c>
      <c r="AD383" s="45">
        <f t="shared" si="22"/>
        <v>9.6999999999951569E-3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54.6496</v>
      </c>
      <c r="F384" s="46">
        <v>34.947600000000001</v>
      </c>
      <c r="G384" s="70"/>
      <c r="H384" s="70"/>
      <c r="I384" s="66"/>
      <c r="J384" s="66"/>
      <c r="K384" s="67"/>
      <c r="L384" s="29"/>
      <c r="M384" s="46">
        <v>54.944000000000003</v>
      </c>
      <c r="N384" s="46">
        <v>34.972099999999998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-0.2944000000000031</v>
      </c>
      <c r="AD384" s="46">
        <f t="shared" si="22"/>
        <v>-2.4499999999996191E-2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21.441600000000001</v>
      </c>
      <c r="F385" s="46">
        <v>32.592700000000001</v>
      </c>
      <c r="G385" s="70"/>
      <c r="H385" s="70"/>
      <c r="I385" s="66"/>
      <c r="J385" s="66"/>
      <c r="K385" s="67"/>
      <c r="L385" s="29"/>
      <c r="M385" s="46">
        <v>21.4528</v>
      </c>
      <c r="N385" s="46">
        <v>32.554400000000001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-1.1199999999998766E-2</v>
      </c>
      <c r="AD385" s="46">
        <f t="shared" si="22"/>
        <v>3.8299999999999557E-2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10.056800000000001</v>
      </c>
      <c r="F386" s="46">
        <v>30.307400000000001</v>
      </c>
      <c r="G386" s="70"/>
      <c r="H386" s="70"/>
      <c r="I386" s="66"/>
      <c r="J386" s="66"/>
      <c r="K386" s="67"/>
      <c r="L386" s="29"/>
      <c r="M386" s="46">
        <v>10.0936</v>
      </c>
      <c r="N386" s="46">
        <v>30.256499999999999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-3.67999999999995E-2</v>
      </c>
      <c r="AD386" s="46">
        <f t="shared" si="22"/>
        <v>5.0900000000002166E-2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190.7176</v>
      </c>
      <c r="F387" s="45">
        <v>37.570099999999996</v>
      </c>
      <c r="G387" s="78"/>
      <c r="H387" s="78"/>
      <c r="I387" s="79"/>
      <c r="J387" s="79"/>
      <c r="K387" s="80"/>
      <c r="L387" s="29"/>
      <c r="M387" s="45">
        <v>191.37360000000001</v>
      </c>
      <c r="N387" s="45">
        <v>37.5518</v>
      </c>
      <c r="O387" s="78"/>
      <c r="P387" s="78"/>
      <c r="Q387" s="79"/>
      <c r="R387" s="79"/>
      <c r="S387" s="80"/>
      <c r="U387" s="8">
        <f>bdrate($E387:$E390,F387:F390,$M387:$M390,N387:N390)</f>
        <v>6.041762993198585E-3</v>
      </c>
      <c r="V387" s="9"/>
      <c r="W387" s="10"/>
      <c r="X387" s="29"/>
      <c r="Y387" s="24"/>
      <c r="Z387" s="24"/>
      <c r="AA387" s="27"/>
      <c r="AB387" s="24"/>
      <c r="AC387" s="45">
        <f t="shared" si="25"/>
        <v>-0.65600000000000591</v>
      </c>
      <c r="AD387" s="45">
        <f t="shared" si="22"/>
        <v>1.829999999999643E-2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54.776000000000003</v>
      </c>
      <c r="F388" s="46">
        <v>34.704700000000003</v>
      </c>
      <c r="G388" s="70"/>
      <c r="H388" s="70"/>
      <c r="I388" s="66"/>
      <c r="J388" s="66"/>
      <c r="K388" s="67"/>
      <c r="L388" s="29"/>
      <c r="M388" s="46">
        <v>54.537599999999998</v>
      </c>
      <c r="N388" s="46">
        <v>34.694400000000002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0.23840000000000572</v>
      </c>
      <c r="AD388" s="46">
        <f t="shared" si="22"/>
        <v>1.0300000000000864E-2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21.665600000000001</v>
      </c>
      <c r="F389" s="46">
        <v>32.408299999999997</v>
      </c>
      <c r="G389" s="70"/>
      <c r="H389" s="70"/>
      <c r="I389" s="66"/>
      <c r="J389" s="66"/>
      <c r="K389" s="67"/>
      <c r="L389" s="29"/>
      <c r="M389" s="46">
        <v>21.753599999999999</v>
      </c>
      <c r="N389" s="46">
        <v>32.402099999999997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-8.7999999999997414E-2</v>
      </c>
      <c r="AD389" s="46">
        <f t="shared" si="22"/>
        <v>6.1999999999997613E-3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9.9703999999999997</v>
      </c>
      <c r="F390" s="46">
        <v>30.0885</v>
      </c>
      <c r="G390" s="70"/>
      <c r="H390" s="70"/>
      <c r="I390" s="66"/>
      <c r="J390" s="66"/>
      <c r="K390" s="67"/>
      <c r="L390" s="29"/>
      <c r="M390" s="46">
        <v>10.037599999999999</v>
      </c>
      <c r="N390" s="46">
        <v>30.046500000000002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-6.7199999999999704E-2</v>
      </c>
      <c r="AD390" s="46">
        <f t="shared" si="22"/>
        <v>4.1999999999998039E-2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40.671799999999998</v>
      </c>
      <c r="G391" s="45">
        <v>46.639600000000002</v>
      </c>
      <c r="H391" s="45">
        <v>46.347000000000001</v>
      </c>
      <c r="I391" s="79"/>
      <c r="J391" s="79"/>
      <c r="K391" s="80"/>
      <c r="L391" s="29"/>
      <c r="M391" s="78"/>
      <c r="N391" s="45">
        <v>40.670400000000001</v>
      </c>
      <c r="O391" s="45">
        <v>46.631399999999999</v>
      </c>
      <c r="P391" s="45">
        <v>46.348300000000002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1.3999999999967372E-3</v>
      </c>
      <c r="AE391" s="45">
        <f t="shared" ref="AE391:AE414" si="26">G391 -O391</f>
        <v>8.2000000000022055E-3</v>
      </c>
      <c r="AF391" s="45">
        <f t="shared" ref="AF391:AF414" si="27">H391 -P391</f>
        <v>-1.300000000000523E-3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37.909799999999997</v>
      </c>
      <c r="G392" s="46">
        <v>45.056800000000003</v>
      </c>
      <c r="H392" s="46">
        <v>44.501199999999997</v>
      </c>
      <c r="I392" s="66"/>
      <c r="J392" s="66"/>
      <c r="K392" s="67"/>
      <c r="L392" s="29"/>
      <c r="M392" s="70"/>
      <c r="N392" s="46">
        <v>37.910600000000002</v>
      </c>
      <c r="O392" s="46">
        <v>45.069499999999998</v>
      </c>
      <c r="P392" s="46">
        <v>44.509500000000003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-8.0000000000524096E-4</v>
      </c>
      <c r="AE392" s="46">
        <f t="shared" si="26"/>
        <v>-1.2699999999995271E-2</v>
      </c>
      <c r="AF392" s="46">
        <f t="shared" si="27"/>
        <v>-8.3000000000055252E-3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35.261099999999999</v>
      </c>
      <c r="G393" s="46">
        <v>43.446800000000003</v>
      </c>
      <c r="H393" s="46">
        <v>42.588900000000002</v>
      </c>
      <c r="I393" s="66"/>
      <c r="J393" s="66"/>
      <c r="K393" s="67"/>
      <c r="L393" s="29"/>
      <c r="M393" s="70"/>
      <c r="N393" s="46">
        <v>35.260300000000001</v>
      </c>
      <c r="O393" s="46">
        <v>43.448099999999997</v>
      </c>
      <c r="P393" s="46">
        <v>42.576599999999999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7.9999999999813554E-4</v>
      </c>
      <c r="AE393" s="46">
        <f t="shared" si="26"/>
        <v>-1.2999999999934175E-3</v>
      </c>
      <c r="AF393" s="46">
        <f t="shared" si="27"/>
        <v>1.2300000000003308E-2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32.876800000000003</v>
      </c>
      <c r="G394" s="72">
        <v>42.4056</v>
      </c>
      <c r="H394" s="72">
        <v>41.204999999999998</v>
      </c>
      <c r="I394" s="68"/>
      <c r="J394" s="68"/>
      <c r="K394" s="69"/>
      <c r="L394" s="29"/>
      <c r="M394" s="81"/>
      <c r="N394" s="72">
        <v>32.877800000000001</v>
      </c>
      <c r="O394" s="72">
        <v>42.409799999999997</v>
      </c>
      <c r="P394" s="72">
        <v>41.2044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-9.9999999999766942E-4</v>
      </c>
      <c r="AE394" s="72">
        <f t="shared" si="26"/>
        <v>-4.199999999997317E-3</v>
      </c>
      <c r="AF394" s="72">
        <f t="shared" si="27"/>
        <v>5.9999999999860165E-4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40.8611</v>
      </c>
      <c r="G395" s="45">
        <v>47.138399999999997</v>
      </c>
      <c r="H395" s="45">
        <v>46.460099999999997</v>
      </c>
      <c r="I395" s="66"/>
      <c r="J395" s="66"/>
      <c r="K395" s="67"/>
      <c r="L395" s="29"/>
      <c r="M395" s="70"/>
      <c r="N395" s="45">
        <v>40.859499999999997</v>
      </c>
      <c r="O395" s="45">
        <v>47.151000000000003</v>
      </c>
      <c r="P395" s="45">
        <v>46.456699999999998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1.6000000000033765E-3</v>
      </c>
      <c r="AE395" s="45">
        <f t="shared" si="26"/>
        <v>-1.2600000000006162E-2</v>
      </c>
      <c r="AF395" s="45">
        <f t="shared" si="27"/>
        <v>3.3999999999991815E-3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38.049599999999998</v>
      </c>
      <c r="G396" s="46">
        <v>45.467399999999998</v>
      </c>
      <c r="H396" s="46">
        <v>44.565100000000001</v>
      </c>
      <c r="I396" s="66"/>
      <c r="J396" s="66"/>
      <c r="K396" s="67"/>
      <c r="L396" s="29"/>
      <c r="M396" s="70"/>
      <c r="N396" s="46">
        <v>38.051000000000002</v>
      </c>
      <c r="O396" s="46">
        <v>45.468200000000003</v>
      </c>
      <c r="P396" s="46">
        <v>44.569699999999997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-1.4000000000038426E-3</v>
      </c>
      <c r="AE396" s="46">
        <f t="shared" si="26"/>
        <v>-8.0000000000524096E-4</v>
      </c>
      <c r="AF396" s="46">
        <f t="shared" si="27"/>
        <v>-4.5999999999963848E-3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35.345999999999997</v>
      </c>
      <c r="G397" s="46">
        <v>43.709200000000003</v>
      </c>
      <c r="H397" s="46">
        <v>42.656399999999998</v>
      </c>
      <c r="I397" s="66"/>
      <c r="J397" s="66"/>
      <c r="K397" s="67"/>
      <c r="L397" s="29"/>
      <c r="M397" s="70"/>
      <c r="N397" s="46">
        <v>35.345999999999997</v>
      </c>
      <c r="O397" s="46">
        <v>43.695900000000002</v>
      </c>
      <c r="P397" s="46">
        <v>42.651000000000003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</v>
      </c>
      <c r="AE397" s="46">
        <f t="shared" si="26"/>
        <v>1.3300000000000978E-2</v>
      </c>
      <c r="AF397" s="46">
        <f t="shared" si="27"/>
        <v>5.3999999999945203E-3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32.923699999999997</v>
      </c>
      <c r="G398" s="72">
        <v>42.532299999999999</v>
      </c>
      <c r="H398" s="72">
        <v>41.287599999999998</v>
      </c>
      <c r="I398" s="68"/>
      <c r="J398" s="68"/>
      <c r="K398" s="69"/>
      <c r="L398" s="29"/>
      <c r="M398" s="81"/>
      <c r="N398" s="46">
        <v>32.923900000000003</v>
      </c>
      <c r="O398" s="72">
        <v>42.5289</v>
      </c>
      <c r="P398" s="72">
        <v>41.284500000000001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-2.0000000000663931E-4</v>
      </c>
      <c r="AE398" s="46">
        <f t="shared" si="26"/>
        <v>3.3999999999991815E-3</v>
      </c>
      <c r="AF398" s="46">
        <f t="shared" si="27"/>
        <v>3.0999999999963279E-3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41.078699999999998</v>
      </c>
      <c r="G399" s="45">
        <v>47.6297</v>
      </c>
      <c r="H399" s="45">
        <v>47.212200000000003</v>
      </c>
      <c r="I399" s="66"/>
      <c r="J399" s="66"/>
      <c r="K399" s="67"/>
      <c r="L399" s="29"/>
      <c r="M399" s="70"/>
      <c r="N399" s="45">
        <v>41.0794</v>
      </c>
      <c r="O399" s="45">
        <v>47.629399999999997</v>
      </c>
      <c r="P399" s="45">
        <v>47.214700000000001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-7.0000000000192131E-4</v>
      </c>
      <c r="AE399" s="45">
        <f t="shared" si="26"/>
        <v>3.0000000000285354E-4</v>
      </c>
      <c r="AF399" s="45">
        <f t="shared" si="27"/>
        <v>-2.4999999999977263E-3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38.182299999999998</v>
      </c>
      <c r="G400" s="46">
        <v>45.808199999999999</v>
      </c>
      <c r="H400" s="46">
        <v>45.129800000000003</v>
      </c>
      <c r="I400" s="66"/>
      <c r="J400" s="66"/>
      <c r="K400" s="67"/>
      <c r="L400" s="29"/>
      <c r="M400" s="70"/>
      <c r="N400" s="46">
        <v>38.183399999999999</v>
      </c>
      <c r="O400" s="46">
        <v>45.807600000000001</v>
      </c>
      <c r="P400" s="46">
        <v>45.1282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-1.1000000000009891E-3</v>
      </c>
      <c r="AE400" s="46">
        <f t="shared" si="26"/>
        <v>5.9999999999860165E-4</v>
      </c>
      <c r="AF400" s="46">
        <f t="shared" si="27"/>
        <v>1.6000000000033765E-3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35.433999999999997</v>
      </c>
      <c r="G401" s="46">
        <v>43.978499999999997</v>
      </c>
      <c r="H401" s="46">
        <v>43.0505</v>
      </c>
      <c r="I401" s="66"/>
      <c r="J401" s="66"/>
      <c r="K401" s="67"/>
      <c r="L401" s="29"/>
      <c r="M401" s="70"/>
      <c r="N401" s="46">
        <v>35.432600000000001</v>
      </c>
      <c r="O401" s="46">
        <v>43.981299999999997</v>
      </c>
      <c r="P401" s="46">
        <v>43.049799999999998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1.3999999999967372E-3</v>
      </c>
      <c r="AE401" s="46">
        <f t="shared" si="26"/>
        <v>-2.8000000000005798E-3</v>
      </c>
      <c r="AF401" s="46">
        <f t="shared" si="27"/>
        <v>7.0000000000192131E-4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32.994100000000003</v>
      </c>
      <c r="G402" s="72">
        <v>42.771500000000003</v>
      </c>
      <c r="H402" s="72">
        <v>41.609699999999997</v>
      </c>
      <c r="I402" s="68"/>
      <c r="J402" s="68"/>
      <c r="K402" s="69"/>
      <c r="L402" s="29"/>
      <c r="M402" s="81"/>
      <c r="N402" s="46">
        <v>32.995199999999997</v>
      </c>
      <c r="O402" s="72">
        <v>42.777000000000001</v>
      </c>
      <c r="P402" s="72">
        <v>41.607599999999998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-1.0999999999938836E-3</v>
      </c>
      <c r="AE402" s="46">
        <f t="shared" si="26"/>
        <v>-5.49999999999784E-3</v>
      </c>
      <c r="AF402" s="46">
        <f t="shared" si="27"/>
        <v>2.0999999999986585E-3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41.070599999999999</v>
      </c>
      <c r="G403" s="45">
        <v>47.684800000000003</v>
      </c>
      <c r="H403" s="45">
        <v>47.2333</v>
      </c>
      <c r="I403" s="66"/>
      <c r="J403" s="66"/>
      <c r="K403" s="67"/>
      <c r="L403" s="29"/>
      <c r="M403" s="70"/>
      <c r="N403" s="45">
        <v>41.069299999999998</v>
      </c>
      <c r="O403" s="45">
        <v>47.684899999999999</v>
      </c>
      <c r="P403" s="45">
        <v>47.2363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1.300000000000523E-3</v>
      </c>
      <c r="AE403" s="45">
        <f t="shared" si="26"/>
        <v>-9.9999999996214228E-5</v>
      </c>
      <c r="AF403" s="45">
        <f t="shared" si="27"/>
        <v>-3.0000000000001137E-3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38.177799999999998</v>
      </c>
      <c r="G404" s="46">
        <v>45.875300000000003</v>
      </c>
      <c r="H404" s="46">
        <v>45.157899999999998</v>
      </c>
      <c r="I404" s="66"/>
      <c r="J404" s="66"/>
      <c r="K404" s="67"/>
      <c r="L404" s="29"/>
      <c r="M404" s="70"/>
      <c r="N404" s="46">
        <v>38.178800000000003</v>
      </c>
      <c r="O404" s="46">
        <v>45.873100000000001</v>
      </c>
      <c r="P404" s="46">
        <v>45.1601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-1.0000000000047748E-3</v>
      </c>
      <c r="AE404" s="46">
        <f t="shared" si="26"/>
        <v>2.2000000000019782E-3</v>
      </c>
      <c r="AF404" s="46">
        <f t="shared" si="27"/>
        <v>-2.2000000000019782E-3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35.432200000000002</v>
      </c>
      <c r="G405" s="46">
        <v>44.052399999999999</v>
      </c>
      <c r="H405" s="46">
        <v>43.082900000000002</v>
      </c>
      <c r="I405" s="66"/>
      <c r="J405" s="66"/>
      <c r="K405" s="67"/>
      <c r="L405" s="29"/>
      <c r="M405" s="70"/>
      <c r="N405" s="46">
        <v>35.433900000000001</v>
      </c>
      <c r="O405" s="46">
        <v>44.052999999999997</v>
      </c>
      <c r="P405" s="46">
        <v>43.083300000000001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-1.6999999999995907E-3</v>
      </c>
      <c r="AE405" s="46">
        <f t="shared" si="26"/>
        <v>-5.9999999999860165E-4</v>
      </c>
      <c r="AF405" s="46">
        <f t="shared" si="27"/>
        <v>-3.9999999999906777E-4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32.990600000000001</v>
      </c>
      <c r="G406" s="72">
        <v>42.860399999999998</v>
      </c>
      <c r="H406" s="72">
        <v>41.6327</v>
      </c>
      <c r="I406" s="68"/>
      <c r="J406" s="68"/>
      <c r="K406" s="69"/>
      <c r="L406" s="29"/>
      <c r="M406" s="81"/>
      <c r="N406" s="46">
        <v>32.9893</v>
      </c>
      <c r="O406" s="72">
        <v>42.866999999999997</v>
      </c>
      <c r="P406" s="72">
        <v>41.630299999999998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1.300000000000523E-3</v>
      </c>
      <c r="AE406" s="46">
        <f t="shared" si="26"/>
        <v>-6.599999999998829E-3</v>
      </c>
      <c r="AF406" s="46">
        <f t="shared" si="27"/>
        <v>2.400000000001512E-3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40.884700000000002</v>
      </c>
      <c r="G407" s="45">
        <v>46.776299999999999</v>
      </c>
      <c r="H407" s="45">
        <v>46.6571</v>
      </c>
      <c r="I407" s="66"/>
      <c r="J407" s="66"/>
      <c r="K407" s="67"/>
      <c r="L407" s="29"/>
      <c r="M407" s="70"/>
      <c r="N407" s="45">
        <v>40.8825</v>
      </c>
      <c r="O407" s="45">
        <v>46.755099999999999</v>
      </c>
      <c r="P407" s="45">
        <v>46.650700000000001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2.2000000000019782E-3</v>
      </c>
      <c r="AE407" s="45">
        <f t="shared" si="26"/>
        <v>2.120000000000033E-2</v>
      </c>
      <c r="AF407" s="45">
        <f t="shared" si="27"/>
        <v>6.3999999999992951E-3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38.0548</v>
      </c>
      <c r="G408" s="46">
        <v>45.229700000000001</v>
      </c>
      <c r="H408" s="46">
        <v>44.721699999999998</v>
      </c>
      <c r="I408" s="66"/>
      <c r="J408" s="66"/>
      <c r="K408" s="67"/>
      <c r="L408" s="29"/>
      <c r="M408" s="70"/>
      <c r="N408" s="46">
        <v>38.057899999999997</v>
      </c>
      <c r="O408" s="46">
        <v>45.208599999999997</v>
      </c>
      <c r="P408" s="46">
        <v>44.716000000000001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-3.0999999999963279E-3</v>
      </c>
      <c r="AE408" s="46">
        <f t="shared" si="26"/>
        <v>2.1100000000004115E-2</v>
      </c>
      <c r="AF408" s="46">
        <f t="shared" si="27"/>
        <v>5.6999999999973738E-3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35.350499999999997</v>
      </c>
      <c r="G409" s="46">
        <v>43.612900000000003</v>
      </c>
      <c r="H409" s="46">
        <v>42.753500000000003</v>
      </c>
      <c r="I409" s="66"/>
      <c r="J409" s="66"/>
      <c r="K409" s="67"/>
      <c r="L409" s="29"/>
      <c r="M409" s="70"/>
      <c r="N409" s="46">
        <v>35.352800000000002</v>
      </c>
      <c r="O409" s="46">
        <v>43.599400000000003</v>
      </c>
      <c r="P409" s="46">
        <v>42.765700000000002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-2.3000000000052978E-3</v>
      </c>
      <c r="AE409" s="46">
        <f t="shared" si="26"/>
        <v>1.3500000000000512E-2</v>
      </c>
      <c r="AF409" s="46">
        <f t="shared" si="27"/>
        <v>-1.2199999999999989E-2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32.920400000000001</v>
      </c>
      <c r="G410" s="72">
        <v>42.497999999999998</v>
      </c>
      <c r="H410" s="72">
        <v>41.342599999999997</v>
      </c>
      <c r="I410" s="68"/>
      <c r="J410" s="68"/>
      <c r="K410" s="69"/>
      <c r="L410" s="29"/>
      <c r="M410" s="81"/>
      <c r="N410" s="72">
        <v>32.919400000000003</v>
      </c>
      <c r="O410" s="72">
        <v>42.507100000000001</v>
      </c>
      <c r="P410" s="72">
        <v>41.347999999999999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9.9999999999766942E-4</v>
      </c>
      <c r="AE410" s="72">
        <f t="shared" si="26"/>
        <v>-9.1000000000036607E-3</v>
      </c>
      <c r="AF410" s="72">
        <f t="shared" si="27"/>
        <v>-5.4000000000016257E-3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40.704099999999997</v>
      </c>
      <c r="G411" s="45">
        <v>46.526800000000001</v>
      </c>
      <c r="H411" s="45">
        <v>46.5959</v>
      </c>
      <c r="I411" s="66"/>
      <c r="J411" s="66"/>
      <c r="K411" s="67"/>
      <c r="L411" s="29"/>
      <c r="M411" s="70"/>
      <c r="N411" s="45">
        <v>40.701300000000003</v>
      </c>
      <c r="O411" s="45">
        <v>46.532299999999999</v>
      </c>
      <c r="P411" s="45">
        <v>46.614199999999997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2.7999999999934744E-3</v>
      </c>
      <c r="AE411" s="45">
        <f t="shared" si="26"/>
        <v>-5.49999999999784E-3</v>
      </c>
      <c r="AF411" s="45">
        <f t="shared" si="27"/>
        <v>-1.829999999999643E-2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37.922400000000003</v>
      </c>
      <c r="G412" s="46">
        <v>45.045000000000002</v>
      </c>
      <c r="H412" s="46">
        <v>44.6708</v>
      </c>
      <c r="I412" s="66"/>
      <c r="J412" s="66"/>
      <c r="K412" s="67"/>
      <c r="L412" s="29"/>
      <c r="M412" s="70"/>
      <c r="N412" s="46">
        <v>37.9255</v>
      </c>
      <c r="O412" s="46">
        <v>45.031999999999996</v>
      </c>
      <c r="P412" s="46">
        <v>44.6755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-3.0999999999963279E-3</v>
      </c>
      <c r="AE412" s="46">
        <f t="shared" si="26"/>
        <v>1.300000000000523E-2</v>
      </c>
      <c r="AF412" s="46">
        <f t="shared" si="27"/>
        <v>-4.6999999999997044E-3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35.267099999999999</v>
      </c>
      <c r="G413" s="46">
        <v>43.493000000000002</v>
      </c>
      <c r="H413" s="46">
        <v>42.692</v>
      </c>
      <c r="I413" s="66"/>
      <c r="J413" s="66"/>
      <c r="K413" s="67"/>
      <c r="L413" s="29"/>
      <c r="M413" s="70"/>
      <c r="N413" s="46">
        <v>35.269100000000002</v>
      </c>
      <c r="O413" s="46">
        <v>43.497100000000003</v>
      </c>
      <c r="P413" s="46">
        <v>42.7042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-2.0000000000024443E-3</v>
      </c>
      <c r="AE413" s="46">
        <f t="shared" si="26"/>
        <v>-4.1000000000011028E-3</v>
      </c>
      <c r="AF413" s="46">
        <f t="shared" si="27"/>
        <v>-1.2199999999999989E-2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32.867800000000003</v>
      </c>
      <c r="G414" s="72">
        <v>42.451900000000002</v>
      </c>
      <c r="H414" s="72">
        <v>41.296199999999999</v>
      </c>
      <c r="I414" s="68"/>
      <c r="J414" s="68"/>
      <c r="K414" s="69"/>
      <c r="L414" s="29"/>
      <c r="M414" s="81"/>
      <c r="N414" s="72">
        <v>32.868899999999996</v>
      </c>
      <c r="O414" s="72">
        <v>42.452599999999997</v>
      </c>
      <c r="P414" s="72">
        <v>41.294800000000002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-1.0999999999938836E-3</v>
      </c>
      <c r="AE414" s="72">
        <f t="shared" si="26"/>
        <v>-6.9999999999481588E-4</v>
      </c>
      <c r="AF414" s="72">
        <f t="shared" si="27"/>
        <v>1.3999999999967372E-3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6069.3487999999998</v>
      </c>
      <c r="F415" s="70"/>
      <c r="G415" s="70"/>
      <c r="H415" s="70"/>
      <c r="I415" s="45">
        <v>79797.312999999995</v>
      </c>
      <c r="J415" s="45">
        <v>165.73400000000001</v>
      </c>
      <c r="K415" s="45">
        <v>984.93799999999999</v>
      </c>
      <c r="L415" s="29"/>
      <c r="M415" s="45">
        <v>6069.5672000000004</v>
      </c>
      <c r="N415" s="70"/>
      <c r="O415" s="70"/>
      <c r="P415" s="70"/>
      <c r="Q415" s="45">
        <v>79916.25</v>
      </c>
      <c r="R415" s="45">
        <v>161.93700000000001</v>
      </c>
      <c r="S415" s="45">
        <v>976.26499999999999</v>
      </c>
      <c r="U415" s="8"/>
      <c r="V415" s="9"/>
      <c r="W415" s="10"/>
      <c r="X415" s="29"/>
      <c r="Y415" s="61">
        <f>GEOMEAN(Q415:Q418)/GEOMEAN(I415:I418)</f>
        <v>0.99992742660592282</v>
      </c>
      <c r="Z415" s="61">
        <f>GEOMEAN(R415:R418)/GEOMEAN(J415:J418)</f>
        <v>1.0011715123642047</v>
      </c>
      <c r="AA415" s="57">
        <f>GEOMEAN(S415:S418)/GEOMEAN(K415:K418)</f>
        <v>1.0143114520913308</v>
      </c>
      <c r="AB415" s="24"/>
      <c r="AC415" s="45">
        <f>E415 -M415</f>
        <v>-0.21840000000065629</v>
      </c>
      <c r="AD415" s="70"/>
      <c r="AE415" s="70"/>
      <c r="AF415" s="70"/>
      <c r="AG415" s="45">
        <f t="shared" ref="AG415:AI418" si="28">I415 -Q415</f>
        <v>-118.93700000000536</v>
      </c>
      <c r="AH415" s="45">
        <f t="shared" si="28"/>
        <v>3.796999999999997</v>
      </c>
      <c r="AI415" s="45">
        <f t="shared" si="28"/>
        <v>8.6730000000000018</v>
      </c>
    </row>
    <row r="416" spans="2:35" ht="12">
      <c r="B416" s="36"/>
      <c r="C416" s="29"/>
      <c r="D416" s="32">
        <v>30</v>
      </c>
      <c r="E416" s="46">
        <v>2802.9944</v>
      </c>
      <c r="F416" s="70"/>
      <c r="G416" s="70"/>
      <c r="H416" s="70"/>
      <c r="I416" s="46">
        <v>61252.281000000003</v>
      </c>
      <c r="J416" s="46">
        <v>157.422</v>
      </c>
      <c r="K416" s="46">
        <v>980.85900000000004</v>
      </c>
      <c r="L416" s="29"/>
      <c r="M416" s="46">
        <v>2802.8784000000001</v>
      </c>
      <c r="N416" s="70"/>
      <c r="O416" s="70"/>
      <c r="P416" s="70"/>
      <c r="Q416" s="46">
        <v>61025.046999999999</v>
      </c>
      <c r="R416" s="46">
        <v>162.84399999999999</v>
      </c>
      <c r="S416" s="46">
        <v>1011.9690000000001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0.11599999999998545</v>
      </c>
      <c r="AD416" s="70"/>
      <c r="AE416" s="70"/>
      <c r="AF416" s="70"/>
      <c r="AG416" s="46">
        <f t="shared" si="28"/>
        <v>227.23400000000402</v>
      </c>
      <c r="AH416" s="46">
        <f t="shared" si="28"/>
        <v>-5.421999999999997</v>
      </c>
      <c r="AI416" s="46">
        <f t="shared" si="28"/>
        <v>-31.110000000000014</v>
      </c>
    </row>
    <row r="417" spans="1:35" ht="12">
      <c r="B417" s="36"/>
      <c r="C417" s="29"/>
      <c r="D417" s="32">
        <v>35</v>
      </c>
      <c r="E417" s="46">
        <v>1344.7791999999999</v>
      </c>
      <c r="F417" s="70"/>
      <c r="G417" s="70"/>
      <c r="H417" s="70"/>
      <c r="I417" s="46">
        <v>50217.843999999997</v>
      </c>
      <c r="J417" s="46">
        <v>154.01499999999999</v>
      </c>
      <c r="K417" s="46">
        <v>1028.828</v>
      </c>
      <c r="L417" s="29"/>
      <c r="M417" s="46">
        <v>1345.0368000000001</v>
      </c>
      <c r="N417" s="70"/>
      <c r="O417" s="70"/>
      <c r="P417" s="70"/>
      <c r="Q417" s="46">
        <v>50422.093999999997</v>
      </c>
      <c r="R417" s="46">
        <v>154.88999999999999</v>
      </c>
      <c r="S417" s="46">
        <v>1058.1880000000001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-0.25760000000013861</v>
      </c>
      <c r="AD417" s="70"/>
      <c r="AE417" s="70"/>
      <c r="AF417" s="70"/>
      <c r="AG417" s="46">
        <f t="shared" si="28"/>
        <v>-204.25</v>
      </c>
      <c r="AH417" s="46">
        <f t="shared" si="28"/>
        <v>-0.875</v>
      </c>
      <c r="AI417" s="46">
        <f t="shared" si="28"/>
        <v>-29.360000000000127</v>
      </c>
    </row>
    <row r="418" spans="1:35" ht="12.75" thickBot="1">
      <c r="A418" s="54"/>
      <c r="B418" s="52"/>
      <c r="C418" s="53"/>
      <c r="D418" s="71">
        <v>40</v>
      </c>
      <c r="E418" s="72">
        <v>644.9384</v>
      </c>
      <c r="F418" s="81"/>
      <c r="G418" s="81"/>
      <c r="H418" s="81"/>
      <c r="I418" s="72">
        <v>42708.125</v>
      </c>
      <c r="J418" s="72">
        <v>169.65600000000001</v>
      </c>
      <c r="K418" s="72">
        <v>1145.6089999999999</v>
      </c>
      <c r="L418" s="29"/>
      <c r="M418" s="72">
        <v>645.03599999999994</v>
      </c>
      <c r="N418" s="81"/>
      <c r="O418" s="81"/>
      <c r="P418" s="81"/>
      <c r="Q418" s="72">
        <v>42617.593999999997</v>
      </c>
      <c r="R418" s="72">
        <v>167.68799999999999</v>
      </c>
      <c r="S418" s="72">
        <v>1152.875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-9.7599999999943066E-2</v>
      </c>
      <c r="AD418" s="81"/>
      <c r="AE418" s="81"/>
      <c r="AF418" s="81"/>
      <c r="AG418" s="72">
        <f t="shared" si="28"/>
        <v>90.531000000002678</v>
      </c>
      <c r="AH418" s="72">
        <f t="shared" si="28"/>
        <v>1.9680000000000177</v>
      </c>
      <c r="AI418" s="72">
        <f t="shared" si="28"/>
        <v>-7.2660000000000764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24752.77150082845</v>
      </c>
      <c r="J420" s="37">
        <f>GEOMEAN(J51:J54,J103:J106,J155:J158)</f>
        <v>56.406462710775493</v>
      </c>
      <c r="K420" s="39">
        <f>GEOMEAN(K51:K54,K103:K106,K155:K158)</f>
        <v>369.98813525653094</v>
      </c>
      <c r="M420" s="35"/>
      <c r="N420" s="22"/>
      <c r="O420" s="22"/>
      <c r="P420" s="22"/>
      <c r="Q420" s="37">
        <f>GEOMEAN(Q51:Q54,Q103:Q106,Q155:Q158)</f>
        <v>24871.096917567818</v>
      </c>
      <c r="R420" s="37">
        <f>GEOMEAN(R51:R54,R103:R106,R155:R158)</f>
        <v>57.7961473517054</v>
      </c>
      <c r="S420" s="39">
        <f>GEOMEAN(S51:S54,S103:S106,S155:S158)</f>
        <v>370.31688466995377</v>
      </c>
      <c r="AA420" s="20" t="s">
        <v>63</v>
      </c>
      <c r="AB420" s="35">
        <f>SUM(AD420:AI420)</f>
        <v>8791.4839000000047</v>
      </c>
      <c r="AC420" s="35">
        <f t="array" ref="AC420">SUM(ABS(AC3:AC418))</f>
        <v>40.773600000001608</v>
      </c>
      <c r="AD420" s="35">
        <f t="array" ref="AD420">SUM(ABS(AD3:AD418))</f>
        <v>3.2586999999999762</v>
      </c>
      <c r="AE420" s="35">
        <f t="array" ref="AE420">SUM(ABS(AE3:AE418))</f>
        <v>1.9280999999999864</v>
      </c>
      <c r="AF420" s="35">
        <f t="array" ref="AF420">SUM(ABS(AF3:AF418))</f>
        <v>1.5880999999999332</v>
      </c>
      <c r="AG420" s="35">
        <f t="array" ref="AG420">SUM(ABS(AG3:AG418))</f>
        <v>7995.5350000000035</v>
      </c>
      <c r="AH420" s="35">
        <f t="array" ref="AH420">SUM(ABS(AH3:AH418))</f>
        <v>98.422000000000054</v>
      </c>
      <c r="AI420" s="35">
        <f t="array" ref="AI420">SUM(ABS(AI3:AI418))</f>
        <v>690.75200000000052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40580.337755387925</v>
      </c>
      <c r="J421" s="38">
        <f>GEOMEAN(J207:J210,J259:J262,J311:J314,J363:J366)</f>
        <v>118.66874705458621</v>
      </c>
      <c r="K421" s="40">
        <f>GEOMEAN(K207:K210,K259:K262,K311:K314,K363:K366)</f>
        <v>853.84234062195901</v>
      </c>
      <c r="M421" s="36"/>
      <c r="N421" s="24"/>
      <c r="O421" s="24"/>
      <c r="P421" s="24"/>
      <c r="Q421" s="38">
        <f>GEOMEAN(Q207:Q210,Q259:Q262,Q311:Q314,Q363:Q366)</f>
        <v>40680.089982125341</v>
      </c>
      <c r="R421" s="38">
        <f>GEOMEAN(R207:R210,R259:R262,R311:R314,R363:R366)</f>
        <v>120.57429278467565</v>
      </c>
      <c r="S421" s="40">
        <f>GEOMEAN(S207:S210,S259:S262,S311:S314,S363:S366)</f>
        <v>823.15284443993914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32832.569739286206</v>
      </c>
      <c r="J422" s="73">
        <f>GEOMEAN(J51:J54,J103:J106,J155:J158,J207:J210,J259:J262,J311:J314,J363:J366)</f>
        <v>86.278895129300125</v>
      </c>
      <c r="K422" s="74">
        <f>GEOMEAN(K51:K54,K103:K106,K155:K158,K207:K210,K259:K262,K311:K314,K363:K366)</f>
        <v>596.65718819292476</v>
      </c>
      <c r="M422" s="52"/>
      <c r="N422" s="49"/>
      <c r="O422" s="49"/>
      <c r="P422" s="49"/>
      <c r="Q422" s="73">
        <f>GEOMEAN(Q51:Q54,Q103:Q106,Q155:Q158,Q207:Q210,Q259:Q262,Q311:Q314,Q363:Q366)</f>
        <v>32945.930430022709</v>
      </c>
      <c r="R422" s="73">
        <f>GEOMEAN(R51:R54,R103:R106,R155:R158,R207:R210,R259:R262,R311:R314,R363:R366)</f>
        <v>87.980806237439239</v>
      </c>
      <c r="S422" s="74">
        <f>GEOMEAN(S51:S54,S103:S106,S155:S158,S207:S210,S259:S262,S311:S314,S363:S366)</f>
        <v>584.52900733751653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1.004780289622736</v>
      </c>
      <c r="R423" s="47">
        <f t="shared" si="29"/>
        <v>1.0246369755191975</v>
      </c>
      <c r="S423" s="48">
        <f t="shared" si="29"/>
        <v>1.0008885404208838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1.0024581418552676</v>
      </c>
      <c r="R424" s="47">
        <f t="shared" si="29"/>
        <v>1.0160576881224921</v>
      </c>
      <c r="S424" s="48">
        <f t="shared" si="29"/>
        <v>0.96405718629546422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1.0034526901682284</v>
      </c>
      <c r="R425" s="50">
        <f t="shared" si="29"/>
        <v>1.0197256942800272</v>
      </c>
      <c r="S425" s="51">
        <f t="shared" si="29"/>
        <v>0.97967311700016479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3" t="s">
        <v>2</v>
      </c>
      <c r="F428" s="133"/>
      <c r="G428" s="133"/>
      <c r="H428" s="133"/>
      <c r="I428" s="133"/>
      <c r="J428" s="133"/>
      <c r="K428" s="134"/>
      <c r="L428" s="11"/>
      <c r="M428" s="132" t="s">
        <v>3</v>
      </c>
      <c r="N428" s="133"/>
      <c r="O428" s="133"/>
      <c r="P428" s="133"/>
      <c r="Q428" s="133"/>
      <c r="R428" s="133"/>
      <c r="S428" s="134"/>
      <c r="T428" s="34"/>
      <c r="U428" s="132" t="s">
        <v>10</v>
      </c>
      <c r="V428" s="133"/>
      <c r="W428" s="134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1149.3632</v>
      </c>
      <c r="F430" s="78">
        <f t="shared" ref="F430:H433" si="30">AVERAGE(F3,F7)</f>
        <v>42.663200000000003</v>
      </c>
      <c r="G430" s="78">
        <f t="shared" si="30"/>
        <v>43.252850000000002</v>
      </c>
      <c r="H430" s="78">
        <f t="shared" si="30"/>
        <v>43.551850000000002</v>
      </c>
      <c r="I430" s="79"/>
      <c r="J430" s="79"/>
      <c r="K430" s="80"/>
      <c r="L430" s="29"/>
      <c r="M430" s="82">
        <f>M3+M7</f>
        <v>1149.5192</v>
      </c>
      <c r="N430" s="78">
        <f t="shared" ref="N430:P433" si="31">AVERAGE(N3,N7)</f>
        <v>42.663249999999998</v>
      </c>
      <c r="O430" s="78">
        <f t="shared" si="31"/>
        <v>43.251350000000002</v>
      </c>
      <c r="P430" s="78">
        <f t="shared" si="31"/>
        <v>43.551749999999998</v>
      </c>
      <c r="Q430" s="79"/>
      <c r="R430" s="79"/>
      <c r="S430" s="80"/>
      <c r="U430" s="8">
        <f>bdrate($E430:$E433,F430:F433,$M430:$M433,N430:N433)</f>
        <v>4.805594270296254E-5</v>
      </c>
      <c r="V430" s="9">
        <f>bdrate($E430:$E433,G430:G433,$M430:$M433,O430:O433)</f>
        <v>-3.6214856097727122E-4</v>
      </c>
      <c r="W430" s="10">
        <f>bdrate($E430:$E433,H430:H433,$M430:$M433,P430:P433)</f>
        <v>4.8554688338064977E-4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605.00720000000001</v>
      </c>
      <c r="F431" s="70">
        <f t="shared" si="30"/>
        <v>40.48095</v>
      </c>
      <c r="G431" s="70">
        <f t="shared" si="30"/>
        <v>41.979200000000006</v>
      </c>
      <c r="H431" s="70">
        <f t="shared" si="30"/>
        <v>41.931150000000002</v>
      </c>
      <c r="I431" s="66"/>
      <c r="J431" s="66"/>
      <c r="K431" s="67"/>
      <c r="L431" s="29"/>
      <c r="M431" s="83">
        <f>M4+M8</f>
        <v>605.25279999999998</v>
      </c>
      <c r="N431" s="70">
        <f t="shared" si="31"/>
        <v>40.482349999999997</v>
      </c>
      <c r="O431" s="70">
        <f t="shared" si="31"/>
        <v>41.982050000000001</v>
      </c>
      <c r="P431" s="70">
        <f t="shared" si="31"/>
        <v>41.931749999999994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341.58719999999994</v>
      </c>
      <c r="F432" s="70">
        <f t="shared" si="30"/>
        <v>37.884900000000002</v>
      </c>
      <c r="G432" s="70">
        <f t="shared" si="30"/>
        <v>40.606200000000001</v>
      </c>
      <c r="H432" s="70">
        <f t="shared" si="30"/>
        <v>40.286500000000004</v>
      </c>
      <c r="I432" s="66"/>
      <c r="J432" s="66"/>
      <c r="K432" s="67"/>
      <c r="L432" s="29"/>
      <c r="M432" s="83">
        <f>M5+M9</f>
        <v>341.68399999999997</v>
      </c>
      <c r="N432" s="70">
        <f t="shared" si="31"/>
        <v>37.88655</v>
      </c>
      <c r="O432" s="70">
        <f t="shared" si="31"/>
        <v>40.60745</v>
      </c>
      <c r="P432" s="70">
        <f t="shared" si="31"/>
        <v>40.282449999999997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201.56319999999999</v>
      </c>
      <c r="F433" s="81">
        <f t="shared" si="30"/>
        <v>35.108899999999998</v>
      </c>
      <c r="G433" s="81">
        <f t="shared" si="30"/>
        <v>39.514299999999999</v>
      </c>
      <c r="H433" s="81">
        <f t="shared" si="30"/>
        <v>39.0017</v>
      </c>
      <c r="I433" s="68"/>
      <c r="J433" s="68"/>
      <c r="K433" s="69"/>
      <c r="L433" s="29"/>
      <c r="M433" s="84">
        <f>M6+M10</f>
        <v>201.69039999999998</v>
      </c>
      <c r="N433" s="81">
        <f t="shared" si="31"/>
        <v>35.110849999999999</v>
      </c>
      <c r="O433" s="81">
        <f t="shared" si="31"/>
        <v>39.516100000000002</v>
      </c>
      <c r="P433" s="81">
        <f t="shared" si="31"/>
        <v>39.008650000000003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1449.5255999999999</v>
      </c>
      <c r="F434" s="78">
        <f t="shared" ref="F434:H437" si="32">AVERAGE(F3,F7,F11)</f>
        <v>42.409733333333335</v>
      </c>
      <c r="G434" s="78">
        <f t="shared" si="32"/>
        <v>43.017433333333337</v>
      </c>
      <c r="H434" s="78">
        <f t="shared" si="32"/>
        <v>43.322433333333329</v>
      </c>
      <c r="I434" s="79"/>
      <c r="J434" s="79"/>
      <c r="K434" s="80"/>
      <c r="L434" s="29"/>
      <c r="M434" s="78">
        <f>M3+M7+M11</f>
        <v>1450.0328</v>
      </c>
      <c r="N434" s="78">
        <f t="shared" ref="N434:P437" si="33">AVERAGE(N3,N7,N11)</f>
        <v>42.410166666666669</v>
      </c>
      <c r="O434" s="78">
        <f t="shared" si="33"/>
        <v>43.016700000000007</v>
      </c>
      <c r="P434" s="78">
        <f t="shared" si="33"/>
        <v>43.323799999999999</v>
      </c>
      <c r="Q434" s="79"/>
      <c r="R434" s="79"/>
      <c r="S434" s="80"/>
      <c r="U434" s="8">
        <f>bdrate($E434:$E437,F434:F437,$M434:$M437,N434:N437)</f>
        <v>1.7735995466305887E-4</v>
      </c>
      <c r="V434" s="9">
        <f>bdrate($E434:$E437,G434:G437,$M434:$M437,O434:O437)</f>
        <v>1.3469252848314905E-3</v>
      </c>
      <c r="W434" s="10">
        <f>bdrate($E434:$E437,H434:H437,$M434:$M437,P434:P437)</f>
        <v>8.1313747974331996E-4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741.07439999999997</v>
      </c>
      <c r="F435" s="70">
        <f t="shared" si="32"/>
        <v>40.210133333333339</v>
      </c>
      <c r="G435" s="70">
        <f t="shared" si="32"/>
        <v>41.731833333333334</v>
      </c>
      <c r="H435" s="70">
        <f t="shared" si="32"/>
        <v>41.722233333333335</v>
      </c>
      <c r="I435" s="66"/>
      <c r="J435" s="66"/>
      <c r="K435" s="67"/>
      <c r="L435" s="29"/>
      <c r="M435" s="70">
        <f>M4+M8+M12</f>
        <v>741.41039999999998</v>
      </c>
      <c r="N435" s="70">
        <f t="shared" si="33"/>
        <v>40.212166666666661</v>
      </c>
      <c r="O435" s="70">
        <f t="shared" si="33"/>
        <v>41.730799999999995</v>
      </c>
      <c r="P435" s="70">
        <f t="shared" si="33"/>
        <v>41.721399999999996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412.66559999999993</v>
      </c>
      <c r="F436" s="70">
        <f t="shared" si="32"/>
        <v>37.625666666666667</v>
      </c>
      <c r="G436" s="70">
        <f t="shared" si="32"/>
        <v>40.43</v>
      </c>
      <c r="H436" s="70">
        <f t="shared" si="32"/>
        <v>40.144300000000008</v>
      </c>
      <c r="I436" s="66"/>
      <c r="J436" s="66"/>
      <c r="K436" s="67"/>
      <c r="L436" s="29"/>
      <c r="M436" s="70">
        <f>M5+M9+M13</f>
        <v>412.91519999999997</v>
      </c>
      <c r="N436" s="70">
        <f t="shared" si="33"/>
        <v>37.627333333333333</v>
      </c>
      <c r="O436" s="70">
        <f t="shared" si="33"/>
        <v>40.426066666666664</v>
      </c>
      <c r="P436" s="70">
        <f t="shared" si="33"/>
        <v>40.140133333333331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239.21359999999999</v>
      </c>
      <c r="F437" s="81">
        <f t="shared" si="32"/>
        <v>34.872899999999994</v>
      </c>
      <c r="G437" s="81">
        <f t="shared" si="32"/>
        <v>39.340733333333333</v>
      </c>
      <c r="H437" s="81">
        <f t="shared" si="32"/>
        <v>38.866233333333334</v>
      </c>
      <c r="I437" s="68"/>
      <c r="J437" s="68"/>
      <c r="K437" s="69"/>
      <c r="L437" s="29"/>
      <c r="M437" s="81">
        <f>M6+M10+M14</f>
        <v>239.39679999999998</v>
      </c>
      <c r="N437" s="81">
        <f t="shared" si="33"/>
        <v>34.873966666666668</v>
      </c>
      <c r="O437" s="81">
        <f t="shared" si="33"/>
        <v>39.34236666666667</v>
      </c>
      <c r="P437" s="81">
        <f t="shared" si="33"/>
        <v>38.873400000000004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1351.8919999999998</v>
      </c>
      <c r="F438" s="78">
        <f t="shared" ref="F438:H441" si="34">AVERAGE(F27,F31,F35)</f>
        <v>42.768233333333335</v>
      </c>
      <c r="G438" s="78">
        <f t="shared" si="34"/>
        <v>45.638766666666669</v>
      </c>
      <c r="H438" s="78">
        <f t="shared" si="34"/>
        <v>45.51956666666667</v>
      </c>
      <c r="I438" s="79"/>
      <c r="J438" s="79"/>
      <c r="K438" s="80"/>
      <c r="L438" s="29"/>
      <c r="M438" s="82">
        <f>M3+M7+M15+M19</f>
        <v>1352.7231999999999</v>
      </c>
      <c r="N438" s="78">
        <f t="shared" ref="N438:P441" si="35">AVERAGE(N27,N31,N35)</f>
        <v>42.771500000000003</v>
      </c>
      <c r="O438" s="78">
        <f t="shared" si="35"/>
        <v>45.637866666666667</v>
      </c>
      <c r="P438" s="78">
        <f t="shared" si="35"/>
        <v>45.519599999999997</v>
      </c>
      <c r="Q438" s="79"/>
      <c r="R438" s="79"/>
      <c r="S438" s="80"/>
      <c r="U438" s="8">
        <f>bdrate($E438:$E441,F438:F441,$M438:$M441,N438:N441)</f>
        <v>7.7253111180008993E-4</v>
      </c>
      <c r="V438" s="9">
        <f>bdrate($E438:$E441,G438:G441,$M438:$M441,O438:O441)</f>
        <v>-9.0717093178482866E-4</v>
      </c>
      <c r="W438" s="10">
        <f>bdrate($E438:$E441,H438:H441,$M438:$M441,P438:P441)</f>
        <v>-1.7258592062545652E-3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672.13279999999997</v>
      </c>
      <c r="F439" s="70">
        <f t="shared" si="34"/>
        <v>40.558199999999999</v>
      </c>
      <c r="G439" s="70">
        <f t="shared" si="34"/>
        <v>43.969233333333328</v>
      </c>
      <c r="H439" s="70">
        <f t="shared" si="34"/>
        <v>43.502833333333335</v>
      </c>
      <c r="I439" s="66"/>
      <c r="J439" s="66"/>
      <c r="K439" s="67"/>
      <c r="L439" s="29"/>
      <c r="M439" s="83">
        <f>M4+M8+M16+M20</f>
        <v>672.32799999999997</v>
      </c>
      <c r="N439" s="70">
        <f t="shared" si="35"/>
        <v>40.553733333333334</v>
      </c>
      <c r="O439" s="70">
        <f t="shared" si="35"/>
        <v>43.975500000000004</v>
      </c>
      <c r="P439" s="70">
        <f t="shared" si="35"/>
        <v>43.517366666666668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370.58239999999995</v>
      </c>
      <c r="F440" s="70">
        <f t="shared" si="34"/>
        <v>38.010466666666666</v>
      </c>
      <c r="G440" s="70">
        <f t="shared" si="34"/>
        <v>42.18566666666667</v>
      </c>
      <c r="H440" s="70">
        <f t="shared" si="34"/>
        <v>41.525966666666662</v>
      </c>
      <c r="I440" s="66"/>
      <c r="J440" s="66"/>
      <c r="K440" s="67"/>
      <c r="L440" s="29"/>
      <c r="M440" s="83">
        <f>M5+M9+M17+M21</f>
        <v>370.67119999999994</v>
      </c>
      <c r="N440" s="70">
        <f t="shared" si="35"/>
        <v>38.008933333333339</v>
      </c>
      <c r="O440" s="70">
        <f t="shared" si="35"/>
        <v>42.186933333333336</v>
      </c>
      <c r="P440" s="70">
        <f t="shared" si="35"/>
        <v>41.522666666666673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215.90479999999999</v>
      </c>
      <c r="F441" s="81">
        <f t="shared" si="34"/>
        <v>35.250999999999998</v>
      </c>
      <c r="G441" s="81">
        <f t="shared" si="34"/>
        <v>40.819133333333333</v>
      </c>
      <c r="H441" s="81">
        <f t="shared" si="34"/>
        <v>40.000166666666665</v>
      </c>
      <c r="I441" s="68"/>
      <c r="J441" s="68"/>
      <c r="K441" s="69"/>
      <c r="L441" s="29"/>
      <c r="M441" s="84">
        <f>M6+M10+M18+M22</f>
        <v>216.06559999999999</v>
      </c>
      <c r="N441" s="81">
        <f t="shared" si="35"/>
        <v>35.251766666666668</v>
      </c>
      <c r="O441" s="81">
        <f t="shared" si="35"/>
        <v>40.824133333333329</v>
      </c>
      <c r="P441" s="81">
        <f t="shared" si="35"/>
        <v>40.013766666666662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1753.9544000000001</v>
      </c>
      <c r="F442" s="78">
        <f t="shared" ref="F442:H445" si="36">AVERAGE(F27,F31,F35,F39,F43,F47)</f>
        <v>42.68096666666667</v>
      </c>
      <c r="G442" s="78">
        <f t="shared" si="36"/>
        <v>45.589866666666666</v>
      </c>
      <c r="H442" s="78">
        <f t="shared" si="36"/>
        <v>45.465766666666667</v>
      </c>
      <c r="I442" s="79"/>
      <c r="J442" s="79"/>
      <c r="K442" s="80"/>
      <c r="L442" s="29"/>
      <c r="M442" s="78">
        <f>M51</f>
        <v>1755.4192</v>
      </c>
      <c r="N442" s="78">
        <f t="shared" ref="N442:P445" si="37">AVERAGE(N27,N31,N35,N39,N43,N47)</f>
        <v>42.686650000000007</v>
      </c>
      <c r="O442" s="78">
        <f t="shared" si="37"/>
        <v>45.586183333333338</v>
      </c>
      <c r="P442" s="78">
        <f t="shared" si="37"/>
        <v>45.461099999999995</v>
      </c>
      <c r="Q442" s="79"/>
      <c r="R442" s="79"/>
      <c r="S442" s="80"/>
      <c r="U442" s="8">
        <f>bdrate($E442:$E445,F442:F445,$M442:$M445,N442:N445)</f>
        <v>4.2137470798397914E-4</v>
      </c>
      <c r="V442" s="9">
        <f>bdrate($E442:$E445,G442:G445,$M442:$M445,O442:O445)</f>
        <v>2.6556736529319558E-3</v>
      </c>
      <c r="W442" s="10">
        <f>bdrate($E442:$E445,H442:H445,$M442:$M445,P442:P445)</f>
        <v>7.3348846824816682E-4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844.99199999999996</v>
      </c>
      <c r="F443" s="70">
        <f t="shared" si="36"/>
        <v>40.488916666666668</v>
      </c>
      <c r="G443" s="70">
        <f t="shared" si="36"/>
        <v>43.923000000000002</v>
      </c>
      <c r="H443" s="70">
        <f t="shared" si="36"/>
        <v>43.451000000000001</v>
      </c>
      <c r="I443" s="66"/>
      <c r="J443" s="66"/>
      <c r="K443" s="67"/>
      <c r="L443" s="29"/>
      <c r="M443" s="70">
        <f>M52</f>
        <v>845.53840000000002</v>
      </c>
      <c r="N443" s="70">
        <f t="shared" si="37"/>
        <v>40.487249999999996</v>
      </c>
      <c r="O443" s="70">
        <f t="shared" si="37"/>
        <v>43.917416666666668</v>
      </c>
      <c r="P443" s="70">
        <f t="shared" si="37"/>
        <v>43.45571666666666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460.85680000000002</v>
      </c>
      <c r="F444" s="70">
        <f t="shared" si="36"/>
        <v>37.954299999999996</v>
      </c>
      <c r="G444" s="70">
        <f t="shared" si="36"/>
        <v>42.152099999999997</v>
      </c>
      <c r="H444" s="70">
        <f t="shared" si="36"/>
        <v>41.484550000000006</v>
      </c>
      <c r="I444" s="66"/>
      <c r="J444" s="66"/>
      <c r="K444" s="67"/>
      <c r="L444" s="29"/>
      <c r="M444" s="70">
        <f>M53</f>
        <v>460.99040000000002</v>
      </c>
      <c r="N444" s="70">
        <f t="shared" si="37"/>
        <v>37.955216666666665</v>
      </c>
      <c r="O444" s="70">
        <f t="shared" si="37"/>
        <v>42.143866666666668</v>
      </c>
      <c r="P444" s="70">
        <f t="shared" si="37"/>
        <v>41.477333333333334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265.69439999999997</v>
      </c>
      <c r="F445" s="81">
        <f t="shared" si="36"/>
        <v>35.196900000000007</v>
      </c>
      <c r="G445" s="81">
        <f t="shared" si="36"/>
        <v>40.794616666666663</v>
      </c>
      <c r="H445" s="81">
        <f t="shared" si="36"/>
        <v>39.948399999999999</v>
      </c>
      <c r="I445" s="68"/>
      <c r="J445" s="68"/>
      <c r="K445" s="69"/>
      <c r="L445" s="29"/>
      <c r="M445" s="81">
        <f>M54</f>
        <v>265.93360000000001</v>
      </c>
      <c r="N445" s="81">
        <f t="shared" si="37"/>
        <v>35.196083333333334</v>
      </c>
      <c r="O445" s="81">
        <f t="shared" si="37"/>
        <v>40.796816666666665</v>
      </c>
      <c r="P445" s="81">
        <f t="shared" si="37"/>
        <v>39.955049999999993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1351.8919999999998</v>
      </c>
      <c r="F446" s="78">
        <f t="shared" ref="F446:H449" si="39">AVERAGE(F3,F7,F27,F31,F35)</f>
        <v>42.726219999999998</v>
      </c>
      <c r="G446" s="78">
        <f t="shared" si="39"/>
        <v>44.684399999999997</v>
      </c>
      <c r="H446" s="78">
        <f t="shared" si="39"/>
        <v>44.732480000000002</v>
      </c>
      <c r="I446" s="79"/>
      <c r="J446" s="79"/>
      <c r="K446" s="80"/>
      <c r="L446" s="29"/>
      <c r="M446" s="78">
        <f t="shared" ref="M446:M453" si="40">M438</f>
        <v>1352.7231999999999</v>
      </c>
      <c r="N446" s="78">
        <f t="shared" ref="N446:P449" si="41">AVERAGE(N3,N7,N27,N31,N35)</f>
        <v>42.728199999999994</v>
      </c>
      <c r="O446" s="78">
        <f t="shared" si="41"/>
        <v>44.683259999999997</v>
      </c>
      <c r="P446" s="78">
        <f t="shared" si="41"/>
        <v>44.732460000000003</v>
      </c>
      <c r="Q446" s="79"/>
      <c r="R446" s="79"/>
      <c r="S446" s="80"/>
      <c r="U446" s="8">
        <f>bdrate($E446:$E449,F446:F449,$M446:$M449,N446:N449)</f>
        <v>4.7951215034602868E-4</v>
      </c>
      <c r="V446" s="9">
        <f>bdrate($E446:$E449,G446:G449,$M446:$M449,O446:O449)</f>
        <v>-7.2788202614681996E-4</v>
      </c>
      <c r="W446" s="10">
        <f>bdrate($E446:$E449,H446:H449,$M446:$M449,P446:P449)</f>
        <v>-9.3277747659659127E-4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672.13279999999997</v>
      </c>
      <c r="F447" s="70">
        <f t="shared" si="39"/>
        <v>40.527300000000004</v>
      </c>
      <c r="G447" s="70">
        <f t="shared" si="39"/>
        <v>43.173220000000001</v>
      </c>
      <c r="H447" s="70">
        <f t="shared" si="39"/>
        <v>42.874160000000003</v>
      </c>
      <c r="I447" s="66"/>
      <c r="J447" s="66"/>
      <c r="K447" s="67"/>
      <c r="L447" s="29"/>
      <c r="M447" s="70">
        <f t="shared" si="40"/>
        <v>672.32799999999997</v>
      </c>
      <c r="N447" s="70">
        <f t="shared" si="41"/>
        <v>40.525179999999999</v>
      </c>
      <c r="O447" s="70">
        <f t="shared" si="41"/>
        <v>43.17812</v>
      </c>
      <c r="P447" s="70">
        <f t="shared" si="41"/>
        <v>42.883119999999998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370.58239999999995</v>
      </c>
      <c r="F448" s="70">
        <f t="shared" si="39"/>
        <v>37.960239999999999</v>
      </c>
      <c r="G448" s="70">
        <f t="shared" si="39"/>
        <v>41.553880000000007</v>
      </c>
      <c r="H448" s="70">
        <f t="shared" si="39"/>
        <v>41.030180000000009</v>
      </c>
      <c r="I448" s="66"/>
      <c r="J448" s="66"/>
      <c r="K448" s="67"/>
      <c r="L448" s="29"/>
      <c r="M448" s="70">
        <f t="shared" si="40"/>
        <v>370.67119999999994</v>
      </c>
      <c r="N448" s="70">
        <f t="shared" si="41"/>
        <v>37.959980000000002</v>
      </c>
      <c r="O448" s="70">
        <f t="shared" si="41"/>
        <v>41.555140000000002</v>
      </c>
      <c r="P448" s="70">
        <f t="shared" si="41"/>
        <v>41.026580000000003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215.90479999999999</v>
      </c>
      <c r="F449" s="81">
        <f t="shared" si="39"/>
        <v>35.194159999999997</v>
      </c>
      <c r="G449" s="81">
        <f t="shared" si="39"/>
        <v>40.297199999999997</v>
      </c>
      <c r="H449" s="81">
        <f t="shared" si="39"/>
        <v>39.60078</v>
      </c>
      <c r="I449" s="68"/>
      <c r="J449" s="68"/>
      <c r="K449" s="69"/>
      <c r="L449" s="29"/>
      <c r="M449" s="81">
        <f t="shared" si="40"/>
        <v>216.06559999999999</v>
      </c>
      <c r="N449" s="81">
        <f t="shared" si="41"/>
        <v>35.195399999999992</v>
      </c>
      <c r="O449" s="81">
        <f t="shared" si="41"/>
        <v>40.300920000000005</v>
      </c>
      <c r="P449" s="81">
        <f t="shared" si="41"/>
        <v>39.611720000000005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1753.9544000000001</v>
      </c>
      <c r="F450" s="78">
        <f t="shared" ref="F450:H453" si="42">AVERAGE(F3,F7,F11,F27,F31,F35,F39,F43,F47)</f>
        <v>42.590555555555554</v>
      </c>
      <c r="G450" s="78">
        <f t="shared" si="42"/>
        <v>44.732388888888892</v>
      </c>
      <c r="H450" s="78">
        <f t="shared" si="42"/>
        <v>44.751322222222221</v>
      </c>
      <c r="I450" s="79"/>
      <c r="J450" s="79"/>
      <c r="K450" s="80"/>
      <c r="L450" s="29"/>
      <c r="M450" s="78">
        <f t="shared" si="40"/>
        <v>1755.4192</v>
      </c>
      <c r="N450" s="78">
        <f t="shared" ref="N450:P453" si="43">AVERAGE(N3,N7,N11,N27,N31,N35,N39,N43,N47)</f>
        <v>42.59448888888889</v>
      </c>
      <c r="O450" s="78">
        <f t="shared" si="43"/>
        <v>44.729688888888887</v>
      </c>
      <c r="P450" s="78">
        <f t="shared" si="43"/>
        <v>44.748666666666665</v>
      </c>
      <c r="Q450" s="79"/>
      <c r="R450" s="79"/>
      <c r="S450" s="80"/>
      <c r="U450" s="8">
        <f>bdrate($E450:$E453,F450:F453,$M450:$M453,N450:N453)</f>
        <v>3.3629427453618632E-4</v>
      </c>
      <c r="V450" s="9">
        <f>bdrate($E450:$E453,G450:G453,$M450:$M453,O450:O453)</f>
        <v>2.3143327823489379E-3</v>
      </c>
      <c r="W450" s="10">
        <f>bdrate($E450:$E453,H450:H453,$M450:$M453,P450:P453)</f>
        <v>7.7495533077009959E-4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844.99199999999996</v>
      </c>
      <c r="F451" s="70">
        <f t="shared" si="42"/>
        <v>40.395988888888894</v>
      </c>
      <c r="G451" s="70">
        <f t="shared" si="42"/>
        <v>43.19261111111112</v>
      </c>
      <c r="H451" s="70">
        <f t="shared" si="42"/>
        <v>42.874744444444445</v>
      </c>
      <c r="I451" s="66"/>
      <c r="J451" s="66"/>
      <c r="K451" s="67"/>
      <c r="L451" s="29"/>
      <c r="M451" s="70">
        <f t="shared" si="40"/>
        <v>845.53840000000002</v>
      </c>
      <c r="N451" s="70">
        <f t="shared" si="43"/>
        <v>40.395555555555546</v>
      </c>
      <c r="O451" s="70">
        <f t="shared" si="43"/>
        <v>43.188544444444439</v>
      </c>
      <c r="P451" s="70">
        <f t="shared" si="43"/>
        <v>42.877611111111115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460.85680000000002</v>
      </c>
      <c r="F452" s="70">
        <f t="shared" si="42"/>
        <v>37.844755555555558</v>
      </c>
      <c r="G452" s="70">
        <f t="shared" si="42"/>
        <v>41.578066666666672</v>
      </c>
      <c r="H452" s="70">
        <f t="shared" si="42"/>
        <v>41.037800000000004</v>
      </c>
      <c r="I452" s="66"/>
      <c r="J452" s="66"/>
      <c r="K452" s="67"/>
      <c r="L452" s="29"/>
      <c r="M452" s="70">
        <f t="shared" si="40"/>
        <v>460.99040000000002</v>
      </c>
      <c r="N452" s="70">
        <f t="shared" si="43"/>
        <v>37.845922222222221</v>
      </c>
      <c r="O452" s="70">
        <f t="shared" si="43"/>
        <v>41.571266666666666</v>
      </c>
      <c r="P452" s="70">
        <f t="shared" si="43"/>
        <v>41.031599999999997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265.69439999999997</v>
      </c>
      <c r="F453" s="81">
        <f t="shared" si="42"/>
        <v>35.088899999999995</v>
      </c>
      <c r="G453" s="81">
        <f t="shared" si="42"/>
        <v>40.309988888888888</v>
      </c>
      <c r="H453" s="81">
        <f t="shared" si="42"/>
        <v>39.587677777777778</v>
      </c>
      <c r="I453" s="68"/>
      <c r="J453" s="68"/>
      <c r="K453" s="69"/>
      <c r="L453" s="29"/>
      <c r="M453" s="81">
        <f t="shared" si="40"/>
        <v>265.93360000000001</v>
      </c>
      <c r="N453" s="81">
        <f t="shared" si="43"/>
        <v>35.08871111111111</v>
      </c>
      <c r="O453" s="81">
        <f t="shared" si="43"/>
        <v>40.311999999999998</v>
      </c>
      <c r="P453" s="81">
        <f t="shared" si="43"/>
        <v>39.594500000000004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1121.0296000000001</v>
      </c>
      <c r="F454" s="78">
        <f t="shared" ref="F454:H457" si="44">AVERAGE(F55,F59)</f>
        <v>43.1496</v>
      </c>
      <c r="G454" s="78">
        <f t="shared" si="44"/>
        <v>44.853400000000001</v>
      </c>
      <c r="H454" s="78">
        <f t="shared" si="44"/>
        <v>44.545499999999997</v>
      </c>
      <c r="I454" s="79"/>
      <c r="J454" s="79"/>
      <c r="K454" s="80"/>
      <c r="L454" s="29"/>
      <c r="M454" s="78">
        <f>M55+M59</f>
        <v>1121.6288</v>
      </c>
      <c r="N454" s="78">
        <f t="shared" ref="N454:P457" si="45">AVERAGE(N55,N59)</f>
        <v>43.150300000000001</v>
      </c>
      <c r="O454" s="78">
        <f t="shared" si="45"/>
        <v>44.852649999999997</v>
      </c>
      <c r="P454" s="78">
        <f t="shared" si="45"/>
        <v>44.540799999999997</v>
      </c>
      <c r="Q454" s="79"/>
      <c r="R454" s="79"/>
      <c r="S454" s="80"/>
      <c r="U454" s="8">
        <f>bdrate($E454:$E457,F454:F457,$M454:$M457,N454:N457)</f>
        <v>3.6037076047934491E-4</v>
      </c>
      <c r="V454" s="9">
        <f>bdrate($E454:$E457,G454:G457,$M454:$M457,O454:O457)</f>
        <v>7.6945613522894085E-4</v>
      </c>
      <c r="W454" s="10">
        <f>bdrate($E454:$E457,H454:H457,$M454:$M457,P454:P457)</f>
        <v>-2.3876438200198802E-4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573.596</v>
      </c>
      <c r="F455" s="70">
        <f t="shared" si="44"/>
        <v>40.894949999999994</v>
      </c>
      <c r="G455" s="70">
        <f t="shared" si="44"/>
        <v>43.968450000000004</v>
      </c>
      <c r="H455" s="70">
        <f t="shared" si="44"/>
        <v>43.046750000000003</v>
      </c>
      <c r="I455" s="66"/>
      <c r="J455" s="66"/>
      <c r="K455" s="67"/>
      <c r="L455" s="29"/>
      <c r="M455" s="70">
        <f>M56+M60</f>
        <v>573.63120000000004</v>
      </c>
      <c r="N455" s="70">
        <f t="shared" si="45"/>
        <v>40.8949</v>
      </c>
      <c r="O455" s="70">
        <f t="shared" si="45"/>
        <v>43.965800000000002</v>
      </c>
      <c r="P455" s="70">
        <f t="shared" si="45"/>
        <v>43.048900000000003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320.2808</v>
      </c>
      <c r="F456" s="70">
        <f t="shared" si="44"/>
        <v>38.434550000000002</v>
      </c>
      <c r="G456" s="70">
        <f t="shared" si="44"/>
        <v>42.976900000000001</v>
      </c>
      <c r="H456" s="70">
        <f t="shared" si="44"/>
        <v>41.540199999999999</v>
      </c>
      <c r="I456" s="66"/>
      <c r="J456" s="66"/>
      <c r="K456" s="67"/>
      <c r="L456" s="29"/>
      <c r="M456" s="70">
        <f>M57+M61</f>
        <v>320.32159999999999</v>
      </c>
      <c r="N456" s="70">
        <f t="shared" si="45"/>
        <v>38.43215</v>
      </c>
      <c r="O456" s="70">
        <f t="shared" si="45"/>
        <v>42.976299999999995</v>
      </c>
      <c r="P456" s="70">
        <f t="shared" si="45"/>
        <v>41.542149999999999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188.4744</v>
      </c>
      <c r="F457" s="81">
        <f t="shared" si="44"/>
        <v>35.853400000000001</v>
      </c>
      <c r="G457" s="81">
        <f t="shared" si="44"/>
        <v>42.127750000000006</v>
      </c>
      <c r="H457" s="81">
        <f t="shared" si="44"/>
        <v>40.217299999999994</v>
      </c>
      <c r="I457" s="68"/>
      <c r="J457" s="68"/>
      <c r="K457" s="69"/>
      <c r="L457" s="29"/>
      <c r="M457" s="81">
        <f>M58+M62</f>
        <v>188.49520000000001</v>
      </c>
      <c r="N457" s="81">
        <f t="shared" si="45"/>
        <v>35.852450000000005</v>
      </c>
      <c r="O457" s="81">
        <f t="shared" si="45"/>
        <v>42.131450000000001</v>
      </c>
      <c r="P457" s="81">
        <f t="shared" si="45"/>
        <v>40.218499999999999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1413.2632000000001</v>
      </c>
      <c r="F458" s="78">
        <f t="shared" ref="F458:H461" si="46">AVERAGE(F55,F59,F63)</f>
        <v>42.876599999999996</v>
      </c>
      <c r="G458" s="78">
        <f t="shared" si="46"/>
        <v>44.555599999999998</v>
      </c>
      <c r="H458" s="78">
        <f t="shared" si="46"/>
        <v>44.324766666666669</v>
      </c>
      <c r="I458" s="79"/>
      <c r="J458" s="79"/>
      <c r="K458" s="80"/>
      <c r="L458" s="29"/>
      <c r="M458" s="78">
        <f>M55+M59+M63</f>
        <v>1413.7736</v>
      </c>
      <c r="N458" s="78">
        <f t="shared" ref="N458:P461" si="47">AVERAGE(N55,N59,N63)</f>
        <v>42.877433333333329</v>
      </c>
      <c r="O458" s="78">
        <f t="shared" si="47"/>
        <v>44.556233333333331</v>
      </c>
      <c r="P458" s="78">
        <f t="shared" si="47"/>
        <v>44.320933333333329</v>
      </c>
      <c r="Q458" s="79"/>
      <c r="R458" s="79"/>
      <c r="S458" s="80"/>
      <c r="U458" s="8">
        <f>bdrate($E458:$E461,F458:F461,$M458:$M461,N458:N461)</f>
        <v>2.3908642715908535E-4</v>
      </c>
      <c r="V458" s="9">
        <f>bdrate($E458:$E461,G458:G461,$M458:$M461,O458:O461)</f>
        <v>-1.722484519369849E-3</v>
      </c>
      <c r="W458" s="10">
        <f>bdrate($E458:$E461,H458:H461,$M458:$M461,P458:P461)</f>
        <v>-4.4981804480803689E-4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702.84400000000005</v>
      </c>
      <c r="F459" s="70">
        <f t="shared" si="46"/>
        <v>40.633733333333332</v>
      </c>
      <c r="G459" s="70">
        <f t="shared" si="46"/>
        <v>43.638300000000008</v>
      </c>
      <c r="H459" s="70">
        <f t="shared" si="46"/>
        <v>42.846533333333333</v>
      </c>
      <c r="I459" s="66"/>
      <c r="J459" s="66"/>
      <c r="K459" s="67"/>
      <c r="L459" s="29"/>
      <c r="M459" s="70">
        <f>M56+M60+M64</f>
        <v>702.74880000000007</v>
      </c>
      <c r="N459" s="70">
        <f t="shared" si="47"/>
        <v>40.633366666666667</v>
      </c>
      <c r="O459" s="70">
        <f t="shared" si="47"/>
        <v>43.640366666666665</v>
      </c>
      <c r="P459" s="70">
        <f t="shared" si="47"/>
        <v>42.849700000000006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387.4144</v>
      </c>
      <c r="F460" s="70">
        <f t="shared" si="46"/>
        <v>38.200433333333336</v>
      </c>
      <c r="G460" s="70">
        <f t="shared" si="46"/>
        <v>42.718400000000003</v>
      </c>
      <c r="H460" s="70">
        <f t="shared" si="46"/>
        <v>41.430433333333333</v>
      </c>
      <c r="I460" s="66"/>
      <c r="J460" s="66"/>
      <c r="K460" s="67"/>
      <c r="L460" s="29"/>
      <c r="M460" s="70">
        <f>M57+M61+M65</f>
        <v>387.55520000000001</v>
      </c>
      <c r="N460" s="70">
        <f t="shared" si="47"/>
        <v>38.200200000000002</v>
      </c>
      <c r="O460" s="70">
        <f t="shared" si="47"/>
        <v>42.721399999999996</v>
      </c>
      <c r="P460" s="70">
        <f t="shared" si="47"/>
        <v>41.431899999999999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224.38640000000001</v>
      </c>
      <c r="F461" s="81">
        <f t="shared" si="46"/>
        <v>35.647799999999997</v>
      </c>
      <c r="G461" s="81">
        <f t="shared" si="46"/>
        <v>41.892166666666668</v>
      </c>
      <c r="H461" s="81">
        <f t="shared" si="46"/>
        <v>40.130133333333333</v>
      </c>
      <c r="I461" s="68"/>
      <c r="J461" s="68"/>
      <c r="K461" s="69"/>
      <c r="L461" s="29"/>
      <c r="M461" s="81">
        <f>M58+M62+M66</f>
        <v>224.3032</v>
      </c>
      <c r="N461" s="81">
        <f t="shared" si="47"/>
        <v>35.643000000000001</v>
      </c>
      <c r="O461" s="81">
        <f t="shared" si="47"/>
        <v>41.898333333333333</v>
      </c>
      <c r="P461" s="81">
        <f t="shared" si="47"/>
        <v>40.130366666666667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1365.5032000000001</v>
      </c>
      <c r="F462" s="78">
        <f t="shared" ref="F462:H465" si="48">AVERAGE(F79,F83,F87)</f>
        <v>43.289099999999998</v>
      </c>
      <c r="G462" s="78">
        <f t="shared" si="48"/>
        <v>47.217133333333329</v>
      </c>
      <c r="H462" s="78">
        <f t="shared" si="48"/>
        <v>46.316833333333328</v>
      </c>
      <c r="I462" s="79"/>
      <c r="J462" s="79"/>
      <c r="K462" s="80"/>
      <c r="L462" s="29"/>
      <c r="M462" s="78">
        <f>M55+M59+M67+M71</f>
        <v>1366.2904000000001</v>
      </c>
      <c r="N462" s="78">
        <f t="shared" ref="N462:P465" si="49">AVERAGE(N79,N83,N87)</f>
        <v>43.296533333333336</v>
      </c>
      <c r="O462" s="78">
        <f t="shared" si="49"/>
        <v>47.213266666666662</v>
      </c>
      <c r="P462" s="78">
        <f t="shared" si="49"/>
        <v>46.310566666666666</v>
      </c>
      <c r="Q462" s="79"/>
      <c r="R462" s="79"/>
      <c r="S462" s="80"/>
      <c r="U462" s="8">
        <f>bdrate($E462:$E465,F462:F465,$M462:$M465,N462:N465)</f>
        <v>8.7240401839450143E-4</v>
      </c>
      <c r="V462" s="9">
        <f>bdrate($E462:$E465,G462:G465,$M462:$M465,O462:O465)</f>
        <v>-3.0249092649793363E-3</v>
      </c>
      <c r="W462" s="10">
        <f>bdrate($E462:$E465,H462:H465,$M462:$M465,P462:P465)</f>
        <v>8.4008035159133243E-4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657.14400000000001</v>
      </c>
      <c r="F463" s="70">
        <f t="shared" si="48"/>
        <v>40.99013333333334</v>
      </c>
      <c r="G463" s="70">
        <f t="shared" si="48"/>
        <v>46.05146666666667</v>
      </c>
      <c r="H463" s="70">
        <f t="shared" si="48"/>
        <v>44.542766666666665</v>
      </c>
      <c r="I463" s="66"/>
      <c r="J463" s="66"/>
      <c r="K463" s="67"/>
      <c r="L463" s="29"/>
      <c r="M463" s="70">
        <f>M56+M60+M68+M72</f>
        <v>657.31680000000006</v>
      </c>
      <c r="N463" s="70">
        <f t="shared" si="49"/>
        <v>40.979533333333329</v>
      </c>
      <c r="O463" s="70">
        <f t="shared" si="49"/>
        <v>46.067933333333336</v>
      </c>
      <c r="P463" s="70">
        <f t="shared" si="49"/>
        <v>44.53456666666667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356.22720000000004</v>
      </c>
      <c r="F464" s="70">
        <f t="shared" si="48"/>
        <v>38.541566666666661</v>
      </c>
      <c r="G464" s="70">
        <f t="shared" si="48"/>
        <v>44.77473333333333</v>
      </c>
      <c r="H464" s="70">
        <f t="shared" si="48"/>
        <v>42.803333333333335</v>
      </c>
      <c r="I464" s="66"/>
      <c r="J464" s="66"/>
      <c r="K464" s="67"/>
      <c r="L464" s="29"/>
      <c r="M464" s="70">
        <f>M57+M61+M69+M73</f>
        <v>356.34800000000001</v>
      </c>
      <c r="N464" s="70">
        <f t="shared" si="49"/>
        <v>38.545533333333339</v>
      </c>
      <c r="O464" s="70">
        <f t="shared" si="49"/>
        <v>44.776633333333336</v>
      </c>
      <c r="P464" s="70">
        <f t="shared" si="49"/>
        <v>42.81196666666667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205.7552</v>
      </c>
      <c r="F465" s="81">
        <f t="shared" si="48"/>
        <v>35.987266666666663</v>
      </c>
      <c r="G465" s="81">
        <f t="shared" si="48"/>
        <v>43.771733333333337</v>
      </c>
      <c r="H465" s="81">
        <f t="shared" si="48"/>
        <v>41.316266666666664</v>
      </c>
      <c r="I465" s="68"/>
      <c r="J465" s="68"/>
      <c r="K465" s="69"/>
      <c r="L465" s="29"/>
      <c r="M465" s="81">
        <f>M58+M62+M70+M74</f>
        <v>205.82159999999999</v>
      </c>
      <c r="N465" s="81">
        <f t="shared" si="49"/>
        <v>35.982366666666671</v>
      </c>
      <c r="O465" s="81">
        <f t="shared" si="49"/>
        <v>43.768033333333335</v>
      </c>
      <c r="P465" s="81">
        <f t="shared" si="49"/>
        <v>41.317066666666669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1789.3607999999999</v>
      </c>
      <c r="F466" s="78">
        <f t="shared" ref="F466:H469" si="50">AVERAGE(F79,F83,F87,F91,F95,F99)</f>
        <v>43.170783333333333</v>
      </c>
      <c r="G466" s="78">
        <f t="shared" si="50"/>
        <v>47.057700000000004</v>
      </c>
      <c r="H466" s="78">
        <f t="shared" si="50"/>
        <v>46.317883333333334</v>
      </c>
      <c r="I466" s="79"/>
      <c r="J466" s="79"/>
      <c r="K466" s="80"/>
      <c r="L466" s="29"/>
      <c r="M466" s="78">
        <f>M103</f>
        <v>1789.7088000000001</v>
      </c>
      <c r="N466" s="78">
        <f t="shared" ref="N466:P469" si="51">AVERAGE(N79,N83,N87,N91,N95,N99)</f>
        <v>43.17551666666666</v>
      </c>
      <c r="O466" s="78">
        <f t="shared" si="51"/>
        <v>47.058549999999997</v>
      </c>
      <c r="P466" s="78">
        <f t="shared" si="51"/>
        <v>46.309799999999996</v>
      </c>
      <c r="Q466" s="79"/>
      <c r="R466" s="79"/>
      <c r="S466" s="80"/>
      <c r="U466" s="8">
        <f>bdrate($E466:$E469,F466:F469,$M466:$M469,N466:N469)</f>
        <v>2.9404658979315101E-4</v>
      </c>
      <c r="V466" s="9">
        <f>bdrate($E466:$E469,G466:G469,$M466:$M469,O466:O469)</f>
        <v>-3.2016874605862444E-3</v>
      </c>
      <c r="W466" s="10">
        <f>bdrate($E466:$E469,H466:H469,$M466:$M469,P466:P469)</f>
        <v>1.2298977865830008E-3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833.19759999999997</v>
      </c>
      <c r="F467" s="70">
        <f t="shared" si="50"/>
        <v>40.882816666666663</v>
      </c>
      <c r="G467" s="70">
        <f t="shared" si="50"/>
        <v>45.92595</v>
      </c>
      <c r="H467" s="70">
        <f t="shared" si="50"/>
        <v>44.544816666666662</v>
      </c>
      <c r="I467" s="66"/>
      <c r="J467" s="66"/>
      <c r="K467" s="67"/>
      <c r="L467" s="29"/>
      <c r="M467" s="70">
        <f>M104</f>
        <v>833.23040000000003</v>
      </c>
      <c r="N467" s="70">
        <f t="shared" si="51"/>
        <v>40.87983333333333</v>
      </c>
      <c r="O467" s="70">
        <f t="shared" si="51"/>
        <v>45.937283333333333</v>
      </c>
      <c r="P467" s="70">
        <f t="shared" si="51"/>
        <v>44.540349999999997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446.62959999999998</v>
      </c>
      <c r="F468" s="70">
        <f t="shared" si="50"/>
        <v>38.442766666666664</v>
      </c>
      <c r="G468" s="70">
        <f t="shared" si="50"/>
        <v>44.710499999999996</v>
      </c>
      <c r="H468" s="70">
        <f t="shared" si="50"/>
        <v>42.81656666666666</v>
      </c>
      <c r="I468" s="66"/>
      <c r="J468" s="66"/>
      <c r="K468" s="67"/>
      <c r="L468" s="29"/>
      <c r="M468" s="70">
        <f>M105</f>
        <v>446.8</v>
      </c>
      <c r="N468" s="70">
        <f t="shared" si="51"/>
        <v>38.443583333333336</v>
      </c>
      <c r="O468" s="70">
        <f t="shared" si="51"/>
        <v>44.713133333333332</v>
      </c>
      <c r="P468" s="70">
        <f t="shared" si="51"/>
        <v>42.81688333333333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255.71199999999999</v>
      </c>
      <c r="F469" s="81">
        <f t="shared" si="50"/>
        <v>35.890333333333331</v>
      </c>
      <c r="G469" s="81">
        <f t="shared" si="50"/>
        <v>43.727716666666673</v>
      </c>
      <c r="H469" s="81">
        <f t="shared" si="50"/>
        <v>41.300783333333335</v>
      </c>
      <c r="I469" s="68"/>
      <c r="J469" s="68"/>
      <c r="K469" s="69"/>
      <c r="L469" s="29"/>
      <c r="M469" s="81">
        <f>M106</f>
        <v>255.62639999999999</v>
      </c>
      <c r="N469" s="81">
        <f t="shared" si="51"/>
        <v>35.885716666666667</v>
      </c>
      <c r="O469" s="81">
        <f t="shared" si="51"/>
        <v>43.729750000000003</v>
      </c>
      <c r="P469" s="81">
        <f t="shared" si="51"/>
        <v>41.302550000000004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1365.5032000000001</v>
      </c>
      <c r="F470" s="78">
        <f t="shared" ref="F470:H473" si="53">AVERAGE(F55,F59,F79,F83,F87)</f>
        <v>43.2333</v>
      </c>
      <c r="G470" s="78">
        <f t="shared" si="53"/>
        <v>46.271640000000005</v>
      </c>
      <c r="H470" s="78">
        <f t="shared" si="53"/>
        <v>45.6083</v>
      </c>
      <c r="I470" s="79"/>
      <c r="J470" s="79"/>
      <c r="K470" s="80"/>
      <c r="L470" s="29"/>
      <c r="M470" s="78">
        <f t="shared" ref="M470:M477" si="54">M462</f>
        <v>1366.2904000000001</v>
      </c>
      <c r="N470" s="78">
        <f t="shared" ref="N470:P473" si="55">AVERAGE(N55,N59,N79,N83,N87)</f>
        <v>43.238039999999998</v>
      </c>
      <c r="O470" s="78">
        <f t="shared" si="55"/>
        <v>46.269019999999998</v>
      </c>
      <c r="P470" s="78">
        <f t="shared" si="55"/>
        <v>45.60266</v>
      </c>
      <c r="Q470" s="79"/>
      <c r="R470" s="79"/>
      <c r="S470" s="80"/>
      <c r="U470" s="8">
        <f>bdrate($E470:$E473,F470:F473,$M470:$M473,N470:N473)</f>
        <v>7.4334036138701265E-4</v>
      </c>
      <c r="V470" s="9">
        <f>bdrate($E470:$E473,G470:G473,$M470:$M473,O470:O473)</f>
        <v>-1.6309642188048201E-3</v>
      </c>
      <c r="W470" s="10">
        <f>bdrate($E470:$E473,H470:H473,$M470:$M473,P470:P473)</f>
        <v>5.0665918113512731E-4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657.14400000000001</v>
      </c>
      <c r="F471" s="70">
        <f t="shared" si="53"/>
        <v>40.952060000000003</v>
      </c>
      <c r="G471" s="70">
        <f t="shared" si="53"/>
        <v>45.218260000000001</v>
      </c>
      <c r="H471" s="70">
        <f t="shared" si="53"/>
        <v>43.944360000000003</v>
      </c>
      <c r="I471" s="66"/>
      <c r="J471" s="66"/>
      <c r="K471" s="67"/>
      <c r="L471" s="29"/>
      <c r="M471" s="70">
        <f t="shared" si="54"/>
        <v>657.31680000000006</v>
      </c>
      <c r="N471" s="70">
        <f t="shared" si="55"/>
        <v>40.945680000000003</v>
      </c>
      <c r="O471" s="70">
        <f t="shared" si="55"/>
        <v>45.227080000000001</v>
      </c>
      <c r="P471" s="70">
        <f t="shared" si="55"/>
        <v>43.940299999999993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356.22720000000004</v>
      </c>
      <c r="F472" s="70">
        <f t="shared" si="53"/>
        <v>38.498759999999997</v>
      </c>
      <c r="G472" s="70">
        <f t="shared" si="53"/>
        <v>44.055599999999998</v>
      </c>
      <c r="H472" s="70">
        <f t="shared" si="53"/>
        <v>42.298079999999999</v>
      </c>
      <c r="I472" s="66"/>
      <c r="J472" s="66"/>
      <c r="K472" s="67"/>
      <c r="L472" s="29"/>
      <c r="M472" s="70">
        <f t="shared" si="54"/>
        <v>356.34800000000001</v>
      </c>
      <c r="N472" s="70">
        <f t="shared" si="55"/>
        <v>38.50018</v>
      </c>
      <c r="O472" s="70">
        <f t="shared" si="55"/>
        <v>44.056499999999993</v>
      </c>
      <c r="P472" s="70">
        <f t="shared" si="55"/>
        <v>42.304040000000001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205.7552</v>
      </c>
      <c r="F473" s="81">
        <f t="shared" si="53"/>
        <v>35.933720000000001</v>
      </c>
      <c r="G473" s="81">
        <f t="shared" si="53"/>
        <v>43.114140000000006</v>
      </c>
      <c r="H473" s="81">
        <f t="shared" si="53"/>
        <v>40.87668</v>
      </c>
      <c r="I473" s="68"/>
      <c r="J473" s="68"/>
      <c r="K473" s="69"/>
      <c r="L473" s="29"/>
      <c r="M473" s="81">
        <f t="shared" si="54"/>
        <v>205.82159999999999</v>
      </c>
      <c r="N473" s="81">
        <f t="shared" si="55"/>
        <v>35.930399999999999</v>
      </c>
      <c r="O473" s="81">
        <f t="shared" si="55"/>
        <v>43.113399999999999</v>
      </c>
      <c r="P473" s="81">
        <f t="shared" si="55"/>
        <v>40.87764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1789.3607999999999</v>
      </c>
      <c r="F474" s="78">
        <f t="shared" ref="F474:H477" si="56">AVERAGE(F55,F59,F63,F79,F83,F87,F91,F95,F99)</f>
        <v>43.072722222222218</v>
      </c>
      <c r="G474" s="78">
        <f t="shared" si="56"/>
        <v>46.223666666666666</v>
      </c>
      <c r="H474" s="78">
        <f t="shared" si="56"/>
        <v>45.653511111111108</v>
      </c>
      <c r="I474" s="79"/>
      <c r="J474" s="79"/>
      <c r="K474" s="80"/>
      <c r="L474" s="29"/>
      <c r="M474" s="78">
        <f t="shared" si="54"/>
        <v>1789.7088000000001</v>
      </c>
      <c r="N474" s="78">
        <f t="shared" ref="N474:P477" si="57">AVERAGE(N55,N59,N63,N79,N83,N87,N91,N95,N99)</f>
        <v>43.076155555555559</v>
      </c>
      <c r="O474" s="78">
        <f t="shared" si="57"/>
        <v>46.224444444444444</v>
      </c>
      <c r="P474" s="78">
        <f t="shared" si="57"/>
        <v>45.64684444444444</v>
      </c>
      <c r="Q474" s="79"/>
      <c r="R474" s="79"/>
      <c r="S474" s="80"/>
      <c r="U474" s="8">
        <f>bdrate($E474:$E477,F474:F477,$M474:$M477,N474:N477)</f>
        <v>2.9360715891812994E-4</v>
      </c>
      <c r="V474" s="9">
        <f>bdrate($E474:$E477,G474:G477,$M474:$M477,O474:O477)</f>
        <v>-2.789882346058481E-3</v>
      </c>
      <c r="W474" s="10">
        <f>bdrate($E474:$E477,H474:H477,$M474:$M477,P474:P477)</f>
        <v>7.4660773034063155E-4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833.19759999999997</v>
      </c>
      <c r="F475" s="70">
        <f t="shared" si="56"/>
        <v>40.799788888888884</v>
      </c>
      <c r="G475" s="70">
        <f t="shared" si="56"/>
        <v>45.163399999999996</v>
      </c>
      <c r="H475" s="70">
        <f t="shared" si="56"/>
        <v>43.978722222222224</v>
      </c>
      <c r="I475" s="66"/>
      <c r="J475" s="66"/>
      <c r="K475" s="67"/>
      <c r="L475" s="29"/>
      <c r="M475" s="70">
        <f t="shared" si="54"/>
        <v>833.23040000000003</v>
      </c>
      <c r="N475" s="70">
        <f t="shared" si="57"/>
        <v>40.797677777777778</v>
      </c>
      <c r="O475" s="70">
        <f t="shared" si="57"/>
        <v>45.171644444444446</v>
      </c>
      <c r="P475" s="70">
        <f t="shared" si="57"/>
        <v>43.976799999999997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446.62959999999998</v>
      </c>
      <c r="F476" s="70">
        <f t="shared" si="56"/>
        <v>38.361988888888888</v>
      </c>
      <c r="G476" s="70">
        <f t="shared" si="56"/>
        <v>44.046466666666667</v>
      </c>
      <c r="H476" s="70">
        <f t="shared" si="56"/>
        <v>42.354522222222229</v>
      </c>
      <c r="I476" s="66"/>
      <c r="J476" s="66"/>
      <c r="K476" s="67"/>
      <c r="L476" s="29"/>
      <c r="M476" s="70">
        <f t="shared" si="54"/>
        <v>446.8</v>
      </c>
      <c r="N476" s="70">
        <f t="shared" si="57"/>
        <v>38.362455555555556</v>
      </c>
      <c r="O476" s="70">
        <f t="shared" si="57"/>
        <v>44.04922222222222</v>
      </c>
      <c r="P476" s="70">
        <f t="shared" si="57"/>
        <v>42.355222222222224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255.71199999999999</v>
      </c>
      <c r="F477" s="81">
        <f t="shared" si="56"/>
        <v>35.809488888888886</v>
      </c>
      <c r="G477" s="81">
        <f t="shared" si="56"/>
        <v>43.115866666666669</v>
      </c>
      <c r="H477" s="81">
        <f t="shared" si="56"/>
        <v>40.910566666666668</v>
      </c>
      <c r="I477" s="68"/>
      <c r="J477" s="68"/>
      <c r="K477" s="69"/>
      <c r="L477" s="29"/>
      <c r="M477" s="81">
        <f t="shared" si="54"/>
        <v>255.62639999999999</v>
      </c>
      <c r="N477" s="81">
        <f t="shared" si="57"/>
        <v>35.804811111111107</v>
      </c>
      <c r="O477" s="81">
        <f t="shared" si="57"/>
        <v>43.119277777777775</v>
      </c>
      <c r="P477" s="81">
        <f t="shared" si="57"/>
        <v>40.911822222222227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1254.8872000000001</v>
      </c>
      <c r="F478" s="78">
        <f t="shared" ref="F478:H481" si="58">AVERAGE(F107,F111)</f>
        <v>40.8292</v>
      </c>
      <c r="G478" s="78">
        <f t="shared" si="58"/>
        <v>43.558700000000002</v>
      </c>
      <c r="H478" s="78">
        <f t="shared" si="58"/>
        <v>43.640550000000005</v>
      </c>
      <c r="I478" s="79"/>
      <c r="J478" s="79"/>
      <c r="K478" s="80"/>
      <c r="L478" s="29"/>
      <c r="M478" s="82">
        <f>M107+M111</f>
        <v>1254.6784</v>
      </c>
      <c r="N478" s="78">
        <f t="shared" ref="N478:P481" si="59">AVERAGE(N107,N111)</f>
        <v>40.828900000000004</v>
      </c>
      <c r="O478" s="78">
        <f t="shared" si="59"/>
        <v>43.554900000000004</v>
      </c>
      <c r="P478" s="78">
        <f t="shared" si="59"/>
        <v>43.6402</v>
      </c>
      <c r="Q478" s="79"/>
      <c r="R478" s="79"/>
      <c r="S478" s="80"/>
      <c r="U478" s="8">
        <f>bdrate($E478:$E481,F478:F481,$M478:$M481,N478:N481)</f>
        <v>-1.1769451054177704E-4</v>
      </c>
      <c r="V478" s="9">
        <f>bdrate($E478:$E481,G478:G481,$M478:$M481,O478:O481)</f>
        <v>-9.260696132078472E-4</v>
      </c>
      <c r="W478" s="10">
        <f>bdrate($E478:$E481,H478:H481,$M478:$M481,P478:P481)</f>
        <v>-1.076698610425586E-3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629.75040000000001</v>
      </c>
      <c r="F479" s="70">
        <f t="shared" si="58"/>
        <v>38.476199999999999</v>
      </c>
      <c r="G479" s="70">
        <f t="shared" si="58"/>
        <v>41.909950000000002</v>
      </c>
      <c r="H479" s="70">
        <f t="shared" si="58"/>
        <v>41.984700000000004</v>
      </c>
      <c r="I479" s="66"/>
      <c r="J479" s="66"/>
      <c r="K479" s="67"/>
      <c r="L479" s="29"/>
      <c r="M479" s="83">
        <f>M108+M112</f>
        <v>629.26480000000004</v>
      </c>
      <c r="N479" s="70">
        <f t="shared" si="59"/>
        <v>38.475149999999999</v>
      </c>
      <c r="O479" s="70">
        <f t="shared" si="59"/>
        <v>41.912500000000001</v>
      </c>
      <c r="P479" s="70">
        <f t="shared" si="59"/>
        <v>41.985950000000003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339.10079999999999</v>
      </c>
      <c r="F480" s="70">
        <f t="shared" si="58"/>
        <v>35.983499999999999</v>
      </c>
      <c r="G480" s="70">
        <f t="shared" si="58"/>
        <v>40.387150000000005</v>
      </c>
      <c r="H480" s="70">
        <f t="shared" si="58"/>
        <v>40.376999999999995</v>
      </c>
      <c r="I480" s="66"/>
      <c r="J480" s="66"/>
      <c r="K480" s="67"/>
      <c r="L480" s="29"/>
      <c r="M480" s="83">
        <f>M109+M113</f>
        <v>339.20799999999997</v>
      </c>
      <c r="N480" s="70">
        <f t="shared" si="59"/>
        <v>35.984049999999996</v>
      </c>
      <c r="O480" s="70">
        <f t="shared" si="59"/>
        <v>40.389049999999997</v>
      </c>
      <c r="P480" s="70">
        <f t="shared" si="59"/>
        <v>40.378100000000003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193.768</v>
      </c>
      <c r="F481" s="81">
        <f t="shared" si="58"/>
        <v>33.49015</v>
      </c>
      <c r="G481" s="81">
        <f t="shared" si="58"/>
        <v>39.238749999999996</v>
      </c>
      <c r="H481" s="81">
        <f t="shared" si="58"/>
        <v>39.171499999999995</v>
      </c>
      <c r="I481" s="68"/>
      <c r="J481" s="68"/>
      <c r="K481" s="69"/>
      <c r="L481" s="29"/>
      <c r="M481" s="84">
        <f>M110+M114</f>
        <v>193.71600000000001</v>
      </c>
      <c r="N481" s="81">
        <f t="shared" si="59"/>
        <v>33.488950000000003</v>
      </c>
      <c r="O481" s="81">
        <f t="shared" si="59"/>
        <v>39.241849999999999</v>
      </c>
      <c r="P481" s="81">
        <f t="shared" si="59"/>
        <v>39.181150000000002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1603.3296</v>
      </c>
      <c r="F482" s="78">
        <f t="shared" ref="F482:H485" si="60">AVERAGE(F107,F111,F115)</f>
        <v>40.520400000000002</v>
      </c>
      <c r="G482" s="78">
        <f t="shared" si="60"/>
        <v>43.322533333333332</v>
      </c>
      <c r="H482" s="78">
        <f t="shared" si="60"/>
        <v>43.341900000000003</v>
      </c>
      <c r="I482" s="79"/>
      <c r="J482" s="79"/>
      <c r="K482" s="80"/>
      <c r="L482" s="29"/>
      <c r="M482" s="78">
        <f>M107+M111+M115</f>
        <v>1602.8448000000001</v>
      </c>
      <c r="N482" s="78">
        <f t="shared" ref="N482:P485" si="61">AVERAGE(N107,N111,N115)</f>
        <v>40.520233333333337</v>
      </c>
      <c r="O482" s="78">
        <f t="shared" si="61"/>
        <v>43.322000000000003</v>
      </c>
      <c r="P482" s="78">
        <f t="shared" si="61"/>
        <v>43.342500000000001</v>
      </c>
      <c r="Q482" s="79"/>
      <c r="R482" s="79"/>
      <c r="S482" s="80"/>
      <c r="U482" s="8">
        <f>bdrate($E482:$E485,F482:F485,$M482:$M485,N482:N485)</f>
        <v>-5.9580878212228683E-6</v>
      </c>
      <c r="V482" s="9">
        <f>bdrate($E482:$E485,G482:G485,$M482:$M485,O482:O485)</f>
        <v>2.3174904165434995E-4</v>
      </c>
      <c r="W482" s="10">
        <f>bdrate($E482:$E485,H482:H485,$M482:$M485,P482:P485)</f>
        <v>4.213897802829436E-4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780.00480000000005</v>
      </c>
      <c r="F483" s="70">
        <f t="shared" si="60"/>
        <v>38.156299999999995</v>
      </c>
      <c r="G483" s="70">
        <f t="shared" si="60"/>
        <v>41.729633333333332</v>
      </c>
      <c r="H483" s="70">
        <f t="shared" si="60"/>
        <v>41.688733333333339</v>
      </c>
      <c r="I483" s="66"/>
      <c r="J483" s="66"/>
      <c r="K483" s="67"/>
      <c r="L483" s="29"/>
      <c r="M483" s="70">
        <f>M108+M112+M116</f>
        <v>779.83360000000005</v>
      </c>
      <c r="N483" s="70">
        <f t="shared" si="61"/>
        <v>38.155999999999999</v>
      </c>
      <c r="O483" s="70">
        <f t="shared" si="61"/>
        <v>41.730966666666667</v>
      </c>
      <c r="P483" s="70">
        <f t="shared" si="61"/>
        <v>41.686866666666667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414.4264</v>
      </c>
      <c r="F484" s="70">
        <f t="shared" si="60"/>
        <v>35.675533333333334</v>
      </c>
      <c r="G484" s="70">
        <f t="shared" si="60"/>
        <v>40.288633333333337</v>
      </c>
      <c r="H484" s="70">
        <f t="shared" si="60"/>
        <v>40.143466666666662</v>
      </c>
      <c r="I484" s="66"/>
      <c r="J484" s="66"/>
      <c r="K484" s="67"/>
      <c r="L484" s="29"/>
      <c r="M484" s="70">
        <f>M109+M113+M117</f>
        <v>414.66479999999996</v>
      </c>
      <c r="N484" s="70">
        <f t="shared" si="61"/>
        <v>35.67733333333333</v>
      </c>
      <c r="O484" s="70">
        <f t="shared" si="61"/>
        <v>40.285366666666668</v>
      </c>
      <c r="P484" s="70">
        <f t="shared" si="61"/>
        <v>40.140800000000006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233.82640000000001</v>
      </c>
      <c r="F485" s="81">
        <f t="shared" si="60"/>
        <v>33.176666666666669</v>
      </c>
      <c r="G485" s="81">
        <f t="shared" si="60"/>
        <v>39.187199999999997</v>
      </c>
      <c r="H485" s="81">
        <f t="shared" si="60"/>
        <v>38.980399999999996</v>
      </c>
      <c r="I485" s="68"/>
      <c r="J485" s="68"/>
      <c r="K485" s="69"/>
      <c r="L485" s="29"/>
      <c r="M485" s="81">
        <f>M110+M114+M118</f>
        <v>233.88159999999999</v>
      </c>
      <c r="N485" s="81">
        <f t="shared" si="61"/>
        <v>33.177066666666668</v>
      </c>
      <c r="O485" s="81">
        <f t="shared" si="61"/>
        <v>39.189533333333337</v>
      </c>
      <c r="P485" s="81">
        <f t="shared" si="61"/>
        <v>38.987233333333336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1568.5656000000001</v>
      </c>
      <c r="F486" s="78">
        <f t="shared" ref="F486:H489" si="62">AVERAGE(F131,F135,F139)</f>
        <v>40.446766666666669</v>
      </c>
      <c r="G486" s="78">
        <f t="shared" si="62"/>
        <v>45.813333333333333</v>
      </c>
      <c r="H486" s="78">
        <f t="shared" si="62"/>
        <v>45.904833333333329</v>
      </c>
      <c r="I486" s="79"/>
      <c r="J486" s="79"/>
      <c r="K486" s="80"/>
      <c r="L486" s="29"/>
      <c r="M486" s="78">
        <f>M107+M111+M119+M123</f>
        <v>1567.8176000000001</v>
      </c>
      <c r="N486" s="78">
        <f t="shared" ref="N486:P489" si="63">AVERAGE(N131,N135,N139)</f>
        <v>40.441699999999997</v>
      </c>
      <c r="O486" s="78">
        <f t="shared" si="63"/>
        <v>45.809566666666662</v>
      </c>
      <c r="P486" s="78">
        <f t="shared" si="63"/>
        <v>45.902033333333328</v>
      </c>
      <c r="Q486" s="79"/>
      <c r="R486" s="79"/>
      <c r="S486" s="80"/>
      <c r="U486" s="8">
        <f>bdrate($E486:$E489,F486:F489,$M486:$M489,N486:N489)</f>
        <v>5.6293599712997633E-4</v>
      </c>
      <c r="V486" s="9">
        <f>bdrate($E486:$E489,G486:G489,$M486:$M489,O486:O489)</f>
        <v>7.9271474784858853E-4</v>
      </c>
      <c r="W486" s="10">
        <f>bdrate($E486:$E489,H486:H489,$M486:$M489,P486:P489)</f>
        <v>-1.3778075987104232E-3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737.56240000000003</v>
      </c>
      <c r="F487" s="70">
        <f t="shared" si="62"/>
        <v>38.212933333333332</v>
      </c>
      <c r="G487" s="70">
        <f t="shared" si="62"/>
        <v>43.99046666666667</v>
      </c>
      <c r="H487" s="70">
        <f t="shared" si="62"/>
        <v>44.027433333333335</v>
      </c>
      <c r="I487" s="66"/>
      <c r="J487" s="66"/>
      <c r="K487" s="67"/>
      <c r="L487" s="29"/>
      <c r="M487" s="70">
        <f>M108+M112+M120+M124</f>
        <v>737.38880000000006</v>
      </c>
      <c r="N487" s="70">
        <f t="shared" si="63"/>
        <v>38.207966666666664</v>
      </c>
      <c r="O487" s="70">
        <f t="shared" si="63"/>
        <v>43.990499999999997</v>
      </c>
      <c r="P487" s="70">
        <f t="shared" si="63"/>
        <v>44.028633333333325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384.17040000000003</v>
      </c>
      <c r="F488" s="70">
        <f t="shared" si="62"/>
        <v>35.832166666666666</v>
      </c>
      <c r="G488" s="70">
        <f t="shared" si="62"/>
        <v>42.195999999999998</v>
      </c>
      <c r="H488" s="70">
        <f t="shared" si="62"/>
        <v>42.117199999999997</v>
      </c>
      <c r="I488" s="66"/>
      <c r="J488" s="66"/>
      <c r="K488" s="67"/>
      <c r="L488" s="29"/>
      <c r="M488" s="70">
        <f>M109+M113+M121+M125</f>
        <v>384.04879999999997</v>
      </c>
      <c r="N488" s="70">
        <f t="shared" si="63"/>
        <v>35.831499999999998</v>
      </c>
      <c r="O488" s="70">
        <f t="shared" si="63"/>
        <v>42.189466666666668</v>
      </c>
      <c r="P488" s="70">
        <f t="shared" si="63"/>
        <v>42.121433333333329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214.10559999999998</v>
      </c>
      <c r="F489" s="81">
        <f t="shared" si="62"/>
        <v>33.389466666666664</v>
      </c>
      <c r="G489" s="81">
        <f t="shared" si="62"/>
        <v>40.769399999999997</v>
      </c>
      <c r="H489" s="81">
        <f t="shared" si="62"/>
        <v>40.660333333333334</v>
      </c>
      <c r="I489" s="68"/>
      <c r="J489" s="68"/>
      <c r="K489" s="69"/>
      <c r="L489" s="29"/>
      <c r="M489" s="81">
        <f>M110+M114+M122+M126</f>
        <v>213.9896</v>
      </c>
      <c r="N489" s="81">
        <f t="shared" si="63"/>
        <v>33.387233333333334</v>
      </c>
      <c r="O489" s="81">
        <f t="shared" si="63"/>
        <v>40.768566666666665</v>
      </c>
      <c r="P489" s="81">
        <f t="shared" si="63"/>
        <v>40.672066666666666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2034.4672</v>
      </c>
      <c r="F490" s="78">
        <f t="shared" ref="F490:H493" si="64">AVERAGE(F131,F135,F139,F143,F147,F151)</f>
        <v>40.414433333333328</v>
      </c>
      <c r="G490" s="78">
        <f t="shared" si="64"/>
        <v>45.714649999999999</v>
      </c>
      <c r="H490" s="78">
        <f t="shared" si="64"/>
        <v>45.759366666666665</v>
      </c>
      <c r="I490" s="79"/>
      <c r="J490" s="79"/>
      <c r="K490" s="80"/>
      <c r="L490" s="29"/>
      <c r="M490" s="78">
        <f>M155</f>
        <v>2032.9151999999999</v>
      </c>
      <c r="N490" s="78">
        <f t="shared" ref="N490:P493" si="65">AVERAGE(N131,N135,N139,N143,N147,N151)</f>
        <v>40.418799999999997</v>
      </c>
      <c r="O490" s="78">
        <f t="shared" si="65"/>
        <v>45.714399999999991</v>
      </c>
      <c r="P490" s="78">
        <f t="shared" si="65"/>
        <v>45.760583333333329</v>
      </c>
      <c r="Q490" s="79"/>
      <c r="R490" s="79"/>
      <c r="S490" s="80"/>
      <c r="U490" s="8">
        <f>bdrate($E490:$E493,F490:F493,$M490:$M493,N490:N493)</f>
        <v>-6.8324835265198836E-5</v>
      </c>
      <c r="V490" s="9">
        <f>bdrate($E490:$E493,G490:G493,$M490:$M493,O490:O493)</f>
        <v>7.4975184508940806E-4</v>
      </c>
      <c r="W490" s="10">
        <f>bdrate($E490:$E493,H490:H493,$M490:$M493,P490:P493)</f>
        <v>5.3827614448187511E-4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930.36400000000003</v>
      </c>
      <c r="F491" s="70">
        <f t="shared" si="64"/>
        <v>38.132916666666667</v>
      </c>
      <c r="G491" s="70">
        <f t="shared" si="64"/>
        <v>43.911849999999994</v>
      </c>
      <c r="H491" s="70">
        <f t="shared" si="64"/>
        <v>43.852133333333335</v>
      </c>
      <c r="I491" s="66"/>
      <c r="J491" s="66"/>
      <c r="K491" s="67"/>
      <c r="L491" s="29"/>
      <c r="M491" s="70">
        <f>M156</f>
        <v>930.58240000000001</v>
      </c>
      <c r="N491" s="70">
        <f t="shared" si="65"/>
        <v>38.1355</v>
      </c>
      <c r="O491" s="70">
        <f t="shared" si="65"/>
        <v>43.912016666666666</v>
      </c>
      <c r="P491" s="70">
        <f t="shared" si="65"/>
        <v>43.852416666666663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480.90480000000002</v>
      </c>
      <c r="F492" s="70">
        <f t="shared" si="64"/>
        <v>35.729966666666662</v>
      </c>
      <c r="G492" s="70">
        <f t="shared" si="64"/>
        <v>42.123149999999995</v>
      </c>
      <c r="H492" s="70">
        <f t="shared" si="64"/>
        <v>41.921216666666659</v>
      </c>
      <c r="I492" s="66"/>
      <c r="J492" s="66"/>
      <c r="K492" s="67"/>
      <c r="L492" s="29"/>
      <c r="M492" s="70">
        <f>M157</f>
        <v>481.08960000000002</v>
      </c>
      <c r="N492" s="70">
        <f t="shared" si="65"/>
        <v>35.728133333333332</v>
      </c>
      <c r="O492" s="70">
        <f t="shared" si="65"/>
        <v>42.118116666666666</v>
      </c>
      <c r="P492" s="70">
        <f t="shared" si="65"/>
        <v>41.916033333333331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267.4864</v>
      </c>
      <c r="F493" s="81">
        <f t="shared" si="64"/>
        <v>33.257116666666668</v>
      </c>
      <c r="G493" s="81">
        <f t="shared" si="64"/>
        <v>40.717283333333334</v>
      </c>
      <c r="H493" s="81">
        <f t="shared" si="64"/>
        <v>40.478433333333335</v>
      </c>
      <c r="I493" s="68"/>
      <c r="J493" s="68"/>
      <c r="K493" s="69"/>
      <c r="L493" s="29"/>
      <c r="M493" s="81">
        <f>M158</f>
        <v>267.56240000000003</v>
      </c>
      <c r="N493" s="81">
        <f t="shared" si="65"/>
        <v>33.255283333333331</v>
      </c>
      <c r="O493" s="81">
        <f t="shared" si="65"/>
        <v>40.718883333333338</v>
      </c>
      <c r="P493" s="81">
        <f t="shared" si="65"/>
        <v>40.482183333333332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1568.5656000000001</v>
      </c>
      <c r="F494" s="78">
        <f t="shared" ref="F494:H497" si="67">AVERAGE(F107,F111,F131,F135,F139)</f>
        <v>40.599740000000004</v>
      </c>
      <c r="G494" s="78">
        <f t="shared" si="67"/>
        <v>44.911479999999997</v>
      </c>
      <c r="H494" s="78">
        <f t="shared" si="67"/>
        <v>44.999120000000005</v>
      </c>
      <c r="I494" s="79"/>
      <c r="J494" s="79"/>
      <c r="K494" s="80"/>
      <c r="L494" s="29"/>
      <c r="M494" s="78">
        <f t="shared" ref="M494:M501" si="68">M486</f>
        <v>1567.8176000000001</v>
      </c>
      <c r="N494" s="78">
        <f t="shared" ref="N494:P497" si="69">AVERAGE(N107,N111,N131,N135,N139)</f>
        <v>40.596580000000003</v>
      </c>
      <c r="O494" s="78">
        <f t="shared" si="69"/>
        <v>44.907699999999998</v>
      </c>
      <c r="P494" s="78">
        <f t="shared" si="69"/>
        <v>44.99730000000001</v>
      </c>
      <c r="Q494" s="79"/>
      <c r="R494" s="79"/>
      <c r="S494" s="80"/>
      <c r="U494" s="8">
        <f>bdrate($E494:$E497,F494:F497,$M494:$M497,N494:N497)</f>
        <v>2.3883876752073263E-4</v>
      </c>
      <c r="V494" s="9">
        <f>bdrate($E494:$E497,G494:G497,$M494:$M497,O494:O497)</f>
        <v>1.4071109043078955E-4</v>
      </c>
      <c r="W494" s="10">
        <f>bdrate($E494:$E497,H494:H497,$M494:$M497,P494:P497)</f>
        <v>-1.3011190163545461E-3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737.56240000000003</v>
      </c>
      <c r="F495" s="70">
        <f t="shared" si="67"/>
        <v>38.318239999999996</v>
      </c>
      <c r="G495" s="70">
        <f t="shared" si="67"/>
        <v>43.158259999999999</v>
      </c>
      <c r="H495" s="70">
        <f t="shared" si="67"/>
        <v>43.210340000000002</v>
      </c>
      <c r="I495" s="66"/>
      <c r="J495" s="66"/>
      <c r="K495" s="67"/>
      <c r="L495" s="29"/>
      <c r="M495" s="70">
        <f t="shared" si="68"/>
        <v>737.38880000000006</v>
      </c>
      <c r="N495" s="70">
        <f t="shared" si="69"/>
        <v>38.314840000000004</v>
      </c>
      <c r="O495" s="70">
        <f t="shared" si="69"/>
        <v>43.159300000000002</v>
      </c>
      <c r="P495" s="70">
        <f t="shared" si="69"/>
        <v>43.211559999999999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384.17040000000003</v>
      </c>
      <c r="F496" s="70">
        <f t="shared" si="67"/>
        <v>35.892699999999998</v>
      </c>
      <c r="G496" s="70">
        <f t="shared" si="67"/>
        <v>41.472459999999998</v>
      </c>
      <c r="H496" s="70">
        <f t="shared" si="67"/>
        <v>41.421119999999995</v>
      </c>
      <c r="I496" s="66"/>
      <c r="J496" s="66"/>
      <c r="K496" s="67"/>
      <c r="L496" s="29"/>
      <c r="M496" s="70">
        <f t="shared" si="68"/>
        <v>384.04879999999997</v>
      </c>
      <c r="N496" s="70">
        <f t="shared" si="69"/>
        <v>35.892519999999998</v>
      </c>
      <c r="O496" s="70">
        <f t="shared" si="69"/>
        <v>41.469299999999997</v>
      </c>
      <c r="P496" s="70">
        <f t="shared" si="69"/>
        <v>41.424099999999996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214.10559999999998</v>
      </c>
      <c r="F497" s="81">
        <f t="shared" si="67"/>
        <v>33.429739999999995</v>
      </c>
      <c r="G497" s="81">
        <f t="shared" si="67"/>
        <v>40.157139999999998</v>
      </c>
      <c r="H497" s="81">
        <f t="shared" si="67"/>
        <v>40.064799999999998</v>
      </c>
      <c r="I497" s="68"/>
      <c r="J497" s="68"/>
      <c r="K497" s="69"/>
      <c r="L497" s="29"/>
      <c r="M497" s="81">
        <f t="shared" si="68"/>
        <v>213.9896</v>
      </c>
      <c r="N497" s="81">
        <f t="shared" si="69"/>
        <v>33.42792</v>
      </c>
      <c r="O497" s="81">
        <f t="shared" si="69"/>
        <v>40.157879999999999</v>
      </c>
      <c r="P497" s="81">
        <f t="shared" si="69"/>
        <v>40.075700000000005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2034.4672</v>
      </c>
      <c r="F498" s="78">
        <f t="shared" ref="F498:H501" si="70">AVERAGE(F107,F111,F115,F131,F135,F139,F143,F147,F151)</f>
        <v>40.449755555555555</v>
      </c>
      <c r="G498" s="78">
        <f t="shared" si="70"/>
        <v>44.917277777777777</v>
      </c>
      <c r="H498" s="78">
        <f t="shared" si="70"/>
        <v>44.953544444444439</v>
      </c>
      <c r="I498" s="79"/>
      <c r="J498" s="79"/>
      <c r="K498" s="80"/>
      <c r="L498" s="29"/>
      <c r="M498" s="78">
        <f t="shared" si="68"/>
        <v>2032.9151999999999</v>
      </c>
      <c r="N498" s="78">
        <f t="shared" ref="N498:P501" si="71">AVERAGE(N107,N111,N115,N131,N135,N139,N143,N147,N151)</f>
        <v>40.452611111111111</v>
      </c>
      <c r="O498" s="78">
        <f t="shared" si="71"/>
        <v>44.916933333333333</v>
      </c>
      <c r="P498" s="78">
        <f t="shared" si="71"/>
        <v>44.954555555555558</v>
      </c>
      <c r="Q498" s="79"/>
      <c r="R498" s="79"/>
      <c r="S498" s="80"/>
      <c r="U498" s="8">
        <f>bdrate($E498:$E501,F498:F501,$M498:$M501,N498:N501)</f>
        <v>-3.3815062676079144E-5</v>
      </c>
      <c r="V498" s="9">
        <f>bdrate($E498:$E501,G498:G501,$M498:$M501,O498:O501)</f>
        <v>6.2123372380806785E-4</v>
      </c>
      <c r="W498" s="10">
        <f>bdrate($E498:$E501,H498:H501,$M498:$M501,P498:P501)</f>
        <v>5.3052724070279389E-4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930.36400000000003</v>
      </c>
      <c r="F499" s="70">
        <f t="shared" si="70"/>
        <v>38.140711111111116</v>
      </c>
      <c r="G499" s="70">
        <f t="shared" si="70"/>
        <v>43.184444444444438</v>
      </c>
      <c r="H499" s="70">
        <f t="shared" si="70"/>
        <v>43.131</v>
      </c>
      <c r="I499" s="66"/>
      <c r="J499" s="66"/>
      <c r="K499" s="67"/>
      <c r="L499" s="29"/>
      <c r="M499" s="70">
        <f t="shared" si="68"/>
        <v>930.58240000000001</v>
      </c>
      <c r="N499" s="70">
        <f t="shared" si="71"/>
        <v>38.142333333333333</v>
      </c>
      <c r="O499" s="70">
        <f t="shared" si="71"/>
        <v>43.184999999999995</v>
      </c>
      <c r="P499" s="70">
        <f t="shared" si="71"/>
        <v>43.130566666666674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480.90480000000002</v>
      </c>
      <c r="F500" s="70">
        <f t="shared" si="70"/>
        <v>35.711822222222217</v>
      </c>
      <c r="G500" s="70">
        <f t="shared" si="70"/>
        <v>41.511644444444443</v>
      </c>
      <c r="H500" s="70">
        <f t="shared" si="70"/>
        <v>41.328633333333329</v>
      </c>
      <c r="I500" s="66"/>
      <c r="J500" s="66"/>
      <c r="K500" s="67"/>
      <c r="L500" s="29"/>
      <c r="M500" s="70">
        <f t="shared" si="68"/>
        <v>481.08960000000002</v>
      </c>
      <c r="N500" s="70">
        <f t="shared" si="71"/>
        <v>35.711199999999998</v>
      </c>
      <c r="O500" s="70">
        <f t="shared" si="71"/>
        <v>41.507199999999997</v>
      </c>
      <c r="P500" s="70">
        <f t="shared" si="71"/>
        <v>41.324288888888887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267.4864</v>
      </c>
      <c r="F501" s="81">
        <f t="shared" si="70"/>
        <v>33.2303</v>
      </c>
      <c r="G501" s="81">
        <f t="shared" si="70"/>
        <v>40.207255555555555</v>
      </c>
      <c r="H501" s="81">
        <f t="shared" si="70"/>
        <v>39.979088888888889</v>
      </c>
      <c r="I501" s="68"/>
      <c r="J501" s="68"/>
      <c r="K501" s="69"/>
      <c r="L501" s="29"/>
      <c r="M501" s="81">
        <f t="shared" si="68"/>
        <v>267.56240000000003</v>
      </c>
      <c r="N501" s="81">
        <f t="shared" si="71"/>
        <v>33.229211111111113</v>
      </c>
      <c r="O501" s="81">
        <f t="shared" si="71"/>
        <v>40.209100000000007</v>
      </c>
      <c r="P501" s="81">
        <f t="shared" si="71"/>
        <v>39.983866666666671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4237.8743999999997</v>
      </c>
      <c r="F502" s="78">
        <f t="shared" ref="F502:H505" si="72">AVERAGE(F159,F163)</f>
        <v>39.998699999999999</v>
      </c>
      <c r="G502" s="78">
        <f t="shared" si="72"/>
        <v>45.389650000000003</v>
      </c>
      <c r="H502" s="78">
        <f t="shared" si="72"/>
        <v>46.235500000000002</v>
      </c>
      <c r="I502" s="79"/>
      <c r="J502" s="79"/>
      <c r="K502" s="80"/>
      <c r="L502" s="29"/>
      <c r="M502" s="82">
        <f>M159+M163</f>
        <v>4238.2911999999997</v>
      </c>
      <c r="N502" s="78">
        <f t="shared" ref="N502:P505" si="73">AVERAGE(N159,N163)</f>
        <v>39.999099999999999</v>
      </c>
      <c r="O502" s="78">
        <f t="shared" si="73"/>
        <v>45.390150000000006</v>
      </c>
      <c r="P502" s="78">
        <f t="shared" si="73"/>
        <v>46.235950000000003</v>
      </c>
      <c r="Q502" s="79"/>
      <c r="R502" s="79"/>
      <c r="S502" s="80"/>
      <c r="U502" s="8">
        <f>bdrate($E502:$E505,F502:F505,$M502:$M505,N502:N505)</f>
        <v>1.0766392560412896E-4</v>
      </c>
      <c r="V502" s="9">
        <f>bdrate($E502:$E505,G502:G505,$M502:$M505,O502:O505)</f>
        <v>1.7088495856576458E-5</v>
      </c>
      <c r="W502" s="10">
        <f>bdrate($E502:$E505,H502:H505,$M502:$M505,P502:P505)</f>
        <v>1.2863211986657852E-4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1800.1272000000001</v>
      </c>
      <c r="F503" s="70">
        <f t="shared" si="72"/>
        <v>37.644999999999996</v>
      </c>
      <c r="G503" s="70">
        <f t="shared" si="72"/>
        <v>43.597949999999997</v>
      </c>
      <c r="H503" s="70">
        <f t="shared" si="72"/>
        <v>44.433800000000005</v>
      </c>
      <c r="I503" s="66"/>
      <c r="J503" s="66"/>
      <c r="K503" s="67"/>
      <c r="L503" s="29"/>
      <c r="M503" s="83">
        <f>M160+M164</f>
        <v>1800.0416</v>
      </c>
      <c r="N503" s="70">
        <f t="shared" si="73"/>
        <v>37.644350000000003</v>
      </c>
      <c r="O503" s="70">
        <f t="shared" si="73"/>
        <v>43.597650000000002</v>
      </c>
      <c r="P503" s="70">
        <f t="shared" si="73"/>
        <v>44.433599999999998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831.54559999999992</v>
      </c>
      <c r="F504" s="70">
        <f t="shared" si="72"/>
        <v>35.501300000000001</v>
      </c>
      <c r="G504" s="70">
        <f t="shared" si="72"/>
        <v>41.797750000000001</v>
      </c>
      <c r="H504" s="70">
        <f t="shared" si="72"/>
        <v>42.626100000000001</v>
      </c>
      <c r="I504" s="66"/>
      <c r="J504" s="66"/>
      <c r="K504" s="67"/>
      <c r="L504" s="29"/>
      <c r="M504" s="83">
        <f>M161+M165</f>
        <v>831.30079999999998</v>
      </c>
      <c r="N504" s="70">
        <f t="shared" si="73"/>
        <v>35.500700000000002</v>
      </c>
      <c r="O504" s="70">
        <f t="shared" si="73"/>
        <v>41.797399999999996</v>
      </c>
      <c r="P504" s="70">
        <f t="shared" si="73"/>
        <v>42.625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399.95439999999996</v>
      </c>
      <c r="F505" s="81">
        <f t="shared" si="72"/>
        <v>33.378749999999997</v>
      </c>
      <c r="G505" s="81">
        <f t="shared" si="72"/>
        <v>40.5595</v>
      </c>
      <c r="H505" s="81">
        <f t="shared" si="72"/>
        <v>41.393349999999998</v>
      </c>
      <c r="I505" s="68"/>
      <c r="J505" s="68"/>
      <c r="K505" s="69"/>
      <c r="L505" s="29"/>
      <c r="M505" s="84">
        <f>M162+M166</f>
        <v>400.03359999999998</v>
      </c>
      <c r="N505" s="81">
        <f t="shared" si="73"/>
        <v>33.377600000000001</v>
      </c>
      <c r="O505" s="81">
        <f t="shared" si="73"/>
        <v>40.559100000000001</v>
      </c>
      <c r="P505" s="81">
        <f t="shared" si="73"/>
        <v>41.392899999999997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4783.5936000000002</v>
      </c>
      <c r="F506" s="78">
        <f t="shared" ref="F506:H509" si="74">AVERAGE(F159,F163,F167)</f>
        <v>39.901533333333333</v>
      </c>
      <c r="G506" s="78">
        <f t="shared" si="74"/>
        <v>45.353400000000001</v>
      </c>
      <c r="H506" s="78">
        <f t="shared" si="74"/>
        <v>46.202866666666665</v>
      </c>
      <c r="I506" s="79"/>
      <c r="J506" s="79"/>
      <c r="K506" s="80"/>
      <c r="L506" s="29"/>
      <c r="M506" s="78">
        <f>M159+M163+M167</f>
        <v>4784.6183999999994</v>
      </c>
      <c r="N506" s="78">
        <f t="shared" ref="N506:P509" si="75">AVERAGE(N159,N163,N167)</f>
        <v>39.901933333333332</v>
      </c>
      <c r="O506" s="78">
        <f t="shared" si="75"/>
        <v>45.353433333333335</v>
      </c>
      <c r="P506" s="78">
        <f t="shared" si="75"/>
        <v>46.202933333333334</v>
      </c>
      <c r="Q506" s="79"/>
      <c r="R506" s="79"/>
      <c r="S506" s="80"/>
      <c r="U506" s="8">
        <f>bdrate($E506:$E509,F506:F509,$M506:$M509,N506:N509)</f>
        <v>-3.8195883483860271E-6</v>
      </c>
      <c r="V506" s="9">
        <f>bdrate($E506:$E509,G506:G509,$M506:$M509,O506:O509)</f>
        <v>4.6894847528733408E-5</v>
      </c>
      <c r="W506" s="10">
        <f>bdrate($E506:$E509,H506:H509,$M506:$M509,P506:P509)</f>
        <v>1.7192893330197911E-4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1992.4496000000001</v>
      </c>
      <c r="F507" s="70">
        <f t="shared" si="74"/>
        <v>37.572266666666664</v>
      </c>
      <c r="G507" s="70">
        <f t="shared" si="74"/>
        <v>43.573333333333331</v>
      </c>
      <c r="H507" s="70">
        <f t="shared" si="74"/>
        <v>44.412500000000001</v>
      </c>
      <c r="I507" s="66"/>
      <c r="J507" s="66"/>
      <c r="K507" s="67"/>
      <c r="L507" s="29"/>
      <c r="M507" s="70">
        <f>M160+M164+M168</f>
        <v>1992.2103999999999</v>
      </c>
      <c r="N507" s="70">
        <f t="shared" si="75"/>
        <v>37.5717</v>
      </c>
      <c r="O507" s="70">
        <f t="shared" si="75"/>
        <v>43.572900000000004</v>
      </c>
      <c r="P507" s="70">
        <f t="shared" si="75"/>
        <v>44.412166666666671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910.66159999999991</v>
      </c>
      <c r="F508" s="70">
        <f t="shared" si="74"/>
        <v>35.446033333333332</v>
      </c>
      <c r="G508" s="70">
        <f t="shared" si="74"/>
        <v>41.784033333333333</v>
      </c>
      <c r="H508" s="70">
        <f t="shared" si="74"/>
        <v>42.615266666666663</v>
      </c>
      <c r="I508" s="66"/>
      <c r="J508" s="66"/>
      <c r="K508" s="67"/>
      <c r="L508" s="29"/>
      <c r="M508" s="70">
        <f>M161+M165+M169</f>
        <v>910.45119999999997</v>
      </c>
      <c r="N508" s="70">
        <f t="shared" si="75"/>
        <v>35.446333333333335</v>
      </c>
      <c r="O508" s="70">
        <f t="shared" si="75"/>
        <v>41.78393333333333</v>
      </c>
      <c r="P508" s="70">
        <f t="shared" si="75"/>
        <v>42.614466666666665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436.68719999999996</v>
      </c>
      <c r="F509" s="81">
        <f t="shared" si="74"/>
        <v>33.333833333333331</v>
      </c>
      <c r="G509" s="81">
        <f t="shared" si="74"/>
        <v>40.543733333333336</v>
      </c>
      <c r="H509" s="81">
        <f t="shared" si="74"/>
        <v>41.380800000000001</v>
      </c>
      <c r="I509" s="68"/>
      <c r="J509" s="68"/>
      <c r="K509" s="69"/>
      <c r="L509" s="29"/>
      <c r="M509" s="81">
        <f>M162+M166+M170</f>
        <v>436.8784</v>
      </c>
      <c r="N509" s="81">
        <f t="shared" si="75"/>
        <v>33.333333333333336</v>
      </c>
      <c r="O509" s="81">
        <f t="shared" si="75"/>
        <v>40.543599999999998</v>
      </c>
      <c r="P509" s="81">
        <f t="shared" si="75"/>
        <v>41.380166666666668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4627.28</v>
      </c>
      <c r="F510" s="78">
        <f t="shared" ref="F510:H513" si="76">AVERAGE(F183,F187,F191)</f>
        <v>40.055766666666663</v>
      </c>
      <c r="G510" s="78">
        <f t="shared" si="76"/>
        <v>46.591866666666668</v>
      </c>
      <c r="H510" s="78">
        <f t="shared" si="76"/>
        <v>47.008633333333336</v>
      </c>
      <c r="I510" s="79"/>
      <c r="J510" s="79"/>
      <c r="K510" s="80"/>
      <c r="L510" s="29"/>
      <c r="M510" s="78">
        <f>M159+M163+M171+M175</f>
        <v>4628.0495999999994</v>
      </c>
      <c r="N510" s="78">
        <f t="shared" ref="N510:P513" si="77">AVERAGE(N183,N187,N191)</f>
        <v>40.054833333333335</v>
      </c>
      <c r="O510" s="78">
        <f t="shared" si="77"/>
        <v>46.596666666666664</v>
      </c>
      <c r="P510" s="78">
        <f t="shared" si="77"/>
        <v>47.009766666666671</v>
      </c>
      <c r="Q510" s="79"/>
      <c r="R510" s="79"/>
      <c r="S510" s="80"/>
      <c r="U510" s="8">
        <f>bdrate($E510:$E513,F510:F513,$M510:$M513,N510:N513)</f>
        <v>1.8916871053309414E-4</v>
      </c>
      <c r="V510" s="9">
        <f>bdrate($E510:$E513,G510:G513,$M510:$M513,O510:O513)</f>
        <v>2.6626860282010778E-3</v>
      </c>
      <c r="W510" s="10">
        <f>bdrate($E510:$E513,H510:H513,$M510:$M513,P510:P513)</f>
        <v>1.9944062663668216E-3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1927.7336</v>
      </c>
      <c r="F511" s="70">
        <f t="shared" si="76"/>
        <v>37.741499999999995</v>
      </c>
      <c r="G511" s="70">
        <f t="shared" si="76"/>
        <v>44.826666666666661</v>
      </c>
      <c r="H511" s="70">
        <f t="shared" si="76"/>
        <v>45.371233333333329</v>
      </c>
      <c r="I511" s="66"/>
      <c r="J511" s="66"/>
      <c r="K511" s="67"/>
      <c r="L511" s="29"/>
      <c r="M511" s="70">
        <f>M160+M164+M172+M176</f>
        <v>1927.4840000000002</v>
      </c>
      <c r="N511" s="70">
        <f t="shared" si="77"/>
        <v>37.738300000000002</v>
      </c>
      <c r="O511" s="70">
        <f t="shared" si="77"/>
        <v>44.81486666666666</v>
      </c>
      <c r="P511" s="70">
        <f t="shared" si="77"/>
        <v>45.358733333333333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880.72479999999996</v>
      </c>
      <c r="F512" s="70">
        <f t="shared" si="76"/>
        <v>35.602133333333335</v>
      </c>
      <c r="G512" s="70">
        <f t="shared" si="76"/>
        <v>42.889066666666672</v>
      </c>
      <c r="H512" s="70">
        <f t="shared" si="76"/>
        <v>43.551299999999998</v>
      </c>
      <c r="I512" s="66"/>
      <c r="J512" s="66"/>
      <c r="K512" s="67"/>
      <c r="L512" s="29"/>
      <c r="M512" s="70">
        <f>M161+M165+M173+M177</f>
        <v>880.27120000000002</v>
      </c>
      <c r="N512" s="70">
        <f t="shared" si="77"/>
        <v>35.604166666666664</v>
      </c>
      <c r="O512" s="70">
        <f t="shared" si="77"/>
        <v>42.887633333333333</v>
      </c>
      <c r="P512" s="70">
        <f t="shared" si="77"/>
        <v>43.552999999999997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420.81360000000001</v>
      </c>
      <c r="F513" s="81">
        <f t="shared" si="76"/>
        <v>33.475966666666665</v>
      </c>
      <c r="G513" s="81">
        <f t="shared" si="76"/>
        <v>41.518799999999999</v>
      </c>
      <c r="H513" s="81">
        <f t="shared" si="76"/>
        <v>42.236533333333334</v>
      </c>
      <c r="I513" s="68"/>
      <c r="J513" s="68"/>
      <c r="K513" s="69"/>
      <c r="L513" s="29"/>
      <c r="M513" s="81">
        <f>M162+M166+M174+M178</f>
        <v>421.01199999999994</v>
      </c>
      <c r="N513" s="81">
        <f t="shared" si="77"/>
        <v>33.473599999999998</v>
      </c>
      <c r="O513" s="81">
        <f t="shared" si="77"/>
        <v>41.505233333333337</v>
      </c>
      <c r="P513" s="81">
        <f t="shared" si="77"/>
        <v>42.2348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5282.8407999999999</v>
      </c>
      <c r="F514" s="78">
        <f t="shared" ref="F514:H517" si="78">AVERAGE(F183,F187,F191,F195,F199,F203)</f>
        <v>40.051583333333333</v>
      </c>
      <c r="G514" s="78">
        <f t="shared" si="78"/>
        <v>46.558016666666667</v>
      </c>
      <c r="H514" s="78">
        <f t="shared" si="78"/>
        <v>47.065433333333338</v>
      </c>
      <c r="I514" s="79"/>
      <c r="J514" s="79"/>
      <c r="K514" s="80"/>
      <c r="L514" s="29"/>
      <c r="M514" s="78">
        <f>M207</f>
        <v>5283.884</v>
      </c>
      <c r="N514" s="78">
        <f t="shared" ref="N514:P517" si="79">AVERAGE(N183,N187,N191,N195,N199,N203)</f>
        <v>40.048000000000002</v>
      </c>
      <c r="O514" s="78">
        <f t="shared" si="79"/>
        <v>46.561383333333332</v>
      </c>
      <c r="P514" s="78">
        <f t="shared" si="79"/>
        <v>47.063116666666666</v>
      </c>
      <c r="Q514" s="79"/>
      <c r="R514" s="79"/>
      <c r="S514" s="80"/>
      <c r="U514" s="8">
        <f>bdrate($E514:$E517,F514:F517,$M514:$M517,N514:N517)</f>
        <v>-2.604999284281373E-4</v>
      </c>
      <c r="V514" s="9">
        <f>bdrate($E514:$E517,G514:G517,$M514:$M517,O514:O517)</f>
        <v>4.2138521108991966E-4</v>
      </c>
      <c r="W514" s="10">
        <f>bdrate($E514:$E517,H514:H517,$M514:$M517,P514:P517)</f>
        <v>4.1648448751252509E-4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2155.6496000000002</v>
      </c>
      <c r="F515" s="70">
        <f t="shared" si="78"/>
        <v>37.723666666666666</v>
      </c>
      <c r="G515" s="70">
        <f t="shared" si="78"/>
        <v>44.792433333333342</v>
      </c>
      <c r="H515" s="70">
        <f t="shared" si="78"/>
        <v>45.392383333333328</v>
      </c>
      <c r="I515" s="66"/>
      <c r="J515" s="66"/>
      <c r="K515" s="67"/>
      <c r="L515" s="29"/>
      <c r="M515" s="70">
        <f>M208</f>
        <v>2155.2352000000001</v>
      </c>
      <c r="N515" s="70">
        <f t="shared" si="79"/>
        <v>37.723599999999998</v>
      </c>
      <c r="O515" s="70">
        <f t="shared" si="79"/>
        <v>44.788583333333328</v>
      </c>
      <c r="P515" s="70">
        <f t="shared" si="79"/>
        <v>45.387799999999999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977.29920000000004</v>
      </c>
      <c r="F516" s="70">
        <f t="shared" si="78"/>
        <v>35.588183333333326</v>
      </c>
      <c r="G516" s="70">
        <f t="shared" si="78"/>
        <v>42.854549999999996</v>
      </c>
      <c r="H516" s="70">
        <f t="shared" si="78"/>
        <v>43.529766666666667</v>
      </c>
      <c r="I516" s="66"/>
      <c r="J516" s="66"/>
      <c r="K516" s="67"/>
      <c r="L516" s="29"/>
      <c r="M516" s="70">
        <f>M209</f>
        <v>976.79679999999996</v>
      </c>
      <c r="N516" s="70">
        <f t="shared" si="79"/>
        <v>35.590783333333341</v>
      </c>
      <c r="O516" s="70">
        <f t="shared" si="79"/>
        <v>42.855116666666675</v>
      </c>
      <c r="P516" s="70">
        <f t="shared" si="79"/>
        <v>43.533666666666669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468.60160000000002</v>
      </c>
      <c r="F517" s="81">
        <f t="shared" si="78"/>
        <v>33.462299999999999</v>
      </c>
      <c r="G517" s="81">
        <f t="shared" si="78"/>
        <v>41.495766666666668</v>
      </c>
      <c r="H517" s="81">
        <f t="shared" si="78"/>
        <v>42.208599999999997</v>
      </c>
      <c r="I517" s="68"/>
      <c r="J517" s="68"/>
      <c r="K517" s="69"/>
      <c r="L517" s="29"/>
      <c r="M517" s="81">
        <f>M210</f>
        <v>468.75360000000001</v>
      </c>
      <c r="N517" s="81">
        <f t="shared" si="79"/>
        <v>33.46061666666666</v>
      </c>
      <c r="O517" s="81">
        <f t="shared" si="79"/>
        <v>41.491466666666668</v>
      </c>
      <c r="P517" s="81">
        <f t="shared" si="79"/>
        <v>42.204833333333333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4627.28</v>
      </c>
      <c r="F518" s="78">
        <f t="shared" ref="F518:H521" si="81">AVERAGE(F159,F163,F183,F187,F191)</f>
        <v>40.032939999999996</v>
      </c>
      <c r="G518" s="78">
        <f t="shared" si="81"/>
        <v>46.110979999999998</v>
      </c>
      <c r="H518" s="78">
        <f t="shared" si="81"/>
        <v>46.699380000000005</v>
      </c>
      <c r="I518" s="79"/>
      <c r="J518" s="79"/>
      <c r="K518" s="80"/>
      <c r="L518" s="29"/>
      <c r="M518" s="78">
        <f t="shared" ref="M518:M525" si="82">M510</f>
        <v>4628.0495999999994</v>
      </c>
      <c r="N518" s="78">
        <f t="shared" ref="N518:P521" si="83">AVERAGE(N159,N163,N183,N187,N191)</f>
        <v>40.032539999999997</v>
      </c>
      <c r="O518" s="78">
        <f t="shared" si="83"/>
        <v>46.114060000000002</v>
      </c>
      <c r="P518" s="78">
        <f t="shared" si="83"/>
        <v>46.700239999999994</v>
      </c>
      <c r="Q518" s="79"/>
      <c r="R518" s="79"/>
      <c r="S518" s="80"/>
      <c r="U518" s="8">
        <f>bdrate($E518:$E521,F518:F521,$M518:$M521,N518:N521)</f>
        <v>1.3048907164248114E-4</v>
      </c>
      <c r="V518" s="9">
        <f>bdrate($E518:$E521,G518:G521,$M518:$M521,O518:O521)</f>
        <v>1.6167778392186527E-3</v>
      </c>
      <c r="W518" s="10">
        <f>bdrate($E518:$E521,H518:H521,$M518:$M521,P518:P521)</f>
        <v>1.223730251637356E-3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1927.7336</v>
      </c>
      <c r="F519" s="70">
        <f t="shared" si="81"/>
        <v>37.7029</v>
      </c>
      <c r="G519" s="70">
        <f t="shared" si="81"/>
        <v>44.335180000000001</v>
      </c>
      <c r="H519" s="70">
        <f t="shared" si="81"/>
        <v>44.996260000000007</v>
      </c>
      <c r="I519" s="66"/>
      <c r="J519" s="66"/>
      <c r="K519" s="67"/>
      <c r="L519" s="29"/>
      <c r="M519" s="70">
        <f t="shared" si="82"/>
        <v>1927.4840000000002</v>
      </c>
      <c r="N519" s="70">
        <f t="shared" si="83"/>
        <v>37.700720000000004</v>
      </c>
      <c r="O519" s="70">
        <f t="shared" si="83"/>
        <v>44.327980000000004</v>
      </c>
      <c r="P519" s="70">
        <f t="shared" si="83"/>
        <v>44.988680000000002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880.72479999999996</v>
      </c>
      <c r="F520" s="70">
        <f t="shared" si="81"/>
        <v>35.561799999999998</v>
      </c>
      <c r="G520" s="70">
        <f t="shared" si="81"/>
        <v>42.452539999999999</v>
      </c>
      <c r="H520" s="70">
        <f t="shared" si="81"/>
        <v>43.181220000000003</v>
      </c>
      <c r="I520" s="66"/>
      <c r="J520" s="66"/>
      <c r="K520" s="67"/>
      <c r="L520" s="29"/>
      <c r="M520" s="70">
        <f t="shared" si="82"/>
        <v>880.27120000000002</v>
      </c>
      <c r="N520" s="70">
        <f t="shared" si="83"/>
        <v>35.562779999999997</v>
      </c>
      <c r="O520" s="70">
        <f t="shared" si="83"/>
        <v>42.451540000000001</v>
      </c>
      <c r="P520" s="70">
        <f t="shared" si="83"/>
        <v>43.181799999999996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420.81360000000001</v>
      </c>
      <c r="F521" s="81">
        <f t="shared" si="81"/>
        <v>33.437080000000002</v>
      </c>
      <c r="G521" s="81">
        <f t="shared" si="81"/>
        <v>41.135079999999995</v>
      </c>
      <c r="H521" s="81">
        <f t="shared" si="81"/>
        <v>41.899259999999998</v>
      </c>
      <c r="I521" s="68"/>
      <c r="J521" s="68"/>
      <c r="K521" s="69"/>
      <c r="L521" s="29"/>
      <c r="M521" s="81">
        <f t="shared" si="82"/>
        <v>421.01199999999994</v>
      </c>
      <c r="N521" s="81">
        <f t="shared" si="83"/>
        <v>33.435200000000002</v>
      </c>
      <c r="O521" s="81">
        <f t="shared" si="83"/>
        <v>41.126780000000004</v>
      </c>
      <c r="P521" s="81">
        <f t="shared" si="83"/>
        <v>41.898039999999995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5282.8407999999999</v>
      </c>
      <c r="F522" s="78">
        <f t="shared" ref="F522:H525" si="84">AVERAGE(F159,F163,F167,F183,F187,F191,F195,F199,F203)</f>
        <v>40.001566666666662</v>
      </c>
      <c r="G522" s="78">
        <f t="shared" si="84"/>
        <v>46.156477777777781</v>
      </c>
      <c r="H522" s="78">
        <f t="shared" si="84"/>
        <v>46.777911111111109</v>
      </c>
      <c r="I522" s="79"/>
      <c r="J522" s="79"/>
      <c r="K522" s="80"/>
      <c r="L522" s="29"/>
      <c r="M522" s="78">
        <f t="shared" si="82"/>
        <v>5283.884</v>
      </c>
      <c r="N522" s="78">
        <f t="shared" ref="N522:P525" si="85">AVERAGE(N159,N163,N167,N183,N187,N191,N195,N199,N203)</f>
        <v>39.999311111111105</v>
      </c>
      <c r="O522" s="78">
        <f t="shared" si="85"/>
        <v>46.158733333333338</v>
      </c>
      <c r="P522" s="78">
        <f t="shared" si="85"/>
        <v>46.776388888888889</v>
      </c>
      <c r="Q522" s="79"/>
      <c r="R522" s="79"/>
      <c r="S522" s="80"/>
      <c r="U522" s="8">
        <f>bdrate($E522:$E525,F522:F525,$M522:$M525,N522:N525)</f>
        <v>-2.2302182108469015E-4</v>
      </c>
      <c r="V522" s="9">
        <f>bdrate($E522:$E525,G522:G525,$M522:$M525,O522:O525)</f>
        <v>2.5994712851717949E-4</v>
      </c>
      <c r="W522" s="10">
        <f>bdrate($E522:$E525,H522:H525,$M522:$M525,P522:P525)</f>
        <v>2.9456970166119589E-4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2155.6496000000002</v>
      </c>
      <c r="F523" s="70">
        <f t="shared" si="84"/>
        <v>37.673199999999994</v>
      </c>
      <c r="G523" s="70">
        <f t="shared" si="84"/>
        <v>44.386066666666665</v>
      </c>
      <c r="H523" s="70">
        <f t="shared" si="84"/>
        <v>45.065755555555562</v>
      </c>
      <c r="I523" s="66"/>
      <c r="J523" s="66"/>
      <c r="K523" s="67"/>
      <c r="L523" s="29"/>
      <c r="M523" s="70">
        <f t="shared" si="82"/>
        <v>2155.2352000000001</v>
      </c>
      <c r="N523" s="70">
        <f t="shared" si="85"/>
        <v>37.672966666666667</v>
      </c>
      <c r="O523" s="70">
        <f t="shared" si="85"/>
        <v>44.383355555555553</v>
      </c>
      <c r="P523" s="70">
        <f t="shared" si="85"/>
        <v>45.062588888888889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977.29920000000004</v>
      </c>
      <c r="F524" s="70">
        <f t="shared" si="84"/>
        <v>35.540800000000004</v>
      </c>
      <c r="G524" s="70">
        <f t="shared" si="84"/>
        <v>42.497711111111109</v>
      </c>
      <c r="H524" s="70">
        <f t="shared" si="84"/>
        <v>43.224933333333333</v>
      </c>
      <c r="I524" s="66"/>
      <c r="J524" s="66"/>
      <c r="K524" s="67"/>
      <c r="L524" s="29"/>
      <c r="M524" s="70">
        <f t="shared" si="82"/>
        <v>976.79679999999996</v>
      </c>
      <c r="N524" s="70">
        <f t="shared" si="85"/>
        <v>35.542633333333335</v>
      </c>
      <c r="O524" s="70">
        <f t="shared" si="85"/>
        <v>42.49805555555556</v>
      </c>
      <c r="P524" s="70">
        <f t="shared" si="85"/>
        <v>43.227266666666672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468.60160000000002</v>
      </c>
      <c r="F525" s="81">
        <f t="shared" si="84"/>
        <v>33.419477777777779</v>
      </c>
      <c r="G525" s="81">
        <f t="shared" si="84"/>
        <v>41.178422222222224</v>
      </c>
      <c r="H525" s="81">
        <f t="shared" si="84"/>
        <v>41.93266666666667</v>
      </c>
      <c r="I525" s="68"/>
      <c r="J525" s="68"/>
      <c r="K525" s="69"/>
      <c r="L525" s="29"/>
      <c r="M525" s="81">
        <f t="shared" si="82"/>
        <v>468.75360000000001</v>
      </c>
      <c r="N525" s="81">
        <f t="shared" si="85"/>
        <v>33.418188888888885</v>
      </c>
      <c r="O525" s="81">
        <f t="shared" si="85"/>
        <v>41.175511111111106</v>
      </c>
      <c r="P525" s="81">
        <f t="shared" si="85"/>
        <v>41.929944444444445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1060.232</v>
      </c>
      <c r="F526" s="78">
        <f t="shared" ref="F526:H529" si="86">AVERAGE(F211,F215)</f>
        <v>41.974350000000001</v>
      </c>
      <c r="G526" s="78">
        <f t="shared" si="86"/>
        <v>48.304000000000002</v>
      </c>
      <c r="H526" s="78">
        <f t="shared" si="86"/>
        <v>47.823099999999997</v>
      </c>
      <c r="I526" s="79"/>
      <c r="J526" s="79"/>
      <c r="K526" s="80"/>
      <c r="L526" s="29"/>
      <c r="M526" s="82">
        <f>M211+M215</f>
        <v>1059.0309999999999</v>
      </c>
      <c r="N526" s="78">
        <f t="shared" ref="N526:P529" si="87">AVERAGE(N211,N215)</f>
        <v>41.974400000000003</v>
      </c>
      <c r="O526" s="78">
        <f t="shared" si="87"/>
        <v>48.299799999999998</v>
      </c>
      <c r="P526" s="78">
        <f t="shared" si="87"/>
        <v>47.82405</v>
      </c>
      <c r="Q526" s="79"/>
      <c r="R526" s="79"/>
      <c r="S526" s="80"/>
      <c r="U526" s="8">
        <f>bdrate($E526:$E529,F526:F529,$M526:$M529,N526:N529)</f>
        <v>9.0430544777220234E-4</v>
      </c>
      <c r="V526" s="9">
        <f>bdrate($E526:$E529,G526:G529,$M526:$M529,O526:O529)</f>
        <v>3.2454724762565057E-4</v>
      </c>
      <c r="W526" s="10">
        <f>bdrate($E526:$E529,H526:H529,$M526:$M529,P526:P529)</f>
        <v>-2.7955335800240455E-3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441.41800000000001</v>
      </c>
      <c r="F527" s="70">
        <f t="shared" si="86"/>
        <v>40.992550000000001</v>
      </c>
      <c r="G527" s="70">
        <f t="shared" si="86"/>
        <v>47.27505</v>
      </c>
      <c r="H527" s="70">
        <f t="shared" si="86"/>
        <v>46.940300000000001</v>
      </c>
      <c r="I527" s="66"/>
      <c r="J527" s="66"/>
      <c r="K527" s="67"/>
      <c r="L527" s="29"/>
      <c r="M527" s="83">
        <f>M212+M216</f>
        <v>441.51600000000002</v>
      </c>
      <c r="N527" s="70">
        <f t="shared" si="87"/>
        <v>40.991299999999995</v>
      </c>
      <c r="O527" s="70">
        <f t="shared" si="87"/>
        <v>47.275750000000002</v>
      </c>
      <c r="P527" s="70">
        <f t="shared" si="87"/>
        <v>46.937550000000002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224.827</v>
      </c>
      <c r="F528" s="70">
        <f t="shared" si="86"/>
        <v>39.585499999999996</v>
      </c>
      <c r="G528" s="70">
        <f t="shared" si="86"/>
        <v>45.976200000000006</v>
      </c>
      <c r="H528" s="70">
        <f t="shared" si="86"/>
        <v>45.73545</v>
      </c>
      <c r="I528" s="66"/>
      <c r="J528" s="66"/>
      <c r="K528" s="67"/>
      <c r="L528" s="29"/>
      <c r="M528" s="83">
        <f>M213+M217</f>
        <v>224.846</v>
      </c>
      <c r="N528" s="70">
        <f t="shared" si="87"/>
        <v>39.582850000000001</v>
      </c>
      <c r="O528" s="70">
        <f t="shared" si="87"/>
        <v>45.974299999999999</v>
      </c>
      <c r="P528" s="70">
        <f t="shared" si="87"/>
        <v>45.747950000000003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124.14100000000001</v>
      </c>
      <c r="F529" s="81">
        <f t="shared" si="86"/>
        <v>37.822400000000002</v>
      </c>
      <c r="G529" s="81">
        <f t="shared" si="86"/>
        <v>44.841350000000006</v>
      </c>
      <c r="H529" s="81">
        <f t="shared" si="86"/>
        <v>44.634249999999994</v>
      </c>
      <c r="I529" s="68"/>
      <c r="J529" s="68"/>
      <c r="K529" s="69"/>
      <c r="L529" s="29"/>
      <c r="M529" s="84">
        <f>M214+M218</f>
        <v>124.15899999999999</v>
      </c>
      <c r="N529" s="81">
        <f t="shared" si="87"/>
        <v>37.819149999999993</v>
      </c>
      <c r="O529" s="81">
        <f t="shared" si="87"/>
        <v>44.847250000000003</v>
      </c>
      <c r="P529" s="81">
        <f t="shared" si="87"/>
        <v>44.643549999999998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1319.924</v>
      </c>
      <c r="F530" s="78">
        <f t="shared" ref="F530:H533" si="88">AVERAGE(F211,F215,F219)</f>
        <v>41.878066666666662</v>
      </c>
      <c r="G530" s="78">
        <f t="shared" si="88"/>
        <v>47.953533333333333</v>
      </c>
      <c r="H530" s="78">
        <f t="shared" si="88"/>
        <v>47.4377</v>
      </c>
      <c r="I530" s="79"/>
      <c r="J530" s="79"/>
      <c r="K530" s="80"/>
      <c r="L530" s="29"/>
      <c r="M530" s="78">
        <f>M211+M215+M219</f>
        <v>1318.8009999999999</v>
      </c>
      <c r="N530" s="78">
        <f t="shared" ref="N530:P533" si="89">AVERAGE(N211,N215,N219)</f>
        <v>41.878433333333334</v>
      </c>
      <c r="O530" s="78">
        <f t="shared" si="89"/>
        <v>47.952100000000002</v>
      </c>
      <c r="P530" s="78">
        <f t="shared" si="89"/>
        <v>47.436166666666672</v>
      </c>
      <c r="Q530" s="79"/>
      <c r="R530" s="79"/>
      <c r="S530" s="80"/>
      <c r="U530" s="8">
        <f>bdrate($E530:$E533,F530:F533,$M530:$M533,N530:N533)</f>
        <v>9.5191388164272972E-4</v>
      </c>
      <c r="V530" s="9">
        <f>bdrate($E530:$E533,G530:G533,$M530:$M533,O530:O533)</f>
        <v>2.8624990909897896E-4</v>
      </c>
      <c r="W530" s="10">
        <f>bdrate($E530:$E533,H530:H533,$M530:$M533,P530:P533)</f>
        <v>-3.0466887553646238E-3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538.60900000000004</v>
      </c>
      <c r="F531" s="70">
        <f t="shared" si="88"/>
        <v>40.910833333333336</v>
      </c>
      <c r="G531" s="70">
        <f t="shared" si="88"/>
        <v>46.955666666666666</v>
      </c>
      <c r="H531" s="70">
        <f t="shared" si="88"/>
        <v>46.469166666666666</v>
      </c>
      <c r="I531" s="66"/>
      <c r="J531" s="66"/>
      <c r="K531" s="67"/>
      <c r="L531" s="29"/>
      <c r="M531" s="70">
        <f>M212+M216+M220</f>
        <v>538.73199999999997</v>
      </c>
      <c r="N531" s="70">
        <f t="shared" si="89"/>
        <v>40.909599999999998</v>
      </c>
      <c r="O531" s="70">
        <f t="shared" si="89"/>
        <v>46.950833333333343</v>
      </c>
      <c r="P531" s="70">
        <f t="shared" si="89"/>
        <v>46.471399999999996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273.22899999999998</v>
      </c>
      <c r="F532" s="70">
        <f t="shared" si="88"/>
        <v>39.521966666666664</v>
      </c>
      <c r="G532" s="70">
        <f t="shared" si="88"/>
        <v>45.770133333333341</v>
      </c>
      <c r="H532" s="70">
        <f t="shared" si="88"/>
        <v>45.354733333333336</v>
      </c>
      <c r="I532" s="66"/>
      <c r="J532" s="66"/>
      <c r="K532" s="67"/>
      <c r="L532" s="29"/>
      <c r="M532" s="70">
        <f>M213+M217+M221</f>
        <v>273.41800000000001</v>
      </c>
      <c r="N532" s="70">
        <f t="shared" si="89"/>
        <v>39.520499999999998</v>
      </c>
      <c r="O532" s="70">
        <f t="shared" si="89"/>
        <v>45.777433333333335</v>
      </c>
      <c r="P532" s="70">
        <f t="shared" si="89"/>
        <v>45.365499999999997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149.733</v>
      </c>
      <c r="F533" s="81">
        <f t="shared" si="88"/>
        <v>37.768666666666668</v>
      </c>
      <c r="G533" s="81">
        <f t="shared" si="88"/>
        <v>44.706033333333345</v>
      </c>
      <c r="H533" s="81">
        <f t="shared" si="88"/>
        <v>44.250333333333323</v>
      </c>
      <c r="I533" s="68"/>
      <c r="J533" s="68"/>
      <c r="K533" s="69"/>
      <c r="L533" s="29"/>
      <c r="M533" s="81">
        <f>M214+M218+M222</f>
        <v>149.71199999999999</v>
      </c>
      <c r="N533" s="81">
        <f t="shared" si="89"/>
        <v>37.764833333333328</v>
      </c>
      <c r="O533" s="81">
        <f t="shared" si="89"/>
        <v>44.703133333333334</v>
      </c>
      <c r="P533" s="81">
        <f t="shared" si="89"/>
        <v>44.256966666666663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1182.6589999999999</v>
      </c>
      <c r="F534" s="78">
        <f t="shared" ref="F534:H537" si="90">AVERAGE(F235,F239,F243)</f>
        <v>43.209466666666664</v>
      </c>
      <c r="G534" s="78">
        <f t="shared" si="90"/>
        <v>48.821400000000004</v>
      </c>
      <c r="H534" s="78">
        <f t="shared" si="90"/>
        <v>48.176566666666666</v>
      </c>
      <c r="I534" s="79"/>
      <c r="J534" s="79"/>
      <c r="K534" s="80"/>
      <c r="L534" s="29"/>
      <c r="M534" s="78">
        <f>M211+M215+M223+M227</f>
        <v>1181.895</v>
      </c>
      <c r="N534" s="78">
        <f t="shared" ref="N534:P537" si="91">AVERAGE(N235,N239,N243)</f>
        <v>43.206666666666671</v>
      </c>
      <c r="O534" s="78">
        <f t="shared" si="91"/>
        <v>48.810166666666667</v>
      </c>
      <c r="P534" s="78">
        <f t="shared" si="91"/>
        <v>48.186100000000003</v>
      </c>
      <c r="Q534" s="79"/>
      <c r="R534" s="79"/>
      <c r="S534" s="80"/>
      <c r="U534" s="8">
        <f>bdrate($E534:$E537,F534:F537,$M534:$M537,N534:N537)</f>
        <v>1.0298145238771816E-3</v>
      </c>
      <c r="V534" s="9">
        <f>bdrate($E534:$E537,G534:G537,$M534:$M537,O534:O537)</f>
        <v>1.25250902980516E-2</v>
      </c>
      <c r="W534" s="10">
        <f>bdrate($E534:$E537,H534:H537,$M534:$M537,P534:P537)</f>
        <v>-3.7028837800052727E-3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490.892</v>
      </c>
      <c r="F535" s="70">
        <f t="shared" si="90"/>
        <v>42.000433333333326</v>
      </c>
      <c r="G535" s="70">
        <f t="shared" si="90"/>
        <v>47.712166666666668</v>
      </c>
      <c r="H535" s="70">
        <f t="shared" si="90"/>
        <v>47.317666666666668</v>
      </c>
      <c r="I535" s="66"/>
      <c r="J535" s="66"/>
      <c r="K535" s="67"/>
      <c r="L535" s="29"/>
      <c r="M535" s="70">
        <f>M212+M216+M224+M228</f>
        <v>491.06600000000003</v>
      </c>
      <c r="N535" s="70">
        <f t="shared" si="91"/>
        <v>42.00353333333333</v>
      </c>
      <c r="O535" s="70">
        <f t="shared" si="91"/>
        <v>47.689100000000003</v>
      </c>
      <c r="P535" s="70">
        <f t="shared" si="91"/>
        <v>47.309533333333341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249.41399999999999</v>
      </c>
      <c r="F536" s="70">
        <f t="shared" si="90"/>
        <v>40.388666666666666</v>
      </c>
      <c r="G536" s="70">
        <f t="shared" si="90"/>
        <v>46.374066666666671</v>
      </c>
      <c r="H536" s="70">
        <f t="shared" si="90"/>
        <v>46.128599999999999</v>
      </c>
      <c r="I536" s="66"/>
      <c r="J536" s="66"/>
      <c r="K536" s="67"/>
      <c r="L536" s="29"/>
      <c r="M536" s="70">
        <f>M213+M217+M225+M229</f>
        <v>249.36</v>
      </c>
      <c r="N536" s="70">
        <f t="shared" si="91"/>
        <v>40.381333333333338</v>
      </c>
      <c r="O536" s="70">
        <f t="shared" si="91"/>
        <v>46.339700000000001</v>
      </c>
      <c r="P536" s="70">
        <f t="shared" si="91"/>
        <v>46.148266666666665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137.72200000000001</v>
      </c>
      <c r="F537" s="81">
        <f t="shared" si="90"/>
        <v>38.424700000000001</v>
      </c>
      <c r="G537" s="81">
        <f t="shared" si="90"/>
        <v>45.241833333333339</v>
      </c>
      <c r="H537" s="81">
        <f t="shared" si="90"/>
        <v>44.945799999999998</v>
      </c>
      <c r="I537" s="68"/>
      <c r="J537" s="68"/>
      <c r="K537" s="69"/>
      <c r="L537" s="29"/>
      <c r="M537" s="81">
        <f>M214+M218+M226+M230</f>
        <v>137.803</v>
      </c>
      <c r="N537" s="81">
        <f t="shared" si="91"/>
        <v>38.421966666666663</v>
      </c>
      <c r="O537" s="81">
        <f t="shared" si="91"/>
        <v>45.259300000000003</v>
      </c>
      <c r="P537" s="81">
        <f t="shared" si="91"/>
        <v>44.949999999999996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1496.575</v>
      </c>
      <c r="F538" s="78">
        <f t="shared" ref="F538:H541" si="92">AVERAGE(F235,F239,F243,F247,F251,F255)</f>
        <v>43.257499999999993</v>
      </c>
      <c r="G538" s="78">
        <f t="shared" si="92"/>
        <v>48.674399999999999</v>
      </c>
      <c r="H538" s="78">
        <f t="shared" si="92"/>
        <v>48.486266666666666</v>
      </c>
      <c r="I538" s="79"/>
      <c r="J538" s="79"/>
      <c r="K538" s="80"/>
      <c r="L538" s="29"/>
      <c r="M538" s="78">
        <f>M259</f>
        <v>1495.7329999999999</v>
      </c>
      <c r="N538" s="78">
        <f t="shared" ref="N538:P541" si="93">AVERAGE(N235,N239,N243,N247,N251,N255)</f>
        <v>43.255516666666665</v>
      </c>
      <c r="O538" s="78">
        <f t="shared" si="93"/>
        <v>48.665550000000003</v>
      </c>
      <c r="P538" s="78">
        <f t="shared" si="93"/>
        <v>48.485966666666663</v>
      </c>
      <c r="Q538" s="79"/>
      <c r="R538" s="79"/>
      <c r="S538" s="80"/>
      <c r="U538" s="8">
        <f>bdrate($E538:$E541,F538:F541,$M538:$M541,N538:N541)</f>
        <v>1.4717619287505368E-3</v>
      </c>
      <c r="V538" s="9">
        <f>bdrate($E538:$E541,G538:G541,$M538:$M541,O538:O541)</f>
        <v>3.9048936680852186E-3</v>
      </c>
      <c r="W538" s="10">
        <f>bdrate($E538:$E541,H538:H541,$M538:$M541,P538:P541)</f>
        <v>1.6357374270967728E-3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611.72799999999995</v>
      </c>
      <c r="F539" s="70">
        <f t="shared" si="92"/>
        <v>42.068883333333332</v>
      </c>
      <c r="G539" s="70">
        <f t="shared" si="92"/>
        <v>47.588999999999999</v>
      </c>
      <c r="H539" s="70">
        <f t="shared" si="92"/>
        <v>47.5319</v>
      </c>
      <c r="I539" s="66"/>
      <c r="J539" s="66"/>
      <c r="K539" s="67"/>
      <c r="L539" s="29"/>
      <c r="M539" s="70">
        <f>M260</f>
        <v>612.11</v>
      </c>
      <c r="N539" s="70">
        <f t="shared" si="93"/>
        <v>42.068633333333331</v>
      </c>
      <c r="O539" s="70">
        <f t="shared" si="93"/>
        <v>47.580266666666667</v>
      </c>
      <c r="P539" s="70">
        <f t="shared" si="93"/>
        <v>47.519316666666668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311.78699999999998</v>
      </c>
      <c r="F540" s="70">
        <f t="shared" si="92"/>
        <v>40.466200000000001</v>
      </c>
      <c r="G540" s="70">
        <f t="shared" si="92"/>
        <v>46.308083333333336</v>
      </c>
      <c r="H540" s="70">
        <f t="shared" si="92"/>
        <v>46.317516666666656</v>
      </c>
      <c r="I540" s="66"/>
      <c r="J540" s="66"/>
      <c r="K540" s="67"/>
      <c r="L540" s="29"/>
      <c r="M540" s="70">
        <f>M261</f>
        <v>311.87700000000001</v>
      </c>
      <c r="N540" s="70">
        <f t="shared" si="93"/>
        <v>40.461149999999996</v>
      </c>
      <c r="O540" s="70">
        <f t="shared" si="93"/>
        <v>46.305683333333327</v>
      </c>
      <c r="P540" s="70">
        <f t="shared" si="93"/>
        <v>46.326899999999995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173.31100000000001</v>
      </c>
      <c r="F541" s="81">
        <f t="shared" si="92"/>
        <v>38.518733333333337</v>
      </c>
      <c r="G541" s="81">
        <f t="shared" si="92"/>
        <v>45.204783333333332</v>
      </c>
      <c r="H541" s="81">
        <f t="shared" si="92"/>
        <v>45.110983333333337</v>
      </c>
      <c r="I541" s="68"/>
      <c r="J541" s="68"/>
      <c r="K541" s="69"/>
      <c r="L541" s="29"/>
      <c r="M541" s="81">
        <f>M262</f>
        <v>173.386</v>
      </c>
      <c r="N541" s="81">
        <f t="shared" si="93"/>
        <v>38.515749999999997</v>
      </c>
      <c r="O541" s="81">
        <f t="shared" si="93"/>
        <v>45.205883333333333</v>
      </c>
      <c r="P541" s="81">
        <f t="shared" si="93"/>
        <v>45.108699999999999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1182.6589999999999</v>
      </c>
      <c r="F542" s="78">
        <f t="shared" ref="F542:H545" si="95">AVERAGE(F211,F215,F235,F239,F243)</f>
        <v>42.715420000000002</v>
      </c>
      <c r="G542" s="78">
        <f t="shared" si="95"/>
        <v>48.614440000000002</v>
      </c>
      <c r="H542" s="78">
        <f t="shared" si="95"/>
        <v>48.035180000000004</v>
      </c>
      <c r="I542" s="79"/>
      <c r="J542" s="79"/>
      <c r="K542" s="80"/>
      <c r="L542" s="29"/>
      <c r="M542" s="78">
        <f t="shared" ref="M542:M549" si="96">M534</f>
        <v>1181.895</v>
      </c>
      <c r="N542" s="78">
        <f t="shared" ref="N542:P545" si="97">AVERAGE(N211,N215,N235,N239,N243)</f>
        <v>42.713760000000001</v>
      </c>
      <c r="O542" s="78">
        <f t="shared" si="97"/>
        <v>48.606020000000008</v>
      </c>
      <c r="P542" s="78">
        <f t="shared" si="97"/>
        <v>48.041280000000008</v>
      </c>
      <c r="Q542" s="79"/>
      <c r="R542" s="79"/>
      <c r="S542" s="80"/>
      <c r="U542" s="8">
        <f>bdrate($E542:$E545,F542:F545,$M542:$M545,N542:N545)</f>
        <v>9.9368915174102845E-4</v>
      </c>
      <c r="V542" s="9">
        <f>bdrate($E542:$E545,G542:G545,$M542:$M545,O542:O545)</f>
        <v>7.7295098203324919E-3</v>
      </c>
      <c r="W542" s="10">
        <f>bdrate($E542:$E545,H542:H545,$M542:$M545,P542:P545)</f>
        <v>-3.3226810033222254E-3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490.892</v>
      </c>
      <c r="F543" s="70">
        <f t="shared" si="95"/>
        <v>41.597279999999998</v>
      </c>
      <c r="G543" s="70">
        <f t="shared" si="95"/>
        <v>47.537320000000008</v>
      </c>
      <c r="H543" s="70">
        <f t="shared" si="95"/>
        <v>47.166719999999998</v>
      </c>
      <c r="I543" s="66"/>
      <c r="J543" s="66"/>
      <c r="K543" s="67"/>
      <c r="L543" s="29"/>
      <c r="M543" s="70">
        <f t="shared" si="96"/>
        <v>491.06600000000003</v>
      </c>
      <c r="N543" s="70">
        <f t="shared" si="97"/>
        <v>41.598639999999996</v>
      </c>
      <c r="O543" s="70">
        <f t="shared" si="97"/>
        <v>47.523760000000003</v>
      </c>
      <c r="P543" s="70">
        <f t="shared" si="97"/>
        <v>47.160739999999997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249.41399999999999</v>
      </c>
      <c r="F544" s="70">
        <f t="shared" si="95"/>
        <v>40.067400000000006</v>
      </c>
      <c r="G544" s="70">
        <f t="shared" si="95"/>
        <v>46.214919999999992</v>
      </c>
      <c r="H544" s="70">
        <f t="shared" si="95"/>
        <v>45.971339999999998</v>
      </c>
      <c r="I544" s="66"/>
      <c r="J544" s="66"/>
      <c r="K544" s="67"/>
      <c r="L544" s="29"/>
      <c r="M544" s="70">
        <f t="shared" si="96"/>
        <v>249.36</v>
      </c>
      <c r="N544" s="70">
        <f t="shared" si="97"/>
        <v>40.06194</v>
      </c>
      <c r="O544" s="70">
        <f t="shared" si="97"/>
        <v>46.193539999999999</v>
      </c>
      <c r="P544" s="70">
        <f t="shared" si="97"/>
        <v>45.988140000000001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137.72200000000001</v>
      </c>
      <c r="F545" s="81">
        <f t="shared" si="95"/>
        <v>38.183779999999999</v>
      </c>
      <c r="G545" s="81">
        <f t="shared" si="95"/>
        <v>45.081640000000007</v>
      </c>
      <c r="H545" s="81">
        <f t="shared" si="95"/>
        <v>44.821179999999998</v>
      </c>
      <c r="I545" s="68"/>
      <c r="J545" s="68"/>
      <c r="K545" s="69"/>
      <c r="L545" s="29"/>
      <c r="M545" s="81">
        <f t="shared" si="96"/>
        <v>137.803</v>
      </c>
      <c r="N545" s="81">
        <f t="shared" si="97"/>
        <v>38.180839999999996</v>
      </c>
      <c r="O545" s="81">
        <f t="shared" si="97"/>
        <v>45.094480000000004</v>
      </c>
      <c r="P545" s="81">
        <f t="shared" si="97"/>
        <v>44.827420000000004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1496.575</v>
      </c>
      <c r="F546" s="78">
        <f t="shared" ref="F546:H549" si="98">AVERAGE(F211,F215,F219,F235,F239,F243,F247,F251,F255)</f>
        <v>42.797688888888885</v>
      </c>
      <c r="G546" s="78">
        <f t="shared" si="98"/>
        <v>48.434111111111108</v>
      </c>
      <c r="H546" s="78">
        <f t="shared" si="98"/>
        <v>48.136744444444446</v>
      </c>
      <c r="I546" s="79"/>
      <c r="J546" s="79"/>
      <c r="K546" s="80"/>
      <c r="L546" s="29"/>
      <c r="M546" s="78">
        <f t="shared" si="96"/>
        <v>1495.7329999999999</v>
      </c>
      <c r="N546" s="78">
        <f t="shared" ref="N546:P549" si="99">AVERAGE(N211,N215,N219,N235,N239,N243,N247,N251,N255)</f>
        <v>42.796488888888888</v>
      </c>
      <c r="O546" s="78">
        <f t="shared" si="99"/>
        <v>48.427733333333329</v>
      </c>
      <c r="P546" s="78">
        <f t="shared" si="99"/>
        <v>48.136033333333344</v>
      </c>
      <c r="Q546" s="79"/>
      <c r="R546" s="79"/>
      <c r="S546" s="80"/>
      <c r="U546" s="8">
        <f>bdrate($E546:$E549,F546:F549,$M546:$M549,N546:N549)</f>
        <v>1.3272391626311109E-3</v>
      </c>
      <c r="V546" s="9">
        <f>bdrate($E546:$E549,G546:G549,$M546:$M549,O546:O549)</f>
        <v>2.7856443996754354E-3</v>
      </c>
      <c r="W546" s="10">
        <f>bdrate($E546:$E549,H546:H549,$M546:$M549,P546:P549)</f>
        <v>1.8688218848339488E-4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611.72799999999995</v>
      </c>
      <c r="F547" s="70">
        <f t="shared" si="98"/>
        <v>41.682866666666669</v>
      </c>
      <c r="G547" s="70">
        <f t="shared" si="98"/>
        <v>47.37788888888889</v>
      </c>
      <c r="H547" s="70">
        <f t="shared" si="98"/>
        <v>47.17765555555556</v>
      </c>
      <c r="I547" s="66"/>
      <c r="J547" s="66"/>
      <c r="K547" s="67"/>
      <c r="L547" s="29"/>
      <c r="M547" s="70">
        <f t="shared" si="96"/>
        <v>612.11</v>
      </c>
      <c r="N547" s="70">
        <f t="shared" si="99"/>
        <v>41.682288888888884</v>
      </c>
      <c r="O547" s="70">
        <f t="shared" si="99"/>
        <v>47.370455555555552</v>
      </c>
      <c r="P547" s="70">
        <f t="shared" si="99"/>
        <v>47.170011111111108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311.78699999999998</v>
      </c>
      <c r="F548" s="70">
        <f t="shared" si="98"/>
        <v>40.151455555555557</v>
      </c>
      <c r="G548" s="70">
        <f t="shared" si="98"/>
        <v>46.128766666666664</v>
      </c>
      <c r="H548" s="70">
        <f t="shared" si="98"/>
        <v>45.996588888888887</v>
      </c>
      <c r="I548" s="66"/>
      <c r="J548" s="66"/>
      <c r="K548" s="67"/>
      <c r="L548" s="29"/>
      <c r="M548" s="70">
        <f t="shared" si="96"/>
        <v>311.87700000000001</v>
      </c>
      <c r="N548" s="70">
        <f t="shared" si="99"/>
        <v>40.147599999999997</v>
      </c>
      <c r="O548" s="70">
        <f t="shared" si="99"/>
        <v>46.129600000000003</v>
      </c>
      <c r="P548" s="70">
        <f t="shared" si="99"/>
        <v>46.006433333333327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173.31100000000001</v>
      </c>
      <c r="F549" s="81">
        <f t="shared" si="98"/>
        <v>38.268711111111116</v>
      </c>
      <c r="G549" s="81">
        <f t="shared" si="98"/>
        <v>45.038533333333334</v>
      </c>
      <c r="H549" s="81">
        <f t="shared" si="98"/>
        <v>44.824099999999994</v>
      </c>
      <c r="I549" s="68"/>
      <c r="J549" s="68"/>
      <c r="K549" s="69"/>
      <c r="L549" s="29"/>
      <c r="M549" s="81">
        <f t="shared" si="96"/>
        <v>173.386</v>
      </c>
      <c r="N549" s="81">
        <f t="shared" si="99"/>
        <v>38.265444444444448</v>
      </c>
      <c r="O549" s="81">
        <f t="shared" si="99"/>
        <v>45.0383</v>
      </c>
      <c r="P549" s="81">
        <f t="shared" si="99"/>
        <v>44.824788888888889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3142.5272000000004</v>
      </c>
      <c r="F550" s="78">
        <f t="shared" ref="F550:H553" si="100">AVERAGE(F263,F267)</f>
        <v>39.421599999999998</v>
      </c>
      <c r="G550" s="78">
        <f t="shared" si="100"/>
        <v>46.673200000000001</v>
      </c>
      <c r="H550" s="78">
        <f t="shared" si="100"/>
        <v>45.382850000000005</v>
      </c>
      <c r="I550" s="79"/>
      <c r="J550" s="79"/>
      <c r="K550" s="80"/>
      <c r="L550" s="29"/>
      <c r="M550" s="82">
        <f>M263+M267</f>
        <v>3142.116</v>
      </c>
      <c r="N550" s="78">
        <f t="shared" ref="N550:P553" si="101">AVERAGE(N263,N267)</f>
        <v>39.421350000000004</v>
      </c>
      <c r="O550" s="78">
        <f t="shared" si="101"/>
        <v>46.67315</v>
      </c>
      <c r="P550" s="78">
        <f t="shared" si="101"/>
        <v>45.381799999999998</v>
      </c>
      <c r="Q550" s="79"/>
      <c r="R550" s="79"/>
      <c r="S550" s="80"/>
      <c r="U550" s="8">
        <f>bdrate($E550:$E553,F550:F553,$M550:$M553,N550:N553)</f>
        <v>-3.5510742750433089E-4</v>
      </c>
      <c r="V550" s="9">
        <f>bdrate($E550:$E553,G550:G553,$M550:$M553,O550:O553)</f>
        <v>-7.8398975301441354E-4</v>
      </c>
      <c r="W550" s="10">
        <f>bdrate($E550:$E553,H550:H553,$M550:$M553,P550:P553)</f>
        <v>-8.7271511470510266E-4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1152.2904000000001</v>
      </c>
      <c r="F551" s="70">
        <f t="shared" si="100"/>
        <v>37.517749999999999</v>
      </c>
      <c r="G551" s="70">
        <f t="shared" si="100"/>
        <v>45.238600000000005</v>
      </c>
      <c r="H551" s="70">
        <f t="shared" si="100"/>
        <v>43.828199999999995</v>
      </c>
      <c r="I551" s="66"/>
      <c r="J551" s="66"/>
      <c r="K551" s="67"/>
      <c r="L551" s="29"/>
      <c r="M551" s="83">
        <f>M264+M268</f>
        <v>1151.9295999999999</v>
      </c>
      <c r="N551" s="70">
        <f t="shared" si="101"/>
        <v>37.518500000000003</v>
      </c>
      <c r="O551" s="70">
        <f t="shared" si="101"/>
        <v>45.23995</v>
      </c>
      <c r="P551" s="70">
        <f t="shared" si="101"/>
        <v>43.829049999999995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537.17200000000003</v>
      </c>
      <c r="F552" s="70">
        <f t="shared" si="100"/>
        <v>35.561499999999995</v>
      </c>
      <c r="G552" s="70">
        <f t="shared" si="100"/>
        <v>43.615700000000004</v>
      </c>
      <c r="H552" s="70">
        <f t="shared" si="100"/>
        <v>42.321399999999997</v>
      </c>
      <c r="I552" s="66"/>
      <c r="J552" s="66"/>
      <c r="K552" s="67"/>
      <c r="L552" s="29"/>
      <c r="M552" s="83">
        <f>M265+M269</f>
        <v>537.06320000000005</v>
      </c>
      <c r="N552" s="70">
        <f t="shared" si="101"/>
        <v>35.561750000000004</v>
      </c>
      <c r="O552" s="70">
        <f t="shared" si="101"/>
        <v>43.617000000000004</v>
      </c>
      <c r="P552" s="70">
        <f t="shared" si="101"/>
        <v>42.323799999999999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275.05359999999996</v>
      </c>
      <c r="F553" s="81">
        <f t="shared" si="100"/>
        <v>33.515000000000001</v>
      </c>
      <c r="G553" s="81">
        <f t="shared" si="100"/>
        <v>42.403450000000007</v>
      </c>
      <c r="H553" s="81">
        <f t="shared" si="100"/>
        <v>41.250050000000002</v>
      </c>
      <c r="I553" s="68"/>
      <c r="J553" s="68"/>
      <c r="K553" s="69"/>
      <c r="L553" s="29"/>
      <c r="M553" s="84">
        <f>M266+M270</f>
        <v>274.98719999999997</v>
      </c>
      <c r="N553" s="81">
        <f t="shared" si="101"/>
        <v>33.514400000000002</v>
      </c>
      <c r="O553" s="81">
        <f t="shared" si="101"/>
        <v>42.403500000000001</v>
      </c>
      <c r="P553" s="81">
        <f t="shared" si="101"/>
        <v>41.2515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3834.3856000000005</v>
      </c>
      <c r="F554" s="78">
        <f t="shared" ref="F554:H557" si="102">AVERAGE(F263,F267,F271)</f>
        <v>39.252433333333329</v>
      </c>
      <c r="G554" s="78">
        <f t="shared" si="102"/>
        <v>46.590733333333333</v>
      </c>
      <c r="H554" s="78">
        <f t="shared" si="102"/>
        <v>45.631066666666669</v>
      </c>
      <c r="I554" s="79"/>
      <c r="J554" s="79"/>
      <c r="K554" s="80"/>
      <c r="L554" s="29"/>
      <c r="M554" s="78">
        <f>M263+M267+M271</f>
        <v>3833.2624000000001</v>
      </c>
      <c r="N554" s="78">
        <f t="shared" ref="N554:P557" si="103">AVERAGE(N263,N267,N271)</f>
        <v>39.251633333333338</v>
      </c>
      <c r="O554" s="78">
        <f t="shared" si="103"/>
        <v>46.588633333333327</v>
      </c>
      <c r="P554" s="78">
        <f t="shared" si="103"/>
        <v>45.630599999999994</v>
      </c>
      <c r="Q554" s="79"/>
      <c r="R554" s="79"/>
      <c r="S554" s="80"/>
      <c r="U554" s="8">
        <f>bdrate($E554:$E557,F554:F557,$M554:$M557,N554:N557)</f>
        <v>-3.3305673399874891E-4</v>
      </c>
      <c r="V554" s="9">
        <f>bdrate($E554:$E557,G554:G557,$M554:$M557,O554:O557)</f>
        <v>-5.1993396428262617E-4</v>
      </c>
      <c r="W554" s="10">
        <f>bdrate($E554:$E557,H554:H557,$M554:$M557,P554:P557)</f>
        <v>-4.1283539959013904E-4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1345.0040000000001</v>
      </c>
      <c r="F555" s="70">
        <f t="shared" si="102"/>
        <v>37.327266666666667</v>
      </c>
      <c r="G555" s="70">
        <f t="shared" si="102"/>
        <v>45.155833333333334</v>
      </c>
      <c r="H555" s="70">
        <f t="shared" si="102"/>
        <v>44.125900000000001</v>
      </c>
      <c r="I555" s="66"/>
      <c r="J555" s="66"/>
      <c r="K555" s="67"/>
      <c r="L555" s="29"/>
      <c r="M555" s="70">
        <f>M264+M268+M272</f>
        <v>1345.1887999999999</v>
      </c>
      <c r="N555" s="70">
        <f t="shared" si="103"/>
        <v>37.328600000000002</v>
      </c>
      <c r="O555" s="70">
        <f t="shared" si="103"/>
        <v>45.156866666666666</v>
      </c>
      <c r="P555" s="70">
        <f t="shared" si="103"/>
        <v>44.124566666666659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610.99120000000005</v>
      </c>
      <c r="F556" s="70">
        <f t="shared" si="102"/>
        <v>35.365399999999994</v>
      </c>
      <c r="G556" s="70">
        <f t="shared" si="102"/>
        <v>43.57073333333333</v>
      </c>
      <c r="H556" s="70">
        <f t="shared" si="102"/>
        <v>42.588500000000003</v>
      </c>
      <c r="I556" s="66"/>
      <c r="J556" s="66"/>
      <c r="K556" s="67"/>
      <c r="L556" s="29"/>
      <c r="M556" s="70">
        <f>M265+M269+M273</f>
        <v>610.96320000000003</v>
      </c>
      <c r="N556" s="70">
        <f t="shared" si="103"/>
        <v>35.366199999999999</v>
      </c>
      <c r="O556" s="70">
        <f t="shared" si="103"/>
        <v>43.573533333333337</v>
      </c>
      <c r="P556" s="70">
        <f t="shared" si="103"/>
        <v>42.592533333333336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306.67839999999995</v>
      </c>
      <c r="F557" s="81">
        <f t="shared" si="102"/>
        <v>33.327533333333328</v>
      </c>
      <c r="G557" s="81">
        <f t="shared" si="102"/>
        <v>42.37380000000001</v>
      </c>
      <c r="H557" s="81">
        <f t="shared" si="102"/>
        <v>41.4741</v>
      </c>
      <c r="I557" s="68"/>
      <c r="J557" s="68"/>
      <c r="K557" s="69"/>
      <c r="L557" s="29"/>
      <c r="M557" s="81">
        <f>M266+M270+M274</f>
        <v>306.47119999999995</v>
      </c>
      <c r="N557" s="81">
        <f t="shared" si="103"/>
        <v>33.326600000000006</v>
      </c>
      <c r="O557" s="81">
        <f t="shared" si="103"/>
        <v>42.372199999999999</v>
      </c>
      <c r="P557" s="81">
        <f t="shared" si="103"/>
        <v>41.473599999999998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3406.6688000000004</v>
      </c>
      <c r="F558" s="78">
        <f t="shared" ref="F558:H561" si="104">AVERAGE(F287,F291,F295)</f>
        <v>40.443566666666662</v>
      </c>
      <c r="G558" s="78">
        <f t="shared" si="104"/>
        <v>47.179499999999997</v>
      </c>
      <c r="H558" s="78">
        <f t="shared" si="104"/>
        <v>46.697000000000003</v>
      </c>
      <c r="I558" s="79"/>
      <c r="J558" s="79"/>
      <c r="K558" s="80"/>
      <c r="L558" s="29"/>
      <c r="M558" s="78">
        <f>M263+M267+M275+M279</f>
        <v>3406.6680000000001</v>
      </c>
      <c r="N558" s="78">
        <f t="shared" ref="N558:P561" si="105">AVERAGE(N287,N291,N295)</f>
        <v>40.443099999999994</v>
      </c>
      <c r="O558" s="78">
        <f t="shared" si="105"/>
        <v>47.197533333333332</v>
      </c>
      <c r="P558" s="78">
        <f t="shared" si="105"/>
        <v>46.678699999999999</v>
      </c>
      <c r="Q558" s="79"/>
      <c r="R558" s="79"/>
      <c r="S558" s="80"/>
      <c r="U558" s="8">
        <f>bdrate($E558:$E561,F558:F561,$M558:$M561,N558:N561)</f>
        <v>-6.4177681533994502E-4</v>
      </c>
      <c r="V558" s="9">
        <f>bdrate($E558:$E561,G558:G561,$M558:$M561,O558:O561)</f>
        <v>-4.9828225618077093E-3</v>
      </c>
      <c r="W558" s="10">
        <f>bdrate($E558:$E561,H558:H561,$M558:$M561,P558:P561)</f>
        <v>1.3999733016971661E-3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1226.5704000000001</v>
      </c>
      <c r="F559" s="70">
        <f t="shared" si="104"/>
        <v>38.250433333333326</v>
      </c>
      <c r="G559" s="70">
        <f t="shared" si="104"/>
        <v>45.602033333333331</v>
      </c>
      <c r="H559" s="70">
        <f t="shared" si="104"/>
        <v>45.016700000000007</v>
      </c>
      <c r="I559" s="66"/>
      <c r="J559" s="66"/>
      <c r="K559" s="67"/>
      <c r="L559" s="29"/>
      <c r="M559" s="70">
        <f>M264+M268+M276+M280</f>
        <v>1226.0808</v>
      </c>
      <c r="N559" s="70">
        <f t="shared" si="105"/>
        <v>38.253099999999996</v>
      </c>
      <c r="O559" s="70">
        <f t="shared" si="105"/>
        <v>45.60863333333333</v>
      </c>
      <c r="P559" s="70">
        <f t="shared" si="105"/>
        <v>45.019766666666669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567.13440000000003</v>
      </c>
      <c r="F560" s="70">
        <f t="shared" si="104"/>
        <v>36.127499999999998</v>
      </c>
      <c r="G560" s="70">
        <f t="shared" si="104"/>
        <v>43.949599999999997</v>
      </c>
      <c r="H560" s="70">
        <f t="shared" si="104"/>
        <v>43.423666666666662</v>
      </c>
      <c r="I560" s="66"/>
      <c r="J560" s="66"/>
      <c r="K560" s="67"/>
      <c r="L560" s="29"/>
      <c r="M560" s="70">
        <f>M265+M269+M277+M281</f>
        <v>567.01520000000005</v>
      </c>
      <c r="N560" s="70">
        <f t="shared" si="105"/>
        <v>36.127399999999994</v>
      </c>
      <c r="O560" s="70">
        <f t="shared" si="105"/>
        <v>43.956966666666666</v>
      </c>
      <c r="P560" s="70">
        <f t="shared" si="105"/>
        <v>43.421866666666666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289.65119999999996</v>
      </c>
      <c r="F561" s="81">
        <f t="shared" si="104"/>
        <v>33.950233333333337</v>
      </c>
      <c r="G561" s="81">
        <f t="shared" si="104"/>
        <v>42.685900000000004</v>
      </c>
      <c r="H561" s="81">
        <f t="shared" si="104"/>
        <v>42.315499999999993</v>
      </c>
      <c r="I561" s="68"/>
      <c r="J561" s="68"/>
      <c r="K561" s="69"/>
      <c r="L561" s="29"/>
      <c r="M561" s="81">
        <f>M266+M270+M278+M282</f>
        <v>289.54799999999994</v>
      </c>
      <c r="N561" s="81">
        <f t="shared" si="105"/>
        <v>33.950299999999999</v>
      </c>
      <c r="O561" s="81">
        <f t="shared" si="105"/>
        <v>42.690300000000001</v>
      </c>
      <c r="P561" s="81">
        <f t="shared" si="105"/>
        <v>42.310133333333333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4220.4096</v>
      </c>
      <c r="F562" s="78">
        <f t="shared" ref="F562:H565" si="106">AVERAGE(F287,F291,F295,F299,F303,F307)</f>
        <v>40.403349999999996</v>
      </c>
      <c r="G562" s="78">
        <f t="shared" si="106"/>
        <v>47.056099999999994</v>
      </c>
      <c r="H562" s="78">
        <f t="shared" si="106"/>
        <v>46.718883333333338</v>
      </c>
      <c r="I562" s="79"/>
      <c r="J562" s="79"/>
      <c r="K562" s="80"/>
      <c r="L562" s="29"/>
      <c r="M562" s="78">
        <f>M311</f>
        <v>4219.7312000000002</v>
      </c>
      <c r="N562" s="78">
        <f t="shared" ref="N562:P565" si="107">AVERAGE(N287,N291,N295,N299,N303,N307)</f>
        <v>40.402666666666669</v>
      </c>
      <c r="O562" s="78">
        <f t="shared" si="107"/>
        <v>47.0533</v>
      </c>
      <c r="P562" s="78">
        <f t="shared" si="107"/>
        <v>46.708433333333325</v>
      </c>
      <c r="Q562" s="79"/>
      <c r="R562" s="79"/>
      <c r="S562" s="80"/>
      <c r="U562" s="8">
        <f>bdrate($E562:$E565,F562:F565,$M562:$M565,N562:N565)</f>
        <v>-5.0715669446033118E-4</v>
      </c>
      <c r="V562" s="9">
        <f>bdrate($E562:$E565,G562:G565,$M562:$M565,O562:O565)</f>
        <v>-1.3423057364413404E-3</v>
      </c>
      <c r="W562" s="10">
        <f>bdrate($E562:$E565,H562:H565,$M562:$M565,P562:P565)</f>
        <v>5.8574272799849503E-4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1452.3208</v>
      </c>
      <c r="F563" s="70">
        <f t="shared" si="106"/>
        <v>38.186183333333332</v>
      </c>
      <c r="G563" s="70">
        <f t="shared" si="106"/>
        <v>45.521649999999994</v>
      </c>
      <c r="H563" s="70">
        <f t="shared" si="106"/>
        <v>45.087133333333334</v>
      </c>
      <c r="I563" s="66"/>
      <c r="J563" s="66"/>
      <c r="K563" s="67"/>
      <c r="L563" s="29"/>
      <c r="M563" s="70">
        <f>M312</f>
        <v>1452.5744</v>
      </c>
      <c r="N563" s="70">
        <f t="shared" si="107"/>
        <v>38.187999999999995</v>
      </c>
      <c r="O563" s="70">
        <f t="shared" si="107"/>
        <v>45.523050000000005</v>
      </c>
      <c r="P563" s="70">
        <f t="shared" si="107"/>
        <v>45.086000000000006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656.05119999999999</v>
      </c>
      <c r="F564" s="70">
        <f t="shared" si="106"/>
        <v>36.051499999999997</v>
      </c>
      <c r="G564" s="70">
        <f t="shared" si="106"/>
        <v>43.835883333333328</v>
      </c>
      <c r="H564" s="70">
        <f t="shared" si="106"/>
        <v>43.401450000000004</v>
      </c>
      <c r="I564" s="66"/>
      <c r="J564" s="66"/>
      <c r="K564" s="67"/>
      <c r="L564" s="29"/>
      <c r="M564" s="70">
        <f>M313</f>
        <v>656.01919999999996</v>
      </c>
      <c r="N564" s="70">
        <f t="shared" si="107"/>
        <v>36.052599999999998</v>
      </c>
      <c r="O564" s="70">
        <f t="shared" si="107"/>
        <v>43.84343333333333</v>
      </c>
      <c r="P564" s="70">
        <f t="shared" si="107"/>
        <v>43.405616666666667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330.9504</v>
      </c>
      <c r="F565" s="81">
        <f t="shared" si="106"/>
        <v>33.869616666666666</v>
      </c>
      <c r="G565" s="81">
        <f t="shared" si="106"/>
        <v>42.577566666666669</v>
      </c>
      <c r="H565" s="81">
        <f t="shared" si="106"/>
        <v>42.198949999999996</v>
      </c>
      <c r="I565" s="68"/>
      <c r="J565" s="68"/>
      <c r="K565" s="69"/>
      <c r="L565" s="29"/>
      <c r="M565" s="81">
        <f>M314</f>
        <v>330.67840000000001</v>
      </c>
      <c r="N565" s="81">
        <f t="shared" si="107"/>
        <v>33.871033333333337</v>
      </c>
      <c r="O565" s="81">
        <f t="shared" si="107"/>
        <v>42.576133333333338</v>
      </c>
      <c r="P565" s="81">
        <f t="shared" si="107"/>
        <v>42.198233333333334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3406.6688000000004</v>
      </c>
      <c r="F566" s="78">
        <f t="shared" ref="F566:H569" si="109">AVERAGE(F263,F267,F287,F291,F295)</f>
        <v>40.034779999999998</v>
      </c>
      <c r="G566" s="78">
        <f t="shared" si="109"/>
        <v>46.976980000000005</v>
      </c>
      <c r="H566" s="78">
        <f t="shared" si="109"/>
        <v>46.171340000000001</v>
      </c>
      <c r="I566" s="79"/>
      <c r="J566" s="79"/>
      <c r="K566" s="80"/>
      <c r="L566" s="29"/>
      <c r="M566" s="78">
        <f t="shared" ref="M566:M573" si="110">M558</f>
        <v>3406.6680000000001</v>
      </c>
      <c r="N566" s="78">
        <f t="shared" ref="N566:P569" si="111">AVERAGE(N263,N267,N287,N291,N295)</f>
        <v>40.034399999999998</v>
      </c>
      <c r="O566" s="78">
        <f t="shared" si="111"/>
        <v>46.987780000000001</v>
      </c>
      <c r="P566" s="78">
        <f t="shared" si="111"/>
        <v>46.159939999999992</v>
      </c>
      <c r="Q566" s="79"/>
      <c r="R566" s="79"/>
      <c r="S566" s="80"/>
      <c r="U566" s="8">
        <f>bdrate($E566:$E569,F566:F569,$M566:$M569,N566:N569)</f>
        <v>-5.4557442718872196E-4</v>
      </c>
      <c r="V566" s="9">
        <f>bdrate($E566:$E569,G566:G569,$M566:$M569,O566:O569)</f>
        <v>-3.3823346771927332E-3</v>
      </c>
      <c r="W566" s="10">
        <f>bdrate($E566:$E569,H566:H569,$M566:$M569,P566:P569)</f>
        <v>5.1435458361992481E-4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1226.5704000000001</v>
      </c>
      <c r="F567" s="70">
        <f t="shared" si="109"/>
        <v>37.957360000000001</v>
      </c>
      <c r="G567" s="70">
        <f t="shared" si="109"/>
        <v>45.456659999999999</v>
      </c>
      <c r="H567" s="70">
        <f t="shared" si="109"/>
        <v>44.5413</v>
      </c>
      <c r="I567" s="66"/>
      <c r="J567" s="66"/>
      <c r="K567" s="67"/>
      <c r="L567" s="29"/>
      <c r="M567" s="70">
        <f t="shared" si="110"/>
        <v>1226.0808</v>
      </c>
      <c r="N567" s="70">
        <f t="shared" si="111"/>
        <v>37.95926</v>
      </c>
      <c r="O567" s="70">
        <f t="shared" si="111"/>
        <v>45.46116</v>
      </c>
      <c r="P567" s="70">
        <f t="shared" si="111"/>
        <v>44.543480000000002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567.13440000000003</v>
      </c>
      <c r="F568" s="70">
        <f t="shared" si="109"/>
        <v>35.9011</v>
      </c>
      <c r="G568" s="70">
        <f t="shared" si="109"/>
        <v>43.816040000000001</v>
      </c>
      <c r="H568" s="70">
        <f t="shared" si="109"/>
        <v>42.982759999999999</v>
      </c>
      <c r="I568" s="66"/>
      <c r="J568" s="66"/>
      <c r="K568" s="67"/>
      <c r="L568" s="29"/>
      <c r="M568" s="70">
        <f t="shared" si="110"/>
        <v>567.01520000000005</v>
      </c>
      <c r="N568" s="70">
        <f t="shared" si="111"/>
        <v>35.901140000000005</v>
      </c>
      <c r="O568" s="70">
        <f t="shared" si="111"/>
        <v>43.820979999999999</v>
      </c>
      <c r="P568" s="70">
        <f t="shared" si="111"/>
        <v>42.982640000000004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289.65119999999996</v>
      </c>
      <c r="F569" s="81">
        <f t="shared" si="109"/>
        <v>33.776140000000005</v>
      </c>
      <c r="G569" s="81">
        <f t="shared" si="109"/>
        <v>42.572919999999996</v>
      </c>
      <c r="H569" s="81">
        <f t="shared" si="109"/>
        <v>41.889319999999998</v>
      </c>
      <c r="I569" s="68"/>
      <c r="J569" s="68"/>
      <c r="K569" s="69"/>
      <c r="L569" s="29"/>
      <c r="M569" s="81">
        <f t="shared" si="110"/>
        <v>289.54799999999994</v>
      </c>
      <c r="N569" s="81">
        <f t="shared" si="111"/>
        <v>33.775940000000006</v>
      </c>
      <c r="O569" s="81">
        <f t="shared" si="111"/>
        <v>42.575580000000002</v>
      </c>
      <c r="P569" s="81">
        <f t="shared" si="111"/>
        <v>41.886679999999998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4220.4096</v>
      </c>
      <c r="F570" s="78">
        <f t="shared" ref="F570:H573" si="112">AVERAGE(F263,F267,F271,F287,F291,F295,F299,F303,F307)</f>
        <v>40.0197111111111</v>
      </c>
      <c r="G570" s="78">
        <f t="shared" si="112"/>
        <v>46.900977777777783</v>
      </c>
      <c r="H570" s="78">
        <f t="shared" si="112"/>
        <v>46.356277777777777</v>
      </c>
      <c r="I570" s="79"/>
      <c r="J570" s="79"/>
      <c r="K570" s="80"/>
      <c r="L570" s="29"/>
      <c r="M570" s="78">
        <f t="shared" si="110"/>
        <v>4219.7312000000002</v>
      </c>
      <c r="N570" s="78">
        <f t="shared" ref="N570:P573" si="113">AVERAGE(N263,N267,N271,N287,N291,N295,N299,N303,N307)</f>
        <v>40.018988888888899</v>
      </c>
      <c r="O570" s="78">
        <f t="shared" si="113"/>
        <v>46.898411111111116</v>
      </c>
      <c r="P570" s="78">
        <f t="shared" si="113"/>
        <v>46.349155555555548</v>
      </c>
      <c r="Q570" s="79"/>
      <c r="R570" s="79"/>
      <c r="S570" s="80"/>
      <c r="U570" s="8">
        <f>bdrate($E570:$E573,F570:F573,$M570:$M573,N570:N573)</f>
        <v>-4.5039786156775286E-4</v>
      </c>
      <c r="V570" s="9">
        <f>bdrate($E570:$E573,G570:G573,$M570:$M573,O570:O573)</f>
        <v>-1.0740448831673133E-3</v>
      </c>
      <c r="W570" s="10">
        <f>bdrate($E570:$E573,H570:H573,$M570:$M573,P570:P573)</f>
        <v>2.7917230271645721E-4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1452.3208</v>
      </c>
      <c r="F571" s="70">
        <f t="shared" si="112"/>
        <v>37.899877777777775</v>
      </c>
      <c r="G571" s="70">
        <f t="shared" si="112"/>
        <v>45.39971111111111</v>
      </c>
      <c r="H571" s="70">
        <f t="shared" si="112"/>
        <v>44.766722222222221</v>
      </c>
      <c r="I571" s="66"/>
      <c r="J571" s="66"/>
      <c r="K571" s="67"/>
      <c r="L571" s="29"/>
      <c r="M571" s="70">
        <f t="shared" si="110"/>
        <v>1452.5744</v>
      </c>
      <c r="N571" s="70">
        <f t="shared" si="113"/>
        <v>37.901533333333333</v>
      </c>
      <c r="O571" s="70">
        <f t="shared" si="113"/>
        <v>45.40098888888889</v>
      </c>
      <c r="P571" s="70">
        <f t="shared" si="113"/>
        <v>44.765522222222224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656.05119999999999</v>
      </c>
      <c r="F572" s="70">
        <f t="shared" si="112"/>
        <v>35.822800000000001</v>
      </c>
      <c r="G572" s="70">
        <f t="shared" si="112"/>
        <v>43.747499999999995</v>
      </c>
      <c r="H572" s="70">
        <f t="shared" si="112"/>
        <v>43.130466666666656</v>
      </c>
      <c r="I572" s="66"/>
      <c r="J572" s="66"/>
      <c r="K572" s="67"/>
      <c r="L572" s="29"/>
      <c r="M572" s="70">
        <f t="shared" si="110"/>
        <v>656.01919999999996</v>
      </c>
      <c r="N572" s="70">
        <f t="shared" si="113"/>
        <v>35.823800000000006</v>
      </c>
      <c r="O572" s="70">
        <f t="shared" si="113"/>
        <v>43.753466666666661</v>
      </c>
      <c r="P572" s="70">
        <f t="shared" si="113"/>
        <v>43.134588888888885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330.9504</v>
      </c>
      <c r="F573" s="81">
        <f t="shared" si="112"/>
        <v>33.688922222222217</v>
      </c>
      <c r="G573" s="81">
        <f t="shared" si="112"/>
        <v>42.509644444444454</v>
      </c>
      <c r="H573" s="81">
        <f t="shared" si="112"/>
        <v>41.957333333333338</v>
      </c>
      <c r="I573" s="68"/>
      <c r="J573" s="68"/>
      <c r="K573" s="69"/>
      <c r="L573" s="29"/>
      <c r="M573" s="81">
        <f t="shared" si="110"/>
        <v>330.67840000000001</v>
      </c>
      <c r="N573" s="81">
        <f t="shared" si="113"/>
        <v>33.689555555555557</v>
      </c>
      <c r="O573" s="81">
        <f t="shared" si="113"/>
        <v>42.508155555555554</v>
      </c>
      <c r="P573" s="81">
        <f t="shared" si="113"/>
        <v>41.956688888888884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5539.7735999999995</v>
      </c>
      <c r="F574" s="78">
        <f t="shared" ref="F574:H577" si="114">AVERAGE(F315,F319)</f>
        <v>38.389200000000002</v>
      </c>
      <c r="G574" s="78">
        <f t="shared" si="114"/>
        <v>46.613699999999994</v>
      </c>
      <c r="H574" s="78">
        <f t="shared" si="114"/>
        <v>45.966499999999996</v>
      </c>
      <c r="I574" s="79"/>
      <c r="J574" s="79"/>
      <c r="K574" s="80"/>
      <c r="L574" s="29"/>
      <c r="M574" s="82">
        <f>M315+M319</f>
        <v>5540.2943999999998</v>
      </c>
      <c r="N574" s="78">
        <f t="shared" ref="N574:P577" si="115">AVERAGE(N315,N319)</f>
        <v>38.389849999999996</v>
      </c>
      <c r="O574" s="78">
        <f t="shared" si="115"/>
        <v>46.614849999999997</v>
      </c>
      <c r="P574" s="78">
        <f t="shared" si="115"/>
        <v>45.966499999999996</v>
      </c>
      <c r="Q574" s="79"/>
      <c r="R574" s="79"/>
      <c r="S574" s="80"/>
      <c r="U574" s="8">
        <f>bdrate($E574:$E577,F574:F577,$M574:$M577,N574:N577)</f>
        <v>-2.6077577122585183E-5</v>
      </c>
      <c r="V574" s="9">
        <f>bdrate($E574:$E577,G574:G577,$M574:$M577,O574:O577)</f>
        <v>-7.5728887514481258E-4</v>
      </c>
      <c r="W574" s="10">
        <f>bdrate($E574:$E577,H574:H577,$M574:$M577,P574:P577)</f>
        <v>2.4793927922273085E-4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2325.7352000000001</v>
      </c>
      <c r="F575" s="70">
        <f t="shared" si="114"/>
        <v>35.629800000000003</v>
      </c>
      <c r="G575" s="70">
        <f t="shared" si="114"/>
        <v>45.131500000000003</v>
      </c>
      <c r="H575" s="70">
        <f t="shared" si="114"/>
        <v>44.580449999999999</v>
      </c>
      <c r="I575" s="66"/>
      <c r="J575" s="66"/>
      <c r="K575" s="67"/>
      <c r="L575" s="29"/>
      <c r="M575" s="83">
        <f>M316+M320</f>
        <v>2325.8944000000001</v>
      </c>
      <c r="N575" s="70">
        <f t="shared" si="115"/>
        <v>35.628950000000003</v>
      </c>
      <c r="O575" s="70">
        <f t="shared" si="115"/>
        <v>45.132050000000007</v>
      </c>
      <c r="P575" s="70">
        <f t="shared" si="115"/>
        <v>44.579800000000006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1053.896</v>
      </c>
      <c r="F576" s="70">
        <f t="shared" si="114"/>
        <v>33.1648</v>
      </c>
      <c r="G576" s="70">
        <f t="shared" si="114"/>
        <v>43.819600000000001</v>
      </c>
      <c r="H576" s="70">
        <f t="shared" si="114"/>
        <v>43.37435</v>
      </c>
      <c r="I576" s="66"/>
      <c r="J576" s="66"/>
      <c r="K576" s="67"/>
      <c r="L576" s="29"/>
      <c r="M576" s="83">
        <f>M317+M321</f>
        <v>1053.3920000000001</v>
      </c>
      <c r="N576" s="70">
        <f t="shared" si="115"/>
        <v>33.164900000000003</v>
      </c>
      <c r="O576" s="70">
        <f t="shared" si="115"/>
        <v>43.819649999999996</v>
      </c>
      <c r="P576" s="70">
        <f t="shared" si="115"/>
        <v>43.373400000000004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488.60320000000002</v>
      </c>
      <c r="F577" s="81">
        <f t="shared" si="114"/>
        <v>30.905349999999999</v>
      </c>
      <c r="G577" s="81">
        <f t="shared" si="114"/>
        <v>43.011099999999999</v>
      </c>
      <c r="H577" s="81">
        <f t="shared" si="114"/>
        <v>42.618600000000001</v>
      </c>
      <c r="I577" s="68"/>
      <c r="J577" s="68"/>
      <c r="K577" s="69"/>
      <c r="L577" s="29"/>
      <c r="M577" s="84">
        <f>M318+M322</f>
        <v>488.47360000000003</v>
      </c>
      <c r="N577" s="81">
        <f t="shared" si="115"/>
        <v>30.9039</v>
      </c>
      <c r="O577" s="81">
        <f t="shared" si="115"/>
        <v>43.015549999999998</v>
      </c>
      <c r="P577" s="81">
        <f t="shared" si="115"/>
        <v>42.619250000000001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6404.7823999999991</v>
      </c>
      <c r="F578" s="78">
        <f t="shared" ref="F578:H581" si="116">AVERAGE(F315,F319,F323)</f>
        <v>38.306400000000004</v>
      </c>
      <c r="G578" s="78">
        <f t="shared" si="116"/>
        <v>46.581333333333326</v>
      </c>
      <c r="H578" s="78">
        <f t="shared" si="116"/>
        <v>45.903600000000004</v>
      </c>
      <c r="I578" s="79"/>
      <c r="J578" s="79"/>
      <c r="K578" s="80"/>
      <c r="L578" s="29"/>
      <c r="M578" s="78">
        <f>M315+M319+M323</f>
        <v>6404.6815999999999</v>
      </c>
      <c r="N578" s="78">
        <f t="shared" ref="N578:P581" si="117">AVERAGE(N315,N319,N323)</f>
        <v>38.306766666666668</v>
      </c>
      <c r="O578" s="78">
        <f t="shared" si="117"/>
        <v>46.581699999999991</v>
      </c>
      <c r="P578" s="78">
        <f t="shared" si="117"/>
        <v>45.902966666666664</v>
      </c>
      <c r="Q578" s="79"/>
      <c r="R578" s="79"/>
      <c r="S578" s="80"/>
      <c r="U578" s="8">
        <f>bdrate($E578:$E581,F578:F581,$M578:$M581,N578:N581)</f>
        <v>-2.2146144943369084E-4</v>
      </c>
      <c r="V578" s="9">
        <f>bdrate($E578:$E581,G578:G581,$M578:$M581,O578:O581)</f>
        <v>-3.2582121421820265E-4</v>
      </c>
      <c r="W578" s="10">
        <f>bdrate($E578:$E581,H578:H581,$M578:$M581,P578:P581)</f>
        <v>9.4894432105530058E-5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2630.1055999999999</v>
      </c>
      <c r="F579" s="70">
        <f t="shared" si="116"/>
        <v>35.597633333333334</v>
      </c>
      <c r="G579" s="70">
        <f t="shared" si="116"/>
        <v>45.103733333333338</v>
      </c>
      <c r="H579" s="70">
        <f t="shared" si="116"/>
        <v>44.530200000000001</v>
      </c>
      <c r="I579" s="66"/>
      <c r="J579" s="66"/>
      <c r="K579" s="67"/>
      <c r="L579" s="29"/>
      <c r="M579" s="70">
        <f>M316+M320+M324</f>
        <v>2630.4736000000003</v>
      </c>
      <c r="N579" s="70">
        <f t="shared" si="117"/>
        <v>35.597000000000001</v>
      </c>
      <c r="O579" s="70">
        <f t="shared" si="117"/>
        <v>45.103033333333336</v>
      </c>
      <c r="P579" s="70">
        <f t="shared" si="117"/>
        <v>44.530633333333334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1184.6096</v>
      </c>
      <c r="F580" s="70">
        <f t="shared" si="116"/>
        <v>33.156666666666666</v>
      </c>
      <c r="G580" s="70">
        <f t="shared" si="116"/>
        <v>43.798466666666663</v>
      </c>
      <c r="H580" s="70">
        <f t="shared" si="116"/>
        <v>43.338000000000001</v>
      </c>
      <c r="I580" s="66"/>
      <c r="J580" s="66"/>
      <c r="K580" s="67"/>
      <c r="L580" s="29"/>
      <c r="M580" s="70">
        <f>M317+M321+M325</f>
        <v>1183.9264000000001</v>
      </c>
      <c r="N580" s="70">
        <f t="shared" si="117"/>
        <v>33.157200000000003</v>
      </c>
      <c r="O580" s="70">
        <f t="shared" si="117"/>
        <v>43.798133333333332</v>
      </c>
      <c r="P580" s="70">
        <f t="shared" si="117"/>
        <v>43.336266666666667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549.70720000000006</v>
      </c>
      <c r="F581" s="81">
        <f t="shared" si="116"/>
        <v>30.905999999999995</v>
      </c>
      <c r="G581" s="81">
        <f t="shared" si="116"/>
        <v>42.990466666666663</v>
      </c>
      <c r="H581" s="81">
        <f t="shared" si="116"/>
        <v>42.579500000000003</v>
      </c>
      <c r="I581" s="68"/>
      <c r="J581" s="68"/>
      <c r="K581" s="69"/>
      <c r="L581" s="29"/>
      <c r="M581" s="81">
        <f>M318+M322+M326</f>
        <v>549.03680000000008</v>
      </c>
      <c r="N581" s="81">
        <f t="shared" si="117"/>
        <v>30.904599999999999</v>
      </c>
      <c r="O581" s="81">
        <f t="shared" si="117"/>
        <v>42.994733333333329</v>
      </c>
      <c r="P581" s="81">
        <f t="shared" si="117"/>
        <v>42.580166666666663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5847.7703999999994</v>
      </c>
      <c r="F582" s="78">
        <f t="shared" ref="F582:H585" si="118">AVERAGE(F339,F343,F347)</f>
        <v>38.822900000000004</v>
      </c>
      <c r="G582" s="78">
        <f t="shared" si="118"/>
        <v>46.974666666666671</v>
      </c>
      <c r="H582" s="78">
        <f t="shared" si="118"/>
        <v>46.136833333333335</v>
      </c>
      <c r="I582" s="79"/>
      <c r="J582" s="79"/>
      <c r="K582" s="80"/>
      <c r="L582" s="29"/>
      <c r="M582" s="78">
        <f>M315+M319+M327+M331</f>
        <v>5847.5775999999996</v>
      </c>
      <c r="N582" s="78">
        <f t="shared" ref="N582:P585" si="119">AVERAGE(N339,N343,N347)</f>
        <v>38.825266666666664</v>
      </c>
      <c r="O582" s="78">
        <f t="shared" si="119"/>
        <v>46.988333333333337</v>
      </c>
      <c r="P582" s="78">
        <f t="shared" si="119"/>
        <v>46.139499999999998</v>
      </c>
      <c r="Q582" s="79"/>
      <c r="R582" s="79"/>
      <c r="S582" s="80"/>
      <c r="U582" s="8">
        <f>bdrate($E582:$E585,F582:F585,$M582:$M585,N582:N585)</f>
        <v>-2.2311628399418471E-4</v>
      </c>
      <c r="V582" s="9">
        <f>bdrate($E582:$E585,G582:G585,$M582:$M585,O582:O585)</f>
        <v>-4.0073434728009616E-3</v>
      </c>
      <c r="W582" s="10">
        <f>bdrate($E582:$E585,H582:H585,$M582:$M585,P582:P585)</f>
        <v>2.9067381464340514E-3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2459.6448</v>
      </c>
      <c r="F583" s="70">
        <f t="shared" si="118"/>
        <v>35.91126666666667</v>
      </c>
      <c r="G583" s="70">
        <f t="shared" si="118"/>
        <v>45.53176666666667</v>
      </c>
      <c r="H583" s="70">
        <f t="shared" si="118"/>
        <v>44.826366666666672</v>
      </c>
      <c r="I583" s="66"/>
      <c r="J583" s="66"/>
      <c r="K583" s="67"/>
      <c r="L583" s="29"/>
      <c r="M583" s="70">
        <f>M316+M320+M328+M332</f>
        <v>2459.3208</v>
      </c>
      <c r="N583" s="70">
        <f t="shared" si="119"/>
        <v>35.910333333333334</v>
      </c>
      <c r="O583" s="70">
        <f t="shared" si="119"/>
        <v>45.533999999999999</v>
      </c>
      <c r="P583" s="70">
        <f t="shared" si="119"/>
        <v>44.822833333333335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1118.9431999999999</v>
      </c>
      <c r="F584" s="70">
        <f t="shared" si="118"/>
        <v>33.325633333333336</v>
      </c>
      <c r="G584" s="70">
        <f t="shared" si="118"/>
        <v>44.196199999999997</v>
      </c>
      <c r="H584" s="70">
        <f t="shared" si="118"/>
        <v>43.702733333333335</v>
      </c>
      <c r="I584" s="66"/>
      <c r="J584" s="66"/>
      <c r="K584" s="67"/>
      <c r="L584" s="29"/>
      <c r="M584" s="70">
        <f>M317+M321+M329+M333</f>
        <v>1118.2583999999999</v>
      </c>
      <c r="N584" s="70">
        <f t="shared" si="119"/>
        <v>33.324133333333329</v>
      </c>
      <c r="O584" s="70">
        <f t="shared" si="119"/>
        <v>44.204666666666668</v>
      </c>
      <c r="P584" s="70">
        <f t="shared" si="119"/>
        <v>43.693433333333331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519.52880000000005</v>
      </c>
      <c r="F585" s="81">
        <f t="shared" si="118"/>
        <v>30.972133333333332</v>
      </c>
      <c r="G585" s="81">
        <f t="shared" si="118"/>
        <v>43.413533333333334</v>
      </c>
      <c r="H585" s="81">
        <f t="shared" si="118"/>
        <v>42.97313333333333</v>
      </c>
      <c r="I585" s="68"/>
      <c r="J585" s="68"/>
      <c r="K585" s="69"/>
      <c r="L585" s="29"/>
      <c r="M585" s="81">
        <f>M318+M322+M330+M334</f>
        <v>519.27440000000001</v>
      </c>
      <c r="N585" s="81">
        <f t="shared" si="119"/>
        <v>30.974266666666665</v>
      </c>
      <c r="O585" s="81">
        <f t="shared" si="119"/>
        <v>43.412666666666667</v>
      </c>
      <c r="P585" s="81">
        <f t="shared" si="119"/>
        <v>42.973300000000002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6812.0432000000001</v>
      </c>
      <c r="F586" s="78">
        <f t="shared" ref="F586:H589" si="120">AVERAGE(F339,F343,F347,F351,F355,F359)</f>
        <v>38.840583333333335</v>
      </c>
      <c r="G586" s="78">
        <f t="shared" si="120"/>
        <v>46.756566666666664</v>
      </c>
      <c r="H586" s="78">
        <f t="shared" si="120"/>
        <v>46.337250000000004</v>
      </c>
      <c r="I586" s="79"/>
      <c r="J586" s="79"/>
      <c r="K586" s="80"/>
      <c r="L586" s="29"/>
      <c r="M586" s="78">
        <f>M363</f>
        <v>6811.2608</v>
      </c>
      <c r="N586" s="78">
        <f t="shared" ref="N586:P589" si="121">AVERAGE(N339,N343,N347,N351,N355,N359)</f>
        <v>38.84343333333333</v>
      </c>
      <c r="O586" s="78">
        <f t="shared" si="121"/>
        <v>46.757283333333334</v>
      </c>
      <c r="P586" s="78">
        <f t="shared" si="121"/>
        <v>46.336800000000004</v>
      </c>
      <c r="Q586" s="79"/>
      <c r="R586" s="79"/>
      <c r="S586" s="80"/>
      <c r="U586" s="8">
        <f>bdrate($E586:$E589,F586:F589,$M586:$M589,N586:N589)</f>
        <v>9.768408694155184E-5</v>
      </c>
      <c r="V586" s="9">
        <f>bdrate($E586:$E589,G586:G589,$M586:$M589,O586:O589)</f>
        <v>-3.2915968641815674E-3</v>
      </c>
      <c r="W586" s="10">
        <f>bdrate($E586:$E589,H586:H589,$M586:$M589,P586:P589)</f>
        <v>3.1129934506124446E-3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2807.8128000000002</v>
      </c>
      <c r="F587" s="70">
        <f t="shared" si="120"/>
        <v>35.93933333333333</v>
      </c>
      <c r="G587" s="70">
        <f t="shared" si="120"/>
        <v>45.326383333333332</v>
      </c>
      <c r="H587" s="70">
        <f t="shared" si="120"/>
        <v>44.939816666666673</v>
      </c>
      <c r="I587" s="66"/>
      <c r="J587" s="66"/>
      <c r="K587" s="67"/>
      <c r="L587" s="29"/>
      <c r="M587" s="70">
        <f>M364</f>
        <v>2807.7864</v>
      </c>
      <c r="N587" s="70">
        <f t="shared" si="121"/>
        <v>35.936199999999999</v>
      </c>
      <c r="O587" s="70">
        <f t="shared" si="121"/>
        <v>45.327116666666676</v>
      </c>
      <c r="P587" s="70">
        <f t="shared" si="121"/>
        <v>44.932983333333333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1274.308</v>
      </c>
      <c r="F588" s="70">
        <f t="shared" si="120"/>
        <v>33.357333333333337</v>
      </c>
      <c r="G588" s="70">
        <f t="shared" si="120"/>
        <v>44.025016666666666</v>
      </c>
      <c r="H588" s="70">
        <f t="shared" si="120"/>
        <v>43.669000000000004</v>
      </c>
      <c r="I588" s="66"/>
      <c r="J588" s="66"/>
      <c r="K588" s="67"/>
      <c r="L588" s="29"/>
      <c r="M588" s="70">
        <f>M365</f>
        <v>1273.4112</v>
      </c>
      <c r="N588" s="70">
        <f t="shared" si="121"/>
        <v>33.354900000000008</v>
      </c>
      <c r="O588" s="70">
        <f t="shared" si="121"/>
        <v>44.0334</v>
      </c>
      <c r="P588" s="70">
        <f t="shared" si="121"/>
        <v>43.665999999999997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595.66399999999999</v>
      </c>
      <c r="F589" s="81">
        <f t="shared" si="120"/>
        <v>30.999133333333333</v>
      </c>
      <c r="G589" s="81">
        <f t="shared" si="120"/>
        <v>43.24413333333333</v>
      </c>
      <c r="H589" s="81">
        <f t="shared" si="120"/>
        <v>42.865216666666669</v>
      </c>
      <c r="I589" s="68"/>
      <c r="J589" s="68"/>
      <c r="K589" s="69"/>
      <c r="L589" s="29"/>
      <c r="M589" s="81">
        <f>M366</f>
        <v>594.91200000000003</v>
      </c>
      <c r="N589" s="81">
        <f t="shared" si="121"/>
        <v>30.999933333333335</v>
      </c>
      <c r="O589" s="81">
        <f t="shared" si="121"/>
        <v>43.252933333333338</v>
      </c>
      <c r="P589" s="81">
        <f t="shared" si="121"/>
        <v>42.856316666666665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5847.7703999999994</v>
      </c>
      <c r="F590" s="78">
        <f t="shared" ref="F590:H593" si="123">AVERAGE(F315,F319,F339,F343,F347)</f>
        <v>38.649420000000006</v>
      </c>
      <c r="G590" s="78">
        <f t="shared" si="123"/>
        <v>46.830280000000002</v>
      </c>
      <c r="H590" s="78">
        <f t="shared" si="123"/>
        <v>46.0687</v>
      </c>
      <c r="I590" s="79"/>
      <c r="J590" s="79"/>
      <c r="K590" s="80"/>
      <c r="L590" s="29"/>
      <c r="M590" s="78">
        <f t="shared" ref="M590:M597" si="124">M582</f>
        <v>5847.5775999999996</v>
      </c>
      <c r="N590" s="78">
        <f t="shared" ref="N590:P593" si="125">AVERAGE(N315,N319,N339,N343,N347)</f>
        <v>38.6511</v>
      </c>
      <c r="O590" s="78">
        <f t="shared" si="125"/>
        <v>46.838939999999994</v>
      </c>
      <c r="P590" s="78">
        <f t="shared" si="125"/>
        <v>46.070299999999996</v>
      </c>
      <c r="Q590" s="79"/>
      <c r="R590" s="79"/>
      <c r="S590" s="80"/>
      <c r="U590" s="8">
        <f>bdrate($E590:$E593,F590:F593,$M590:$M593,N590:N593)</f>
        <v>-2.1263813927352437E-4</v>
      </c>
      <c r="V590" s="9">
        <f>bdrate($E590:$E593,G590:G593,$M590:$M593,O590:O593)</f>
        <v>-2.7667091061693849E-3</v>
      </c>
      <c r="W590" s="10">
        <f>bdrate($E590:$E593,H590:H593,$M590:$M593,P590:P593)</f>
        <v>1.7343709374775251E-3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2459.6448</v>
      </c>
      <c r="F591" s="70">
        <f t="shared" si="123"/>
        <v>35.798680000000004</v>
      </c>
      <c r="G591" s="70">
        <f t="shared" si="123"/>
        <v>45.371660000000006</v>
      </c>
      <c r="H591" s="70">
        <f t="shared" si="123"/>
        <v>44.727999999999994</v>
      </c>
      <c r="I591" s="66"/>
      <c r="J591" s="66"/>
      <c r="K591" s="67"/>
      <c r="L591" s="29"/>
      <c r="M591" s="70">
        <f t="shared" si="124"/>
        <v>2459.3208</v>
      </c>
      <c r="N591" s="70">
        <f t="shared" si="125"/>
        <v>35.797780000000003</v>
      </c>
      <c r="O591" s="70">
        <f t="shared" si="125"/>
        <v>45.373220000000003</v>
      </c>
      <c r="P591" s="70">
        <f t="shared" si="125"/>
        <v>44.725620000000006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1118.9431999999999</v>
      </c>
      <c r="F592" s="70">
        <f t="shared" si="123"/>
        <v>33.261299999999999</v>
      </c>
      <c r="G592" s="70">
        <f t="shared" si="123"/>
        <v>44.045560000000002</v>
      </c>
      <c r="H592" s="70">
        <f t="shared" si="123"/>
        <v>43.571379999999998</v>
      </c>
      <c r="I592" s="66"/>
      <c r="J592" s="66"/>
      <c r="K592" s="67"/>
      <c r="L592" s="29"/>
      <c r="M592" s="70">
        <f t="shared" si="124"/>
        <v>1118.2583999999999</v>
      </c>
      <c r="N592" s="70">
        <f t="shared" si="125"/>
        <v>33.260440000000003</v>
      </c>
      <c r="O592" s="70">
        <f t="shared" si="125"/>
        <v>44.050660000000001</v>
      </c>
      <c r="P592" s="70">
        <f t="shared" si="125"/>
        <v>43.565420000000003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519.52880000000005</v>
      </c>
      <c r="F593" s="81">
        <f t="shared" si="123"/>
        <v>30.945420000000002</v>
      </c>
      <c r="G593" s="81">
        <f t="shared" si="123"/>
        <v>43.252560000000003</v>
      </c>
      <c r="H593" s="81">
        <f t="shared" si="123"/>
        <v>42.831320000000005</v>
      </c>
      <c r="I593" s="68"/>
      <c r="J593" s="68"/>
      <c r="K593" s="69"/>
      <c r="L593" s="29"/>
      <c r="M593" s="81">
        <f t="shared" si="124"/>
        <v>519.27440000000001</v>
      </c>
      <c r="N593" s="81">
        <f t="shared" si="125"/>
        <v>30.946120000000001</v>
      </c>
      <c r="O593" s="81">
        <f t="shared" si="125"/>
        <v>43.253820000000005</v>
      </c>
      <c r="P593" s="81">
        <f t="shared" si="125"/>
        <v>42.831679999999999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6812.0432000000001</v>
      </c>
      <c r="F594" s="78">
        <f t="shared" ref="F594:H597" si="126">AVERAGE(F315,F319,F323,F339,F343,F347,F351,F355,F359)</f>
        <v>38.662522222222229</v>
      </c>
      <c r="G594" s="78">
        <f t="shared" si="126"/>
        <v>46.698155555555559</v>
      </c>
      <c r="H594" s="78">
        <f t="shared" si="126"/>
        <v>46.192700000000002</v>
      </c>
      <c r="I594" s="79"/>
      <c r="J594" s="79"/>
      <c r="K594" s="80"/>
      <c r="L594" s="29"/>
      <c r="M594" s="78">
        <f t="shared" si="124"/>
        <v>6811.2608</v>
      </c>
      <c r="N594" s="78">
        <f t="shared" ref="N594:P597" si="127">AVERAGE(N315,N319,N323,N339,N343,N347,N351,N355,N359)</f>
        <v>38.664544444444438</v>
      </c>
      <c r="O594" s="78">
        <f t="shared" si="127"/>
        <v>46.69875555555555</v>
      </c>
      <c r="P594" s="78">
        <f t="shared" si="127"/>
        <v>46.192188888888893</v>
      </c>
      <c r="Q594" s="79"/>
      <c r="R594" s="79"/>
      <c r="S594" s="80"/>
      <c r="U594" s="8">
        <f>bdrate($E594:$E597,F594:F597,$M594:$M597,N594:N597)</f>
        <v>-4.4307134542176385E-5</v>
      </c>
      <c r="V594" s="9">
        <f>bdrate($E594:$E597,G594:G597,$M594:$M597,O594:O597)</f>
        <v>-2.3301699384582486E-3</v>
      </c>
      <c r="W594" s="10">
        <f>bdrate($E594:$E597,H594:H597,$M594:$M597,P594:P597)</f>
        <v>2.1007230184670878E-3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2807.8128000000002</v>
      </c>
      <c r="F595" s="70">
        <f t="shared" si="126"/>
        <v>35.825433333333336</v>
      </c>
      <c r="G595" s="70">
        <f t="shared" si="126"/>
        <v>45.252166666666668</v>
      </c>
      <c r="H595" s="70">
        <f t="shared" si="126"/>
        <v>44.80327777777778</v>
      </c>
      <c r="I595" s="66"/>
      <c r="J595" s="66"/>
      <c r="K595" s="67"/>
      <c r="L595" s="29"/>
      <c r="M595" s="70">
        <f t="shared" si="124"/>
        <v>2807.7864</v>
      </c>
      <c r="N595" s="70">
        <f t="shared" si="127"/>
        <v>35.823133333333345</v>
      </c>
      <c r="O595" s="70">
        <f t="shared" si="127"/>
        <v>45.252422222222229</v>
      </c>
      <c r="P595" s="70">
        <f t="shared" si="127"/>
        <v>44.798866666666669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1274.308</v>
      </c>
      <c r="F596" s="70">
        <f t="shared" si="126"/>
        <v>33.290444444444439</v>
      </c>
      <c r="G596" s="70">
        <f t="shared" si="126"/>
        <v>43.949500000000008</v>
      </c>
      <c r="H596" s="70">
        <f t="shared" si="126"/>
        <v>43.558666666666667</v>
      </c>
      <c r="I596" s="66"/>
      <c r="J596" s="66"/>
      <c r="K596" s="67"/>
      <c r="L596" s="29"/>
      <c r="M596" s="70">
        <f t="shared" si="124"/>
        <v>1273.4112</v>
      </c>
      <c r="N596" s="70">
        <f t="shared" si="127"/>
        <v>33.289000000000009</v>
      </c>
      <c r="O596" s="70">
        <f t="shared" si="127"/>
        <v>43.954977777777778</v>
      </c>
      <c r="P596" s="70">
        <f t="shared" si="127"/>
        <v>43.556088888888887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595.66399999999999</v>
      </c>
      <c r="F597" s="81">
        <f t="shared" si="126"/>
        <v>30.968088888888889</v>
      </c>
      <c r="G597" s="81">
        <f t="shared" si="126"/>
        <v>43.159577777777777</v>
      </c>
      <c r="H597" s="81">
        <f t="shared" si="126"/>
        <v>42.769977777777775</v>
      </c>
      <c r="I597" s="68"/>
      <c r="J597" s="68"/>
      <c r="K597" s="69"/>
      <c r="L597" s="29"/>
      <c r="M597" s="81">
        <f t="shared" si="124"/>
        <v>594.91200000000003</v>
      </c>
      <c r="N597" s="81">
        <f t="shared" si="127"/>
        <v>30.968155555555555</v>
      </c>
      <c r="O597" s="81">
        <f t="shared" si="127"/>
        <v>43.166866666666664</v>
      </c>
      <c r="P597" s="81">
        <f t="shared" si="127"/>
        <v>42.764266666666664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4702.5280000000002</v>
      </c>
      <c r="F598" s="78">
        <f t="shared" ref="F598:H601" si="128">AVERAGE(F367,F371)</f>
        <v>41.202100000000002</v>
      </c>
      <c r="G598" s="78">
        <f t="shared" si="128"/>
        <v>46.551900000000003</v>
      </c>
      <c r="H598" s="78">
        <f t="shared" si="128"/>
        <v>45.920099999999998</v>
      </c>
      <c r="I598" s="79"/>
      <c r="J598" s="79"/>
      <c r="K598" s="80"/>
      <c r="L598" s="29"/>
      <c r="M598" s="78">
        <f>M367+M371</f>
        <v>4702.6063999999997</v>
      </c>
      <c r="N598" s="78">
        <f t="shared" ref="N598:P601" si="129">AVERAGE(N367,N371)</f>
        <v>41.20185</v>
      </c>
      <c r="O598" s="78">
        <f t="shared" si="129"/>
        <v>46.551200000000001</v>
      </c>
      <c r="P598" s="78">
        <f t="shared" si="129"/>
        <v>45.921300000000002</v>
      </c>
      <c r="Q598" s="79"/>
      <c r="R598" s="79"/>
      <c r="S598" s="80"/>
      <c r="U598" s="8">
        <f>bdrate($E598:$E601,F598:F601,$M598:$M601,N598:N601)</f>
        <v>1.1993474105409518E-5</v>
      </c>
      <c r="V598" s="9">
        <f>bdrate($E598:$E601,G598:G601,$M598:$M601,O598:O601)</f>
        <v>-6.7787785695938574E-5</v>
      </c>
      <c r="W598" s="10">
        <f>bdrate($E598:$E601,H598:H601,$M598:$M601,P598:P601)</f>
        <v>-4.4786060032919739E-4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2321.5232000000001</v>
      </c>
      <c r="F599" s="70">
        <f t="shared" si="128"/>
        <v>38.284500000000001</v>
      </c>
      <c r="G599" s="70">
        <f t="shared" si="128"/>
        <v>44.873550000000002</v>
      </c>
      <c r="H599" s="70">
        <f t="shared" si="128"/>
        <v>44.022999999999996</v>
      </c>
      <c r="I599" s="66"/>
      <c r="J599" s="66"/>
      <c r="K599" s="67"/>
      <c r="L599" s="29"/>
      <c r="M599" s="70">
        <f>M368+M372</f>
        <v>2321.2447999999999</v>
      </c>
      <c r="N599" s="70">
        <f t="shared" si="129"/>
        <v>38.283999999999999</v>
      </c>
      <c r="O599" s="70">
        <f t="shared" si="129"/>
        <v>44.873249999999999</v>
      </c>
      <c r="P599" s="70">
        <f t="shared" si="129"/>
        <v>44.025100000000002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1137.4911999999999</v>
      </c>
      <c r="F600" s="70">
        <f t="shared" si="128"/>
        <v>35.527299999999997</v>
      </c>
      <c r="G600" s="70">
        <f t="shared" si="128"/>
        <v>43.258000000000003</v>
      </c>
      <c r="H600" s="70">
        <f t="shared" si="128"/>
        <v>42.193300000000001</v>
      </c>
      <c r="I600" s="66"/>
      <c r="J600" s="66"/>
      <c r="K600" s="67"/>
      <c r="L600" s="29"/>
      <c r="M600" s="70">
        <f>M369+M373</f>
        <v>1137.4295999999999</v>
      </c>
      <c r="N600" s="70">
        <f t="shared" si="129"/>
        <v>35.527100000000004</v>
      </c>
      <c r="O600" s="70">
        <f t="shared" si="129"/>
        <v>43.257850000000005</v>
      </c>
      <c r="P600" s="70">
        <f t="shared" si="129"/>
        <v>42.191949999999999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545.95360000000005</v>
      </c>
      <c r="F601" s="81">
        <f t="shared" si="128"/>
        <v>33.089500000000001</v>
      </c>
      <c r="G601" s="81">
        <f t="shared" si="128"/>
        <v>42.2714</v>
      </c>
      <c r="H601" s="81">
        <f t="shared" si="128"/>
        <v>40.916649999999997</v>
      </c>
      <c r="I601" s="68"/>
      <c r="J601" s="68"/>
      <c r="K601" s="69"/>
      <c r="L601" s="29"/>
      <c r="M601" s="81">
        <f>M370+M374</f>
        <v>546.10879999999997</v>
      </c>
      <c r="N601" s="81">
        <f t="shared" si="129"/>
        <v>33.090400000000002</v>
      </c>
      <c r="O601" s="81">
        <f t="shared" si="129"/>
        <v>42.273499999999999</v>
      </c>
      <c r="P601" s="81">
        <f t="shared" si="129"/>
        <v>40.920099999999998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5229.1872000000003</v>
      </c>
      <c r="F602" s="78">
        <f t="shared" ref="F602:H605" si="130">AVERAGE(F367,F371,F375)</f>
        <v>41.110533333333336</v>
      </c>
      <c r="G602" s="78">
        <f t="shared" si="130"/>
        <v>46.532499999999999</v>
      </c>
      <c r="H602" s="78">
        <f t="shared" si="130"/>
        <v>45.879733333333327</v>
      </c>
      <c r="I602" s="79"/>
      <c r="J602" s="79"/>
      <c r="K602" s="80"/>
      <c r="L602" s="29"/>
      <c r="M602" s="78">
        <f>M367+M371+M375</f>
        <v>5228.9983999999995</v>
      </c>
      <c r="N602" s="78">
        <f t="shared" ref="N602:P605" si="131">AVERAGE(N367,N371,N375)</f>
        <v>41.110099999999996</v>
      </c>
      <c r="O602" s="78">
        <f t="shared" si="131"/>
        <v>46.532933333333339</v>
      </c>
      <c r="P602" s="78">
        <f t="shared" si="131"/>
        <v>45.88153333333333</v>
      </c>
      <c r="Q602" s="79"/>
      <c r="R602" s="79"/>
      <c r="S602" s="80"/>
      <c r="U602" s="8">
        <f>bdrate($E602:$E605,F602:F605,$M602:$M605,N602:N605)</f>
        <v>6.760875754019402E-5</v>
      </c>
      <c r="V602" s="9">
        <f>bdrate($E602:$E605,G602:G605,$M602:$M605,O602:O605)</f>
        <v>-2.6026449995819601E-4</v>
      </c>
      <c r="W602" s="10">
        <f>bdrate($E602:$E605,H602:H605,$M602:$M605,P602:P605)</f>
        <v>-3.4131862052744211E-4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2539.7872000000002</v>
      </c>
      <c r="F603" s="70">
        <f t="shared" si="130"/>
        <v>38.218233333333337</v>
      </c>
      <c r="G603" s="70">
        <f t="shared" si="130"/>
        <v>44.857533333333329</v>
      </c>
      <c r="H603" s="70">
        <f t="shared" si="130"/>
        <v>43.997800000000005</v>
      </c>
      <c r="I603" s="66"/>
      <c r="J603" s="66"/>
      <c r="K603" s="67"/>
      <c r="L603" s="29"/>
      <c r="M603" s="70">
        <f>M368+M372+M376</f>
        <v>2539.8296</v>
      </c>
      <c r="N603" s="70">
        <f t="shared" si="131"/>
        <v>38.218299999999999</v>
      </c>
      <c r="O603" s="70">
        <f t="shared" si="131"/>
        <v>44.857966666666663</v>
      </c>
      <c r="P603" s="70">
        <f t="shared" si="131"/>
        <v>43.999566666666674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1241.364</v>
      </c>
      <c r="F604" s="70">
        <f t="shared" si="130"/>
        <v>35.48513333333333</v>
      </c>
      <c r="G604" s="70">
        <f t="shared" si="130"/>
        <v>43.252533333333332</v>
      </c>
      <c r="H604" s="70">
        <f t="shared" si="130"/>
        <v>42.184400000000004</v>
      </c>
      <c r="I604" s="66"/>
      <c r="J604" s="66"/>
      <c r="K604" s="67"/>
      <c r="L604" s="29"/>
      <c r="M604" s="70">
        <f>M369+M373+M377</f>
        <v>1241.4168</v>
      </c>
      <c r="N604" s="70">
        <f t="shared" si="131"/>
        <v>35.484633333333335</v>
      </c>
      <c r="O604" s="70">
        <f t="shared" si="131"/>
        <v>43.252700000000004</v>
      </c>
      <c r="P604" s="70">
        <f t="shared" si="131"/>
        <v>42.18366666666666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597.048</v>
      </c>
      <c r="F605" s="81">
        <f t="shared" si="130"/>
        <v>33.055266666666668</v>
      </c>
      <c r="G605" s="81">
        <f t="shared" si="130"/>
        <v>42.259366666666665</v>
      </c>
      <c r="H605" s="81">
        <f t="shared" si="130"/>
        <v>40.901699999999998</v>
      </c>
      <c r="I605" s="68"/>
      <c r="J605" s="68"/>
      <c r="K605" s="69"/>
      <c r="L605" s="29"/>
      <c r="M605" s="81">
        <f>M370+M374+M378</f>
        <v>597.19679999999994</v>
      </c>
      <c r="N605" s="81">
        <f t="shared" si="131"/>
        <v>33.056199999999997</v>
      </c>
      <c r="O605" s="81">
        <f t="shared" si="131"/>
        <v>42.26156666666666</v>
      </c>
      <c r="P605" s="81">
        <f t="shared" si="131"/>
        <v>40.903399999999998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5346.1816000000008</v>
      </c>
      <c r="F606" s="78">
        <f t="shared" ref="F606:H609" si="132">AVERAGE(F391,F395,F399)</f>
        <v>40.870533333333334</v>
      </c>
      <c r="G606" s="78">
        <f t="shared" si="132"/>
        <v>47.135899999999992</v>
      </c>
      <c r="H606" s="78">
        <f t="shared" si="132"/>
        <v>46.673099999999998</v>
      </c>
      <c r="I606" s="79"/>
      <c r="J606" s="79"/>
      <c r="K606" s="80"/>
      <c r="L606" s="29"/>
      <c r="M606" s="78">
        <f>M367+M371+M379+M383</f>
        <v>5346.0111999999999</v>
      </c>
      <c r="N606" s="78">
        <f t="shared" ref="N606:P609" si="133">AVERAGE(N391,N395,N399)</f>
        <v>40.869766666666663</v>
      </c>
      <c r="O606" s="78">
        <f t="shared" si="133"/>
        <v>47.137266666666669</v>
      </c>
      <c r="P606" s="78">
        <f t="shared" si="133"/>
        <v>46.673233333333336</v>
      </c>
      <c r="Q606" s="79"/>
      <c r="R606" s="79"/>
      <c r="S606" s="80"/>
      <c r="U606" s="8">
        <f>bdrate($E606:$E609,F606:F609,$M606:$M609,N606:N609)</f>
        <v>-5.6744659760687988E-5</v>
      </c>
      <c r="V606" s="9">
        <f>bdrate($E606:$E609,G606:G609,$M606:$M609,O606:O609)</f>
        <v>-5.1036991994546366E-4</v>
      </c>
      <c r="W606" s="10">
        <f>bdrate($E606:$E609,H606:H609,$M606:$M609,P606:P609)</f>
        <v>3.975466537606831E-4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2524.1640000000002</v>
      </c>
      <c r="F607" s="70">
        <f t="shared" si="132"/>
        <v>38.047233333333331</v>
      </c>
      <c r="G607" s="70">
        <f t="shared" si="132"/>
        <v>45.444133333333333</v>
      </c>
      <c r="H607" s="70">
        <f t="shared" si="132"/>
        <v>44.732033333333334</v>
      </c>
      <c r="I607" s="66"/>
      <c r="J607" s="66"/>
      <c r="K607" s="67"/>
      <c r="L607" s="29"/>
      <c r="M607" s="70">
        <f>M368+M372+M380+M384</f>
        <v>2523.9656</v>
      </c>
      <c r="N607" s="70">
        <f t="shared" si="133"/>
        <v>38.048333333333339</v>
      </c>
      <c r="O607" s="70">
        <f t="shared" si="133"/>
        <v>45.448433333333334</v>
      </c>
      <c r="P607" s="70">
        <f t="shared" si="133"/>
        <v>44.735800000000005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1213.4503999999999</v>
      </c>
      <c r="F608" s="70">
        <f t="shared" si="132"/>
        <v>35.347033333333336</v>
      </c>
      <c r="G608" s="70">
        <f t="shared" si="132"/>
        <v>43.711500000000001</v>
      </c>
      <c r="H608" s="70">
        <f t="shared" si="132"/>
        <v>42.765266666666662</v>
      </c>
      <c r="I608" s="66"/>
      <c r="J608" s="66"/>
      <c r="K608" s="67"/>
      <c r="L608" s="29"/>
      <c r="M608" s="70">
        <f>M369+M373+M381+M385</f>
        <v>1213.5056</v>
      </c>
      <c r="N608" s="70">
        <f t="shared" si="133"/>
        <v>35.346300000000006</v>
      </c>
      <c r="O608" s="70">
        <f t="shared" si="133"/>
        <v>43.708433333333339</v>
      </c>
      <c r="P608" s="70">
        <f t="shared" si="133"/>
        <v>42.759133333333331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578.08320000000003</v>
      </c>
      <c r="F609" s="81">
        <f t="shared" si="132"/>
        <v>32.931533333333334</v>
      </c>
      <c r="G609" s="81">
        <f t="shared" si="132"/>
        <v>42.569800000000001</v>
      </c>
      <c r="H609" s="81">
        <f t="shared" si="132"/>
        <v>41.367433333333331</v>
      </c>
      <c r="I609" s="68"/>
      <c r="J609" s="68"/>
      <c r="K609" s="69"/>
      <c r="L609" s="29"/>
      <c r="M609" s="81">
        <f>M370+M374+M382+M386</f>
        <v>578.12</v>
      </c>
      <c r="N609" s="81">
        <f t="shared" si="133"/>
        <v>32.932300000000005</v>
      </c>
      <c r="O609" s="81">
        <f t="shared" si="133"/>
        <v>42.571899999999999</v>
      </c>
      <c r="P609" s="81">
        <f t="shared" si="133"/>
        <v>41.365499999999997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6069.3487999999998</v>
      </c>
      <c r="F610" s="78">
        <f t="shared" ref="F610:H613" si="134">AVERAGE(F391,F395,F399,F403,F407,F411)</f>
        <v>40.878500000000003</v>
      </c>
      <c r="G610" s="78">
        <f t="shared" si="134"/>
        <v>47.065933333333327</v>
      </c>
      <c r="H610" s="78">
        <f t="shared" si="134"/>
        <v>46.750933333333329</v>
      </c>
      <c r="I610" s="79"/>
      <c r="J610" s="79"/>
      <c r="K610" s="80"/>
      <c r="L610" s="29"/>
      <c r="M610" s="78">
        <f>M415</f>
        <v>6069.5672000000004</v>
      </c>
      <c r="N610" s="78">
        <f t="shared" ref="N610:P613" si="135">AVERAGE(N391,N395,N399,N403,N407,N411)</f>
        <v>40.877066666666664</v>
      </c>
      <c r="O610" s="78">
        <f t="shared" si="135"/>
        <v>47.064016666666667</v>
      </c>
      <c r="P610" s="78">
        <f t="shared" si="135"/>
        <v>46.753483333333328</v>
      </c>
      <c r="Q610" s="79"/>
      <c r="R610" s="79"/>
      <c r="S610" s="80"/>
      <c r="U610" s="8">
        <f>bdrate($E610:$E613,F610:F613,$M610:$M613,N610:N613)</f>
        <v>-1.3490414223105152E-4</v>
      </c>
      <c r="V610" s="9">
        <f>bdrate($E610:$E613,G610:G613,$M610:$M613,O610:O613)</f>
        <v>1.2180718094234599E-3</v>
      </c>
      <c r="W610" s="10">
        <f>bdrate($E610:$E613,H610:H613,$M610:$M613,P610:P613)</f>
        <v>-5.287011492562943E-4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2802.9944</v>
      </c>
      <c r="F611" s="70">
        <f t="shared" si="134"/>
        <v>38.04945</v>
      </c>
      <c r="G611" s="70">
        <f t="shared" si="134"/>
        <v>45.41373333333334</v>
      </c>
      <c r="H611" s="70">
        <f t="shared" si="134"/>
        <v>44.791083333333326</v>
      </c>
      <c r="I611" s="66"/>
      <c r="J611" s="66"/>
      <c r="K611" s="67"/>
      <c r="L611" s="29"/>
      <c r="M611" s="70">
        <f>M416</f>
        <v>2802.8784000000001</v>
      </c>
      <c r="N611" s="70">
        <f t="shared" si="135"/>
        <v>38.051200000000001</v>
      </c>
      <c r="O611" s="70">
        <f t="shared" si="135"/>
        <v>45.409833333333331</v>
      </c>
      <c r="P611" s="70">
        <f t="shared" si="135"/>
        <v>44.793166666666671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1344.7791999999999</v>
      </c>
      <c r="F612" s="70">
        <f t="shared" si="134"/>
        <v>35.348483333333334</v>
      </c>
      <c r="G612" s="70">
        <f t="shared" si="134"/>
        <v>43.715466666666664</v>
      </c>
      <c r="H612" s="70">
        <f t="shared" si="134"/>
        <v>42.804033333333329</v>
      </c>
      <c r="I612" s="66"/>
      <c r="J612" s="66"/>
      <c r="K612" s="67"/>
      <c r="L612" s="29"/>
      <c r="M612" s="70">
        <f>M417</f>
        <v>1345.0368000000001</v>
      </c>
      <c r="N612" s="70">
        <f t="shared" si="135"/>
        <v>35.349116666666667</v>
      </c>
      <c r="O612" s="70">
        <f t="shared" si="135"/>
        <v>43.712466666666671</v>
      </c>
      <c r="P612" s="70">
        <f t="shared" si="135"/>
        <v>42.805100000000003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644.9384</v>
      </c>
      <c r="F613" s="81">
        <f t="shared" si="134"/>
        <v>32.928899999999999</v>
      </c>
      <c r="G613" s="81">
        <f t="shared" si="134"/>
        <v>42.586616666666664</v>
      </c>
      <c r="H613" s="81">
        <f t="shared" si="134"/>
        <v>41.395633333333329</v>
      </c>
      <c r="I613" s="68"/>
      <c r="J613" s="68"/>
      <c r="K613" s="69"/>
      <c r="L613" s="29"/>
      <c r="M613" s="81">
        <f>M418</f>
        <v>645.03599999999994</v>
      </c>
      <c r="N613" s="81">
        <f t="shared" si="135"/>
        <v>32.929083333333331</v>
      </c>
      <c r="O613" s="81">
        <f t="shared" si="135"/>
        <v>42.590399999999995</v>
      </c>
      <c r="P613" s="81">
        <f t="shared" si="135"/>
        <v>41.394933333333334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5346.1816000000008</v>
      </c>
      <c r="F614" s="78">
        <f t="shared" ref="F614:H617" si="137">AVERAGE(F367,F371,F391,F395,F399)</f>
        <v>41.003159999999994</v>
      </c>
      <c r="G614" s="78">
        <f t="shared" si="137"/>
        <v>46.902300000000004</v>
      </c>
      <c r="H614" s="78">
        <f t="shared" si="137"/>
        <v>46.371899999999997</v>
      </c>
      <c r="I614" s="79"/>
      <c r="J614" s="79"/>
      <c r="K614" s="80"/>
      <c r="L614" s="29"/>
      <c r="M614" s="78">
        <f t="shared" ref="M614:M621" si="138">M606</f>
        <v>5346.0111999999999</v>
      </c>
      <c r="N614" s="78">
        <f t="shared" ref="N614:P617" si="139">AVERAGE(N367,N371,N391,N395,N399)</f>
        <v>41.002600000000001</v>
      </c>
      <c r="O614" s="78">
        <f t="shared" si="139"/>
        <v>46.902840000000005</v>
      </c>
      <c r="P614" s="78">
        <f t="shared" si="139"/>
        <v>46.372460000000004</v>
      </c>
      <c r="Q614" s="79"/>
      <c r="R614" s="79"/>
      <c r="S614" s="80"/>
      <c r="U614" s="8">
        <f>bdrate($E614:$E617,F614:F617,$M614:$M617,N614:N617)</f>
        <v>-1.9547345581405473E-5</v>
      </c>
      <c r="V614" s="9">
        <f>bdrate($E614:$E617,G614:G617,$M614:$M617,O614:O617)</f>
        <v>-3.3147861459192907E-4</v>
      </c>
      <c r="W614" s="10">
        <f>bdrate($E614:$E617,H614:H617,$M614:$M617,P614:P617)</f>
        <v>7.1891136937285438E-5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2524.1640000000002</v>
      </c>
      <c r="F615" s="70">
        <f t="shared" si="137"/>
        <v>38.142139999999998</v>
      </c>
      <c r="G615" s="70">
        <f t="shared" si="137"/>
        <v>45.215899999999998</v>
      </c>
      <c r="H615" s="70">
        <f t="shared" si="137"/>
        <v>44.448419999999999</v>
      </c>
      <c r="I615" s="66"/>
      <c r="J615" s="66"/>
      <c r="K615" s="67"/>
      <c r="L615" s="29"/>
      <c r="M615" s="70">
        <f t="shared" si="138"/>
        <v>2523.9656</v>
      </c>
      <c r="N615" s="70">
        <f t="shared" si="139"/>
        <v>38.142600000000002</v>
      </c>
      <c r="O615" s="70">
        <f t="shared" si="139"/>
        <v>45.218360000000004</v>
      </c>
      <c r="P615" s="70">
        <f t="shared" si="139"/>
        <v>44.451520000000002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1213.4503999999999</v>
      </c>
      <c r="F616" s="70">
        <f t="shared" si="137"/>
        <v>35.419139999999999</v>
      </c>
      <c r="G616" s="70">
        <f t="shared" si="137"/>
        <v>43.530100000000004</v>
      </c>
      <c r="H616" s="70">
        <f t="shared" si="137"/>
        <v>42.536479999999997</v>
      </c>
      <c r="I616" s="66"/>
      <c r="J616" s="66"/>
      <c r="K616" s="67"/>
      <c r="L616" s="29"/>
      <c r="M616" s="70">
        <f t="shared" si="138"/>
        <v>1213.5056</v>
      </c>
      <c r="N616" s="70">
        <f t="shared" si="139"/>
        <v>35.418620000000004</v>
      </c>
      <c r="O616" s="70">
        <f t="shared" si="139"/>
        <v>43.528199999999998</v>
      </c>
      <c r="P616" s="70">
        <f t="shared" si="139"/>
        <v>42.532260000000001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578.08320000000003</v>
      </c>
      <c r="F617" s="81">
        <f t="shared" si="137"/>
        <v>32.994720000000001</v>
      </c>
      <c r="G617" s="81">
        <f t="shared" si="137"/>
        <v>42.45044</v>
      </c>
      <c r="H617" s="81">
        <f t="shared" si="137"/>
        <v>41.18712</v>
      </c>
      <c r="I617" s="68"/>
      <c r="J617" s="68"/>
      <c r="K617" s="69"/>
      <c r="L617" s="29"/>
      <c r="M617" s="81">
        <f t="shared" si="138"/>
        <v>578.12</v>
      </c>
      <c r="N617" s="81">
        <f t="shared" si="139"/>
        <v>32.995540000000005</v>
      </c>
      <c r="O617" s="81">
        <f t="shared" si="139"/>
        <v>42.452539999999999</v>
      </c>
      <c r="P617" s="81">
        <f t="shared" si="139"/>
        <v>41.187339999999999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6069.3487999999998</v>
      </c>
      <c r="F618" s="78">
        <f t="shared" ref="F618:H621" si="140">AVERAGE(F367,F371,F375,F391,F395,F399,F403,F407,F411)</f>
        <v>40.955844444444445</v>
      </c>
      <c r="G618" s="78">
        <f t="shared" si="140"/>
        <v>46.888122222222222</v>
      </c>
      <c r="H618" s="78">
        <f t="shared" si="140"/>
        <v>46.460533333333338</v>
      </c>
      <c r="I618" s="79"/>
      <c r="J618" s="79"/>
      <c r="K618" s="80"/>
      <c r="L618" s="29"/>
      <c r="M618" s="78">
        <f t="shared" si="138"/>
        <v>6069.5672000000004</v>
      </c>
      <c r="N618" s="78">
        <f t="shared" ref="N618:P621" si="141">AVERAGE(N367,N371,N375,N391,N395,N399,N403,N407,N411)</f>
        <v>40.954744444444444</v>
      </c>
      <c r="O618" s="78">
        <f t="shared" si="141"/>
        <v>46.886988888888894</v>
      </c>
      <c r="P618" s="78">
        <f t="shared" si="141"/>
        <v>46.462833333333329</v>
      </c>
      <c r="Q618" s="79"/>
      <c r="R618" s="79"/>
      <c r="S618" s="80"/>
      <c r="U618" s="8">
        <f>bdrate($E618:$E621,F618:F621,$M618:$M621,N618:N621)</f>
        <v>-5.6977793262302789E-5</v>
      </c>
      <c r="V618" s="9">
        <f>bdrate($E618:$E621,G618:G621,$M618:$M621,O618:O621)</f>
        <v>7.4634276170182368E-4</v>
      </c>
      <c r="W618" s="10">
        <f>bdrate($E618:$E621,H618:H621,$M618:$M621,P618:P621)</f>
        <v>-4.6745554086058405E-4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2802.9944</v>
      </c>
      <c r="F619" s="70">
        <f t="shared" si="140"/>
        <v>38.105711111111106</v>
      </c>
      <c r="G619" s="70">
        <f t="shared" si="140"/>
        <v>45.228333333333325</v>
      </c>
      <c r="H619" s="70">
        <f t="shared" si="140"/>
        <v>44.52665555555555</v>
      </c>
      <c r="I619" s="66"/>
      <c r="J619" s="66"/>
      <c r="K619" s="67"/>
      <c r="L619" s="29"/>
      <c r="M619" s="70">
        <f t="shared" si="138"/>
        <v>2802.8784000000001</v>
      </c>
      <c r="N619" s="70">
        <f t="shared" si="141"/>
        <v>38.106900000000003</v>
      </c>
      <c r="O619" s="70">
        <f t="shared" si="141"/>
        <v>45.225877777777775</v>
      </c>
      <c r="P619" s="70">
        <f t="shared" si="141"/>
        <v>44.528633333333332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1344.7791999999999</v>
      </c>
      <c r="F620" s="70">
        <f t="shared" si="140"/>
        <v>35.394033333333333</v>
      </c>
      <c r="G620" s="70">
        <f t="shared" si="140"/>
        <v>43.561155555555558</v>
      </c>
      <c r="H620" s="70">
        <f t="shared" si="140"/>
        <v>42.597488888888883</v>
      </c>
      <c r="I620" s="66"/>
      <c r="J620" s="66"/>
      <c r="K620" s="67"/>
      <c r="L620" s="29"/>
      <c r="M620" s="70">
        <f t="shared" si="138"/>
        <v>1345.0368000000001</v>
      </c>
      <c r="N620" s="70">
        <f t="shared" si="141"/>
        <v>35.394288888888887</v>
      </c>
      <c r="O620" s="70">
        <f t="shared" si="141"/>
        <v>43.559211111111111</v>
      </c>
      <c r="P620" s="70">
        <f t="shared" si="141"/>
        <v>42.597955555555558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644.9384</v>
      </c>
      <c r="F621" s="81">
        <f t="shared" si="140"/>
        <v>32.971022222222217</v>
      </c>
      <c r="G621" s="81">
        <f t="shared" si="140"/>
        <v>42.477533333333334</v>
      </c>
      <c r="H621" s="81">
        <f t="shared" si="140"/>
        <v>41.230988888888895</v>
      </c>
      <c r="I621" s="68"/>
      <c r="J621" s="68"/>
      <c r="K621" s="69"/>
      <c r="L621" s="29"/>
      <c r="M621" s="81">
        <f t="shared" si="138"/>
        <v>645.03599999999994</v>
      </c>
      <c r="N621" s="81">
        <f t="shared" si="141"/>
        <v>32.971455555555558</v>
      </c>
      <c r="O621" s="81">
        <f t="shared" si="141"/>
        <v>42.480788888888888</v>
      </c>
      <c r="P621" s="81">
        <f t="shared" si="141"/>
        <v>41.231088888888884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wtest222</cp:lastModifiedBy>
  <dcterms:created xsi:type="dcterms:W3CDTF">2011-06-30T00:09:01Z</dcterms:created>
  <dcterms:modified xsi:type="dcterms:W3CDTF">2014-11-07T10:17:28Z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1415355434</vt:lpwstr>
  </property>
</Properties>
</file>