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2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E609" i="21"/>
  <c r="E617"/>
  <c r="E608"/>
  <c r="E616"/>
  <c r="E607"/>
  <c r="E615"/>
  <c r="E606"/>
  <c r="E614"/>
  <c r="F598"/>
  <c r="F599"/>
  <c r="F600"/>
  <c r="F601"/>
  <c r="M606"/>
  <c r="M614"/>
  <c r="M607"/>
  <c r="M615"/>
  <c r="M608"/>
  <c r="M616"/>
  <c r="M609"/>
  <c r="M617"/>
  <c r="N598"/>
  <c r="N599"/>
  <c r="N600"/>
  <c r="N601"/>
  <c r="F32" i="22"/>
  <c r="F606" i="21"/>
  <c r="F607"/>
  <c r="F608"/>
  <c r="N606"/>
  <c r="F609"/>
  <c r="N607"/>
  <c r="N608"/>
  <c r="N609"/>
  <c r="U606"/>
  <c r="G32" i="22"/>
  <c r="E601" i="21"/>
  <c r="E600"/>
  <c r="E599"/>
  <c r="E598"/>
  <c r="M598"/>
  <c r="M599"/>
  <c r="M600"/>
  <c r="M601"/>
  <c r="U598"/>
  <c r="E32" i="22"/>
  <c r="U371" i="21"/>
  <c r="D32" i="22"/>
  <c r="U367" i="21"/>
  <c r="C32" i="22"/>
  <c r="B598" i="21"/>
  <c r="B32" i="22"/>
  <c r="E613" i="21"/>
  <c r="E621"/>
  <c r="E612"/>
  <c r="E620"/>
  <c r="E611"/>
  <c r="E619"/>
  <c r="E610"/>
  <c r="E618"/>
  <c r="F602"/>
  <c r="F603"/>
  <c r="F604"/>
  <c r="F605"/>
  <c r="M610"/>
  <c r="M618"/>
  <c r="M611"/>
  <c r="M619"/>
  <c r="M612"/>
  <c r="M620"/>
  <c r="M613"/>
  <c r="M621"/>
  <c r="N602"/>
  <c r="N603"/>
  <c r="N604"/>
  <c r="N605"/>
  <c r="G16" i="22"/>
  <c r="AA415" i="21"/>
  <c r="K16" i="22"/>
  <c r="Z415" i="21"/>
  <c r="J16" i="22"/>
  <c r="Y415" i="21"/>
  <c r="I16" i="22"/>
  <c r="F610" i="21"/>
  <c r="F611"/>
  <c r="F612"/>
  <c r="N610"/>
  <c r="F613"/>
  <c r="N611"/>
  <c r="N612"/>
  <c r="N613"/>
  <c r="U610"/>
  <c r="H16" i="22"/>
  <c r="E605" i="21"/>
  <c r="E604"/>
  <c r="E603"/>
  <c r="E602"/>
  <c r="M602"/>
  <c r="M603"/>
  <c r="M604"/>
  <c r="M605"/>
  <c r="U602"/>
  <c r="F16" i="22"/>
  <c r="U375" i="21"/>
  <c r="E16" i="22"/>
  <c r="D16"/>
  <c r="C16"/>
  <c r="U315" i="21"/>
  <c r="C11" i="22"/>
  <c r="B16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Y51"/>
  <c r="I5" i="22"/>
  <c r="Y103" i="21"/>
  <c r="I6" i="22"/>
  <c r="Y155" i="21"/>
  <c r="I7" i="22"/>
  <c r="Y207" i="21"/>
  <c r="I8" i="22"/>
  <c r="Y259" i="21"/>
  <c r="I9" i="22"/>
  <c r="Y311" i="21"/>
  <c r="I10" i="22"/>
  <c r="Y363" i="21"/>
  <c r="I11" i="22"/>
  <c r="I14"/>
  <c r="Z51" i="21"/>
  <c r="J5" i="22"/>
  <c r="Z103" i="21"/>
  <c r="J6" i="22"/>
  <c r="Z155" i="21"/>
  <c r="J7" i="22"/>
  <c r="Z207" i="21"/>
  <c r="J8" i="22"/>
  <c r="Z259" i="21"/>
  <c r="J9" i="22"/>
  <c r="Z311" i="21"/>
  <c r="J10" i="22"/>
  <c r="Z363" i="21"/>
  <c r="J11" i="22"/>
  <c r="J14"/>
  <c r="AA51" i="21"/>
  <c r="K5" i="22"/>
  <c r="AA103" i="21"/>
  <c r="K6" i="22"/>
  <c r="AA155" i="21"/>
  <c r="K7" i="22"/>
  <c r="AA207" i="21"/>
  <c r="K8" i="22"/>
  <c r="AA259" i="21"/>
  <c r="K9" i="22"/>
  <c r="AA311" i="21"/>
  <c r="K10" i="22"/>
  <c r="AA363" i="21"/>
  <c r="K11" i="22"/>
  <c r="K14"/>
  <c r="I13"/>
  <c r="J13"/>
  <c r="K13"/>
  <c r="I12"/>
  <c r="J12"/>
  <c r="K12"/>
  <c r="F430" i="21"/>
  <c r="F431"/>
  <c r="F432"/>
  <c r="N430"/>
  <c r="F433"/>
  <c r="N431"/>
  <c r="N432"/>
  <c r="N433"/>
  <c r="E441"/>
  <c r="E449"/>
  <c r="E440"/>
  <c r="E448"/>
  <c r="E439"/>
  <c r="E447"/>
  <c r="E438"/>
  <c r="E446"/>
  <c r="M438"/>
  <c r="M446"/>
  <c r="M439"/>
  <c r="M447"/>
  <c r="M440"/>
  <c r="M448"/>
  <c r="M441"/>
  <c r="M449"/>
  <c r="F21" i="22"/>
  <c r="F454" i="21"/>
  <c r="F455"/>
  <c r="F456"/>
  <c r="N454"/>
  <c r="F457"/>
  <c r="N455"/>
  <c r="N456"/>
  <c r="N457"/>
  <c r="E465"/>
  <c r="E473"/>
  <c r="E464"/>
  <c r="E472"/>
  <c r="E463"/>
  <c r="E471"/>
  <c r="E462"/>
  <c r="E470"/>
  <c r="M462"/>
  <c r="M470"/>
  <c r="M463"/>
  <c r="M471"/>
  <c r="M464"/>
  <c r="M472"/>
  <c r="M465"/>
  <c r="M473"/>
  <c r="F22" i="22"/>
  <c r="F478" i="21"/>
  <c r="F479"/>
  <c r="F480"/>
  <c r="N478"/>
  <c r="F481"/>
  <c r="N479"/>
  <c r="N480"/>
  <c r="N481"/>
  <c r="E489"/>
  <c r="E497"/>
  <c r="E488"/>
  <c r="E496"/>
  <c r="E487"/>
  <c r="E495"/>
  <c r="E486"/>
  <c r="E494"/>
  <c r="M486"/>
  <c r="M494"/>
  <c r="M487"/>
  <c r="M495"/>
  <c r="M488"/>
  <c r="M496"/>
  <c r="M489"/>
  <c r="M497"/>
  <c r="F23" i="22"/>
  <c r="F502" i="21"/>
  <c r="F503"/>
  <c r="F504"/>
  <c r="N502"/>
  <c r="F505"/>
  <c r="N503"/>
  <c r="N504"/>
  <c r="N505"/>
  <c r="E513"/>
  <c r="E521"/>
  <c r="E512"/>
  <c r="E520"/>
  <c r="E511"/>
  <c r="E519"/>
  <c r="E510"/>
  <c r="E518"/>
  <c r="M510"/>
  <c r="M518"/>
  <c r="M511"/>
  <c r="M519"/>
  <c r="M512"/>
  <c r="M520"/>
  <c r="M513"/>
  <c r="M521"/>
  <c r="F24" i="22"/>
  <c r="F526" i="21"/>
  <c r="F527"/>
  <c r="F528"/>
  <c r="N526"/>
  <c r="F529"/>
  <c r="N527"/>
  <c r="N528"/>
  <c r="N529"/>
  <c r="E537"/>
  <c r="E545"/>
  <c r="E536"/>
  <c r="E544"/>
  <c r="E535"/>
  <c r="E543"/>
  <c r="E534"/>
  <c r="E542"/>
  <c r="M534"/>
  <c r="M542"/>
  <c r="M535"/>
  <c r="M543"/>
  <c r="M536"/>
  <c r="M544"/>
  <c r="M537"/>
  <c r="M545"/>
  <c r="F25" i="22"/>
  <c r="F550" i="21"/>
  <c r="F551"/>
  <c r="F552"/>
  <c r="N550"/>
  <c r="F553"/>
  <c r="N551"/>
  <c r="N552"/>
  <c r="N553"/>
  <c r="E561"/>
  <c r="E569"/>
  <c r="E560"/>
  <c r="E568"/>
  <c r="E559"/>
  <c r="E567"/>
  <c r="E558"/>
  <c r="E566"/>
  <c r="M558"/>
  <c r="M566"/>
  <c r="M559"/>
  <c r="M567"/>
  <c r="M560"/>
  <c r="M568"/>
  <c r="M561"/>
  <c r="M569"/>
  <c r="F26" i="22"/>
  <c r="F574" i="21"/>
  <c r="F575"/>
  <c r="F576"/>
  <c r="N574"/>
  <c r="F577"/>
  <c r="N575"/>
  <c r="N576"/>
  <c r="N577"/>
  <c r="E585"/>
  <c r="E593"/>
  <c r="E584"/>
  <c r="E592"/>
  <c r="E583"/>
  <c r="E591"/>
  <c r="E582"/>
  <c r="E590"/>
  <c r="M582"/>
  <c r="M590"/>
  <c r="M583"/>
  <c r="M591"/>
  <c r="M584"/>
  <c r="M592"/>
  <c r="M585"/>
  <c r="M593"/>
  <c r="F27" i="22"/>
  <c r="F30"/>
  <c r="F29"/>
  <c r="F28"/>
  <c r="F434" i="21"/>
  <c r="F435"/>
  <c r="F436"/>
  <c r="N434"/>
  <c r="F437"/>
  <c r="N435"/>
  <c r="N436"/>
  <c r="N437"/>
  <c r="E445"/>
  <c r="E453"/>
  <c r="E444"/>
  <c r="E452"/>
  <c r="E443"/>
  <c r="E451"/>
  <c r="E442"/>
  <c r="E450"/>
  <c r="M442"/>
  <c r="M450"/>
  <c r="M443"/>
  <c r="M451"/>
  <c r="M444"/>
  <c r="M452"/>
  <c r="M445"/>
  <c r="M453"/>
  <c r="G5" i="22"/>
  <c r="F458" i="21"/>
  <c r="F459"/>
  <c r="F460"/>
  <c r="N458"/>
  <c r="F461"/>
  <c r="N459"/>
  <c r="N460"/>
  <c r="N461"/>
  <c r="E469"/>
  <c r="E477"/>
  <c r="E468"/>
  <c r="E476"/>
  <c r="E467"/>
  <c r="E475"/>
  <c r="E466"/>
  <c r="E474"/>
  <c r="M466"/>
  <c r="M474"/>
  <c r="M467"/>
  <c r="M475"/>
  <c r="M468"/>
  <c r="M476"/>
  <c r="M469"/>
  <c r="M477"/>
  <c r="G6" i="22"/>
  <c r="F482" i="21"/>
  <c r="F483"/>
  <c r="F484"/>
  <c r="N482"/>
  <c r="F485"/>
  <c r="N483"/>
  <c r="N484"/>
  <c r="N485"/>
  <c r="E493"/>
  <c r="E501"/>
  <c r="E492"/>
  <c r="E500"/>
  <c r="E491"/>
  <c r="E499"/>
  <c r="E490"/>
  <c r="E498"/>
  <c r="M490"/>
  <c r="M498"/>
  <c r="M491"/>
  <c r="M499"/>
  <c r="M492"/>
  <c r="M500"/>
  <c r="M493"/>
  <c r="M501"/>
  <c r="G7" i="22"/>
  <c r="F506" i="21"/>
  <c r="F507"/>
  <c r="F508"/>
  <c r="N506"/>
  <c r="F509"/>
  <c r="N507"/>
  <c r="N508"/>
  <c r="N509"/>
  <c r="E517"/>
  <c r="E525"/>
  <c r="E516"/>
  <c r="E524"/>
  <c r="E515"/>
  <c r="E523"/>
  <c r="E514"/>
  <c r="E522"/>
  <c r="M514"/>
  <c r="M522"/>
  <c r="M515"/>
  <c r="M523"/>
  <c r="M516"/>
  <c r="M524"/>
  <c r="M517"/>
  <c r="M525"/>
  <c r="G8" i="22"/>
  <c r="F530" i="21"/>
  <c r="F531"/>
  <c r="F532"/>
  <c r="N530"/>
  <c r="F533"/>
  <c r="N531"/>
  <c r="N532"/>
  <c r="N533"/>
  <c r="E541"/>
  <c r="E549"/>
  <c r="E540"/>
  <c r="E548"/>
  <c r="E539"/>
  <c r="E547"/>
  <c r="E538"/>
  <c r="E546"/>
  <c r="M538"/>
  <c r="M546"/>
  <c r="M539"/>
  <c r="M547"/>
  <c r="M540"/>
  <c r="M548"/>
  <c r="M541"/>
  <c r="M549"/>
  <c r="G9" i="22"/>
  <c r="F554" i="21"/>
  <c r="F555"/>
  <c r="F556"/>
  <c r="N554"/>
  <c r="F557"/>
  <c r="N555"/>
  <c r="N556"/>
  <c r="N557"/>
  <c r="E565"/>
  <c r="E573"/>
  <c r="E564"/>
  <c r="E572"/>
  <c r="E563"/>
  <c r="E571"/>
  <c r="E562"/>
  <c r="E570"/>
  <c r="M562"/>
  <c r="M570"/>
  <c r="M563"/>
  <c r="M571"/>
  <c r="M564"/>
  <c r="M572"/>
  <c r="M565"/>
  <c r="M573"/>
  <c r="G10" i="22"/>
  <c r="F578" i="21"/>
  <c r="F579"/>
  <c r="F580"/>
  <c r="N578"/>
  <c r="F581"/>
  <c r="N579"/>
  <c r="N580"/>
  <c r="N581"/>
  <c r="E589"/>
  <c r="E597"/>
  <c r="E588"/>
  <c r="E596"/>
  <c r="E587"/>
  <c r="E595"/>
  <c r="E586"/>
  <c r="E594"/>
  <c r="M586"/>
  <c r="M594"/>
  <c r="M587"/>
  <c r="M595"/>
  <c r="M588"/>
  <c r="M596"/>
  <c r="M589"/>
  <c r="M597"/>
  <c r="G11" i="22"/>
  <c r="G14"/>
  <c r="G13"/>
  <c r="G12"/>
  <c r="F438" i="21"/>
  <c r="F439"/>
  <c r="F440"/>
  <c r="N438"/>
  <c r="F441"/>
  <c r="N439"/>
  <c r="N440"/>
  <c r="N441"/>
  <c r="U438"/>
  <c r="M461"/>
  <c r="M437"/>
  <c r="M460"/>
  <c r="M436"/>
  <c r="M459"/>
  <c r="M435"/>
  <c r="M458"/>
  <c r="M434"/>
  <c r="E461"/>
  <c r="E460"/>
  <c r="E459"/>
  <c r="E458"/>
  <c r="N469"/>
  <c r="N445"/>
  <c r="N468"/>
  <c r="N444"/>
  <c r="N467"/>
  <c r="N443"/>
  <c r="N466"/>
  <c r="N442"/>
  <c r="F469"/>
  <c r="F468"/>
  <c r="F467"/>
  <c r="F466"/>
  <c r="M457"/>
  <c r="M456"/>
  <c r="M455"/>
  <c r="M454"/>
  <c r="F446"/>
  <c r="E430"/>
  <c r="B27" i="22"/>
  <c r="B26"/>
  <c r="B25"/>
  <c r="B24"/>
  <c r="B23"/>
  <c r="B22"/>
  <c r="B21"/>
  <c r="B11"/>
  <c r="B10"/>
  <c r="B9"/>
  <c r="B8"/>
  <c r="B7"/>
  <c r="B6"/>
  <c r="B5"/>
  <c r="P597" i="21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N589"/>
  <c r="H589"/>
  <c r="G589"/>
  <c r="F589"/>
  <c r="P588"/>
  <c r="O588"/>
  <c r="N588"/>
  <c r="H588"/>
  <c r="G588"/>
  <c r="F588"/>
  <c r="P587"/>
  <c r="O587"/>
  <c r="N587"/>
  <c r="H587"/>
  <c r="G587"/>
  <c r="F587"/>
  <c r="P586"/>
  <c r="O586"/>
  <c r="N586"/>
  <c r="H586"/>
  <c r="G586"/>
  <c r="F586"/>
  <c r="P585"/>
  <c r="O585"/>
  <c r="N585"/>
  <c r="H585"/>
  <c r="G585"/>
  <c r="F585"/>
  <c r="P584"/>
  <c r="O584"/>
  <c r="N584"/>
  <c r="H584"/>
  <c r="G584"/>
  <c r="F584"/>
  <c r="P583"/>
  <c r="O583"/>
  <c r="N583"/>
  <c r="H583"/>
  <c r="G583"/>
  <c r="F583"/>
  <c r="P582"/>
  <c r="O582"/>
  <c r="N582"/>
  <c r="H582"/>
  <c r="G582"/>
  <c r="F582"/>
  <c r="P581"/>
  <c r="O581"/>
  <c r="M581"/>
  <c r="H581"/>
  <c r="G581"/>
  <c r="E581"/>
  <c r="P580"/>
  <c r="O580"/>
  <c r="M580"/>
  <c r="H580"/>
  <c r="G580"/>
  <c r="E580"/>
  <c r="P579"/>
  <c r="O579"/>
  <c r="M579"/>
  <c r="H579"/>
  <c r="G579"/>
  <c r="E579"/>
  <c r="P578"/>
  <c r="O578"/>
  <c r="M578"/>
  <c r="H578"/>
  <c r="G578"/>
  <c r="E578"/>
  <c r="P577"/>
  <c r="O577"/>
  <c r="M577"/>
  <c r="H577"/>
  <c r="G577"/>
  <c r="E577"/>
  <c r="P576"/>
  <c r="O576"/>
  <c r="M576"/>
  <c r="H576"/>
  <c r="G576"/>
  <c r="E576"/>
  <c r="P575"/>
  <c r="O575"/>
  <c r="M575"/>
  <c r="H575"/>
  <c r="G575"/>
  <c r="E575"/>
  <c r="P574"/>
  <c r="O574"/>
  <c r="M574"/>
  <c r="H574"/>
  <c r="G574"/>
  <c r="E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N565"/>
  <c r="H565"/>
  <c r="G565"/>
  <c r="F565"/>
  <c r="P564"/>
  <c r="O564"/>
  <c r="N564"/>
  <c r="H564"/>
  <c r="G564"/>
  <c r="F564"/>
  <c r="P563"/>
  <c r="O563"/>
  <c r="N563"/>
  <c r="H563"/>
  <c r="G563"/>
  <c r="F563"/>
  <c r="P562"/>
  <c r="O562"/>
  <c r="N562"/>
  <c r="H562"/>
  <c r="G562"/>
  <c r="F562"/>
  <c r="P561"/>
  <c r="O561"/>
  <c r="N561"/>
  <c r="H561"/>
  <c r="G561"/>
  <c r="F561"/>
  <c r="P560"/>
  <c r="O560"/>
  <c r="N560"/>
  <c r="H560"/>
  <c r="G560"/>
  <c r="F560"/>
  <c r="P559"/>
  <c r="O559"/>
  <c r="N559"/>
  <c r="H559"/>
  <c r="G559"/>
  <c r="F559"/>
  <c r="P558"/>
  <c r="O558"/>
  <c r="N558"/>
  <c r="H558"/>
  <c r="G558"/>
  <c r="F558"/>
  <c r="P557"/>
  <c r="O557"/>
  <c r="M557"/>
  <c r="H557"/>
  <c r="G557"/>
  <c r="E557"/>
  <c r="P556"/>
  <c r="O556"/>
  <c r="M556"/>
  <c r="H556"/>
  <c r="G556"/>
  <c r="E556"/>
  <c r="P555"/>
  <c r="O555"/>
  <c r="M555"/>
  <c r="H555"/>
  <c r="G555"/>
  <c r="E555"/>
  <c r="P554"/>
  <c r="O554"/>
  <c r="M554"/>
  <c r="H554"/>
  <c r="G554"/>
  <c r="E554"/>
  <c r="P553"/>
  <c r="O553"/>
  <c r="M553"/>
  <c r="H553"/>
  <c r="G553"/>
  <c r="E553"/>
  <c r="P552"/>
  <c r="O552"/>
  <c r="M552"/>
  <c r="H552"/>
  <c r="G552"/>
  <c r="E552"/>
  <c r="P551"/>
  <c r="O551"/>
  <c r="M551"/>
  <c r="H551"/>
  <c r="G551"/>
  <c r="E551"/>
  <c r="P550"/>
  <c r="O550"/>
  <c r="M550"/>
  <c r="H550"/>
  <c r="G550"/>
  <c r="E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N541"/>
  <c r="H541"/>
  <c r="G541"/>
  <c r="F541"/>
  <c r="P540"/>
  <c r="O540"/>
  <c r="N540"/>
  <c r="H540"/>
  <c r="G540"/>
  <c r="F540"/>
  <c r="P539"/>
  <c r="O539"/>
  <c r="N539"/>
  <c r="H539"/>
  <c r="G539"/>
  <c r="F539"/>
  <c r="P538"/>
  <c r="O538"/>
  <c r="N538"/>
  <c r="H538"/>
  <c r="G538"/>
  <c r="F538"/>
  <c r="P537"/>
  <c r="O537"/>
  <c r="N537"/>
  <c r="H537"/>
  <c r="G537"/>
  <c r="F537"/>
  <c r="P536"/>
  <c r="O536"/>
  <c r="N536"/>
  <c r="H536"/>
  <c r="G536"/>
  <c r="F536"/>
  <c r="P535"/>
  <c r="O535"/>
  <c r="N535"/>
  <c r="H535"/>
  <c r="G535"/>
  <c r="F535"/>
  <c r="P534"/>
  <c r="O534"/>
  <c r="N534"/>
  <c r="H534"/>
  <c r="G534"/>
  <c r="F534"/>
  <c r="P533"/>
  <c r="O533"/>
  <c r="M533"/>
  <c r="H533"/>
  <c r="G533"/>
  <c r="E533"/>
  <c r="P532"/>
  <c r="O532"/>
  <c r="M532"/>
  <c r="H532"/>
  <c r="G532"/>
  <c r="E532"/>
  <c r="P531"/>
  <c r="O531"/>
  <c r="M531"/>
  <c r="H531"/>
  <c r="G531"/>
  <c r="E531"/>
  <c r="P530"/>
  <c r="O530"/>
  <c r="M530"/>
  <c r="H530"/>
  <c r="G530"/>
  <c r="E530"/>
  <c r="P529"/>
  <c r="O529"/>
  <c r="M529"/>
  <c r="H529"/>
  <c r="G529"/>
  <c r="E529"/>
  <c r="P528"/>
  <c r="O528"/>
  <c r="M528"/>
  <c r="H528"/>
  <c r="G528"/>
  <c r="E528"/>
  <c r="P527"/>
  <c r="O527"/>
  <c r="M527"/>
  <c r="H527"/>
  <c r="G527"/>
  <c r="E527"/>
  <c r="P526"/>
  <c r="O526"/>
  <c r="M526"/>
  <c r="H526"/>
  <c r="G526"/>
  <c r="E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N517"/>
  <c r="H517"/>
  <c r="G517"/>
  <c r="F517"/>
  <c r="P516"/>
  <c r="O516"/>
  <c r="N516"/>
  <c r="H516"/>
  <c r="G516"/>
  <c r="F516"/>
  <c r="P515"/>
  <c r="O515"/>
  <c r="N515"/>
  <c r="H515"/>
  <c r="G515"/>
  <c r="F515"/>
  <c r="P514"/>
  <c r="O514"/>
  <c r="N514"/>
  <c r="H514"/>
  <c r="G514"/>
  <c r="F514"/>
  <c r="P513"/>
  <c r="O513"/>
  <c r="N513"/>
  <c r="H513"/>
  <c r="G513"/>
  <c r="F513"/>
  <c r="P512"/>
  <c r="O512"/>
  <c r="N512"/>
  <c r="H512"/>
  <c r="G512"/>
  <c r="F512"/>
  <c r="P511"/>
  <c r="O511"/>
  <c r="N511"/>
  <c r="H511"/>
  <c r="G511"/>
  <c r="F511"/>
  <c r="P510"/>
  <c r="O510"/>
  <c r="N510"/>
  <c r="H510"/>
  <c r="G510"/>
  <c r="F510"/>
  <c r="P509"/>
  <c r="O509"/>
  <c r="M509"/>
  <c r="H509"/>
  <c r="G509"/>
  <c r="E509"/>
  <c r="P508"/>
  <c r="O508"/>
  <c r="M508"/>
  <c r="H508"/>
  <c r="G508"/>
  <c r="E508"/>
  <c r="P507"/>
  <c r="O507"/>
  <c r="M507"/>
  <c r="H507"/>
  <c r="G507"/>
  <c r="E507"/>
  <c r="P506"/>
  <c r="O506"/>
  <c r="M506"/>
  <c r="H506"/>
  <c r="G506"/>
  <c r="E506"/>
  <c r="P505"/>
  <c r="O505"/>
  <c r="M505"/>
  <c r="H505"/>
  <c r="G505"/>
  <c r="E505"/>
  <c r="P504"/>
  <c r="O504"/>
  <c r="M504"/>
  <c r="H504"/>
  <c r="G504"/>
  <c r="E504"/>
  <c r="P503"/>
  <c r="O503"/>
  <c r="M503"/>
  <c r="H503"/>
  <c r="G503"/>
  <c r="E503"/>
  <c r="P502"/>
  <c r="O502"/>
  <c r="M502"/>
  <c r="H502"/>
  <c r="G502"/>
  <c r="E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N493"/>
  <c r="H493"/>
  <c r="G493"/>
  <c r="F493"/>
  <c r="P492"/>
  <c r="O492"/>
  <c r="N492"/>
  <c r="H492"/>
  <c r="G492"/>
  <c r="F492"/>
  <c r="P491"/>
  <c r="O491"/>
  <c r="N491"/>
  <c r="H491"/>
  <c r="G491"/>
  <c r="F491"/>
  <c r="P490"/>
  <c r="O490"/>
  <c r="N490"/>
  <c r="H490"/>
  <c r="G490"/>
  <c r="F490"/>
  <c r="P489"/>
  <c r="O489"/>
  <c r="N489"/>
  <c r="H489"/>
  <c r="G489"/>
  <c r="F489"/>
  <c r="P488"/>
  <c r="O488"/>
  <c r="N488"/>
  <c r="H488"/>
  <c r="G488"/>
  <c r="F488"/>
  <c r="P487"/>
  <c r="O487"/>
  <c r="N487"/>
  <c r="H487"/>
  <c r="G487"/>
  <c r="F487"/>
  <c r="P486"/>
  <c r="O486"/>
  <c r="N486"/>
  <c r="H486"/>
  <c r="G486"/>
  <c r="F486"/>
  <c r="P485"/>
  <c r="O485"/>
  <c r="M485"/>
  <c r="H485"/>
  <c r="G485"/>
  <c r="E485"/>
  <c r="P484"/>
  <c r="O484"/>
  <c r="M484"/>
  <c r="H484"/>
  <c r="G484"/>
  <c r="E484"/>
  <c r="P483"/>
  <c r="O483"/>
  <c r="M483"/>
  <c r="H483"/>
  <c r="G483"/>
  <c r="E483"/>
  <c r="P482"/>
  <c r="O482"/>
  <c r="M482"/>
  <c r="H482"/>
  <c r="G482"/>
  <c r="E482"/>
  <c r="P481"/>
  <c r="O481"/>
  <c r="M481"/>
  <c r="H481"/>
  <c r="G481"/>
  <c r="E481"/>
  <c r="P480"/>
  <c r="O480"/>
  <c r="M480"/>
  <c r="H480"/>
  <c r="G480"/>
  <c r="E480"/>
  <c r="P479"/>
  <c r="O479"/>
  <c r="M479"/>
  <c r="H479"/>
  <c r="G479"/>
  <c r="E479"/>
  <c r="P478"/>
  <c r="O478"/>
  <c r="M478"/>
  <c r="H478"/>
  <c r="G478"/>
  <c r="E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N465"/>
  <c r="H465"/>
  <c r="G465"/>
  <c r="F465"/>
  <c r="P464"/>
  <c r="O464"/>
  <c r="N464"/>
  <c r="H464"/>
  <c r="G464"/>
  <c r="F464"/>
  <c r="P463"/>
  <c r="O463"/>
  <c r="N463"/>
  <c r="H463"/>
  <c r="G463"/>
  <c r="F463"/>
  <c r="P462"/>
  <c r="O462"/>
  <c r="N462"/>
  <c r="H462"/>
  <c r="G462"/>
  <c r="F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E457"/>
  <c r="P456"/>
  <c r="O456"/>
  <c r="H456"/>
  <c r="G456"/>
  <c r="E456"/>
  <c r="P455"/>
  <c r="O455"/>
  <c r="H455"/>
  <c r="G455"/>
  <c r="E455"/>
  <c r="P454"/>
  <c r="O454"/>
  <c r="H454"/>
  <c r="G454"/>
  <c r="E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F445"/>
  <c r="H444"/>
  <c r="G444"/>
  <c r="F444"/>
  <c r="H443"/>
  <c r="G443"/>
  <c r="F443"/>
  <c r="H442"/>
  <c r="G442"/>
  <c r="F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E437"/>
  <c r="H436"/>
  <c r="G436"/>
  <c r="E436"/>
  <c r="H435"/>
  <c r="G435"/>
  <c r="E435"/>
  <c r="H434"/>
  <c r="G434"/>
  <c r="E434"/>
  <c r="P433"/>
  <c r="O433"/>
  <c r="M433"/>
  <c r="P432"/>
  <c r="O432"/>
  <c r="M432"/>
  <c r="P431"/>
  <c r="O431"/>
  <c r="M431"/>
  <c r="P430"/>
  <c r="O430"/>
  <c r="M430"/>
  <c r="H433"/>
  <c r="G433"/>
  <c r="E433"/>
  <c r="H432"/>
  <c r="G432"/>
  <c r="E432"/>
  <c r="H431"/>
  <c r="G431"/>
  <c r="E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434"/>
  <c r="U518"/>
  <c r="U267"/>
  <c r="V514"/>
  <c r="U335"/>
  <c r="W115"/>
  <c r="W478"/>
  <c r="W263"/>
  <c r="V434"/>
  <c r="W442"/>
  <c r="W490"/>
  <c r="W438"/>
  <c r="V462"/>
  <c r="U486"/>
  <c r="W267"/>
  <c r="V506"/>
  <c r="U115"/>
  <c r="U219"/>
  <c r="V510"/>
  <c r="W562"/>
  <c r="V450"/>
  <c r="U506"/>
  <c r="W498"/>
  <c r="W514"/>
  <c r="U522"/>
  <c r="U163"/>
  <c r="U75"/>
  <c r="W590"/>
  <c r="W566"/>
  <c r="W107"/>
  <c r="U63"/>
  <c r="V430"/>
  <c r="V11"/>
  <c r="U171"/>
  <c r="W458"/>
  <c r="V522"/>
  <c r="U271"/>
  <c r="U494"/>
  <c r="U442"/>
  <c r="U538"/>
  <c r="W594"/>
  <c r="U175"/>
  <c r="W526"/>
  <c r="U482"/>
  <c r="V542"/>
  <c r="U446"/>
  <c r="W319"/>
  <c r="U566"/>
  <c r="U231"/>
  <c r="V115"/>
  <c r="U119"/>
  <c r="U127"/>
  <c r="V215"/>
  <c r="V494"/>
  <c r="V263"/>
  <c r="V111"/>
  <c r="W211"/>
  <c r="U71"/>
  <c r="V63"/>
  <c r="V458"/>
  <c r="U586"/>
  <c r="V271"/>
  <c r="W167"/>
  <c r="V562"/>
  <c r="V55"/>
  <c r="W474"/>
  <c r="W502"/>
  <c r="U574"/>
  <c r="U215"/>
  <c r="U279"/>
  <c r="U498"/>
  <c r="W271"/>
  <c r="V530"/>
  <c r="U554"/>
  <c r="W111"/>
  <c r="W219"/>
  <c r="U534"/>
  <c r="U7"/>
  <c r="W546"/>
  <c r="U227"/>
  <c r="U594"/>
  <c r="U275"/>
  <c r="U327"/>
  <c r="U263"/>
  <c r="V3"/>
  <c r="U478"/>
  <c r="U123"/>
  <c r="V566"/>
  <c r="V474"/>
  <c r="W63"/>
  <c r="U546"/>
  <c r="W558"/>
  <c r="V442"/>
  <c r="V267"/>
  <c r="U3"/>
  <c r="W510"/>
  <c r="W3"/>
  <c r="U542"/>
  <c r="U590"/>
  <c r="U323"/>
  <c r="U223"/>
  <c r="W159"/>
  <c r="U319"/>
  <c r="W586"/>
  <c r="V438"/>
  <c r="W542"/>
  <c r="V315"/>
  <c r="V107"/>
  <c r="W430"/>
  <c r="U67"/>
  <c r="U59"/>
  <c r="V466"/>
  <c r="V534"/>
  <c r="U526"/>
  <c r="U19"/>
  <c r="W466"/>
  <c r="V550"/>
  <c r="W574"/>
  <c r="V498"/>
  <c r="U582"/>
  <c r="W550"/>
  <c r="U23"/>
  <c r="W582"/>
  <c r="U466"/>
  <c r="W486"/>
  <c r="V590"/>
  <c r="U490"/>
  <c r="W578"/>
  <c r="V211"/>
  <c r="V486"/>
  <c r="V159"/>
  <c r="W538"/>
  <c r="W534"/>
  <c r="V59"/>
  <c r="V546"/>
  <c r="V219"/>
  <c r="V319"/>
  <c r="V554"/>
  <c r="V490"/>
  <c r="U550"/>
  <c r="V502"/>
  <c r="W506"/>
  <c r="V482"/>
  <c r="W554"/>
  <c r="V518"/>
  <c r="U283"/>
  <c r="V167"/>
  <c r="U558"/>
  <c r="V538"/>
  <c r="W434"/>
  <c r="U450"/>
  <c r="W518"/>
  <c r="V586"/>
  <c r="U111"/>
  <c r="U179"/>
  <c r="V582"/>
  <c r="V594"/>
  <c r="W530"/>
  <c r="W7"/>
  <c r="W55"/>
  <c r="V7"/>
  <c r="U562"/>
  <c r="U454"/>
  <c r="V470"/>
  <c r="V323"/>
  <c r="U430"/>
  <c r="U331"/>
  <c r="V558"/>
  <c r="V578"/>
  <c r="W470"/>
  <c r="W11"/>
  <c r="U211"/>
  <c r="W482"/>
  <c r="W570"/>
  <c r="U11"/>
  <c r="V163"/>
  <c r="U107"/>
  <c r="W215"/>
  <c r="W59"/>
  <c r="U167"/>
  <c r="W450"/>
  <c r="U15"/>
  <c r="V454"/>
  <c r="W494"/>
  <c r="U159"/>
  <c r="U502"/>
  <c r="V526"/>
  <c r="V478"/>
  <c r="U462"/>
  <c r="W163"/>
  <c r="U510"/>
  <c r="V574"/>
  <c r="U55"/>
  <c r="U514"/>
  <c r="U458"/>
  <c r="W323"/>
  <c r="U474"/>
  <c r="U530"/>
  <c r="V446"/>
  <c r="U470"/>
  <c r="U578"/>
  <c r="W315"/>
  <c r="F11" i="22"/>
  <c r="F9"/>
  <c r="F6"/>
  <c r="H8"/>
  <c r="C22"/>
  <c r="C6"/>
  <c r="G21"/>
  <c r="G24"/>
  <c r="G22"/>
  <c r="E24"/>
  <c r="C24"/>
  <c r="C8"/>
  <c r="E8"/>
  <c r="C7"/>
  <c r="C23"/>
  <c r="E5"/>
  <c r="C25"/>
  <c r="C9"/>
  <c r="E21"/>
  <c r="E22"/>
  <c r="H10"/>
  <c r="D23"/>
  <c r="D7"/>
  <c r="G26"/>
  <c r="E26"/>
  <c r="C27"/>
  <c r="H7"/>
  <c r="H6"/>
  <c r="G27"/>
  <c r="E25"/>
  <c r="D22"/>
  <c r="D6"/>
  <c r="D27"/>
  <c r="D11"/>
  <c r="E11"/>
  <c r="C5"/>
  <c r="C21"/>
  <c r="E23"/>
  <c r="C10"/>
  <c r="C26"/>
  <c r="D5"/>
  <c r="D21"/>
  <c r="G25"/>
  <c r="F10"/>
  <c r="D25"/>
  <c r="D9"/>
  <c r="E27"/>
  <c r="H11"/>
  <c r="F7"/>
  <c r="H9"/>
  <c r="H5"/>
  <c r="E10"/>
  <c r="E6"/>
  <c r="D8"/>
  <c r="D10"/>
  <c r="D13"/>
  <c r="D24"/>
  <c r="D26"/>
  <c r="D29"/>
  <c r="F8"/>
  <c r="F13"/>
  <c r="E9"/>
  <c r="E7"/>
  <c r="G23"/>
  <c r="F5"/>
  <c r="E29"/>
  <c r="C13"/>
  <c r="E13"/>
  <c r="C29"/>
  <c r="G29"/>
  <c r="H13"/>
  <c r="F12"/>
  <c r="F14"/>
  <c r="G28"/>
  <c r="G30"/>
  <c r="D12"/>
  <c r="D14"/>
  <c r="E14"/>
  <c r="E12"/>
  <c r="H12"/>
  <c r="H14"/>
  <c r="C30"/>
  <c r="C28"/>
  <c r="D28"/>
  <c r="D30"/>
  <c r="C14"/>
  <c r="C12"/>
  <c r="E28"/>
  <c r="E30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<sst xmlns="http://schemas.openxmlformats.org/spreadsheetml/2006/main" count="246" uniqueCount="62">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</sst>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3"/>
      <charset val="128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6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ajor"/>
    </font>
    <font>
      <b/>
      <sz val="10"/>
      <color indexed="8"/>
      <name val="ＭＳ Ｐゴシック"/>
      <family val="3"/>
      <charset val="128"/>
      <scheme val="major"/>
    </font>
    <font>
      <b/>
      <sz val="20"/>
      <color theme="1"/>
      <name val="ＭＳ Ｐゴシック"/>
      <family val="3"/>
      <charset val="128"/>
      <scheme val="minor"/>
    </font>
    <font>
      <sz val="12"/>
      <color theme="1" tint="0.499984740745262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6" fillId="2" borderId="5" xfId="0" applyNumberFormat="1" applyFont="1" applyFill="1" applyBorder="1"/>
    <xf numFmtId="177" fontId="6" fillId="2" borderId="0" xfId="0" applyNumberFormat="1" applyFont="1" applyFill="1" applyBorder="1"/>
    <xf numFmtId="176" fontId="6" fillId="0" borderId="0" xfId="0" applyNumberFormat="1" applyFont="1" applyBorder="1"/>
    <xf numFmtId="176" fontId="6" fillId="0" borderId="10" xfId="0" applyNumberFormat="1" applyFont="1" applyBorder="1"/>
    <xf numFmtId="0" fontId="6" fillId="0" borderId="12" xfId="0" applyFont="1" applyBorder="1"/>
    <xf numFmtId="176" fontId="6" fillId="0" borderId="12" xfId="0" applyNumberFormat="1" applyFont="1" applyBorder="1"/>
    <xf numFmtId="176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176" fontId="6" fillId="0" borderId="9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4" xfId="0" applyNumberFormat="1" applyFont="1" applyBorder="1" applyAlignment="1">
      <alignment horizontal="center"/>
    </xf>
    <xf numFmtId="176" fontId="6" fillId="0" borderId="5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176" fontId="6" fillId="0" borderId="14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177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177" fontId="6" fillId="2" borderId="12" xfId="0" applyNumberFormat="1" applyFont="1" applyFill="1" applyBorder="1"/>
    <xf numFmtId="2" fontId="6" fillId="0" borderId="12" xfId="0" applyNumberFormat="1" applyFont="1" applyBorder="1"/>
    <xf numFmtId="2" fontId="6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77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177" fontId="6" fillId="0" borderId="12" xfId="0" applyNumberFormat="1" applyFont="1" applyFill="1" applyBorder="1"/>
    <xf numFmtId="177" fontId="6" fillId="0" borderId="4" xfId="0" applyNumberFormat="1" applyFont="1" applyFill="1" applyBorder="1"/>
    <xf numFmtId="177" fontId="6" fillId="0" borderId="9" xfId="0" applyNumberFormat="1" applyFont="1" applyFill="1" applyBorder="1"/>
    <xf numFmtId="177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176" fontId="10" fillId="0" borderId="1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176" fontId="10" fillId="0" borderId="3" xfId="0" applyNumberFormat="1" applyFont="1" applyBorder="1" applyAlignment="1">
      <alignment horizontal="center"/>
    </xf>
    <xf numFmtId="176" fontId="10" fillId="0" borderId="14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0" fontId="11" fillId="0" borderId="0" xfId="0" applyFont="1"/>
    <xf numFmtId="176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6" fillId="0" borderId="15" xfId="0" applyNumberFormat="1" applyFont="1" applyBorder="1" applyAlignment="1">
      <alignment horizontal="center"/>
    </xf>
    <xf numFmtId="176" fontId="6" fillId="0" borderId="16" xfId="0" applyNumberFormat="1" applyFont="1" applyBorder="1" applyAlignment="1">
      <alignment horizontal="center"/>
    </xf>
    <xf numFmtId="176" fontId="6" fillId="0" borderId="17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0" fillId="0" borderId="12" xfId="0" applyNumberFormat="1" applyFont="1" applyBorder="1" applyAlignment="1">
      <alignment horizontal="center"/>
    </xf>
    <xf numFmtId="0" fontId="6" fillId="3" borderId="4" xfId="0" applyFont="1" applyFill="1" applyBorder="1"/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wrapText="1"/>
    </xf>
    <xf numFmtId="0" fontId="6" fillId="3" borderId="7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/>
    </xf>
    <xf numFmtId="0" fontId="6" fillId="0" borderId="1" xfId="0" applyFont="1" applyBorder="1"/>
    <xf numFmtId="176" fontId="1" fillId="0" borderId="1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176" fontId="1" fillId="0" borderId="3" xfId="0" applyNumberFormat="1" applyFont="1" applyBorder="1" applyAlignment="1">
      <alignment horizontal="center"/>
    </xf>
    <xf numFmtId="176" fontId="6" fillId="0" borderId="2" xfId="0" applyNumberFormat="1" applyFont="1" applyBorder="1" applyAlignment="1">
      <alignment horizontal="center"/>
    </xf>
    <xf numFmtId="176" fontId="6" fillId="0" borderId="18" xfId="0" applyNumberFormat="1" applyFont="1" applyBorder="1" applyAlignment="1">
      <alignment horizontal="center"/>
    </xf>
    <xf numFmtId="176" fontId="6" fillId="0" borderId="3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0" fillId="0" borderId="14" xfId="0" applyNumberFormat="1" applyFont="1" applyBorder="1" applyAlignment="1">
      <alignment horizontal="center"/>
    </xf>
    <xf numFmtId="10" fontId="10" fillId="0" borderId="12" xfId="0" applyNumberFormat="1" applyFont="1" applyBorder="1" applyAlignment="1">
      <alignment horizontal="center"/>
    </xf>
    <xf numFmtId="10" fontId="10" fillId="0" borderId="13" xfId="0" applyNumberFormat="1" applyFont="1" applyBorder="1" applyAlignment="1">
      <alignment horizontal="center"/>
    </xf>
    <xf numFmtId="10" fontId="0" fillId="0" borderId="0" xfId="0" applyNumberFormat="1"/>
    <xf numFmtId="10" fontId="1" fillId="0" borderId="1" xfId="0" applyNumberFormat="1" applyFont="1" applyBorder="1" applyAlignment="1">
      <alignment horizontal="center"/>
    </xf>
    <xf numFmtId="10" fontId="1" fillId="0" borderId="2" xfId="0" applyNumberFormat="1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標準" xfId="0" builtinId="0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19" sqref="K19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-5.1872243198880508E-4</v>
      </c>
      <c r="E5" s="10">
        <f>'experimental data'!U11</f>
        <v>4.018678480883775E-4</v>
      </c>
      <c r="F5" s="125">
        <f>'experimental data'!U434</f>
        <v>-7.8248167578398586E-5</v>
      </c>
      <c r="G5" s="126">
        <f>bdrate('experimental data'!E450:E453,'experimental data'!F434:F437,'experimental data'!M450:M453,'experimental data'!N434:N437)</f>
        <v>-3.2351596547530725E-4</v>
      </c>
      <c r="H5" s="127">
        <f>'experimental data'!U442</f>
        <v>-1.9607445404978829E-4</v>
      </c>
      <c r="I5" s="59">
        <f>'experimental data'!Y51</f>
        <v>0.99876569372536583</v>
      </c>
      <c r="J5" s="105">
        <f>'experimental data'!Z51</f>
        <v>0.95636408167397724</v>
      </c>
      <c r="K5" s="60">
        <f>'experimental data'!AA51</f>
        <v>0.97426309758965246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-1.8257347314121208E-4</v>
      </c>
      <c r="E6" s="19">
        <f>'experimental data'!U63</f>
        <v>1.4246866320217766E-3</v>
      </c>
      <c r="F6" s="128">
        <f>'experimental data'!U458</f>
        <v>1.6779904960340097E-4</v>
      </c>
      <c r="G6" s="129">
        <f>bdrate('experimental data'!E474:E477,'experimental data'!F458:F461,'experimental data'!M474:M477,'experimental data'!N458:N461)</f>
        <v>4.3784191971374398E-5</v>
      </c>
      <c r="H6" s="130">
        <f>'experimental data'!U466</f>
        <v>1.0600720748477066E-4</v>
      </c>
      <c r="I6" s="61">
        <f>'experimental data'!Y103</f>
        <v>0.99625361793306866</v>
      </c>
      <c r="J6" s="106">
        <f>'experimental data'!Z103</f>
        <v>0.96960993244156812</v>
      </c>
      <c r="K6" s="57">
        <f>'experimental data'!AA103</f>
        <v>0.96381518973061897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5.3121568968372834E-4</v>
      </c>
      <c r="E7" s="19">
        <f>'experimental data'!U115</f>
        <v>6.727332872769054E-5</v>
      </c>
      <c r="F7" s="128">
        <f>'experimental data'!U482</f>
        <v>9.8267033930454772E-5</v>
      </c>
      <c r="G7" s="129">
        <f>bdrate('experimental data'!E498:E501,'experimental data'!F482:F485,'experimental data'!M498:M501,'experimental data'!N482:N485)</f>
        <v>1.6305867007160302E-4</v>
      </c>
      <c r="H7" s="130">
        <f>'experimental data'!U490</f>
        <v>-5.8858347179668868E-4</v>
      </c>
      <c r="I7" s="61">
        <f>'experimental data'!Y155</f>
        <v>1.001689975551139</v>
      </c>
      <c r="J7" s="106">
        <f>'experimental data'!Z155</f>
        <v>0.96555237945840922</v>
      </c>
      <c r="K7" s="57">
        <f>'experimental data'!AA155</f>
        <v>0.9900907999477544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4.7791185555090543E-4</v>
      </c>
      <c r="E8" s="19">
        <f>'experimental data'!U167</f>
        <v>8.5671029304901225E-5</v>
      </c>
      <c r="F8" s="128">
        <f>'experimental data'!U506</f>
        <v>6.0031148876760199E-5</v>
      </c>
      <c r="G8" s="129">
        <f>bdrate('experimental data'!E522:E525,'experimental data'!F506:F509,'experimental data'!M522:M525,'experimental data'!N506:N509)</f>
        <v>1.4837938707490395E-4</v>
      </c>
      <c r="H8" s="130">
        <f>'experimental data'!U514</f>
        <v>2.480515994871535E-4</v>
      </c>
      <c r="I8" s="61">
        <f>'experimental data'!Y207</f>
        <v>0.99546228538542747</v>
      </c>
      <c r="J8" s="106">
        <f>'experimental data'!Z207</f>
        <v>0.96756111204016093</v>
      </c>
      <c r="K8" s="57">
        <f>'experimental data'!AA207</f>
        <v>0.96669241180749643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1.1405075205961346E-4</v>
      </c>
      <c r="E9" s="19">
        <f>'experimental data'!U219</f>
        <v>-7.0976968960456688E-4</v>
      </c>
      <c r="F9" s="128">
        <f>'experimental data'!U530</f>
        <v>-3.5455883404567068E-4</v>
      </c>
      <c r="G9" s="129">
        <f>bdrate('experimental data'!E546:E549,'experimental data'!F530:F533,'experimental data'!M546:M549,'experimental data'!N530:N533)</f>
        <v>-5.3199504363521388E-4</v>
      </c>
      <c r="H9" s="130">
        <f>'experimental data'!U538</f>
        <v>-3.1453803646985801E-4</v>
      </c>
      <c r="I9" s="61">
        <f>'experimental data'!Y259</f>
        <v>1.000068723573482</v>
      </c>
      <c r="J9" s="106">
        <f>'experimental data'!Z259</f>
        <v>1.004067953310279</v>
      </c>
      <c r="K9" s="57">
        <f>'experimental data'!AA259</f>
        <v>1.0017375891246374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6.7251379174404491E-4</v>
      </c>
      <c r="E10" s="19">
        <f>'experimental data'!U271</f>
        <v>3.7374514530541525E-4</v>
      </c>
      <c r="F10" s="128">
        <f>'experimental data'!U554</f>
        <v>3.7885977021590023E-5</v>
      </c>
      <c r="G10" s="129">
        <f>bdrate('experimental data'!E570:E573,'experimental data'!F554:F557,'experimental data'!M570:M573,'experimental data'!N554:N557)</f>
        <v>-3.991577839268512E-5</v>
      </c>
      <c r="H10" s="130">
        <f>'experimental data'!U562</f>
        <v>-7.1613706851825221E-5</v>
      </c>
      <c r="I10" s="61">
        <f>'experimental data'!Y311</f>
        <v>0.99914433038781392</v>
      </c>
      <c r="J10" s="106">
        <f>'experimental data'!Z311</f>
        <v>0.99270143936491073</v>
      </c>
      <c r="K10" s="57">
        <f>'experimental data'!AA311</f>
        <v>0.98493025178845628</v>
      </c>
      <c r="L10" s="90"/>
      <c r="M10" s="61"/>
      <c r="N10" s="61"/>
      <c r="O10"/>
      <c r="P10"/>
      <c r="Q10"/>
      <c r="R10"/>
      <c r="S10"/>
      <c r="T10"/>
    </row>
    <row r="11" spans="1:20" ht="15.75" thickBot="1">
      <c r="A11" s="90"/>
      <c r="B11" s="52" t="str">
        <f>'experimental data'!B315</f>
        <v>Undo_Dancer</v>
      </c>
      <c r="C11" s="91">
        <f>'experimental data'!U315</f>
        <v>0</v>
      </c>
      <c r="D11" s="75">
        <f>'experimental data'!U319</f>
        <v>-1.4697620394887867E-4</v>
      </c>
      <c r="E11" s="92">
        <f>'experimental data'!U323</f>
        <v>-8.7718847597928473E-4</v>
      </c>
      <c r="F11" s="131">
        <f>'experimental data'!U578</f>
        <v>-1.0288378082012883E-4</v>
      </c>
      <c r="G11" s="132">
        <f>bdrate('experimental data'!E594:E597,'experimental data'!F578:F581,'experimental data'!M594:M597,'experimental data'!N578:N581)</f>
        <v>-7.6960189264840828E-5</v>
      </c>
      <c r="H11" s="133">
        <f>'experimental data'!U586</f>
        <v>-2.2916409039963614E-4</v>
      </c>
      <c r="I11" s="63">
        <f>'experimental data'!Y363</f>
        <v>0.99930060384948671</v>
      </c>
      <c r="J11" s="107">
        <f>'experimental data'!Z363</f>
        <v>0.98283946451145165</v>
      </c>
      <c r="K11" s="64">
        <f>'experimental data'!AA363</f>
        <v>0.98246425100108736</v>
      </c>
      <c r="L11" s="90"/>
      <c r="M11" s="61"/>
      <c r="N11" s="61"/>
      <c r="O11"/>
      <c r="P11"/>
      <c r="Q11"/>
      <c r="R11"/>
      <c r="S11"/>
      <c r="T11"/>
    </row>
    <row r="12" spans="1:20" ht="15">
      <c r="A12" s="90"/>
      <c r="B12" s="35" t="s">
        <v>18</v>
      </c>
      <c r="C12" s="8">
        <f t="shared" ref="C12:K12" si="0">AVERAGE(C5:C7)</f>
        <v>0</v>
      </c>
      <c r="D12" s="9">
        <f t="shared" si="0"/>
        <v>-5.6693405148762942E-5</v>
      </c>
      <c r="E12" s="10">
        <f t="shared" si="0"/>
        <v>6.3127593627928158E-4</v>
      </c>
      <c r="F12" s="125">
        <f t="shared" si="0"/>
        <v>6.2605971985152387E-5</v>
      </c>
      <c r="G12" s="126">
        <f t="shared" si="0"/>
        <v>-3.8891034477443277E-5</v>
      </c>
      <c r="H12" s="127">
        <f t="shared" si="0"/>
        <v>-2.2621690612056877E-4</v>
      </c>
      <c r="I12" s="58">
        <f t="shared" si="0"/>
        <v>0.99890309573652447</v>
      </c>
      <c r="J12" s="105">
        <f t="shared" si="0"/>
        <v>0.96384213119131823</v>
      </c>
      <c r="K12" s="60">
        <f t="shared" si="0"/>
        <v>0.97605636242267535</v>
      </c>
      <c r="L12" s="90"/>
      <c r="M12" s="61"/>
      <c r="N12" s="61"/>
      <c r="O12"/>
      <c r="P12"/>
      <c r="Q12"/>
      <c r="R12"/>
      <c r="S12"/>
      <c r="T12"/>
    </row>
    <row r="13" spans="1:20" ht="15.75" thickBot="1">
      <c r="A13" s="90"/>
      <c r="B13" s="36" t="s">
        <v>19</v>
      </c>
      <c r="C13" s="17">
        <f t="shared" ref="C13:K13" si="1">AVERAGE(C8:C11)</f>
        <v>0</v>
      </c>
      <c r="D13" s="18">
        <f t="shared" si="1"/>
        <v>2.7937504885142128E-4</v>
      </c>
      <c r="E13" s="19">
        <f t="shared" si="1"/>
        <v>-2.8188549774338378E-4</v>
      </c>
      <c r="F13" s="131">
        <f t="shared" si="1"/>
        <v>-8.9881372241862323E-5</v>
      </c>
      <c r="G13" s="132">
        <f t="shared" si="1"/>
        <v>-1.2512290605445897E-4</v>
      </c>
      <c r="H13" s="133">
        <f t="shared" si="1"/>
        <v>-9.1816058558541469E-5</v>
      </c>
      <c r="I13" s="62">
        <f t="shared" si="1"/>
        <v>0.99849398579905246</v>
      </c>
      <c r="J13" s="107">
        <f t="shared" si="1"/>
        <v>0.98679249230670063</v>
      </c>
      <c r="K13" s="64">
        <f t="shared" si="1"/>
        <v>0.98395612593041937</v>
      </c>
      <c r="L13" s="90"/>
      <c r="M13" s="61"/>
      <c r="N13" s="61"/>
      <c r="O13"/>
      <c r="P13"/>
      <c r="Q13"/>
      <c r="R13"/>
      <c r="S13"/>
      <c r="T13"/>
    </row>
    <row r="14" spans="1:20" ht="15" thickBot="1">
      <c r="A14" s="90"/>
      <c r="B14" s="93" t="s">
        <v>34</v>
      </c>
      <c r="C14" s="94">
        <f t="shared" ref="C14:K14" si="2">AVERAGE(C5:C11)</f>
        <v>0</v>
      </c>
      <c r="D14" s="95">
        <f t="shared" si="2"/>
        <v>1.3534571142277091E-4</v>
      </c>
      <c r="E14" s="96">
        <f t="shared" si="2"/>
        <v>1.0946940255204421E-4</v>
      </c>
      <c r="F14" s="134">
        <f t="shared" si="2"/>
        <v>-2.4529653287427449E-5</v>
      </c>
      <c r="G14" s="135">
        <f t="shared" si="2"/>
        <v>-8.8166389664309387E-5</v>
      </c>
      <c r="H14" s="136">
        <f t="shared" si="2"/>
        <v>-1.4941642179941032E-4</v>
      </c>
      <c r="I14" s="99">
        <f t="shared" si="2"/>
        <v>0.99866931862939778</v>
      </c>
      <c r="J14" s="108">
        <f t="shared" si="2"/>
        <v>0.97695662325725097</v>
      </c>
      <c r="K14" s="100">
        <f t="shared" si="2"/>
        <v>0.98057051299852915</v>
      </c>
      <c r="M14" s="102"/>
      <c r="N14" s="102"/>
      <c r="O14"/>
      <c r="P14"/>
      <c r="Q14"/>
      <c r="R14"/>
      <c r="S14"/>
      <c r="T14"/>
    </row>
    <row r="15" spans="1:20" ht="15" thickBot="1">
      <c r="A15" s="90"/>
      <c r="F15" s="137"/>
      <c r="G15" s="137"/>
      <c r="H15" s="137"/>
      <c r="J15" s="61"/>
      <c r="K15" s="61"/>
      <c r="N15"/>
      <c r="O15"/>
      <c r="P15"/>
      <c r="Q15"/>
      <c r="R15"/>
      <c r="S15"/>
      <c r="T15"/>
    </row>
    <row r="16" spans="1:20" ht="15.75" thickBot="1">
      <c r="A16" s="90"/>
      <c r="B16" s="118" t="str">
        <f>'experimental data'!B598</f>
        <v>Shark</v>
      </c>
      <c r="C16" s="119">
        <f>'experimental data'!U367</f>
        <v>0</v>
      </c>
      <c r="D16" s="120">
        <f>'experimental data'!U371</f>
        <v>-3.650875817315935E-4</v>
      </c>
      <c r="E16" s="121">
        <f>'experimental data'!U375</f>
        <v>1.4273989017479227E-3</v>
      </c>
      <c r="F16" s="138">
        <f>'experimental data'!U602</f>
        <v>1.4635993283906856E-4</v>
      </c>
      <c r="G16" s="139">
        <f>bdrate('experimental data'!E618:E621,'experimental data'!F602:F605,'experimental data'!M618:M621,'experimental data'!N602:N605)</f>
        <v>3.2529933153391255E-5</v>
      </c>
      <c r="H16" s="140">
        <f>'experimental data'!U610</f>
        <v>1.2301667430114627E-4</v>
      </c>
      <c r="I16" s="122">
        <f>'experimental data'!Y415</f>
        <v>0.98473265609002558</v>
      </c>
      <c r="J16" s="123">
        <f>'experimental data'!Z415</f>
        <v>0.95476445465909188</v>
      </c>
      <c r="K16" s="124">
        <f>'experimental data'!AA415</f>
        <v>0.95644623114313232</v>
      </c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-5.1872243198880508E-4</v>
      </c>
      <c r="E21" s="8">
        <f>'experimental data'!U430</f>
        <v>-1.8890879757349488E-4</v>
      </c>
      <c r="F21" s="9">
        <f>bdrate('experimental data'!E446:E449,'experimental data'!F430:F433,'experimental data'!M446:M449,'experimental data'!N430:N433)</f>
        <v>-3.2621263492671471E-4</v>
      </c>
      <c r="G21" s="10">
        <f>'experimental data'!U438</f>
        <v>-6.6231168088892733E-4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-1.8257347314121208E-4</v>
      </c>
      <c r="E22" s="17">
        <f>'experimental data'!U454</f>
        <v>-7.0644490126281489E-5</v>
      </c>
      <c r="F22" s="18">
        <f>bdrate('experimental data'!E470:E473,'experimental data'!F454:F457,'experimental data'!M470:M473,'experimental data'!N454:N457)</f>
        <v>-2.8195545151599166E-4</v>
      </c>
      <c r="G22" s="19">
        <f>'experimental data'!U462</f>
        <v>-4.9495040626257314E-4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5.3121568968372834E-4</v>
      </c>
      <c r="E23" s="17">
        <f>'experimental data'!U478</f>
        <v>6.0403690711474667E-5</v>
      </c>
      <c r="F23" s="18">
        <f>bdrate('experimental data'!E494:E497,'experimental data'!F478:F481,'experimental data'!M494:M497,'experimental data'!N478:N481)</f>
        <v>5.8463980086020939E-6</v>
      </c>
      <c r="G23" s="19">
        <f>'experimental data'!U486</f>
        <v>-4.4706980298026E-4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4.7791185555090543E-4</v>
      </c>
      <c r="E24" s="17">
        <f>'experimental data'!U502</f>
        <v>6.2595745080828991E-5</v>
      </c>
      <c r="F24" s="18">
        <f>bdrate('experimental data'!E518:E521,'experimental data'!F502:F505,'experimental data'!M518:M521,'experimental data'!N502:N505)</f>
        <v>1.4549620896975313E-4</v>
      </c>
      <c r="G24" s="19">
        <f>'experimental data'!U510</f>
        <v>4.5861969489680021E-4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1.1405075205961346E-4</v>
      </c>
      <c r="E25" s="17">
        <f>'experimental data'!U526</f>
        <v>-1.831681957653597E-4</v>
      </c>
      <c r="F25" s="18">
        <f>bdrate('experimental data'!E542:E545,'experimental data'!F526:F529,'experimental data'!M542:M545,'experimental data'!N526:N529)</f>
        <v>-2.0173603060491541E-4</v>
      </c>
      <c r="G25" s="19">
        <f>'experimental data'!U534</f>
        <v>2.9017463517444497E-4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6.7251379174404491E-4</v>
      </c>
      <c r="E26" s="17">
        <f>'experimental data'!U550</f>
        <v>-6.7174214598564319E-5</v>
      </c>
      <c r="F26" s="18">
        <f>bdrate('experimental data'!E566:E569,'experimental data'!F550:F553,'experimental data'!M566:M569,'experimental data'!N550:N553)</f>
        <v>-1.0046185261713969E-4</v>
      </c>
      <c r="G26" s="19">
        <f>'experimental data'!U558</f>
        <v>-4.3279897199777206E-4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.75" thickBot="1">
      <c r="A27" s="90"/>
      <c r="B27" s="52" t="str">
        <f>'experimental data'!B315</f>
        <v>Undo_Dancer</v>
      </c>
      <c r="C27" s="91">
        <f>'experimental data'!U315</f>
        <v>0</v>
      </c>
      <c r="D27" s="75">
        <f>'experimental data'!U319</f>
        <v>-1.4697620394887867E-4</v>
      </c>
      <c r="E27" s="91">
        <f>'experimental data'!U574</f>
        <v>-6.6580408551120129E-5</v>
      </c>
      <c r="F27" s="75">
        <f>bdrate('experimental data'!E590:E593,'experimental data'!F574:F577,'experimental data'!M590:M593,'experimental data'!N574:N577)</f>
        <v>-5.6374738785835987E-5</v>
      </c>
      <c r="G27" s="92">
        <f>'experimental data'!U582</f>
        <v>3.750578966372764E-4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">
      <c r="A28" s="90"/>
      <c r="B28" s="35" t="s">
        <v>18</v>
      </c>
      <c r="C28" s="8">
        <f>AVERAGE(C21:C23)</f>
        <v>0</v>
      </c>
      <c r="D28" s="9">
        <f>AVERAGE(D21:D23)</f>
        <v>-5.6693405148762942E-5</v>
      </c>
      <c r="E28" s="8">
        <f>AVERAGE(E21:E23)</f>
        <v>-6.6383198996100568E-5</v>
      </c>
      <c r="F28" s="9">
        <f>AVERAGE(F21:F23)</f>
        <v>-2.0077389614470142E-4</v>
      </c>
      <c r="G28" s="10">
        <f>AVERAGE(G21:G23)</f>
        <v>-5.3477729671058682E-4</v>
      </c>
      <c r="H28" s="56"/>
      <c r="I28" s="61"/>
      <c r="J28" s="61"/>
      <c r="K28" s="90"/>
      <c r="L28" s="90"/>
      <c r="N28"/>
      <c r="O28"/>
      <c r="P28"/>
      <c r="Q28"/>
      <c r="R28"/>
      <c r="S28"/>
      <c r="T28"/>
    </row>
    <row r="29" spans="1:20" ht="15.75" thickBot="1">
      <c r="A29" s="90"/>
      <c r="B29" s="36" t="s">
        <v>19</v>
      </c>
      <c r="C29" s="17">
        <f>AVERAGE(C24:C27)</f>
        <v>0</v>
      </c>
      <c r="D29" s="18">
        <f>AVERAGE(D24:D27)</f>
        <v>2.7937504885142128E-4</v>
      </c>
      <c r="E29" s="91">
        <f>AVERAGE(E24:E27)</f>
        <v>-6.3581768458553789E-5</v>
      </c>
      <c r="F29" s="75">
        <f>AVERAGE(F24:F27)</f>
        <v>-5.3269103259534489E-5</v>
      </c>
      <c r="G29" s="92">
        <f>AVERAGE(G24:G27)</f>
        <v>1.7276331367768738E-4</v>
      </c>
      <c r="H29" s="61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" thickBot="1">
      <c r="A30" s="90"/>
      <c r="B30" s="93" t="s">
        <v>34</v>
      </c>
      <c r="C30" s="94">
        <f>AVERAGE(C21:C27)</f>
        <v>0</v>
      </c>
      <c r="D30" s="95">
        <f>AVERAGE(D21:D27)</f>
        <v>1.3534571142277091E-4</v>
      </c>
      <c r="E30" s="97">
        <f>AVERAGE(E21:E27)</f>
        <v>-6.4782381546073833E-5</v>
      </c>
      <c r="F30" s="109">
        <f>AVERAGE(F21:F27)</f>
        <v>-1.1648544306746318E-4</v>
      </c>
      <c r="G30" s="98">
        <f>AVERAGE(G21:G27)</f>
        <v>-1.3046837648871584E-4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I31" s="61"/>
      <c r="J31" s="61"/>
      <c r="K31" s="61"/>
      <c r="L31" s="90"/>
      <c r="M31" s="90"/>
    </row>
    <row r="32" spans="1:20" ht="15.75" thickBot="1">
      <c r="A32" s="90"/>
      <c r="B32" s="118" t="str">
        <f>'experimental data'!B598</f>
        <v>Shark</v>
      </c>
      <c r="C32" s="119">
        <f>'experimental data'!U367</f>
        <v>0</v>
      </c>
      <c r="D32" s="120">
        <f>'experimental data'!U371</f>
        <v>-3.650875817315935E-4</v>
      </c>
      <c r="E32" s="119">
        <f>'experimental data'!U598</f>
        <v>2.3783308529257141E-6</v>
      </c>
      <c r="F32" s="120">
        <f>bdrate('experimental data'!E614:E617,'experimental data'!F598:F601,'experimental data'!M614:M617,'experimental data'!N598:N601)</f>
        <v>-5.1455752844042912E-5</v>
      </c>
      <c r="G32" s="121">
        <f>'experimental data'!U606</f>
        <v>6.2482200114954978E-5</v>
      </c>
      <c r="H32" s="18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5"/>
  <conditionalFormatting sqref="C594:E1643 C5:E14 F6:H11 C170:H593 C147:H168 C124:H144 C101:H120 C78:H96 C55:H72 C33:H48 H32">
    <cfRule type="cellIs" dxfId="603" priority="93" operator="greaterThan">
      <formula>0.03</formula>
    </cfRule>
    <cfRule type="cellIs" dxfId="602" priority="94" stopIfTrue="1" operator="lessThan">
      <formula>-0.03</formula>
    </cfRule>
  </conditionalFormatting>
  <conditionalFormatting sqref="F5:H5 G7 G9 G11">
    <cfRule type="cellIs" dxfId="601" priority="89" operator="greaterThan">
      <formula>0.03</formula>
    </cfRule>
    <cfRule type="cellIs" dxfId="600" priority="90" stopIfTrue="1" operator="lessThan">
      <formula>-0.03</formula>
    </cfRule>
  </conditionalFormatting>
  <conditionalFormatting sqref="F12:H12">
    <cfRule type="cellIs" dxfId="599" priority="51" operator="greaterThan">
      <formula>0.03</formula>
    </cfRule>
    <cfRule type="cellIs" dxfId="598" priority="52" stopIfTrue="1" operator="lessThan">
      <formula>-0.03</formula>
    </cfRule>
  </conditionalFormatting>
  <conditionalFormatting sqref="F13:H14">
    <cfRule type="cellIs" dxfId="597" priority="49" operator="greaterThan">
      <formula>0.03</formula>
    </cfRule>
    <cfRule type="cellIs" dxfId="596" priority="50" stopIfTrue="1" operator="lessThan">
      <formula>-0.03</formula>
    </cfRule>
  </conditionalFormatting>
  <conditionalFormatting sqref="C21:D27 E22:G27">
    <cfRule type="cellIs" dxfId="595" priority="47" operator="greaterThan">
      <formula>0.03</formula>
    </cfRule>
    <cfRule type="cellIs" dxfId="594" priority="48" stopIfTrue="1" operator="lessThan">
      <formula>-0.03</formula>
    </cfRule>
  </conditionalFormatting>
  <conditionalFormatting sqref="E21:G21">
    <cfRule type="cellIs" dxfId="593" priority="45" operator="greaterThan">
      <formula>0.03</formula>
    </cfRule>
    <cfRule type="cellIs" dxfId="592" priority="46" stopIfTrue="1" operator="lessThan">
      <formula>-0.03</formula>
    </cfRule>
  </conditionalFormatting>
  <conditionalFormatting sqref="E28:G28">
    <cfRule type="cellIs" dxfId="591" priority="37" operator="greaterThan">
      <formula>0.03</formula>
    </cfRule>
    <cfRule type="cellIs" dxfId="590" priority="38" stopIfTrue="1" operator="lessThan">
      <formula>-0.03</formula>
    </cfRule>
  </conditionalFormatting>
  <conditionalFormatting sqref="E29:G30">
    <cfRule type="cellIs" dxfId="589" priority="35" operator="greaterThan">
      <formula>0.03</formula>
    </cfRule>
    <cfRule type="cellIs" dxfId="588" priority="36" stopIfTrue="1" operator="lessThan">
      <formula>-0.03</formula>
    </cfRule>
  </conditionalFormatting>
  <conditionalFormatting sqref="C28:D30">
    <cfRule type="cellIs" dxfId="587" priority="39" operator="greaterThan">
      <formula>0.03</formula>
    </cfRule>
    <cfRule type="cellIs" dxfId="586" priority="40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6:H16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6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32:G32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Normal="100" workbookViewId="0">
      <selection activeCell="K418" sqref="E3:K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43" t="s">
        <v>2</v>
      </c>
      <c r="F1" s="143"/>
      <c r="G1" s="143"/>
      <c r="H1" s="143"/>
      <c r="I1" s="143"/>
      <c r="J1" s="143"/>
      <c r="K1" s="144"/>
      <c r="L1" s="11"/>
      <c r="M1" s="145" t="s">
        <v>3</v>
      </c>
      <c r="N1" s="143"/>
      <c r="O1" s="143"/>
      <c r="P1" s="143"/>
      <c r="Q1" s="143"/>
      <c r="R1" s="143"/>
      <c r="S1" s="144"/>
      <c r="T1" s="34"/>
      <c r="U1" s="145" t="s">
        <v>10</v>
      </c>
      <c r="V1" s="143"/>
      <c r="W1" s="144"/>
      <c r="X1" s="29"/>
      <c r="Y1" s="141" t="s">
        <v>1</v>
      </c>
      <c r="Z1" s="141"/>
      <c r="AA1" s="142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</row>
    <row r="3" spans="1:27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878.04719999999998</v>
      </c>
      <c r="F3" s="45">
        <v>43.091999999999999</v>
      </c>
      <c r="G3" s="45">
        <v>43.413899999999998</v>
      </c>
      <c r="H3" s="45">
        <v>43.977200000000003</v>
      </c>
      <c r="I3" s="79"/>
      <c r="J3" s="79"/>
      <c r="K3" s="80"/>
      <c r="L3" s="29"/>
      <c r="M3" s="45">
        <v>878.04719999999998</v>
      </c>
      <c r="N3" s="45">
        <v>43.091999999999999</v>
      </c>
      <c r="O3" s="45">
        <v>43.413899999999998</v>
      </c>
      <c r="P3" s="45">
        <v>43.977200000000003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">
      <c r="A4" s="27"/>
      <c r="B4" s="36"/>
      <c r="C4" s="29"/>
      <c r="D4" s="32">
        <v>30</v>
      </c>
      <c r="E4" s="46">
        <v>481.096</v>
      </c>
      <c r="F4" s="46">
        <v>41.045200000000001</v>
      </c>
      <c r="G4" s="46">
        <v>42.143099999999997</v>
      </c>
      <c r="H4" s="46">
        <v>42.331800000000001</v>
      </c>
      <c r="I4" s="66"/>
      <c r="J4" s="66"/>
      <c r="K4" s="67"/>
      <c r="L4" s="29"/>
      <c r="M4" s="46">
        <v>481.096</v>
      </c>
      <c r="N4" s="46">
        <v>41.045200000000001</v>
      </c>
      <c r="O4" s="46">
        <v>42.143099999999997</v>
      </c>
      <c r="P4" s="46">
        <v>42.331800000000001</v>
      </c>
      <c r="Q4" s="66"/>
      <c r="R4" s="66"/>
      <c r="S4" s="67"/>
      <c r="U4" s="41"/>
      <c r="V4" s="42"/>
      <c r="W4" s="43"/>
      <c r="X4" s="29"/>
      <c r="Y4" s="24"/>
      <c r="Z4" s="24"/>
      <c r="AA4" s="27"/>
    </row>
    <row r="5" spans="1:27" ht="12">
      <c r="A5" s="27"/>
      <c r="B5" s="36"/>
      <c r="C5" s="29"/>
      <c r="D5" s="32">
        <v>35</v>
      </c>
      <c r="E5" s="46">
        <v>277.57600000000002</v>
      </c>
      <c r="F5" s="46">
        <v>38.459899999999998</v>
      </c>
      <c r="G5" s="46">
        <v>40.667400000000001</v>
      </c>
      <c r="H5" s="46">
        <v>40.528399999999998</v>
      </c>
      <c r="I5" s="66"/>
      <c r="J5" s="66"/>
      <c r="K5" s="67"/>
      <c r="L5" s="29"/>
      <c r="M5" s="46">
        <v>277.57600000000002</v>
      </c>
      <c r="N5" s="46">
        <v>38.459899999999998</v>
      </c>
      <c r="O5" s="46">
        <v>40.667400000000001</v>
      </c>
      <c r="P5" s="46">
        <v>40.528399999999998</v>
      </c>
      <c r="Q5" s="66"/>
      <c r="R5" s="66"/>
      <c r="S5" s="67"/>
      <c r="U5" s="41"/>
      <c r="V5" s="42"/>
      <c r="W5" s="43"/>
      <c r="X5" s="29"/>
      <c r="Y5" s="24"/>
      <c r="Z5" s="24"/>
      <c r="AA5" s="27"/>
    </row>
    <row r="6" spans="1:27" ht="12.75" thickBot="1">
      <c r="A6" s="27"/>
      <c r="B6" s="36"/>
      <c r="C6" s="29"/>
      <c r="D6" s="32">
        <v>40</v>
      </c>
      <c r="E6" s="46">
        <v>168.0352</v>
      </c>
      <c r="F6" s="46">
        <v>35.638500000000001</v>
      </c>
      <c r="G6" s="46">
        <v>39.561700000000002</v>
      </c>
      <c r="H6" s="46">
        <v>39.232999999999997</v>
      </c>
      <c r="I6" s="66"/>
      <c r="J6" s="66"/>
      <c r="K6" s="67"/>
      <c r="L6" s="29"/>
      <c r="M6" s="46">
        <v>168.0352</v>
      </c>
      <c r="N6" s="46">
        <v>35.638500000000001</v>
      </c>
      <c r="O6" s="46">
        <v>39.561700000000002</v>
      </c>
      <c r="P6" s="46">
        <v>39.232999999999997</v>
      </c>
      <c r="Q6" s="66"/>
      <c r="R6" s="66"/>
      <c r="S6" s="67"/>
      <c r="U6" s="41"/>
      <c r="V6" s="42"/>
      <c r="W6" s="43"/>
      <c r="X6" s="29"/>
      <c r="Y6" s="24"/>
      <c r="Z6" s="24"/>
      <c r="AA6" s="27"/>
    </row>
    <row r="7" spans="1:27" ht="12">
      <c r="A7" s="27"/>
      <c r="B7" s="36"/>
      <c r="C7" s="28" t="s">
        <v>27</v>
      </c>
      <c r="D7" s="31">
        <v>25</v>
      </c>
      <c r="E7" s="45">
        <v>281.16800000000001</v>
      </c>
      <c r="F7" s="45">
        <v>42.234999999999999</v>
      </c>
      <c r="G7" s="45">
        <v>43.1023</v>
      </c>
      <c r="H7" s="45">
        <v>43.127600000000001</v>
      </c>
      <c r="I7" s="79"/>
      <c r="J7" s="79"/>
      <c r="K7" s="80"/>
      <c r="L7" s="29"/>
      <c r="M7" s="45">
        <v>281.12799999999999</v>
      </c>
      <c r="N7" s="45">
        <v>42.2303</v>
      </c>
      <c r="O7" s="45">
        <v>43.099400000000003</v>
      </c>
      <c r="P7" s="45">
        <v>43.127000000000002</v>
      </c>
      <c r="Q7" s="79"/>
      <c r="R7" s="79"/>
      <c r="S7" s="80"/>
      <c r="U7" s="8">
        <f>bdrate($E7:$E10,F7:F10,$M7:$M10,N7:N10)</f>
        <v>-5.1872243198880508E-4</v>
      </c>
      <c r="V7" s="9">
        <f>bdrate($E7:$E10,G7:G10,$M7:$M10,O7:O10)</f>
        <v>7.4657157682467279E-4</v>
      </c>
      <c r="W7" s="10">
        <f>bdrate($E7:$E10,H7:H10,$M7:$M10,P7:P10)</f>
        <v>1.6458670999837111E-3</v>
      </c>
      <c r="X7" s="29"/>
      <c r="Y7" s="24"/>
      <c r="Z7" s="24"/>
      <c r="AA7" s="27"/>
    </row>
    <row r="8" spans="1:27" ht="12">
      <c r="A8" s="27"/>
      <c r="B8" s="36"/>
      <c r="C8" s="29"/>
      <c r="D8" s="32">
        <v>30</v>
      </c>
      <c r="E8" s="46">
        <v>131.38319999999999</v>
      </c>
      <c r="F8" s="46">
        <v>39.918399999999998</v>
      </c>
      <c r="G8" s="46">
        <v>41.816200000000002</v>
      </c>
      <c r="H8" s="46">
        <v>41.539900000000003</v>
      </c>
      <c r="I8" s="66"/>
      <c r="J8" s="66"/>
      <c r="K8" s="67"/>
      <c r="L8" s="29"/>
      <c r="M8" s="46">
        <v>131.40880000000001</v>
      </c>
      <c r="N8" s="46">
        <v>39.9191</v>
      </c>
      <c r="O8" s="46">
        <v>41.816600000000001</v>
      </c>
      <c r="P8" s="46">
        <v>41.532899999999998</v>
      </c>
      <c r="Q8" s="66"/>
      <c r="R8" s="66"/>
      <c r="S8" s="67"/>
      <c r="U8" s="17"/>
      <c r="V8" s="18"/>
      <c r="W8" s="19"/>
      <c r="X8" s="29"/>
      <c r="Y8" s="24"/>
      <c r="Z8" s="24"/>
      <c r="AA8" s="27"/>
    </row>
    <row r="9" spans="1:27" ht="12">
      <c r="A9" s="27"/>
      <c r="B9" s="36"/>
      <c r="C9" s="29"/>
      <c r="D9" s="32">
        <v>35</v>
      </c>
      <c r="E9" s="46">
        <v>70.334400000000002</v>
      </c>
      <c r="F9" s="46">
        <v>37.303400000000003</v>
      </c>
      <c r="G9" s="46">
        <v>40.564700000000002</v>
      </c>
      <c r="H9" s="46">
        <v>40.041600000000003</v>
      </c>
      <c r="I9" s="66"/>
      <c r="J9" s="66"/>
      <c r="K9" s="67"/>
      <c r="L9" s="29"/>
      <c r="M9" s="46">
        <v>70.313599999999994</v>
      </c>
      <c r="N9" s="46">
        <v>37.309100000000001</v>
      </c>
      <c r="O9" s="46">
        <v>40.560099999999998</v>
      </c>
      <c r="P9" s="46">
        <v>40.038800000000002</v>
      </c>
      <c r="Q9" s="66"/>
      <c r="R9" s="66"/>
      <c r="S9" s="67"/>
      <c r="U9" s="41"/>
      <c r="V9" s="44"/>
      <c r="W9" s="43"/>
      <c r="X9" s="29"/>
      <c r="Y9" s="24"/>
      <c r="Z9" s="24"/>
      <c r="AA9" s="27"/>
    </row>
    <row r="10" spans="1:27" ht="12.75" thickBot="1">
      <c r="A10" s="27"/>
      <c r="B10" s="36"/>
      <c r="C10" s="29"/>
      <c r="D10" s="32">
        <v>40</v>
      </c>
      <c r="E10" s="46">
        <v>37.9176</v>
      </c>
      <c r="F10" s="46">
        <v>34.580800000000004</v>
      </c>
      <c r="G10" s="46">
        <v>39.468899999999998</v>
      </c>
      <c r="H10" s="46">
        <v>38.805700000000002</v>
      </c>
      <c r="I10" s="66"/>
      <c r="J10" s="66"/>
      <c r="K10" s="67"/>
      <c r="L10" s="29"/>
      <c r="M10" s="46">
        <v>37.8752</v>
      </c>
      <c r="N10" s="46">
        <v>34.577500000000001</v>
      </c>
      <c r="O10" s="46">
        <v>39.470399999999998</v>
      </c>
      <c r="P10" s="46">
        <v>38.804900000000004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</row>
    <row r="11" spans="1:27" ht="12">
      <c r="A11" s="27"/>
      <c r="B11" s="36"/>
      <c r="C11" s="28" t="s">
        <v>28</v>
      </c>
      <c r="D11" s="31">
        <v>25</v>
      </c>
      <c r="E11" s="45">
        <v>310.39999999999998</v>
      </c>
      <c r="F11" s="45">
        <v>41.908999999999999</v>
      </c>
      <c r="G11" s="45">
        <v>42.542499999999997</v>
      </c>
      <c r="H11" s="45">
        <v>42.873699999999999</v>
      </c>
      <c r="I11" s="79"/>
      <c r="J11" s="79"/>
      <c r="K11" s="80"/>
      <c r="L11" s="29"/>
      <c r="M11" s="45">
        <v>310.93119999999999</v>
      </c>
      <c r="N11" s="45">
        <v>41.907499999999999</v>
      </c>
      <c r="O11" s="45">
        <v>42.541699999999999</v>
      </c>
      <c r="P11" s="45">
        <v>42.874299999999998</v>
      </c>
      <c r="Q11" s="79"/>
      <c r="R11" s="79"/>
      <c r="S11" s="80"/>
      <c r="U11" s="8">
        <f>bdrate($E11:$E14,F11:F14,$M11:$M14,N11:N14)</f>
        <v>4.018678480883775E-4</v>
      </c>
      <c r="V11" s="9">
        <f>bdrate($E11:$E14,G11:G14,$M11:$M14,O11:O14)</f>
        <v>2.0359383386761021E-3</v>
      </c>
      <c r="W11" s="10">
        <f>bdrate($E11:$E14,H11:H14,$M11:$M14,P11:P14)</f>
        <v>3.0106586622569154E-4</v>
      </c>
      <c r="X11" s="29"/>
      <c r="Y11" s="24"/>
      <c r="Z11" s="24"/>
      <c r="AA11" s="27"/>
    </row>
    <row r="12" spans="1:27" ht="12">
      <c r="A12" s="27"/>
      <c r="B12" s="36"/>
      <c r="C12" s="29"/>
      <c r="D12" s="32">
        <v>30</v>
      </c>
      <c r="E12" s="46">
        <v>144.13040000000001</v>
      </c>
      <c r="F12" s="46">
        <v>39.676299999999998</v>
      </c>
      <c r="G12" s="46">
        <v>41.220100000000002</v>
      </c>
      <c r="H12" s="46">
        <v>41.305799999999998</v>
      </c>
      <c r="I12" s="66"/>
      <c r="J12" s="66"/>
      <c r="K12" s="67"/>
      <c r="L12" s="29"/>
      <c r="M12" s="46">
        <v>144.136</v>
      </c>
      <c r="N12" s="46">
        <v>39.676900000000003</v>
      </c>
      <c r="O12" s="46">
        <v>41.216500000000003</v>
      </c>
      <c r="P12" s="46">
        <v>41.302900000000001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</row>
    <row r="13" spans="1:27" ht="12">
      <c r="A13" s="27"/>
      <c r="B13" s="36"/>
      <c r="C13" s="29"/>
      <c r="D13" s="32">
        <v>35</v>
      </c>
      <c r="E13" s="46">
        <v>77.247200000000007</v>
      </c>
      <c r="F13" s="46">
        <v>37.105400000000003</v>
      </c>
      <c r="G13" s="46">
        <v>40.063600000000001</v>
      </c>
      <c r="H13" s="46">
        <v>39.863500000000002</v>
      </c>
      <c r="I13" s="66"/>
      <c r="J13" s="66"/>
      <c r="K13" s="67"/>
      <c r="L13" s="29"/>
      <c r="M13" s="46">
        <v>77.308000000000007</v>
      </c>
      <c r="N13" s="46">
        <v>37.1083</v>
      </c>
      <c r="O13" s="46">
        <v>40.062100000000001</v>
      </c>
      <c r="P13" s="46">
        <v>39.866500000000002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</row>
    <row r="14" spans="1:27" ht="12.75" thickBot="1">
      <c r="A14" s="27"/>
      <c r="B14" s="36"/>
      <c r="C14" s="53"/>
      <c r="D14" s="71">
        <v>40</v>
      </c>
      <c r="E14" s="72">
        <v>41.947200000000002</v>
      </c>
      <c r="F14" s="72">
        <v>34.389400000000002</v>
      </c>
      <c r="G14" s="72">
        <v>38.995199999999997</v>
      </c>
      <c r="H14" s="72">
        <v>38.6113</v>
      </c>
      <c r="I14" s="68"/>
      <c r="J14" s="68"/>
      <c r="K14" s="69"/>
      <c r="L14" s="29"/>
      <c r="M14" s="72">
        <v>41.961599999999997</v>
      </c>
      <c r="N14" s="72">
        <v>34.386000000000003</v>
      </c>
      <c r="O14" s="72">
        <v>38.990499999999997</v>
      </c>
      <c r="P14" s="72">
        <v>38.616599999999998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</row>
    <row r="15" spans="1:27" ht="12">
      <c r="A15" s="27"/>
      <c r="B15" s="36"/>
      <c r="C15" s="28" t="s">
        <v>29</v>
      </c>
      <c r="D15" s="31">
        <v>34</v>
      </c>
      <c r="E15" s="45">
        <v>116.38639999999999</v>
      </c>
      <c r="F15" s="45">
        <v>39.682000000000002</v>
      </c>
      <c r="G15" s="78"/>
      <c r="H15" s="78"/>
      <c r="I15" s="79"/>
      <c r="J15" s="79"/>
      <c r="K15" s="80"/>
      <c r="L15" s="29"/>
      <c r="M15" s="45">
        <v>116.38639999999999</v>
      </c>
      <c r="N15" s="45">
        <v>39.682000000000002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">
      <c r="A16" s="27"/>
      <c r="B16" s="36"/>
      <c r="C16" s="29"/>
      <c r="D16" s="32">
        <v>39</v>
      </c>
      <c r="E16" s="46">
        <v>39.880800000000001</v>
      </c>
      <c r="F16" s="46">
        <v>36.510100000000001</v>
      </c>
      <c r="G16" s="70"/>
      <c r="H16" s="70"/>
      <c r="I16" s="66"/>
      <c r="J16" s="66"/>
      <c r="K16" s="67"/>
      <c r="L16" s="29"/>
      <c r="M16" s="46">
        <v>39.880800000000001</v>
      </c>
      <c r="N16" s="46">
        <v>36.510100000000001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</row>
    <row r="17" spans="1:27" ht="12">
      <c r="A17" s="27"/>
      <c r="B17" s="36"/>
      <c r="C17" s="29"/>
      <c r="D17" s="32">
        <v>42</v>
      </c>
      <c r="E17" s="46">
        <v>17.733599999999999</v>
      </c>
      <c r="F17" s="46">
        <v>34.018999999999998</v>
      </c>
      <c r="G17" s="70"/>
      <c r="H17" s="70"/>
      <c r="I17" s="66"/>
      <c r="J17" s="66"/>
      <c r="K17" s="67"/>
      <c r="L17" s="29"/>
      <c r="M17" s="46">
        <v>17.733599999999999</v>
      </c>
      <c r="N17" s="46">
        <v>34.018999999999998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</row>
    <row r="18" spans="1:27" ht="12.75" thickBot="1">
      <c r="A18" s="27"/>
      <c r="B18" s="36"/>
      <c r="C18" s="29"/>
      <c r="D18" s="32">
        <v>45</v>
      </c>
      <c r="E18" s="46">
        <v>9.0695999999999994</v>
      </c>
      <c r="F18" s="46">
        <v>31.492799999999999</v>
      </c>
      <c r="G18" s="70"/>
      <c r="H18" s="70"/>
      <c r="I18" s="66"/>
      <c r="J18" s="66"/>
      <c r="K18" s="67"/>
      <c r="L18" s="29"/>
      <c r="M18" s="46">
        <v>9.0695999999999994</v>
      </c>
      <c r="N18" s="46">
        <v>31.492799999999999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</row>
    <row r="19" spans="1:27" ht="12">
      <c r="A19" s="27"/>
      <c r="B19" s="36"/>
      <c r="C19" s="28" t="s">
        <v>30</v>
      </c>
      <c r="D19" s="31">
        <v>34</v>
      </c>
      <c r="E19" s="45">
        <v>87.202399999999997</v>
      </c>
      <c r="F19" s="45">
        <v>37.625500000000002</v>
      </c>
      <c r="G19" s="78"/>
      <c r="H19" s="78"/>
      <c r="I19" s="79"/>
      <c r="J19" s="79"/>
      <c r="K19" s="80"/>
      <c r="L19" s="29"/>
      <c r="M19" s="45">
        <v>87.366399999999999</v>
      </c>
      <c r="N19" s="45">
        <v>37.645499999999998</v>
      </c>
      <c r="O19" s="78"/>
      <c r="P19" s="78"/>
      <c r="Q19" s="79"/>
      <c r="R19" s="79"/>
      <c r="S19" s="80"/>
      <c r="U19" s="8">
        <f>bdrate($E19:$E22,F19:F22,$M19:$M22,N19:N22)</f>
        <v>-3.9387046917167545E-3</v>
      </c>
      <c r="V19" s="9"/>
      <c r="W19" s="10"/>
      <c r="X19" s="29"/>
      <c r="Y19" s="24"/>
      <c r="Z19" s="24"/>
      <c r="AA19" s="27"/>
    </row>
    <row r="20" spans="1:27" ht="12">
      <c r="A20" s="27"/>
      <c r="B20" s="36"/>
      <c r="C20" s="29"/>
      <c r="D20" s="32">
        <v>39</v>
      </c>
      <c r="E20" s="46">
        <v>28.747199999999999</v>
      </c>
      <c r="F20" s="46">
        <v>34.501899999999999</v>
      </c>
      <c r="G20" s="70"/>
      <c r="H20" s="70"/>
      <c r="I20" s="66"/>
      <c r="J20" s="66"/>
      <c r="K20" s="67"/>
      <c r="L20" s="29"/>
      <c r="M20" s="46">
        <v>28.5336</v>
      </c>
      <c r="N20" s="46">
        <v>34.466299999999997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</row>
    <row r="21" spans="1:27" ht="12">
      <c r="A21" s="27"/>
      <c r="B21" s="36"/>
      <c r="C21" s="29"/>
      <c r="D21" s="32">
        <v>42</v>
      </c>
      <c r="E21" s="46">
        <v>12.477600000000001</v>
      </c>
      <c r="F21" s="46">
        <v>31.891999999999999</v>
      </c>
      <c r="G21" s="70"/>
      <c r="H21" s="70"/>
      <c r="I21" s="66"/>
      <c r="J21" s="66"/>
      <c r="K21" s="67"/>
      <c r="L21" s="29"/>
      <c r="M21" s="46">
        <v>12.446400000000001</v>
      </c>
      <c r="N21" s="46">
        <v>31.919599999999999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</row>
    <row r="22" spans="1:27" ht="12.75" thickBot="1">
      <c r="A22" s="27"/>
      <c r="B22" s="36"/>
      <c r="C22" s="29"/>
      <c r="D22" s="32">
        <v>45</v>
      </c>
      <c r="E22" s="46">
        <v>5.9047999999999998</v>
      </c>
      <c r="F22" s="46">
        <v>29.167899999999999</v>
      </c>
      <c r="G22" s="70"/>
      <c r="H22" s="70"/>
      <c r="I22" s="66"/>
      <c r="J22" s="66"/>
      <c r="K22" s="67"/>
      <c r="L22" s="29"/>
      <c r="M22" s="46">
        <v>5.8856000000000002</v>
      </c>
      <c r="N22" s="46">
        <v>29.197900000000001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</row>
    <row r="23" spans="1:27" ht="12">
      <c r="A23" s="27"/>
      <c r="B23" s="36"/>
      <c r="C23" s="28" t="s">
        <v>31</v>
      </c>
      <c r="D23" s="31">
        <v>34</v>
      </c>
      <c r="E23" s="45">
        <v>96.988799999999998</v>
      </c>
      <c r="F23" s="45">
        <v>36.942300000000003</v>
      </c>
      <c r="G23" s="78"/>
      <c r="H23" s="78"/>
      <c r="I23" s="79"/>
      <c r="J23" s="79"/>
      <c r="K23" s="80"/>
      <c r="L23" s="29"/>
      <c r="M23" s="45">
        <v>97.012799999999999</v>
      </c>
      <c r="N23" s="45">
        <v>36.947800000000001</v>
      </c>
      <c r="O23" s="78"/>
      <c r="P23" s="78"/>
      <c r="Q23" s="79"/>
      <c r="R23" s="79"/>
      <c r="S23" s="80"/>
      <c r="U23" s="8">
        <f>bdrate($E23:$E26,F23:F26,$M23:$M26,N23:N26)</f>
        <v>-7.2203359749669627E-3</v>
      </c>
      <c r="V23" s="9"/>
      <c r="W23" s="10"/>
      <c r="X23" s="29"/>
      <c r="Y23" s="24"/>
      <c r="Z23" s="24"/>
      <c r="AA23" s="27"/>
    </row>
    <row r="24" spans="1:27" ht="12">
      <c r="A24" s="27"/>
      <c r="B24" s="36"/>
      <c r="C24" s="29"/>
      <c r="D24" s="32">
        <v>39</v>
      </c>
      <c r="E24" s="46">
        <v>31.5184</v>
      </c>
      <c r="F24" s="46">
        <v>33.647500000000001</v>
      </c>
      <c r="G24" s="70">
        <v>98.987799999999993</v>
      </c>
      <c r="H24" s="70">
        <v>98.987799999999993</v>
      </c>
      <c r="I24" s="66"/>
      <c r="J24" s="66"/>
      <c r="K24" s="67"/>
      <c r="L24" s="29"/>
      <c r="M24" s="46">
        <v>31.651199999999999</v>
      </c>
      <c r="N24" s="46">
        <v>33.6721</v>
      </c>
      <c r="O24" s="70">
        <v>98.987799999999993</v>
      </c>
      <c r="P24" s="70">
        <v>98.987799999999993</v>
      </c>
      <c r="Q24" s="66"/>
      <c r="R24" s="66"/>
      <c r="S24" s="67"/>
      <c r="U24" s="41"/>
      <c r="V24" s="42"/>
      <c r="W24" s="43"/>
      <c r="X24" s="29"/>
      <c r="Y24" s="24"/>
      <c r="Z24" s="24"/>
      <c r="AA24" s="27"/>
    </row>
    <row r="25" spans="1:27" ht="12">
      <c r="A25" s="27"/>
      <c r="B25" s="36"/>
      <c r="C25" s="29"/>
      <c r="D25" s="32">
        <v>42</v>
      </c>
      <c r="E25" s="46">
        <v>13.750400000000001</v>
      </c>
      <c r="F25" s="46">
        <v>31.022500000000001</v>
      </c>
      <c r="G25" s="70">
        <v>98.606200000000001</v>
      </c>
      <c r="H25" s="70">
        <v>98.606200000000001</v>
      </c>
      <c r="I25" s="66"/>
      <c r="J25" s="66"/>
      <c r="K25" s="67"/>
      <c r="L25" s="29"/>
      <c r="M25" s="46">
        <v>13.5656</v>
      </c>
      <c r="N25" s="46">
        <v>31.028300000000002</v>
      </c>
      <c r="O25" s="70">
        <v>98.606200000000001</v>
      </c>
      <c r="P25" s="70">
        <v>98.606200000000001</v>
      </c>
      <c r="Q25" s="66"/>
      <c r="R25" s="66"/>
      <c r="S25" s="67"/>
      <c r="U25" s="41"/>
      <c r="V25" s="42"/>
      <c r="W25" s="43"/>
      <c r="X25" s="29"/>
      <c r="Y25" s="24"/>
      <c r="Z25" s="24"/>
      <c r="AA25" s="27"/>
    </row>
    <row r="26" spans="1:27" ht="12.75" thickBot="1">
      <c r="A26" s="27"/>
      <c r="B26" s="36"/>
      <c r="C26" s="29"/>
      <c r="D26" s="32">
        <v>45</v>
      </c>
      <c r="E26" s="46">
        <v>6.3807999999999998</v>
      </c>
      <c r="F26" s="46">
        <v>28.0336</v>
      </c>
      <c r="G26" s="70">
        <v>95.363500000000002</v>
      </c>
      <c r="H26" s="70">
        <v>95.363500000000002</v>
      </c>
      <c r="I26" s="66"/>
      <c r="J26" s="66"/>
      <c r="K26" s="67"/>
      <c r="L26" s="29"/>
      <c r="M26" s="46">
        <v>6.3472</v>
      </c>
      <c r="N26" s="46">
        <v>28.017900000000001</v>
      </c>
      <c r="O26" s="70">
        <v>95.363500000000002</v>
      </c>
      <c r="P26" s="70">
        <v>95.363500000000002</v>
      </c>
      <c r="Q26" s="66"/>
      <c r="R26" s="66"/>
      <c r="S26" s="67"/>
      <c r="U26" s="41"/>
      <c r="V26" s="42"/>
      <c r="W26" s="43"/>
      <c r="X26" s="29"/>
      <c r="Y26" s="24"/>
      <c r="Z26" s="24"/>
      <c r="AA26" s="27"/>
    </row>
    <row r="27" spans="1:27" ht="12">
      <c r="A27" s="27"/>
      <c r="B27" s="36"/>
      <c r="C27" s="28" t="s">
        <v>47</v>
      </c>
      <c r="D27" s="31">
        <v>25</v>
      </c>
      <c r="E27" s="78"/>
      <c r="F27" s="45">
        <v>42.307000000000002</v>
      </c>
      <c r="G27" s="45">
        <v>45.351399999999998</v>
      </c>
      <c r="H27" s="45">
        <v>45.087699999999998</v>
      </c>
      <c r="I27" s="79"/>
      <c r="J27" s="79"/>
      <c r="K27" s="80"/>
      <c r="L27" s="29"/>
      <c r="M27" s="78"/>
      <c r="N27" s="45">
        <v>42.311399999999999</v>
      </c>
      <c r="O27" s="45">
        <v>45.347200000000001</v>
      </c>
      <c r="P27" s="45">
        <v>45.0852</v>
      </c>
      <c r="Q27" s="79"/>
      <c r="R27" s="79"/>
      <c r="S27" s="80"/>
      <c r="U27" s="8"/>
      <c r="V27" s="9"/>
      <c r="W27" s="10"/>
      <c r="X27" s="29"/>
      <c r="Y27" s="24"/>
      <c r="Z27" s="24"/>
      <c r="AA27" s="27"/>
    </row>
    <row r="28" spans="1:27" ht="12">
      <c r="A28" s="27"/>
      <c r="B28" s="36"/>
      <c r="C28" s="29"/>
      <c r="D28" s="32">
        <v>30</v>
      </c>
      <c r="E28" s="70"/>
      <c r="F28" s="46">
        <v>40.101399999999998</v>
      </c>
      <c r="G28" s="46">
        <v>43.715800000000002</v>
      </c>
      <c r="H28" s="46">
        <v>43.137099999999997</v>
      </c>
      <c r="I28" s="66"/>
      <c r="J28" s="66"/>
      <c r="K28" s="67"/>
      <c r="L28" s="29"/>
      <c r="M28" s="70"/>
      <c r="N28" s="46">
        <v>40.107500000000002</v>
      </c>
      <c r="O28" s="46">
        <v>43.718499999999999</v>
      </c>
      <c r="P28" s="46">
        <v>43.138100000000001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</row>
    <row r="29" spans="1:27" ht="12">
      <c r="A29" s="27"/>
      <c r="B29" s="36"/>
      <c r="C29" s="29"/>
      <c r="D29" s="32">
        <v>35</v>
      </c>
      <c r="E29" s="70"/>
      <c r="F29" s="46">
        <v>37.608400000000003</v>
      </c>
      <c r="G29" s="46">
        <v>42.0717</v>
      </c>
      <c r="H29" s="46">
        <v>41.295900000000003</v>
      </c>
      <c r="I29" s="66"/>
      <c r="J29" s="66"/>
      <c r="K29" s="67"/>
      <c r="L29" s="29"/>
      <c r="M29" s="70"/>
      <c r="N29" s="46">
        <v>37.613799999999998</v>
      </c>
      <c r="O29" s="46">
        <v>42.0687</v>
      </c>
      <c r="P29" s="46">
        <v>41.289200000000001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</row>
    <row r="30" spans="1:27" ht="12.75" thickBot="1">
      <c r="A30" s="27"/>
      <c r="B30" s="36"/>
      <c r="C30" s="53"/>
      <c r="D30" s="71">
        <v>40</v>
      </c>
      <c r="E30" s="81"/>
      <c r="F30" s="72">
        <v>34.936900000000001</v>
      </c>
      <c r="G30" s="72">
        <v>40.734099999999998</v>
      </c>
      <c r="H30" s="72">
        <v>39.848300000000002</v>
      </c>
      <c r="I30" s="68"/>
      <c r="J30" s="68"/>
      <c r="K30" s="69"/>
      <c r="L30" s="29"/>
      <c r="M30" s="81"/>
      <c r="N30" s="72">
        <v>34.934600000000003</v>
      </c>
      <c r="O30" s="72">
        <v>40.731699999999996</v>
      </c>
      <c r="P30" s="72">
        <v>39.849899999999998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</row>
    <row r="31" spans="1:27" ht="12">
      <c r="A31" s="27"/>
      <c r="B31" s="36"/>
      <c r="C31" s="29" t="s">
        <v>48</v>
      </c>
      <c r="D31" s="32">
        <v>25</v>
      </c>
      <c r="E31" s="70"/>
      <c r="F31" s="45">
        <v>42.9024</v>
      </c>
      <c r="G31" s="45">
        <v>45.9572</v>
      </c>
      <c r="H31" s="45">
        <v>45.7742</v>
      </c>
      <c r="I31" s="66"/>
      <c r="J31" s="66"/>
      <c r="K31" s="67"/>
      <c r="L31" s="29"/>
      <c r="M31" s="70"/>
      <c r="N31" s="45">
        <v>42.900100000000002</v>
      </c>
      <c r="O31" s="45">
        <v>45.9527</v>
      </c>
      <c r="P31" s="45">
        <v>45.773200000000003</v>
      </c>
      <c r="Q31" s="66"/>
      <c r="R31" s="66"/>
      <c r="S31" s="67"/>
      <c r="U31" s="8"/>
      <c r="V31" s="9"/>
      <c r="W31" s="10"/>
      <c r="X31" s="29"/>
      <c r="Y31" s="24"/>
      <c r="Z31" s="24"/>
      <c r="AA31" s="27"/>
    </row>
    <row r="32" spans="1:27" ht="12">
      <c r="A32" s="27"/>
      <c r="B32" s="36"/>
      <c r="C32" s="29"/>
      <c r="D32" s="32">
        <v>30</v>
      </c>
      <c r="E32" s="70"/>
      <c r="F32" s="46">
        <v>40.6004</v>
      </c>
      <c r="G32" s="46">
        <v>44.206899999999997</v>
      </c>
      <c r="H32" s="46">
        <v>43.694600000000001</v>
      </c>
      <c r="I32" s="66"/>
      <c r="J32" s="66"/>
      <c r="K32" s="67"/>
      <c r="L32" s="29"/>
      <c r="M32" s="70"/>
      <c r="N32" s="46">
        <v>40.605800000000002</v>
      </c>
      <c r="O32" s="46">
        <v>44.2104</v>
      </c>
      <c r="P32" s="46">
        <v>43.697800000000001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</row>
    <row r="33" spans="1:27" ht="12">
      <c r="A33" s="27"/>
      <c r="B33" s="36"/>
      <c r="C33" s="29"/>
      <c r="D33" s="32">
        <v>35</v>
      </c>
      <c r="E33" s="70"/>
      <c r="F33" s="46">
        <v>38.034300000000002</v>
      </c>
      <c r="G33" s="46">
        <v>42.375599999999999</v>
      </c>
      <c r="H33" s="46">
        <v>41.646900000000002</v>
      </c>
      <c r="I33" s="66"/>
      <c r="J33" s="66"/>
      <c r="K33" s="67"/>
      <c r="L33" s="29"/>
      <c r="M33" s="70"/>
      <c r="N33" s="46">
        <v>38.0366</v>
      </c>
      <c r="O33" s="46">
        <v>42.3752</v>
      </c>
      <c r="P33" s="46">
        <v>41.642899999999997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</row>
    <row r="34" spans="1:27" ht="12.75" thickBot="1">
      <c r="A34" s="27"/>
      <c r="B34" s="36"/>
      <c r="C34" s="53"/>
      <c r="D34" s="71">
        <v>40</v>
      </c>
      <c r="E34" s="81"/>
      <c r="F34" s="46">
        <v>35.286799999999999</v>
      </c>
      <c r="G34" s="72">
        <v>40.965899999999998</v>
      </c>
      <c r="H34" s="72">
        <v>40.122700000000002</v>
      </c>
      <c r="I34" s="68"/>
      <c r="J34" s="68"/>
      <c r="K34" s="69"/>
      <c r="L34" s="29"/>
      <c r="M34" s="81"/>
      <c r="N34" s="46">
        <v>35.285400000000003</v>
      </c>
      <c r="O34" s="72">
        <v>40.965000000000003</v>
      </c>
      <c r="P34" s="72">
        <v>40.126600000000003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</row>
    <row r="35" spans="1:27" ht="12">
      <c r="A35" s="27"/>
      <c r="B35" s="36"/>
      <c r="C35" s="29" t="s">
        <v>49</v>
      </c>
      <c r="D35" s="32">
        <v>25</v>
      </c>
      <c r="E35" s="70"/>
      <c r="F35" s="45">
        <v>43.040399999999998</v>
      </c>
      <c r="G35" s="45">
        <v>45.586799999999997</v>
      </c>
      <c r="H35" s="45">
        <v>45.702100000000002</v>
      </c>
      <c r="I35" s="66"/>
      <c r="J35" s="66"/>
      <c r="K35" s="67"/>
      <c r="L35" s="29"/>
      <c r="M35" s="70"/>
      <c r="N35" s="45">
        <v>43.042000000000002</v>
      </c>
      <c r="O35" s="45">
        <v>45.585099999999997</v>
      </c>
      <c r="P35" s="45">
        <v>45.7042</v>
      </c>
      <c r="Q35" s="66"/>
      <c r="R35" s="66"/>
      <c r="S35" s="67"/>
      <c r="U35" s="8"/>
      <c r="V35" s="9"/>
      <c r="W35" s="10"/>
      <c r="X35" s="29"/>
      <c r="Y35" s="24"/>
      <c r="Z35" s="24"/>
      <c r="AA35" s="27"/>
    </row>
    <row r="36" spans="1:27" ht="12">
      <c r="A36" s="27"/>
      <c r="B36" s="36"/>
      <c r="C36" s="29"/>
      <c r="D36" s="32">
        <v>30</v>
      </c>
      <c r="E36" s="70"/>
      <c r="F36" s="46">
        <v>40.886299999999999</v>
      </c>
      <c r="G36" s="46">
        <v>43.9604</v>
      </c>
      <c r="H36" s="46">
        <v>43.708599999999997</v>
      </c>
      <c r="I36" s="66"/>
      <c r="J36" s="66"/>
      <c r="K36" s="67"/>
      <c r="L36" s="29"/>
      <c r="M36" s="70"/>
      <c r="N36" s="46">
        <v>40.884099999999997</v>
      </c>
      <c r="O36" s="46">
        <v>43.962299999999999</v>
      </c>
      <c r="P36" s="46">
        <v>43.706600000000002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</row>
    <row r="37" spans="1:27" ht="12">
      <c r="A37" s="27"/>
      <c r="B37" s="36"/>
      <c r="C37" s="29"/>
      <c r="D37" s="32">
        <v>35</v>
      </c>
      <c r="E37" s="70"/>
      <c r="F37" s="46">
        <v>38.3386</v>
      </c>
      <c r="G37" s="46">
        <v>42.1479</v>
      </c>
      <c r="H37" s="46">
        <v>41.633099999999999</v>
      </c>
      <c r="I37" s="66"/>
      <c r="J37" s="66"/>
      <c r="K37" s="67"/>
      <c r="L37" s="29"/>
      <c r="M37" s="70"/>
      <c r="N37" s="46">
        <v>38.3371</v>
      </c>
      <c r="O37" s="46">
        <v>42.146700000000003</v>
      </c>
      <c r="P37" s="46">
        <v>41.633299999999998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</row>
    <row r="38" spans="1:27" ht="12.75" thickBot="1">
      <c r="A38" s="27"/>
      <c r="B38" s="36"/>
      <c r="C38" s="53"/>
      <c r="D38" s="71">
        <v>40</v>
      </c>
      <c r="E38" s="81"/>
      <c r="F38" s="46">
        <v>35.5642</v>
      </c>
      <c r="G38" s="72">
        <v>40.809699999999999</v>
      </c>
      <c r="H38" s="72">
        <v>40.134599999999999</v>
      </c>
      <c r="I38" s="68"/>
      <c r="J38" s="68"/>
      <c r="K38" s="69"/>
      <c r="L38" s="29"/>
      <c r="M38" s="81"/>
      <c r="N38" s="46">
        <v>35.564100000000003</v>
      </c>
      <c r="O38" s="72">
        <v>40.810400000000001</v>
      </c>
      <c r="P38" s="72">
        <v>40.134700000000002</v>
      </c>
      <c r="Q38" s="68"/>
      <c r="R38" s="68"/>
      <c r="S38" s="69"/>
      <c r="U38" s="17"/>
      <c r="V38" s="18"/>
      <c r="W38" s="19"/>
      <c r="X38" s="29"/>
      <c r="Z38" s="61"/>
      <c r="AA38" s="57"/>
    </row>
    <row r="39" spans="1:27" ht="12">
      <c r="A39" s="27"/>
      <c r="B39" s="36"/>
      <c r="C39" s="29" t="s">
        <v>50</v>
      </c>
      <c r="D39" s="32">
        <v>25</v>
      </c>
      <c r="E39" s="70"/>
      <c r="F39" s="45">
        <v>42.938099999999999</v>
      </c>
      <c r="G39" s="45">
        <v>45.596600000000002</v>
      </c>
      <c r="H39" s="45">
        <v>45.677199999999999</v>
      </c>
      <c r="I39" s="66"/>
      <c r="J39" s="66"/>
      <c r="K39" s="67"/>
      <c r="L39" s="29"/>
      <c r="M39" s="70"/>
      <c r="N39" s="45">
        <v>42.935499999999998</v>
      </c>
      <c r="O39" s="45">
        <v>45.598700000000001</v>
      </c>
      <c r="P39" s="45">
        <v>45.678400000000003</v>
      </c>
      <c r="Q39" s="66"/>
      <c r="R39" s="66"/>
      <c r="S39" s="67"/>
      <c r="U39" s="8"/>
      <c r="V39" s="9"/>
      <c r="W39" s="10"/>
      <c r="X39" s="29"/>
      <c r="Y39" s="24"/>
      <c r="Z39" s="24"/>
      <c r="AA39" s="27"/>
    </row>
    <row r="40" spans="1:27" ht="12">
      <c r="A40" s="27"/>
      <c r="B40" s="36"/>
      <c r="C40" s="29"/>
      <c r="D40" s="32">
        <v>30</v>
      </c>
      <c r="E40" s="70"/>
      <c r="F40" s="46">
        <v>40.787700000000001</v>
      </c>
      <c r="G40" s="46">
        <v>43.964300000000001</v>
      </c>
      <c r="H40" s="46">
        <v>43.680199999999999</v>
      </c>
      <c r="I40" s="66"/>
      <c r="J40" s="66"/>
      <c r="K40" s="67"/>
      <c r="L40" s="29"/>
      <c r="M40" s="70"/>
      <c r="N40" s="46">
        <v>40.788699999999999</v>
      </c>
      <c r="O40" s="46">
        <v>43.966900000000003</v>
      </c>
      <c r="P40" s="46">
        <v>43.679699999999997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</row>
    <row r="41" spans="1:27" ht="12">
      <c r="A41" s="27"/>
      <c r="B41" s="36"/>
      <c r="C41" s="29"/>
      <c r="D41" s="32">
        <v>35</v>
      </c>
      <c r="E41" s="70"/>
      <c r="F41" s="46">
        <v>38.246000000000002</v>
      </c>
      <c r="G41" s="46">
        <v>42.155000000000001</v>
      </c>
      <c r="H41" s="46">
        <v>41.622799999999998</v>
      </c>
      <c r="I41" s="66"/>
      <c r="J41" s="66"/>
      <c r="K41" s="67"/>
      <c r="L41" s="29"/>
      <c r="M41" s="70"/>
      <c r="N41" s="46">
        <v>38.242600000000003</v>
      </c>
      <c r="O41" s="46">
        <v>42.155799999999999</v>
      </c>
      <c r="P41" s="46">
        <v>41.623699999999999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</row>
    <row r="42" spans="1:27" ht="12.75" thickBot="1">
      <c r="A42" s="27"/>
      <c r="B42" s="36"/>
      <c r="C42" s="53"/>
      <c r="D42" s="71">
        <v>40</v>
      </c>
      <c r="E42" s="81"/>
      <c r="F42" s="46">
        <v>35.446399999999997</v>
      </c>
      <c r="G42" s="72">
        <v>40.8093</v>
      </c>
      <c r="H42" s="72">
        <v>40.105499999999999</v>
      </c>
      <c r="I42" s="68"/>
      <c r="J42" s="68"/>
      <c r="K42" s="69"/>
      <c r="L42" s="29"/>
      <c r="M42" s="81"/>
      <c r="N42" s="46">
        <v>35.445700000000002</v>
      </c>
      <c r="O42" s="72">
        <v>40.807299999999998</v>
      </c>
      <c r="P42" s="72">
        <v>40.109200000000001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</row>
    <row r="43" spans="1:27" ht="12">
      <c r="A43" s="27"/>
      <c r="B43" s="36"/>
      <c r="C43" s="29" t="s">
        <v>51</v>
      </c>
      <c r="D43" s="32">
        <v>25</v>
      </c>
      <c r="E43" s="70"/>
      <c r="F43" s="45">
        <v>42.757300000000001</v>
      </c>
      <c r="G43" s="45">
        <v>45.884900000000002</v>
      </c>
      <c r="H43" s="45">
        <v>45.659599999999998</v>
      </c>
      <c r="I43" s="66"/>
      <c r="J43" s="66"/>
      <c r="K43" s="67"/>
      <c r="L43" s="29"/>
      <c r="M43" s="70"/>
      <c r="N43" s="45">
        <v>42.752899999999997</v>
      </c>
      <c r="O43" s="45">
        <v>45.890099999999997</v>
      </c>
      <c r="P43" s="45">
        <v>45.677700000000002</v>
      </c>
      <c r="Q43" s="66"/>
      <c r="R43" s="66"/>
      <c r="S43" s="67"/>
      <c r="U43" s="8"/>
      <c r="V43" s="9"/>
      <c r="W43" s="10"/>
      <c r="X43" s="29"/>
      <c r="Y43" s="24"/>
      <c r="Z43" s="24"/>
      <c r="AA43" s="27"/>
    </row>
    <row r="44" spans="1:27" ht="12">
      <c r="A44" s="27"/>
      <c r="B44" s="36"/>
      <c r="C44" s="29"/>
      <c r="D44" s="32">
        <v>30</v>
      </c>
      <c r="E44" s="70"/>
      <c r="F44" s="46">
        <v>40.498800000000003</v>
      </c>
      <c r="G44" s="46">
        <v>44.133899999999997</v>
      </c>
      <c r="H44" s="46">
        <v>43.554499999999997</v>
      </c>
      <c r="I44" s="66"/>
      <c r="J44" s="66"/>
      <c r="K44" s="67"/>
      <c r="L44" s="29"/>
      <c r="M44" s="70"/>
      <c r="N44" s="46">
        <v>40.495100000000001</v>
      </c>
      <c r="O44" s="46">
        <v>44.125900000000001</v>
      </c>
      <c r="P44" s="46">
        <v>43.550800000000002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</row>
    <row r="45" spans="1:27" ht="12">
      <c r="A45" s="27"/>
      <c r="B45" s="36"/>
      <c r="C45" s="29"/>
      <c r="D45" s="32">
        <v>35</v>
      </c>
      <c r="E45" s="70"/>
      <c r="F45" s="46">
        <v>37.938699999999997</v>
      </c>
      <c r="G45" s="46">
        <v>42.318600000000004</v>
      </c>
      <c r="H45" s="46">
        <v>41.5501</v>
      </c>
      <c r="I45" s="66"/>
      <c r="J45" s="66"/>
      <c r="K45" s="67"/>
      <c r="L45" s="29"/>
      <c r="M45" s="70"/>
      <c r="N45" s="46">
        <v>37.938000000000002</v>
      </c>
      <c r="O45" s="46">
        <v>42.315399999999997</v>
      </c>
      <c r="P45" s="46">
        <v>41.548099999999998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</row>
    <row r="46" spans="1:27" ht="12.75" thickBot="1">
      <c r="A46" s="27"/>
      <c r="B46" s="36"/>
      <c r="C46" s="53"/>
      <c r="D46" s="71">
        <v>40</v>
      </c>
      <c r="E46" s="81"/>
      <c r="F46" s="72">
        <v>35.151299999999999</v>
      </c>
      <c r="G46" s="72">
        <v>40.927999999999997</v>
      </c>
      <c r="H46" s="72">
        <v>39.993400000000001</v>
      </c>
      <c r="I46" s="68"/>
      <c r="J46" s="68"/>
      <c r="K46" s="69"/>
      <c r="L46" s="29"/>
      <c r="M46" s="81"/>
      <c r="N46" s="72">
        <v>35.148699999999998</v>
      </c>
      <c r="O46" s="72">
        <v>40.924100000000003</v>
      </c>
      <c r="P46" s="72">
        <v>39.999499999999998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</row>
    <row r="47" spans="1:27" ht="12">
      <c r="A47" s="27"/>
      <c r="B47" s="36"/>
      <c r="C47" s="29" t="s">
        <v>52</v>
      </c>
      <c r="D47" s="32">
        <v>25</v>
      </c>
      <c r="E47" s="70"/>
      <c r="F47" s="45">
        <v>42.107599999999998</v>
      </c>
      <c r="G47" s="45">
        <v>45.142400000000002</v>
      </c>
      <c r="H47" s="45">
        <v>44.8934</v>
      </c>
      <c r="I47" s="66"/>
      <c r="J47" s="66"/>
      <c r="K47" s="67"/>
      <c r="L47" s="29"/>
      <c r="M47" s="70"/>
      <c r="N47" s="45">
        <v>42.109699999999997</v>
      </c>
      <c r="O47" s="45">
        <v>45.146999999999998</v>
      </c>
      <c r="P47" s="45">
        <v>44.9116</v>
      </c>
      <c r="Q47" s="66"/>
      <c r="R47" s="66"/>
      <c r="S47" s="67"/>
      <c r="U47" s="8"/>
      <c r="V47" s="9"/>
      <c r="W47" s="10"/>
      <c r="X47" s="29"/>
      <c r="Y47" s="24"/>
      <c r="Z47" s="24"/>
      <c r="AA47" s="27"/>
    </row>
    <row r="48" spans="1:27" ht="12">
      <c r="A48" s="27"/>
      <c r="B48" s="36"/>
      <c r="C48" s="29"/>
      <c r="D48" s="32">
        <v>30</v>
      </c>
      <c r="E48" s="70"/>
      <c r="F48" s="46">
        <v>39.962400000000002</v>
      </c>
      <c r="G48" s="46">
        <v>43.477600000000002</v>
      </c>
      <c r="H48" s="46">
        <v>42.927799999999998</v>
      </c>
      <c r="I48" s="66"/>
      <c r="J48" s="66"/>
      <c r="K48" s="67"/>
      <c r="L48" s="29"/>
      <c r="M48" s="70"/>
      <c r="N48" s="46">
        <v>39.960999999999999</v>
      </c>
      <c r="O48" s="46">
        <v>43.4602</v>
      </c>
      <c r="P48" s="46">
        <v>42.929099999999998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</row>
    <row r="49" spans="1:27" ht="12">
      <c r="A49" s="27"/>
      <c r="B49" s="36"/>
      <c r="C49" s="29"/>
      <c r="D49" s="32">
        <v>35</v>
      </c>
      <c r="E49" s="70"/>
      <c r="F49" s="46">
        <v>37.4925</v>
      </c>
      <c r="G49" s="46">
        <v>41.866900000000001</v>
      </c>
      <c r="H49" s="46">
        <v>41.133800000000001</v>
      </c>
      <c r="I49" s="66"/>
      <c r="J49" s="66"/>
      <c r="K49" s="67"/>
      <c r="L49" s="29"/>
      <c r="M49" s="70"/>
      <c r="N49" s="46">
        <v>37.491</v>
      </c>
      <c r="O49" s="46">
        <v>41.865099999999998</v>
      </c>
      <c r="P49" s="46">
        <v>41.134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</row>
    <row r="50" spans="1:27" ht="12.75" thickBot="1">
      <c r="A50" s="27"/>
      <c r="B50" s="36"/>
      <c r="C50" s="53"/>
      <c r="D50" s="71">
        <v>40</v>
      </c>
      <c r="E50" s="81"/>
      <c r="F50" s="72">
        <v>34.785600000000002</v>
      </c>
      <c r="G50" s="72">
        <v>40.575299999999999</v>
      </c>
      <c r="H50" s="72">
        <v>39.6541</v>
      </c>
      <c r="I50" s="68"/>
      <c r="J50" s="68"/>
      <c r="K50" s="69"/>
      <c r="L50" s="29"/>
      <c r="M50" s="81"/>
      <c r="N50" s="72">
        <v>34.778799999999997</v>
      </c>
      <c r="O50" s="72">
        <v>40.572400000000002</v>
      </c>
      <c r="P50" s="72">
        <v>39.664400000000001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</row>
    <row r="51" spans="1:27" ht="12">
      <c r="A51" s="27"/>
      <c r="B51" s="36"/>
      <c r="C51" s="29" t="s">
        <v>12</v>
      </c>
      <c r="D51" s="32">
        <v>25</v>
      </c>
      <c r="E51" s="45">
        <v>1775.9896000000001</v>
      </c>
      <c r="F51" s="70"/>
      <c r="G51" s="70"/>
      <c r="H51" s="70"/>
      <c r="I51" s="45">
        <v>23836.45</v>
      </c>
      <c r="J51" s="45">
        <v>40.130000000000003</v>
      </c>
      <c r="K51" s="45">
        <v>333.03</v>
      </c>
      <c r="L51" s="29"/>
      <c r="M51" s="45">
        <v>1776.6687999999999</v>
      </c>
      <c r="N51" s="70"/>
      <c r="O51" s="70"/>
      <c r="P51" s="70"/>
      <c r="Q51" s="45">
        <v>23742.799999999999</v>
      </c>
      <c r="R51" s="45">
        <v>37.770000000000003</v>
      </c>
      <c r="S51" s="45">
        <v>314.62</v>
      </c>
      <c r="U51" s="8"/>
      <c r="V51" s="9"/>
      <c r="W51" s="10"/>
      <c r="X51" s="29"/>
      <c r="Y51" s="61">
        <f>GEOMEAN(Q51:Q54)/GEOMEAN(I51:I54)</f>
        <v>0.99876569372536583</v>
      </c>
      <c r="Z51" s="61">
        <f>GEOMEAN(R51:R54)/GEOMEAN(J51:J54)</f>
        <v>0.95636408167397724</v>
      </c>
      <c r="AA51" s="57">
        <f>GEOMEAN(S51:S54)/GEOMEAN(K51:K54)</f>
        <v>0.97426309758965246</v>
      </c>
    </row>
    <row r="52" spans="1:27" ht="12">
      <c r="A52" s="27"/>
      <c r="B52" s="36"/>
      <c r="C52" s="29"/>
      <c r="D52" s="32">
        <v>30</v>
      </c>
      <c r="E52" s="46">
        <v>862.55280000000005</v>
      </c>
      <c r="F52" s="70"/>
      <c r="G52" s="70"/>
      <c r="H52" s="70"/>
      <c r="I52" s="46">
        <v>18349.02</v>
      </c>
      <c r="J52" s="46">
        <v>35.71</v>
      </c>
      <c r="K52" s="46">
        <v>334.35</v>
      </c>
      <c r="L52" s="29"/>
      <c r="M52" s="46">
        <v>862.50319999999999</v>
      </c>
      <c r="N52" s="70"/>
      <c r="O52" s="70"/>
      <c r="P52" s="70"/>
      <c r="Q52" s="46">
        <v>18286.189999999999</v>
      </c>
      <c r="R52" s="46">
        <v>35.36</v>
      </c>
      <c r="S52" s="46">
        <v>330.05</v>
      </c>
      <c r="U52" s="41"/>
      <c r="V52" s="42"/>
      <c r="W52" s="43"/>
      <c r="X52" s="29"/>
      <c r="Y52" s="24"/>
      <c r="Z52" s="24"/>
      <c r="AA52" s="27"/>
    </row>
    <row r="53" spans="1:27" ht="12">
      <c r="A53" s="27"/>
      <c r="B53" s="36"/>
      <c r="C53" s="29"/>
      <c r="D53" s="32">
        <v>35</v>
      </c>
      <c r="E53" s="46">
        <v>474.916</v>
      </c>
      <c r="F53" s="70"/>
      <c r="G53" s="70"/>
      <c r="H53" s="70"/>
      <c r="I53" s="46">
        <v>15464.9</v>
      </c>
      <c r="J53" s="46">
        <v>34.520000000000003</v>
      </c>
      <c r="K53" s="46">
        <v>333.1</v>
      </c>
      <c r="L53" s="29"/>
      <c r="M53" s="46">
        <v>474.74</v>
      </c>
      <c r="N53" s="70"/>
      <c r="O53" s="70"/>
      <c r="P53" s="70"/>
      <c r="Q53" s="46">
        <v>15470.66</v>
      </c>
      <c r="R53" s="46">
        <v>32.340000000000003</v>
      </c>
      <c r="S53" s="46">
        <v>327.88</v>
      </c>
      <c r="U53" s="17"/>
      <c r="V53" s="18"/>
      <c r="W53" s="19"/>
      <c r="X53" s="29"/>
      <c r="Y53" s="24"/>
      <c r="Z53" s="24"/>
      <c r="AA53" s="27"/>
    </row>
    <row r="54" spans="1:27" ht="12.75" thickBot="1">
      <c r="A54" s="27"/>
      <c r="B54" s="52"/>
      <c r="C54" s="53"/>
      <c r="D54" s="71">
        <v>40</v>
      </c>
      <c r="E54" s="72">
        <v>275.05200000000002</v>
      </c>
      <c r="F54" s="81"/>
      <c r="G54" s="81"/>
      <c r="H54" s="81"/>
      <c r="I54" s="72">
        <v>13579.23</v>
      </c>
      <c r="J54" s="72">
        <v>32.479999999999997</v>
      </c>
      <c r="K54" s="72">
        <v>333.23</v>
      </c>
      <c r="L54" s="29"/>
      <c r="M54" s="72">
        <v>274.97120000000001</v>
      </c>
      <c r="N54" s="81"/>
      <c r="O54" s="81"/>
      <c r="P54" s="81"/>
      <c r="Q54" s="72">
        <v>13607.15</v>
      </c>
      <c r="R54" s="72">
        <v>31.12</v>
      </c>
      <c r="S54" s="72">
        <v>327.06</v>
      </c>
      <c r="U54" s="85"/>
      <c r="V54" s="86"/>
      <c r="W54" s="87"/>
      <c r="X54" s="29"/>
      <c r="Y54" s="49"/>
      <c r="Z54" s="49"/>
      <c r="AA54" s="54"/>
    </row>
    <row r="55" spans="1:27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846.96159999999998</v>
      </c>
      <c r="F55" s="45">
        <v>43.607599999999998</v>
      </c>
      <c r="G55" s="45">
        <v>44.950299999999999</v>
      </c>
      <c r="H55" s="45">
        <v>44.938099999999999</v>
      </c>
      <c r="I55" s="79"/>
      <c r="J55" s="79"/>
      <c r="K55" s="80"/>
      <c r="L55" s="29"/>
      <c r="M55" s="45">
        <v>846.96159999999998</v>
      </c>
      <c r="N55" s="45">
        <v>43.607599999999998</v>
      </c>
      <c r="O55" s="45">
        <v>44.950299999999999</v>
      </c>
      <c r="P55" s="45">
        <v>44.938099999999999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">
      <c r="A56" s="27"/>
      <c r="B56" s="36"/>
      <c r="C56" s="29"/>
      <c r="D56" s="32">
        <v>30</v>
      </c>
      <c r="E56" s="46">
        <v>451.1968</v>
      </c>
      <c r="F56" s="46">
        <v>41.433900000000001</v>
      </c>
      <c r="G56" s="46">
        <v>44.112499999999997</v>
      </c>
      <c r="H56" s="46">
        <v>43.444800000000001</v>
      </c>
      <c r="I56" s="66"/>
      <c r="J56" s="66"/>
      <c r="K56" s="67"/>
      <c r="L56" s="29"/>
      <c r="M56" s="46">
        <v>451.1968</v>
      </c>
      <c r="N56" s="46">
        <v>41.433900000000001</v>
      </c>
      <c r="O56" s="46">
        <v>44.112499999999997</v>
      </c>
      <c r="P56" s="46">
        <v>43.444800000000001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</row>
    <row r="57" spans="1:27" ht="12">
      <c r="A57" s="27"/>
      <c r="B57" s="36"/>
      <c r="C57" s="29"/>
      <c r="D57" s="32">
        <v>35</v>
      </c>
      <c r="E57" s="46">
        <v>256.40719999999999</v>
      </c>
      <c r="F57" s="46">
        <v>38.949399999999997</v>
      </c>
      <c r="G57" s="46">
        <v>43.064399999999999</v>
      </c>
      <c r="H57" s="46">
        <v>41.783700000000003</v>
      </c>
      <c r="I57" s="66"/>
      <c r="J57" s="66"/>
      <c r="K57" s="67"/>
      <c r="L57" s="29"/>
      <c r="M57" s="46">
        <v>256.40719999999999</v>
      </c>
      <c r="N57" s="46">
        <v>38.949399999999997</v>
      </c>
      <c r="O57" s="46">
        <v>43.064399999999999</v>
      </c>
      <c r="P57" s="46">
        <v>41.783700000000003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</row>
    <row r="58" spans="1:27" ht="12.75" thickBot="1">
      <c r="A58" s="27"/>
      <c r="B58" s="36"/>
      <c r="C58" s="29"/>
      <c r="D58" s="32">
        <v>40</v>
      </c>
      <c r="E58" s="46">
        <v>153.80959999999999</v>
      </c>
      <c r="F58" s="46">
        <v>36.318199999999997</v>
      </c>
      <c r="G58" s="46">
        <v>42.2562</v>
      </c>
      <c r="H58" s="46">
        <v>40.442300000000003</v>
      </c>
      <c r="I58" s="66"/>
      <c r="J58" s="66"/>
      <c r="K58" s="67"/>
      <c r="L58" s="29"/>
      <c r="M58" s="46">
        <v>153.80959999999999</v>
      </c>
      <c r="N58" s="46">
        <v>36.318199999999997</v>
      </c>
      <c r="O58" s="46">
        <v>42.2562</v>
      </c>
      <c r="P58" s="46">
        <v>40.442300000000003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</row>
    <row r="59" spans="1:27" ht="12">
      <c r="A59" s="27"/>
      <c r="B59" s="36"/>
      <c r="C59" s="28" t="s">
        <v>27</v>
      </c>
      <c r="D59" s="31">
        <v>25</v>
      </c>
      <c r="E59" s="45">
        <v>280.63279999999997</v>
      </c>
      <c r="F59" s="45">
        <v>42.697899999999997</v>
      </c>
      <c r="G59" s="45">
        <v>44.738</v>
      </c>
      <c r="H59" s="45">
        <v>44.167499999999997</v>
      </c>
      <c r="I59" s="79"/>
      <c r="J59" s="79"/>
      <c r="K59" s="80"/>
      <c r="L59" s="29"/>
      <c r="M59" s="45">
        <v>280.53919999999999</v>
      </c>
      <c r="N59" s="45">
        <v>42.696300000000001</v>
      </c>
      <c r="O59" s="45">
        <v>44.738199999999999</v>
      </c>
      <c r="P59" s="45">
        <v>44.162300000000002</v>
      </c>
      <c r="Q59" s="79"/>
      <c r="R59" s="79"/>
      <c r="S59" s="80"/>
      <c r="U59" s="8">
        <f>bdrate($E59:$E62,F59:F62,$M59:$M62,N59:N62)</f>
        <v>-1.8257347314121208E-4</v>
      </c>
      <c r="V59" s="9">
        <f>bdrate($E59:$E62,G59:G62,$M59:$M62,O59:O62)</f>
        <v>-1.8772333804911723E-3</v>
      </c>
      <c r="W59" s="10">
        <f>bdrate($E59:$E62,H59:H62,$M59:$M62,P59:P62)</f>
        <v>-5.1507236549230839E-6</v>
      </c>
      <c r="X59" s="29"/>
      <c r="Y59" s="24"/>
      <c r="Z59" s="24"/>
      <c r="AA59" s="27"/>
    </row>
    <row r="60" spans="1:27" ht="12">
      <c r="A60" s="27"/>
      <c r="B60" s="36"/>
      <c r="C60" s="29"/>
      <c r="D60" s="32">
        <v>30</v>
      </c>
      <c r="E60" s="46">
        <v>127.72799999999999</v>
      </c>
      <c r="F60" s="46">
        <v>40.3703</v>
      </c>
      <c r="G60" s="46">
        <v>43.7943</v>
      </c>
      <c r="H60" s="46">
        <v>42.6571</v>
      </c>
      <c r="I60" s="66"/>
      <c r="J60" s="66"/>
      <c r="K60" s="67"/>
      <c r="L60" s="29"/>
      <c r="M60" s="46">
        <v>127.5304</v>
      </c>
      <c r="N60" s="46">
        <v>40.369999999999997</v>
      </c>
      <c r="O60" s="46">
        <v>43.796199999999999</v>
      </c>
      <c r="P60" s="46">
        <v>42.656700000000001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</row>
    <row r="61" spans="1:27" ht="12">
      <c r="A61" s="27"/>
      <c r="B61" s="36"/>
      <c r="C61" s="29"/>
      <c r="D61" s="32">
        <v>35</v>
      </c>
      <c r="E61" s="46">
        <v>68.027199999999993</v>
      </c>
      <c r="F61" s="46">
        <v>37.933500000000002</v>
      </c>
      <c r="G61" s="46">
        <v>42.894300000000001</v>
      </c>
      <c r="H61" s="46">
        <v>41.295000000000002</v>
      </c>
      <c r="I61" s="66"/>
      <c r="J61" s="66"/>
      <c r="K61" s="67"/>
      <c r="L61" s="29"/>
      <c r="M61" s="46">
        <v>68.14</v>
      </c>
      <c r="N61" s="46">
        <v>37.935600000000001</v>
      </c>
      <c r="O61" s="46">
        <v>42.899500000000003</v>
      </c>
      <c r="P61" s="46">
        <v>41.297800000000002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</row>
    <row r="62" spans="1:27" ht="12.75" thickBot="1">
      <c r="A62" s="27"/>
      <c r="B62" s="36"/>
      <c r="C62" s="29"/>
      <c r="D62" s="32">
        <v>40</v>
      </c>
      <c r="E62" s="46">
        <v>37.648800000000001</v>
      </c>
      <c r="F62" s="46">
        <v>35.372</v>
      </c>
      <c r="G62" s="46">
        <v>41.985700000000001</v>
      </c>
      <c r="H62" s="46">
        <v>39.990600000000001</v>
      </c>
      <c r="I62" s="66"/>
      <c r="J62" s="66"/>
      <c r="K62" s="67"/>
      <c r="L62" s="29"/>
      <c r="M62" s="46">
        <v>37.614400000000003</v>
      </c>
      <c r="N62" s="46">
        <v>35.372599999999998</v>
      </c>
      <c r="O62" s="46">
        <v>41.984299999999998</v>
      </c>
      <c r="P62" s="46">
        <v>39.9876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</row>
    <row r="63" spans="1:27" ht="12">
      <c r="A63" s="27"/>
      <c r="B63" s="36"/>
      <c r="C63" s="28" t="s">
        <v>28</v>
      </c>
      <c r="D63" s="31">
        <v>25</v>
      </c>
      <c r="E63" s="45">
        <v>297.64640000000003</v>
      </c>
      <c r="F63" s="45">
        <v>42.334299999999999</v>
      </c>
      <c r="G63" s="45">
        <v>43.950200000000002</v>
      </c>
      <c r="H63" s="45">
        <v>43.905999999999999</v>
      </c>
      <c r="I63" s="79"/>
      <c r="J63" s="79"/>
      <c r="K63" s="80"/>
      <c r="L63" s="29"/>
      <c r="M63" s="45">
        <v>297.83760000000001</v>
      </c>
      <c r="N63" s="45">
        <v>42.335500000000003</v>
      </c>
      <c r="O63" s="45">
        <v>43.945599999999999</v>
      </c>
      <c r="P63" s="45">
        <v>43.906799999999997</v>
      </c>
      <c r="Q63" s="79"/>
      <c r="R63" s="79"/>
      <c r="S63" s="80"/>
      <c r="U63" s="8">
        <f>bdrate($E63:$E66,F63:F66,$M63:$M66,N63:N66)</f>
        <v>1.4246866320217766E-3</v>
      </c>
      <c r="V63" s="9">
        <f>bdrate($E63:$E66,G63:G66,$M63:$M66,O63:O66)</f>
        <v>3.8902773822038217E-3</v>
      </c>
      <c r="W63" s="10">
        <f>bdrate($E63:$E66,H63:H66,$M63:$M66,P63:P66)</f>
        <v>1.1431220923689978E-3</v>
      </c>
      <c r="X63" s="29"/>
      <c r="Y63" s="24"/>
      <c r="Z63" s="24"/>
      <c r="AA63" s="27"/>
    </row>
    <row r="64" spans="1:27" ht="12">
      <c r="A64" s="27"/>
      <c r="B64" s="36"/>
      <c r="C64" s="29"/>
      <c r="D64" s="32">
        <v>30</v>
      </c>
      <c r="E64" s="46">
        <v>133.76</v>
      </c>
      <c r="F64" s="46">
        <v>40.120199999999997</v>
      </c>
      <c r="G64" s="46">
        <v>42.961399999999998</v>
      </c>
      <c r="H64" s="46">
        <v>42.450699999999998</v>
      </c>
      <c r="I64" s="66"/>
      <c r="J64" s="66"/>
      <c r="K64" s="67"/>
      <c r="L64" s="29"/>
      <c r="M64" s="46">
        <v>133.99279999999999</v>
      </c>
      <c r="N64" s="46">
        <v>40.123100000000001</v>
      </c>
      <c r="O64" s="46">
        <v>42.956699999999998</v>
      </c>
      <c r="P64" s="46">
        <v>42.449599999999997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</row>
    <row r="65" spans="1:27" ht="12">
      <c r="A65" s="27"/>
      <c r="B65" s="36"/>
      <c r="C65" s="29"/>
      <c r="D65" s="32">
        <v>35</v>
      </c>
      <c r="E65" s="46">
        <v>70.811199999999999</v>
      </c>
      <c r="F65" s="46">
        <v>37.741199999999999</v>
      </c>
      <c r="G65" s="46">
        <v>42.160800000000002</v>
      </c>
      <c r="H65" s="46">
        <v>41.191200000000002</v>
      </c>
      <c r="I65" s="66"/>
      <c r="J65" s="66"/>
      <c r="K65" s="67"/>
      <c r="L65" s="29"/>
      <c r="M65" s="46">
        <v>71.043999999999997</v>
      </c>
      <c r="N65" s="46">
        <v>37.741799999999998</v>
      </c>
      <c r="O65" s="46">
        <v>42.158900000000003</v>
      </c>
      <c r="P65" s="46">
        <v>41.1982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</row>
    <row r="66" spans="1:27" ht="12.75" thickBot="1">
      <c r="A66" s="27"/>
      <c r="B66" s="36"/>
      <c r="C66" s="53"/>
      <c r="D66" s="71">
        <v>40</v>
      </c>
      <c r="E66" s="72">
        <v>38.819200000000002</v>
      </c>
      <c r="F66" s="72">
        <v>35.233600000000003</v>
      </c>
      <c r="G66" s="72">
        <v>41.432299999999998</v>
      </c>
      <c r="H66" s="72">
        <v>39.954500000000003</v>
      </c>
      <c r="I66" s="68"/>
      <c r="J66" s="68"/>
      <c r="K66" s="69"/>
      <c r="L66" s="29"/>
      <c r="M66" s="72">
        <v>38.776800000000001</v>
      </c>
      <c r="N66" s="72">
        <v>35.2331</v>
      </c>
      <c r="O66" s="72">
        <v>41.438299999999998</v>
      </c>
      <c r="P66" s="72">
        <v>39.947600000000001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</row>
    <row r="67" spans="1:27" ht="12">
      <c r="A67" s="27"/>
      <c r="B67" s="36"/>
      <c r="C67" s="28" t="s">
        <v>29</v>
      </c>
      <c r="D67" s="31">
        <v>34</v>
      </c>
      <c r="E67" s="45">
        <v>140.7328</v>
      </c>
      <c r="F67" s="45">
        <v>39.341299999999997</v>
      </c>
      <c r="G67" s="78"/>
      <c r="H67" s="78"/>
      <c r="I67" s="79"/>
      <c r="J67" s="79"/>
      <c r="K67" s="80"/>
      <c r="L67" s="29"/>
      <c r="M67" s="45">
        <v>140.7328</v>
      </c>
      <c r="N67" s="45">
        <v>39.341299999999997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">
      <c r="A68" s="27"/>
      <c r="B68" s="36"/>
      <c r="C68" s="29"/>
      <c r="D68" s="32">
        <v>39</v>
      </c>
      <c r="E68" s="46">
        <v>50.960799999999999</v>
      </c>
      <c r="F68" s="46">
        <v>35.051699999999997</v>
      </c>
      <c r="G68" s="70"/>
      <c r="H68" s="70"/>
      <c r="I68" s="66"/>
      <c r="J68" s="66"/>
      <c r="K68" s="67"/>
      <c r="L68" s="29"/>
      <c r="M68" s="46">
        <v>50.960799999999999</v>
      </c>
      <c r="N68" s="46">
        <v>35.051699999999997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</row>
    <row r="69" spans="1:27" ht="12">
      <c r="A69" s="27"/>
      <c r="B69" s="36"/>
      <c r="C69" s="29"/>
      <c r="D69" s="32">
        <v>42</v>
      </c>
      <c r="E69" s="46">
        <v>22.863199999999999</v>
      </c>
      <c r="F69" s="46">
        <v>32.021000000000001</v>
      </c>
      <c r="G69" s="70"/>
      <c r="H69" s="70"/>
      <c r="I69" s="66"/>
      <c r="J69" s="66"/>
      <c r="K69" s="67"/>
      <c r="L69" s="29"/>
      <c r="M69" s="46">
        <v>22.863199999999999</v>
      </c>
      <c r="N69" s="46">
        <v>32.021000000000001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</row>
    <row r="70" spans="1:27" ht="12.75" thickBot="1">
      <c r="A70" s="27"/>
      <c r="B70" s="36"/>
      <c r="C70" s="29"/>
      <c r="D70" s="32">
        <v>45</v>
      </c>
      <c r="E70" s="46">
        <v>10.9536</v>
      </c>
      <c r="F70" s="46">
        <v>29.4193</v>
      </c>
      <c r="G70" s="70"/>
      <c r="H70" s="70"/>
      <c r="I70" s="66"/>
      <c r="J70" s="66"/>
      <c r="K70" s="67"/>
      <c r="L70" s="29"/>
      <c r="M70" s="46">
        <v>10.9536</v>
      </c>
      <c r="N70" s="46">
        <v>29.4193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</row>
    <row r="71" spans="1:27" ht="12">
      <c r="A71" s="27"/>
      <c r="B71" s="36"/>
      <c r="C71" s="28" t="s">
        <v>30</v>
      </c>
      <c r="D71" s="31">
        <v>34</v>
      </c>
      <c r="E71" s="45">
        <v>112.55200000000001</v>
      </c>
      <c r="F71" s="45">
        <v>36.331000000000003</v>
      </c>
      <c r="G71" s="78"/>
      <c r="H71" s="78"/>
      <c r="I71" s="79"/>
      <c r="J71" s="79"/>
      <c r="K71" s="80"/>
      <c r="L71" s="29"/>
      <c r="M71" s="45">
        <v>113.1512</v>
      </c>
      <c r="N71" s="45">
        <v>36.3416</v>
      </c>
      <c r="O71" s="78"/>
      <c r="P71" s="78"/>
      <c r="Q71" s="79"/>
      <c r="R71" s="79"/>
      <c r="S71" s="80"/>
      <c r="U71" s="8">
        <f>bdrate($E71:$E74,F71:F74,$M71:$M74,N71:N74)</f>
        <v>-6.3197095557245841E-3</v>
      </c>
      <c r="V71" s="9"/>
      <c r="W71" s="10"/>
      <c r="X71" s="29"/>
      <c r="Y71" s="24"/>
      <c r="Z71" s="24"/>
      <c r="AA71" s="27"/>
    </row>
    <row r="72" spans="1:27" ht="12">
      <c r="A72" s="27"/>
      <c r="B72" s="36"/>
      <c r="C72" s="29"/>
      <c r="D72" s="32">
        <v>39</v>
      </c>
      <c r="E72" s="46">
        <v>38.367199999999997</v>
      </c>
      <c r="F72" s="46">
        <v>32.167700000000004</v>
      </c>
      <c r="G72" s="70"/>
      <c r="H72" s="70"/>
      <c r="I72" s="66"/>
      <c r="J72" s="66"/>
      <c r="K72" s="67"/>
      <c r="L72" s="29"/>
      <c r="M72" s="46">
        <v>38.18</v>
      </c>
      <c r="N72" s="46">
        <v>32.186500000000002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</row>
    <row r="73" spans="1:27" ht="12">
      <c r="A73" s="27"/>
      <c r="B73" s="36"/>
      <c r="C73" s="29"/>
      <c r="D73" s="32">
        <v>42</v>
      </c>
      <c r="E73" s="46">
        <v>16.776</v>
      </c>
      <c r="F73" s="46">
        <v>29.352399999999999</v>
      </c>
      <c r="G73" s="70">
        <v>96.6096</v>
      </c>
      <c r="H73" s="70">
        <v>96.6096</v>
      </c>
      <c r="I73" s="66"/>
      <c r="J73" s="66"/>
      <c r="K73" s="67"/>
      <c r="L73" s="29"/>
      <c r="M73" s="46">
        <v>16.585599999999999</v>
      </c>
      <c r="N73" s="46">
        <v>29.342500000000001</v>
      </c>
      <c r="O73" s="70">
        <v>96.6096</v>
      </c>
      <c r="P73" s="70">
        <v>96.6096</v>
      </c>
      <c r="Q73" s="66"/>
      <c r="R73" s="66"/>
      <c r="S73" s="67"/>
      <c r="U73" s="12"/>
      <c r="V73" s="13"/>
      <c r="W73" s="14"/>
      <c r="X73" s="29"/>
      <c r="Y73" s="24"/>
      <c r="Z73" s="24"/>
      <c r="AA73" s="27"/>
    </row>
    <row r="74" spans="1:27" ht="12.75" thickBot="1">
      <c r="A74" s="27"/>
      <c r="B74" s="36"/>
      <c r="C74" s="29"/>
      <c r="D74" s="32">
        <v>45</v>
      </c>
      <c r="E74" s="46">
        <v>7.7111999999999998</v>
      </c>
      <c r="F74" s="46">
        <v>26.730499999999999</v>
      </c>
      <c r="G74" s="70"/>
      <c r="H74" s="70"/>
      <c r="I74" s="66"/>
      <c r="J74" s="66"/>
      <c r="K74" s="67"/>
      <c r="L74" s="29"/>
      <c r="M74" s="46">
        <v>7.7759999999999998</v>
      </c>
      <c r="N74" s="46">
        <v>26.753599999999999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</row>
    <row r="75" spans="1:27" ht="12">
      <c r="A75" s="27"/>
      <c r="B75" s="36"/>
      <c r="C75" s="28" t="s">
        <v>31</v>
      </c>
      <c r="D75" s="31">
        <v>34</v>
      </c>
      <c r="E75" s="45">
        <v>130.4984</v>
      </c>
      <c r="F75" s="45">
        <v>35.499400000000001</v>
      </c>
      <c r="G75" s="78"/>
      <c r="H75" s="78"/>
      <c r="I75" s="79"/>
      <c r="J75" s="79"/>
      <c r="K75" s="80"/>
      <c r="L75" s="29"/>
      <c r="M75" s="45">
        <v>130.63040000000001</v>
      </c>
      <c r="N75" s="45">
        <v>35.496699999999997</v>
      </c>
      <c r="O75" s="78"/>
      <c r="P75" s="78"/>
      <c r="Q75" s="79"/>
      <c r="R75" s="79"/>
      <c r="S75" s="80"/>
      <c r="U75" s="8">
        <f>bdrate($E75:$E78,F75:F78,$M75:$M78,N75:N78)</f>
        <v>3.1056860533840158E-3</v>
      </c>
      <c r="V75" s="9"/>
      <c r="W75" s="10"/>
      <c r="X75" s="29"/>
      <c r="Y75" s="24"/>
      <c r="Z75" s="24"/>
      <c r="AA75" s="27"/>
    </row>
    <row r="76" spans="1:27" ht="12">
      <c r="A76" s="27"/>
      <c r="B76" s="36"/>
      <c r="C76" s="29"/>
      <c r="D76" s="32">
        <v>39</v>
      </c>
      <c r="E76" s="46">
        <v>43.458399999999997</v>
      </c>
      <c r="F76" s="46">
        <v>31.457799999999999</v>
      </c>
      <c r="G76" s="70"/>
      <c r="H76" s="70"/>
      <c r="I76" s="66"/>
      <c r="J76" s="66"/>
      <c r="K76" s="67"/>
      <c r="L76" s="29"/>
      <c r="M76" s="46">
        <v>43.532800000000002</v>
      </c>
      <c r="N76" s="46">
        <v>31.4649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</row>
    <row r="77" spans="1:27" ht="12">
      <c r="A77" s="27"/>
      <c r="B77" s="36"/>
      <c r="C77" s="29"/>
      <c r="D77" s="32">
        <v>42</v>
      </c>
      <c r="E77" s="46">
        <v>18.467199999999998</v>
      </c>
      <c r="F77" s="46">
        <v>28.633400000000002</v>
      </c>
      <c r="G77" s="70">
        <v>98.400199999999998</v>
      </c>
      <c r="H77" s="70">
        <v>98.400199999999998</v>
      </c>
      <c r="I77" s="66"/>
      <c r="J77" s="66"/>
      <c r="K77" s="67"/>
      <c r="L77" s="29"/>
      <c r="M77" s="46">
        <v>18.5304</v>
      </c>
      <c r="N77" s="46">
        <v>28.610099999999999</v>
      </c>
      <c r="O77" s="70">
        <v>98.400199999999998</v>
      </c>
      <c r="P77" s="70">
        <v>98.400199999999998</v>
      </c>
      <c r="Q77" s="66"/>
      <c r="R77" s="66"/>
      <c r="S77" s="67"/>
      <c r="U77" s="41"/>
      <c r="V77" s="42"/>
      <c r="W77" s="43"/>
      <c r="X77" s="29"/>
      <c r="Y77" s="24"/>
      <c r="Z77" s="24"/>
      <c r="AA77" s="27"/>
    </row>
    <row r="78" spans="1:27" ht="12.75" thickBot="1">
      <c r="A78" s="27"/>
      <c r="B78" s="36"/>
      <c r="C78" s="29"/>
      <c r="D78" s="32">
        <v>45</v>
      </c>
      <c r="E78" s="46">
        <v>8.5768000000000004</v>
      </c>
      <c r="F78" s="46">
        <v>25.872900000000001</v>
      </c>
      <c r="G78" s="70"/>
      <c r="H78" s="70"/>
      <c r="I78" s="66"/>
      <c r="J78" s="66"/>
      <c r="K78" s="67"/>
      <c r="L78" s="29"/>
      <c r="M78" s="46">
        <v>8.5944000000000003</v>
      </c>
      <c r="N78" s="46">
        <v>25.882200000000001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</row>
    <row r="79" spans="1:27" ht="12">
      <c r="A79" s="27"/>
      <c r="B79" s="36"/>
      <c r="C79" s="28" t="s">
        <v>47</v>
      </c>
      <c r="D79" s="31">
        <v>25</v>
      </c>
      <c r="E79" s="78"/>
      <c r="F79" s="45">
        <v>42.755000000000003</v>
      </c>
      <c r="G79" s="45">
        <v>46.991599999999998</v>
      </c>
      <c r="H79" s="45">
        <v>45.805199999999999</v>
      </c>
      <c r="I79" s="79"/>
      <c r="J79" s="79"/>
      <c r="K79" s="80"/>
      <c r="L79" s="29"/>
      <c r="M79" s="78"/>
      <c r="N79" s="45">
        <v>42.755200000000002</v>
      </c>
      <c r="O79" s="45">
        <v>46.979700000000001</v>
      </c>
      <c r="P79" s="45">
        <v>45.793599999999998</v>
      </c>
      <c r="Q79" s="79"/>
      <c r="R79" s="79"/>
      <c r="S79" s="80"/>
      <c r="U79" s="8"/>
      <c r="V79" s="9"/>
      <c r="W79" s="10"/>
      <c r="X79" s="29"/>
      <c r="Y79" s="24"/>
      <c r="Z79" s="24"/>
      <c r="AA79" s="27"/>
    </row>
    <row r="80" spans="1:27" ht="12">
      <c r="A80" s="27"/>
      <c r="B80" s="36"/>
      <c r="C80" s="29"/>
      <c r="D80" s="32">
        <v>30</v>
      </c>
      <c r="E80" s="70"/>
      <c r="F80" s="46">
        <v>40.510899999999999</v>
      </c>
      <c r="G80" s="46">
        <v>45.809399999999997</v>
      </c>
      <c r="H80" s="46">
        <v>44.045400000000001</v>
      </c>
      <c r="I80" s="66"/>
      <c r="J80" s="66"/>
      <c r="K80" s="67"/>
      <c r="L80" s="29"/>
      <c r="M80" s="70"/>
      <c r="N80" s="46">
        <v>40.511099999999999</v>
      </c>
      <c r="O80" s="46">
        <v>45.823999999999998</v>
      </c>
      <c r="P80" s="46">
        <v>44.044699999999999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</row>
    <row r="81" spans="1:27" ht="12">
      <c r="A81" s="27"/>
      <c r="B81" s="36"/>
      <c r="C81" s="29"/>
      <c r="D81" s="32">
        <v>35</v>
      </c>
      <c r="E81" s="70"/>
      <c r="F81" s="46">
        <v>38.158900000000003</v>
      </c>
      <c r="G81" s="46">
        <v>44.654699999999998</v>
      </c>
      <c r="H81" s="46">
        <v>42.472000000000001</v>
      </c>
      <c r="I81" s="66"/>
      <c r="J81" s="66"/>
      <c r="K81" s="67"/>
      <c r="L81" s="29"/>
      <c r="M81" s="70"/>
      <c r="N81" s="46">
        <v>38.1586</v>
      </c>
      <c r="O81" s="46">
        <v>44.659700000000001</v>
      </c>
      <c r="P81" s="46">
        <v>42.4741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</row>
    <row r="82" spans="1:27" ht="12.75" thickBot="1">
      <c r="A82" s="27"/>
      <c r="B82" s="36"/>
      <c r="C82" s="53"/>
      <c r="D82" s="71">
        <v>40</v>
      </c>
      <c r="E82" s="81"/>
      <c r="F82" s="72">
        <v>35.662700000000001</v>
      </c>
      <c r="G82" s="72">
        <v>43.636400000000002</v>
      </c>
      <c r="H82" s="72">
        <v>41.041800000000002</v>
      </c>
      <c r="I82" s="68"/>
      <c r="J82" s="68"/>
      <c r="K82" s="69"/>
      <c r="L82" s="29"/>
      <c r="M82" s="81"/>
      <c r="N82" s="72">
        <v>35.664200000000001</v>
      </c>
      <c r="O82" s="72">
        <v>43.622999999999998</v>
      </c>
      <c r="P82" s="72">
        <v>41.033299999999997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</row>
    <row r="83" spans="1:27" ht="12">
      <c r="A83" s="27"/>
      <c r="B83" s="36"/>
      <c r="C83" s="29" t="s">
        <v>48</v>
      </c>
      <c r="D83" s="32">
        <v>25</v>
      </c>
      <c r="E83" s="70"/>
      <c r="F83" s="45">
        <v>43.444800000000001</v>
      </c>
      <c r="G83" s="45">
        <v>47.588500000000003</v>
      </c>
      <c r="H83" s="45">
        <v>46.627299999999998</v>
      </c>
      <c r="I83" s="66"/>
      <c r="J83" s="66"/>
      <c r="K83" s="67"/>
      <c r="L83" s="29"/>
      <c r="M83" s="70"/>
      <c r="N83" s="45">
        <v>43.44</v>
      </c>
      <c r="O83" s="45">
        <v>47.587699999999998</v>
      </c>
      <c r="P83" s="45">
        <v>46.624400000000001</v>
      </c>
      <c r="Q83" s="66"/>
      <c r="R83" s="66"/>
      <c r="S83" s="67"/>
      <c r="U83" s="8"/>
      <c r="V83" s="9"/>
      <c r="W83" s="10"/>
      <c r="X83" s="29"/>
      <c r="Y83" s="24"/>
      <c r="Z83" s="24"/>
      <c r="AA83" s="27"/>
    </row>
    <row r="84" spans="1:27" ht="12">
      <c r="A84" s="27"/>
      <c r="B84" s="36"/>
      <c r="C84" s="29"/>
      <c r="D84" s="32">
        <v>30</v>
      </c>
      <c r="E84" s="70"/>
      <c r="F84" s="46">
        <v>41.0441</v>
      </c>
      <c r="G84" s="46">
        <v>46.297699999999999</v>
      </c>
      <c r="H84" s="46">
        <v>44.768799999999999</v>
      </c>
      <c r="I84" s="66"/>
      <c r="J84" s="66"/>
      <c r="K84" s="67"/>
      <c r="L84" s="29"/>
      <c r="M84" s="70"/>
      <c r="N84" s="46">
        <v>41.051099999999998</v>
      </c>
      <c r="O84" s="46">
        <v>46.316299999999998</v>
      </c>
      <c r="P84" s="46">
        <v>44.764800000000001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</row>
    <row r="85" spans="1:27" ht="12">
      <c r="A85" s="27"/>
      <c r="B85" s="36"/>
      <c r="C85" s="29"/>
      <c r="D85" s="32">
        <v>35</v>
      </c>
      <c r="E85" s="70"/>
      <c r="F85" s="46">
        <v>38.568300000000001</v>
      </c>
      <c r="G85" s="46">
        <v>44.987200000000001</v>
      </c>
      <c r="H85" s="46">
        <v>42.9726</v>
      </c>
      <c r="I85" s="66"/>
      <c r="J85" s="66"/>
      <c r="K85" s="67"/>
      <c r="L85" s="29"/>
      <c r="M85" s="70"/>
      <c r="N85" s="46">
        <v>38.569400000000002</v>
      </c>
      <c r="O85" s="46">
        <v>44.991399999999999</v>
      </c>
      <c r="P85" s="46">
        <v>42.973300000000002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</row>
    <row r="86" spans="1:27" ht="12.75" thickBot="1">
      <c r="A86" s="27"/>
      <c r="B86" s="36"/>
      <c r="C86" s="53"/>
      <c r="D86" s="71">
        <v>40</v>
      </c>
      <c r="E86" s="81"/>
      <c r="F86" s="46">
        <v>35.960700000000003</v>
      </c>
      <c r="G86" s="72">
        <v>43.896000000000001</v>
      </c>
      <c r="H86" s="72">
        <v>41.436700000000002</v>
      </c>
      <c r="I86" s="68"/>
      <c r="J86" s="68"/>
      <c r="K86" s="69"/>
      <c r="L86" s="29"/>
      <c r="M86" s="81"/>
      <c r="N86" s="46">
        <v>35.960500000000003</v>
      </c>
      <c r="O86" s="72">
        <v>43.887</v>
      </c>
      <c r="P86" s="72">
        <v>41.4343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</row>
    <row r="87" spans="1:27" ht="12">
      <c r="A87" s="27"/>
      <c r="B87" s="36"/>
      <c r="C87" s="29" t="s">
        <v>49</v>
      </c>
      <c r="D87" s="32">
        <v>25</v>
      </c>
      <c r="E87" s="70"/>
      <c r="F87" s="45">
        <v>43.621899999999997</v>
      </c>
      <c r="G87" s="45">
        <v>47.036200000000001</v>
      </c>
      <c r="H87" s="45">
        <v>46.541200000000003</v>
      </c>
      <c r="I87" s="66"/>
      <c r="J87" s="66"/>
      <c r="K87" s="67"/>
      <c r="L87" s="29"/>
      <c r="M87" s="70"/>
      <c r="N87" s="45">
        <v>43.619399999999999</v>
      </c>
      <c r="O87" s="45">
        <v>47.036700000000003</v>
      </c>
      <c r="P87" s="45">
        <v>46.541400000000003</v>
      </c>
      <c r="Q87" s="66"/>
      <c r="R87" s="66"/>
      <c r="S87" s="67"/>
      <c r="U87" s="8"/>
      <c r="V87" s="9"/>
      <c r="W87" s="10"/>
      <c r="X87" s="29"/>
      <c r="Y87" s="24"/>
      <c r="Z87" s="24"/>
      <c r="AA87" s="27"/>
    </row>
    <row r="88" spans="1:27" ht="12">
      <c r="A88" s="27"/>
      <c r="B88" s="36"/>
      <c r="C88" s="29"/>
      <c r="D88" s="32">
        <v>30</v>
      </c>
      <c r="E88" s="70"/>
      <c r="F88" s="46">
        <v>41.339199999999998</v>
      </c>
      <c r="G88" s="46">
        <v>45.996499999999997</v>
      </c>
      <c r="H88" s="46">
        <v>44.7986</v>
      </c>
      <c r="I88" s="66"/>
      <c r="J88" s="66"/>
      <c r="K88" s="67"/>
      <c r="L88" s="29"/>
      <c r="M88" s="70"/>
      <c r="N88" s="46">
        <v>41.343400000000003</v>
      </c>
      <c r="O88" s="46">
        <v>45.995399999999997</v>
      </c>
      <c r="P88" s="46">
        <v>44.799599999999998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</row>
    <row r="89" spans="1:27" ht="12">
      <c r="A89" s="27"/>
      <c r="B89" s="36"/>
      <c r="C89" s="29"/>
      <c r="D89" s="32">
        <v>35</v>
      </c>
      <c r="E89" s="70"/>
      <c r="F89" s="46">
        <v>38.853900000000003</v>
      </c>
      <c r="G89" s="46">
        <v>44.707099999999997</v>
      </c>
      <c r="H89" s="46">
        <v>42.965899999999998</v>
      </c>
      <c r="I89" s="66"/>
      <c r="J89" s="66"/>
      <c r="K89" s="67"/>
      <c r="L89" s="29"/>
      <c r="M89" s="70"/>
      <c r="N89" s="46">
        <v>38.853000000000002</v>
      </c>
      <c r="O89" s="46">
        <v>44.707000000000001</v>
      </c>
      <c r="P89" s="46">
        <v>42.966700000000003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</row>
    <row r="90" spans="1:27" ht="12.75" thickBot="1">
      <c r="A90" s="27"/>
      <c r="B90" s="36"/>
      <c r="C90" s="53"/>
      <c r="D90" s="71">
        <v>40</v>
      </c>
      <c r="E90" s="81"/>
      <c r="F90" s="46">
        <v>36.224299999999999</v>
      </c>
      <c r="G90" s="72">
        <v>43.741199999999999</v>
      </c>
      <c r="H90" s="72">
        <v>41.453400000000002</v>
      </c>
      <c r="I90" s="68"/>
      <c r="J90" s="68"/>
      <c r="K90" s="69"/>
      <c r="L90" s="29"/>
      <c r="M90" s="81"/>
      <c r="N90" s="46">
        <v>36.221600000000002</v>
      </c>
      <c r="O90" s="72">
        <v>43.737699999999997</v>
      </c>
      <c r="P90" s="72">
        <v>41.450099999999999</v>
      </c>
      <c r="Q90" s="68"/>
      <c r="R90" s="68"/>
      <c r="S90" s="69"/>
      <c r="U90" s="17"/>
      <c r="V90" s="18"/>
      <c r="W90" s="19"/>
      <c r="X90" s="29"/>
      <c r="Z90" s="61"/>
      <c r="AA90" s="57"/>
    </row>
    <row r="91" spans="1:27" ht="12">
      <c r="A91" s="27"/>
      <c r="B91" s="36"/>
      <c r="C91" s="29" t="s">
        <v>50</v>
      </c>
      <c r="D91" s="32">
        <v>25</v>
      </c>
      <c r="E91" s="70"/>
      <c r="F91" s="45">
        <v>43.457700000000003</v>
      </c>
      <c r="G91" s="45">
        <v>47.030900000000003</v>
      </c>
      <c r="H91" s="45">
        <v>46.5974</v>
      </c>
      <c r="I91" s="66"/>
      <c r="J91" s="66"/>
      <c r="K91" s="67"/>
      <c r="L91" s="29"/>
      <c r="M91" s="70"/>
      <c r="N91" s="45">
        <v>43.464700000000001</v>
      </c>
      <c r="O91" s="45">
        <v>47.031300000000002</v>
      </c>
      <c r="P91" s="45">
        <v>46.596600000000002</v>
      </c>
      <c r="Q91" s="66"/>
      <c r="R91" s="66"/>
      <c r="S91" s="67"/>
      <c r="U91" s="8"/>
      <c r="V91" s="9"/>
      <c r="W91" s="10"/>
      <c r="X91" s="29"/>
      <c r="Y91" s="24"/>
      <c r="Z91" s="24"/>
      <c r="AA91" s="27"/>
    </row>
    <row r="92" spans="1:27" ht="12">
      <c r="A92" s="27"/>
      <c r="B92" s="36"/>
      <c r="C92" s="29"/>
      <c r="D92" s="32">
        <v>30</v>
      </c>
      <c r="E92" s="70"/>
      <c r="F92" s="46">
        <v>41.179499999999997</v>
      </c>
      <c r="G92" s="46">
        <v>46.013500000000001</v>
      </c>
      <c r="H92" s="46">
        <v>44.847900000000003</v>
      </c>
      <c r="I92" s="66"/>
      <c r="J92" s="66"/>
      <c r="K92" s="67"/>
      <c r="L92" s="29"/>
      <c r="M92" s="70"/>
      <c r="N92" s="46">
        <v>41.176200000000001</v>
      </c>
      <c r="O92" s="46">
        <v>46.013800000000003</v>
      </c>
      <c r="P92" s="46">
        <v>44.850700000000003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</row>
    <row r="93" spans="1:27" ht="12">
      <c r="A93" s="27"/>
      <c r="B93" s="36"/>
      <c r="C93" s="29"/>
      <c r="D93" s="32">
        <v>35</v>
      </c>
      <c r="E93" s="70"/>
      <c r="F93" s="46">
        <v>38.703000000000003</v>
      </c>
      <c r="G93" s="46">
        <v>44.747700000000002</v>
      </c>
      <c r="H93" s="46">
        <v>42.9895</v>
      </c>
      <c r="I93" s="66"/>
      <c r="J93" s="66"/>
      <c r="K93" s="67"/>
      <c r="L93" s="29"/>
      <c r="M93" s="70"/>
      <c r="N93" s="46">
        <v>38.706099999999999</v>
      </c>
      <c r="O93" s="46">
        <v>44.747500000000002</v>
      </c>
      <c r="P93" s="46">
        <v>42.992199999999997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</row>
    <row r="94" spans="1:27" ht="12.75" thickBot="1">
      <c r="A94" s="27"/>
      <c r="B94" s="36"/>
      <c r="C94" s="53"/>
      <c r="D94" s="71">
        <v>40</v>
      </c>
      <c r="E94" s="81"/>
      <c r="F94" s="46">
        <v>36.077500000000001</v>
      </c>
      <c r="G94" s="72">
        <v>43.786499999999997</v>
      </c>
      <c r="H94" s="72">
        <v>41.438600000000001</v>
      </c>
      <c r="I94" s="68"/>
      <c r="J94" s="68"/>
      <c r="K94" s="69"/>
      <c r="L94" s="29"/>
      <c r="M94" s="81"/>
      <c r="N94" s="46">
        <v>36.074199999999998</v>
      </c>
      <c r="O94" s="72">
        <v>43.788899999999998</v>
      </c>
      <c r="P94" s="72">
        <v>41.439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</row>
    <row r="95" spans="1:27" ht="12">
      <c r="A95" s="27"/>
      <c r="B95" s="36"/>
      <c r="C95" s="29" t="s">
        <v>51</v>
      </c>
      <c r="D95" s="32">
        <v>25</v>
      </c>
      <c r="E95" s="70"/>
      <c r="F95" s="45">
        <v>43.184699999999999</v>
      </c>
      <c r="G95" s="45">
        <v>47.2928</v>
      </c>
      <c r="H95" s="45">
        <v>46.609099999999998</v>
      </c>
      <c r="I95" s="66"/>
      <c r="J95" s="66"/>
      <c r="K95" s="67"/>
      <c r="L95" s="29"/>
      <c r="M95" s="70"/>
      <c r="N95" s="45">
        <v>43.177100000000003</v>
      </c>
      <c r="O95" s="45">
        <v>47.295400000000001</v>
      </c>
      <c r="P95" s="45">
        <v>46.606099999999998</v>
      </c>
      <c r="Q95" s="66"/>
      <c r="R95" s="66"/>
      <c r="S95" s="67"/>
      <c r="U95" s="8"/>
      <c r="V95" s="9"/>
      <c r="W95" s="10"/>
      <c r="X95" s="29"/>
      <c r="Y95" s="24"/>
      <c r="Z95" s="24"/>
      <c r="AA95" s="27"/>
    </row>
    <row r="96" spans="1:27" ht="12">
      <c r="A96" s="27"/>
      <c r="B96" s="36"/>
      <c r="C96" s="29"/>
      <c r="D96" s="32">
        <v>30</v>
      </c>
      <c r="E96" s="70"/>
      <c r="F96" s="46">
        <v>40.831899999999997</v>
      </c>
      <c r="G96" s="46">
        <v>46.119500000000002</v>
      </c>
      <c r="H96" s="46">
        <v>44.750500000000002</v>
      </c>
      <c r="I96" s="66"/>
      <c r="J96" s="66"/>
      <c r="K96" s="67"/>
      <c r="L96" s="29"/>
      <c r="M96" s="70"/>
      <c r="N96" s="46">
        <v>40.833100000000002</v>
      </c>
      <c r="O96" s="46">
        <v>46.119700000000002</v>
      </c>
      <c r="P96" s="46">
        <v>44.750700000000002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</row>
    <row r="97" spans="1:27" ht="12">
      <c r="A97" s="27"/>
      <c r="B97" s="36"/>
      <c r="C97" s="29"/>
      <c r="D97" s="32">
        <v>35</v>
      </c>
      <c r="E97" s="70"/>
      <c r="F97" s="46">
        <v>38.362699999999997</v>
      </c>
      <c r="G97" s="46">
        <v>44.892000000000003</v>
      </c>
      <c r="H97" s="46">
        <v>42.987299999999998</v>
      </c>
      <c r="I97" s="66"/>
      <c r="J97" s="66"/>
      <c r="K97" s="67"/>
      <c r="L97" s="29"/>
      <c r="M97" s="70"/>
      <c r="N97" s="46">
        <v>38.365699999999997</v>
      </c>
      <c r="O97" s="46">
        <v>44.893599999999999</v>
      </c>
      <c r="P97" s="46">
        <v>42.995800000000003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</row>
    <row r="98" spans="1:27" ht="12.75" thickBot="1">
      <c r="A98" s="27"/>
      <c r="B98" s="36"/>
      <c r="C98" s="53"/>
      <c r="D98" s="71">
        <v>40</v>
      </c>
      <c r="E98" s="81"/>
      <c r="F98" s="72">
        <v>35.761099999999999</v>
      </c>
      <c r="G98" s="72">
        <v>43.910299999999999</v>
      </c>
      <c r="H98" s="72">
        <v>41.398099999999999</v>
      </c>
      <c r="I98" s="68"/>
      <c r="J98" s="68"/>
      <c r="K98" s="69"/>
      <c r="L98" s="29"/>
      <c r="M98" s="81"/>
      <c r="N98" s="72">
        <v>35.759500000000003</v>
      </c>
      <c r="O98" s="72">
        <v>43.9129</v>
      </c>
      <c r="P98" s="72">
        <v>41.397300000000001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</row>
    <row r="99" spans="1:27" ht="12">
      <c r="A99" s="27"/>
      <c r="B99" s="36"/>
      <c r="C99" s="29" t="s">
        <v>52</v>
      </c>
      <c r="D99" s="32">
        <v>25</v>
      </c>
      <c r="E99" s="70"/>
      <c r="F99" s="45">
        <v>42.459400000000002</v>
      </c>
      <c r="G99" s="45">
        <v>46.343899999999998</v>
      </c>
      <c r="H99" s="45">
        <v>45.770800000000001</v>
      </c>
      <c r="I99" s="66"/>
      <c r="J99" s="66"/>
      <c r="K99" s="67"/>
      <c r="L99" s="29"/>
      <c r="M99" s="70"/>
      <c r="N99" s="45">
        <v>42.4377</v>
      </c>
      <c r="O99" s="45">
        <v>46.345300000000002</v>
      </c>
      <c r="P99" s="45">
        <v>45.7654</v>
      </c>
      <c r="Q99" s="66"/>
      <c r="R99" s="66"/>
      <c r="S99" s="67"/>
      <c r="U99" s="8"/>
      <c r="V99" s="9"/>
      <c r="W99" s="10"/>
      <c r="X99" s="29"/>
      <c r="Y99" s="24"/>
      <c r="Z99" s="24"/>
      <c r="AA99" s="27"/>
    </row>
    <row r="100" spans="1:27" ht="12">
      <c r="A100" s="27"/>
      <c r="B100" s="36"/>
      <c r="C100" s="29"/>
      <c r="D100" s="32">
        <v>30</v>
      </c>
      <c r="E100" s="70"/>
      <c r="F100" s="46">
        <v>40.271099999999997</v>
      </c>
      <c r="G100" s="46">
        <v>45.193800000000003</v>
      </c>
      <c r="H100" s="46">
        <v>44.014899999999997</v>
      </c>
      <c r="I100" s="66"/>
      <c r="J100" s="66"/>
      <c r="K100" s="67"/>
      <c r="L100" s="29"/>
      <c r="M100" s="70"/>
      <c r="N100" s="46">
        <v>40.274299999999997</v>
      </c>
      <c r="O100" s="46">
        <v>45.1892</v>
      </c>
      <c r="P100" s="46">
        <v>44.016100000000002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</row>
    <row r="101" spans="1:27" ht="12">
      <c r="A101" s="27"/>
      <c r="B101" s="36"/>
      <c r="C101" s="29"/>
      <c r="D101" s="32">
        <v>35</v>
      </c>
      <c r="E101" s="70"/>
      <c r="F101" s="46">
        <v>37.933300000000003</v>
      </c>
      <c r="G101" s="46">
        <v>44.173699999999997</v>
      </c>
      <c r="H101" s="46">
        <v>42.489800000000002</v>
      </c>
      <c r="I101" s="66"/>
      <c r="J101" s="66"/>
      <c r="K101" s="67"/>
      <c r="L101" s="29"/>
      <c r="M101" s="70"/>
      <c r="N101" s="46">
        <v>37.936</v>
      </c>
      <c r="O101" s="46">
        <v>44.173400000000001</v>
      </c>
      <c r="P101" s="46">
        <v>42.496000000000002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</row>
    <row r="102" spans="1:27" ht="12.75" thickBot="1">
      <c r="A102" s="27"/>
      <c r="B102" s="36"/>
      <c r="C102" s="53"/>
      <c r="D102" s="71">
        <v>40</v>
      </c>
      <c r="E102" s="81"/>
      <c r="F102" s="72">
        <v>35.434199999999997</v>
      </c>
      <c r="G102" s="72">
        <v>43.335599999999999</v>
      </c>
      <c r="H102" s="72">
        <v>41.012</v>
      </c>
      <c r="I102" s="68"/>
      <c r="J102" s="68"/>
      <c r="K102" s="69"/>
      <c r="L102" s="29"/>
      <c r="M102" s="81"/>
      <c r="N102" s="72">
        <v>35.433399999999999</v>
      </c>
      <c r="O102" s="72">
        <v>43.335500000000003</v>
      </c>
      <c r="P102" s="72">
        <v>41.009300000000003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</row>
    <row r="103" spans="1:27" ht="12">
      <c r="A103" s="27"/>
      <c r="B103" s="36"/>
      <c r="C103" s="29" t="s">
        <v>12</v>
      </c>
      <c r="D103" s="32">
        <v>25</v>
      </c>
      <c r="E103" s="45">
        <v>1814.8208</v>
      </c>
      <c r="F103" s="70"/>
      <c r="G103" s="70"/>
      <c r="H103" s="70"/>
      <c r="I103" s="45">
        <v>26308.83</v>
      </c>
      <c r="J103" s="45">
        <v>39.08</v>
      </c>
      <c r="K103" s="45">
        <v>335.28</v>
      </c>
      <c r="L103" s="29"/>
      <c r="M103" s="45">
        <v>1815.6496</v>
      </c>
      <c r="N103" s="70"/>
      <c r="O103" s="70"/>
      <c r="P103" s="70"/>
      <c r="Q103" s="45">
        <v>26013.82</v>
      </c>
      <c r="R103" s="45">
        <v>36.39</v>
      </c>
      <c r="S103" s="45">
        <v>309.58</v>
      </c>
      <c r="U103" s="8"/>
      <c r="V103" s="9"/>
      <c r="W103" s="10"/>
      <c r="X103" s="29"/>
      <c r="Y103" s="61">
        <f>GEOMEAN(Q103:Q106)/GEOMEAN(I103:I106)</f>
        <v>0.99625361793306866</v>
      </c>
      <c r="Z103" s="61">
        <f>GEOMEAN(R103:R106)/GEOMEAN(J103:J106)</f>
        <v>0.96960993244156812</v>
      </c>
      <c r="AA103" s="57">
        <f>GEOMEAN(S103:S106)/GEOMEAN(K103:K106)</f>
        <v>0.96381518973061897</v>
      </c>
    </row>
    <row r="104" spans="1:27" ht="12">
      <c r="A104" s="27"/>
      <c r="B104" s="36"/>
      <c r="C104" s="29"/>
      <c r="D104" s="32">
        <v>30</v>
      </c>
      <c r="E104" s="46">
        <v>851.26800000000003</v>
      </c>
      <c r="F104" s="70"/>
      <c r="G104" s="70"/>
      <c r="H104" s="70"/>
      <c r="I104" s="46">
        <v>20336.09</v>
      </c>
      <c r="J104" s="46">
        <v>33.58</v>
      </c>
      <c r="K104" s="46">
        <v>310</v>
      </c>
      <c r="L104" s="29"/>
      <c r="M104" s="46">
        <v>851.19039999999995</v>
      </c>
      <c r="N104" s="70"/>
      <c r="O104" s="70"/>
      <c r="P104" s="70"/>
      <c r="Q104" s="46">
        <v>20239.96</v>
      </c>
      <c r="R104" s="46">
        <v>33.86</v>
      </c>
      <c r="S104" s="46">
        <v>322.77</v>
      </c>
      <c r="U104" s="41"/>
      <c r="V104" s="42"/>
      <c r="W104" s="43"/>
      <c r="X104" s="29"/>
      <c r="Y104" s="24"/>
      <c r="Z104" s="24"/>
      <c r="AA104" s="27"/>
    </row>
    <row r="105" spans="1:27" ht="12">
      <c r="A105" s="27"/>
      <c r="B105" s="36"/>
      <c r="C105" s="29"/>
      <c r="D105" s="32">
        <v>35</v>
      </c>
      <c r="E105" s="46">
        <v>459.14879999999999</v>
      </c>
      <c r="F105" s="70"/>
      <c r="G105" s="70"/>
      <c r="H105" s="70"/>
      <c r="I105" s="46">
        <v>17208.03</v>
      </c>
      <c r="J105" s="46">
        <v>32.520000000000003</v>
      </c>
      <c r="K105" s="46">
        <v>334.09</v>
      </c>
      <c r="L105" s="29"/>
      <c r="M105" s="46">
        <v>459.36720000000003</v>
      </c>
      <c r="N105" s="70"/>
      <c r="O105" s="70"/>
      <c r="P105" s="70"/>
      <c r="Q105" s="46">
        <v>17137.78</v>
      </c>
      <c r="R105" s="46">
        <v>30.15</v>
      </c>
      <c r="S105" s="46">
        <v>309.43</v>
      </c>
      <c r="U105" s="17"/>
      <c r="V105" s="18"/>
      <c r="W105" s="19"/>
      <c r="X105" s="29"/>
      <c r="Y105" s="24"/>
      <c r="Z105" s="24"/>
      <c r="AA105" s="27"/>
    </row>
    <row r="106" spans="1:27" ht="12.75" thickBot="1">
      <c r="A106" s="27"/>
      <c r="B106" s="52"/>
      <c r="C106" s="53"/>
      <c r="D106" s="71">
        <v>40</v>
      </c>
      <c r="E106" s="72">
        <v>263.31599999999997</v>
      </c>
      <c r="F106" s="81"/>
      <c r="G106" s="81"/>
      <c r="H106" s="81"/>
      <c r="I106" s="72">
        <v>14967.59</v>
      </c>
      <c r="J106" s="72">
        <v>30.61</v>
      </c>
      <c r="K106" s="72">
        <v>333.27</v>
      </c>
      <c r="L106" s="29"/>
      <c r="M106" s="72">
        <v>263.32159999999999</v>
      </c>
      <c r="N106" s="81"/>
      <c r="O106" s="81"/>
      <c r="P106" s="81"/>
      <c r="Q106" s="72">
        <v>15044</v>
      </c>
      <c r="R106" s="72">
        <v>31.08</v>
      </c>
      <c r="S106" s="72">
        <v>322.98</v>
      </c>
      <c r="U106" s="85"/>
      <c r="V106" s="86"/>
      <c r="W106" s="87"/>
      <c r="X106" s="29"/>
      <c r="Y106" s="49"/>
      <c r="Z106" s="49"/>
      <c r="AA106" s="54"/>
    </row>
    <row r="107" spans="1:27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950.01919999999996</v>
      </c>
      <c r="F107" s="45">
        <v>41.354599999999998</v>
      </c>
      <c r="G107" s="45">
        <v>44.148800000000001</v>
      </c>
      <c r="H107" s="45">
        <v>44.219299999999997</v>
      </c>
      <c r="I107" s="79"/>
      <c r="J107" s="79"/>
      <c r="K107" s="80"/>
      <c r="L107" s="29"/>
      <c r="M107" s="45">
        <v>950.01919999999996</v>
      </c>
      <c r="N107" s="45">
        <v>41.354599999999998</v>
      </c>
      <c r="O107" s="45">
        <v>44.148800000000001</v>
      </c>
      <c r="P107" s="45">
        <v>44.219299999999997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">
      <c r="A108" s="27"/>
      <c r="B108" s="36"/>
      <c r="C108" s="29"/>
      <c r="D108" s="32">
        <v>30</v>
      </c>
      <c r="E108" s="46">
        <v>499.94319999999999</v>
      </c>
      <c r="F108" s="46">
        <v>38.994500000000002</v>
      </c>
      <c r="G108" s="46">
        <v>42.5197</v>
      </c>
      <c r="H108" s="46">
        <v>42.546599999999998</v>
      </c>
      <c r="I108" s="66"/>
      <c r="J108" s="66"/>
      <c r="K108" s="67"/>
      <c r="L108" s="29"/>
      <c r="M108" s="46">
        <v>499.94319999999999</v>
      </c>
      <c r="N108" s="46">
        <v>38.994500000000002</v>
      </c>
      <c r="O108" s="46">
        <v>42.5197</v>
      </c>
      <c r="P108" s="46">
        <v>42.546599999999998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</row>
    <row r="109" spans="1:27" ht="12">
      <c r="A109" s="27"/>
      <c r="B109" s="36"/>
      <c r="C109" s="29"/>
      <c r="D109" s="32">
        <v>35</v>
      </c>
      <c r="E109" s="46">
        <v>275.46559999999999</v>
      </c>
      <c r="F109" s="46">
        <v>36.450899999999997</v>
      </c>
      <c r="G109" s="46">
        <v>40.770899999999997</v>
      </c>
      <c r="H109" s="46">
        <v>40.705399999999997</v>
      </c>
      <c r="I109" s="66"/>
      <c r="J109" s="66"/>
      <c r="K109" s="67"/>
      <c r="L109" s="29"/>
      <c r="M109" s="46">
        <v>275.46559999999999</v>
      </c>
      <c r="N109" s="46">
        <v>36.450899999999997</v>
      </c>
      <c r="O109" s="46">
        <v>40.770899999999997</v>
      </c>
      <c r="P109" s="46">
        <v>40.705399999999997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</row>
    <row r="110" spans="1:27" ht="12.75" thickBot="1">
      <c r="A110" s="27"/>
      <c r="B110" s="36"/>
      <c r="C110" s="29"/>
      <c r="D110" s="32">
        <v>40</v>
      </c>
      <c r="E110" s="46">
        <v>159.57599999999999</v>
      </c>
      <c r="F110" s="46">
        <v>33.878</v>
      </c>
      <c r="G110" s="46">
        <v>39.513399999999997</v>
      </c>
      <c r="H110" s="46">
        <v>39.395000000000003</v>
      </c>
      <c r="I110" s="66"/>
      <c r="J110" s="66"/>
      <c r="K110" s="67"/>
      <c r="L110" s="29"/>
      <c r="M110" s="46">
        <v>159.57599999999999</v>
      </c>
      <c r="N110" s="46">
        <v>33.878</v>
      </c>
      <c r="O110" s="46">
        <v>39.513399999999997</v>
      </c>
      <c r="P110" s="46">
        <v>39.395000000000003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</row>
    <row r="111" spans="1:27" ht="12">
      <c r="A111" s="27"/>
      <c r="B111" s="36"/>
      <c r="C111" s="28" t="s">
        <v>27</v>
      </c>
      <c r="D111" s="31">
        <v>25</v>
      </c>
      <c r="E111" s="45">
        <v>311.6712</v>
      </c>
      <c r="F111" s="45">
        <v>40.303699999999999</v>
      </c>
      <c r="G111" s="45">
        <v>42.956299999999999</v>
      </c>
      <c r="H111" s="45">
        <v>43.068399999999997</v>
      </c>
      <c r="I111" s="79"/>
      <c r="J111" s="79"/>
      <c r="K111" s="80"/>
      <c r="L111" s="29"/>
      <c r="M111" s="45">
        <v>311.49919999999997</v>
      </c>
      <c r="N111" s="45">
        <v>40.304900000000004</v>
      </c>
      <c r="O111" s="45">
        <v>42.948999999999998</v>
      </c>
      <c r="P111" s="45">
        <v>43.066699999999997</v>
      </c>
      <c r="Q111" s="79"/>
      <c r="R111" s="79"/>
      <c r="S111" s="80"/>
      <c r="U111" s="8">
        <f>bdrate($E111:$E114,F111:F114,$M111:$M114,N111:N114)</f>
        <v>5.3121568968372834E-4</v>
      </c>
      <c r="V111" s="9">
        <f>bdrate($E111:$E114,G111:G114,$M111:$M114,O111:O114)</f>
        <v>-5.9465571538552808E-4</v>
      </c>
      <c r="W111" s="10">
        <f>bdrate($E111:$E114,H111:H114,$M111:$M114,P111:P114)</f>
        <v>4.5643680032680933E-5</v>
      </c>
      <c r="X111" s="29"/>
      <c r="Y111" s="24"/>
      <c r="Z111" s="24"/>
      <c r="AA111" s="27"/>
    </row>
    <row r="112" spans="1:27" ht="12">
      <c r="A112" s="27"/>
      <c r="B112" s="36"/>
      <c r="C112" s="29"/>
      <c r="D112" s="32">
        <v>30</v>
      </c>
      <c r="E112" s="46">
        <v>134.45760000000001</v>
      </c>
      <c r="F112" s="46">
        <v>37.967100000000002</v>
      </c>
      <c r="G112" s="46">
        <v>41.307699999999997</v>
      </c>
      <c r="H112" s="46">
        <v>41.453000000000003</v>
      </c>
      <c r="I112" s="66"/>
      <c r="J112" s="66"/>
      <c r="K112" s="67"/>
      <c r="L112" s="29"/>
      <c r="M112" s="46">
        <v>134.50800000000001</v>
      </c>
      <c r="N112" s="46">
        <v>37.965499999999999</v>
      </c>
      <c r="O112" s="46">
        <v>41.314900000000002</v>
      </c>
      <c r="P112" s="46">
        <v>41.457999999999998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</row>
    <row r="113" spans="1:27" ht="12">
      <c r="A113" s="27"/>
      <c r="B113" s="36"/>
      <c r="C113" s="29"/>
      <c r="D113" s="32">
        <v>35</v>
      </c>
      <c r="E113" s="46">
        <v>67.468800000000002</v>
      </c>
      <c r="F113" s="46">
        <v>35.525399999999998</v>
      </c>
      <c r="G113" s="46">
        <v>40.019500000000001</v>
      </c>
      <c r="H113" s="46">
        <v>40.0533</v>
      </c>
      <c r="I113" s="66"/>
      <c r="J113" s="66"/>
      <c r="K113" s="67"/>
      <c r="L113" s="29"/>
      <c r="M113" s="46">
        <v>67.588800000000006</v>
      </c>
      <c r="N113" s="46">
        <v>35.527299999999997</v>
      </c>
      <c r="O113" s="46">
        <v>40.021999999999998</v>
      </c>
      <c r="P113" s="46">
        <v>40.053899999999999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</row>
    <row r="114" spans="1:27" ht="12.75" thickBot="1">
      <c r="A114" s="27"/>
      <c r="B114" s="36"/>
      <c r="C114" s="29"/>
      <c r="D114" s="32">
        <v>40</v>
      </c>
      <c r="E114" s="46">
        <v>37.027999999999999</v>
      </c>
      <c r="F114" s="46">
        <v>33.1145</v>
      </c>
      <c r="G114" s="46">
        <v>38.951799999999999</v>
      </c>
      <c r="H114" s="46">
        <v>38.941800000000001</v>
      </c>
      <c r="I114" s="66"/>
      <c r="J114" s="66"/>
      <c r="K114" s="67"/>
      <c r="L114" s="29"/>
      <c r="M114" s="46">
        <v>37.011200000000002</v>
      </c>
      <c r="N114" s="46">
        <v>33.118000000000002</v>
      </c>
      <c r="O114" s="46">
        <v>38.945700000000002</v>
      </c>
      <c r="P114" s="46">
        <v>38.932699999999997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</row>
    <row r="115" spans="1:27" ht="12">
      <c r="A115" s="27"/>
      <c r="B115" s="36"/>
      <c r="C115" s="28" t="s">
        <v>28</v>
      </c>
      <c r="D115" s="31">
        <v>25</v>
      </c>
      <c r="E115" s="45">
        <v>355.572</v>
      </c>
      <c r="F115" s="45">
        <v>39.902900000000002</v>
      </c>
      <c r="G115" s="45">
        <v>42.857199999999999</v>
      </c>
      <c r="H115" s="45">
        <v>42.756</v>
      </c>
      <c r="I115" s="79"/>
      <c r="J115" s="79"/>
      <c r="K115" s="80"/>
      <c r="L115" s="29"/>
      <c r="M115" s="45">
        <v>355.61759999999998</v>
      </c>
      <c r="N115" s="45">
        <v>39.902900000000002</v>
      </c>
      <c r="O115" s="45">
        <v>42.859900000000003</v>
      </c>
      <c r="P115" s="45">
        <v>42.750700000000002</v>
      </c>
      <c r="Q115" s="79"/>
      <c r="R115" s="79"/>
      <c r="S115" s="80"/>
      <c r="U115" s="8">
        <f>bdrate($E115:$E118,F115:F118,$M115:$M118,N115:N118)</f>
        <v>6.727332872769054E-5</v>
      </c>
      <c r="V115" s="9">
        <f>bdrate($E115:$E118,G115:G118,$M115:$M118,O115:O118)</f>
        <v>-1.3379665236090688E-4</v>
      </c>
      <c r="W115" s="10">
        <f>bdrate($E115:$E118,H115:H118,$M115:$M118,P115:P118)</f>
        <v>3.3230560197039516E-4</v>
      </c>
      <c r="X115" s="29"/>
      <c r="Y115" s="24"/>
      <c r="Z115" s="24"/>
      <c r="AA115" s="27"/>
    </row>
    <row r="116" spans="1:27" ht="12">
      <c r="A116" s="27"/>
      <c r="B116" s="36"/>
      <c r="C116" s="29"/>
      <c r="D116" s="32">
        <v>30</v>
      </c>
      <c r="E116" s="46">
        <v>154.86320000000001</v>
      </c>
      <c r="F116" s="46">
        <v>37.524999999999999</v>
      </c>
      <c r="G116" s="46">
        <v>41.369500000000002</v>
      </c>
      <c r="H116" s="46">
        <v>41.112299999999998</v>
      </c>
      <c r="I116" s="66"/>
      <c r="J116" s="66"/>
      <c r="K116" s="67"/>
      <c r="L116" s="29"/>
      <c r="M116" s="46">
        <v>154.7192</v>
      </c>
      <c r="N116" s="46">
        <v>37.5212</v>
      </c>
      <c r="O116" s="46">
        <v>41.366900000000001</v>
      </c>
      <c r="P116" s="46">
        <v>41.105600000000003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</row>
    <row r="117" spans="1:27" ht="12">
      <c r="A117" s="27"/>
      <c r="B117" s="36"/>
      <c r="C117" s="29"/>
      <c r="D117" s="32">
        <v>35</v>
      </c>
      <c r="E117" s="46">
        <v>78.846400000000003</v>
      </c>
      <c r="F117" s="46">
        <v>35.069899999999997</v>
      </c>
      <c r="G117" s="46">
        <v>40.085999999999999</v>
      </c>
      <c r="H117" s="46">
        <v>39.666899999999998</v>
      </c>
      <c r="I117" s="66"/>
      <c r="J117" s="66"/>
      <c r="K117" s="67"/>
      <c r="L117" s="29"/>
      <c r="M117" s="46">
        <v>78.908000000000001</v>
      </c>
      <c r="N117" s="46">
        <v>35.0717</v>
      </c>
      <c r="O117" s="46">
        <v>40.088700000000003</v>
      </c>
      <c r="P117" s="46">
        <v>39.675199999999997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</row>
    <row r="118" spans="1:27" ht="12.75" thickBot="1">
      <c r="A118" s="27"/>
      <c r="B118" s="36"/>
      <c r="C118" s="53"/>
      <c r="D118" s="71">
        <v>40</v>
      </c>
      <c r="E118" s="72">
        <v>42.5944</v>
      </c>
      <c r="F118" s="72">
        <v>32.5595</v>
      </c>
      <c r="G118" s="72">
        <v>39.079500000000003</v>
      </c>
      <c r="H118" s="72">
        <v>38.580399999999997</v>
      </c>
      <c r="I118" s="68"/>
      <c r="J118" s="68"/>
      <c r="K118" s="69"/>
      <c r="L118" s="29"/>
      <c r="M118" s="72">
        <v>42.54</v>
      </c>
      <c r="N118" s="72">
        <v>32.5593</v>
      </c>
      <c r="O118" s="72">
        <v>39.075699999999998</v>
      </c>
      <c r="P118" s="72">
        <v>38.578499999999998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</row>
    <row r="119" spans="1:27" ht="12">
      <c r="A119" s="27"/>
      <c r="B119" s="36"/>
      <c r="C119" s="28" t="s">
        <v>29</v>
      </c>
      <c r="D119" s="31">
        <v>34</v>
      </c>
      <c r="E119" s="45">
        <v>187.66720000000001</v>
      </c>
      <c r="F119" s="45">
        <v>38.403700000000001</v>
      </c>
      <c r="G119" s="78"/>
      <c r="H119" s="78"/>
      <c r="I119" s="79"/>
      <c r="J119" s="79"/>
      <c r="K119" s="80"/>
      <c r="L119" s="29"/>
      <c r="M119" s="45">
        <v>187.66720000000001</v>
      </c>
      <c r="N119" s="45">
        <v>38.403700000000001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">
      <c r="A120" s="27"/>
      <c r="B120" s="36"/>
      <c r="C120" s="29"/>
      <c r="D120" s="32">
        <v>39</v>
      </c>
      <c r="E120" s="46">
        <v>65.633600000000001</v>
      </c>
      <c r="F120" s="46">
        <v>35.264200000000002</v>
      </c>
      <c r="G120" s="70"/>
      <c r="H120" s="70"/>
      <c r="I120" s="66"/>
      <c r="J120" s="66"/>
      <c r="K120" s="67"/>
      <c r="L120" s="29"/>
      <c r="M120" s="46">
        <v>65.633600000000001</v>
      </c>
      <c r="N120" s="46">
        <v>35.264200000000002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</row>
    <row r="121" spans="1:27" ht="12">
      <c r="A121" s="27"/>
      <c r="B121" s="36"/>
      <c r="C121" s="29"/>
      <c r="D121" s="32">
        <v>42</v>
      </c>
      <c r="E121" s="46">
        <v>27.980799999999999</v>
      </c>
      <c r="F121" s="46">
        <v>32.664299999999997</v>
      </c>
      <c r="G121" s="70"/>
      <c r="H121" s="70"/>
      <c r="I121" s="66"/>
      <c r="J121" s="66"/>
      <c r="K121" s="67"/>
      <c r="L121" s="29"/>
      <c r="M121" s="46">
        <v>27.980799999999999</v>
      </c>
      <c r="N121" s="46">
        <v>32.664299999999997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</row>
    <row r="122" spans="1:27" ht="12.75" thickBot="1">
      <c r="A122" s="27"/>
      <c r="B122" s="36"/>
      <c r="C122" s="29"/>
      <c r="D122" s="32">
        <v>45</v>
      </c>
      <c r="E122" s="46">
        <v>12.894399999999999</v>
      </c>
      <c r="F122" s="46">
        <v>29.577500000000001</v>
      </c>
      <c r="G122" s="70"/>
      <c r="H122" s="70"/>
      <c r="I122" s="66"/>
      <c r="J122" s="66"/>
      <c r="K122" s="67"/>
      <c r="L122" s="29"/>
      <c r="M122" s="46">
        <v>12.894399999999999</v>
      </c>
      <c r="N122" s="46">
        <v>29.577500000000001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</row>
    <row r="123" spans="1:27" ht="12">
      <c r="A123" s="27"/>
      <c r="B123" s="36"/>
      <c r="C123" s="28" t="s">
        <v>30</v>
      </c>
      <c r="D123" s="31">
        <v>34</v>
      </c>
      <c r="E123" s="45">
        <v>123.6632</v>
      </c>
      <c r="F123" s="45">
        <v>37.527900000000002</v>
      </c>
      <c r="G123" s="78"/>
      <c r="H123" s="78"/>
      <c r="I123" s="79"/>
      <c r="J123" s="79"/>
      <c r="K123" s="80"/>
      <c r="L123" s="29"/>
      <c r="M123" s="45">
        <v>124.01519999999999</v>
      </c>
      <c r="N123" s="45">
        <v>37.535200000000003</v>
      </c>
      <c r="O123" s="78"/>
      <c r="P123" s="78"/>
      <c r="Q123" s="79"/>
      <c r="R123" s="79"/>
      <c r="S123" s="80"/>
      <c r="U123" s="8">
        <f>bdrate($E123:$E126,F123:F126,$M123:$M126,N123:N126)</f>
        <v>-1.0823903478737185E-3</v>
      </c>
      <c r="V123" s="9"/>
      <c r="W123" s="10"/>
      <c r="X123" s="29"/>
      <c r="Y123" s="24"/>
      <c r="Z123" s="24"/>
      <c r="AA123" s="27"/>
    </row>
    <row r="124" spans="1:27" ht="12">
      <c r="A124" s="27"/>
      <c r="B124" s="36"/>
      <c r="C124" s="29"/>
      <c r="D124" s="32">
        <v>39</v>
      </c>
      <c r="E124" s="46">
        <v>44.784799999999997</v>
      </c>
      <c r="F124" s="46">
        <v>34.405900000000003</v>
      </c>
      <c r="G124" s="70"/>
      <c r="H124" s="70"/>
      <c r="I124" s="66"/>
      <c r="J124" s="66"/>
      <c r="K124" s="67"/>
      <c r="L124" s="29"/>
      <c r="M124" s="46">
        <v>44.641599999999997</v>
      </c>
      <c r="N124" s="46">
        <v>34.424900000000001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</row>
    <row r="125" spans="1:27" ht="12">
      <c r="A125" s="27"/>
      <c r="B125" s="36"/>
      <c r="C125" s="29"/>
      <c r="D125" s="32">
        <v>42</v>
      </c>
      <c r="E125" s="46">
        <v>19.544799999999999</v>
      </c>
      <c r="F125" s="46">
        <v>31.6187</v>
      </c>
      <c r="G125" s="70"/>
      <c r="H125" s="70"/>
      <c r="I125" s="66"/>
      <c r="J125" s="66"/>
      <c r="K125" s="67"/>
      <c r="L125" s="29"/>
      <c r="M125" s="46">
        <v>19.5472</v>
      </c>
      <c r="N125" s="46">
        <v>31.603200000000001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</row>
    <row r="126" spans="1:27" ht="12.75" thickBot="1">
      <c r="A126" s="27"/>
      <c r="B126" s="36"/>
      <c r="C126" s="29"/>
      <c r="D126" s="32">
        <v>45</v>
      </c>
      <c r="E126" s="46">
        <v>8.7495999999999992</v>
      </c>
      <c r="F126" s="46">
        <v>28.204000000000001</v>
      </c>
      <c r="G126" s="70"/>
      <c r="H126" s="70"/>
      <c r="I126" s="66"/>
      <c r="J126" s="66"/>
      <c r="K126" s="67"/>
      <c r="L126" s="29"/>
      <c r="M126" s="46">
        <v>8.7607999999999997</v>
      </c>
      <c r="N126" s="46">
        <v>28.194099999999999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</row>
    <row r="127" spans="1:27" ht="12">
      <c r="A127" s="27"/>
      <c r="B127" s="36"/>
      <c r="C127" s="28" t="s">
        <v>31</v>
      </c>
      <c r="D127" s="31">
        <v>34</v>
      </c>
      <c r="E127" s="45">
        <v>111.1688</v>
      </c>
      <c r="F127" s="45">
        <v>37.414099999999998</v>
      </c>
      <c r="G127" s="78"/>
      <c r="H127" s="78"/>
      <c r="I127" s="79"/>
      <c r="J127" s="79"/>
      <c r="K127" s="80"/>
      <c r="L127" s="29"/>
      <c r="M127" s="45">
        <v>111.3552</v>
      </c>
      <c r="N127" s="45">
        <v>37.431199999999997</v>
      </c>
      <c r="O127" s="78"/>
      <c r="P127" s="78"/>
      <c r="Q127" s="79"/>
      <c r="R127" s="79"/>
      <c r="S127" s="80"/>
      <c r="U127" s="8">
        <f>bdrate($E127:$E130,F127:F130,$M127:$M130,N127:N130)</f>
        <v>-1.6524546125995521E-3</v>
      </c>
      <c r="V127" s="9"/>
      <c r="W127" s="10"/>
      <c r="X127" s="29"/>
      <c r="Y127" s="24"/>
      <c r="Z127" s="24"/>
      <c r="AA127" s="27"/>
    </row>
    <row r="128" spans="1:27" ht="12">
      <c r="A128" s="27"/>
      <c r="B128" s="36"/>
      <c r="C128" s="29"/>
      <c r="D128" s="32">
        <v>39</v>
      </c>
      <c r="E128" s="46">
        <v>36.613599999999998</v>
      </c>
      <c r="F128" s="46">
        <v>34.266300000000001</v>
      </c>
      <c r="G128" s="70"/>
      <c r="H128" s="70"/>
      <c r="I128" s="66"/>
      <c r="J128" s="66"/>
      <c r="K128" s="67"/>
      <c r="L128" s="29"/>
      <c r="M128" s="46">
        <v>36.955199999999998</v>
      </c>
      <c r="N128" s="46">
        <v>34.282200000000003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</row>
    <row r="129" spans="1:27" ht="12">
      <c r="A129" s="27"/>
      <c r="B129" s="36"/>
      <c r="C129" s="29"/>
      <c r="D129" s="32">
        <v>42</v>
      </c>
      <c r="E129" s="46">
        <v>16.167999999999999</v>
      </c>
      <c r="F129" s="46">
        <v>31.645</v>
      </c>
      <c r="G129" s="70"/>
      <c r="H129" s="70"/>
      <c r="I129" s="66"/>
      <c r="J129" s="66"/>
      <c r="K129" s="67"/>
      <c r="L129" s="29"/>
      <c r="M129" s="46">
        <v>16.104800000000001</v>
      </c>
      <c r="N129" s="46">
        <v>31.6539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</row>
    <row r="130" spans="1:27" ht="12.75" thickBot="1">
      <c r="A130" s="27"/>
      <c r="B130" s="36"/>
      <c r="C130" s="29"/>
      <c r="D130" s="32">
        <v>45</v>
      </c>
      <c r="E130" s="46">
        <v>7.6616</v>
      </c>
      <c r="F130" s="46">
        <v>28.584900000000001</v>
      </c>
      <c r="G130" s="70"/>
      <c r="H130" s="70"/>
      <c r="I130" s="66"/>
      <c r="J130" s="66"/>
      <c r="K130" s="67"/>
      <c r="L130" s="29"/>
      <c r="M130" s="46">
        <v>7.6680000000000001</v>
      </c>
      <c r="N130" s="46">
        <v>28.596599999999999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</row>
    <row r="131" spans="1:27" ht="12">
      <c r="A131" s="27"/>
      <c r="B131" s="36"/>
      <c r="C131" s="28" t="s">
        <v>47</v>
      </c>
      <c r="D131" s="31">
        <v>25</v>
      </c>
      <c r="E131" s="78"/>
      <c r="F131" s="45">
        <v>39.869700000000002</v>
      </c>
      <c r="G131" s="45">
        <v>45.248399999999997</v>
      </c>
      <c r="H131" s="45">
        <v>45.436100000000003</v>
      </c>
      <c r="I131" s="79"/>
      <c r="J131" s="79"/>
      <c r="K131" s="80"/>
      <c r="L131" s="29"/>
      <c r="M131" s="78"/>
      <c r="N131" s="45">
        <v>39.873699999999999</v>
      </c>
      <c r="O131" s="45">
        <v>45.241500000000002</v>
      </c>
      <c r="P131" s="45">
        <v>45.436799999999998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</row>
    <row r="132" spans="1:27" ht="12">
      <c r="A132" s="27"/>
      <c r="B132" s="36"/>
      <c r="C132" s="29"/>
      <c r="D132" s="32">
        <v>30</v>
      </c>
      <c r="E132" s="70"/>
      <c r="F132" s="46">
        <v>37.7376</v>
      </c>
      <c r="G132" s="46">
        <v>43.468899999999998</v>
      </c>
      <c r="H132" s="46">
        <v>43.633600000000001</v>
      </c>
      <c r="I132" s="66"/>
      <c r="J132" s="66"/>
      <c r="K132" s="67"/>
      <c r="L132" s="29"/>
      <c r="M132" s="70"/>
      <c r="N132" s="46">
        <v>37.738799999999998</v>
      </c>
      <c r="O132" s="46">
        <v>43.479500000000002</v>
      </c>
      <c r="P132" s="46">
        <v>43.634700000000002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</row>
    <row r="133" spans="1:27" ht="12">
      <c r="A133" s="27"/>
      <c r="B133" s="36"/>
      <c r="C133" s="29"/>
      <c r="D133" s="32">
        <v>35</v>
      </c>
      <c r="E133" s="70"/>
      <c r="F133" s="46">
        <v>35.480499999999999</v>
      </c>
      <c r="G133" s="46">
        <v>41.880499999999998</v>
      </c>
      <c r="H133" s="46">
        <v>41.893700000000003</v>
      </c>
      <c r="I133" s="66"/>
      <c r="J133" s="66"/>
      <c r="K133" s="67"/>
      <c r="L133" s="29"/>
      <c r="M133" s="70"/>
      <c r="N133" s="46">
        <v>35.480200000000004</v>
      </c>
      <c r="O133" s="46">
        <v>41.889200000000002</v>
      </c>
      <c r="P133" s="46">
        <v>41.902999999999999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</row>
    <row r="134" spans="1:27" ht="12.75" thickBot="1">
      <c r="A134" s="27"/>
      <c r="B134" s="36"/>
      <c r="C134" s="53"/>
      <c r="D134" s="71">
        <v>40</v>
      </c>
      <c r="E134" s="81"/>
      <c r="F134" s="72">
        <v>33.125599999999999</v>
      </c>
      <c r="G134" s="72">
        <v>40.526499999999999</v>
      </c>
      <c r="H134" s="72">
        <v>40.533099999999997</v>
      </c>
      <c r="I134" s="68"/>
      <c r="J134" s="68"/>
      <c r="K134" s="69"/>
      <c r="L134" s="29"/>
      <c r="M134" s="81"/>
      <c r="N134" s="72">
        <v>33.128399999999999</v>
      </c>
      <c r="O134" s="72">
        <v>40.5152</v>
      </c>
      <c r="P134" s="72">
        <v>40.5244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</row>
    <row r="135" spans="1:27" ht="12">
      <c r="A135" s="27"/>
      <c r="B135" s="36"/>
      <c r="C135" s="29" t="s">
        <v>48</v>
      </c>
      <c r="D135" s="32">
        <v>25</v>
      </c>
      <c r="E135" s="70"/>
      <c r="F135" s="45">
        <v>40.358600000000003</v>
      </c>
      <c r="G135" s="45">
        <v>46.1081</v>
      </c>
      <c r="H135" s="45">
        <v>46.1648</v>
      </c>
      <c r="I135" s="66"/>
      <c r="J135" s="66"/>
      <c r="K135" s="67"/>
      <c r="L135" s="29"/>
      <c r="M135" s="70"/>
      <c r="N135" s="45">
        <v>40.356299999999997</v>
      </c>
      <c r="O135" s="45">
        <v>46.103900000000003</v>
      </c>
      <c r="P135" s="45">
        <v>46.164700000000003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</row>
    <row r="136" spans="1:27" ht="12">
      <c r="A136" s="27"/>
      <c r="B136" s="36"/>
      <c r="C136" s="29"/>
      <c r="D136" s="32">
        <v>30</v>
      </c>
      <c r="E136" s="70"/>
      <c r="F136" s="46">
        <v>38.127800000000001</v>
      </c>
      <c r="G136" s="46">
        <v>44.2483</v>
      </c>
      <c r="H136" s="46">
        <v>44.244799999999998</v>
      </c>
      <c r="I136" s="66"/>
      <c r="J136" s="66"/>
      <c r="K136" s="67"/>
      <c r="L136" s="29"/>
      <c r="M136" s="70"/>
      <c r="N136" s="46">
        <v>38.125399999999999</v>
      </c>
      <c r="O136" s="46">
        <v>44.253999999999998</v>
      </c>
      <c r="P136" s="46">
        <v>44.243899999999996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</row>
    <row r="137" spans="1:27" ht="12">
      <c r="A137" s="27"/>
      <c r="B137" s="36"/>
      <c r="C137" s="29"/>
      <c r="D137" s="32">
        <v>35</v>
      </c>
      <c r="E137" s="70"/>
      <c r="F137" s="46">
        <v>35.758800000000001</v>
      </c>
      <c r="G137" s="46">
        <v>42.408999999999999</v>
      </c>
      <c r="H137" s="46">
        <v>42.261299999999999</v>
      </c>
      <c r="I137" s="66"/>
      <c r="J137" s="66"/>
      <c r="K137" s="67"/>
      <c r="L137" s="29"/>
      <c r="M137" s="70"/>
      <c r="N137" s="46">
        <v>35.763399999999997</v>
      </c>
      <c r="O137" s="46">
        <v>42.411799999999999</v>
      </c>
      <c r="P137" s="46">
        <v>42.267899999999997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</row>
    <row r="138" spans="1:27" ht="12.75" thickBot="1">
      <c r="A138" s="27"/>
      <c r="B138" s="36"/>
      <c r="C138" s="53"/>
      <c r="D138" s="71">
        <v>40</v>
      </c>
      <c r="E138" s="81"/>
      <c r="F138" s="46">
        <v>33.302900000000001</v>
      </c>
      <c r="G138" s="72">
        <v>40.897500000000001</v>
      </c>
      <c r="H138" s="72">
        <v>40.763199999999998</v>
      </c>
      <c r="I138" s="68"/>
      <c r="J138" s="68"/>
      <c r="K138" s="69"/>
      <c r="L138" s="29"/>
      <c r="M138" s="81"/>
      <c r="N138" s="46">
        <v>33.307200000000002</v>
      </c>
      <c r="O138" s="72">
        <v>40.888399999999997</v>
      </c>
      <c r="P138" s="72">
        <v>40.756900000000002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</row>
    <row r="139" spans="1:27" ht="12">
      <c r="A139" s="27"/>
      <c r="B139" s="36"/>
      <c r="C139" s="29" t="s">
        <v>49</v>
      </c>
      <c r="D139" s="32">
        <v>25</v>
      </c>
      <c r="E139" s="70"/>
      <c r="F139" s="45">
        <v>40.862699999999997</v>
      </c>
      <c r="G139" s="45">
        <v>46.015599999999999</v>
      </c>
      <c r="H139" s="45">
        <v>46.0916</v>
      </c>
      <c r="I139" s="66"/>
      <c r="J139" s="66"/>
      <c r="K139" s="67"/>
      <c r="L139" s="29"/>
      <c r="M139" s="70"/>
      <c r="N139" s="45">
        <v>40.8643</v>
      </c>
      <c r="O139" s="45">
        <v>46.012599999999999</v>
      </c>
      <c r="P139" s="45">
        <v>46.091099999999997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</row>
    <row r="140" spans="1:27" ht="12">
      <c r="A140" s="27"/>
      <c r="B140" s="36"/>
      <c r="C140" s="29"/>
      <c r="D140" s="32">
        <v>30</v>
      </c>
      <c r="E140" s="70"/>
      <c r="F140" s="46">
        <v>38.608600000000003</v>
      </c>
      <c r="G140" s="46">
        <v>44.270600000000002</v>
      </c>
      <c r="H140" s="46">
        <v>44.241199999999999</v>
      </c>
      <c r="I140" s="66"/>
      <c r="J140" s="66"/>
      <c r="K140" s="67"/>
      <c r="L140" s="29"/>
      <c r="M140" s="70"/>
      <c r="N140" s="46">
        <v>38.6145</v>
      </c>
      <c r="O140" s="46">
        <v>44.27</v>
      </c>
      <c r="P140" s="46">
        <v>44.238599999999998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</row>
    <row r="141" spans="1:27" ht="12">
      <c r="A141" s="27"/>
      <c r="B141" s="36"/>
      <c r="C141" s="29"/>
      <c r="D141" s="32">
        <v>35</v>
      </c>
      <c r="E141" s="70"/>
      <c r="F141" s="46">
        <v>36.169600000000003</v>
      </c>
      <c r="G141" s="46">
        <v>42.339500000000001</v>
      </c>
      <c r="H141" s="46">
        <v>42.195500000000003</v>
      </c>
      <c r="I141" s="66"/>
      <c r="J141" s="66"/>
      <c r="K141" s="67"/>
      <c r="L141" s="29"/>
      <c r="M141" s="70"/>
      <c r="N141" s="46">
        <v>36.1723</v>
      </c>
      <c r="O141" s="46">
        <v>42.3429</v>
      </c>
      <c r="P141" s="46">
        <v>42.199399999999997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</row>
    <row r="142" spans="1:27" ht="12.75" thickBot="1">
      <c r="A142" s="27"/>
      <c r="B142" s="36"/>
      <c r="C142" s="53"/>
      <c r="D142" s="71">
        <v>40</v>
      </c>
      <c r="E142" s="81"/>
      <c r="F142" s="46">
        <v>33.660299999999999</v>
      </c>
      <c r="G142" s="72">
        <v>40.845599999999997</v>
      </c>
      <c r="H142" s="72">
        <v>40.693600000000004</v>
      </c>
      <c r="I142" s="68"/>
      <c r="J142" s="68"/>
      <c r="K142" s="69"/>
      <c r="L142" s="29"/>
      <c r="M142" s="81"/>
      <c r="N142" s="46">
        <v>33.661700000000003</v>
      </c>
      <c r="O142" s="72">
        <v>40.842500000000001</v>
      </c>
      <c r="P142" s="72">
        <v>40.689599999999999</v>
      </c>
      <c r="Q142" s="68"/>
      <c r="R142" s="68"/>
      <c r="S142" s="69"/>
      <c r="U142" s="17"/>
      <c r="V142" s="18"/>
      <c r="W142" s="19"/>
      <c r="X142" s="29"/>
      <c r="Z142" s="61"/>
      <c r="AA142" s="57"/>
    </row>
    <row r="143" spans="1:27" ht="12">
      <c r="A143" s="27"/>
      <c r="B143" s="36"/>
      <c r="C143" s="29" t="s">
        <v>50</v>
      </c>
      <c r="D143" s="32">
        <v>25</v>
      </c>
      <c r="E143" s="70"/>
      <c r="F143" s="45">
        <v>40.869199999999999</v>
      </c>
      <c r="G143" s="45">
        <v>45.855699999999999</v>
      </c>
      <c r="H143" s="45">
        <v>45.9465</v>
      </c>
      <c r="I143" s="66"/>
      <c r="J143" s="66"/>
      <c r="K143" s="67"/>
      <c r="L143" s="29"/>
      <c r="M143" s="70"/>
      <c r="N143" s="45">
        <v>40.874200000000002</v>
      </c>
      <c r="O143" s="45">
        <v>45.857599999999998</v>
      </c>
      <c r="P143" s="45">
        <v>45.946599999999997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</row>
    <row r="144" spans="1:27" ht="12">
      <c r="B144" s="36"/>
      <c r="C144" s="29"/>
      <c r="D144" s="32">
        <v>30</v>
      </c>
      <c r="E144" s="70"/>
      <c r="F144" s="46">
        <v>38.554299999999998</v>
      </c>
      <c r="G144" s="46">
        <v>44.072299999999998</v>
      </c>
      <c r="H144" s="46">
        <v>44.063000000000002</v>
      </c>
      <c r="I144" s="66"/>
      <c r="J144" s="66"/>
      <c r="K144" s="67"/>
      <c r="L144" s="29"/>
      <c r="M144" s="70"/>
      <c r="N144" s="46">
        <v>38.556800000000003</v>
      </c>
      <c r="O144" s="46">
        <v>44.070700000000002</v>
      </c>
      <c r="P144" s="46">
        <v>44.065800000000003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</row>
    <row r="145" spans="1:28" ht="12">
      <c r="B145" s="36"/>
      <c r="C145" s="29"/>
      <c r="D145" s="32">
        <v>35</v>
      </c>
      <c r="E145" s="70"/>
      <c r="F145" s="46">
        <v>36.104100000000003</v>
      </c>
      <c r="G145" s="46">
        <v>42.168999999999997</v>
      </c>
      <c r="H145" s="46">
        <v>41.982399999999998</v>
      </c>
      <c r="I145" s="66"/>
      <c r="J145" s="66"/>
      <c r="K145" s="67"/>
      <c r="L145" s="29"/>
      <c r="M145" s="70"/>
      <c r="N145" s="46">
        <v>36.105699999999999</v>
      </c>
      <c r="O145" s="46">
        <v>42.17</v>
      </c>
      <c r="P145" s="46">
        <v>41.984400000000001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</row>
    <row r="146" spans="1:28" ht="12.75" thickBot="1">
      <c r="B146" s="36"/>
      <c r="C146" s="53"/>
      <c r="D146" s="71">
        <v>40</v>
      </c>
      <c r="E146" s="81"/>
      <c r="F146" s="46">
        <v>33.596299999999999</v>
      </c>
      <c r="G146" s="72">
        <v>40.724400000000003</v>
      </c>
      <c r="H146" s="72">
        <v>40.484699999999997</v>
      </c>
      <c r="I146" s="68"/>
      <c r="J146" s="68"/>
      <c r="K146" s="69"/>
      <c r="L146" s="29"/>
      <c r="M146" s="81"/>
      <c r="N146" s="46">
        <v>33.594499999999996</v>
      </c>
      <c r="O146" s="72">
        <v>40.7239</v>
      </c>
      <c r="P146" s="72">
        <v>40.488599999999998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</row>
    <row r="147" spans="1:28" ht="12">
      <c r="B147" s="36"/>
      <c r="C147" s="29" t="s">
        <v>51</v>
      </c>
      <c r="D147" s="32">
        <v>25</v>
      </c>
      <c r="E147" s="70"/>
      <c r="F147" s="45">
        <v>40.229900000000001</v>
      </c>
      <c r="G147" s="45">
        <v>45.885199999999998</v>
      </c>
      <c r="H147" s="45">
        <v>45.855600000000003</v>
      </c>
      <c r="I147" s="66"/>
      <c r="J147" s="66"/>
      <c r="K147" s="67"/>
      <c r="L147" s="29"/>
      <c r="M147" s="70"/>
      <c r="N147" s="45">
        <v>40.236899999999999</v>
      </c>
      <c r="O147" s="45">
        <v>45.888199999999998</v>
      </c>
      <c r="P147" s="45">
        <v>45.856000000000002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</row>
    <row r="148" spans="1:28" ht="12">
      <c r="B148" s="36"/>
      <c r="C148" s="29"/>
      <c r="D148" s="32">
        <v>30</v>
      </c>
      <c r="E148" s="70"/>
      <c r="F148" s="46">
        <v>37.921300000000002</v>
      </c>
      <c r="G148" s="46">
        <v>44.046700000000001</v>
      </c>
      <c r="H148" s="46">
        <v>43.887099999999997</v>
      </c>
      <c r="I148" s="66"/>
      <c r="J148" s="66"/>
      <c r="K148" s="67"/>
      <c r="L148" s="29"/>
      <c r="M148" s="70"/>
      <c r="N148" s="46">
        <v>37.915700000000001</v>
      </c>
      <c r="O148" s="46">
        <v>44.045499999999997</v>
      </c>
      <c r="P148" s="46">
        <v>43.877000000000002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</row>
    <row r="149" spans="1:28" ht="12">
      <c r="B149" s="36"/>
      <c r="C149" s="29"/>
      <c r="D149" s="32">
        <v>35</v>
      </c>
      <c r="E149" s="70"/>
      <c r="F149" s="46">
        <v>35.532299999999999</v>
      </c>
      <c r="G149" s="46">
        <v>42.226500000000001</v>
      </c>
      <c r="H149" s="46">
        <v>41.851500000000001</v>
      </c>
      <c r="I149" s="66"/>
      <c r="J149" s="66"/>
      <c r="K149" s="67"/>
      <c r="L149" s="29"/>
      <c r="M149" s="70"/>
      <c r="N149" s="46">
        <v>35.548200000000001</v>
      </c>
      <c r="O149" s="46">
        <v>42.2288</v>
      </c>
      <c r="P149" s="46">
        <v>41.863599999999998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</row>
    <row r="150" spans="1:28" ht="12.75" thickBot="1">
      <c r="B150" s="36"/>
      <c r="C150" s="53"/>
      <c r="D150" s="71">
        <v>40</v>
      </c>
      <c r="E150" s="81"/>
      <c r="F150" s="72">
        <v>33.061500000000002</v>
      </c>
      <c r="G150" s="72">
        <v>40.793199999999999</v>
      </c>
      <c r="H150" s="72">
        <v>40.369700000000002</v>
      </c>
      <c r="I150" s="68"/>
      <c r="J150" s="68"/>
      <c r="K150" s="69"/>
      <c r="L150" s="29"/>
      <c r="M150" s="81"/>
      <c r="N150" s="72">
        <v>33.057600000000001</v>
      </c>
      <c r="O150" s="72">
        <v>40.793300000000002</v>
      </c>
      <c r="P150" s="72">
        <v>40.378300000000003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</row>
    <row r="151" spans="1:28" ht="12">
      <c r="B151" s="36"/>
      <c r="C151" s="29" t="s">
        <v>52</v>
      </c>
      <c r="D151" s="32">
        <v>25</v>
      </c>
      <c r="E151" s="70"/>
      <c r="F151" s="45">
        <v>39.9084</v>
      </c>
      <c r="G151" s="45">
        <v>45.073900000000002</v>
      </c>
      <c r="H151" s="45">
        <v>45.032600000000002</v>
      </c>
      <c r="I151" s="66"/>
      <c r="J151" s="66"/>
      <c r="K151" s="67"/>
      <c r="L151" s="29"/>
      <c r="M151" s="70"/>
      <c r="N151" s="45">
        <v>39.906100000000002</v>
      </c>
      <c r="O151" s="45">
        <v>45.074800000000003</v>
      </c>
      <c r="P151" s="45">
        <v>45.032200000000003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">
      <c r="B152" s="36"/>
      <c r="C152" s="29"/>
      <c r="D152" s="32">
        <v>30</v>
      </c>
      <c r="E152" s="70"/>
      <c r="F152" s="46">
        <v>37.5822</v>
      </c>
      <c r="G152" s="46">
        <v>43.371299999999998</v>
      </c>
      <c r="H152" s="46">
        <v>43.145200000000003</v>
      </c>
      <c r="I152" s="66"/>
      <c r="J152" s="66"/>
      <c r="K152" s="67"/>
      <c r="L152" s="29"/>
      <c r="M152" s="70"/>
      <c r="N152" s="46">
        <v>37.587299999999999</v>
      </c>
      <c r="O152" s="46">
        <v>43.365499999999997</v>
      </c>
      <c r="P152" s="46">
        <v>43.135399999999997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</row>
    <row r="153" spans="1:28" ht="12">
      <c r="B153" s="36"/>
      <c r="C153" s="29"/>
      <c r="D153" s="32">
        <v>35</v>
      </c>
      <c r="E153" s="70"/>
      <c r="F153" s="46">
        <v>35.180199999999999</v>
      </c>
      <c r="G153" s="46">
        <v>41.782299999999999</v>
      </c>
      <c r="H153" s="46">
        <v>41.327199999999998</v>
      </c>
      <c r="I153" s="66"/>
      <c r="J153" s="66"/>
      <c r="K153" s="67"/>
      <c r="L153" s="29"/>
      <c r="M153" s="70"/>
      <c r="N153" s="46">
        <v>35.186100000000003</v>
      </c>
      <c r="O153" s="46">
        <v>41.786499999999997</v>
      </c>
      <c r="P153" s="46">
        <v>41.342500000000001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2.75" thickBot="1">
      <c r="B154" s="36"/>
      <c r="C154" s="53"/>
      <c r="D154" s="71">
        <v>40</v>
      </c>
      <c r="E154" s="81"/>
      <c r="F154" s="72">
        <v>32.693100000000001</v>
      </c>
      <c r="G154" s="72">
        <v>40.497</v>
      </c>
      <c r="H154" s="72">
        <v>39.967399999999998</v>
      </c>
      <c r="I154" s="68"/>
      <c r="J154" s="68"/>
      <c r="K154" s="69"/>
      <c r="L154" s="29"/>
      <c r="M154" s="81"/>
      <c r="N154" s="72">
        <v>32.690899999999999</v>
      </c>
      <c r="O154" s="72">
        <v>40.496600000000001</v>
      </c>
      <c r="P154" s="72">
        <v>39.975999999999999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">
      <c r="B155" s="36"/>
      <c r="C155" s="29" t="s">
        <v>12</v>
      </c>
      <c r="D155" s="32">
        <v>25</v>
      </c>
      <c r="E155" s="45">
        <v>2045.5583999999999</v>
      </c>
      <c r="F155" s="70"/>
      <c r="G155" s="70"/>
      <c r="H155" s="70"/>
      <c r="I155" s="45">
        <v>20705.71</v>
      </c>
      <c r="J155" s="45">
        <v>33.1</v>
      </c>
      <c r="K155" s="45">
        <v>322.7</v>
      </c>
      <c r="L155" s="29"/>
      <c r="M155" s="45">
        <v>2045.9703999999999</v>
      </c>
      <c r="N155" s="70"/>
      <c r="O155" s="70"/>
      <c r="P155" s="70"/>
      <c r="Q155" s="45">
        <v>20738.48</v>
      </c>
      <c r="R155" s="45">
        <v>33.53</v>
      </c>
      <c r="S155" s="45">
        <v>325.05</v>
      </c>
      <c r="T155" s="24"/>
      <c r="U155" s="8"/>
      <c r="V155" s="9"/>
      <c r="W155" s="10"/>
      <c r="X155" s="29"/>
      <c r="Y155" s="61">
        <f>GEOMEAN(Q155:Q158)/GEOMEAN(I155:I158)</f>
        <v>1.001689975551139</v>
      </c>
      <c r="Z155" s="61">
        <f>GEOMEAN(R155:R158)/GEOMEAN(J155:J158)</f>
        <v>0.96555237945840922</v>
      </c>
      <c r="AA155" s="57">
        <f>GEOMEAN(S155:S158)/GEOMEAN(K155:K158)</f>
        <v>0.9900907999477544</v>
      </c>
      <c r="AB155" s="24"/>
    </row>
    <row r="156" spans="1:28" ht="12">
      <c r="B156" s="36"/>
      <c r="C156" s="29"/>
      <c r="D156" s="32">
        <v>30</v>
      </c>
      <c r="E156" s="46">
        <v>942.09280000000001</v>
      </c>
      <c r="F156" s="70"/>
      <c r="G156" s="70"/>
      <c r="H156" s="70"/>
      <c r="I156" s="46">
        <v>16603.71</v>
      </c>
      <c r="J156" s="46">
        <v>33.24</v>
      </c>
      <c r="K156" s="46">
        <v>337.07</v>
      </c>
      <c r="L156" s="29"/>
      <c r="M156" s="46">
        <v>942.19759999999997</v>
      </c>
      <c r="N156" s="70"/>
      <c r="O156" s="70"/>
      <c r="P156" s="70"/>
      <c r="Q156" s="46">
        <v>16497.73</v>
      </c>
      <c r="R156" s="46">
        <v>31.46</v>
      </c>
      <c r="S156" s="46">
        <v>332.42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">
      <c r="B157" s="36"/>
      <c r="C157" s="29"/>
      <c r="D157" s="32">
        <v>35</v>
      </c>
      <c r="E157" s="46">
        <v>491.27120000000002</v>
      </c>
      <c r="F157" s="70"/>
      <c r="G157" s="70"/>
      <c r="H157" s="70"/>
      <c r="I157" s="46">
        <v>14550.43</v>
      </c>
      <c r="J157" s="46">
        <v>30.07</v>
      </c>
      <c r="K157" s="46">
        <v>332.56</v>
      </c>
      <c r="L157" s="29"/>
      <c r="M157" s="46">
        <v>491.392</v>
      </c>
      <c r="N157" s="70"/>
      <c r="O157" s="70"/>
      <c r="P157" s="70"/>
      <c r="Q157" s="46">
        <v>14592.05</v>
      </c>
      <c r="R157" s="46">
        <v>28.76</v>
      </c>
      <c r="S157" s="46">
        <v>324.3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2.75" thickBot="1">
      <c r="B158" s="52"/>
      <c r="C158" s="53"/>
      <c r="D158" s="71">
        <v>40</v>
      </c>
      <c r="E158" s="72">
        <v>274.30079999999998</v>
      </c>
      <c r="F158" s="81"/>
      <c r="G158" s="81"/>
      <c r="H158" s="81"/>
      <c r="I158" s="72">
        <v>13126.32</v>
      </c>
      <c r="J158" s="72">
        <v>29.92</v>
      </c>
      <c r="K158" s="72">
        <v>336.85</v>
      </c>
      <c r="L158" s="29"/>
      <c r="M158" s="72">
        <v>274.24720000000002</v>
      </c>
      <c r="N158" s="81"/>
      <c r="O158" s="81"/>
      <c r="P158" s="81"/>
      <c r="Q158" s="72">
        <v>13241.28</v>
      </c>
      <c r="R158" s="72">
        <v>28.36</v>
      </c>
      <c r="S158" s="72">
        <v>334.15</v>
      </c>
      <c r="T158" s="24"/>
      <c r="U158" s="85"/>
      <c r="V158" s="86"/>
      <c r="W158" s="87"/>
      <c r="X158" s="29"/>
      <c r="Y158" s="49"/>
      <c r="Z158" s="49"/>
      <c r="AA158" s="54"/>
      <c r="AB158" s="24"/>
    </row>
    <row r="159" spans="1:28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3708.5448000000001</v>
      </c>
      <c r="F159" s="45">
        <v>40.2517</v>
      </c>
      <c r="G159" s="45">
        <v>45.456499999999998</v>
      </c>
      <c r="H159" s="45">
        <v>46.296399999999998</v>
      </c>
      <c r="I159" s="79"/>
      <c r="J159" s="79"/>
      <c r="K159" s="80"/>
      <c r="L159" s="29"/>
      <c r="M159" s="45">
        <v>3708.5448000000001</v>
      </c>
      <c r="N159" s="45">
        <v>40.2517</v>
      </c>
      <c r="O159" s="45">
        <v>45.456499999999998</v>
      </c>
      <c r="P159" s="45">
        <v>46.296399999999998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">
      <c r="B160" s="36"/>
      <c r="C160" s="29"/>
      <c r="D160" s="32">
        <v>30</v>
      </c>
      <c r="E160" s="46">
        <v>1617.7616</v>
      </c>
      <c r="F160" s="46">
        <v>37.822899999999997</v>
      </c>
      <c r="G160" s="46">
        <v>43.637799999999999</v>
      </c>
      <c r="H160" s="46">
        <v>44.453800000000001</v>
      </c>
      <c r="I160" s="66"/>
      <c r="J160" s="66"/>
      <c r="K160" s="67"/>
      <c r="L160" s="29"/>
      <c r="M160" s="46">
        <v>1617.7616</v>
      </c>
      <c r="N160" s="46">
        <v>37.822899999999997</v>
      </c>
      <c r="O160" s="46">
        <v>43.637799999999999</v>
      </c>
      <c r="P160" s="46">
        <v>44.453800000000001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">
      <c r="B161" s="36"/>
      <c r="C161" s="29"/>
      <c r="D161" s="32">
        <v>35</v>
      </c>
      <c r="E161" s="46">
        <v>756.52560000000005</v>
      </c>
      <c r="F161" s="46">
        <v>35.622999999999998</v>
      </c>
      <c r="G161" s="46">
        <v>41.788400000000003</v>
      </c>
      <c r="H161" s="46">
        <v>42.622100000000003</v>
      </c>
      <c r="I161" s="66"/>
      <c r="J161" s="66"/>
      <c r="K161" s="67"/>
      <c r="L161" s="29"/>
      <c r="M161" s="46">
        <v>756.52560000000005</v>
      </c>
      <c r="N161" s="46">
        <v>35.622999999999998</v>
      </c>
      <c r="O161" s="46">
        <v>41.788400000000003</v>
      </c>
      <c r="P161" s="46">
        <v>42.622100000000003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2.75" thickBot="1">
      <c r="B162" s="36"/>
      <c r="C162" s="29"/>
      <c r="D162" s="32">
        <v>40</v>
      </c>
      <c r="E162" s="46">
        <v>365.44959999999998</v>
      </c>
      <c r="F162" s="46">
        <v>33.464199999999998</v>
      </c>
      <c r="G162" s="46">
        <v>40.570999999999998</v>
      </c>
      <c r="H162" s="46">
        <v>41.399299999999997</v>
      </c>
      <c r="I162" s="66"/>
      <c r="J162" s="66"/>
      <c r="K162" s="67"/>
      <c r="L162" s="29"/>
      <c r="M162" s="46">
        <v>365.44959999999998</v>
      </c>
      <c r="N162" s="46">
        <v>33.464199999999998</v>
      </c>
      <c r="O162" s="46">
        <v>40.570999999999998</v>
      </c>
      <c r="P162" s="46">
        <v>41.399299999999997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">
      <c r="B163" s="36"/>
      <c r="C163" s="28" t="s">
        <v>27</v>
      </c>
      <c r="D163" s="31">
        <v>25</v>
      </c>
      <c r="E163" s="45">
        <v>544.25919999999996</v>
      </c>
      <c r="F163" s="45">
        <v>39.744999999999997</v>
      </c>
      <c r="G163" s="45">
        <v>45.330300000000001</v>
      </c>
      <c r="H163" s="45">
        <v>46.179900000000004</v>
      </c>
      <c r="I163" s="79"/>
      <c r="J163" s="79"/>
      <c r="K163" s="80"/>
      <c r="L163" s="29"/>
      <c r="M163" s="45">
        <v>544.0616</v>
      </c>
      <c r="N163" s="45">
        <v>39.744900000000001</v>
      </c>
      <c r="O163" s="45">
        <v>45.331200000000003</v>
      </c>
      <c r="P163" s="45">
        <v>46.178899999999999</v>
      </c>
      <c r="Q163" s="79"/>
      <c r="R163" s="79"/>
      <c r="S163" s="80"/>
      <c r="T163" s="24"/>
      <c r="U163" s="8">
        <f>bdrate($E163:$E166,F163:F166,$M163:$M166,N163:N166)</f>
        <v>4.7791185555090543E-4</v>
      </c>
      <c r="V163" s="9">
        <f>bdrate($E163:$E166,G163:G166,$M163:$M166,O163:O166)</f>
        <v>1.9818300326490679E-4</v>
      </c>
      <c r="W163" s="10">
        <f>bdrate($E163:$E166,H163:H166,$M163:$M166,P163:P166)</f>
        <v>2.8630490794956387E-4</v>
      </c>
      <c r="X163" s="29"/>
      <c r="Y163" s="24"/>
      <c r="Z163" s="24"/>
      <c r="AA163" s="27"/>
      <c r="AB163" s="24"/>
    </row>
    <row r="164" spans="1:28" ht="12">
      <c r="A164" s="24"/>
      <c r="B164" s="36"/>
      <c r="C164" s="29"/>
      <c r="D164" s="32">
        <v>30</v>
      </c>
      <c r="E164" s="46">
        <v>200.6472</v>
      </c>
      <c r="F164" s="46">
        <v>37.472200000000001</v>
      </c>
      <c r="G164" s="46">
        <v>43.5809</v>
      </c>
      <c r="H164" s="46">
        <v>44.405000000000001</v>
      </c>
      <c r="I164" s="66"/>
      <c r="J164" s="66"/>
      <c r="K164" s="67"/>
      <c r="L164" s="29"/>
      <c r="M164" s="46">
        <v>200.63759999999999</v>
      </c>
      <c r="N164" s="46">
        <v>37.471800000000002</v>
      </c>
      <c r="O164" s="46">
        <v>43.580300000000001</v>
      </c>
      <c r="P164" s="46">
        <v>44.404499999999999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">
      <c r="B165" s="36"/>
      <c r="C165" s="29"/>
      <c r="D165" s="32">
        <v>35</v>
      </c>
      <c r="E165" s="46">
        <v>87.037599999999998</v>
      </c>
      <c r="F165" s="46">
        <v>35.3797</v>
      </c>
      <c r="G165" s="46">
        <v>41.781700000000001</v>
      </c>
      <c r="H165" s="46">
        <v>42.627099999999999</v>
      </c>
      <c r="I165" s="66"/>
      <c r="J165" s="66"/>
      <c r="K165" s="67"/>
      <c r="L165" s="29"/>
      <c r="M165" s="46">
        <v>87.163200000000003</v>
      </c>
      <c r="N165" s="46">
        <v>35.380000000000003</v>
      </c>
      <c r="O165" s="46">
        <v>41.7834</v>
      </c>
      <c r="P165" s="46">
        <v>42.628900000000002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</row>
    <row r="166" spans="1:28" ht="12.75" thickBot="1">
      <c r="B166" s="36"/>
      <c r="C166" s="29"/>
      <c r="D166" s="32">
        <v>40</v>
      </c>
      <c r="E166" s="46">
        <v>41.138399999999997</v>
      </c>
      <c r="F166" s="46">
        <v>33.290599999999998</v>
      </c>
      <c r="G166" s="46">
        <v>40.557499999999997</v>
      </c>
      <c r="H166" s="46">
        <v>41.395800000000001</v>
      </c>
      <c r="I166" s="66"/>
      <c r="J166" s="66"/>
      <c r="K166" s="67"/>
      <c r="L166" s="29"/>
      <c r="M166" s="46">
        <v>41.131999999999998</v>
      </c>
      <c r="N166" s="46">
        <v>33.290199999999999</v>
      </c>
      <c r="O166" s="46">
        <v>40.556800000000003</v>
      </c>
      <c r="P166" s="46">
        <v>41.395600000000002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</row>
    <row r="167" spans="1:28" ht="12">
      <c r="B167" s="36"/>
      <c r="C167" s="28" t="s">
        <v>28</v>
      </c>
      <c r="D167" s="31">
        <v>25</v>
      </c>
      <c r="E167" s="45">
        <v>566.99839999999995</v>
      </c>
      <c r="F167" s="45">
        <v>39.709099999999999</v>
      </c>
      <c r="G167" s="45">
        <v>45.289900000000003</v>
      </c>
      <c r="H167" s="45">
        <v>46.1434</v>
      </c>
      <c r="I167" s="79"/>
      <c r="J167" s="79"/>
      <c r="K167" s="80"/>
      <c r="L167" s="29"/>
      <c r="M167" s="45">
        <v>567.34640000000002</v>
      </c>
      <c r="N167" s="45">
        <v>39.709099999999999</v>
      </c>
      <c r="O167" s="45">
        <v>45.289900000000003</v>
      </c>
      <c r="P167" s="45">
        <v>46.144100000000002</v>
      </c>
      <c r="Q167" s="79"/>
      <c r="R167" s="79"/>
      <c r="S167" s="80"/>
      <c r="T167" s="65"/>
      <c r="U167" s="8">
        <f>bdrate($E167:$E170,F167:F170,$M167:$M170,N167:N170)</f>
        <v>8.5671029304901225E-5</v>
      </c>
      <c r="V167" s="9">
        <f>bdrate($E167:$E170,G167:G170,$M167:$M170,O167:O170)</f>
        <v>5.2257870067906609E-4</v>
      </c>
      <c r="W167" s="10">
        <f>bdrate($E167:$E170,H167:H170,$M167:$M170,P167:P170)</f>
        <v>2.259827319950336E-4</v>
      </c>
      <c r="X167" s="29"/>
      <c r="Y167" s="24"/>
      <c r="Z167" s="24"/>
      <c r="AA167" s="27"/>
      <c r="AB167" s="24"/>
    </row>
    <row r="168" spans="1:28" ht="12">
      <c r="B168" s="36"/>
      <c r="C168" s="29"/>
      <c r="D168" s="32">
        <v>30</v>
      </c>
      <c r="E168" s="46">
        <v>211.04320000000001</v>
      </c>
      <c r="F168" s="46">
        <v>37.427300000000002</v>
      </c>
      <c r="G168" s="46">
        <v>43.536499999999997</v>
      </c>
      <c r="H168" s="46">
        <v>44.368299999999998</v>
      </c>
      <c r="I168" s="66"/>
      <c r="J168" s="66"/>
      <c r="K168" s="67"/>
      <c r="L168" s="29"/>
      <c r="M168" s="46">
        <v>211.05439999999999</v>
      </c>
      <c r="N168" s="46">
        <v>37.4285</v>
      </c>
      <c r="O168" s="46">
        <v>43.534599999999998</v>
      </c>
      <c r="P168" s="46">
        <v>44.368200000000002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</row>
    <row r="169" spans="1:28" ht="12">
      <c r="B169" s="36"/>
      <c r="C169" s="29"/>
      <c r="D169" s="32">
        <v>35</v>
      </c>
      <c r="E169" s="46">
        <v>92.391199999999998</v>
      </c>
      <c r="F169" s="46">
        <v>35.3245</v>
      </c>
      <c r="G169" s="46">
        <v>41.739600000000003</v>
      </c>
      <c r="H169" s="46">
        <v>42.582299999999996</v>
      </c>
      <c r="I169" s="66"/>
      <c r="J169" s="66"/>
      <c r="K169" s="67"/>
      <c r="L169" s="29"/>
      <c r="M169" s="46">
        <v>92.452799999999996</v>
      </c>
      <c r="N169" s="46">
        <v>35.323700000000002</v>
      </c>
      <c r="O169" s="46">
        <v>41.739800000000002</v>
      </c>
      <c r="P169" s="46">
        <v>42.582000000000001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</row>
    <row r="170" spans="1:28" ht="12.75" thickBot="1">
      <c r="B170" s="36"/>
      <c r="C170" s="53"/>
      <c r="D170" s="71">
        <v>40</v>
      </c>
      <c r="E170" s="72">
        <v>44.648000000000003</v>
      </c>
      <c r="F170" s="72">
        <v>33.227499999999999</v>
      </c>
      <c r="G170" s="72">
        <v>40.510100000000001</v>
      </c>
      <c r="H170" s="72">
        <v>41.354399999999998</v>
      </c>
      <c r="I170" s="68"/>
      <c r="J170" s="68"/>
      <c r="K170" s="69"/>
      <c r="L170" s="29"/>
      <c r="M170" s="72">
        <v>44.566400000000002</v>
      </c>
      <c r="N170" s="72">
        <v>33.226199999999999</v>
      </c>
      <c r="O170" s="72">
        <v>40.5105</v>
      </c>
      <c r="P170" s="72">
        <v>41.353700000000003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</row>
    <row r="171" spans="1:28" ht="12">
      <c r="B171" s="36"/>
      <c r="C171" s="28" t="s">
        <v>29</v>
      </c>
      <c r="D171" s="31">
        <v>34</v>
      </c>
      <c r="E171" s="45">
        <v>282.49200000000002</v>
      </c>
      <c r="F171" s="45">
        <v>43.716200000000001</v>
      </c>
      <c r="G171" s="78"/>
      <c r="H171" s="78"/>
      <c r="I171" s="79"/>
      <c r="J171" s="79"/>
      <c r="K171" s="80"/>
      <c r="L171" s="29"/>
      <c r="M171" s="45">
        <v>282.49200000000002</v>
      </c>
      <c r="N171" s="45">
        <v>43.716200000000001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">
      <c r="B172" s="36"/>
      <c r="C172" s="29"/>
      <c r="D172" s="32">
        <v>39</v>
      </c>
      <c r="E172" s="46">
        <v>102.34399999999999</v>
      </c>
      <c r="F172" s="46">
        <v>39.796300000000002</v>
      </c>
      <c r="G172" s="70"/>
      <c r="H172" s="70"/>
      <c r="I172" s="66"/>
      <c r="J172" s="66"/>
      <c r="K172" s="67"/>
      <c r="L172" s="29"/>
      <c r="M172" s="46">
        <v>102.34399999999999</v>
      </c>
      <c r="N172" s="46">
        <v>39.796300000000002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">
      <c r="B173" s="36"/>
      <c r="C173" s="29"/>
      <c r="D173" s="32">
        <v>42</v>
      </c>
      <c r="E173" s="46">
        <v>43.236800000000002</v>
      </c>
      <c r="F173" s="46">
        <v>35.781599999999997</v>
      </c>
      <c r="G173" s="70"/>
      <c r="H173" s="70"/>
      <c r="I173" s="66"/>
      <c r="J173" s="66"/>
      <c r="K173" s="67"/>
      <c r="L173" s="29"/>
      <c r="M173" s="46">
        <v>43.236800000000002</v>
      </c>
      <c r="N173" s="46">
        <v>35.781599999999997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2.75" thickBot="1">
      <c r="B174" s="36"/>
      <c r="C174" s="29"/>
      <c r="D174" s="32">
        <v>45</v>
      </c>
      <c r="E174" s="46">
        <v>19.217600000000001</v>
      </c>
      <c r="F174" s="46">
        <v>32.482300000000002</v>
      </c>
      <c r="G174" s="70"/>
      <c r="H174" s="70"/>
      <c r="I174" s="66"/>
      <c r="J174" s="66"/>
      <c r="K174" s="67"/>
      <c r="L174" s="29"/>
      <c r="M174" s="46">
        <v>19.217600000000001</v>
      </c>
      <c r="N174" s="46">
        <v>32.482300000000002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</row>
    <row r="175" spans="1:28" ht="12">
      <c r="B175" s="36"/>
      <c r="C175" s="28" t="s">
        <v>30</v>
      </c>
      <c r="D175" s="31">
        <v>34</v>
      </c>
      <c r="E175" s="45">
        <v>88.88</v>
      </c>
      <c r="F175" s="45">
        <v>42.891399999999997</v>
      </c>
      <c r="G175" s="78"/>
      <c r="H175" s="78"/>
      <c r="I175" s="79"/>
      <c r="J175" s="79"/>
      <c r="K175" s="80"/>
      <c r="L175" s="29"/>
      <c r="M175" s="45">
        <v>88.753600000000006</v>
      </c>
      <c r="N175" s="45">
        <v>42.849400000000003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3.5408465980575343E-3</v>
      </c>
      <c r="V175" s="9"/>
      <c r="W175" s="10"/>
      <c r="X175" s="29"/>
      <c r="Y175" s="24"/>
      <c r="Z175" s="24"/>
      <c r="AA175" s="27"/>
      <c r="AB175" s="24"/>
    </row>
    <row r="176" spans="1:28" ht="12">
      <c r="B176" s="36"/>
      <c r="C176" s="29"/>
      <c r="D176" s="32">
        <v>39</v>
      </c>
      <c r="E176" s="46">
        <v>27.947199999999999</v>
      </c>
      <c r="F176" s="46">
        <v>39.081200000000003</v>
      </c>
      <c r="G176" s="70">
        <v>99.782499999999999</v>
      </c>
      <c r="H176" s="70">
        <v>99.782499999999999</v>
      </c>
      <c r="I176" s="66"/>
      <c r="J176" s="66"/>
      <c r="K176" s="67"/>
      <c r="L176" s="29"/>
      <c r="M176" s="46">
        <v>27.960799999999999</v>
      </c>
      <c r="N176" s="46">
        <v>39.106400000000001</v>
      </c>
      <c r="O176" s="70">
        <v>99.782499999999999</v>
      </c>
      <c r="P176" s="70">
        <v>99.782499999999999</v>
      </c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">
      <c r="B177" s="36"/>
      <c r="C177" s="29"/>
      <c r="D177" s="32">
        <v>42</v>
      </c>
      <c r="E177" s="46">
        <v>11.9712</v>
      </c>
      <c r="F177" s="46">
        <v>35.265000000000001</v>
      </c>
      <c r="G177" s="70">
        <v>99.356300000000005</v>
      </c>
      <c r="H177" s="70">
        <v>99.356300000000005</v>
      </c>
      <c r="I177" s="66"/>
      <c r="J177" s="66"/>
      <c r="K177" s="67"/>
      <c r="L177" s="29"/>
      <c r="M177" s="46">
        <v>12.1296</v>
      </c>
      <c r="N177" s="46">
        <v>35.281799999999997</v>
      </c>
      <c r="O177" s="70">
        <v>99.356300000000005</v>
      </c>
      <c r="P177" s="70">
        <v>99.356300000000005</v>
      </c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2.75" thickBot="1">
      <c r="B178" s="36"/>
      <c r="C178" s="29"/>
      <c r="D178" s="32">
        <v>45</v>
      </c>
      <c r="E178" s="46">
        <v>6.2336</v>
      </c>
      <c r="F178" s="46">
        <v>31.8645</v>
      </c>
      <c r="G178" s="70">
        <v>99.295500000000004</v>
      </c>
      <c r="H178" s="70">
        <v>99.295500000000004</v>
      </c>
      <c r="I178" s="66"/>
      <c r="J178" s="66"/>
      <c r="K178" s="67"/>
      <c r="L178" s="29"/>
      <c r="M178" s="46">
        <v>6.3175999999999997</v>
      </c>
      <c r="N178" s="46">
        <v>31.906300000000002</v>
      </c>
      <c r="O178" s="70">
        <v>99.295500000000004</v>
      </c>
      <c r="P178" s="70">
        <v>99.295500000000004</v>
      </c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">
      <c r="B179" s="36"/>
      <c r="C179" s="28" t="s">
        <v>31</v>
      </c>
      <c r="D179" s="31">
        <v>34</v>
      </c>
      <c r="E179" s="45">
        <v>91.888000000000005</v>
      </c>
      <c r="F179" s="45">
        <v>42.812600000000003</v>
      </c>
      <c r="G179" s="78">
        <v>99.722300000000004</v>
      </c>
      <c r="H179" s="78">
        <v>99.722300000000004</v>
      </c>
      <c r="I179" s="79"/>
      <c r="J179" s="79"/>
      <c r="K179" s="80"/>
      <c r="L179" s="29"/>
      <c r="M179" s="45">
        <v>91.247200000000007</v>
      </c>
      <c r="N179" s="45">
        <v>42.804900000000004</v>
      </c>
      <c r="O179" s="78">
        <v>99.722300000000004</v>
      </c>
      <c r="P179" s="78">
        <v>99.722300000000004</v>
      </c>
      <c r="Q179" s="79"/>
      <c r="R179" s="79"/>
      <c r="S179" s="80"/>
      <c r="T179" s="24"/>
      <c r="U179" s="8">
        <f>bdrate($E179:$E182,F179:F182,$M179:$M182,N179:N182)</f>
        <v>4.8120771355046887E-3</v>
      </c>
      <c r="V179" s="9"/>
      <c r="W179" s="10"/>
      <c r="X179" s="29"/>
      <c r="Y179" s="24"/>
      <c r="Z179" s="24"/>
      <c r="AA179" s="27"/>
      <c r="AB179" s="24"/>
    </row>
    <row r="180" spans="2:28" ht="12">
      <c r="B180" s="36"/>
      <c r="C180" s="29"/>
      <c r="D180" s="32">
        <v>39</v>
      </c>
      <c r="E180" s="46">
        <v>29.068000000000001</v>
      </c>
      <c r="F180" s="46">
        <v>39.155299999999997</v>
      </c>
      <c r="G180" s="70"/>
      <c r="H180" s="70"/>
      <c r="I180" s="66"/>
      <c r="J180" s="66"/>
      <c r="K180" s="67"/>
      <c r="L180" s="29"/>
      <c r="M180" s="46">
        <v>29.201599999999999</v>
      </c>
      <c r="N180" s="46">
        <v>39.150100000000002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">
      <c r="B181" s="36"/>
      <c r="C181" s="29"/>
      <c r="D181" s="32">
        <v>42</v>
      </c>
      <c r="E181" s="46">
        <v>12.526400000000001</v>
      </c>
      <c r="F181" s="46">
        <v>35.343000000000004</v>
      </c>
      <c r="G181" s="70"/>
      <c r="H181" s="70"/>
      <c r="I181" s="66"/>
      <c r="J181" s="66"/>
      <c r="K181" s="67"/>
      <c r="L181" s="29"/>
      <c r="M181" s="46">
        <v>12.564</v>
      </c>
      <c r="N181" s="46">
        <v>35.321199999999997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</row>
    <row r="182" spans="2:28" ht="12.75" thickBot="1">
      <c r="B182" s="36"/>
      <c r="C182" s="29"/>
      <c r="D182" s="32">
        <v>45</v>
      </c>
      <c r="E182" s="46">
        <v>6.3423999999999996</v>
      </c>
      <c r="F182" s="46">
        <v>32.042000000000002</v>
      </c>
      <c r="G182" s="70"/>
      <c r="H182" s="70"/>
      <c r="I182" s="66"/>
      <c r="J182" s="66"/>
      <c r="K182" s="67"/>
      <c r="L182" s="29"/>
      <c r="M182" s="46">
        <v>6.3263999999999996</v>
      </c>
      <c r="N182" s="46">
        <v>32.020400000000002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</row>
    <row r="183" spans="2:28" ht="12">
      <c r="B183" s="36"/>
      <c r="C183" s="28" t="s">
        <v>47</v>
      </c>
      <c r="D183" s="31">
        <v>25</v>
      </c>
      <c r="E183" s="78"/>
      <c r="F183" s="45">
        <v>39.78</v>
      </c>
      <c r="G183" s="45">
        <v>46.5154</v>
      </c>
      <c r="H183" s="45">
        <v>46.437199999999997</v>
      </c>
      <c r="I183" s="79"/>
      <c r="J183" s="79"/>
      <c r="K183" s="80"/>
      <c r="L183" s="29"/>
      <c r="M183" s="78"/>
      <c r="N183" s="45">
        <v>39.78</v>
      </c>
      <c r="O183" s="45">
        <v>46.5154</v>
      </c>
      <c r="P183" s="45">
        <v>46.448399999999999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</row>
    <row r="184" spans="2:28" ht="12">
      <c r="B184" s="36"/>
      <c r="C184" s="29"/>
      <c r="D184" s="32">
        <v>30</v>
      </c>
      <c r="E184" s="70"/>
      <c r="F184" s="46">
        <v>37.5501</v>
      </c>
      <c r="G184" s="46">
        <v>44.745199999999997</v>
      </c>
      <c r="H184" s="46">
        <v>45.033099999999997</v>
      </c>
      <c r="I184" s="66"/>
      <c r="J184" s="66"/>
      <c r="K184" s="67"/>
      <c r="L184" s="29"/>
      <c r="M184" s="70"/>
      <c r="N184" s="46">
        <v>37.545900000000003</v>
      </c>
      <c r="O184" s="46">
        <v>44.749000000000002</v>
      </c>
      <c r="P184" s="46">
        <v>45.022399999999998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</row>
    <row r="185" spans="2:28" ht="12">
      <c r="B185" s="36"/>
      <c r="C185" s="29"/>
      <c r="D185" s="32">
        <v>35</v>
      </c>
      <c r="E185" s="70"/>
      <c r="F185" s="46">
        <v>35.475900000000003</v>
      </c>
      <c r="G185" s="46">
        <v>42.770299999999999</v>
      </c>
      <c r="H185" s="46">
        <v>43.3172</v>
      </c>
      <c r="I185" s="66"/>
      <c r="J185" s="66"/>
      <c r="K185" s="67"/>
      <c r="L185" s="29"/>
      <c r="M185" s="70"/>
      <c r="N185" s="46">
        <v>35.476100000000002</v>
      </c>
      <c r="O185" s="46">
        <v>42.7453</v>
      </c>
      <c r="P185" s="46">
        <v>43.311500000000002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</row>
    <row r="186" spans="2:28" ht="12.75" thickBot="1">
      <c r="B186" s="36"/>
      <c r="C186" s="53"/>
      <c r="D186" s="71">
        <v>40</v>
      </c>
      <c r="E186" s="81"/>
      <c r="F186" s="72">
        <v>33.3872</v>
      </c>
      <c r="G186" s="72">
        <v>41.415999999999997</v>
      </c>
      <c r="H186" s="72">
        <v>42.064399999999999</v>
      </c>
      <c r="I186" s="68"/>
      <c r="J186" s="68"/>
      <c r="K186" s="69"/>
      <c r="L186" s="29"/>
      <c r="M186" s="81"/>
      <c r="N186" s="72">
        <v>33.386400000000002</v>
      </c>
      <c r="O186" s="72">
        <v>41.430500000000002</v>
      </c>
      <c r="P186" s="72">
        <v>42.075099999999999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</row>
    <row r="187" spans="2:28" ht="12">
      <c r="B187" s="36"/>
      <c r="C187" s="29" t="s">
        <v>48</v>
      </c>
      <c r="D187" s="32">
        <v>25</v>
      </c>
      <c r="E187" s="70"/>
      <c r="F187" s="45">
        <v>39.946199999999997</v>
      </c>
      <c r="G187" s="45">
        <v>46.323</v>
      </c>
      <c r="H187" s="45">
        <v>46.741100000000003</v>
      </c>
      <c r="I187" s="66"/>
      <c r="J187" s="66"/>
      <c r="K187" s="67"/>
      <c r="L187" s="29"/>
      <c r="M187" s="70"/>
      <c r="N187" s="45">
        <v>39.941800000000001</v>
      </c>
      <c r="O187" s="45">
        <v>46.3127</v>
      </c>
      <c r="P187" s="45">
        <v>46.749499999999998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</row>
    <row r="188" spans="2:28" ht="12">
      <c r="B188" s="36"/>
      <c r="C188" s="29"/>
      <c r="D188" s="32">
        <v>30</v>
      </c>
      <c r="E188" s="70"/>
      <c r="F188" s="46">
        <v>37.676900000000003</v>
      </c>
      <c r="G188" s="46">
        <v>44.658499999999997</v>
      </c>
      <c r="H188" s="46">
        <v>45.177399999999999</v>
      </c>
      <c r="I188" s="66"/>
      <c r="J188" s="66"/>
      <c r="K188" s="67"/>
      <c r="L188" s="29"/>
      <c r="M188" s="70"/>
      <c r="N188" s="46">
        <v>37.6768</v>
      </c>
      <c r="O188" s="46">
        <v>44.6721</v>
      </c>
      <c r="P188" s="46">
        <v>45.183700000000002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</row>
    <row r="189" spans="2:28" ht="12">
      <c r="B189" s="36"/>
      <c r="C189" s="29"/>
      <c r="D189" s="32">
        <v>35</v>
      </c>
      <c r="E189" s="70"/>
      <c r="F189" s="46">
        <v>35.565300000000001</v>
      </c>
      <c r="G189" s="46">
        <v>42.779200000000003</v>
      </c>
      <c r="H189" s="46">
        <v>43.424199999999999</v>
      </c>
      <c r="I189" s="66"/>
      <c r="J189" s="66"/>
      <c r="K189" s="67"/>
      <c r="L189" s="29"/>
      <c r="M189" s="70"/>
      <c r="N189" s="46">
        <v>35.565800000000003</v>
      </c>
      <c r="O189" s="46">
        <v>42.772300000000001</v>
      </c>
      <c r="P189" s="46">
        <v>43.4163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</row>
    <row r="190" spans="2:28" ht="12.75" thickBot="1">
      <c r="B190" s="36"/>
      <c r="C190" s="53"/>
      <c r="D190" s="71">
        <v>40</v>
      </c>
      <c r="E190" s="81"/>
      <c r="F190" s="46">
        <v>33.434199999999997</v>
      </c>
      <c r="G190" s="72">
        <v>41.4983</v>
      </c>
      <c r="H190" s="72">
        <v>42.149099999999997</v>
      </c>
      <c r="I190" s="68"/>
      <c r="J190" s="68"/>
      <c r="K190" s="69"/>
      <c r="L190" s="29"/>
      <c r="M190" s="81"/>
      <c r="N190" s="46">
        <v>33.434399999999997</v>
      </c>
      <c r="O190" s="72">
        <v>41.505000000000003</v>
      </c>
      <c r="P190" s="72">
        <v>42.152500000000003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</row>
    <row r="191" spans="2:28" ht="12">
      <c r="B191" s="36"/>
      <c r="C191" s="29" t="s">
        <v>49</v>
      </c>
      <c r="D191" s="32">
        <v>25</v>
      </c>
      <c r="E191" s="70"/>
      <c r="F191" s="45">
        <v>40.211500000000001</v>
      </c>
      <c r="G191" s="45">
        <v>46.953200000000002</v>
      </c>
      <c r="H191" s="45">
        <v>47.787700000000001</v>
      </c>
      <c r="I191" s="66"/>
      <c r="J191" s="66"/>
      <c r="K191" s="67"/>
      <c r="L191" s="29"/>
      <c r="M191" s="70"/>
      <c r="N191" s="45">
        <v>40.212699999999998</v>
      </c>
      <c r="O191" s="45">
        <v>46.953400000000002</v>
      </c>
      <c r="P191" s="45">
        <v>47.786999999999999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</row>
    <row r="192" spans="2:28" ht="12">
      <c r="B192" s="36"/>
      <c r="C192" s="29"/>
      <c r="D192" s="32">
        <v>30</v>
      </c>
      <c r="E192" s="70"/>
      <c r="F192" s="46">
        <v>37.824300000000001</v>
      </c>
      <c r="G192" s="46">
        <v>45.058300000000003</v>
      </c>
      <c r="H192" s="46">
        <v>45.858899999999998</v>
      </c>
      <c r="I192" s="66"/>
      <c r="J192" s="66"/>
      <c r="K192" s="67"/>
      <c r="L192" s="29"/>
      <c r="M192" s="70"/>
      <c r="N192" s="46">
        <v>37.822000000000003</v>
      </c>
      <c r="O192" s="46">
        <v>45.057499999999997</v>
      </c>
      <c r="P192" s="46">
        <v>45.857999999999997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</row>
    <row r="193" spans="2:27" ht="12">
      <c r="B193" s="36"/>
      <c r="C193" s="29"/>
      <c r="D193" s="32">
        <v>35</v>
      </c>
      <c r="E193" s="70"/>
      <c r="F193" s="46">
        <v>35.646099999999997</v>
      </c>
      <c r="G193" s="46">
        <v>43.023299999999999</v>
      </c>
      <c r="H193" s="46">
        <v>43.827500000000001</v>
      </c>
      <c r="I193" s="66"/>
      <c r="J193" s="66"/>
      <c r="K193" s="67"/>
      <c r="L193" s="29"/>
      <c r="M193" s="70"/>
      <c r="N193" s="46">
        <v>35.6464</v>
      </c>
      <c r="O193" s="46">
        <v>43.024099999999997</v>
      </c>
      <c r="P193" s="46">
        <v>43.827500000000001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</row>
    <row r="194" spans="2:27" ht="12.75" thickBot="1">
      <c r="B194" s="36"/>
      <c r="C194" s="53"/>
      <c r="D194" s="71">
        <v>40</v>
      </c>
      <c r="E194" s="81"/>
      <c r="F194" s="46">
        <v>33.487299999999998</v>
      </c>
      <c r="G194" s="72">
        <v>41.667499999999997</v>
      </c>
      <c r="H194" s="72">
        <v>42.45</v>
      </c>
      <c r="I194" s="68"/>
      <c r="J194" s="68"/>
      <c r="K194" s="69"/>
      <c r="L194" s="29"/>
      <c r="M194" s="81"/>
      <c r="N194" s="46">
        <v>33.487499999999997</v>
      </c>
      <c r="O194" s="72">
        <v>41.668599999999998</v>
      </c>
      <c r="P194" s="72">
        <v>42.451300000000003</v>
      </c>
      <c r="Q194" s="68"/>
      <c r="R194" s="68"/>
      <c r="S194" s="69"/>
      <c r="U194" s="17"/>
      <c r="V194" s="18"/>
      <c r="W194" s="19"/>
      <c r="X194" s="29"/>
      <c r="Z194" s="61"/>
      <c r="AA194" s="57"/>
    </row>
    <row r="195" spans="2:27" ht="12">
      <c r="B195" s="36"/>
      <c r="C195" s="29" t="s">
        <v>50</v>
      </c>
      <c r="D195" s="32">
        <v>25</v>
      </c>
      <c r="E195" s="70"/>
      <c r="F195" s="45">
        <v>40.186599999999999</v>
      </c>
      <c r="G195" s="45">
        <v>46.954500000000003</v>
      </c>
      <c r="H195" s="45">
        <v>47.780999999999999</v>
      </c>
      <c r="I195" s="66"/>
      <c r="J195" s="66"/>
      <c r="K195" s="67"/>
      <c r="L195" s="29"/>
      <c r="M195" s="70"/>
      <c r="N195" s="45">
        <v>40.184399999999997</v>
      </c>
      <c r="O195" s="45">
        <v>46.954999999999998</v>
      </c>
      <c r="P195" s="45">
        <v>47.781500000000001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</row>
    <row r="196" spans="2:27" ht="12">
      <c r="B196" s="36"/>
      <c r="C196" s="29"/>
      <c r="D196" s="32">
        <v>30</v>
      </c>
      <c r="E196" s="70"/>
      <c r="F196" s="46">
        <v>37.805100000000003</v>
      </c>
      <c r="G196" s="46">
        <v>45.054000000000002</v>
      </c>
      <c r="H196" s="46">
        <v>45.845599999999997</v>
      </c>
      <c r="I196" s="66"/>
      <c r="J196" s="66"/>
      <c r="K196" s="67"/>
      <c r="L196" s="29"/>
      <c r="M196" s="70"/>
      <c r="N196" s="46">
        <v>37.805300000000003</v>
      </c>
      <c r="O196" s="46">
        <v>45.053199999999997</v>
      </c>
      <c r="P196" s="46">
        <v>45.8461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</row>
    <row r="197" spans="2:27" ht="12">
      <c r="B197" s="36"/>
      <c r="C197" s="29"/>
      <c r="D197" s="32">
        <v>35</v>
      </c>
      <c r="E197" s="70"/>
      <c r="F197" s="46">
        <v>35.6312</v>
      </c>
      <c r="G197" s="46">
        <v>43.017699999999998</v>
      </c>
      <c r="H197" s="46">
        <v>43.809600000000003</v>
      </c>
      <c r="I197" s="66"/>
      <c r="J197" s="66"/>
      <c r="K197" s="67"/>
      <c r="L197" s="29"/>
      <c r="M197" s="70"/>
      <c r="N197" s="46">
        <v>35.632100000000001</v>
      </c>
      <c r="O197" s="46">
        <v>43.017299999999999</v>
      </c>
      <c r="P197" s="46">
        <v>43.81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</row>
    <row r="198" spans="2:27" ht="12.75" thickBot="1">
      <c r="B198" s="36"/>
      <c r="C198" s="53"/>
      <c r="D198" s="71">
        <v>40</v>
      </c>
      <c r="E198" s="81"/>
      <c r="F198" s="46">
        <v>33.477800000000002</v>
      </c>
      <c r="G198" s="72">
        <v>41.661299999999997</v>
      </c>
      <c r="H198" s="72">
        <v>42.429000000000002</v>
      </c>
      <c r="I198" s="68"/>
      <c r="J198" s="68"/>
      <c r="K198" s="69"/>
      <c r="L198" s="29"/>
      <c r="M198" s="81"/>
      <c r="N198" s="46">
        <v>33.478000000000002</v>
      </c>
      <c r="O198" s="72">
        <v>41.6614</v>
      </c>
      <c r="P198" s="72">
        <v>42.429200000000002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</row>
    <row r="199" spans="2:27" ht="12">
      <c r="B199" s="36"/>
      <c r="C199" s="29" t="s">
        <v>51</v>
      </c>
      <c r="D199" s="32">
        <v>25</v>
      </c>
      <c r="E199" s="70"/>
      <c r="F199" s="45">
        <v>39.951700000000002</v>
      </c>
      <c r="G199" s="45">
        <v>46.276600000000002</v>
      </c>
      <c r="H199" s="45">
        <v>47.001899999999999</v>
      </c>
      <c r="I199" s="66"/>
      <c r="J199" s="66"/>
      <c r="K199" s="67"/>
      <c r="L199" s="29"/>
      <c r="M199" s="70"/>
      <c r="N199" s="45">
        <v>39.949599999999997</v>
      </c>
      <c r="O199" s="45">
        <v>46.276800000000001</v>
      </c>
      <c r="P199" s="45">
        <v>46.9925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</row>
    <row r="200" spans="2:27" ht="12">
      <c r="B200" s="36"/>
      <c r="C200" s="29"/>
      <c r="D200" s="32">
        <v>30</v>
      </c>
      <c r="E200" s="70"/>
      <c r="F200" s="46">
        <v>37.660600000000002</v>
      </c>
      <c r="G200" s="46">
        <v>44.625300000000003</v>
      </c>
      <c r="H200" s="46">
        <v>45.316200000000002</v>
      </c>
      <c r="I200" s="66"/>
      <c r="J200" s="66"/>
      <c r="K200" s="67"/>
      <c r="L200" s="29"/>
      <c r="M200" s="70"/>
      <c r="N200" s="46">
        <v>37.662199999999999</v>
      </c>
      <c r="O200" s="46">
        <v>44.627699999999997</v>
      </c>
      <c r="P200" s="46">
        <v>45.318300000000001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</row>
    <row r="201" spans="2:27" ht="12">
      <c r="B201" s="36"/>
      <c r="C201" s="29"/>
      <c r="D201" s="32">
        <v>35</v>
      </c>
      <c r="E201" s="70"/>
      <c r="F201" s="46">
        <v>35.535800000000002</v>
      </c>
      <c r="G201" s="46">
        <v>42.754600000000003</v>
      </c>
      <c r="H201" s="46">
        <v>43.438899999999997</v>
      </c>
      <c r="I201" s="66"/>
      <c r="J201" s="66"/>
      <c r="K201" s="67"/>
      <c r="L201" s="29"/>
      <c r="M201" s="70"/>
      <c r="N201" s="46">
        <v>35.536299999999997</v>
      </c>
      <c r="O201" s="46">
        <v>42.755600000000001</v>
      </c>
      <c r="P201" s="46">
        <v>43.439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</row>
    <row r="202" spans="2:27" ht="12.75" thickBot="1">
      <c r="B202" s="36"/>
      <c r="C202" s="53"/>
      <c r="D202" s="71">
        <v>40</v>
      </c>
      <c r="E202" s="81"/>
      <c r="F202" s="72">
        <v>33.403599999999997</v>
      </c>
      <c r="G202" s="72">
        <v>41.492600000000003</v>
      </c>
      <c r="H202" s="72">
        <v>42.156599999999997</v>
      </c>
      <c r="I202" s="68"/>
      <c r="J202" s="68"/>
      <c r="K202" s="69"/>
      <c r="L202" s="29"/>
      <c r="M202" s="81"/>
      <c r="N202" s="72">
        <v>33.404899999999998</v>
      </c>
      <c r="O202" s="72">
        <v>41.493099999999998</v>
      </c>
      <c r="P202" s="72">
        <v>42.163200000000003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</row>
    <row r="203" spans="2:27" ht="12">
      <c r="B203" s="36"/>
      <c r="C203" s="29" t="s">
        <v>52</v>
      </c>
      <c r="D203" s="32">
        <v>25</v>
      </c>
      <c r="E203" s="70"/>
      <c r="F203" s="45">
        <v>39.767400000000002</v>
      </c>
      <c r="G203" s="45">
        <v>46.319000000000003</v>
      </c>
      <c r="H203" s="45">
        <v>46.586799999999997</v>
      </c>
      <c r="I203" s="66"/>
      <c r="J203" s="66"/>
      <c r="K203" s="67"/>
      <c r="L203" s="29"/>
      <c r="M203" s="70"/>
      <c r="N203" s="45">
        <v>39.7622</v>
      </c>
      <c r="O203" s="45">
        <v>46.319299999999998</v>
      </c>
      <c r="P203" s="45">
        <v>46.592100000000002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</row>
    <row r="204" spans="2:27" ht="12">
      <c r="B204" s="36"/>
      <c r="C204" s="29"/>
      <c r="D204" s="32">
        <v>30</v>
      </c>
      <c r="E204" s="70"/>
      <c r="F204" s="46">
        <v>37.5045</v>
      </c>
      <c r="G204" s="46">
        <v>44.596400000000003</v>
      </c>
      <c r="H204" s="46">
        <v>45.09</v>
      </c>
      <c r="I204" s="66"/>
      <c r="J204" s="66"/>
      <c r="K204" s="67"/>
      <c r="L204" s="29"/>
      <c r="M204" s="70"/>
      <c r="N204" s="46">
        <v>37.505800000000001</v>
      </c>
      <c r="O204" s="46">
        <v>44.594299999999997</v>
      </c>
      <c r="P204" s="46">
        <v>45.097700000000003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</row>
    <row r="205" spans="2:27" ht="12">
      <c r="B205" s="36"/>
      <c r="C205" s="29"/>
      <c r="D205" s="32">
        <v>35</v>
      </c>
      <c r="E205" s="70"/>
      <c r="F205" s="46">
        <v>35.415700000000001</v>
      </c>
      <c r="G205" s="46">
        <v>42.662599999999998</v>
      </c>
      <c r="H205" s="46">
        <v>43.281199999999998</v>
      </c>
      <c r="I205" s="66"/>
      <c r="J205" s="66"/>
      <c r="K205" s="67"/>
      <c r="L205" s="29"/>
      <c r="M205" s="70"/>
      <c r="N205" s="46">
        <v>35.416899999999998</v>
      </c>
      <c r="O205" s="46">
        <v>42.672499999999999</v>
      </c>
      <c r="P205" s="46">
        <v>43.270699999999998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</row>
    <row r="206" spans="2:27" ht="12.75" thickBot="1">
      <c r="B206" s="36"/>
      <c r="C206" s="53"/>
      <c r="D206" s="71">
        <v>40</v>
      </c>
      <c r="E206" s="81"/>
      <c r="F206" s="72">
        <v>33.326900000000002</v>
      </c>
      <c r="G206" s="72">
        <v>41.380800000000001</v>
      </c>
      <c r="H206" s="72">
        <v>42.000599999999999</v>
      </c>
      <c r="I206" s="68"/>
      <c r="J206" s="68"/>
      <c r="K206" s="69"/>
      <c r="L206" s="29"/>
      <c r="M206" s="81"/>
      <c r="N206" s="72">
        <v>33.327599999999997</v>
      </c>
      <c r="O206" s="72">
        <v>41.384599999999999</v>
      </c>
      <c r="P206" s="72">
        <v>42.011600000000001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</row>
    <row r="207" spans="2:27" ht="12">
      <c r="B207" s="36"/>
      <c r="C207" s="29" t="s">
        <v>12</v>
      </c>
      <c r="D207" s="32">
        <v>25</v>
      </c>
      <c r="E207" s="45">
        <v>5287.8991999999998</v>
      </c>
      <c r="F207" s="70"/>
      <c r="G207" s="70"/>
      <c r="H207" s="70"/>
      <c r="I207" s="45">
        <v>49521.47</v>
      </c>
      <c r="J207" s="45">
        <v>78.180000000000007</v>
      </c>
      <c r="K207" s="45">
        <v>719.29</v>
      </c>
      <c r="L207" s="29"/>
      <c r="M207" s="45">
        <v>5287.2824000000001</v>
      </c>
      <c r="N207" s="70"/>
      <c r="O207" s="70"/>
      <c r="P207" s="70"/>
      <c r="Q207" s="45">
        <v>49283.51</v>
      </c>
      <c r="R207" s="45">
        <v>76.27</v>
      </c>
      <c r="S207" s="45">
        <v>705.93</v>
      </c>
      <c r="U207" s="8"/>
      <c r="V207" s="9"/>
      <c r="W207" s="10"/>
      <c r="X207" s="29"/>
      <c r="Y207" s="61">
        <f>GEOMEAN(Q207:Q210)/GEOMEAN(I207:I210)</f>
        <v>0.99546228538542747</v>
      </c>
      <c r="Z207" s="61">
        <f>GEOMEAN(R207:R210)/GEOMEAN(J207:J210)</f>
        <v>0.96756111204016093</v>
      </c>
      <c r="AA207" s="57">
        <f>GEOMEAN(S207:S210)/GEOMEAN(K207:K210)</f>
        <v>0.96669241180749643</v>
      </c>
    </row>
    <row r="208" spans="2:27" ht="12">
      <c r="B208" s="36"/>
      <c r="C208" s="29"/>
      <c r="D208" s="32">
        <v>30</v>
      </c>
      <c r="E208" s="46">
        <v>2193.6480000000001</v>
      </c>
      <c r="F208" s="70"/>
      <c r="G208" s="70"/>
      <c r="H208" s="70"/>
      <c r="I208" s="46">
        <v>35712.79</v>
      </c>
      <c r="J208" s="46">
        <v>71.72</v>
      </c>
      <c r="K208" s="46">
        <v>720.24</v>
      </c>
      <c r="L208" s="29"/>
      <c r="M208" s="46">
        <v>2193.7968000000001</v>
      </c>
      <c r="N208" s="70"/>
      <c r="O208" s="70"/>
      <c r="P208" s="70"/>
      <c r="Q208" s="46">
        <v>35349.910000000003</v>
      </c>
      <c r="R208" s="46">
        <v>69.11</v>
      </c>
      <c r="S208" s="46">
        <v>688.73</v>
      </c>
      <c r="U208" s="41"/>
      <c r="V208" s="42"/>
      <c r="W208" s="43"/>
      <c r="X208" s="29"/>
      <c r="Y208" s="24"/>
      <c r="Z208" s="24"/>
      <c r="AA208" s="27"/>
    </row>
    <row r="209" spans="1:27" ht="12">
      <c r="B209" s="36"/>
      <c r="C209" s="29"/>
      <c r="D209" s="32">
        <v>35</v>
      </c>
      <c r="E209" s="46">
        <v>1008.5256000000001</v>
      </c>
      <c r="F209" s="70"/>
      <c r="G209" s="70"/>
      <c r="H209" s="70"/>
      <c r="I209" s="46">
        <v>29466.81</v>
      </c>
      <c r="J209" s="46">
        <v>69.650000000000006</v>
      </c>
      <c r="K209" s="46">
        <v>720.62</v>
      </c>
      <c r="L209" s="29"/>
      <c r="M209" s="46">
        <v>1008.9088</v>
      </c>
      <c r="N209" s="70"/>
      <c r="O209" s="70"/>
      <c r="P209" s="70"/>
      <c r="Q209" s="46">
        <v>29334.62</v>
      </c>
      <c r="R209" s="46">
        <v>66.47</v>
      </c>
      <c r="S209" s="46">
        <v>692.62</v>
      </c>
      <c r="U209" s="17"/>
      <c r="V209" s="18"/>
      <c r="W209" s="19"/>
      <c r="X209" s="29"/>
      <c r="Y209" s="24"/>
      <c r="Z209" s="24"/>
      <c r="AA209" s="27"/>
    </row>
    <row r="210" spans="1:27" ht="12.75" thickBot="1">
      <c r="B210" s="52"/>
      <c r="C210" s="53"/>
      <c r="D210" s="71">
        <v>40</v>
      </c>
      <c r="E210" s="72">
        <v>487.8664</v>
      </c>
      <c r="F210" s="81"/>
      <c r="G210" s="81"/>
      <c r="H210" s="81"/>
      <c r="I210" s="72">
        <v>25151.84</v>
      </c>
      <c r="J210" s="72">
        <v>68.400000000000006</v>
      </c>
      <c r="K210" s="72">
        <v>724.58</v>
      </c>
      <c r="L210" s="29"/>
      <c r="M210" s="72">
        <v>487.84640000000002</v>
      </c>
      <c r="N210" s="81"/>
      <c r="O210" s="81"/>
      <c r="P210" s="81"/>
      <c r="Q210" s="72">
        <v>25185.41</v>
      </c>
      <c r="R210" s="72">
        <v>66.819999999999993</v>
      </c>
      <c r="S210" s="72">
        <v>701.49</v>
      </c>
      <c r="U210" s="85"/>
      <c r="V210" s="86"/>
      <c r="W210" s="87"/>
      <c r="X210" s="29"/>
      <c r="Y210" s="49"/>
      <c r="Z210" s="49"/>
      <c r="AA210" s="54"/>
    </row>
    <row r="211" spans="1:27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810.78499999999997</v>
      </c>
      <c r="F211" s="45">
        <v>42.116900000000001</v>
      </c>
      <c r="G211" s="45">
        <v>48.412500000000001</v>
      </c>
      <c r="H211" s="45">
        <v>48.131300000000003</v>
      </c>
      <c r="I211" s="79"/>
      <c r="J211" s="79"/>
      <c r="K211" s="80"/>
      <c r="L211" s="29"/>
      <c r="M211" s="45">
        <v>810.78499999999997</v>
      </c>
      <c r="N211" s="45">
        <v>42.116900000000001</v>
      </c>
      <c r="O211" s="45">
        <v>48.412500000000001</v>
      </c>
      <c r="P211" s="45">
        <v>48.131300000000003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">
      <c r="B212" s="36"/>
      <c r="C212" s="29"/>
      <c r="D212" s="32">
        <v>30</v>
      </c>
      <c r="E212" s="46">
        <v>344.91500000000002</v>
      </c>
      <c r="F212" s="46">
        <v>41.1479</v>
      </c>
      <c r="G212" s="46">
        <v>47.460999999999999</v>
      </c>
      <c r="H212" s="46">
        <v>47.290100000000002</v>
      </c>
      <c r="I212" s="66"/>
      <c r="J212" s="66"/>
      <c r="K212" s="67"/>
      <c r="L212" s="29"/>
      <c r="M212" s="46">
        <v>344.91500000000002</v>
      </c>
      <c r="N212" s="46">
        <v>41.1479</v>
      </c>
      <c r="O212" s="46">
        <v>47.460999999999999</v>
      </c>
      <c r="P212" s="46">
        <v>47.290100000000002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</row>
    <row r="213" spans="1:27" ht="12">
      <c r="B213" s="36"/>
      <c r="C213" s="29"/>
      <c r="D213" s="32">
        <v>35</v>
      </c>
      <c r="E213" s="46">
        <v>177.328</v>
      </c>
      <c r="F213" s="46">
        <v>39.753599999999999</v>
      </c>
      <c r="G213" s="46">
        <v>46.0351</v>
      </c>
      <c r="H213" s="46">
        <v>45.937399999999997</v>
      </c>
      <c r="I213" s="66"/>
      <c r="J213" s="66"/>
      <c r="K213" s="67"/>
      <c r="L213" s="29"/>
      <c r="M213" s="46">
        <v>177.328</v>
      </c>
      <c r="N213" s="46">
        <v>39.753599999999999</v>
      </c>
      <c r="O213" s="46">
        <v>46.0351</v>
      </c>
      <c r="P213" s="46">
        <v>45.937399999999997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</row>
    <row r="214" spans="1:27" ht="12.75" thickBot="1">
      <c r="B214" s="36"/>
      <c r="C214" s="29"/>
      <c r="D214" s="32">
        <v>40</v>
      </c>
      <c r="E214" s="46">
        <v>98.596999999999994</v>
      </c>
      <c r="F214" s="46">
        <v>38.011600000000001</v>
      </c>
      <c r="G214" s="46">
        <v>44.861199999999997</v>
      </c>
      <c r="H214" s="46">
        <v>44.776699999999998</v>
      </c>
      <c r="I214" s="66"/>
      <c r="J214" s="66"/>
      <c r="K214" s="67"/>
      <c r="L214" s="29"/>
      <c r="M214" s="46">
        <v>98.596999999999994</v>
      </c>
      <c r="N214" s="46">
        <v>38.011600000000001</v>
      </c>
      <c r="O214" s="46">
        <v>44.861199999999997</v>
      </c>
      <c r="P214" s="46">
        <v>44.776699999999998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</row>
    <row r="215" spans="1:27" ht="12">
      <c r="B215" s="36"/>
      <c r="C215" s="28" t="s">
        <v>27</v>
      </c>
      <c r="D215" s="31">
        <v>25</v>
      </c>
      <c r="E215" s="45">
        <v>254.83</v>
      </c>
      <c r="F215" s="45">
        <v>41.834099999999999</v>
      </c>
      <c r="G215" s="45">
        <v>48.184800000000003</v>
      </c>
      <c r="H215" s="45">
        <v>47.5075</v>
      </c>
      <c r="I215" s="79"/>
      <c r="J215" s="79"/>
      <c r="K215" s="80"/>
      <c r="L215" s="29"/>
      <c r="M215" s="45">
        <v>254.97200000000001</v>
      </c>
      <c r="N215" s="45">
        <v>41.833199999999998</v>
      </c>
      <c r="O215" s="45">
        <v>48.182499999999997</v>
      </c>
      <c r="P215" s="45">
        <v>47.500599999999999</v>
      </c>
      <c r="Q215" s="79"/>
      <c r="R215" s="79"/>
      <c r="S215" s="80"/>
      <c r="U215" s="8">
        <f>bdrate($E215:$E218,F215:F218,$M215:$M218,N215:N218)</f>
        <v>1.1405075205961346E-4</v>
      </c>
      <c r="V215" s="9">
        <f>bdrate($E215:$E218,G215:G218,$M215:$M218,O215:O218)</f>
        <v>3.0056262381639165E-3</v>
      </c>
      <c r="W215" s="10">
        <f>bdrate($E215:$E218,H215:H218,$M215:$M218,P215:P218)</f>
        <v>-1.4833990526252894E-4</v>
      </c>
      <c r="X215" s="29"/>
      <c r="Y215" s="24"/>
      <c r="Z215" s="24"/>
      <c r="AA215" s="27"/>
    </row>
    <row r="216" spans="1:27" ht="12">
      <c r="B216" s="36"/>
      <c r="C216" s="29"/>
      <c r="D216" s="32">
        <v>30</v>
      </c>
      <c r="E216" s="46">
        <v>101.39100000000001</v>
      </c>
      <c r="F216" s="46">
        <v>40.824800000000003</v>
      </c>
      <c r="G216" s="46">
        <v>47.093600000000002</v>
      </c>
      <c r="H216" s="46">
        <v>46.585999999999999</v>
      </c>
      <c r="I216" s="66"/>
      <c r="J216" s="66"/>
      <c r="K216" s="67"/>
      <c r="L216" s="29"/>
      <c r="M216" s="46">
        <v>101.434</v>
      </c>
      <c r="N216" s="46">
        <v>40.825200000000002</v>
      </c>
      <c r="O216" s="46">
        <v>47.0869</v>
      </c>
      <c r="P216" s="46">
        <v>46.587699999999998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</row>
    <row r="217" spans="1:27" ht="12">
      <c r="B217" s="36"/>
      <c r="C217" s="29"/>
      <c r="D217" s="32">
        <v>35</v>
      </c>
      <c r="E217" s="46">
        <v>51.493000000000002</v>
      </c>
      <c r="F217" s="46">
        <v>39.3917</v>
      </c>
      <c r="G217" s="46">
        <v>45.904600000000002</v>
      </c>
      <c r="H217" s="46">
        <v>45.5471</v>
      </c>
      <c r="I217" s="66"/>
      <c r="J217" s="66"/>
      <c r="K217" s="67"/>
      <c r="L217" s="29"/>
      <c r="M217" s="46">
        <v>51.539000000000001</v>
      </c>
      <c r="N217" s="46">
        <v>39.395099999999999</v>
      </c>
      <c r="O217" s="46">
        <v>45.904400000000003</v>
      </c>
      <c r="P217" s="46">
        <v>45.550199999999997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</row>
    <row r="218" spans="1:27" ht="12.75" thickBot="1">
      <c r="B218" s="36"/>
      <c r="C218" s="29"/>
      <c r="D218" s="32">
        <v>40</v>
      </c>
      <c r="E218" s="46">
        <v>27.972999999999999</v>
      </c>
      <c r="F218" s="46">
        <v>37.597499999999997</v>
      </c>
      <c r="G218" s="46">
        <v>44.823900000000002</v>
      </c>
      <c r="H218" s="46">
        <v>44.485999999999997</v>
      </c>
      <c r="I218" s="66"/>
      <c r="J218" s="66"/>
      <c r="K218" s="67"/>
      <c r="L218" s="29"/>
      <c r="M218" s="46">
        <v>28.023</v>
      </c>
      <c r="N218" s="46">
        <v>37.600700000000003</v>
      </c>
      <c r="O218" s="46">
        <v>44.8215</v>
      </c>
      <c r="P218" s="46">
        <v>44.494999999999997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</row>
    <row r="219" spans="1:27" ht="12">
      <c r="B219" s="36"/>
      <c r="C219" s="28" t="s">
        <v>28</v>
      </c>
      <c r="D219" s="31">
        <v>25</v>
      </c>
      <c r="E219" s="45">
        <v>265.30399999999997</v>
      </c>
      <c r="F219" s="45">
        <v>41.683399999999999</v>
      </c>
      <c r="G219" s="45">
        <v>47.264499999999998</v>
      </c>
      <c r="H219" s="45">
        <v>46.664900000000003</v>
      </c>
      <c r="I219" s="79"/>
      <c r="J219" s="79"/>
      <c r="K219" s="80"/>
      <c r="L219" s="29"/>
      <c r="M219" s="45">
        <v>265.322</v>
      </c>
      <c r="N219" s="45">
        <v>41.684600000000003</v>
      </c>
      <c r="O219" s="45">
        <v>47.260100000000001</v>
      </c>
      <c r="P219" s="45">
        <v>46.658000000000001</v>
      </c>
      <c r="Q219" s="79"/>
      <c r="R219" s="79"/>
      <c r="S219" s="80"/>
      <c r="U219" s="8">
        <f>bdrate($E219:$E222,F219:F222,$M219:$M222,N219:N222)</f>
        <v>-7.0976968960456688E-4</v>
      </c>
      <c r="V219" s="9">
        <f>bdrate($E219:$E222,G219:G222,$M219:$M222,O219:O222)</f>
        <v>-2.0589584050700882E-4</v>
      </c>
      <c r="W219" s="10">
        <f>bdrate($E219:$E222,H219:H222,$M219:$M222,P219:P222)</f>
        <v>-3.7187573014433317E-3</v>
      </c>
      <c r="X219" s="29"/>
      <c r="Y219" s="24"/>
      <c r="Z219" s="24"/>
      <c r="AA219" s="27"/>
    </row>
    <row r="220" spans="1:27" ht="12">
      <c r="B220" s="36"/>
      <c r="C220" s="29"/>
      <c r="D220" s="32">
        <v>30</v>
      </c>
      <c r="E220" s="46">
        <v>102.577</v>
      </c>
      <c r="F220" s="46">
        <v>40.737900000000003</v>
      </c>
      <c r="G220" s="46">
        <v>46.3078</v>
      </c>
      <c r="H220" s="46">
        <v>45.543500000000002</v>
      </c>
      <c r="I220" s="66"/>
      <c r="J220" s="66"/>
      <c r="K220" s="67"/>
      <c r="L220" s="29"/>
      <c r="M220" s="46">
        <v>102.517</v>
      </c>
      <c r="N220" s="46">
        <v>40.737299999999998</v>
      </c>
      <c r="O220" s="46">
        <v>46.310200000000002</v>
      </c>
      <c r="P220" s="46">
        <v>45.5488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</row>
    <row r="221" spans="1:27" ht="12">
      <c r="B221" s="36"/>
      <c r="C221" s="29"/>
      <c r="D221" s="32">
        <v>35</v>
      </c>
      <c r="E221" s="46">
        <v>52.023000000000003</v>
      </c>
      <c r="F221" s="46">
        <v>39.371400000000001</v>
      </c>
      <c r="G221" s="46">
        <v>45.364899999999999</v>
      </c>
      <c r="H221" s="46">
        <v>44.564599999999999</v>
      </c>
      <c r="I221" s="66"/>
      <c r="J221" s="66"/>
      <c r="K221" s="67"/>
      <c r="L221" s="29"/>
      <c r="M221" s="46">
        <v>52.015999999999998</v>
      </c>
      <c r="N221" s="46">
        <v>39.375700000000002</v>
      </c>
      <c r="O221" s="46">
        <v>45.364400000000003</v>
      </c>
      <c r="P221" s="46">
        <v>44.575899999999997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</row>
    <row r="222" spans="1:27" ht="12.75" thickBot="1">
      <c r="B222" s="36"/>
      <c r="C222" s="53"/>
      <c r="D222" s="71">
        <v>40</v>
      </c>
      <c r="E222" s="72">
        <v>27.773</v>
      </c>
      <c r="F222" s="72">
        <v>37.6387</v>
      </c>
      <c r="G222" s="72">
        <v>44.4133</v>
      </c>
      <c r="H222" s="72">
        <v>43.477699999999999</v>
      </c>
      <c r="I222" s="68"/>
      <c r="J222" s="68"/>
      <c r="K222" s="69"/>
      <c r="L222" s="29"/>
      <c r="M222" s="72">
        <v>27.85</v>
      </c>
      <c r="N222" s="72">
        <v>37.640700000000002</v>
      </c>
      <c r="O222" s="72">
        <v>44.417000000000002</v>
      </c>
      <c r="P222" s="72">
        <v>43.485999999999997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</row>
    <row r="223" spans="1:27" ht="12">
      <c r="B223" s="36"/>
      <c r="C223" s="28" t="s">
        <v>29</v>
      </c>
      <c r="D223" s="31">
        <v>34</v>
      </c>
      <c r="E223" s="45">
        <v>71.198999999999998</v>
      </c>
      <c r="F223" s="45">
        <v>45.930399999999999</v>
      </c>
      <c r="G223" s="78"/>
      <c r="H223" s="78"/>
      <c r="I223" s="79"/>
      <c r="J223" s="79"/>
      <c r="K223" s="80"/>
      <c r="L223" s="29"/>
      <c r="M223" s="45">
        <v>71.198999999999998</v>
      </c>
      <c r="N223" s="45">
        <v>45.930399999999999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">
      <c r="B224" s="36"/>
      <c r="C224" s="29"/>
      <c r="D224" s="32">
        <v>39</v>
      </c>
      <c r="E224" s="46">
        <v>30.231999999999999</v>
      </c>
      <c r="F224" s="46">
        <v>42.709499999999998</v>
      </c>
      <c r="G224" s="70"/>
      <c r="H224" s="70"/>
      <c r="I224" s="66"/>
      <c r="J224" s="66"/>
      <c r="K224" s="67"/>
      <c r="L224" s="29"/>
      <c r="M224" s="46">
        <v>30.231999999999999</v>
      </c>
      <c r="N224" s="46">
        <v>42.709499999999998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</row>
    <row r="225" spans="2:27" ht="12">
      <c r="B225" s="36"/>
      <c r="C225" s="29"/>
      <c r="D225" s="32">
        <v>42</v>
      </c>
      <c r="E225" s="46">
        <v>15.541</v>
      </c>
      <c r="F225" s="46">
        <v>40.087600000000002</v>
      </c>
      <c r="G225" s="70"/>
      <c r="H225" s="70"/>
      <c r="I225" s="66"/>
      <c r="J225" s="66"/>
      <c r="K225" s="67"/>
      <c r="L225" s="29"/>
      <c r="M225" s="46">
        <v>15.541</v>
      </c>
      <c r="N225" s="46">
        <v>40.087600000000002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</row>
    <row r="226" spans="2:27" ht="12.75" thickBot="1">
      <c r="B226" s="36"/>
      <c r="C226" s="29"/>
      <c r="D226" s="32">
        <v>45</v>
      </c>
      <c r="E226" s="46">
        <v>8.4879999999999995</v>
      </c>
      <c r="F226" s="46">
        <v>36.626899999999999</v>
      </c>
      <c r="G226" s="70"/>
      <c r="H226" s="70"/>
      <c r="I226" s="66"/>
      <c r="J226" s="66"/>
      <c r="K226" s="67"/>
      <c r="L226" s="29"/>
      <c r="M226" s="46">
        <v>8.4879999999999995</v>
      </c>
      <c r="N226" s="46">
        <v>36.626899999999999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</row>
    <row r="227" spans="2:27" ht="12">
      <c r="B227" s="36"/>
      <c r="C227" s="28" t="s">
        <v>30</v>
      </c>
      <c r="D227" s="31">
        <v>34</v>
      </c>
      <c r="E227" s="45">
        <v>47.805999999999997</v>
      </c>
      <c r="F227" s="45">
        <v>44.691400000000002</v>
      </c>
      <c r="G227" s="78"/>
      <c r="H227" s="78"/>
      <c r="I227" s="79"/>
      <c r="J227" s="79"/>
      <c r="K227" s="80"/>
      <c r="L227" s="29"/>
      <c r="M227" s="45">
        <v>47.935000000000002</v>
      </c>
      <c r="N227" s="45">
        <v>44.684600000000003</v>
      </c>
      <c r="O227" s="78"/>
      <c r="P227" s="78"/>
      <c r="Q227" s="79"/>
      <c r="R227" s="79"/>
      <c r="S227" s="80"/>
      <c r="U227" s="8">
        <f>bdrate($E227:$E230,F227:F230,$M227:$M230,N227:N230)</f>
        <v>9.0563192214709876E-3</v>
      </c>
      <c r="V227" s="9"/>
      <c r="W227" s="10"/>
      <c r="X227" s="29"/>
      <c r="Y227" s="24"/>
      <c r="Z227" s="24"/>
      <c r="AA227" s="27"/>
    </row>
    <row r="228" spans="2:27" ht="12">
      <c r="B228" s="36"/>
      <c r="C228" s="29"/>
      <c r="D228" s="32">
        <v>39</v>
      </c>
      <c r="E228" s="46">
        <v>19.100000000000001</v>
      </c>
      <c r="F228" s="46">
        <v>41.426099999999998</v>
      </c>
      <c r="G228" s="70"/>
      <c r="H228" s="70"/>
      <c r="I228" s="66"/>
      <c r="J228" s="66"/>
      <c r="K228" s="67"/>
      <c r="L228" s="29"/>
      <c r="M228" s="46">
        <v>19.140999999999998</v>
      </c>
      <c r="N228" s="46">
        <v>41.361400000000003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</row>
    <row r="229" spans="2:27" ht="12">
      <c r="B229" s="36"/>
      <c r="C229" s="29"/>
      <c r="D229" s="32">
        <v>42</v>
      </c>
      <c r="E229" s="46">
        <v>9.5079999999999991</v>
      </c>
      <c r="F229" s="46">
        <v>38.381</v>
      </c>
      <c r="G229" s="70"/>
      <c r="H229" s="70"/>
      <c r="I229" s="66"/>
      <c r="J229" s="66"/>
      <c r="K229" s="67"/>
      <c r="L229" s="29"/>
      <c r="M229" s="46">
        <v>9.4990000000000006</v>
      </c>
      <c r="N229" s="46">
        <v>38.362000000000002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</row>
    <row r="230" spans="2:27" ht="12.75" thickBot="1">
      <c r="B230" s="36"/>
      <c r="C230" s="29"/>
      <c r="D230" s="32">
        <v>45</v>
      </c>
      <c r="E230" s="46">
        <v>5.415</v>
      </c>
      <c r="F230" s="46">
        <v>34.881500000000003</v>
      </c>
      <c r="G230" s="70"/>
      <c r="H230" s="70"/>
      <c r="I230" s="66"/>
      <c r="J230" s="66"/>
      <c r="K230" s="67"/>
      <c r="L230" s="29"/>
      <c r="M230" s="46">
        <v>5.4020000000000001</v>
      </c>
      <c r="N230" s="46">
        <v>34.826000000000001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</row>
    <row r="231" spans="2:27" ht="12">
      <c r="B231" s="36"/>
      <c r="C231" s="28" t="s">
        <v>31</v>
      </c>
      <c r="D231" s="31">
        <v>34</v>
      </c>
      <c r="E231" s="45">
        <v>47.006</v>
      </c>
      <c r="F231" s="45">
        <v>44.435699999999997</v>
      </c>
      <c r="G231" s="78"/>
      <c r="H231" s="78"/>
      <c r="I231" s="79"/>
      <c r="J231" s="79"/>
      <c r="K231" s="80"/>
      <c r="L231" s="29"/>
      <c r="M231" s="45">
        <v>47.298999999999999</v>
      </c>
      <c r="N231" s="45">
        <v>44.462600000000002</v>
      </c>
      <c r="O231" s="78"/>
      <c r="P231" s="78"/>
      <c r="Q231" s="79"/>
      <c r="R231" s="79"/>
      <c r="S231" s="80"/>
      <c r="U231" s="8">
        <f>bdrate($E231:$E234,F231:F234,$M231:$M234,N231:N234)</f>
        <v>-2.1916237801591354E-3</v>
      </c>
      <c r="V231" s="9"/>
      <c r="W231" s="10"/>
      <c r="X231" s="29"/>
      <c r="Y231" s="24"/>
      <c r="Z231" s="24"/>
      <c r="AA231" s="27"/>
    </row>
    <row r="232" spans="2:27" ht="12">
      <c r="B232" s="36"/>
      <c r="C232" s="29"/>
      <c r="D232" s="32">
        <v>39</v>
      </c>
      <c r="E232" s="46">
        <v>18.247</v>
      </c>
      <c r="F232" s="46">
        <v>41.583399999999997</v>
      </c>
      <c r="G232" s="70"/>
      <c r="H232" s="70"/>
      <c r="I232" s="66"/>
      <c r="J232" s="66"/>
      <c r="K232" s="67"/>
      <c r="L232" s="29"/>
      <c r="M232" s="46">
        <v>18.219000000000001</v>
      </c>
      <c r="N232" s="46">
        <v>41.5593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</row>
    <row r="233" spans="2:27" ht="12">
      <c r="B233" s="36"/>
      <c r="C233" s="29"/>
      <c r="D233" s="32">
        <v>42</v>
      </c>
      <c r="E233" s="46">
        <v>9.3109999999999999</v>
      </c>
      <c r="F233" s="46">
        <v>38.8553</v>
      </c>
      <c r="G233" s="70"/>
      <c r="H233" s="70"/>
      <c r="I233" s="66"/>
      <c r="J233" s="66"/>
      <c r="K233" s="67"/>
      <c r="L233" s="29"/>
      <c r="M233" s="46">
        <v>9.2119999999999997</v>
      </c>
      <c r="N233" s="46">
        <v>38.837000000000003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</row>
    <row r="234" spans="2:27" ht="12.75" thickBot="1">
      <c r="B234" s="36"/>
      <c r="C234" s="29"/>
      <c r="D234" s="32">
        <v>45</v>
      </c>
      <c r="E234" s="46">
        <v>5.484</v>
      </c>
      <c r="F234" s="46">
        <v>35.5246</v>
      </c>
      <c r="G234" s="70"/>
      <c r="H234" s="70"/>
      <c r="I234" s="66"/>
      <c r="J234" s="66"/>
      <c r="K234" s="67"/>
      <c r="L234" s="29"/>
      <c r="M234" s="46">
        <v>5.46</v>
      </c>
      <c r="N234" s="46">
        <v>35.5411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</row>
    <row r="235" spans="2:27" ht="12">
      <c r="B235" s="36"/>
      <c r="C235" s="28" t="s">
        <v>47</v>
      </c>
      <c r="D235" s="31">
        <v>25</v>
      </c>
      <c r="E235" s="78"/>
      <c r="F235" s="45">
        <v>42.843000000000004</v>
      </c>
      <c r="G235" s="45">
        <v>48.197400000000002</v>
      </c>
      <c r="H235" s="45">
        <v>47.295499999999997</v>
      </c>
      <c r="I235" s="79"/>
      <c r="J235" s="79"/>
      <c r="K235" s="80"/>
      <c r="L235" s="29"/>
      <c r="M235" s="78"/>
      <c r="N235" s="45">
        <v>42.8414</v>
      </c>
      <c r="O235" s="45">
        <v>48.222799999999999</v>
      </c>
      <c r="P235" s="45">
        <v>47.2774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</row>
    <row r="236" spans="2:27" ht="12">
      <c r="B236" s="36"/>
      <c r="C236" s="29"/>
      <c r="D236" s="32">
        <v>30</v>
      </c>
      <c r="E236" s="70"/>
      <c r="F236" s="46">
        <v>41.675600000000003</v>
      </c>
      <c r="G236" s="46">
        <v>47.063400000000001</v>
      </c>
      <c r="H236" s="46">
        <v>46.573700000000002</v>
      </c>
      <c r="I236" s="66"/>
      <c r="J236" s="66"/>
      <c r="K236" s="67"/>
      <c r="L236" s="29"/>
      <c r="M236" s="70"/>
      <c r="N236" s="46">
        <v>41.675899999999999</v>
      </c>
      <c r="O236" s="46">
        <v>47.068199999999997</v>
      </c>
      <c r="P236" s="46">
        <v>46.555300000000003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</row>
    <row r="237" spans="2:27" ht="12">
      <c r="B237" s="36"/>
      <c r="C237" s="29"/>
      <c r="D237" s="32">
        <v>35</v>
      </c>
      <c r="E237" s="70"/>
      <c r="F237" s="46">
        <v>40.095700000000001</v>
      </c>
      <c r="G237" s="46">
        <v>45.870399999999997</v>
      </c>
      <c r="H237" s="46">
        <v>45.589399999999998</v>
      </c>
      <c r="I237" s="66"/>
      <c r="J237" s="66"/>
      <c r="K237" s="67"/>
      <c r="L237" s="29"/>
      <c r="M237" s="70"/>
      <c r="N237" s="46">
        <v>40.098399999999998</v>
      </c>
      <c r="O237" s="46">
        <v>45.868200000000002</v>
      </c>
      <c r="P237" s="46">
        <v>45.5854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</row>
    <row r="238" spans="2:27" ht="12.75" thickBot="1">
      <c r="B238" s="36"/>
      <c r="C238" s="53"/>
      <c r="D238" s="71">
        <v>40</v>
      </c>
      <c r="E238" s="81"/>
      <c r="F238" s="72">
        <v>38.159700000000001</v>
      </c>
      <c r="G238" s="72">
        <v>44.8782</v>
      </c>
      <c r="H238" s="72">
        <v>44.4649</v>
      </c>
      <c r="I238" s="68"/>
      <c r="J238" s="68"/>
      <c r="K238" s="69"/>
      <c r="L238" s="29"/>
      <c r="M238" s="81"/>
      <c r="N238" s="72">
        <v>38.1629</v>
      </c>
      <c r="O238" s="72">
        <v>44.872999999999998</v>
      </c>
      <c r="P238" s="72">
        <v>44.476599999999998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</row>
    <row r="239" spans="2:27" ht="12">
      <c r="B239" s="36"/>
      <c r="C239" s="29" t="s">
        <v>48</v>
      </c>
      <c r="D239" s="32">
        <v>25</v>
      </c>
      <c r="E239" s="70"/>
      <c r="F239" s="45">
        <v>43.545299999999997</v>
      </c>
      <c r="G239" s="45">
        <v>49.0792</v>
      </c>
      <c r="H239" s="45">
        <v>48.479100000000003</v>
      </c>
      <c r="I239" s="66"/>
      <c r="J239" s="66"/>
      <c r="K239" s="67"/>
      <c r="L239" s="29"/>
      <c r="M239" s="70"/>
      <c r="N239" s="45">
        <v>43.546500000000002</v>
      </c>
      <c r="O239" s="45">
        <v>49.0989</v>
      </c>
      <c r="P239" s="45">
        <v>48.464799999999997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</row>
    <row r="240" spans="2:27" ht="12">
      <c r="B240" s="36"/>
      <c r="C240" s="29"/>
      <c r="D240" s="32">
        <v>30</v>
      </c>
      <c r="E240" s="70"/>
      <c r="F240" s="46">
        <v>42.248600000000003</v>
      </c>
      <c r="G240" s="46">
        <v>47.873399999999997</v>
      </c>
      <c r="H240" s="46">
        <v>47.505400000000002</v>
      </c>
      <c r="I240" s="66"/>
      <c r="J240" s="66"/>
      <c r="K240" s="67"/>
      <c r="L240" s="29"/>
      <c r="M240" s="70"/>
      <c r="N240" s="46">
        <v>42.244599999999998</v>
      </c>
      <c r="O240" s="46">
        <v>47.871499999999997</v>
      </c>
      <c r="P240" s="46">
        <v>47.509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</row>
    <row r="241" spans="2:27" ht="12">
      <c r="B241" s="36"/>
      <c r="C241" s="29"/>
      <c r="D241" s="32">
        <v>35</v>
      </c>
      <c r="E241" s="70"/>
      <c r="F241" s="46">
        <v>40.561</v>
      </c>
      <c r="G241" s="46">
        <v>46.5032</v>
      </c>
      <c r="H241" s="46">
        <v>46.2742</v>
      </c>
      <c r="I241" s="66"/>
      <c r="J241" s="66"/>
      <c r="K241" s="67"/>
      <c r="L241" s="29"/>
      <c r="M241" s="70"/>
      <c r="N241" s="46">
        <v>40.562800000000003</v>
      </c>
      <c r="O241" s="46">
        <v>46.498399999999997</v>
      </c>
      <c r="P241" s="46">
        <v>46.281799999999997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</row>
    <row r="242" spans="2:27" ht="12.75" thickBot="1">
      <c r="B242" s="36"/>
      <c r="C242" s="53"/>
      <c r="D242" s="71">
        <v>40</v>
      </c>
      <c r="E242" s="81"/>
      <c r="F242" s="46">
        <v>38.526499999999999</v>
      </c>
      <c r="G242" s="72">
        <v>45.3123</v>
      </c>
      <c r="H242" s="72">
        <v>45.041699999999999</v>
      </c>
      <c r="I242" s="68"/>
      <c r="J242" s="68"/>
      <c r="K242" s="69"/>
      <c r="L242" s="29"/>
      <c r="M242" s="81"/>
      <c r="N242" s="46">
        <v>38.527000000000001</v>
      </c>
      <c r="O242" s="72">
        <v>45.302700000000002</v>
      </c>
      <c r="P242" s="72">
        <v>45.034700000000001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</row>
    <row r="243" spans="2:27" ht="12">
      <c r="B243" s="36"/>
      <c r="C243" s="29" t="s">
        <v>49</v>
      </c>
      <c r="D243" s="32">
        <v>25</v>
      </c>
      <c r="E243" s="70"/>
      <c r="F243" s="45">
        <v>43.120399999999997</v>
      </c>
      <c r="G243" s="45">
        <v>49.238100000000003</v>
      </c>
      <c r="H243" s="45">
        <v>48.780200000000001</v>
      </c>
      <c r="I243" s="66"/>
      <c r="J243" s="66"/>
      <c r="K243" s="67"/>
      <c r="L243" s="29"/>
      <c r="M243" s="70"/>
      <c r="N243" s="45">
        <v>43.120600000000003</v>
      </c>
      <c r="O243" s="45">
        <v>49.242600000000003</v>
      </c>
      <c r="P243" s="45">
        <v>48.780999999999999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</row>
    <row r="244" spans="2:27" ht="12">
      <c r="B244" s="36"/>
      <c r="C244" s="29"/>
      <c r="D244" s="32">
        <v>30</v>
      </c>
      <c r="E244" s="70"/>
      <c r="F244" s="46">
        <v>41.963099999999997</v>
      </c>
      <c r="G244" s="46">
        <v>48.229199999999999</v>
      </c>
      <c r="H244" s="46">
        <v>47.902099999999997</v>
      </c>
      <c r="I244" s="66"/>
      <c r="J244" s="66"/>
      <c r="K244" s="67"/>
      <c r="L244" s="29"/>
      <c r="M244" s="70"/>
      <c r="N244" s="46">
        <v>41.958500000000001</v>
      </c>
      <c r="O244" s="46">
        <v>48.227200000000003</v>
      </c>
      <c r="P244" s="46">
        <v>47.9071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</row>
    <row r="245" spans="2:27" ht="12">
      <c r="B245" s="36"/>
      <c r="C245" s="29"/>
      <c r="D245" s="32">
        <v>35</v>
      </c>
      <c r="E245" s="70"/>
      <c r="F245" s="46">
        <v>40.409999999999997</v>
      </c>
      <c r="G245" s="46">
        <v>46.763800000000003</v>
      </c>
      <c r="H245" s="46">
        <v>46.610599999999998</v>
      </c>
      <c r="I245" s="66"/>
      <c r="J245" s="66"/>
      <c r="K245" s="67"/>
      <c r="L245" s="29"/>
      <c r="M245" s="70"/>
      <c r="N245" s="46">
        <v>40.411099999999998</v>
      </c>
      <c r="O245" s="46">
        <v>46.763500000000001</v>
      </c>
      <c r="P245" s="46">
        <v>46.6098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</row>
    <row r="246" spans="2:27" ht="12.75" thickBot="1">
      <c r="B246" s="36"/>
      <c r="C246" s="53"/>
      <c r="D246" s="71">
        <v>40</v>
      </c>
      <c r="E246" s="81"/>
      <c r="F246" s="46">
        <v>38.496000000000002</v>
      </c>
      <c r="G246" s="72">
        <v>45.578299999999999</v>
      </c>
      <c r="H246" s="72">
        <v>45.432299999999998</v>
      </c>
      <c r="I246" s="68"/>
      <c r="J246" s="68"/>
      <c r="K246" s="69"/>
      <c r="L246" s="29"/>
      <c r="M246" s="81"/>
      <c r="N246" s="46">
        <v>38.4968</v>
      </c>
      <c r="O246" s="72">
        <v>45.580500000000001</v>
      </c>
      <c r="P246" s="72">
        <v>45.434899999999999</v>
      </c>
      <c r="Q246" s="68"/>
      <c r="R246" s="68"/>
      <c r="S246" s="69"/>
      <c r="U246" s="17"/>
      <c r="V246" s="18"/>
      <c r="W246" s="19"/>
      <c r="X246" s="29"/>
      <c r="Z246" s="61"/>
      <c r="AA246" s="57"/>
    </row>
    <row r="247" spans="2:27" ht="12">
      <c r="B247" s="36"/>
      <c r="C247" s="29" t="s">
        <v>50</v>
      </c>
      <c r="D247" s="32">
        <v>25</v>
      </c>
      <c r="E247" s="70"/>
      <c r="F247" s="45">
        <v>43.2376</v>
      </c>
      <c r="G247" s="45">
        <v>49.100299999999997</v>
      </c>
      <c r="H247" s="45">
        <v>49.006</v>
      </c>
      <c r="I247" s="66"/>
      <c r="J247" s="66"/>
      <c r="K247" s="67"/>
      <c r="L247" s="29"/>
      <c r="M247" s="70"/>
      <c r="N247" s="45">
        <v>43.236400000000003</v>
      </c>
      <c r="O247" s="45">
        <v>49.100999999999999</v>
      </c>
      <c r="P247" s="45">
        <v>49.0047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</row>
    <row r="248" spans="2:27" ht="12">
      <c r="B248" s="36"/>
      <c r="C248" s="29"/>
      <c r="D248" s="32">
        <v>30</v>
      </c>
      <c r="E248" s="70"/>
      <c r="F248" s="46">
        <v>42.088099999999997</v>
      </c>
      <c r="G248" s="46">
        <v>48.140900000000002</v>
      </c>
      <c r="H248" s="46">
        <v>48.09</v>
      </c>
      <c r="I248" s="66"/>
      <c r="J248" s="66"/>
      <c r="K248" s="67"/>
      <c r="L248" s="29"/>
      <c r="M248" s="70"/>
      <c r="N248" s="46">
        <v>42.088500000000003</v>
      </c>
      <c r="O248" s="46">
        <v>48.147500000000001</v>
      </c>
      <c r="P248" s="46">
        <v>48.0901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</row>
    <row r="249" spans="2:27" ht="12">
      <c r="B249" s="36"/>
      <c r="C249" s="29"/>
      <c r="D249" s="32">
        <v>35</v>
      </c>
      <c r="E249" s="70"/>
      <c r="F249" s="46">
        <v>40.513500000000001</v>
      </c>
      <c r="G249" s="46">
        <v>46.756799999999998</v>
      </c>
      <c r="H249" s="46">
        <v>46.772799999999997</v>
      </c>
      <c r="I249" s="66"/>
      <c r="J249" s="66"/>
      <c r="K249" s="67"/>
      <c r="L249" s="29"/>
      <c r="M249" s="70"/>
      <c r="N249" s="46">
        <v>40.514400000000002</v>
      </c>
      <c r="O249" s="46">
        <v>46.757399999999997</v>
      </c>
      <c r="P249" s="46">
        <v>46.768900000000002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</row>
    <row r="250" spans="2:27" ht="12.75" thickBot="1">
      <c r="B250" s="36"/>
      <c r="C250" s="53"/>
      <c r="D250" s="71">
        <v>40</v>
      </c>
      <c r="E250" s="81"/>
      <c r="F250" s="46">
        <v>38.577100000000002</v>
      </c>
      <c r="G250" s="72">
        <v>45.614400000000003</v>
      </c>
      <c r="H250" s="72">
        <v>45.560499999999998</v>
      </c>
      <c r="I250" s="68"/>
      <c r="J250" s="68"/>
      <c r="K250" s="69"/>
      <c r="L250" s="29"/>
      <c r="M250" s="81"/>
      <c r="N250" s="46">
        <v>38.578200000000002</v>
      </c>
      <c r="O250" s="72">
        <v>45.615400000000001</v>
      </c>
      <c r="P250" s="72">
        <v>45.559800000000003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</row>
    <row r="251" spans="2:27" ht="12">
      <c r="B251" s="36"/>
      <c r="C251" s="29" t="s">
        <v>51</v>
      </c>
      <c r="D251" s="32">
        <v>25</v>
      </c>
      <c r="E251" s="70"/>
      <c r="F251" s="45">
        <v>43.6965</v>
      </c>
      <c r="G251" s="45">
        <v>48.814500000000002</v>
      </c>
      <c r="H251" s="45">
        <v>49.202300000000001</v>
      </c>
      <c r="I251" s="66"/>
      <c r="J251" s="66"/>
      <c r="K251" s="67"/>
      <c r="L251" s="29"/>
      <c r="M251" s="70"/>
      <c r="N251" s="45">
        <v>43.6922</v>
      </c>
      <c r="O251" s="45">
        <v>48.805500000000002</v>
      </c>
      <c r="P251" s="45">
        <v>49.198399999999999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</row>
    <row r="252" spans="2:27" ht="12">
      <c r="B252" s="36"/>
      <c r="C252" s="29"/>
      <c r="D252" s="32">
        <v>30</v>
      </c>
      <c r="E252" s="70"/>
      <c r="F252" s="46">
        <v>42.439799999999998</v>
      </c>
      <c r="G252" s="46">
        <v>47.643700000000003</v>
      </c>
      <c r="H252" s="46">
        <v>48.037399999999998</v>
      </c>
      <c r="I252" s="66"/>
      <c r="J252" s="66"/>
      <c r="K252" s="67"/>
      <c r="L252" s="29"/>
      <c r="M252" s="70"/>
      <c r="N252" s="46">
        <v>42.439900000000002</v>
      </c>
      <c r="O252" s="46">
        <v>47.657600000000002</v>
      </c>
      <c r="P252" s="46">
        <v>48.048299999999998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</row>
    <row r="253" spans="2:27" ht="12">
      <c r="B253" s="36"/>
      <c r="C253" s="29"/>
      <c r="D253" s="32">
        <v>35</v>
      </c>
      <c r="E253" s="70"/>
      <c r="F253" s="46">
        <v>40.776200000000003</v>
      </c>
      <c r="G253" s="46">
        <v>46.371299999999998</v>
      </c>
      <c r="H253" s="46">
        <v>46.739100000000001</v>
      </c>
      <c r="I253" s="66"/>
      <c r="J253" s="66"/>
      <c r="K253" s="67"/>
      <c r="L253" s="29"/>
      <c r="M253" s="70"/>
      <c r="N253" s="46">
        <v>40.779400000000003</v>
      </c>
      <c r="O253" s="46">
        <v>46.388399999999997</v>
      </c>
      <c r="P253" s="46">
        <v>46.748800000000003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</row>
    <row r="254" spans="2:27" ht="12.75" thickBot="1">
      <c r="B254" s="36"/>
      <c r="C254" s="53"/>
      <c r="D254" s="71">
        <v>40</v>
      </c>
      <c r="E254" s="81"/>
      <c r="F254" s="72">
        <v>38.765999999999998</v>
      </c>
      <c r="G254" s="72">
        <v>45.1509</v>
      </c>
      <c r="H254" s="72">
        <v>45.478200000000001</v>
      </c>
      <c r="I254" s="68"/>
      <c r="J254" s="68"/>
      <c r="K254" s="69"/>
      <c r="L254" s="29"/>
      <c r="M254" s="81"/>
      <c r="N254" s="72">
        <v>38.7682</v>
      </c>
      <c r="O254" s="72">
        <v>45.156399999999998</v>
      </c>
      <c r="P254" s="72">
        <v>45.479199999999999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</row>
    <row r="255" spans="2:27" ht="12">
      <c r="B255" s="36"/>
      <c r="C255" s="29" t="s">
        <v>52</v>
      </c>
      <c r="D255" s="32">
        <v>25</v>
      </c>
      <c r="E255" s="70"/>
      <c r="F255" s="45">
        <v>42.893900000000002</v>
      </c>
      <c r="G255" s="45">
        <v>47.576099999999997</v>
      </c>
      <c r="H255" s="45">
        <v>48.147100000000002</v>
      </c>
      <c r="I255" s="66"/>
      <c r="J255" s="66"/>
      <c r="K255" s="67"/>
      <c r="L255" s="29"/>
      <c r="M255" s="70"/>
      <c r="N255" s="45">
        <v>42.895299999999999</v>
      </c>
      <c r="O255" s="45">
        <v>47.57</v>
      </c>
      <c r="P255" s="45">
        <v>48.142899999999997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</row>
    <row r="256" spans="2:27" ht="12">
      <c r="B256" s="36"/>
      <c r="C256" s="29"/>
      <c r="D256" s="32">
        <v>30</v>
      </c>
      <c r="E256" s="70"/>
      <c r="F256" s="46">
        <v>41.783999999999999</v>
      </c>
      <c r="G256" s="46">
        <v>46.5809</v>
      </c>
      <c r="H256" s="46">
        <v>47.022500000000001</v>
      </c>
      <c r="I256" s="66"/>
      <c r="J256" s="66"/>
      <c r="K256" s="67"/>
      <c r="L256" s="29"/>
      <c r="M256" s="70"/>
      <c r="N256" s="46">
        <v>41.7879</v>
      </c>
      <c r="O256" s="46">
        <v>46.618099999999998</v>
      </c>
      <c r="P256" s="46">
        <v>47.028799999999997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</row>
    <row r="257" spans="1:27" ht="12">
      <c r="B257" s="36"/>
      <c r="C257" s="29"/>
      <c r="D257" s="32">
        <v>35</v>
      </c>
      <c r="E257" s="70"/>
      <c r="F257" s="46">
        <v>40.269500000000001</v>
      </c>
      <c r="G257" s="46">
        <v>45.625599999999999</v>
      </c>
      <c r="H257" s="46">
        <v>46.0184</v>
      </c>
      <c r="I257" s="66"/>
      <c r="J257" s="66"/>
      <c r="K257" s="67"/>
      <c r="L257" s="29"/>
      <c r="M257" s="70"/>
      <c r="N257" s="46">
        <v>40.276600000000002</v>
      </c>
      <c r="O257" s="46">
        <v>45.66</v>
      </c>
      <c r="P257" s="46">
        <v>46.0227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</row>
    <row r="258" spans="1:27" ht="12.75" thickBot="1">
      <c r="B258" s="36"/>
      <c r="C258" s="53"/>
      <c r="D258" s="71">
        <v>40</v>
      </c>
      <c r="E258" s="81"/>
      <c r="F258" s="72">
        <v>38.412300000000002</v>
      </c>
      <c r="G258" s="72">
        <v>44.645099999999999</v>
      </c>
      <c r="H258" s="72">
        <v>44.860100000000003</v>
      </c>
      <c r="I258" s="68"/>
      <c r="J258" s="68"/>
      <c r="K258" s="69"/>
      <c r="L258" s="29"/>
      <c r="M258" s="81"/>
      <c r="N258" s="72">
        <v>38.412999999999997</v>
      </c>
      <c r="O258" s="72">
        <v>44.646599999999999</v>
      </c>
      <c r="P258" s="72">
        <v>44.867600000000003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</row>
    <row r="259" spans="1:27" ht="12">
      <c r="B259" s="36"/>
      <c r="C259" s="29" t="s">
        <v>12</v>
      </c>
      <c r="D259" s="32">
        <v>25</v>
      </c>
      <c r="E259" s="45">
        <v>1501.7760000000001</v>
      </c>
      <c r="F259" s="70"/>
      <c r="G259" s="70"/>
      <c r="H259" s="70"/>
      <c r="I259" s="45">
        <v>25878.41</v>
      </c>
      <c r="J259" s="45">
        <v>59.1</v>
      </c>
      <c r="K259" s="45">
        <v>572.75</v>
      </c>
      <c r="L259" s="29"/>
      <c r="M259" s="45">
        <v>1502.3579999999999</v>
      </c>
      <c r="N259" s="70"/>
      <c r="O259" s="70"/>
      <c r="P259" s="70"/>
      <c r="Q259" s="45">
        <v>25936.880000000001</v>
      </c>
      <c r="R259" s="45">
        <v>59.46</v>
      </c>
      <c r="S259" s="45">
        <v>573.54999999999995</v>
      </c>
      <c r="U259" s="8"/>
      <c r="V259" s="9"/>
      <c r="W259" s="10"/>
      <c r="X259" s="29"/>
      <c r="Y259" s="61">
        <f>GEOMEAN(Q259:Q262)/GEOMEAN(I259:I262)</f>
        <v>1.000068723573482</v>
      </c>
      <c r="Z259" s="61">
        <f>GEOMEAN(R259:R262)/GEOMEAN(J259:J262)</f>
        <v>1.004067953310279</v>
      </c>
      <c r="AA259" s="57">
        <f>GEOMEAN(S259:S262)/GEOMEAN(K259:K262)</f>
        <v>1.0017375891246374</v>
      </c>
    </row>
    <row r="260" spans="1:27" ht="12">
      <c r="B260" s="36"/>
      <c r="C260" s="29"/>
      <c r="D260" s="32">
        <v>30</v>
      </c>
      <c r="E260" s="46">
        <v>621.30799999999999</v>
      </c>
      <c r="F260" s="70"/>
      <c r="G260" s="70"/>
      <c r="H260" s="70"/>
      <c r="I260" s="46">
        <v>21130.62</v>
      </c>
      <c r="J260" s="46">
        <v>54.75</v>
      </c>
      <c r="K260" s="46">
        <v>573.62</v>
      </c>
      <c r="L260" s="29"/>
      <c r="M260" s="46">
        <v>621.30399999999997</v>
      </c>
      <c r="N260" s="70"/>
      <c r="O260" s="70"/>
      <c r="P260" s="70"/>
      <c r="Q260" s="46">
        <v>21123.38</v>
      </c>
      <c r="R260" s="46">
        <v>55.78</v>
      </c>
      <c r="S260" s="46">
        <v>579.54999999999995</v>
      </c>
      <c r="U260" s="41"/>
      <c r="V260" s="42"/>
      <c r="W260" s="43"/>
      <c r="X260" s="29"/>
      <c r="Y260" s="24"/>
      <c r="Z260" s="24"/>
      <c r="AA260" s="27"/>
    </row>
    <row r="261" spans="1:27" ht="12">
      <c r="B261" s="36"/>
      <c r="C261" s="29"/>
      <c r="D261" s="32">
        <v>35</v>
      </c>
      <c r="E261" s="46">
        <v>320.05</v>
      </c>
      <c r="F261" s="70"/>
      <c r="G261" s="70"/>
      <c r="H261" s="70"/>
      <c r="I261" s="46">
        <v>18952.25</v>
      </c>
      <c r="J261" s="46">
        <v>52.8</v>
      </c>
      <c r="K261" s="46">
        <v>577.64</v>
      </c>
      <c r="L261" s="29"/>
      <c r="M261" s="46">
        <v>319.98099999999999</v>
      </c>
      <c r="N261" s="70"/>
      <c r="O261" s="70"/>
      <c r="P261" s="70"/>
      <c r="Q261" s="46">
        <v>18962.59</v>
      </c>
      <c r="R261" s="46">
        <v>53.02</v>
      </c>
      <c r="S261" s="46">
        <v>575.72</v>
      </c>
      <c r="U261" s="17"/>
      <c r="V261" s="18"/>
      <c r="W261" s="19"/>
      <c r="X261" s="29"/>
      <c r="Y261" s="24"/>
      <c r="Z261" s="24"/>
      <c r="AA261" s="27"/>
    </row>
    <row r="262" spans="1:27" ht="12.75" thickBot="1">
      <c r="B262" s="52"/>
      <c r="C262" s="53"/>
      <c r="D262" s="71">
        <v>40</v>
      </c>
      <c r="E262" s="72">
        <v>178.57599999999999</v>
      </c>
      <c r="F262" s="81"/>
      <c r="G262" s="81"/>
      <c r="H262" s="81"/>
      <c r="I262" s="72">
        <v>17797.43</v>
      </c>
      <c r="J262" s="72">
        <v>51.79</v>
      </c>
      <c r="K262" s="72">
        <v>576.16</v>
      </c>
      <c r="L262" s="29"/>
      <c r="M262" s="72">
        <v>178.666</v>
      </c>
      <c r="N262" s="81"/>
      <c r="O262" s="81"/>
      <c r="P262" s="81"/>
      <c r="Q262" s="72">
        <v>17758.59</v>
      </c>
      <c r="R262" s="72">
        <v>51.14</v>
      </c>
      <c r="S262" s="72">
        <v>575.35</v>
      </c>
      <c r="U262" s="85"/>
      <c r="V262" s="86"/>
      <c r="W262" s="87"/>
      <c r="X262" s="29"/>
      <c r="Y262" s="49"/>
      <c r="Z262" s="49"/>
      <c r="AA262" s="54"/>
    </row>
    <row r="263" spans="1:27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2438.8791999999999</v>
      </c>
      <c r="F263" s="45">
        <v>39.861699999999999</v>
      </c>
      <c r="G263" s="45">
        <v>46.752400000000002</v>
      </c>
      <c r="H263" s="45">
        <v>46.037700000000001</v>
      </c>
      <c r="I263" s="79"/>
      <c r="J263" s="79"/>
      <c r="K263" s="80"/>
      <c r="L263" s="29"/>
      <c r="M263" s="45">
        <v>2438.8791999999999</v>
      </c>
      <c r="N263" s="45">
        <v>39.861699999999999</v>
      </c>
      <c r="O263" s="45">
        <v>46.752400000000002</v>
      </c>
      <c r="P263" s="45">
        <v>46.037700000000001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">
      <c r="B264" s="36"/>
      <c r="C264" s="29"/>
      <c r="D264" s="32">
        <v>30</v>
      </c>
      <c r="E264" s="46">
        <v>956.86800000000005</v>
      </c>
      <c r="F264" s="46">
        <v>37.901400000000002</v>
      </c>
      <c r="G264" s="46">
        <v>45.321300000000001</v>
      </c>
      <c r="H264" s="46">
        <v>44.561599999999999</v>
      </c>
      <c r="I264" s="66"/>
      <c r="J264" s="66"/>
      <c r="K264" s="67"/>
      <c r="L264" s="29"/>
      <c r="M264" s="46">
        <v>956.86800000000005</v>
      </c>
      <c r="N264" s="46">
        <v>37.901400000000002</v>
      </c>
      <c r="O264" s="46">
        <v>45.321300000000001</v>
      </c>
      <c r="P264" s="46">
        <v>44.561599999999999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</row>
    <row r="265" spans="1:27" ht="12">
      <c r="B265" s="36"/>
      <c r="C265" s="29"/>
      <c r="D265" s="32">
        <v>35</v>
      </c>
      <c r="E265" s="46">
        <v>461.07679999999999</v>
      </c>
      <c r="F265" s="46">
        <v>35.8797</v>
      </c>
      <c r="G265" s="46">
        <v>43.5501</v>
      </c>
      <c r="H265" s="46">
        <v>42.822699999999998</v>
      </c>
      <c r="I265" s="66"/>
      <c r="J265" s="66"/>
      <c r="K265" s="67"/>
      <c r="L265" s="29"/>
      <c r="M265" s="46">
        <v>461.07679999999999</v>
      </c>
      <c r="N265" s="46">
        <v>35.8797</v>
      </c>
      <c r="O265" s="46">
        <v>43.5501</v>
      </c>
      <c r="P265" s="46">
        <v>42.822699999999998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</row>
    <row r="266" spans="1:27" ht="12.75" thickBot="1">
      <c r="B266" s="36"/>
      <c r="C266" s="29"/>
      <c r="D266" s="32">
        <v>40</v>
      </c>
      <c r="E266" s="46">
        <v>241.08160000000001</v>
      </c>
      <c r="F266" s="46">
        <v>33.764400000000002</v>
      </c>
      <c r="G266" s="46">
        <v>42.3125</v>
      </c>
      <c r="H266" s="46">
        <v>41.618200000000002</v>
      </c>
      <c r="I266" s="66"/>
      <c r="J266" s="66"/>
      <c r="K266" s="67"/>
      <c r="L266" s="29"/>
      <c r="M266" s="46">
        <v>241.08160000000001</v>
      </c>
      <c r="N266" s="46">
        <v>33.764400000000002</v>
      </c>
      <c r="O266" s="46">
        <v>42.3125</v>
      </c>
      <c r="P266" s="46">
        <v>41.618200000000002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</row>
    <row r="267" spans="1:27" ht="12">
      <c r="B267" s="36"/>
      <c r="C267" s="28" t="s">
        <v>27</v>
      </c>
      <c r="D267" s="31">
        <v>25</v>
      </c>
      <c r="E267" s="45">
        <v>710.22400000000005</v>
      </c>
      <c r="F267" s="45">
        <v>38.9861</v>
      </c>
      <c r="G267" s="45">
        <v>46.593400000000003</v>
      </c>
      <c r="H267" s="45">
        <v>44.722299999999997</v>
      </c>
      <c r="I267" s="79"/>
      <c r="J267" s="79"/>
      <c r="K267" s="80"/>
      <c r="L267" s="29"/>
      <c r="M267" s="45">
        <v>711.48080000000004</v>
      </c>
      <c r="N267" s="45">
        <v>38.986800000000002</v>
      </c>
      <c r="O267" s="45">
        <v>46.591000000000001</v>
      </c>
      <c r="P267" s="45">
        <v>44.731200000000001</v>
      </c>
      <c r="Q267" s="79"/>
      <c r="R267" s="79"/>
      <c r="S267" s="80"/>
      <c r="U267" s="8">
        <f>bdrate($E267:$E270,F267:F270,$M267:$M270,N267:N270)</f>
        <v>6.7251379174404491E-4</v>
      </c>
      <c r="V267" s="9">
        <f>bdrate($E267:$E270,G267:G270,$M267:$M270,O267:O270)</f>
        <v>-1.2228113767839277E-3</v>
      </c>
      <c r="W267" s="10">
        <f>bdrate($E267:$E270,H267:H270,$M267:$M270,P267:P270)</f>
        <v>1.913829825304969E-3</v>
      </c>
      <c r="X267" s="29"/>
      <c r="Y267" s="24"/>
      <c r="Z267" s="24"/>
      <c r="AA267" s="27"/>
    </row>
    <row r="268" spans="1:27" ht="12">
      <c r="B268" s="36"/>
      <c r="C268" s="29"/>
      <c r="D268" s="32">
        <v>30</v>
      </c>
      <c r="E268" s="46">
        <v>202.25360000000001</v>
      </c>
      <c r="F268" s="46">
        <v>37.130800000000001</v>
      </c>
      <c r="G268" s="46">
        <v>45.168500000000002</v>
      </c>
      <c r="H268" s="46">
        <v>43.113500000000002</v>
      </c>
      <c r="I268" s="66"/>
      <c r="J268" s="66"/>
      <c r="K268" s="67"/>
      <c r="L268" s="29"/>
      <c r="M268" s="46">
        <v>202.47919999999999</v>
      </c>
      <c r="N268" s="46">
        <v>37.1325</v>
      </c>
      <c r="O268" s="46">
        <v>45.1755</v>
      </c>
      <c r="P268" s="46">
        <v>43.1066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</row>
    <row r="269" spans="1:27" ht="12">
      <c r="B269" s="36"/>
      <c r="C269" s="29"/>
      <c r="D269" s="32">
        <v>35</v>
      </c>
      <c r="E269" s="46">
        <v>80.085599999999999</v>
      </c>
      <c r="F269" s="46">
        <v>35.234099999999998</v>
      </c>
      <c r="G269" s="46">
        <v>43.658299999999997</v>
      </c>
      <c r="H269" s="46">
        <v>41.800699999999999</v>
      </c>
      <c r="I269" s="66"/>
      <c r="J269" s="66"/>
      <c r="K269" s="67"/>
      <c r="L269" s="29"/>
      <c r="M269" s="46">
        <v>80.215999999999994</v>
      </c>
      <c r="N269" s="46">
        <v>35.2363</v>
      </c>
      <c r="O269" s="46">
        <v>43.663200000000003</v>
      </c>
      <c r="P269" s="46">
        <v>41.804699999999997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</row>
    <row r="270" spans="1:27" ht="12.75" thickBot="1">
      <c r="B270" s="36"/>
      <c r="C270" s="29"/>
      <c r="D270" s="32">
        <v>40</v>
      </c>
      <c r="E270" s="46">
        <v>36.6096</v>
      </c>
      <c r="F270" s="46">
        <v>33.261800000000001</v>
      </c>
      <c r="G270" s="46">
        <v>42.498199999999997</v>
      </c>
      <c r="H270" s="46">
        <v>40.876300000000001</v>
      </c>
      <c r="I270" s="66"/>
      <c r="J270" s="66"/>
      <c r="K270" s="67"/>
      <c r="L270" s="29"/>
      <c r="M270" s="46">
        <v>36.6648</v>
      </c>
      <c r="N270" s="46">
        <v>33.261299999999999</v>
      </c>
      <c r="O270" s="46">
        <v>42.495199999999997</v>
      </c>
      <c r="P270" s="46">
        <v>40.873100000000001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</row>
    <row r="271" spans="1:27" ht="12">
      <c r="B271" s="36"/>
      <c r="C271" s="28" t="s">
        <v>28</v>
      </c>
      <c r="D271" s="31">
        <v>25</v>
      </c>
      <c r="E271" s="45">
        <v>699.81200000000001</v>
      </c>
      <c r="F271" s="45">
        <v>38.915100000000002</v>
      </c>
      <c r="G271" s="45">
        <v>46.427999999999997</v>
      </c>
      <c r="H271" s="45">
        <v>46.137500000000003</v>
      </c>
      <c r="I271" s="79"/>
      <c r="J271" s="79"/>
      <c r="K271" s="80"/>
      <c r="L271" s="29"/>
      <c r="M271" s="45">
        <v>699.41039999999998</v>
      </c>
      <c r="N271" s="45">
        <v>38.915100000000002</v>
      </c>
      <c r="O271" s="45">
        <v>46.433</v>
      </c>
      <c r="P271" s="45">
        <v>46.137300000000003</v>
      </c>
      <c r="Q271" s="79"/>
      <c r="R271" s="79"/>
      <c r="S271" s="80"/>
      <c r="U271" s="8">
        <f>bdrate($E271:$E274,F271:F274,$M271:$M274,N271:N274)</f>
        <v>3.7374514530541525E-4</v>
      </c>
      <c r="V271" s="9">
        <f>bdrate($E271:$E274,G271:G274,$M271:$M274,O271:O274)</f>
        <v>-7.6172126419526975E-4</v>
      </c>
      <c r="W271" s="10">
        <f>bdrate($E271:$E274,H271:H274,$M271:$M274,P271:P274)</f>
        <v>2.4867637477354876E-4</v>
      </c>
      <c r="X271" s="29"/>
      <c r="Y271" s="24"/>
      <c r="Z271" s="24"/>
      <c r="AA271" s="27"/>
    </row>
    <row r="272" spans="1:27" ht="12">
      <c r="B272" s="36"/>
      <c r="C272" s="29"/>
      <c r="D272" s="32">
        <v>30</v>
      </c>
      <c r="E272" s="46">
        <v>200.096</v>
      </c>
      <c r="F272" s="46">
        <v>36.944899999999997</v>
      </c>
      <c r="G272" s="46">
        <v>45.006100000000004</v>
      </c>
      <c r="H272" s="46">
        <v>44.710500000000003</v>
      </c>
      <c r="I272" s="66"/>
      <c r="J272" s="66"/>
      <c r="K272" s="67"/>
      <c r="L272" s="29"/>
      <c r="M272" s="46">
        <v>199.86320000000001</v>
      </c>
      <c r="N272" s="46">
        <v>36.944099999999999</v>
      </c>
      <c r="O272" s="46">
        <v>45.010300000000001</v>
      </c>
      <c r="P272" s="46">
        <v>44.711500000000001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</row>
    <row r="273" spans="2:27" ht="12">
      <c r="B273" s="36"/>
      <c r="C273" s="29"/>
      <c r="D273" s="32">
        <v>35</v>
      </c>
      <c r="E273" s="46">
        <v>78.956800000000001</v>
      </c>
      <c r="F273" s="46">
        <v>34.965299999999999</v>
      </c>
      <c r="G273" s="46">
        <v>43.477400000000003</v>
      </c>
      <c r="H273" s="46">
        <v>43.115699999999997</v>
      </c>
      <c r="I273" s="66"/>
      <c r="J273" s="66"/>
      <c r="K273" s="67"/>
      <c r="L273" s="29"/>
      <c r="M273" s="46">
        <v>79.223200000000006</v>
      </c>
      <c r="N273" s="46">
        <v>34.966500000000003</v>
      </c>
      <c r="O273" s="46">
        <v>43.473300000000002</v>
      </c>
      <c r="P273" s="46">
        <v>43.115900000000003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</row>
    <row r="274" spans="2:27" ht="12.75" thickBot="1">
      <c r="B274" s="36"/>
      <c r="C274" s="53"/>
      <c r="D274" s="71">
        <v>40</v>
      </c>
      <c r="E274" s="72">
        <v>35.171199999999999</v>
      </c>
      <c r="F274" s="72">
        <v>32.952300000000001</v>
      </c>
      <c r="G274" s="72">
        <v>42.313600000000001</v>
      </c>
      <c r="H274" s="72">
        <v>41.914099999999998</v>
      </c>
      <c r="I274" s="68"/>
      <c r="J274" s="68"/>
      <c r="K274" s="69"/>
      <c r="L274" s="29"/>
      <c r="M274" s="72">
        <v>35.0608</v>
      </c>
      <c r="N274" s="72">
        <v>32.951500000000003</v>
      </c>
      <c r="O274" s="72">
        <v>42.315600000000003</v>
      </c>
      <c r="P274" s="72">
        <v>41.9116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</row>
    <row r="275" spans="2:27" ht="12">
      <c r="B275" s="36"/>
      <c r="C275" s="28" t="s">
        <v>29</v>
      </c>
      <c r="D275" s="31">
        <v>34</v>
      </c>
      <c r="E275" s="45">
        <v>162.31280000000001</v>
      </c>
      <c r="F275" s="45">
        <v>44.098500000000001</v>
      </c>
      <c r="G275" s="78"/>
      <c r="H275" s="78"/>
      <c r="I275" s="79"/>
      <c r="J275" s="79"/>
      <c r="K275" s="80"/>
      <c r="L275" s="29"/>
      <c r="M275" s="45">
        <v>162.31280000000001</v>
      </c>
      <c r="N275" s="45">
        <v>44.098500000000001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">
      <c r="B276" s="36"/>
      <c r="C276" s="29"/>
      <c r="D276" s="32">
        <v>39</v>
      </c>
      <c r="E276" s="46">
        <v>51.528799999999997</v>
      </c>
      <c r="F276" s="46">
        <v>41.35</v>
      </c>
      <c r="G276" s="70"/>
      <c r="H276" s="70"/>
      <c r="I276" s="66"/>
      <c r="J276" s="66"/>
      <c r="K276" s="67"/>
      <c r="L276" s="29"/>
      <c r="M276" s="46">
        <v>51.528799999999997</v>
      </c>
      <c r="N276" s="46">
        <v>41.35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</row>
    <row r="277" spans="2:27" ht="12">
      <c r="B277" s="36"/>
      <c r="C277" s="29"/>
      <c r="D277" s="32">
        <v>42</v>
      </c>
      <c r="E277" s="46">
        <v>22.561599999999999</v>
      </c>
      <c r="F277" s="46">
        <v>38.201900000000002</v>
      </c>
      <c r="G277" s="70"/>
      <c r="H277" s="70"/>
      <c r="I277" s="66"/>
      <c r="J277" s="66"/>
      <c r="K277" s="67"/>
      <c r="L277" s="29"/>
      <c r="M277" s="46">
        <v>22.561599999999999</v>
      </c>
      <c r="N277" s="46">
        <v>38.201900000000002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</row>
    <row r="278" spans="2:27" ht="12.75" thickBot="1">
      <c r="B278" s="36"/>
      <c r="C278" s="29"/>
      <c r="D278" s="32">
        <v>45</v>
      </c>
      <c r="E278" s="46">
        <v>11.5008</v>
      </c>
      <c r="F278" s="46">
        <v>35.801699999999997</v>
      </c>
      <c r="G278" s="70"/>
      <c r="H278" s="70"/>
      <c r="I278" s="66"/>
      <c r="J278" s="66"/>
      <c r="K278" s="67"/>
      <c r="L278" s="29"/>
      <c r="M278" s="46">
        <v>11.5008</v>
      </c>
      <c r="N278" s="46">
        <v>35.801699999999997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</row>
    <row r="279" spans="2:27" ht="12">
      <c r="B279" s="36"/>
      <c r="C279" s="28" t="s">
        <v>30</v>
      </c>
      <c r="D279" s="31">
        <v>34</v>
      </c>
      <c r="E279" s="45">
        <v>95.189599999999999</v>
      </c>
      <c r="F279" s="45">
        <v>42.502099999999999</v>
      </c>
      <c r="G279" s="78"/>
      <c r="H279" s="78"/>
      <c r="I279" s="79"/>
      <c r="J279" s="79"/>
      <c r="K279" s="80"/>
      <c r="L279" s="29"/>
      <c r="M279" s="45">
        <v>95.327200000000005</v>
      </c>
      <c r="N279" s="45">
        <v>42.539700000000003</v>
      </c>
      <c r="O279" s="78"/>
      <c r="P279" s="78"/>
      <c r="Q279" s="79"/>
      <c r="R279" s="79"/>
      <c r="S279" s="80"/>
      <c r="U279" s="8">
        <f>bdrate($E279:$E282,F279:F282,$M279:$M282,N279:N282)</f>
        <v>-5.113498356105195E-4</v>
      </c>
      <c r="V279" s="9"/>
      <c r="W279" s="10"/>
      <c r="X279" s="29"/>
      <c r="Y279" s="24"/>
      <c r="Z279" s="24"/>
      <c r="AA279" s="27"/>
    </row>
    <row r="280" spans="2:27" ht="12">
      <c r="B280" s="36"/>
      <c r="C280" s="29"/>
      <c r="D280" s="32">
        <v>39</v>
      </c>
      <c r="E280" s="46">
        <v>24.551200000000001</v>
      </c>
      <c r="F280" s="46">
        <v>39.922800000000002</v>
      </c>
      <c r="G280" s="70"/>
      <c r="H280" s="70"/>
      <c r="I280" s="66"/>
      <c r="J280" s="66"/>
      <c r="K280" s="67"/>
      <c r="L280" s="29"/>
      <c r="M280" s="46">
        <v>24.555199999999999</v>
      </c>
      <c r="N280" s="46">
        <v>39.884399999999999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</row>
    <row r="281" spans="2:27" ht="12">
      <c r="B281" s="36"/>
      <c r="C281" s="29"/>
      <c r="D281" s="32">
        <v>42</v>
      </c>
      <c r="E281" s="46">
        <v>9.7935999999999996</v>
      </c>
      <c r="F281" s="46">
        <v>36.988100000000003</v>
      </c>
      <c r="G281" s="70">
        <v>34.043700000000001</v>
      </c>
      <c r="H281" s="70">
        <v>34.043700000000001</v>
      </c>
      <c r="I281" s="66"/>
      <c r="J281" s="66"/>
      <c r="K281" s="67"/>
      <c r="L281" s="29"/>
      <c r="M281" s="46">
        <v>9.7639999999999993</v>
      </c>
      <c r="N281" s="46">
        <v>36.979799999999997</v>
      </c>
      <c r="O281" s="70">
        <v>34.056199999999997</v>
      </c>
      <c r="P281" s="70">
        <v>34.056199999999997</v>
      </c>
      <c r="Q281" s="66"/>
      <c r="R281" s="66"/>
      <c r="S281" s="67"/>
      <c r="U281" s="12"/>
      <c r="V281" s="13"/>
      <c r="W281" s="14"/>
      <c r="X281" s="29"/>
      <c r="Y281" s="24"/>
      <c r="Z281" s="24"/>
      <c r="AA281" s="27"/>
    </row>
    <row r="282" spans="2:27" ht="12.75" thickBot="1">
      <c r="B282" s="36"/>
      <c r="C282" s="29"/>
      <c r="D282" s="32">
        <v>45</v>
      </c>
      <c r="E282" s="46">
        <v>5.0368000000000004</v>
      </c>
      <c r="F282" s="46">
        <v>34.658200000000001</v>
      </c>
      <c r="G282" s="70">
        <v>27.999300000000002</v>
      </c>
      <c r="H282" s="70">
        <v>27.999300000000002</v>
      </c>
      <c r="I282" s="66"/>
      <c r="J282" s="66"/>
      <c r="K282" s="67"/>
      <c r="L282" s="29"/>
      <c r="M282" s="46">
        <v>5.032</v>
      </c>
      <c r="N282" s="46">
        <v>34.800400000000003</v>
      </c>
      <c r="O282" s="70">
        <v>27.4148</v>
      </c>
      <c r="P282" s="70">
        <v>27.4148</v>
      </c>
      <c r="Q282" s="66"/>
      <c r="R282" s="66"/>
      <c r="S282" s="67"/>
      <c r="U282" s="12"/>
      <c r="V282" s="13"/>
      <c r="W282" s="14"/>
      <c r="X282" s="29"/>
      <c r="Y282" s="24"/>
      <c r="Z282" s="24"/>
      <c r="AA282" s="27"/>
    </row>
    <row r="283" spans="2:27" ht="12">
      <c r="B283" s="36"/>
      <c r="C283" s="28" t="s">
        <v>31</v>
      </c>
      <c r="D283" s="31">
        <v>34</v>
      </c>
      <c r="E283" s="45">
        <v>111.12</v>
      </c>
      <c r="F283" s="45">
        <v>41.955100000000002</v>
      </c>
      <c r="G283" s="78"/>
      <c r="H283" s="78"/>
      <c r="I283" s="79"/>
      <c r="J283" s="79"/>
      <c r="K283" s="80"/>
      <c r="L283" s="29"/>
      <c r="M283" s="45">
        <v>110.8616</v>
      </c>
      <c r="N283" s="45">
        <v>41.954300000000003</v>
      </c>
      <c r="O283" s="78"/>
      <c r="P283" s="78"/>
      <c r="Q283" s="79"/>
      <c r="R283" s="79"/>
      <c r="S283" s="80"/>
      <c r="U283" s="8">
        <f>bdrate($E283:$E286,F283:F286,$M283:$M286,N283:N286)</f>
        <v>-5.2254878168249697E-3</v>
      </c>
      <c r="V283" s="9"/>
      <c r="W283" s="10"/>
      <c r="X283" s="29"/>
      <c r="Y283" s="24"/>
      <c r="Z283" s="24"/>
      <c r="AA283" s="27"/>
    </row>
    <row r="284" spans="2:27" ht="12">
      <c r="B284" s="36"/>
      <c r="C284" s="29"/>
      <c r="D284" s="32">
        <v>39</v>
      </c>
      <c r="E284" s="46">
        <v>27.9832</v>
      </c>
      <c r="F284" s="46">
        <v>39.268999999999998</v>
      </c>
      <c r="G284" s="70"/>
      <c r="H284" s="70"/>
      <c r="I284" s="66"/>
      <c r="J284" s="66"/>
      <c r="K284" s="67"/>
      <c r="L284" s="29"/>
      <c r="M284" s="46">
        <v>27.802399999999999</v>
      </c>
      <c r="N284" s="46">
        <v>39.286499999999997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</row>
    <row r="285" spans="2:27" ht="12">
      <c r="B285" s="36"/>
      <c r="C285" s="29"/>
      <c r="D285" s="32">
        <v>42</v>
      </c>
      <c r="E285" s="46">
        <v>10.5496</v>
      </c>
      <c r="F285" s="46">
        <v>36.6404</v>
      </c>
      <c r="G285" s="70">
        <v>32.701500000000003</v>
      </c>
      <c r="H285" s="70">
        <v>32.701500000000003</v>
      </c>
      <c r="I285" s="66"/>
      <c r="J285" s="66"/>
      <c r="K285" s="67"/>
      <c r="L285" s="29"/>
      <c r="M285" s="46">
        <v>10.569599999999999</v>
      </c>
      <c r="N285" s="46">
        <v>36.637500000000003</v>
      </c>
      <c r="O285" s="70">
        <v>32.5471</v>
      </c>
      <c r="P285" s="70">
        <v>32.5471</v>
      </c>
      <c r="Q285" s="66"/>
      <c r="R285" s="66"/>
      <c r="S285" s="67"/>
      <c r="U285" s="41"/>
      <c r="V285" s="42"/>
      <c r="W285" s="43"/>
      <c r="X285" s="29"/>
      <c r="Y285" s="24"/>
      <c r="Z285" s="24"/>
      <c r="AA285" s="27"/>
    </row>
    <row r="286" spans="2:27" ht="12.75" thickBot="1">
      <c r="B286" s="36"/>
      <c r="C286" s="29"/>
      <c r="D286" s="32">
        <v>45</v>
      </c>
      <c r="E286" s="46">
        <v>5.1584000000000003</v>
      </c>
      <c r="F286" s="46">
        <v>34.544499999999999</v>
      </c>
      <c r="G286" s="70">
        <v>29.888400000000001</v>
      </c>
      <c r="H286" s="70">
        <v>29.888400000000001</v>
      </c>
      <c r="I286" s="66"/>
      <c r="J286" s="66"/>
      <c r="K286" s="67"/>
      <c r="L286" s="29"/>
      <c r="M286" s="46">
        <v>5.1471999999999998</v>
      </c>
      <c r="N286" s="46">
        <v>34.543100000000003</v>
      </c>
      <c r="O286" s="70">
        <v>29.888400000000001</v>
      </c>
      <c r="P286" s="70">
        <v>29.888400000000001</v>
      </c>
      <c r="Q286" s="66"/>
      <c r="R286" s="66"/>
      <c r="S286" s="67"/>
      <c r="U286" s="41"/>
      <c r="V286" s="42"/>
      <c r="W286" s="43"/>
      <c r="X286" s="29"/>
      <c r="Y286" s="24"/>
      <c r="Z286" s="24"/>
      <c r="AA286" s="27"/>
    </row>
    <row r="287" spans="2:27" ht="12">
      <c r="B287" s="36"/>
      <c r="C287" s="28" t="s">
        <v>47</v>
      </c>
      <c r="D287" s="31">
        <v>25</v>
      </c>
      <c r="E287" s="78"/>
      <c r="F287" s="45">
        <v>39.990900000000003</v>
      </c>
      <c r="G287" s="45">
        <v>46.616399999999999</v>
      </c>
      <c r="H287" s="45">
        <v>46.003799999999998</v>
      </c>
      <c r="I287" s="79"/>
      <c r="J287" s="79"/>
      <c r="K287" s="80"/>
      <c r="L287" s="29"/>
      <c r="M287" s="78"/>
      <c r="N287" s="45">
        <v>39.991300000000003</v>
      </c>
      <c r="O287" s="45">
        <v>46.621299999999998</v>
      </c>
      <c r="P287" s="45">
        <v>46.023299999999999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</row>
    <row r="288" spans="2:27" ht="12">
      <c r="B288" s="36"/>
      <c r="C288" s="29"/>
      <c r="D288" s="32">
        <v>30</v>
      </c>
      <c r="E288" s="70"/>
      <c r="F288" s="46">
        <v>37.9116</v>
      </c>
      <c r="G288" s="46">
        <v>45.167400000000001</v>
      </c>
      <c r="H288" s="46">
        <v>44.377400000000002</v>
      </c>
      <c r="I288" s="66"/>
      <c r="J288" s="66"/>
      <c r="K288" s="67"/>
      <c r="L288" s="29"/>
      <c r="M288" s="70"/>
      <c r="N288" s="46">
        <v>37.912999999999997</v>
      </c>
      <c r="O288" s="46">
        <v>45.165900000000001</v>
      </c>
      <c r="P288" s="46">
        <v>44.377600000000001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</row>
    <row r="289" spans="2:27" ht="12">
      <c r="B289" s="36"/>
      <c r="C289" s="29"/>
      <c r="D289" s="32">
        <v>35</v>
      </c>
      <c r="E289" s="70"/>
      <c r="F289" s="46">
        <v>35.872999999999998</v>
      </c>
      <c r="G289" s="46">
        <v>43.705100000000002</v>
      </c>
      <c r="H289" s="46">
        <v>42.984200000000001</v>
      </c>
      <c r="I289" s="66"/>
      <c r="J289" s="66"/>
      <c r="K289" s="67"/>
      <c r="L289" s="29"/>
      <c r="M289" s="70"/>
      <c r="N289" s="46">
        <v>35.875100000000003</v>
      </c>
      <c r="O289" s="46">
        <v>43.721200000000003</v>
      </c>
      <c r="P289" s="46">
        <v>42.973500000000001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</row>
    <row r="290" spans="2:27" ht="12.75" thickBot="1">
      <c r="B290" s="36"/>
      <c r="C290" s="53"/>
      <c r="D290" s="71">
        <v>40</v>
      </c>
      <c r="E290" s="81"/>
      <c r="F290" s="72">
        <v>33.762999999999998</v>
      </c>
      <c r="G290" s="72">
        <v>42.520099999999999</v>
      </c>
      <c r="H290" s="72">
        <v>42.077100000000002</v>
      </c>
      <c r="I290" s="68"/>
      <c r="J290" s="68"/>
      <c r="K290" s="69"/>
      <c r="L290" s="29"/>
      <c r="M290" s="81"/>
      <c r="N290" s="72">
        <v>33.763599999999997</v>
      </c>
      <c r="O290" s="72">
        <v>42.501100000000001</v>
      </c>
      <c r="P290" s="72">
        <v>42.081899999999997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</row>
    <row r="291" spans="2:27" ht="12">
      <c r="B291" s="36"/>
      <c r="C291" s="29" t="s">
        <v>48</v>
      </c>
      <c r="D291" s="32">
        <v>25</v>
      </c>
      <c r="E291" s="70"/>
      <c r="F291" s="45">
        <v>40.685000000000002</v>
      </c>
      <c r="G291" s="45">
        <v>47.328400000000002</v>
      </c>
      <c r="H291" s="45">
        <v>46.878599999999999</v>
      </c>
      <c r="I291" s="66"/>
      <c r="J291" s="66"/>
      <c r="K291" s="67"/>
      <c r="L291" s="29"/>
      <c r="M291" s="70"/>
      <c r="N291" s="45">
        <v>40.686399999999999</v>
      </c>
      <c r="O291" s="45">
        <v>47.335599999999999</v>
      </c>
      <c r="P291" s="45">
        <v>46.887599999999999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</row>
    <row r="292" spans="2:27" ht="12">
      <c r="B292" s="36"/>
      <c r="C292" s="29"/>
      <c r="D292" s="32">
        <v>30</v>
      </c>
      <c r="E292" s="70"/>
      <c r="F292" s="46">
        <v>38.394599999999997</v>
      </c>
      <c r="G292" s="46">
        <v>45.698099999999997</v>
      </c>
      <c r="H292" s="46">
        <v>45.154000000000003</v>
      </c>
      <c r="I292" s="66"/>
      <c r="J292" s="66"/>
      <c r="K292" s="67"/>
      <c r="L292" s="29"/>
      <c r="M292" s="70"/>
      <c r="N292" s="46">
        <v>38.395899999999997</v>
      </c>
      <c r="O292" s="46">
        <v>45.686500000000002</v>
      </c>
      <c r="P292" s="46">
        <v>45.159300000000002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</row>
    <row r="293" spans="2:27" ht="12">
      <c r="B293" s="36"/>
      <c r="C293" s="29"/>
      <c r="D293" s="32">
        <v>35</v>
      </c>
      <c r="E293" s="70"/>
      <c r="F293" s="46">
        <v>36.225099999999998</v>
      </c>
      <c r="G293" s="46">
        <v>44.006599999999999</v>
      </c>
      <c r="H293" s="46">
        <v>43.513100000000001</v>
      </c>
      <c r="I293" s="66"/>
      <c r="J293" s="66"/>
      <c r="K293" s="67"/>
      <c r="L293" s="29"/>
      <c r="M293" s="70"/>
      <c r="N293" s="46">
        <v>36.2286</v>
      </c>
      <c r="O293" s="46">
        <v>44.021999999999998</v>
      </c>
      <c r="P293" s="46">
        <v>43.498100000000001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</row>
    <row r="294" spans="2:27" ht="12.75" thickBot="1">
      <c r="B294" s="36"/>
      <c r="C294" s="53"/>
      <c r="D294" s="71">
        <v>40</v>
      </c>
      <c r="E294" s="81"/>
      <c r="F294" s="46">
        <v>34.0244</v>
      </c>
      <c r="G294" s="72">
        <v>42.742199999999997</v>
      </c>
      <c r="H294" s="72">
        <v>42.456499999999998</v>
      </c>
      <c r="I294" s="68"/>
      <c r="J294" s="68"/>
      <c r="K294" s="69"/>
      <c r="L294" s="29"/>
      <c r="M294" s="81"/>
      <c r="N294" s="46">
        <v>34.025100000000002</v>
      </c>
      <c r="O294" s="72">
        <v>42.7211</v>
      </c>
      <c r="P294" s="72">
        <v>42.463200000000001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</row>
    <row r="295" spans="2:27" ht="12">
      <c r="B295" s="36"/>
      <c r="C295" s="29" t="s">
        <v>49</v>
      </c>
      <c r="D295" s="32">
        <v>25</v>
      </c>
      <c r="E295" s="70"/>
      <c r="F295" s="45">
        <v>40.596699999999998</v>
      </c>
      <c r="G295" s="45">
        <v>47.566499999999998</v>
      </c>
      <c r="H295" s="45">
        <v>47.196800000000003</v>
      </c>
      <c r="I295" s="66"/>
      <c r="J295" s="66"/>
      <c r="K295" s="67"/>
      <c r="L295" s="29"/>
      <c r="M295" s="70"/>
      <c r="N295" s="45">
        <v>40.6</v>
      </c>
      <c r="O295" s="45">
        <v>47.567</v>
      </c>
      <c r="P295" s="45">
        <v>47.202100000000002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</row>
    <row r="296" spans="2:27" ht="12">
      <c r="B296" s="36"/>
      <c r="C296" s="29"/>
      <c r="D296" s="32">
        <v>30</v>
      </c>
      <c r="E296" s="70"/>
      <c r="F296" s="46">
        <v>38.393900000000002</v>
      </c>
      <c r="G296" s="46">
        <v>46.0105</v>
      </c>
      <c r="H296" s="46">
        <v>45.595599999999997</v>
      </c>
      <c r="I296" s="66"/>
      <c r="J296" s="66"/>
      <c r="K296" s="67"/>
      <c r="L296" s="29"/>
      <c r="M296" s="70"/>
      <c r="N296" s="46">
        <v>38.3949</v>
      </c>
      <c r="O296" s="46">
        <v>46.011499999999998</v>
      </c>
      <c r="P296" s="46">
        <v>45.594499999999996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</row>
    <row r="297" spans="2:27" ht="12">
      <c r="B297" s="36"/>
      <c r="C297" s="29"/>
      <c r="D297" s="32">
        <v>35</v>
      </c>
      <c r="E297" s="70"/>
      <c r="F297" s="46">
        <v>36.234299999999998</v>
      </c>
      <c r="G297" s="46">
        <v>44.168799999999997</v>
      </c>
      <c r="H297" s="46">
        <v>43.785699999999999</v>
      </c>
      <c r="I297" s="66"/>
      <c r="J297" s="66"/>
      <c r="K297" s="67"/>
      <c r="L297" s="29"/>
      <c r="M297" s="70"/>
      <c r="N297" s="46">
        <v>36.236499999999999</v>
      </c>
      <c r="O297" s="46">
        <v>44.170200000000001</v>
      </c>
      <c r="P297" s="46">
        <v>43.783999999999999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</row>
    <row r="298" spans="2:27" ht="12.75" thickBot="1">
      <c r="B298" s="36"/>
      <c r="C298" s="53"/>
      <c r="D298" s="71">
        <v>40</v>
      </c>
      <c r="E298" s="81"/>
      <c r="F298" s="46">
        <v>34.032899999999998</v>
      </c>
      <c r="G298" s="72">
        <v>42.889699999999998</v>
      </c>
      <c r="H298" s="72">
        <v>42.537999999999997</v>
      </c>
      <c r="I298" s="68"/>
      <c r="J298" s="68"/>
      <c r="K298" s="69"/>
      <c r="L298" s="29"/>
      <c r="M298" s="81"/>
      <c r="N298" s="46">
        <v>34.033299999999997</v>
      </c>
      <c r="O298" s="72">
        <v>42.885599999999997</v>
      </c>
      <c r="P298" s="72">
        <v>42.536999999999999</v>
      </c>
      <c r="Q298" s="68"/>
      <c r="R298" s="68"/>
      <c r="S298" s="69"/>
      <c r="U298" s="17"/>
      <c r="V298" s="18"/>
      <c r="W298" s="19"/>
      <c r="X298" s="29"/>
      <c r="Z298" s="61"/>
      <c r="AA298" s="57"/>
    </row>
    <row r="299" spans="2:27" ht="12">
      <c r="B299" s="36"/>
      <c r="C299" s="29" t="s">
        <v>50</v>
      </c>
      <c r="D299" s="32">
        <v>25</v>
      </c>
      <c r="E299" s="70"/>
      <c r="F299" s="45">
        <v>40.551400000000001</v>
      </c>
      <c r="G299" s="45">
        <v>47.490900000000003</v>
      </c>
      <c r="H299" s="45">
        <v>47.0122</v>
      </c>
      <c r="I299" s="66"/>
      <c r="J299" s="66"/>
      <c r="K299" s="67"/>
      <c r="L299" s="29"/>
      <c r="M299" s="70"/>
      <c r="N299" s="45">
        <v>40.550600000000003</v>
      </c>
      <c r="O299" s="45">
        <v>47.492699999999999</v>
      </c>
      <c r="P299" s="45">
        <v>47.0107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</row>
    <row r="300" spans="2:27" ht="12">
      <c r="B300" s="36"/>
      <c r="C300" s="29"/>
      <c r="D300" s="32">
        <v>30</v>
      </c>
      <c r="E300" s="70"/>
      <c r="F300" s="46">
        <v>38.338999999999999</v>
      </c>
      <c r="G300" s="46">
        <v>45.9178</v>
      </c>
      <c r="H300" s="46">
        <v>45.387300000000003</v>
      </c>
      <c r="I300" s="66"/>
      <c r="J300" s="66"/>
      <c r="K300" s="67"/>
      <c r="L300" s="29"/>
      <c r="M300" s="70"/>
      <c r="N300" s="46">
        <v>38.337899999999998</v>
      </c>
      <c r="O300" s="46">
        <v>45.918399999999998</v>
      </c>
      <c r="P300" s="46">
        <v>45.3857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</row>
    <row r="301" spans="2:27" ht="12">
      <c r="B301" s="36"/>
      <c r="C301" s="29"/>
      <c r="D301" s="32">
        <v>35</v>
      </c>
      <c r="E301" s="70"/>
      <c r="F301" s="46">
        <v>36.1721</v>
      </c>
      <c r="G301" s="46">
        <v>44.075200000000002</v>
      </c>
      <c r="H301" s="46">
        <v>43.552700000000002</v>
      </c>
      <c r="I301" s="66"/>
      <c r="J301" s="66"/>
      <c r="K301" s="67"/>
      <c r="L301" s="29"/>
      <c r="M301" s="70"/>
      <c r="N301" s="46">
        <v>36.173699999999997</v>
      </c>
      <c r="O301" s="46">
        <v>44.077300000000001</v>
      </c>
      <c r="P301" s="46">
        <v>43.550400000000003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</row>
    <row r="302" spans="2:27" ht="12.75" thickBot="1">
      <c r="B302" s="36"/>
      <c r="C302" s="53"/>
      <c r="D302" s="71">
        <v>40</v>
      </c>
      <c r="E302" s="81"/>
      <c r="F302" s="46">
        <v>33.958199999999998</v>
      </c>
      <c r="G302" s="72">
        <v>42.760800000000003</v>
      </c>
      <c r="H302" s="72">
        <v>42.279200000000003</v>
      </c>
      <c r="I302" s="68"/>
      <c r="J302" s="68"/>
      <c r="K302" s="69"/>
      <c r="L302" s="29"/>
      <c r="M302" s="81"/>
      <c r="N302" s="46">
        <v>33.957999999999998</v>
      </c>
      <c r="O302" s="72">
        <v>42.767099999999999</v>
      </c>
      <c r="P302" s="72">
        <v>42.278399999999998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</row>
    <row r="303" spans="2:27" ht="12">
      <c r="B303" s="36"/>
      <c r="C303" s="29" t="s">
        <v>51</v>
      </c>
      <c r="D303" s="32">
        <v>25</v>
      </c>
      <c r="E303" s="70"/>
      <c r="F303" s="45">
        <v>40.573999999999998</v>
      </c>
      <c r="G303" s="45">
        <v>47.059600000000003</v>
      </c>
      <c r="H303" s="45">
        <v>46.837000000000003</v>
      </c>
      <c r="I303" s="66"/>
      <c r="J303" s="66"/>
      <c r="K303" s="67"/>
      <c r="L303" s="29"/>
      <c r="M303" s="70"/>
      <c r="N303" s="45">
        <v>40.5747</v>
      </c>
      <c r="O303" s="45">
        <v>47.0398</v>
      </c>
      <c r="P303" s="45">
        <v>46.823300000000003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</row>
    <row r="304" spans="2:27" ht="12">
      <c r="B304" s="36"/>
      <c r="C304" s="29"/>
      <c r="D304" s="32">
        <v>30</v>
      </c>
      <c r="E304" s="70"/>
      <c r="F304" s="46">
        <v>38.2455</v>
      </c>
      <c r="G304" s="46">
        <v>45.542900000000003</v>
      </c>
      <c r="H304" s="46">
        <v>45.197299999999998</v>
      </c>
      <c r="I304" s="66"/>
      <c r="J304" s="66"/>
      <c r="K304" s="67"/>
      <c r="L304" s="29"/>
      <c r="M304" s="70"/>
      <c r="N304" s="46">
        <v>38.244</v>
      </c>
      <c r="O304" s="46">
        <v>45.5488</v>
      </c>
      <c r="P304" s="46">
        <v>45.1967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</row>
    <row r="305" spans="1:27" ht="12">
      <c r="B305" s="36"/>
      <c r="C305" s="29"/>
      <c r="D305" s="32">
        <v>35</v>
      </c>
      <c r="E305" s="70"/>
      <c r="F305" s="46">
        <v>36.057099999999998</v>
      </c>
      <c r="G305" s="46">
        <v>43.777200000000001</v>
      </c>
      <c r="H305" s="46">
        <v>43.399000000000001</v>
      </c>
      <c r="I305" s="66"/>
      <c r="J305" s="66"/>
      <c r="K305" s="67"/>
      <c r="L305" s="29"/>
      <c r="M305" s="70"/>
      <c r="N305" s="46">
        <v>36.055599999999998</v>
      </c>
      <c r="O305" s="46">
        <v>43.7821</v>
      </c>
      <c r="P305" s="46">
        <v>43.373100000000001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</row>
    <row r="306" spans="1:27" ht="12.75" thickBot="1">
      <c r="B306" s="36"/>
      <c r="C306" s="53"/>
      <c r="D306" s="71">
        <v>40</v>
      </c>
      <c r="E306" s="81"/>
      <c r="F306" s="72">
        <v>33.851300000000002</v>
      </c>
      <c r="G306" s="72">
        <v>42.492800000000003</v>
      </c>
      <c r="H306" s="72">
        <v>42.090200000000003</v>
      </c>
      <c r="I306" s="68"/>
      <c r="J306" s="68"/>
      <c r="K306" s="69"/>
      <c r="L306" s="29"/>
      <c r="M306" s="81"/>
      <c r="N306" s="72">
        <v>33.850700000000003</v>
      </c>
      <c r="O306" s="72">
        <v>42.503100000000003</v>
      </c>
      <c r="P306" s="72">
        <v>42.0899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</row>
    <row r="307" spans="1:27" ht="12">
      <c r="B307" s="36"/>
      <c r="C307" s="29" t="s">
        <v>52</v>
      </c>
      <c r="D307" s="32">
        <v>25</v>
      </c>
      <c r="E307" s="70"/>
      <c r="F307" s="45">
        <v>39.890500000000003</v>
      </c>
      <c r="G307" s="45">
        <v>46.2254</v>
      </c>
      <c r="H307" s="45">
        <v>46.3996</v>
      </c>
      <c r="I307" s="66"/>
      <c r="J307" s="66"/>
      <c r="K307" s="67"/>
      <c r="L307" s="29"/>
      <c r="M307" s="70"/>
      <c r="N307" s="45">
        <v>39.890700000000002</v>
      </c>
      <c r="O307" s="45">
        <v>46.202399999999997</v>
      </c>
      <c r="P307" s="45">
        <v>46.400100000000002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</row>
    <row r="308" spans="1:27" ht="12">
      <c r="B308" s="36"/>
      <c r="C308" s="29"/>
      <c r="D308" s="32">
        <v>30</v>
      </c>
      <c r="E308" s="70"/>
      <c r="F308" s="46">
        <v>37.7256</v>
      </c>
      <c r="G308" s="46">
        <v>44.905099999999997</v>
      </c>
      <c r="H308" s="46">
        <v>44.881300000000003</v>
      </c>
      <c r="I308" s="66"/>
      <c r="J308" s="66"/>
      <c r="K308" s="67"/>
      <c r="L308" s="29"/>
      <c r="M308" s="70"/>
      <c r="N308" s="46">
        <v>37.724899999999998</v>
      </c>
      <c r="O308" s="46">
        <v>44.920999999999999</v>
      </c>
      <c r="P308" s="46">
        <v>44.887900000000002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</row>
    <row r="309" spans="1:27" ht="12">
      <c r="B309" s="36"/>
      <c r="C309" s="29"/>
      <c r="D309" s="32">
        <v>35</v>
      </c>
      <c r="E309" s="70"/>
      <c r="F309" s="46">
        <v>35.648800000000001</v>
      </c>
      <c r="G309" s="46">
        <v>43.360900000000001</v>
      </c>
      <c r="H309" s="46">
        <v>43.201799999999999</v>
      </c>
      <c r="I309" s="66"/>
      <c r="J309" s="66"/>
      <c r="K309" s="67"/>
      <c r="L309" s="29"/>
      <c r="M309" s="70"/>
      <c r="N309" s="46">
        <v>35.648899999999998</v>
      </c>
      <c r="O309" s="46">
        <v>43.367600000000003</v>
      </c>
      <c r="P309" s="46">
        <v>43.191800000000001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</row>
    <row r="310" spans="1:27" ht="12.75" thickBot="1">
      <c r="B310" s="36"/>
      <c r="C310" s="53"/>
      <c r="D310" s="71">
        <v>40</v>
      </c>
      <c r="E310" s="81"/>
      <c r="F310" s="72">
        <v>33.538600000000002</v>
      </c>
      <c r="G310" s="72">
        <v>42.170900000000003</v>
      </c>
      <c r="H310" s="72">
        <v>41.956200000000003</v>
      </c>
      <c r="I310" s="68"/>
      <c r="J310" s="68"/>
      <c r="K310" s="69"/>
      <c r="L310" s="29"/>
      <c r="M310" s="81"/>
      <c r="N310" s="72">
        <v>33.537399999999998</v>
      </c>
      <c r="O310" s="72">
        <v>42.191699999999997</v>
      </c>
      <c r="P310" s="72">
        <v>41.955599999999997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</row>
    <row r="311" spans="1:27" ht="12">
      <c r="B311" s="36"/>
      <c r="C311" s="29" t="s">
        <v>12</v>
      </c>
      <c r="D311" s="32">
        <v>25</v>
      </c>
      <c r="E311" s="45">
        <v>4222.3743999999997</v>
      </c>
      <c r="F311" s="70"/>
      <c r="G311" s="70"/>
      <c r="H311" s="70"/>
      <c r="I311" s="45">
        <v>38016.050000000003</v>
      </c>
      <c r="J311" s="45">
        <v>67.959999999999994</v>
      </c>
      <c r="K311" s="45">
        <v>718.74</v>
      </c>
      <c r="L311" s="29"/>
      <c r="M311" s="45">
        <v>4223.1088</v>
      </c>
      <c r="N311" s="70"/>
      <c r="O311" s="70"/>
      <c r="P311" s="70"/>
      <c r="Q311" s="45">
        <v>37824.699999999997</v>
      </c>
      <c r="R311" s="45">
        <v>66.459999999999994</v>
      </c>
      <c r="S311" s="45">
        <v>703.81</v>
      </c>
      <c r="U311" s="8"/>
      <c r="V311" s="9"/>
      <c r="W311" s="10"/>
      <c r="X311" s="29"/>
      <c r="Y311" s="61">
        <f>GEOMEAN(Q311:Q314)/GEOMEAN(I311:I314)</f>
        <v>0.99914433038781392</v>
      </c>
      <c r="Z311" s="61">
        <f>GEOMEAN(R311:R314)/GEOMEAN(J311:J314)</f>
        <v>0.99270143936491073</v>
      </c>
      <c r="AA311" s="57">
        <f>GEOMEAN(S311:S314)/GEOMEAN(K311:K314)</f>
        <v>0.98493025178845628</v>
      </c>
    </row>
    <row r="312" spans="1:27" ht="12">
      <c r="B312" s="36"/>
      <c r="C312" s="29"/>
      <c r="D312" s="32">
        <v>30</v>
      </c>
      <c r="E312" s="46">
        <v>1468.1176</v>
      </c>
      <c r="F312" s="70"/>
      <c r="G312" s="70"/>
      <c r="H312" s="70"/>
      <c r="I312" s="46">
        <v>28737.45</v>
      </c>
      <c r="J312" s="46">
        <v>63.4</v>
      </c>
      <c r="K312" s="46">
        <v>727.49</v>
      </c>
      <c r="L312" s="29"/>
      <c r="M312" s="46">
        <v>1467.9336000000001</v>
      </c>
      <c r="N312" s="70"/>
      <c r="O312" s="70"/>
      <c r="P312" s="70"/>
      <c r="Q312" s="46">
        <v>28731</v>
      </c>
      <c r="R312" s="46">
        <v>63.4</v>
      </c>
      <c r="S312" s="46">
        <v>718.09</v>
      </c>
      <c r="U312" s="41"/>
      <c r="V312" s="42"/>
      <c r="W312" s="43"/>
      <c r="X312" s="29"/>
      <c r="Y312" s="24"/>
      <c r="Z312" s="24"/>
      <c r="AA312" s="27"/>
    </row>
    <row r="313" spans="1:27" ht="12">
      <c r="B313" s="36"/>
      <c r="C313" s="29"/>
      <c r="D313" s="32">
        <v>35</v>
      </c>
      <c r="E313" s="46">
        <v>667.86080000000004</v>
      </c>
      <c r="F313" s="70"/>
      <c r="G313" s="70"/>
      <c r="H313" s="70"/>
      <c r="I313" s="46">
        <v>25426.99</v>
      </c>
      <c r="J313" s="46">
        <v>63.15</v>
      </c>
      <c r="K313" s="46">
        <v>721.86</v>
      </c>
      <c r="L313" s="29"/>
      <c r="M313" s="46">
        <v>668.24800000000005</v>
      </c>
      <c r="N313" s="70"/>
      <c r="O313" s="70"/>
      <c r="P313" s="70"/>
      <c r="Q313" s="46">
        <v>25512.63</v>
      </c>
      <c r="R313" s="46">
        <v>62.9</v>
      </c>
      <c r="S313" s="46">
        <v>701.84</v>
      </c>
      <c r="U313" s="17"/>
      <c r="V313" s="18"/>
      <c r="W313" s="19"/>
      <c r="X313" s="29"/>
      <c r="Y313" s="24"/>
      <c r="Z313" s="24"/>
      <c r="AA313" s="27"/>
    </row>
    <row r="314" spans="1:27" ht="12.75" thickBot="1">
      <c r="B314" s="52"/>
      <c r="C314" s="53"/>
      <c r="D314" s="71">
        <v>40</v>
      </c>
      <c r="E314" s="72">
        <v>339.39519999999999</v>
      </c>
      <c r="F314" s="81"/>
      <c r="G314" s="81"/>
      <c r="H314" s="81"/>
      <c r="I314" s="72">
        <v>23012.5</v>
      </c>
      <c r="J314" s="72">
        <v>59.78</v>
      </c>
      <c r="K314" s="72">
        <v>721.76</v>
      </c>
      <c r="L314" s="29"/>
      <c r="M314" s="72">
        <v>339.32400000000001</v>
      </c>
      <c r="N314" s="81"/>
      <c r="O314" s="81"/>
      <c r="P314" s="81"/>
      <c r="Q314" s="72">
        <v>22977.64</v>
      </c>
      <c r="R314" s="72">
        <v>59.6</v>
      </c>
      <c r="S314" s="72">
        <v>722.76</v>
      </c>
      <c r="U314" s="85"/>
      <c r="V314" s="86"/>
      <c r="W314" s="87"/>
      <c r="X314" s="29"/>
      <c r="Y314" s="49"/>
      <c r="Z314" s="49"/>
      <c r="AA314" s="54"/>
    </row>
    <row r="315" spans="1:27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4626.4207999999999</v>
      </c>
      <c r="F315" s="45">
        <v>38.804900000000004</v>
      </c>
      <c r="G315" s="45">
        <v>46.645299999999999</v>
      </c>
      <c r="H315" s="45">
        <v>45.9617</v>
      </c>
      <c r="I315" s="79"/>
      <c r="J315" s="79"/>
      <c r="K315" s="80"/>
      <c r="L315" s="29"/>
      <c r="M315" s="45">
        <v>4626.4207999999999</v>
      </c>
      <c r="N315" s="45">
        <v>38.804900000000004</v>
      </c>
      <c r="O315" s="45">
        <v>46.645299999999999</v>
      </c>
      <c r="P315" s="45">
        <v>45.9617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">
      <c r="B316" s="36"/>
      <c r="C316" s="29"/>
      <c r="D316" s="32">
        <v>30</v>
      </c>
      <c r="E316" s="46">
        <v>2005.8032000000001</v>
      </c>
      <c r="F316" s="46">
        <v>35.909599999999998</v>
      </c>
      <c r="G316" s="46">
        <v>45.156300000000002</v>
      </c>
      <c r="H316" s="46">
        <v>44.579700000000003</v>
      </c>
      <c r="I316" s="66"/>
      <c r="J316" s="66"/>
      <c r="K316" s="67"/>
      <c r="L316" s="29"/>
      <c r="M316" s="46">
        <v>2005.8032000000001</v>
      </c>
      <c r="N316" s="46">
        <v>35.909599999999998</v>
      </c>
      <c r="O316" s="46">
        <v>45.156300000000002</v>
      </c>
      <c r="P316" s="46">
        <v>44.579700000000003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</row>
    <row r="317" spans="1:27" ht="12">
      <c r="B317" s="36"/>
      <c r="C317" s="29"/>
      <c r="D317" s="32">
        <v>35</v>
      </c>
      <c r="E317" s="46">
        <v>916.19439999999997</v>
      </c>
      <c r="F317" s="46">
        <v>33.376399999999997</v>
      </c>
      <c r="G317" s="46">
        <v>43.769500000000001</v>
      </c>
      <c r="H317" s="46">
        <v>43.327199999999998</v>
      </c>
      <c r="I317" s="66"/>
      <c r="J317" s="66"/>
      <c r="K317" s="67"/>
      <c r="L317" s="29"/>
      <c r="M317" s="46">
        <v>916.19439999999997</v>
      </c>
      <c r="N317" s="46">
        <v>33.376399999999997</v>
      </c>
      <c r="O317" s="46">
        <v>43.769500000000001</v>
      </c>
      <c r="P317" s="46">
        <v>43.327199999999998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</row>
    <row r="318" spans="1:27" ht="12.75" thickBot="1">
      <c r="B318" s="36"/>
      <c r="C318" s="29"/>
      <c r="D318" s="32">
        <v>40</v>
      </c>
      <c r="E318" s="46">
        <v>426.29919999999998</v>
      </c>
      <c r="F318" s="46">
        <v>31.0837</v>
      </c>
      <c r="G318" s="46">
        <v>42.996499999999997</v>
      </c>
      <c r="H318" s="46">
        <v>42.5914</v>
      </c>
      <c r="I318" s="66"/>
      <c r="J318" s="66"/>
      <c r="K318" s="67"/>
      <c r="L318" s="29"/>
      <c r="M318" s="46">
        <v>426.29919999999998</v>
      </c>
      <c r="N318" s="46">
        <v>31.0837</v>
      </c>
      <c r="O318" s="46">
        <v>42.996499999999997</v>
      </c>
      <c r="P318" s="46">
        <v>42.5914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</row>
    <row r="319" spans="1:27" ht="12">
      <c r="B319" s="36"/>
      <c r="C319" s="28" t="s">
        <v>27</v>
      </c>
      <c r="D319" s="31">
        <v>25</v>
      </c>
      <c r="E319" s="45">
        <v>920.56</v>
      </c>
      <c r="F319" s="45">
        <v>37.974499999999999</v>
      </c>
      <c r="G319" s="45">
        <v>46.566299999999998</v>
      </c>
      <c r="H319" s="45">
        <v>45.973300000000002</v>
      </c>
      <c r="I319" s="79"/>
      <c r="J319" s="79"/>
      <c r="K319" s="80"/>
      <c r="L319" s="29"/>
      <c r="M319" s="45">
        <v>920.72400000000005</v>
      </c>
      <c r="N319" s="45">
        <v>37.975000000000001</v>
      </c>
      <c r="O319" s="45">
        <v>46.565399999999997</v>
      </c>
      <c r="P319" s="45">
        <v>45.972999999999999</v>
      </c>
      <c r="Q319" s="79"/>
      <c r="R319" s="79"/>
      <c r="S319" s="80"/>
      <c r="U319" s="8">
        <f>bdrate($E319:$E322,F319:F322,$M319:$M322,N319:N322)</f>
        <v>-1.4697620394887867E-4</v>
      </c>
      <c r="V319" s="9">
        <f>bdrate($E319:$E322,G319:G322,$M319:$M322,O319:O322)</f>
        <v>6.0268120822271065E-4</v>
      </c>
      <c r="W319" s="10">
        <f>bdrate($E319:$E322,H319:H322,$M319:$M322,P319:P322)</f>
        <v>-4.8821226612494328E-4</v>
      </c>
      <c r="X319" s="29"/>
      <c r="Y319" s="24"/>
      <c r="Z319" s="24"/>
      <c r="AA319" s="27"/>
    </row>
    <row r="320" spans="1:27" ht="12">
      <c r="B320" s="36"/>
      <c r="C320" s="29"/>
      <c r="D320" s="32">
        <v>30</v>
      </c>
      <c r="E320" s="46">
        <v>333.36959999999999</v>
      </c>
      <c r="F320" s="46">
        <v>35.3461</v>
      </c>
      <c r="G320" s="46">
        <v>45.120899999999999</v>
      </c>
      <c r="H320" s="46">
        <v>44.6006</v>
      </c>
      <c r="I320" s="66"/>
      <c r="J320" s="66"/>
      <c r="K320" s="67"/>
      <c r="L320" s="29"/>
      <c r="M320" s="46">
        <v>332.66879999999998</v>
      </c>
      <c r="N320" s="46">
        <v>35.345199999999998</v>
      </c>
      <c r="O320" s="46">
        <v>45.118200000000002</v>
      </c>
      <c r="P320" s="46">
        <v>44.6006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</row>
    <row r="321" spans="2:27" ht="12">
      <c r="B321" s="36"/>
      <c r="C321" s="29"/>
      <c r="D321" s="32">
        <v>35</v>
      </c>
      <c r="E321" s="46">
        <v>146.0224</v>
      </c>
      <c r="F321" s="46">
        <v>32.940600000000003</v>
      </c>
      <c r="G321" s="46">
        <v>43.8187</v>
      </c>
      <c r="H321" s="46">
        <v>43.396999999999998</v>
      </c>
      <c r="I321" s="66"/>
      <c r="J321" s="66"/>
      <c r="K321" s="67"/>
      <c r="L321" s="29"/>
      <c r="M321" s="46">
        <v>146.28800000000001</v>
      </c>
      <c r="N321" s="46">
        <v>32.941899999999997</v>
      </c>
      <c r="O321" s="46">
        <v>43.819899999999997</v>
      </c>
      <c r="P321" s="46">
        <v>43.397399999999998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</row>
    <row r="322" spans="2:27" ht="12.75" thickBot="1">
      <c r="B322" s="36"/>
      <c r="C322" s="29"/>
      <c r="D322" s="32">
        <v>40</v>
      </c>
      <c r="E322" s="46">
        <v>69.671999999999997</v>
      </c>
      <c r="F322" s="46">
        <v>30.726400000000002</v>
      </c>
      <c r="G322" s="46">
        <v>43.042299999999997</v>
      </c>
      <c r="H322" s="46">
        <v>42.649500000000003</v>
      </c>
      <c r="I322" s="66"/>
      <c r="J322" s="66"/>
      <c r="K322" s="67"/>
      <c r="L322" s="29"/>
      <c r="M322" s="46">
        <v>69.763999999999996</v>
      </c>
      <c r="N322" s="46">
        <v>30.727900000000002</v>
      </c>
      <c r="O322" s="46">
        <v>43.038800000000002</v>
      </c>
      <c r="P322" s="46">
        <v>42.650700000000001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</row>
    <row r="323" spans="2:27" ht="12">
      <c r="B323" s="36"/>
      <c r="C323" s="28" t="s">
        <v>28</v>
      </c>
      <c r="D323" s="31">
        <v>25</v>
      </c>
      <c r="E323" s="45">
        <v>876.91759999999999</v>
      </c>
      <c r="F323" s="45">
        <v>38.143599999999999</v>
      </c>
      <c r="G323" s="45">
        <v>46.508800000000001</v>
      </c>
      <c r="H323" s="45">
        <v>45.78</v>
      </c>
      <c r="I323" s="79"/>
      <c r="J323" s="79"/>
      <c r="K323" s="80"/>
      <c r="L323" s="29"/>
      <c r="M323" s="45">
        <v>877.05679999999995</v>
      </c>
      <c r="N323" s="45">
        <v>38.144199999999998</v>
      </c>
      <c r="O323" s="45">
        <v>46.509500000000003</v>
      </c>
      <c r="P323" s="45">
        <v>45.779499999999999</v>
      </c>
      <c r="Q323" s="79"/>
      <c r="R323" s="79"/>
      <c r="S323" s="80"/>
      <c r="U323" s="8">
        <f>bdrate($E323:$E326,F323:F326,$M323:$M326,N323:N326)</f>
        <v>-8.7718847597928473E-4</v>
      </c>
      <c r="V323" s="9">
        <f>bdrate($E323:$E326,G323:G326,$M323:$M326,O323:O326)</f>
        <v>-9.421515539606018E-4</v>
      </c>
      <c r="W323" s="10">
        <f>bdrate($E323:$E326,H323:H326,$M323:$M326,P323:P326)</f>
        <v>-6.4102604139348873E-4</v>
      </c>
      <c r="X323" s="29"/>
      <c r="Y323" s="24"/>
      <c r="Z323" s="24"/>
      <c r="AA323" s="27"/>
    </row>
    <row r="324" spans="2:27" ht="12">
      <c r="B324" s="36"/>
      <c r="C324" s="29"/>
      <c r="D324" s="32">
        <v>30</v>
      </c>
      <c r="E324" s="46">
        <v>317.0016</v>
      </c>
      <c r="F324" s="46">
        <v>35.526400000000002</v>
      </c>
      <c r="G324" s="46">
        <v>45.0505</v>
      </c>
      <c r="H324" s="46">
        <v>44.432600000000001</v>
      </c>
      <c r="I324" s="66"/>
      <c r="J324" s="66"/>
      <c r="K324" s="67"/>
      <c r="L324" s="29"/>
      <c r="M324" s="46">
        <v>316.67360000000002</v>
      </c>
      <c r="N324" s="46">
        <v>35.525199999999998</v>
      </c>
      <c r="O324" s="46">
        <v>45.052599999999998</v>
      </c>
      <c r="P324" s="46">
        <v>44.432600000000001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</row>
    <row r="325" spans="2:27" ht="12">
      <c r="B325" s="36"/>
      <c r="C325" s="29"/>
      <c r="D325" s="32">
        <v>35</v>
      </c>
      <c r="E325" s="46">
        <v>140.21199999999999</v>
      </c>
      <c r="F325" s="46">
        <v>33.131900000000002</v>
      </c>
      <c r="G325" s="46">
        <v>43.734099999999998</v>
      </c>
      <c r="H325" s="46">
        <v>43.247300000000003</v>
      </c>
      <c r="I325" s="66"/>
      <c r="J325" s="66"/>
      <c r="K325" s="67"/>
      <c r="L325" s="29"/>
      <c r="M325" s="46">
        <v>139.96960000000001</v>
      </c>
      <c r="N325" s="46">
        <v>33.131500000000003</v>
      </c>
      <c r="O325" s="46">
        <v>43.730699999999999</v>
      </c>
      <c r="P325" s="46">
        <v>43.246299999999998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</row>
    <row r="326" spans="2:27" ht="12.75" thickBot="1">
      <c r="B326" s="36"/>
      <c r="C326" s="53"/>
      <c r="D326" s="71">
        <v>40</v>
      </c>
      <c r="E326" s="72">
        <v>67.044799999999995</v>
      </c>
      <c r="F326" s="72">
        <v>30.901599999999998</v>
      </c>
      <c r="G326" s="72">
        <v>42.956800000000001</v>
      </c>
      <c r="H326" s="72">
        <v>42.511000000000003</v>
      </c>
      <c r="I326" s="68"/>
      <c r="J326" s="68"/>
      <c r="K326" s="69"/>
      <c r="L326" s="29"/>
      <c r="M326" s="72">
        <v>66.983199999999997</v>
      </c>
      <c r="N326" s="72">
        <v>30.900600000000001</v>
      </c>
      <c r="O326" s="72">
        <v>42.956299999999999</v>
      </c>
      <c r="P326" s="72">
        <v>42.509900000000002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</row>
    <row r="327" spans="2:27" ht="12">
      <c r="B327" s="36"/>
      <c r="C327" s="28" t="s">
        <v>29</v>
      </c>
      <c r="D327" s="31">
        <v>34</v>
      </c>
      <c r="E327" s="45">
        <v>205.66800000000001</v>
      </c>
      <c r="F327" s="45">
        <v>47.522100000000002</v>
      </c>
      <c r="G327" s="78"/>
      <c r="H327" s="78"/>
      <c r="I327" s="79"/>
      <c r="J327" s="79"/>
      <c r="K327" s="80"/>
      <c r="L327" s="29"/>
      <c r="M327" s="45">
        <v>205.66800000000001</v>
      </c>
      <c r="N327" s="45">
        <v>47.522100000000002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">
      <c r="B328" s="36"/>
      <c r="C328" s="29"/>
      <c r="D328" s="32">
        <v>39</v>
      </c>
      <c r="E328" s="46">
        <v>97.461600000000004</v>
      </c>
      <c r="F328" s="46">
        <v>43.220199999999998</v>
      </c>
      <c r="G328" s="70"/>
      <c r="H328" s="70"/>
      <c r="I328" s="66"/>
      <c r="J328" s="66"/>
      <c r="K328" s="67"/>
      <c r="L328" s="29"/>
      <c r="M328" s="46">
        <v>97.461600000000004</v>
      </c>
      <c r="N328" s="46">
        <v>43.220199999999998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</row>
    <row r="329" spans="2:27" ht="12">
      <c r="B329" s="36"/>
      <c r="C329" s="29"/>
      <c r="D329" s="32">
        <v>42</v>
      </c>
      <c r="E329" s="46">
        <v>50.465600000000002</v>
      </c>
      <c r="F329" s="46">
        <v>39.322699999999998</v>
      </c>
      <c r="G329" s="70"/>
      <c r="H329" s="70"/>
      <c r="I329" s="66"/>
      <c r="J329" s="66"/>
      <c r="K329" s="67"/>
      <c r="L329" s="29"/>
      <c r="M329" s="46">
        <v>50.465600000000002</v>
      </c>
      <c r="N329" s="46">
        <v>39.322699999999998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</row>
    <row r="330" spans="2:27" ht="12.75" thickBot="1">
      <c r="B330" s="36"/>
      <c r="C330" s="29"/>
      <c r="D330" s="32">
        <v>45</v>
      </c>
      <c r="E330" s="46">
        <v>25.083200000000001</v>
      </c>
      <c r="F330" s="46">
        <v>34.512300000000003</v>
      </c>
      <c r="G330" s="70"/>
      <c r="H330" s="70"/>
      <c r="I330" s="66"/>
      <c r="J330" s="66"/>
      <c r="K330" s="67"/>
      <c r="L330" s="29"/>
      <c r="M330" s="46">
        <v>25.083200000000001</v>
      </c>
      <c r="N330" s="46">
        <v>34.512300000000003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</row>
    <row r="331" spans="2:27" ht="12">
      <c r="B331" s="36"/>
      <c r="C331" s="28" t="s">
        <v>30</v>
      </c>
      <c r="D331" s="31">
        <v>34</v>
      </c>
      <c r="E331" s="45">
        <v>84.962400000000002</v>
      </c>
      <c r="F331" s="45">
        <v>46.172499999999999</v>
      </c>
      <c r="G331" s="78"/>
      <c r="H331" s="78"/>
      <c r="I331" s="79"/>
      <c r="J331" s="79"/>
      <c r="K331" s="80"/>
      <c r="L331" s="29"/>
      <c r="M331" s="45">
        <v>85.021600000000007</v>
      </c>
      <c r="N331" s="45">
        <v>46.1464</v>
      </c>
      <c r="O331" s="78"/>
      <c r="P331" s="78"/>
      <c r="Q331" s="79"/>
      <c r="R331" s="79"/>
      <c r="S331" s="80"/>
      <c r="U331" s="8">
        <f>bdrate($E331:$E334,F331:F334,$M331:$M334,N331:N334)</f>
        <v>6.475427236314335E-4</v>
      </c>
      <c r="V331" s="9"/>
      <c r="W331" s="10"/>
      <c r="X331" s="29"/>
      <c r="Y331" s="24"/>
      <c r="Z331" s="24"/>
      <c r="AA331" s="27"/>
    </row>
    <row r="332" spans="2:27" ht="12">
      <c r="B332" s="36"/>
      <c r="C332" s="29"/>
      <c r="D332" s="32">
        <v>39</v>
      </c>
      <c r="E332" s="46">
        <v>36.102400000000003</v>
      </c>
      <c r="F332" s="46">
        <v>42.117899999999999</v>
      </c>
      <c r="G332" s="70"/>
      <c r="H332" s="70"/>
      <c r="I332" s="66"/>
      <c r="J332" s="66"/>
      <c r="K332" s="67"/>
      <c r="L332" s="29"/>
      <c r="M332" s="46">
        <v>35.884799999999998</v>
      </c>
      <c r="N332" s="46">
        <v>42.112000000000002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</row>
    <row r="333" spans="2:27" ht="12">
      <c r="B333" s="36"/>
      <c r="C333" s="29"/>
      <c r="D333" s="32">
        <v>42</v>
      </c>
      <c r="E333" s="46">
        <v>19.122399999999999</v>
      </c>
      <c r="F333" s="46">
        <v>38.503300000000003</v>
      </c>
      <c r="G333" s="70"/>
      <c r="H333" s="70"/>
      <c r="I333" s="66"/>
      <c r="J333" s="66"/>
      <c r="K333" s="67"/>
      <c r="L333" s="29"/>
      <c r="M333" s="46">
        <v>19.203199999999999</v>
      </c>
      <c r="N333" s="46">
        <v>38.526400000000002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</row>
    <row r="334" spans="2:27" ht="12.75" thickBot="1">
      <c r="B334" s="36"/>
      <c r="C334" s="29"/>
      <c r="D334" s="32">
        <v>45</v>
      </c>
      <c r="E334" s="46">
        <v>10.172000000000001</v>
      </c>
      <c r="F334" s="46">
        <v>34.075400000000002</v>
      </c>
      <c r="G334" s="70"/>
      <c r="H334" s="70"/>
      <c r="I334" s="66"/>
      <c r="J334" s="66"/>
      <c r="K334" s="67"/>
      <c r="L334" s="29"/>
      <c r="M334" s="46">
        <v>10.268000000000001</v>
      </c>
      <c r="N334" s="46">
        <v>34.076999999999998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</row>
    <row r="335" spans="2:27" ht="12">
      <c r="B335" s="36"/>
      <c r="C335" s="28" t="s">
        <v>31</v>
      </c>
      <c r="D335" s="31">
        <v>34</v>
      </c>
      <c r="E335" s="45">
        <v>86.483999999999995</v>
      </c>
      <c r="F335" s="45">
        <v>46.4178</v>
      </c>
      <c r="G335" s="78"/>
      <c r="H335" s="78"/>
      <c r="I335" s="79"/>
      <c r="J335" s="79"/>
      <c r="K335" s="80"/>
      <c r="L335" s="29"/>
      <c r="M335" s="45">
        <v>86.649600000000007</v>
      </c>
      <c r="N335" s="45">
        <v>46.410299999999999</v>
      </c>
      <c r="O335" s="78"/>
      <c r="P335" s="78"/>
      <c r="Q335" s="79"/>
      <c r="R335" s="79"/>
      <c r="S335" s="80"/>
      <c r="U335" s="8">
        <f>bdrate($E335:$E338,F335:F338,$M335:$M338,N335:N338)</f>
        <v>2.8781322507178686E-3</v>
      </c>
      <c r="V335" s="9"/>
      <c r="W335" s="10"/>
      <c r="X335" s="29"/>
      <c r="Y335" s="24"/>
      <c r="Z335" s="24"/>
      <c r="AA335" s="27"/>
    </row>
    <row r="336" spans="2:27" ht="12">
      <c r="B336" s="36"/>
      <c r="C336" s="29"/>
      <c r="D336" s="32">
        <v>39</v>
      </c>
      <c r="E336" s="46">
        <v>37.883200000000002</v>
      </c>
      <c r="F336" s="46">
        <v>42.246600000000001</v>
      </c>
      <c r="G336" s="70"/>
      <c r="H336" s="70"/>
      <c r="I336" s="66"/>
      <c r="J336" s="66"/>
      <c r="K336" s="67"/>
      <c r="L336" s="29"/>
      <c r="M336" s="46">
        <v>37.827199999999998</v>
      </c>
      <c r="N336" s="46">
        <v>42.231499999999997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</row>
    <row r="337" spans="2:27" ht="12">
      <c r="B337" s="36"/>
      <c r="C337" s="29"/>
      <c r="D337" s="32">
        <v>42</v>
      </c>
      <c r="E337" s="46">
        <v>20.127199999999998</v>
      </c>
      <c r="F337" s="46">
        <v>38.6374</v>
      </c>
      <c r="G337" s="70"/>
      <c r="H337" s="70"/>
      <c r="I337" s="66"/>
      <c r="J337" s="66"/>
      <c r="K337" s="67"/>
      <c r="L337" s="29"/>
      <c r="M337" s="46">
        <v>20.160799999999998</v>
      </c>
      <c r="N337" s="46">
        <v>38.617100000000001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</row>
    <row r="338" spans="2:27" ht="12.75" thickBot="1">
      <c r="B338" s="36"/>
      <c r="C338" s="29"/>
      <c r="D338" s="32">
        <v>45</v>
      </c>
      <c r="E338" s="46">
        <v>11.091200000000001</v>
      </c>
      <c r="F338" s="46">
        <v>34.195</v>
      </c>
      <c r="G338" s="70"/>
      <c r="H338" s="70"/>
      <c r="I338" s="66"/>
      <c r="J338" s="66"/>
      <c r="K338" s="67"/>
      <c r="L338" s="29"/>
      <c r="M338" s="46">
        <v>11.116</v>
      </c>
      <c r="N338" s="46">
        <v>34.205599999999997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</row>
    <row r="339" spans="2:27" ht="12">
      <c r="B339" s="36"/>
      <c r="C339" s="28" t="s">
        <v>47</v>
      </c>
      <c r="D339" s="31">
        <v>25</v>
      </c>
      <c r="E339" s="78"/>
      <c r="F339" s="45">
        <v>38.464599999999997</v>
      </c>
      <c r="G339" s="45">
        <v>46.576999999999998</v>
      </c>
      <c r="H339" s="45">
        <v>45.698999999999998</v>
      </c>
      <c r="I339" s="79"/>
      <c r="J339" s="79"/>
      <c r="K339" s="80"/>
      <c r="L339" s="29"/>
      <c r="M339" s="78"/>
      <c r="N339" s="45">
        <v>38.470399999999998</v>
      </c>
      <c r="O339" s="45">
        <v>46.590299999999999</v>
      </c>
      <c r="P339" s="45">
        <v>45.625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</row>
    <row r="340" spans="2:27" ht="12">
      <c r="B340" s="36"/>
      <c r="C340" s="29"/>
      <c r="D340" s="32">
        <v>30</v>
      </c>
      <c r="E340" s="70"/>
      <c r="F340" s="46">
        <v>35.6693</v>
      </c>
      <c r="G340" s="46">
        <v>45.230899999999998</v>
      </c>
      <c r="H340" s="46">
        <v>44.517299999999999</v>
      </c>
      <c r="I340" s="66"/>
      <c r="J340" s="66"/>
      <c r="K340" s="67"/>
      <c r="L340" s="29"/>
      <c r="M340" s="70"/>
      <c r="N340" s="46">
        <v>35.666600000000003</v>
      </c>
      <c r="O340" s="46">
        <v>45.220300000000002</v>
      </c>
      <c r="P340" s="46">
        <v>44.516100000000002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</row>
    <row r="341" spans="2:27" ht="12">
      <c r="B341" s="36"/>
      <c r="C341" s="29"/>
      <c r="D341" s="32">
        <v>35</v>
      </c>
      <c r="E341" s="70"/>
      <c r="F341" s="46">
        <v>33.1509</v>
      </c>
      <c r="G341" s="46">
        <v>43.981200000000001</v>
      </c>
      <c r="H341" s="46">
        <v>43.479500000000002</v>
      </c>
      <c r="I341" s="66"/>
      <c r="J341" s="66"/>
      <c r="K341" s="67"/>
      <c r="L341" s="29"/>
      <c r="M341" s="70"/>
      <c r="N341" s="46">
        <v>33.1496</v>
      </c>
      <c r="O341" s="46">
        <v>44.002899999999997</v>
      </c>
      <c r="P341" s="46">
        <v>43.470500000000001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</row>
    <row r="342" spans="2:27" ht="12.75" thickBot="1">
      <c r="B342" s="36"/>
      <c r="C342" s="53"/>
      <c r="D342" s="71">
        <v>40</v>
      </c>
      <c r="E342" s="81"/>
      <c r="F342" s="72">
        <v>30.846299999999999</v>
      </c>
      <c r="G342" s="72">
        <v>43.295999999999999</v>
      </c>
      <c r="H342" s="72">
        <v>42.7515</v>
      </c>
      <c r="I342" s="68"/>
      <c r="J342" s="68"/>
      <c r="K342" s="69"/>
      <c r="L342" s="29"/>
      <c r="M342" s="81"/>
      <c r="N342" s="72">
        <v>30.848500000000001</v>
      </c>
      <c r="O342" s="72">
        <v>43.29</v>
      </c>
      <c r="P342" s="72">
        <v>42.748899999999999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</row>
    <row r="343" spans="2:27" ht="12">
      <c r="B343" s="36"/>
      <c r="C343" s="29" t="s">
        <v>48</v>
      </c>
      <c r="D343" s="32">
        <v>25</v>
      </c>
      <c r="E343" s="70"/>
      <c r="F343" s="45">
        <v>38.862099999999998</v>
      </c>
      <c r="G343" s="45">
        <v>46.935899999999997</v>
      </c>
      <c r="H343" s="45">
        <v>46.095100000000002</v>
      </c>
      <c r="I343" s="66"/>
      <c r="J343" s="66"/>
      <c r="K343" s="67"/>
      <c r="L343" s="29"/>
      <c r="M343" s="70"/>
      <c r="N343" s="45">
        <v>38.865400000000001</v>
      </c>
      <c r="O343" s="45">
        <v>46.948099999999997</v>
      </c>
      <c r="P343" s="45">
        <v>46.054600000000001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</row>
    <row r="344" spans="2:27" ht="12">
      <c r="B344" s="36"/>
      <c r="C344" s="29"/>
      <c r="D344" s="32">
        <v>30</v>
      </c>
      <c r="E344" s="70"/>
      <c r="F344" s="46">
        <v>35.943800000000003</v>
      </c>
      <c r="G344" s="46">
        <v>45.534100000000002</v>
      </c>
      <c r="H344" s="46">
        <v>44.855600000000003</v>
      </c>
      <c r="I344" s="66"/>
      <c r="J344" s="66"/>
      <c r="K344" s="67"/>
      <c r="L344" s="29"/>
      <c r="M344" s="70"/>
      <c r="N344" s="46">
        <v>35.941499999999998</v>
      </c>
      <c r="O344" s="46">
        <v>45.515799999999999</v>
      </c>
      <c r="P344" s="46">
        <v>44.832299999999996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</row>
    <row r="345" spans="2:27" ht="12">
      <c r="B345" s="36"/>
      <c r="C345" s="29"/>
      <c r="D345" s="32">
        <v>35</v>
      </c>
      <c r="E345" s="70"/>
      <c r="F345" s="46">
        <v>33.352499999999999</v>
      </c>
      <c r="G345" s="46">
        <v>44.173200000000001</v>
      </c>
      <c r="H345" s="46">
        <v>43.709899999999998</v>
      </c>
      <c r="I345" s="66"/>
      <c r="J345" s="66"/>
      <c r="K345" s="67"/>
      <c r="L345" s="29"/>
      <c r="M345" s="70"/>
      <c r="N345" s="46">
        <v>33.348700000000001</v>
      </c>
      <c r="O345" s="46">
        <v>44.186500000000002</v>
      </c>
      <c r="P345" s="46">
        <v>43.698399999999999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</row>
    <row r="346" spans="2:27" ht="12.75" thickBot="1">
      <c r="B346" s="36"/>
      <c r="C346" s="53"/>
      <c r="D346" s="71">
        <v>40</v>
      </c>
      <c r="E346" s="81"/>
      <c r="F346" s="46">
        <v>30.988399999999999</v>
      </c>
      <c r="G346" s="72">
        <v>43.441600000000001</v>
      </c>
      <c r="H346" s="72">
        <v>42.996400000000001</v>
      </c>
      <c r="I346" s="68"/>
      <c r="J346" s="68"/>
      <c r="K346" s="69"/>
      <c r="L346" s="29"/>
      <c r="M346" s="81"/>
      <c r="N346" s="46">
        <v>30.9908</v>
      </c>
      <c r="O346" s="72">
        <v>43.432600000000001</v>
      </c>
      <c r="P346" s="72">
        <v>42.991799999999998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</row>
    <row r="347" spans="2:27" ht="12">
      <c r="B347" s="36"/>
      <c r="C347" s="29" t="s">
        <v>49</v>
      </c>
      <c r="D347" s="32">
        <v>25</v>
      </c>
      <c r="E347" s="70"/>
      <c r="F347" s="45">
        <v>38.963000000000001</v>
      </c>
      <c r="G347" s="45">
        <v>47.387300000000003</v>
      </c>
      <c r="H347" s="45">
        <v>46.815600000000003</v>
      </c>
      <c r="I347" s="66"/>
      <c r="J347" s="66"/>
      <c r="K347" s="67"/>
      <c r="L347" s="29"/>
      <c r="M347" s="70"/>
      <c r="N347" s="45">
        <v>38.964100000000002</v>
      </c>
      <c r="O347" s="45">
        <v>47.388300000000001</v>
      </c>
      <c r="P347" s="45">
        <v>46.812800000000003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</row>
    <row r="348" spans="2:27" ht="12">
      <c r="B348" s="36"/>
      <c r="C348" s="29"/>
      <c r="D348" s="32">
        <v>30</v>
      </c>
      <c r="E348" s="70"/>
      <c r="F348" s="46">
        <v>36.006</v>
      </c>
      <c r="G348" s="46">
        <v>45.826900000000002</v>
      </c>
      <c r="H348" s="46">
        <v>45.306399999999996</v>
      </c>
      <c r="I348" s="66"/>
      <c r="J348" s="66"/>
      <c r="K348" s="67"/>
      <c r="L348" s="29"/>
      <c r="M348" s="70"/>
      <c r="N348" s="46">
        <v>36.0047</v>
      </c>
      <c r="O348" s="46">
        <v>45.825899999999997</v>
      </c>
      <c r="P348" s="46">
        <v>45.304600000000001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</row>
    <row r="349" spans="2:27" ht="12">
      <c r="B349" s="36"/>
      <c r="C349" s="29"/>
      <c r="D349" s="32">
        <v>35</v>
      </c>
      <c r="E349" s="70"/>
      <c r="F349" s="46">
        <v>33.4039</v>
      </c>
      <c r="G349" s="46">
        <v>44.3705</v>
      </c>
      <c r="H349" s="46">
        <v>43.948599999999999</v>
      </c>
      <c r="I349" s="66"/>
      <c r="J349" s="66"/>
      <c r="K349" s="67"/>
      <c r="L349" s="29"/>
      <c r="M349" s="70"/>
      <c r="N349" s="46">
        <v>33.399799999999999</v>
      </c>
      <c r="O349" s="46">
        <v>44.370899999999999</v>
      </c>
      <c r="P349" s="46">
        <v>43.9482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</row>
    <row r="350" spans="2:27" ht="12.75" thickBot="1">
      <c r="B350" s="36"/>
      <c r="C350" s="53"/>
      <c r="D350" s="71">
        <v>40</v>
      </c>
      <c r="E350" s="81"/>
      <c r="F350" s="46">
        <v>31.047000000000001</v>
      </c>
      <c r="G350" s="72">
        <v>43.541800000000002</v>
      </c>
      <c r="H350" s="72">
        <v>43.154499999999999</v>
      </c>
      <c r="I350" s="68"/>
      <c r="J350" s="68"/>
      <c r="K350" s="69"/>
      <c r="L350" s="29"/>
      <c r="M350" s="81"/>
      <c r="N350" s="46">
        <v>31.047699999999999</v>
      </c>
      <c r="O350" s="72">
        <v>43.541200000000003</v>
      </c>
      <c r="P350" s="72">
        <v>43.154499999999999</v>
      </c>
      <c r="Q350" s="68"/>
      <c r="R350" s="68"/>
      <c r="S350" s="69"/>
      <c r="U350" s="17"/>
      <c r="V350" s="18"/>
      <c r="W350" s="19"/>
      <c r="X350" s="29"/>
      <c r="Z350" s="61"/>
      <c r="AA350" s="57"/>
    </row>
    <row r="351" spans="2:27" ht="12">
      <c r="B351" s="36"/>
      <c r="C351" s="29" t="s">
        <v>50</v>
      </c>
      <c r="D351" s="32">
        <v>25</v>
      </c>
      <c r="E351" s="70"/>
      <c r="F351" s="45">
        <v>38.945500000000003</v>
      </c>
      <c r="G351" s="45">
        <v>47.313499999999998</v>
      </c>
      <c r="H351" s="45">
        <v>46.806699999999999</v>
      </c>
      <c r="I351" s="66"/>
      <c r="J351" s="66"/>
      <c r="K351" s="67"/>
      <c r="L351" s="29"/>
      <c r="M351" s="70"/>
      <c r="N351" s="45">
        <v>38.954700000000003</v>
      </c>
      <c r="O351" s="45">
        <v>47.314700000000002</v>
      </c>
      <c r="P351" s="45">
        <v>46.807200000000002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</row>
    <row r="352" spans="2:27" ht="12">
      <c r="B352" s="36"/>
      <c r="C352" s="29"/>
      <c r="D352" s="32">
        <v>30</v>
      </c>
      <c r="E352" s="70"/>
      <c r="F352" s="46">
        <v>35.996699999999997</v>
      </c>
      <c r="G352" s="46">
        <v>45.747199999999999</v>
      </c>
      <c r="H352" s="46">
        <v>45.273499999999999</v>
      </c>
      <c r="I352" s="66"/>
      <c r="J352" s="66"/>
      <c r="K352" s="67"/>
      <c r="L352" s="29"/>
      <c r="M352" s="70"/>
      <c r="N352" s="46">
        <v>35.997</v>
      </c>
      <c r="O352" s="46">
        <v>45.747900000000001</v>
      </c>
      <c r="P352" s="46">
        <v>45.272500000000001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</row>
    <row r="353" spans="1:27" ht="12">
      <c r="B353" s="36"/>
      <c r="C353" s="29"/>
      <c r="D353" s="32">
        <v>35</v>
      </c>
      <c r="E353" s="70"/>
      <c r="F353" s="46">
        <v>33.399000000000001</v>
      </c>
      <c r="G353" s="46">
        <v>44.297899999999998</v>
      </c>
      <c r="H353" s="46">
        <v>43.897300000000001</v>
      </c>
      <c r="I353" s="66"/>
      <c r="J353" s="66"/>
      <c r="K353" s="67"/>
      <c r="L353" s="29"/>
      <c r="M353" s="70"/>
      <c r="N353" s="46">
        <v>33.399099999999997</v>
      </c>
      <c r="O353" s="46">
        <v>44.296300000000002</v>
      </c>
      <c r="P353" s="46">
        <v>43.8977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</row>
    <row r="354" spans="1:27" ht="12.75" thickBot="1">
      <c r="B354" s="36"/>
      <c r="C354" s="53"/>
      <c r="D354" s="71">
        <v>40</v>
      </c>
      <c r="E354" s="81"/>
      <c r="F354" s="46">
        <v>31.047799999999999</v>
      </c>
      <c r="G354" s="72">
        <v>43.472900000000003</v>
      </c>
      <c r="H354" s="72">
        <v>43.086300000000001</v>
      </c>
      <c r="I354" s="68"/>
      <c r="J354" s="68"/>
      <c r="K354" s="69"/>
      <c r="L354" s="29"/>
      <c r="M354" s="81"/>
      <c r="N354" s="46">
        <v>31.047699999999999</v>
      </c>
      <c r="O354" s="72">
        <v>43.472299999999997</v>
      </c>
      <c r="P354" s="72">
        <v>43.0871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</row>
    <row r="355" spans="1:27" ht="12">
      <c r="B355" s="36"/>
      <c r="C355" s="29" t="s">
        <v>51</v>
      </c>
      <c r="D355" s="32">
        <v>25</v>
      </c>
      <c r="E355" s="70"/>
      <c r="F355" s="45">
        <v>38.855899999999998</v>
      </c>
      <c r="G355" s="45">
        <v>46.461399999999998</v>
      </c>
      <c r="H355" s="45">
        <v>46.532699999999998</v>
      </c>
      <c r="I355" s="66"/>
      <c r="J355" s="66"/>
      <c r="K355" s="67"/>
      <c r="L355" s="29"/>
      <c r="M355" s="70"/>
      <c r="N355" s="45">
        <v>38.867400000000004</v>
      </c>
      <c r="O355" s="45">
        <v>46.460999999999999</v>
      </c>
      <c r="P355" s="45">
        <v>46.548099999999998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</row>
    <row r="356" spans="1:27" ht="12">
      <c r="B356" s="36"/>
      <c r="C356" s="29"/>
      <c r="D356" s="32">
        <v>30</v>
      </c>
      <c r="E356" s="70"/>
      <c r="F356" s="46">
        <v>35.968299999999999</v>
      </c>
      <c r="G356" s="46">
        <v>45.038200000000003</v>
      </c>
      <c r="H356" s="46">
        <v>45.049599999999998</v>
      </c>
      <c r="I356" s="66"/>
      <c r="J356" s="66"/>
      <c r="K356" s="67"/>
      <c r="L356" s="29"/>
      <c r="M356" s="70"/>
      <c r="N356" s="46">
        <v>35.970500000000001</v>
      </c>
      <c r="O356" s="46">
        <v>45.0383</v>
      </c>
      <c r="P356" s="46">
        <v>45.0274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</row>
    <row r="357" spans="1:27" ht="12">
      <c r="B357" s="36"/>
      <c r="C357" s="29"/>
      <c r="D357" s="32">
        <v>35</v>
      </c>
      <c r="E357" s="70"/>
      <c r="F357" s="46">
        <v>33.390500000000003</v>
      </c>
      <c r="G357" s="46">
        <v>43.734000000000002</v>
      </c>
      <c r="H357" s="46">
        <v>43.516300000000001</v>
      </c>
      <c r="I357" s="66"/>
      <c r="J357" s="66"/>
      <c r="K357" s="67"/>
      <c r="L357" s="29"/>
      <c r="M357" s="70"/>
      <c r="N357" s="46">
        <v>33.390900000000002</v>
      </c>
      <c r="O357" s="46">
        <v>43.731999999999999</v>
      </c>
      <c r="P357" s="46">
        <v>43.518700000000003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</row>
    <row r="358" spans="1:27" ht="12.75" thickBot="1">
      <c r="B358" s="36"/>
      <c r="C358" s="53"/>
      <c r="D358" s="71">
        <v>40</v>
      </c>
      <c r="E358" s="81"/>
      <c r="F358" s="72">
        <v>31.025400000000001</v>
      </c>
      <c r="G358" s="72">
        <v>43.002299999999998</v>
      </c>
      <c r="H358" s="72">
        <v>42.680300000000003</v>
      </c>
      <c r="I358" s="68"/>
      <c r="J358" s="68"/>
      <c r="K358" s="69"/>
      <c r="L358" s="29"/>
      <c r="M358" s="81"/>
      <c r="N358" s="72">
        <v>31.026299999999999</v>
      </c>
      <c r="O358" s="72">
        <v>42.996000000000002</v>
      </c>
      <c r="P358" s="72">
        <v>42.694200000000002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</row>
    <row r="359" spans="1:27" ht="12">
      <c r="B359" s="36"/>
      <c r="C359" s="29" t="s">
        <v>52</v>
      </c>
      <c r="D359" s="32">
        <v>25</v>
      </c>
      <c r="E359" s="70"/>
      <c r="F359" s="45">
        <v>38.518799999999999</v>
      </c>
      <c r="G359" s="45">
        <v>46.1997</v>
      </c>
      <c r="H359" s="45">
        <v>46.231099999999998</v>
      </c>
      <c r="I359" s="66"/>
      <c r="J359" s="66"/>
      <c r="K359" s="67"/>
      <c r="L359" s="29"/>
      <c r="M359" s="70"/>
      <c r="N359" s="45">
        <v>38.527999999999999</v>
      </c>
      <c r="O359" s="45">
        <v>46.180300000000003</v>
      </c>
      <c r="P359" s="45">
        <v>46.232799999999997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</row>
    <row r="360" spans="1:27" ht="12">
      <c r="B360" s="36"/>
      <c r="C360" s="29"/>
      <c r="D360" s="32">
        <v>30</v>
      </c>
      <c r="E360" s="70"/>
      <c r="F360" s="46">
        <v>35.768599999999999</v>
      </c>
      <c r="G360" s="46">
        <v>44.747799999999998</v>
      </c>
      <c r="H360" s="46">
        <v>44.809699999999999</v>
      </c>
      <c r="I360" s="66"/>
      <c r="J360" s="66"/>
      <c r="K360" s="67"/>
      <c r="L360" s="29"/>
      <c r="M360" s="70"/>
      <c r="N360" s="46">
        <v>35.770000000000003</v>
      </c>
      <c r="O360" s="46">
        <v>44.7348</v>
      </c>
      <c r="P360" s="46">
        <v>44.789400000000001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</row>
    <row r="361" spans="1:27" ht="12">
      <c r="B361" s="36"/>
      <c r="C361" s="29"/>
      <c r="D361" s="32">
        <v>35</v>
      </c>
      <c r="E361" s="70"/>
      <c r="F361" s="46">
        <v>33.260399999999997</v>
      </c>
      <c r="G361" s="46">
        <v>43.526200000000003</v>
      </c>
      <c r="H361" s="46">
        <v>43.296300000000002</v>
      </c>
      <c r="I361" s="66"/>
      <c r="J361" s="66"/>
      <c r="K361" s="67"/>
      <c r="L361" s="29"/>
      <c r="M361" s="70"/>
      <c r="N361" s="46">
        <v>33.261000000000003</v>
      </c>
      <c r="O361" s="46">
        <v>43.5321</v>
      </c>
      <c r="P361" s="46">
        <v>43.318600000000004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</row>
    <row r="362" spans="1:27" ht="12.75" thickBot="1">
      <c r="B362" s="36"/>
      <c r="C362" s="53"/>
      <c r="D362" s="71">
        <v>40</v>
      </c>
      <c r="E362" s="81"/>
      <c r="F362" s="72">
        <v>30.9513</v>
      </c>
      <c r="G362" s="72">
        <v>42.834099999999999</v>
      </c>
      <c r="H362" s="72">
        <v>42.476799999999997</v>
      </c>
      <c r="I362" s="68"/>
      <c r="J362" s="68"/>
      <c r="K362" s="69"/>
      <c r="L362" s="29"/>
      <c r="M362" s="81"/>
      <c r="N362" s="72">
        <v>30.949000000000002</v>
      </c>
      <c r="O362" s="72">
        <v>42.840699999999998</v>
      </c>
      <c r="P362" s="72">
        <v>42.482900000000001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</row>
    <row r="363" spans="1:27" ht="12">
      <c r="B363" s="36"/>
      <c r="C363" s="29" t="s">
        <v>12</v>
      </c>
      <c r="D363" s="32">
        <v>25</v>
      </c>
      <c r="E363" s="45">
        <v>6805.8495999999996</v>
      </c>
      <c r="F363" s="70"/>
      <c r="G363" s="70"/>
      <c r="H363" s="70"/>
      <c r="I363" s="45">
        <v>43690.99</v>
      </c>
      <c r="J363" s="45">
        <v>82.55</v>
      </c>
      <c r="K363" s="45">
        <v>721.46</v>
      </c>
      <c r="L363" s="29"/>
      <c r="M363" s="45">
        <v>6806.3775999999998</v>
      </c>
      <c r="N363" s="70"/>
      <c r="O363" s="70"/>
      <c r="P363" s="70"/>
      <c r="Q363" s="45">
        <v>43726.61</v>
      </c>
      <c r="R363" s="45">
        <v>82.39</v>
      </c>
      <c r="S363" s="45">
        <v>717.91</v>
      </c>
      <c r="U363" s="8"/>
      <c r="V363" s="9"/>
      <c r="W363" s="10"/>
      <c r="X363" s="29"/>
      <c r="Y363" s="61">
        <f>GEOMEAN(Q363:Q366)/GEOMEAN(I363:I366)</f>
        <v>0.99930060384948671</v>
      </c>
      <c r="Z363" s="61">
        <f>GEOMEAN(R363:R366)/GEOMEAN(J363:J366)</f>
        <v>0.98283946451145165</v>
      </c>
      <c r="AA363" s="57">
        <f>GEOMEAN(S363:S366)/GEOMEAN(K363:K366)</f>
        <v>0.98246425100108736</v>
      </c>
    </row>
    <row r="364" spans="1:27" ht="12">
      <c r="B364" s="36"/>
      <c r="C364" s="29"/>
      <c r="D364" s="32">
        <v>30</v>
      </c>
      <c r="E364" s="46">
        <v>2832.4584</v>
      </c>
      <c r="F364" s="70"/>
      <c r="G364" s="70"/>
      <c r="H364" s="70"/>
      <c r="I364" s="46">
        <v>33115.800000000003</v>
      </c>
      <c r="J364" s="46">
        <v>76.099999999999994</v>
      </c>
      <c r="K364" s="46">
        <v>719.35</v>
      </c>
      <c r="L364" s="29"/>
      <c r="M364" s="46">
        <v>2831.1559999999999</v>
      </c>
      <c r="N364" s="70"/>
      <c r="O364" s="70"/>
      <c r="P364" s="70"/>
      <c r="Q364" s="46">
        <v>33052.949999999997</v>
      </c>
      <c r="R364" s="46">
        <v>73.63</v>
      </c>
      <c r="S364" s="46">
        <v>702.93</v>
      </c>
      <c r="U364" s="41"/>
      <c r="V364" s="42"/>
      <c r="W364" s="43"/>
      <c r="X364" s="29"/>
      <c r="Y364" s="24"/>
      <c r="Z364" s="24"/>
      <c r="AA364" s="27"/>
    </row>
    <row r="365" spans="1:27" ht="12">
      <c r="B365" s="36"/>
      <c r="C365" s="29"/>
      <c r="D365" s="32">
        <v>35</v>
      </c>
      <c r="E365" s="46">
        <v>1296.9808</v>
      </c>
      <c r="F365" s="70"/>
      <c r="G365" s="70"/>
      <c r="H365" s="70"/>
      <c r="I365" s="46">
        <v>27539.35</v>
      </c>
      <c r="J365" s="46">
        <v>71.489999999999995</v>
      </c>
      <c r="K365" s="46">
        <v>720.16</v>
      </c>
      <c r="L365" s="29"/>
      <c r="M365" s="46">
        <v>1297.1184000000001</v>
      </c>
      <c r="N365" s="70"/>
      <c r="O365" s="70"/>
      <c r="P365" s="70"/>
      <c r="Q365" s="46">
        <v>27549.3</v>
      </c>
      <c r="R365" s="46">
        <v>68.900000000000006</v>
      </c>
      <c r="S365" s="46">
        <v>689.3</v>
      </c>
      <c r="U365" s="17"/>
      <c r="V365" s="18"/>
      <c r="W365" s="19"/>
      <c r="X365" s="29"/>
      <c r="Y365" s="24"/>
      <c r="Z365" s="24"/>
      <c r="AA365" s="27"/>
    </row>
    <row r="366" spans="1:27" ht="12.75" thickBot="1">
      <c r="A366" s="54"/>
      <c r="B366" s="52"/>
      <c r="C366" s="53"/>
      <c r="D366" s="71">
        <v>40</v>
      </c>
      <c r="E366" s="72">
        <v>614.19920000000002</v>
      </c>
      <c r="F366" s="81"/>
      <c r="G366" s="81"/>
      <c r="H366" s="81"/>
      <c r="I366" s="72">
        <v>24617.71</v>
      </c>
      <c r="J366" s="72">
        <v>69.16</v>
      </c>
      <c r="K366" s="72">
        <v>720.02</v>
      </c>
      <c r="L366" s="29"/>
      <c r="M366" s="72">
        <v>614.35040000000004</v>
      </c>
      <c r="N366" s="81"/>
      <c r="O366" s="81"/>
      <c r="P366" s="81"/>
      <c r="Q366" s="72">
        <v>24566.68</v>
      </c>
      <c r="R366" s="72">
        <v>69.34</v>
      </c>
      <c r="S366" s="72">
        <v>720.78</v>
      </c>
      <c r="U366" s="85"/>
      <c r="V366" s="86"/>
      <c r="W366" s="87"/>
      <c r="X366" s="29"/>
      <c r="Y366" s="49"/>
      <c r="Z366" s="49"/>
      <c r="AA366" s="54"/>
    </row>
    <row r="367" spans="1:27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4180.2839999999997</v>
      </c>
      <c r="F367" s="45">
        <v>41.484999999999999</v>
      </c>
      <c r="G367" s="45">
        <v>46.600900000000003</v>
      </c>
      <c r="H367" s="45">
        <v>46.042499999999997</v>
      </c>
      <c r="I367" s="79"/>
      <c r="J367" s="79"/>
      <c r="K367" s="80"/>
      <c r="L367" s="29"/>
      <c r="M367" s="45">
        <v>4180.2839999999997</v>
      </c>
      <c r="N367" s="45">
        <v>41.484999999999999</v>
      </c>
      <c r="O367" s="45">
        <v>46.600900000000003</v>
      </c>
      <c r="P367" s="45">
        <v>46.042499999999997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</row>
    <row r="368" spans="1:27" ht="12">
      <c r="B368" s="36"/>
      <c r="C368" s="29"/>
      <c r="D368" s="32">
        <v>30</v>
      </c>
      <c r="E368" s="46">
        <v>2103.48</v>
      </c>
      <c r="F368" s="46">
        <v>38.493499999999997</v>
      </c>
      <c r="G368" s="46">
        <v>44.893900000000002</v>
      </c>
      <c r="H368" s="46">
        <v>44.107399999999998</v>
      </c>
      <c r="I368" s="66"/>
      <c r="J368" s="66"/>
      <c r="K368" s="67"/>
      <c r="L368" s="29"/>
      <c r="M368" s="46">
        <v>2103.48</v>
      </c>
      <c r="N368" s="46">
        <v>38.493499999999997</v>
      </c>
      <c r="O368" s="46">
        <v>44.893900000000002</v>
      </c>
      <c r="P368" s="46">
        <v>44.107399999999998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</row>
    <row r="369" spans="2:29" ht="12">
      <c r="B369" s="36"/>
      <c r="C369" s="29"/>
      <c r="D369" s="32">
        <v>35</v>
      </c>
      <c r="E369" s="46">
        <v>1034.8391999999999</v>
      </c>
      <c r="F369" s="46">
        <v>35.669400000000003</v>
      </c>
      <c r="G369" s="46">
        <v>43.253</v>
      </c>
      <c r="H369" s="46">
        <v>42.233800000000002</v>
      </c>
      <c r="I369" s="66"/>
      <c r="J369" s="66"/>
      <c r="K369" s="67"/>
      <c r="L369" s="29"/>
      <c r="M369" s="46">
        <v>1034.8391999999999</v>
      </c>
      <c r="N369" s="46">
        <v>35.669400000000003</v>
      </c>
      <c r="O369" s="46">
        <v>43.253</v>
      </c>
      <c r="P369" s="46">
        <v>42.233800000000002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</row>
    <row r="370" spans="2:29" ht="12.75" thickBot="1">
      <c r="B370" s="36"/>
      <c r="C370" s="29"/>
      <c r="D370" s="32">
        <v>40</v>
      </c>
      <c r="E370" s="46">
        <v>495.6952</v>
      </c>
      <c r="F370" s="46">
        <v>33.192900000000002</v>
      </c>
      <c r="G370" s="46">
        <v>42.274799999999999</v>
      </c>
      <c r="H370" s="46">
        <v>40.973599999999998</v>
      </c>
      <c r="I370" s="66"/>
      <c r="J370" s="66"/>
      <c r="K370" s="67"/>
      <c r="L370" s="29"/>
      <c r="M370" s="46">
        <v>495.6952</v>
      </c>
      <c r="N370" s="46">
        <v>33.192900000000002</v>
      </c>
      <c r="O370" s="46">
        <v>42.274799999999999</v>
      </c>
      <c r="P370" s="46">
        <v>40.973599999999998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</row>
    <row r="371" spans="2:29" ht="12">
      <c r="B371" s="36"/>
      <c r="C371" s="28" t="s">
        <v>27</v>
      </c>
      <c r="D371" s="31">
        <v>25</v>
      </c>
      <c r="E371" s="45">
        <v>547.39359999999999</v>
      </c>
      <c r="F371" s="45">
        <v>40.922899999999998</v>
      </c>
      <c r="G371" s="45">
        <v>46.512</v>
      </c>
      <c r="H371" s="45">
        <v>45.807600000000001</v>
      </c>
      <c r="I371" s="79"/>
      <c r="J371" s="79"/>
      <c r="K371" s="80"/>
      <c r="L371" s="29"/>
      <c r="M371" s="45">
        <v>547.16959999999995</v>
      </c>
      <c r="N371" s="45">
        <v>40.923099999999998</v>
      </c>
      <c r="O371" s="45">
        <v>46.511899999999997</v>
      </c>
      <c r="P371" s="45">
        <v>45.807699999999997</v>
      </c>
      <c r="Q371" s="79"/>
      <c r="R371" s="79"/>
      <c r="S371" s="80"/>
      <c r="U371" s="8">
        <f>bdrate($E371:$E374,F371:F374,$M371:$M374,N371:N374)</f>
        <v>-3.650875817315935E-4</v>
      </c>
      <c r="V371" s="9">
        <f>bdrate($E371:$E374,G371:G374,$M371:$M374,O371:O374)</f>
        <v>-3.1972185810313913E-4</v>
      </c>
      <c r="W371" s="10">
        <f>bdrate($E371:$E374,H371:H374,$M371:$M374,P371:P374)</f>
        <v>-9.3898500103317684E-4</v>
      </c>
      <c r="X371" s="29"/>
      <c r="Y371" s="24"/>
      <c r="Z371" s="24"/>
      <c r="AA371" s="27"/>
    </row>
    <row r="372" spans="2:29" ht="12">
      <c r="B372" s="36"/>
      <c r="C372" s="29"/>
      <c r="D372" s="32">
        <v>30</v>
      </c>
      <c r="E372" s="46">
        <v>234.64959999999999</v>
      </c>
      <c r="F372" s="46">
        <v>38.083500000000001</v>
      </c>
      <c r="G372" s="46">
        <v>44.842300000000002</v>
      </c>
      <c r="H372" s="46">
        <v>43.938800000000001</v>
      </c>
      <c r="I372" s="66"/>
      <c r="J372" s="66"/>
      <c r="K372" s="67"/>
      <c r="L372" s="29"/>
      <c r="M372" s="46">
        <v>234.67439999999999</v>
      </c>
      <c r="N372" s="46">
        <v>38.084299999999999</v>
      </c>
      <c r="O372" s="46">
        <v>44.841299999999997</v>
      </c>
      <c r="P372" s="46">
        <v>43.941699999999997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</row>
    <row r="373" spans="2:29" ht="12">
      <c r="B373" s="36"/>
      <c r="C373" s="29"/>
      <c r="D373" s="32">
        <v>35</v>
      </c>
      <c r="E373" s="46">
        <v>112.7848</v>
      </c>
      <c r="F373" s="46">
        <v>35.395499999999998</v>
      </c>
      <c r="G373" s="46">
        <v>43.241199999999999</v>
      </c>
      <c r="H373" s="46">
        <v>42.162100000000002</v>
      </c>
      <c r="I373" s="66"/>
      <c r="J373" s="66"/>
      <c r="K373" s="67"/>
      <c r="L373" s="29"/>
      <c r="M373" s="46">
        <v>112.6752</v>
      </c>
      <c r="N373" s="46">
        <v>35.393999999999998</v>
      </c>
      <c r="O373" s="46">
        <v>43.242800000000003</v>
      </c>
      <c r="P373" s="46">
        <v>42.160699999999999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</row>
    <row r="374" spans="2:29" ht="12.75" thickBot="1">
      <c r="B374" s="36"/>
      <c r="C374" s="29"/>
      <c r="D374" s="32">
        <v>40</v>
      </c>
      <c r="E374" s="46">
        <v>55.938400000000001</v>
      </c>
      <c r="F374" s="46">
        <v>32.988199999999999</v>
      </c>
      <c r="G374" s="46">
        <v>42.258600000000001</v>
      </c>
      <c r="H374" s="46">
        <v>40.859000000000002</v>
      </c>
      <c r="I374" s="66"/>
      <c r="J374" s="66"/>
      <c r="K374" s="67"/>
      <c r="L374" s="29"/>
      <c r="M374" s="46">
        <v>55.892000000000003</v>
      </c>
      <c r="N374" s="46">
        <v>32.987200000000001</v>
      </c>
      <c r="O374" s="46">
        <v>42.256700000000002</v>
      </c>
      <c r="P374" s="46">
        <v>40.862699999999997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</row>
    <row r="375" spans="2:29" ht="12">
      <c r="B375" s="36"/>
      <c r="C375" s="28" t="s">
        <v>28</v>
      </c>
      <c r="D375" s="31">
        <v>25</v>
      </c>
      <c r="E375" s="45">
        <v>551.0376</v>
      </c>
      <c r="F375" s="45">
        <v>40.9236</v>
      </c>
      <c r="G375" s="45">
        <v>46.503700000000002</v>
      </c>
      <c r="H375" s="45">
        <v>45.810200000000002</v>
      </c>
      <c r="I375" s="79"/>
      <c r="J375" s="79"/>
      <c r="K375" s="80"/>
      <c r="L375" s="29"/>
      <c r="M375" s="45">
        <v>550.83119999999997</v>
      </c>
      <c r="N375" s="45">
        <v>40.923499999999997</v>
      </c>
      <c r="O375" s="45">
        <v>46.502499999999998</v>
      </c>
      <c r="P375" s="45">
        <v>45.809100000000001</v>
      </c>
      <c r="Q375" s="79"/>
      <c r="R375" s="79"/>
      <c r="S375" s="80"/>
      <c r="U375" s="8">
        <f>bdrate($E375:$E378,F375:F378,$M375:$M378,N375:N378)</f>
        <v>1.4273989017479227E-3</v>
      </c>
      <c r="V375" s="9">
        <f>bdrate($E375:$E378,G375:G378,$M375:$M378,O375:O378)</f>
        <v>1.6590088673165138E-3</v>
      </c>
      <c r="W375" s="10">
        <f>bdrate($E375:$E378,H375:H378,$M375:$M378,P375:P378)</f>
        <v>1.6224271551605884E-3</v>
      </c>
      <c r="X375" s="29"/>
      <c r="Y375" s="24"/>
      <c r="Z375" s="24"/>
      <c r="AA375" s="27"/>
      <c r="AB375" s="24"/>
      <c r="AC375" s="24"/>
    </row>
    <row r="376" spans="2:29" ht="12">
      <c r="B376" s="36"/>
      <c r="C376" s="29"/>
      <c r="D376" s="32">
        <v>30</v>
      </c>
      <c r="E376" s="46">
        <v>237.7664</v>
      </c>
      <c r="F376" s="46">
        <v>38.080500000000001</v>
      </c>
      <c r="G376" s="46">
        <v>44.828099999999999</v>
      </c>
      <c r="H376" s="46">
        <v>43.945500000000003</v>
      </c>
      <c r="I376" s="66"/>
      <c r="J376" s="66"/>
      <c r="K376" s="67"/>
      <c r="L376" s="29"/>
      <c r="M376" s="46">
        <v>238.2704</v>
      </c>
      <c r="N376" s="46">
        <v>38.080300000000001</v>
      </c>
      <c r="O376" s="46">
        <v>44.827100000000002</v>
      </c>
      <c r="P376" s="46">
        <v>43.946199999999997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">
      <c r="B377" s="36"/>
      <c r="C377" s="29"/>
      <c r="D377" s="32">
        <v>35</v>
      </c>
      <c r="E377" s="46">
        <v>115.7216</v>
      </c>
      <c r="F377" s="46">
        <v>35.392699999999998</v>
      </c>
      <c r="G377" s="46">
        <v>43.234499999999997</v>
      </c>
      <c r="H377" s="46">
        <v>42.168399999999998</v>
      </c>
      <c r="I377" s="66"/>
      <c r="J377" s="66"/>
      <c r="K377" s="67"/>
      <c r="L377" s="29"/>
      <c r="M377" s="46">
        <v>115.8368</v>
      </c>
      <c r="N377" s="46">
        <v>35.391599999999997</v>
      </c>
      <c r="O377" s="46">
        <v>43.234000000000002</v>
      </c>
      <c r="P377" s="46">
        <v>42.166499999999999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2.75" thickBot="1">
      <c r="B378" s="36"/>
      <c r="C378" s="53"/>
      <c r="D378" s="71">
        <v>40</v>
      </c>
      <c r="E378" s="72">
        <v>58.217599999999997</v>
      </c>
      <c r="F378" s="72">
        <v>32.975299999999997</v>
      </c>
      <c r="G378" s="72">
        <v>42.234400000000001</v>
      </c>
      <c r="H378" s="72">
        <v>40.867600000000003</v>
      </c>
      <c r="I378" s="68"/>
      <c r="J378" s="68"/>
      <c r="K378" s="69"/>
      <c r="L378" s="29"/>
      <c r="M378" s="72">
        <v>58.306399999999996</v>
      </c>
      <c r="N378" s="72">
        <v>32.976100000000002</v>
      </c>
      <c r="O378" s="72">
        <v>42.235700000000001</v>
      </c>
      <c r="P378" s="72">
        <v>40.866700000000002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">
      <c r="B379" s="36"/>
      <c r="C379" s="28" t="s">
        <v>29</v>
      </c>
      <c r="D379" s="31">
        <v>34</v>
      </c>
      <c r="E379" s="45">
        <v>461.25119999999998</v>
      </c>
      <c r="F379" s="45">
        <v>38.948799999999999</v>
      </c>
      <c r="G379" s="78"/>
      <c r="H379" s="78"/>
      <c r="I379" s="79"/>
      <c r="J379" s="79"/>
      <c r="K379" s="80"/>
      <c r="L379" s="29"/>
      <c r="M379" s="45">
        <v>461.25119999999998</v>
      </c>
      <c r="N379" s="45">
        <v>38.948799999999999</v>
      </c>
      <c r="O379" s="78"/>
      <c r="P379" s="78"/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">
      <c r="B380" s="36"/>
      <c r="C380" s="29"/>
      <c r="D380" s="32">
        <v>39</v>
      </c>
      <c r="E380" s="46">
        <v>158.45760000000001</v>
      </c>
      <c r="F380" s="46">
        <v>35.627699999999997</v>
      </c>
      <c r="G380" s="70"/>
      <c r="H380" s="70"/>
      <c r="I380" s="66"/>
      <c r="J380" s="66"/>
      <c r="K380" s="67"/>
      <c r="L380" s="29"/>
      <c r="M380" s="46">
        <v>158.45760000000001</v>
      </c>
      <c r="N380" s="46">
        <v>35.627699999999997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">
      <c r="B381" s="36"/>
      <c r="C381" s="29"/>
      <c r="D381" s="32">
        <v>42</v>
      </c>
      <c r="E381" s="46">
        <v>62.717599999999997</v>
      </c>
      <c r="F381" s="46">
        <v>32.934800000000003</v>
      </c>
      <c r="G381" s="70"/>
      <c r="H381" s="70"/>
      <c r="I381" s="66"/>
      <c r="J381" s="66"/>
      <c r="K381" s="67"/>
      <c r="L381" s="29"/>
      <c r="M381" s="46">
        <v>62.717599999999997</v>
      </c>
      <c r="N381" s="46">
        <v>32.934800000000003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2.75" thickBot="1">
      <c r="B382" s="36"/>
      <c r="C382" s="29"/>
      <c r="D382" s="32">
        <v>45</v>
      </c>
      <c r="E382" s="46">
        <v>26.177600000000002</v>
      </c>
      <c r="F382" s="46">
        <v>30.2897</v>
      </c>
      <c r="G382" s="70"/>
      <c r="H382" s="70"/>
      <c r="I382" s="66"/>
      <c r="J382" s="66"/>
      <c r="K382" s="67"/>
      <c r="L382" s="29"/>
      <c r="M382" s="46">
        <v>26.177600000000002</v>
      </c>
      <c r="N382" s="46">
        <v>30.2897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24"/>
    </row>
    <row r="383" spans="2:29" ht="12">
      <c r="B383" s="36"/>
      <c r="C383" s="28" t="s">
        <v>30</v>
      </c>
      <c r="D383" s="31">
        <v>34</v>
      </c>
      <c r="E383" s="45">
        <v>184.18960000000001</v>
      </c>
      <c r="F383" s="45">
        <v>37.954500000000003</v>
      </c>
      <c r="G383" s="78"/>
      <c r="H383" s="78"/>
      <c r="I383" s="79"/>
      <c r="J383" s="79"/>
      <c r="K383" s="80"/>
      <c r="L383" s="29"/>
      <c r="M383" s="45">
        <v>183.99359999999999</v>
      </c>
      <c r="N383" s="45">
        <v>37.943300000000001</v>
      </c>
      <c r="O383" s="78"/>
      <c r="P383" s="78"/>
      <c r="Q383" s="79"/>
      <c r="R383" s="79"/>
      <c r="S383" s="80"/>
      <c r="U383" s="8">
        <f>bdrate($E383:$E386,F383:F386,$M383:$M386,N383:N386)</f>
        <v>8.0950907136334571E-4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">
      <c r="B384" s="36"/>
      <c r="C384" s="29"/>
      <c r="D384" s="32">
        <v>39</v>
      </c>
      <c r="E384" s="46">
        <v>55.334400000000002</v>
      </c>
      <c r="F384" s="46">
        <v>35.034799999999997</v>
      </c>
      <c r="G384" s="70"/>
      <c r="H384" s="70"/>
      <c r="I384" s="66"/>
      <c r="J384" s="66"/>
      <c r="K384" s="67"/>
      <c r="L384" s="29"/>
      <c r="M384" s="46">
        <v>55.172800000000002</v>
      </c>
      <c r="N384" s="46">
        <v>35.018599999999999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">
      <c r="B385" s="36"/>
      <c r="C385" s="29"/>
      <c r="D385" s="32">
        <v>42</v>
      </c>
      <c r="E385" s="46">
        <v>23.46</v>
      </c>
      <c r="F385" s="46">
        <v>32.663200000000003</v>
      </c>
      <c r="G385" s="70"/>
      <c r="H385" s="70"/>
      <c r="I385" s="66"/>
      <c r="J385" s="66"/>
      <c r="K385" s="67"/>
      <c r="L385" s="29"/>
      <c r="M385" s="46">
        <v>23.3872</v>
      </c>
      <c r="N385" s="46">
        <v>32.659500000000001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2.75" thickBot="1">
      <c r="B386" s="36"/>
      <c r="C386" s="29"/>
      <c r="D386" s="32">
        <v>45</v>
      </c>
      <c r="E386" s="46">
        <v>11.780799999999999</v>
      </c>
      <c r="F386" s="46">
        <v>30.230499999999999</v>
      </c>
      <c r="G386" s="70"/>
      <c r="H386" s="70"/>
      <c r="I386" s="66"/>
      <c r="J386" s="66"/>
      <c r="K386" s="67"/>
      <c r="L386" s="29"/>
      <c r="M386" s="46">
        <v>11.752800000000001</v>
      </c>
      <c r="N386" s="46">
        <v>30.236499999999999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">
      <c r="B387" s="36"/>
      <c r="C387" s="28" t="s">
        <v>31</v>
      </c>
      <c r="D387" s="31">
        <v>34</v>
      </c>
      <c r="E387" s="45">
        <v>184.84960000000001</v>
      </c>
      <c r="F387" s="45">
        <v>37.729799999999997</v>
      </c>
      <c r="G387" s="78"/>
      <c r="H387" s="78"/>
      <c r="I387" s="79"/>
      <c r="J387" s="79"/>
      <c r="K387" s="80"/>
      <c r="L387" s="29"/>
      <c r="M387" s="45">
        <v>184.26240000000001</v>
      </c>
      <c r="N387" s="45">
        <v>37.716299999999997</v>
      </c>
      <c r="O387" s="78"/>
      <c r="P387" s="78"/>
      <c r="Q387" s="79"/>
      <c r="R387" s="79"/>
      <c r="S387" s="80"/>
      <c r="U387" s="8">
        <f>bdrate($E387:$E390,F387:F390,$M387:$M390,N387:N390)</f>
        <v>-3.0564537693442695E-3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">
      <c r="B388" s="36"/>
      <c r="C388" s="29"/>
      <c r="D388" s="32">
        <v>39</v>
      </c>
      <c r="E388" s="46">
        <v>56.181600000000003</v>
      </c>
      <c r="F388" s="46">
        <v>34.761800000000001</v>
      </c>
      <c r="G388" s="70"/>
      <c r="H388" s="70"/>
      <c r="I388" s="66"/>
      <c r="J388" s="66"/>
      <c r="K388" s="67"/>
      <c r="L388" s="29"/>
      <c r="M388" s="46">
        <v>56.265599999999999</v>
      </c>
      <c r="N388" s="46">
        <v>34.780500000000004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">
      <c r="B389" s="36"/>
      <c r="C389" s="29"/>
      <c r="D389" s="32">
        <v>42</v>
      </c>
      <c r="E389" s="46">
        <v>23.672799999999999</v>
      </c>
      <c r="F389" s="46">
        <v>32.411499999999997</v>
      </c>
      <c r="G389" s="70"/>
      <c r="H389" s="70"/>
      <c r="I389" s="66"/>
      <c r="J389" s="66"/>
      <c r="K389" s="67"/>
      <c r="L389" s="29"/>
      <c r="M389" s="46">
        <v>23.442399999999999</v>
      </c>
      <c r="N389" s="46">
        <v>32.395200000000003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2.75" thickBot="1">
      <c r="B390" s="36"/>
      <c r="C390" s="29"/>
      <c r="D390" s="32">
        <v>45</v>
      </c>
      <c r="E390" s="46">
        <v>11.688000000000001</v>
      </c>
      <c r="F390" s="46">
        <v>30.0318</v>
      </c>
      <c r="G390" s="70"/>
      <c r="H390" s="70"/>
      <c r="I390" s="66"/>
      <c r="J390" s="66"/>
      <c r="K390" s="67"/>
      <c r="L390" s="29"/>
      <c r="M390" s="46">
        <v>11.7096</v>
      </c>
      <c r="N390" s="46">
        <v>30.027100000000001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">
      <c r="B391" s="36"/>
      <c r="C391" s="28" t="s">
        <v>47</v>
      </c>
      <c r="D391" s="31">
        <v>25</v>
      </c>
      <c r="E391" s="78"/>
      <c r="F391" s="45">
        <v>40.575600000000001</v>
      </c>
      <c r="G391" s="45">
        <v>46.618400000000001</v>
      </c>
      <c r="H391" s="45">
        <v>46.357999999999997</v>
      </c>
      <c r="I391" s="79"/>
      <c r="J391" s="79"/>
      <c r="K391" s="80"/>
      <c r="L391" s="29"/>
      <c r="M391" s="78"/>
      <c r="N391" s="45">
        <v>40.5792</v>
      </c>
      <c r="O391" s="45">
        <v>46.599200000000003</v>
      </c>
      <c r="P391" s="45">
        <v>46.344000000000001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">
      <c r="B392" s="36"/>
      <c r="C392" s="29"/>
      <c r="D392" s="32">
        <v>30</v>
      </c>
      <c r="E392" s="70"/>
      <c r="F392" s="46">
        <v>37.844700000000003</v>
      </c>
      <c r="G392" s="46">
        <v>45.027900000000002</v>
      </c>
      <c r="H392" s="46">
        <v>44.497999999999998</v>
      </c>
      <c r="I392" s="66"/>
      <c r="J392" s="66"/>
      <c r="K392" s="67"/>
      <c r="L392" s="29"/>
      <c r="M392" s="70"/>
      <c r="N392" s="46">
        <v>37.843400000000003</v>
      </c>
      <c r="O392" s="46">
        <v>45.034700000000001</v>
      </c>
      <c r="P392" s="46">
        <v>44.4846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">
      <c r="B393" s="36"/>
      <c r="C393" s="29"/>
      <c r="D393" s="32">
        <v>35</v>
      </c>
      <c r="E393" s="70"/>
      <c r="F393" s="46">
        <v>35.217399999999998</v>
      </c>
      <c r="G393" s="46">
        <v>43.422199999999997</v>
      </c>
      <c r="H393" s="46">
        <v>42.555700000000002</v>
      </c>
      <c r="I393" s="66"/>
      <c r="J393" s="66"/>
      <c r="K393" s="67"/>
      <c r="L393" s="29"/>
      <c r="M393" s="70"/>
      <c r="N393" s="46">
        <v>35.216000000000001</v>
      </c>
      <c r="O393" s="46">
        <v>43.424900000000001</v>
      </c>
      <c r="P393" s="46">
        <v>42.5595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2.75" thickBot="1">
      <c r="B394" s="36"/>
      <c r="C394" s="53"/>
      <c r="D394" s="71">
        <v>40</v>
      </c>
      <c r="E394" s="81"/>
      <c r="F394" s="72">
        <v>32.829599999999999</v>
      </c>
      <c r="G394" s="72">
        <v>42.312199999999997</v>
      </c>
      <c r="H394" s="72">
        <v>41.200699999999998</v>
      </c>
      <c r="I394" s="68"/>
      <c r="J394" s="68"/>
      <c r="K394" s="69"/>
      <c r="L394" s="29"/>
      <c r="M394" s="81"/>
      <c r="N394" s="72">
        <v>32.827100000000002</v>
      </c>
      <c r="O394" s="72">
        <v>42.309199999999997</v>
      </c>
      <c r="P394" s="72">
        <v>41.195599999999999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">
      <c r="B395" s="36"/>
      <c r="C395" s="29" t="s">
        <v>48</v>
      </c>
      <c r="D395" s="32">
        <v>25</v>
      </c>
      <c r="E395" s="70"/>
      <c r="F395" s="45">
        <v>40.730899999999998</v>
      </c>
      <c r="G395" s="45">
        <v>47.131300000000003</v>
      </c>
      <c r="H395" s="45">
        <v>46.487099999999998</v>
      </c>
      <c r="I395" s="66"/>
      <c r="J395" s="66"/>
      <c r="K395" s="67"/>
      <c r="L395" s="29"/>
      <c r="M395" s="70"/>
      <c r="N395" s="45">
        <v>40.733199999999997</v>
      </c>
      <c r="O395" s="45">
        <v>47.105699999999999</v>
      </c>
      <c r="P395" s="45">
        <v>46.4801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">
      <c r="B396" s="36"/>
      <c r="C396" s="29"/>
      <c r="D396" s="32">
        <v>30</v>
      </c>
      <c r="E396" s="70"/>
      <c r="F396" s="46">
        <v>37.958599999999997</v>
      </c>
      <c r="G396" s="46">
        <v>45.4161</v>
      </c>
      <c r="H396" s="46">
        <v>44.58</v>
      </c>
      <c r="I396" s="66"/>
      <c r="J396" s="66"/>
      <c r="K396" s="67"/>
      <c r="L396" s="29"/>
      <c r="M396" s="70"/>
      <c r="N396" s="46">
        <v>37.958599999999997</v>
      </c>
      <c r="O396" s="46">
        <v>45.417700000000004</v>
      </c>
      <c r="P396" s="46">
        <v>44.558399999999999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">
      <c r="B397" s="36"/>
      <c r="C397" s="29"/>
      <c r="D397" s="32">
        <v>35</v>
      </c>
      <c r="E397" s="70"/>
      <c r="F397" s="46">
        <v>35.283999999999999</v>
      </c>
      <c r="G397" s="46">
        <v>43.675199999999997</v>
      </c>
      <c r="H397" s="46">
        <v>42.636600000000001</v>
      </c>
      <c r="I397" s="66"/>
      <c r="J397" s="66"/>
      <c r="K397" s="67"/>
      <c r="L397" s="29"/>
      <c r="M397" s="70"/>
      <c r="N397" s="46">
        <v>35.282800000000002</v>
      </c>
      <c r="O397" s="46">
        <v>43.673900000000003</v>
      </c>
      <c r="P397" s="46">
        <v>42.6417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2.75" thickBot="1">
      <c r="B398" s="36"/>
      <c r="C398" s="53"/>
      <c r="D398" s="71">
        <v>40</v>
      </c>
      <c r="E398" s="81"/>
      <c r="F398" s="46">
        <v>32.8551</v>
      </c>
      <c r="G398" s="72">
        <v>42.436399999999999</v>
      </c>
      <c r="H398" s="72">
        <v>41.253300000000003</v>
      </c>
      <c r="I398" s="68"/>
      <c r="J398" s="68"/>
      <c r="K398" s="69"/>
      <c r="L398" s="29"/>
      <c r="M398" s="81"/>
      <c r="N398" s="46">
        <v>32.852800000000002</v>
      </c>
      <c r="O398" s="72">
        <v>42.425199999999997</v>
      </c>
      <c r="P398" s="72">
        <v>41.249600000000001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">
      <c r="B399" s="36"/>
      <c r="C399" s="29" t="s">
        <v>49</v>
      </c>
      <c r="D399" s="32">
        <v>25</v>
      </c>
      <c r="E399" s="70"/>
      <c r="F399" s="45">
        <v>40.9621</v>
      </c>
      <c r="G399" s="45">
        <v>47.609900000000003</v>
      </c>
      <c r="H399" s="45">
        <v>47.181100000000001</v>
      </c>
      <c r="I399" s="66"/>
      <c r="J399" s="66"/>
      <c r="K399" s="67"/>
      <c r="L399" s="29"/>
      <c r="M399" s="70"/>
      <c r="N399" s="45">
        <v>40.959600000000002</v>
      </c>
      <c r="O399" s="45">
        <v>47.611600000000003</v>
      </c>
      <c r="P399" s="45">
        <v>47.179900000000004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">
      <c r="B400" s="36"/>
      <c r="C400" s="29"/>
      <c r="D400" s="32">
        <v>30</v>
      </c>
      <c r="E400" s="70"/>
      <c r="F400" s="46">
        <v>38.104199999999999</v>
      </c>
      <c r="G400" s="46">
        <v>45.783799999999999</v>
      </c>
      <c r="H400" s="46">
        <v>45.104999999999997</v>
      </c>
      <c r="I400" s="66"/>
      <c r="J400" s="66"/>
      <c r="K400" s="67"/>
      <c r="L400" s="29"/>
      <c r="M400" s="70"/>
      <c r="N400" s="46">
        <v>38.104399999999998</v>
      </c>
      <c r="O400" s="46">
        <v>45.782699999999998</v>
      </c>
      <c r="P400" s="46">
        <v>45.102800000000002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">
      <c r="B401" s="36"/>
      <c r="C401" s="29"/>
      <c r="D401" s="32">
        <v>35</v>
      </c>
      <c r="E401" s="70"/>
      <c r="F401" s="46">
        <v>35.379600000000003</v>
      </c>
      <c r="G401" s="46">
        <v>43.947899999999997</v>
      </c>
      <c r="H401" s="46">
        <v>43.033900000000003</v>
      </c>
      <c r="I401" s="66"/>
      <c r="J401" s="66"/>
      <c r="K401" s="67"/>
      <c r="L401" s="29"/>
      <c r="M401" s="70"/>
      <c r="N401" s="46">
        <v>35.380000000000003</v>
      </c>
      <c r="O401" s="46">
        <v>43.950800000000001</v>
      </c>
      <c r="P401" s="46">
        <v>43.033799999999999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2.75" thickBot="1">
      <c r="B402" s="36"/>
      <c r="C402" s="53"/>
      <c r="D402" s="71">
        <v>40</v>
      </c>
      <c r="E402" s="81"/>
      <c r="F402" s="46">
        <v>32.929400000000001</v>
      </c>
      <c r="G402" s="72">
        <v>42.6892</v>
      </c>
      <c r="H402" s="72">
        <v>41.549700000000001</v>
      </c>
      <c r="I402" s="68"/>
      <c r="J402" s="68"/>
      <c r="K402" s="69"/>
      <c r="L402" s="29"/>
      <c r="M402" s="81"/>
      <c r="N402" s="46">
        <v>32.927</v>
      </c>
      <c r="O402" s="72">
        <v>42.681899999999999</v>
      </c>
      <c r="P402" s="72">
        <v>41.549399999999999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24"/>
    </row>
    <row r="403" spans="2:29" ht="12">
      <c r="B403" s="36"/>
      <c r="C403" s="29" t="s">
        <v>50</v>
      </c>
      <c r="D403" s="32">
        <v>25</v>
      </c>
      <c r="E403" s="70"/>
      <c r="F403" s="45">
        <v>40.950099999999999</v>
      </c>
      <c r="G403" s="45">
        <v>47.670400000000001</v>
      </c>
      <c r="H403" s="45">
        <v>47.201300000000003</v>
      </c>
      <c r="I403" s="66"/>
      <c r="J403" s="66"/>
      <c r="K403" s="67"/>
      <c r="L403" s="29"/>
      <c r="M403" s="70"/>
      <c r="N403" s="45">
        <v>40.9514</v>
      </c>
      <c r="O403" s="45">
        <v>47.670499999999997</v>
      </c>
      <c r="P403" s="45">
        <v>47.200699999999998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">
      <c r="B404" s="36"/>
      <c r="C404" s="29"/>
      <c r="D404" s="32">
        <v>30</v>
      </c>
      <c r="E404" s="70"/>
      <c r="F404" s="46">
        <v>38.0961</v>
      </c>
      <c r="G404" s="46">
        <v>45.849899999999998</v>
      </c>
      <c r="H404" s="46">
        <v>45.136699999999998</v>
      </c>
      <c r="I404" s="66"/>
      <c r="J404" s="66"/>
      <c r="K404" s="67"/>
      <c r="L404" s="29"/>
      <c r="M404" s="70"/>
      <c r="N404" s="46">
        <v>38.0961</v>
      </c>
      <c r="O404" s="46">
        <v>45.849699999999999</v>
      </c>
      <c r="P404" s="46">
        <v>45.137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">
      <c r="B405" s="36"/>
      <c r="C405" s="29"/>
      <c r="D405" s="32">
        <v>35</v>
      </c>
      <c r="E405" s="70"/>
      <c r="F405" s="46">
        <v>35.374400000000001</v>
      </c>
      <c r="G405" s="46">
        <v>44.021099999999997</v>
      </c>
      <c r="H405" s="46">
        <v>43.072499999999998</v>
      </c>
      <c r="I405" s="66"/>
      <c r="J405" s="66"/>
      <c r="K405" s="67"/>
      <c r="L405" s="29"/>
      <c r="M405" s="70"/>
      <c r="N405" s="46">
        <v>35.3735</v>
      </c>
      <c r="O405" s="46">
        <v>44.023000000000003</v>
      </c>
      <c r="P405" s="46">
        <v>43.070700000000002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2.75" thickBot="1">
      <c r="B406" s="36"/>
      <c r="C406" s="53"/>
      <c r="D406" s="71">
        <v>40</v>
      </c>
      <c r="E406" s="81"/>
      <c r="F406" s="46">
        <v>32.924199999999999</v>
      </c>
      <c r="G406" s="72">
        <v>42.779800000000002</v>
      </c>
      <c r="H406" s="72">
        <v>41.577300000000001</v>
      </c>
      <c r="I406" s="68"/>
      <c r="J406" s="68"/>
      <c r="K406" s="69"/>
      <c r="L406" s="29"/>
      <c r="M406" s="81"/>
      <c r="N406" s="46">
        <v>32.922499999999999</v>
      </c>
      <c r="O406" s="72">
        <v>42.779499999999999</v>
      </c>
      <c r="P406" s="72">
        <v>41.576799999999999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">
      <c r="B407" s="36"/>
      <c r="C407" s="29" t="s">
        <v>51</v>
      </c>
      <c r="D407" s="32">
        <v>25</v>
      </c>
      <c r="E407" s="70"/>
      <c r="F407" s="45">
        <v>40.743099999999998</v>
      </c>
      <c r="G407" s="45">
        <v>46.793799999999997</v>
      </c>
      <c r="H407" s="45">
        <v>46.625300000000003</v>
      </c>
      <c r="I407" s="66"/>
      <c r="J407" s="66"/>
      <c r="K407" s="67"/>
      <c r="L407" s="29"/>
      <c r="M407" s="70"/>
      <c r="N407" s="45">
        <v>40.742100000000001</v>
      </c>
      <c r="O407" s="45">
        <v>46.793500000000002</v>
      </c>
      <c r="P407" s="45">
        <v>46.635199999999998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">
      <c r="B408" s="36"/>
      <c r="C408" s="29"/>
      <c r="D408" s="32">
        <v>30</v>
      </c>
      <c r="E408" s="70"/>
      <c r="F408" s="46">
        <v>37.963299999999997</v>
      </c>
      <c r="G408" s="46">
        <v>45.204099999999997</v>
      </c>
      <c r="H408" s="46">
        <v>44.695300000000003</v>
      </c>
      <c r="I408" s="66"/>
      <c r="J408" s="66"/>
      <c r="K408" s="67"/>
      <c r="L408" s="29"/>
      <c r="M408" s="70"/>
      <c r="N408" s="46">
        <v>37.962400000000002</v>
      </c>
      <c r="O408" s="46">
        <v>45.205100000000002</v>
      </c>
      <c r="P408" s="46">
        <v>44.696199999999997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">
      <c r="B409" s="36"/>
      <c r="C409" s="29"/>
      <c r="D409" s="32">
        <v>35</v>
      </c>
      <c r="E409" s="70"/>
      <c r="F409" s="46">
        <v>35.281199999999998</v>
      </c>
      <c r="G409" s="46">
        <v>43.587800000000001</v>
      </c>
      <c r="H409" s="46">
        <v>42.7378</v>
      </c>
      <c r="I409" s="66"/>
      <c r="J409" s="66"/>
      <c r="K409" s="67"/>
      <c r="L409" s="29"/>
      <c r="M409" s="70"/>
      <c r="N409" s="46">
        <v>35.279699999999998</v>
      </c>
      <c r="O409" s="46">
        <v>43.590299999999999</v>
      </c>
      <c r="P409" s="46">
        <v>42.738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2.75" thickBot="1">
      <c r="B410" s="36"/>
      <c r="C410" s="53"/>
      <c r="D410" s="71">
        <v>40</v>
      </c>
      <c r="E410" s="81"/>
      <c r="F410" s="72">
        <v>32.845500000000001</v>
      </c>
      <c r="G410" s="72">
        <v>42.407699999999998</v>
      </c>
      <c r="H410" s="72">
        <v>41.277200000000001</v>
      </c>
      <c r="I410" s="68"/>
      <c r="J410" s="68"/>
      <c r="K410" s="69"/>
      <c r="L410" s="29"/>
      <c r="M410" s="81"/>
      <c r="N410" s="72">
        <v>32.843499999999999</v>
      </c>
      <c r="O410" s="72">
        <v>42.411000000000001</v>
      </c>
      <c r="P410" s="72">
        <v>41.273699999999998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">
      <c r="B411" s="36"/>
      <c r="C411" s="29" t="s">
        <v>52</v>
      </c>
      <c r="D411" s="32">
        <v>25</v>
      </c>
      <c r="E411" s="70"/>
      <c r="F411" s="45">
        <v>40.589799999999997</v>
      </c>
      <c r="G411" s="45">
        <v>46.626300000000001</v>
      </c>
      <c r="H411" s="45">
        <v>46.568100000000001</v>
      </c>
      <c r="I411" s="66"/>
      <c r="J411" s="66"/>
      <c r="K411" s="67"/>
      <c r="L411" s="29"/>
      <c r="M411" s="70"/>
      <c r="N411" s="45">
        <v>40.592500000000001</v>
      </c>
      <c r="O411" s="45">
        <v>46.673099999999998</v>
      </c>
      <c r="P411" s="45">
        <v>46.560299999999998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">
      <c r="B412" s="36"/>
      <c r="C412" s="29"/>
      <c r="D412" s="32">
        <v>30</v>
      </c>
      <c r="E412" s="70"/>
      <c r="F412" s="46">
        <v>37.852200000000003</v>
      </c>
      <c r="G412" s="46">
        <v>45.072299999999998</v>
      </c>
      <c r="H412" s="46">
        <v>44.613300000000002</v>
      </c>
      <c r="I412" s="66"/>
      <c r="J412" s="66"/>
      <c r="K412" s="67"/>
      <c r="L412" s="29"/>
      <c r="M412" s="70"/>
      <c r="N412" s="46">
        <v>37.851700000000001</v>
      </c>
      <c r="O412" s="46">
        <v>45.073500000000003</v>
      </c>
      <c r="P412" s="46">
        <v>44.620899999999999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">
      <c r="B413" s="36"/>
      <c r="C413" s="29"/>
      <c r="D413" s="32">
        <v>35</v>
      </c>
      <c r="E413" s="70"/>
      <c r="F413" s="46">
        <v>35.212400000000002</v>
      </c>
      <c r="G413" s="46">
        <v>43.497599999999998</v>
      </c>
      <c r="H413" s="46">
        <v>42.689300000000003</v>
      </c>
      <c r="I413" s="66"/>
      <c r="J413" s="66"/>
      <c r="K413" s="67"/>
      <c r="L413" s="29"/>
      <c r="M413" s="70"/>
      <c r="N413" s="46">
        <v>35.212400000000002</v>
      </c>
      <c r="O413" s="46">
        <v>43.502000000000002</v>
      </c>
      <c r="P413" s="46">
        <v>42.684100000000001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2.75" thickBot="1">
      <c r="B414" s="36"/>
      <c r="C414" s="53"/>
      <c r="D414" s="71">
        <v>40</v>
      </c>
      <c r="E414" s="81"/>
      <c r="F414" s="72">
        <v>32.814</v>
      </c>
      <c r="G414" s="72">
        <v>42.391300000000001</v>
      </c>
      <c r="H414" s="72">
        <v>41.236400000000003</v>
      </c>
      <c r="I414" s="68"/>
      <c r="J414" s="68"/>
      <c r="K414" s="69"/>
      <c r="L414" s="29"/>
      <c r="M414" s="81"/>
      <c r="N414" s="72">
        <v>32.8125</v>
      </c>
      <c r="O414" s="72">
        <v>42.386299999999999</v>
      </c>
      <c r="P414" s="72">
        <v>41.233499999999999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">
      <c r="B415" s="36"/>
      <c r="C415" s="29" t="s">
        <v>12</v>
      </c>
      <c r="D415" s="32">
        <v>25</v>
      </c>
      <c r="E415" s="45">
        <v>6114.8023999999996</v>
      </c>
      <c r="F415" s="70"/>
      <c r="G415" s="70"/>
      <c r="H415" s="70"/>
      <c r="I415" s="45">
        <v>54395.98</v>
      </c>
      <c r="J415" s="45">
        <v>95.52</v>
      </c>
      <c r="K415" s="45">
        <v>864.05</v>
      </c>
      <c r="L415" s="29"/>
      <c r="M415" s="45">
        <v>6113.5888000000004</v>
      </c>
      <c r="N415" s="70"/>
      <c r="O415" s="70"/>
      <c r="P415" s="70"/>
      <c r="Q415" s="45">
        <v>52623.64</v>
      </c>
      <c r="R415" s="45">
        <v>91.74</v>
      </c>
      <c r="S415" s="45">
        <v>829.19</v>
      </c>
      <c r="U415" s="8"/>
      <c r="V415" s="9"/>
      <c r="W415" s="10"/>
      <c r="X415" s="29"/>
      <c r="Y415" s="61">
        <f>GEOMEAN(Q415:Q418)/GEOMEAN(I415:I418)</f>
        <v>0.98473265609002558</v>
      </c>
      <c r="Z415" s="61">
        <f>GEOMEAN(R415:R418)/GEOMEAN(J415:J418)</f>
        <v>0.95476445465909188</v>
      </c>
      <c r="AA415" s="57">
        <f>GEOMEAN(S415:S418)/GEOMEAN(K415:K418)</f>
        <v>0.95644623114313232</v>
      </c>
      <c r="AB415" s="24"/>
      <c r="AC415" s="24"/>
    </row>
    <row r="416" spans="2:29" ht="12">
      <c r="B416" s="36"/>
      <c r="C416" s="29"/>
      <c r="D416" s="32">
        <v>30</v>
      </c>
      <c r="E416" s="46">
        <v>2851.6664000000001</v>
      </c>
      <c r="F416" s="70"/>
      <c r="G416" s="70"/>
      <c r="H416" s="70"/>
      <c r="I416" s="46">
        <v>41243.21</v>
      </c>
      <c r="J416" s="46">
        <v>88.76</v>
      </c>
      <c r="K416" s="46">
        <v>865.07</v>
      </c>
      <c r="L416" s="29"/>
      <c r="M416" s="46">
        <v>2852.1176</v>
      </c>
      <c r="N416" s="70"/>
      <c r="O416" s="70"/>
      <c r="P416" s="70"/>
      <c r="Q416" s="46">
        <v>40694.21</v>
      </c>
      <c r="R416" s="46">
        <v>84.71</v>
      </c>
      <c r="S416" s="46">
        <v>827.58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">
      <c r="B417" s="36"/>
      <c r="C417" s="29"/>
      <c r="D417" s="32">
        <v>35</v>
      </c>
      <c r="E417" s="46">
        <v>1378.9928</v>
      </c>
      <c r="F417" s="70"/>
      <c r="G417" s="70"/>
      <c r="H417" s="70"/>
      <c r="I417" s="46">
        <v>34005.68</v>
      </c>
      <c r="J417" s="46">
        <v>84.37</v>
      </c>
      <c r="K417" s="46">
        <v>873.62</v>
      </c>
      <c r="L417" s="29"/>
      <c r="M417" s="46">
        <v>1378.6952000000001</v>
      </c>
      <c r="N417" s="70"/>
      <c r="O417" s="70"/>
      <c r="P417" s="70"/>
      <c r="Q417" s="46">
        <v>33727.39</v>
      </c>
      <c r="R417" s="46">
        <v>81.55</v>
      </c>
      <c r="S417" s="46">
        <v>827.55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2.75" thickBot="1">
      <c r="A418" s="54"/>
      <c r="B418" s="52"/>
      <c r="C418" s="53"/>
      <c r="D418" s="71">
        <v>40</v>
      </c>
      <c r="E418" s="72">
        <v>665.2944</v>
      </c>
      <c r="F418" s="81"/>
      <c r="G418" s="81"/>
      <c r="H418" s="81"/>
      <c r="I418" s="72">
        <v>29165.13</v>
      </c>
      <c r="J418" s="72">
        <v>87.15</v>
      </c>
      <c r="K418" s="72">
        <v>872.5</v>
      </c>
      <c r="L418" s="29"/>
      <c r="M418" s="72">
        <v>665.33040000000005</v>
      </c>
      <c r="N418" s="81"/>
      <c r="O418" s="81"/>
      <c r="P418" s="81"/>
      <c r="Q418" s="72">
        <v>28967.55</v>
      </c>
      <c r="R418" s="72">
        <v>81.739999999999995</v>
      </c>
      <c r="S418" s="72">
        <v>839.58</v>
      </c>
      <c r="U418" s="85"/>
      <c r="V418" s="86"/>
      <c r="W418" s="87"/>
      <c r="X418" s="29"/>
      <c r="Y418" s="49"/>
      <c r="Z418" s="49"/>
      <c r="AA418" s="54"/>
      <c r="AB418" s="24"/>
      <c r="AC418" s="24"/>
    </row>
    <row r="419" spans="1:29" ht="12" thickBot="1">
      <c r="AB419" s="24"/>
      <c r="AC419" s="24"/>
    </row>
    <row r="420" spans="1:29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17510.702431317844</v>
      </c>
      <c r="J420" s="37">
        <f>GEOMEAN(J51:J54,J103:J106,J155:J158)</f>
        <v>33.609721445640837</v>
      </c>
      <c r="K420" s="39">
        <f>GEOMEAN(K51:K54,K103:K106,K155:K158)</f>
        <v>331.21106718522014</v>
      </c>
      <c r="M420" s="35"/>
      <c r="N420" s="22"/>
      <c r="O420" s="22"/>
      <c r="P420" s="22"/>
      <c r="Q420" s="37">
        <f>GEOMEAN(Q51:Q54,Q103:Q106,Q155:Q158)</f>
        <v>17491.451616978622</v>
      </c>
      <c r="R420" s="37">
        <f>GEOMEAN(R51:R54,R103:R106,R155:R158)</f>
        <v>32.393929305596096</v>
      </c>
      <c r="S420" s="39">
        <f>GEOMEAN(S51:S54,S103:S106,S155:S158)</f>
        <v>323.26090776715074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28105.619255031066</v>
      </c>
      <c r="J421" s="38">
        <f>GEOMEAN(J207:J210,J259:J262,J311:J314,J363:J366)</f>
        <v>65.66212103595953</v>
      </c>
      <c r="K421" s="40">
        <f>GEOMEAN(K207:K210,K259:K262,K311:K314,K363:K366)</f>
        <v>681.5667524493532</v>
      </c>
      <c r="M421" s="36"/>
      <c r="N421" s="24"/>
      <c r="O421" s="24"/>
      <c r="P421" s="24"/>
      <c r="Q421" s="38">
        <f>GEOMEAN(Q207:Q210,Q259:Q262,Q311:Q314,Q363:Q366)</f>
        <v>28063.246896926434</v>
      </c>
      <c r="R421" s="38">
        <f>GEOMEAN(R207:R210,R259:R262,R311:R314,R363:R366)</f>
        <v>64.788898233133679</v>
      </c>
      <c r="S421" s="40">
        <f>GEOMEAN(S207:S210,S259:S262,S311:S314,S363:S366)</f>
        <v>670.57834604554807</v>
      </c>
      <c r="AB421" s="24"/>
      <c r="AC421" s="24"/>
    </row>
    <row r="422" spans="1:29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22947.014557571067</v>
      </c>
      <c r="J422" s="73">
        <f>GEOMEAN(J51:J54,J103:J106,J155:J158,J207:J210,J259:J262,J311:J314,J363:J366)</f>
        <v>49.27934307727508</v>
      </c>
      <c r="K422" s="74">
        <f>GEOMEAN(K51:K54,K103:K106,K155:K158,K207:K210,K259:K262,K311:K314,K363:K366)</f>
        <v>500.25632323013576</v>
      </c>
      <c r="M422" s="52"/>
      <c r="N422" s="49"/>
      <c r="O422" s="49"/>
      <c r="P422" s="49"/>
      <c r="Q422" s="73">
        <f>GEOMEAN(Q51:Q54,Q103:Q106,Q155:Q158,Q207:Q210,Q259:Q262,Q311:Q314,Q363:Q366)</f>
        <v>22916.433687296456</v>
      </c>
      <c r="R422" s="73">
        <f>GEOMEAN(R51:R54,R103:R106,R155:R158,R207:R210,R259:R262,R311:R314,R363:R366)</f>
        <v>48.137635341380637</v>
      </c>
      <c r="S422" s="74">
        <f>GEOMEAN(S51:S54,S103:S106,S155:S158,S207:S210,S259:S262,S311:S314,S363:S366)</f>
        <v>490.49751266385198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0">Q420/I420</f>
        <v>0.99890062580786065</v>
      </c>
      <c r="R423" s="47">
        <f t="shared" si="0"/>
        <v>0.96382617624453926</v>
      </c>
      <c r="S423" s="48">
        <f t="shared" si="0"/>
        <v>0.97599669755713958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0"/>
        <v>0.99849238838254573</v>
      </c>
      <c r="R424" s="47">
        <f t="shared" si="0"/>
        <v>0.98670127024456555</v>
      </c>
      <c r="S424" s="48">
        <f t="shared" si="0"/>
        <v>0.98387772530817275</v>
      </c>
      <c r="AB424" s="24"/>
      <c r="AC424" s="24"/>
    </row>
    <row r="425" spans="1:29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0"/>
        <v>0.99866732684559523</v>
      </c>
      <c r="R425" s="50">
        <f t="shared" si="0"/>
        <v>0.9768319205452044</v>
      </c>
      <c r="S425" s="51">
        <f t="shared" si="0"/>
        <v>0.98049237938009159</v>
      </c>
      <c r="AB425" s="24"/>
      <c r="AC425" s="24"/>
    </row>
    <row r="426" spans="1:29">
      <c r="AB426" s="24"/>
      <c r="AC426" s="24"/>
    </row>
    <row r="427" spans="1:29" ht="12" thickBot="1">
      <c r="A427" s="89" t="s">
        <v>38</v>
      </c>
      <c r="AB427" s="24"/>
      <c r="AC427" s="24"/>
    </row>
    <row r="428" spans="1:29" ht="12.75" thickBot="1">
      <c r="A428" s="7"/>
      <c r="B428" s="88"/>
      <c r="C428" s="7"/>
      <c r="D428" s="28"/>
      <c r="E428" s="143" t="s">
        <v>2</v>
      </c>
      <c r="F428" s="143"/>
      <c r="G428" s="143"/>
      <c r="H428" s="143"/>
      <c r="I428" s="143"/>
      <c r="J428" s="143"/>
      <c r="K428" s="144"/>
      <c r="L428" s="11"/>
      <c r="M428" s="145" t="s">
        <v>3</v>
      </c>
      <c r="N428" s="143"/>
      <c r="O428" s="143"/>
      <c r="P428" s="143"/>
      <c r="Q428" s="143"/>
      <c r="R428" s="143"/>
      <c r="S428" s="144"/>
      <c r="T428" s="34"/>
      <c r="U428" s="145" t="s">
        <v>10</v>
      </c>
      <c r="V428" s="143"/>
      <c r="W428" s="144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1159.2152000000001</v>
      </c>
      <c r="F430" s="78">
        <f t="shared" ref="F430:H433" si="1">AVERAGE(F3,F7)</f>
        <v>42.663499999999999</v>
      </c>
      <c r="G430" s="78">
        <f t="shared" si="1"/>
        <v>43.258099999999999</v>
      </c>
      <c r="H430" s="78">
        <f t="shared" si="1"/>
        <v>43.552400000000006</v>
      </c>
      <c r="I430" s="79"/>
      <c r="J430" s="79"/>
      <c r="K430" s="80"/>
      <c r="L430" s="29"/>
      <c r="M430" s="82">
        <f>M3+M7</f>
        <v>1159.1751999999999</v>
      </c>
      <c r="N430" s="78">
        <f t="shared" ref="N430:P433" si="2">AVERAGE(N3,N7)</f>
        <v>42.661149999999999</v>
      </c>
      <c r="O430" s="78">
        <f t="shared" si="2"/>
        <v>43.25665</v>
      </c>
      <c r="P430" s="78">
        <f t="shared" si="2"/>
        <v>43.552100000000003</v>
      </c>
      <c r="Q430" s="79"/>
      <c r="R430" s="79"/>
      <c r="S430" s="80"/>
      <c r="U430" s="8">
        <f>bdrate($E430:$E433,F430:F433,$M430:$M433,N430:N433)</f>
        <v>-1.8890879757349488E-4</v>
      </c>
      <c r="V430" s="9">
        <f>bdrate($E430:$E433,G430:G433,$M430:$M433,O430:O433)</f>
        <v>3.5762570047181974E-4</v>
      </c>
      <c r="W430" s="10">
        <f>bdrate($E430:$E433,H430:H433,$M430:$M433,P430:P433)</f>
        <v>7.1585232923099262E-4</v>
      </c>
      <c r="Y430" s="24"/>
      <c r="Z430" s="24"/>
      <c r="AA430" s="24"/>
      <c r="AB430" s="24"/>
      <c r="AC430" s="24"/>
    </row>
    <row r="431" spans="1:29" ht="12">
      <c r="A431" s="24"/>
      <c r="B431" s="29"/>
      <c r="C431" s="29"/>
      <c r="D431" s="32">
        <v>30</v>
      </c>
      <c r="E431" s="70">
        <f>E4+E8</f>
        <v>612.47919999999999</v>
      </c>
      <c r="F431" s="70">
        <f t="shared" si="1"/>
        <v>40.4818</v>
      </c>
      <c r="G431" s="70">
        <f t="shared" si="1"/>
        <v>41.979649999999999</v>
      </c>
      <c r="H431" s="70">
        <f t="shared" si="1"/>
        <v>41.935850000000002</v>
      </c>
      <c r="I431" s="66"/>
      <c r="J431" s="66"/>
      <c r="K431" s="67"/>
      <c r="L431" s="29"/>
      <c r="M431" s="83">
        <f>M4+M8</f>
        <v>612.50480000000005</v>
      </c>
      <c r="N431" s="70">
        <f t="shared" si="2"/>
        <v>40.482150000000004</v>
      </c>
      <c r="O431" s="70">
        <f t="shared" si="2"/>
        <v>41.979849999999999</v>
      </c>
      <c r="P431" s="70">
        <f t="shared" si="2"/>
        <v>41.93235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29" ht="12">
      <c r="A432" s="24"/>
      <c r="B432" s="29"/>
      <c r="C432" s="29"/>
      <c r="D432" s="32">
        <v>35</v>
      </c>
      <c r="E432" s="70">
        <f>E5+E9</f>
        <v>347.91040000000004</v>
      </c>
      <c r="F432" s="70">
        <f t="shared" si="1"/>
        <v>37.88165</v>
      </c>
      <c r="G432" s="70">
        <f t="shared" si="1"/>
        <v>40.616050000000001</v>
      </c>
      <c r="H432" s="70">
        <f t="shared" si="1"/>
        <v>40.284999999999997</v>
      </c>
      <c r="I432" s="66"/>
      <c r="J432" s="66"/>
      <c r="K432" s="67"/>
      <c r="L432" s="29"/>
      <c r="M432" s="83">
        <f>M5+M9</f>
        <v>347.88960000000003</v>
      </c>
      <c r="N432" s="70">
        <f t="shared" si="2"/>
        <v>37.884500000000003</v>
      </c>
      <c r="O432" s="70">
        <f t="shared" si="2"/>
        <v>40.613749999999996</v>
      </c>
      <c r="P432" s="70">
        <f t="shared" si="2"/>
        <v>40.2836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205.9528</v>
      </c>
      <c r="F433" s="81">
        <f t="shared" si="1"/>
        <v>35.109650000000002</v>
      </c>
      <c r="G433" s="81">
        <f t="shared" si="1"/>
        <v>39.515299999999996</v>
      </c>
      <c r="H433" s="81">
        <f t="shared" si="1"/>
        <v>39.019350000000003</v>
      </c>
      <c r="I433" s="68"/>
      <c r="J433" s="68"/>
      <c r="K433" s="69"/>
      <c r="L433" s="29"/>
      <c r="M433" s="84">
        <f>M6+M10</f>
        <v>205.91040000000001</v>
      </c>
      <c r="N433" s="81">
        <f t="shared" si="2"/>
        <v>35.108000000000004</v>
      </c>
      <c r="O433" s="81">
        <f t="shared" si="2"/>
        <v>39.51605</v>
      </c>
      <c r="P433" s="81">
        <f t="shared" si="2"/>
        <v>39.018950000000004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1469.6152000000002</v>
      </c>
      <c r="F434" s="78">
        <f t="shared" ref="F434:H437" si="3">AVERAGE(F3,F7,F11)</f>
        <v>42.411999999999999</v>
      </c>
      <c r="G434" s="78">
        <f t="shared" si="3"/>
        <v>43.019566666666663</v>
      </c>
      <c r="H434" s="78">
        <f t="shared" si="3"/>
        <v>43.326166666666666</v>
      </c>
      <c r="I434" s="79"/>
      <c r="J434" s="79"/>
      <c r="K434" s="80"/>
      <c r="L434" s="29"/>
      <c r="M434" s="78">
        <f>M3+M7+M11</f>
        <v>1470.1063999999999</v>
      </c>
      <c r="N434" s="78">
        <f t="shared" ref="N434:P437" si="4">AVERAGE(N3,N7,N11)</f>
        <v>42.409933333333335</v>
      </c>
      <c r="O434" s="78">
        <f t="shared" si="4"/>
        <v>43.018333333333338</v>
      </c>
      <c r="P434" s="78">
        <f t="shared" si="4"/>
        <v>43.326166666666666</v>
      </c>
      <c r="Q434" s="79"/>
      <c r="R434" s="79"/>
      <c r="S434" s="80"/>
      <c r="U434" s="8">
        <f>bdrate($E434:$E437,F434:F437,$M434:$M437,N434:N437)</f>
        <v>-7.8248167578398586E-5</v>
      </c>
      <c r="V434" s="9">
        <f>bdrate($E434:$E437,G434:G437,$M434:$M437,O434:O437)</f>
        <v>7.6992119745056264E-4</v>
      </c>
      <c r="W434" s="10">
        <f>bdrate($E434:$E437,H434:H437,$M434:$M437,P434:P437)</f>
        <v>5.2980696685156481E-4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756.6096</v>
      </c>
      <c r="F435" s="70">
        <f t="shared" si="3"/>
        <v>40.213299999999997</v>
      </c>
      <c r="G435" s="70">
        <f t="shared" si="3"/>
        <v>41.726466666666667</v>
      </c>
      <c r="H435" s="70">
        <f t="shared" si="3"/>
        <v>41.725833333333334</v>
      </c>
      <c r="I435" s="66"/>
      <c r="J435" s="66"/>
      <c r="K435" s="67"/>
      <c r="L435" s="29"/>
      <c r="M435" s="70">
        <f>M4+M8+M12</f>
        <v>756.64080000000001</v>
      </c>
      <c r="N435" s="70">
        <f t="shared" si="4"/>
        <v>40.213733333333337</v>
      </c>
      <c r="O435" s="70">
        <f t="shared" si="4"/>
        <v>41.7254</v>
      </c>
      <c r="P435" s="70">
        <f t="shared" si="4"/>
        <v>41.722533333333331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425.15760000000006</v>
      </c>
      <c r="F436" s="70">
        <f t="shared" si="3"/>
        <v>37.622900000000001</v>
      </c>
      <c r="G436" s="70">
        <f t="shared" si="3"/>
        <v>40.431900000000006</v>
      </c>
      <c r="H436" s="70">
        <f t="shared" si="3"/>
        <v>40.144500000000001</v>
      </c>
      <c r="I436" s="66"/>
      <c r="J436" s="66"/>
      <c r="K436" s="67"/>
      <c r="L436" s="29"/>
      <c r="M436" s="70">
        <f>M5+M9+M13</f>
        <v>425.19760000000002</v>
      </c>
      <c r="N436" s="70">
        <f t="shared" si="4"/>
        <v>37.625766666666671</v>
      </c>
      <c r="O436" s="70">
        <f t="shared" si="4"/>
        <v>40.429866666666662</v>
      </c>
      <c r="P436" s="70">
        <f t="shared" si="4"/>
        <v>40.14456666666667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247.9</v>
      </c>
      <c r="F437" s="81">
        <f t="shared" si="3"/>
        <v>34.869566666666664</v>
      </c>
      <c r="G437" s="81">
        <f t="shared" si="3"/>
        <v>39.34193333333333</v>
      </c>
      <c r="H437" s="81">
        <f t="shared" si="3"/>
        <v>38.883333333333333</v>
      </c>
      <c r="I437" s="68"/>
      <c r="J437" s="68"/>
      <c r="K437" s="69"/>
      <c r="L437" s="29"/>
      <c r="M437" s="81">
        <f>M6+M10+M14</f>
        <v>247.87200000000001</v>
      </c>
      <c r="N437" s="81">
        <f t="shared" si="4"/>
        <v>34.867333333333335</v>
      </c>
      <c r="O437" s="81">
        <f t="shared" si="4"/>
        <v>39.340866666666663</v>
      </c>
      <c r="P437" s="81">
        <f t="shared" si="4"/>
        <v>38.88483333333334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1362.8040000000001</v>
      </c>
      <c r="F438" s="78">
        <f t="shared" ref="F438:H441" si="5">AVERAGE(F27,F31,F35)</f>
        <v>42.749933333333331</v>
      </c>
      <c r="G438" s="78">
        <f t="shared" si="5"/>
        <v>45.631799999999998</v>
      </c>
      <c r="H438" s="78">
        <f t="shared" si="5"/>
        <v>45.521333333333331</v>
      </c>
      <c r="I438" s="79"/>
      <c r="J438" s="79"/>
      <c r="K438" s="80"/>
      <c r="L438" s="29"/>
      <c r="M438" s="82">
        <f>M3+M7+M15+M19</f>
        <v>1362.9279999999999</v>
      </c>
      <c r="N438" s="78">
        <f t="shared" ref="N438:P441" si="6">AVERAGE(N27,N31,N35)</f>
        <v>42.75116666666667</v>
      </c>
      <c r="O438" s="78">
        <f t="shared" si="6"/>
        <v>45.62833333333333</v>
      </c>
      <c r="P438" s="78">
        <f t="shared" si="6"/>
        <v>45.52086666666667</v>
      </c>
      <c r="Q438" s="79"/>
      <c r="R438" s="79"/>
      <c r="S438" s="80"/>
      <c r="U438" s="8">
        <f>bdrate($E438:$E441,F438:F441,$M438:$M441,N438:N441)</f>
        <v>-6.6231168088892733E-4</v>
      </c>
      <c r="V438" s="9">
        <f>bdrate($E438:$E441,G438:G441,$M438:$M441,O438:O441)</f>
        <v>-1.4809717731734118E-4</v>
      </c>
      <c r="W438" s="10">
        <f>bdrate($E438:$E441,H438:H441,$M438:$M441,P438:P441)</f>
        <v>6.1661411140168099E-5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681.10720000000003</v>
      </c>
      <c r="F439" s="70">
        <f t="shared" si="5"/>
        <v>40.529366666666668</v>
      </c>
      <c r="G439" s="70">
        <f t="shared" si="5"/>
        <v>43.961033333333326</v>
      </c>
      <c r="H439" s="70">
        <f t="shared" si="5"/>
        <v>43.513433333333332</v>
      </c>
      <c r="I439" s="66"/>
      <c r="J439" s="66"/>
      <c r="K439" s="67"/>
      <c r="L439" s="29"/>
      <c r="M439" s="83">
        <f>M4+M8+M16+M20</f>
        <v>680.91920000000005</v>
      </c>
      <c r="N439" s="70">
        <f t="shared" si="6"/>
        <v>40.532466666666664</v>
      </c>
      <c r="O439" s="70">
        <f t="shared" si="6"/>
        <v>43.96373333333333</v>
      </c>
      <c r="P439" s="70">
        <f t="shared" si="6"/>
        <v>43.514166666666675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378.12160000000006</v>
      </c>
      <c r="F440" s="70">
        <f t="shared" si="5"/>
        <v>37.993766666666666</v>
      </c>
      <c r="G440" s="70">
        <f t="shared" si="5"/>
        <v>42.198399999999999</v>
      </c>
      <c r="H440" s="70">
        <f t="shared" si="5"/>
        <v>41.525300000000001</v>
      </c>
      <c r="I440" s="66"/>
      <c r="J440" s="66"/>
      <c r="K440" s="67"/>
      <c r="L440" s="29"/>
      <c r="M440" s="83">
        <f>M5+M9+M17+M21</f>
        <v>378.06960000000004</v>
      </c>
      <c r="N440" s="70">
        <f t="shared" si="6"/>
        <v>37.99583333333333</v>
      </c>
      <c r="O440" s="70">
        <f t="shared" si="6"/>
        <v>42.196866666666665</v>
      </c>
      <c r="P440" s="70">
        <f t="shared" si="6"/>
        <v>41.521799999999992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220.9272</v>
      </c>
      <c r="F441" s="81">
        <f t="shared" si="5"/>
        <v>35.262633333333333</v>
      </c>
      <c r="G441" s="81">
        <f t="shared" si="5"/>
        <v>40.836566666666663</v>
      </c>
      <c r="H441" s="81">
        <f t="shared" si="5"/>
        <v>40.035200000000003</v>
      </c>
      <c r="I441" s="68"/>
      <c r="J441" s="68"/>
      <c r="K441" s="69"/>
      <c r="L441" s="29"/>
      <c r="M441" s="84">
        <f>M6+M10+M18+M22</f>
        <v>220.86560000000003</v>
      </c>
      <c r="N441" s="81">
        <f t="shared" si="6"/>
        <v>35.261366666666667</v>
      </c>
      <c r="O441" s="81">
        <f t="shared" si="6"/>
        <v>40.835699999999996</v>
      </c>
      <c r="P441" s="81">
        <f t="shared" si="6"/>
        <v>40.037066666666668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1775.9896000000001</v>
      </c>
      <c r="F442" s="78">
        <f t="shared" ref="F442:H445" si="7">AVERAGE(F27,F31,F35,F39,F43,F47)</f>
        <v>42.675466666666665</v>
      </c>
      <c r="G442" s="78">
        <f t="shared" si="7"/>
        <v>45.586549999999995</v>
      </c>
      <c r="H442" s="78">
        <f t="shared" si="7"/>
        <v>45.465699999999998</v>
      </c>
      <c r="I442" s="79"/>
      <c r="J442" s="79"/>
      <c r="K442" s="80"/>
      <c r="L442" s="29"/>
      <c r="M442" s="78">
        <f>M51</f>
        <v>1776.6687999999999</v>
      </c>
      <c r="N442" s="78">
        <f t="shared" ref="N442:P445" si="8">AVERAGE(N27,N31,N35,N39,N43,N47)</f>
        <v>42.675266666666658</v>
      </c>
      <c r="O442" s="78">
        <f t="shared" si="8"/>
        <v>45.586800000000004</v>
      </c>
      <c r="P442" s="78">
        <f t="shared" si="8"/>
        <v>45.471716666666673</v>
      </c>
      <c r="Q442" s="79"/>
      <c r="R442" s="79"/>
      <c r="S442" s="80"/>
      <c r="U442" s="8">
        <f>bdrate($E442:$E445,F442:F445,$M442:$M445,N442:N445)</f>
        <v>-1.9607445404978829E-4</v>
      </c>
      <c r="V442" s="9">
        <f>bdrate($E442:$E445,G442:G445,$M442:$M445,O442:O445)</f>
        <v>5.0152399215130927E-4</v>
      </c>
      <c r="W442" s="10">
        <f>bdrate($E442:$E445,H442:H445,$M442:$M445,P442:P445)</f>
        <v>-3.8233107284968426E-4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862.55280000000005</v>
      </c>
      <c r="F443" s="70">
        <f t="shared" si="7"/>
        <v>40.472833333333334</v>
      </c>
      <c r="G443" s="70">
        <f t="shared" si="7"/>
        <v>43.909816666666664</v>
      </c>
      <c r="H443" s="70">
        <f t="shared" si="7"/>
        <v>43.450466666666671</v>
      </c>
      <c r="I443" s="66"/>
      <c r="J443" s="66"/>
      <c r="K443" s="67"/>
      <c r="L443" s="29"/>
      <c r="M443" s="70">
        <f>M52</f>
        <v>862.50319999999999</v>
      </c>
      <c r="N443" s="70">
        <f t="shared" si="8"/>
        <v>40.473700000000001</v>
      </c>
      <c r="O443" s="70">
        <f t="shared" si="8"/>
        <v>43.907366666666668</v>
      </c>
      <c r="P443" s="70">
        <f t="shared" si="8"/>
        <v>43.450350000000007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474.916</v>
      </c>
      <c r="F444" s="70">
        <f t="shared" si="7"/>
        <v>37.943083333333334</v>
      </c>
      <c r="G444" s="70">
        <f t="shared" si="7"/>
        <v>42.155949999999997</v>
      </c>
      <c r="H444" s="70">
        <f t="shared" si="7"/>
        <v>41.480433333333337</v>
      </c>
      <c r="I444" s="66"/>
      <c r="J444" s="66"/>
      <c r="K444" s="67"/>
      <c r="L444" s="29"/>
      <c r="M444" s="70">
        <f>M53</f>
        <v>474.74</v>
      </c>
      <c r="N444" s="70">
        <f t="shared" si="8"/>
        <v>37.94318333333333</v>
      </c>
      <c r="O444" s="70">
        <f t="shared" si="8"/>
        <v>42.154483333333332</v>
      </c>
      <c r="P444" s="70">
        <f t="shared" si="8"/>
        <v>41.478533333333331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275.05200000000002</v>
      </c>
      <c r="F445" s="81">
        <f t="shared" si="7"/>
        <v>35.1952</v>
      </c>
      <c r="G445" s="81">
        <f t="shared" si="7"/>
        <v>40.803716666666666</v>
      </c>
      <c r="H445" s="81">
        <f t="shared" si="7"/>
        <v>39.97643333333334</v>
      </c>
      <c r="I445" s="68"/>
      <c r="J445" s="68"/>
      <c r="K445" s="69"/>
      <c r="L445" s="29"/>
      <c r="M445" s="81">
        <f>M54</f>
        <v>274.97120000000001</v>
      </c>
      <c r="N445" s="81">
        <f t="shared" si="8"/>
        <v>35.192883333333334</v>
      </c>
      <c r="O445" s="81">
        <f t="shared" si="8"/>
        <v>40.801816666666667</v>
      </c>
      <c r="P445" s="81">
        <f t="shared" si="8"/>
        <v>39.980716666666666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9">E438</f>
        <v>1362.8040000000001</v>
      </c>
      <c r="F446" s="78">
        <f t="shared" ref="F446:H449" si="10">AVERAGE(F3,F7,F27,F31,F35)</f>
        <v>42.715360000000004</v>
      </c>
      <c r="G446" s="78">
        <f t="shared" si="10"/>
        <v>44.68231999999999</v>
      </c>
      <c r="H446" s="78">
        <f t="shared" si="10"/>
        <v>44.733760000000004</v>
      </c>
      <c r="I446" s="79"/>
      <c r="J446" s="79"/>
      <c r="K446" s="80"/>
      <c r="L446" s="29"/>
      <c r="M446" s="78">
        <f t="shared" ref="M446:M453" si="11">M438</f>
        <v>1362.9279999999999</v>
      </c>
      <c r="N446" s="78">
        <f t="shared" ref="N446:P449" si="12">AVERAGE(N3,N7,N27,N31,N35)</f>
        <v>42.715160000000004</v>
      </c>
      <c r="O446" s="78">
        <f t="shared" si="12"/>
        <v>44.679659999999998</v>
      </c>
      <c r="P446" s="78">
        <f t="shared" si="12"/>
        <v>44.733360000000005</v>
      </c>
      <c r="Q446" s="79"/>
      <c r="R446" s="79"/>
      <c r="S446" s="80"/>
      <c r="U446" s="8">
        <f>bdrate($E446:$E449,F446:F449,$M446:$M449,N446:N449)</f>
        <v>-5.2706003294689108E-4</v>
      </c>
      <c r="V446" s="9">
        <f>bdrate($E446:$E449,G446:G449,$M446:$M449,O446:O449)</f>
        <v>-1.9405712715636625E-5</v>
      </c>
      <c r="W446" s="10">
        <f>bdrate($E446:$E449,H446:H449,$M446:$M449,P446:P449)</f>
        <v>2.5616813692863616E-4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9"/>
        <v>681.10720000000003</v>
      </c>
      <c r="F447" s="70">
        <f t="shared" si="10"/>
        <v>40.510339999999999</v>
      </c>
      <c r="G447" s="70">
        <f t="shared" si="10"/>
        <v>43.168480000000002</v>
      </c>
      <c r="H447" s="70">
        <f t="shared" si="10"/>
        <v>42.882400000000004</v>
      </c>
      <c r="I447" s="66"/>
      <c r="J447" s="66"/>
      <c r="K447" s="67"/>
      <c r="L447" s="29"/>
      <c r="M447" s="70">
        <f t="shared" si="11"/>
        <v>680.91920000000005</v>
      </c>
      <c r="N447" s="70">
        <f t="shared" si="12"/>
        <v>40.512340000000002</v>
      </c>
      <c r="O447" s="70">
        <f t="shared" si="12"/>
        <v>43.170180000000002</v>
      </c>
      <c r="P447" s="70">
        <f t="shared" si="12"/>
        <v>42.881440000000005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9"/>
        <v>378.12160000000006</v>
      </c>
      <c r="F448" s="70">
        <f t="shared" si="10"/>
        <v>37.948920000000001</v>
      </c>
      <c r="G448" s="70">
        <f t="shared" si="10"/>
        <v>41.565459999999995</v>
      </c>
      <c r="H448" s="70">
        <f t="shared" si="10"/>
        <v>41.029179999999997</v>
      </c>
      <c r="I448" s="66"/>
      <c r="J448" s="66"/>
      <c r="K448" s="67"/>
      <c r="L448" s="29"/>
      <c r="M448" s="70">
        <f t="shared" si="11"/>
        <v>378.06960000000004</v>
      </c>
      <c r="N448" s="70">
        <f t="shared" si="12"/>
        <v>37.951299999999996</v>
      </c>
      <c r="O448" s="70">
        <f t="shared" si="12"/>
        <v>41.56362</v>
      </c>
      <c r="P448" s="70">
        <f t="shared" si="12"/>
        <v>41.026519999999998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9"/>
        <v>220.9272</v>
      </c>
      <c r="F449" s="81">
        <f t="shared" si="10"/>
        <v>35.201440000000005</v>
      </c>
      <c r="G449" s="81">
        <f t="shared" si="10"/>
        <v>40.308059999999998</v>
      </c>
      <c r="H449" s="81">
        <f t="shared" si="10"/>
        <v>39.628860000000003</v>
      </c>
      <c r="I449" s="68"/>
      <c r="J449" s="68"/>
      <c r="K449" s="69"/>
      <c r="L449" s="29"/>
      <c r="M449" s="81">
        <f t="shared" si="11"/>
        <v>220.86560000000003</v>
      </c>
      <c r="N449" s="81">
        <f t="shared" si="12"/>
        <v>35.200020000000002</v>
      </c>
      <c r="O449" s="81">
        <f t="shared" si="12"/>
        <v>40.307839999999999</v>
      </c>
      <c r="P449" s="81">
        <f t="shared" si="12"/>
        <v>39.629820000000002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9"/>
        <v>1775.9896000000001</v>
      </c>
      <c r="F450" s="78">
        <f t="shared" ref="F450:H453" si="13">AVERAGE(F3,F7,F11,F27,F31,F35,F39,F43,F47)</f>
        <v>42.587644444444443</v>
      </c>
      <c r="G450" s="78">
        <f t="shared" si="13"/>
        <v>44.730888888888892</v>
      </c>
      <c r="H450" s="78">
        <f t="shared" si="13"/>
        <v>44.752522222222218</v>
      </c>
      <c r="I450" s="79"/>
      <c r="J450" s="79"/>
      <c r="K450" s="80"/>
      <c r="L450" s="29"/>
      <c r="M450" s="78">
        <f t="shared" si="11"/>
        <v>1776.6687999999999</v>
      </c>
      <c r="N450" s="78">
        <f t="shared" ref="N450:P453" si="14">AVERAGE(N3,N7,N11,N27,N31,N35,N39,N43,N47)</f>
        <v>42.586822222222224</v>
      </c>
      <c r="O450" s="78">
        <f t="shared" si="14"/>
        <v>44.730644444444444</v>
      </c>
      <c r="P450" s="78">
        <f t="shared" si="14"/>
        <v>44.756533333333337</v>
      </c>
      <c r="Q450" s="79"/>
      <c r="R450" s="79"/>
      <c r="S450" s="80"/>
      <c r="U450" s="8">
        <f>bdrate($E450:$E453,F450:F453,$M450:$M453,N450:N453)</f>
        <v>-2.3901931146241839E-4</v>
      </c>
      <c r="V450" s="9">
        <f>bdrate($E450:$E453,G450:G453,$M450:$M453,O450:O453)</f>
        <v>5.238415592976331E-4</v>
      </c>
      <c r="W450" s="10">
        <f>bdrate($E450:$E453,H450:H453,$M450:$M453,P450:P453)</f>
        <v>-1.7186616416575706E-4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9"/>
        <v>862.55280000000005</v>
      </c>
      <c r="F451" s="70">
        <f t="shared" si="13"/>
        <v>40.386322222222226</v>
      </c>
      <c r="G451" s="70">
        <f t="shared" si="13"/>
        <v>43.182033333333329</v>
      </c>
      <c r="H451" s="70">
        <f t="shared" si="13"/>
        <v>42.875588888888892</v>
      </c>
      <c r="I451" s="66"/>
      <c r="J451" s="66"/>
      <c r="K451" s="67"/>
      <c r="L451" s="29"/>
      <c r="M451" s="70">
        <f t="shared" si="11"/>
        <v>862.50319999999999</v>
      </c>
      <c r="N451" s="70">
        <f t="shared" si="14"/>
        <v>40.387044444444449</v>
      </c>
      <c r="O451" s="70">
        <f t="shared" si="14"/>
        <v>43.180044444444448</v>
      </c>
      <c r="P451" s="70">
        <f t="shared" si="14"/>
        <v>42.874411111111115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9"/>
        <v>474.916</v>
      </c>
      <c r="F452" s="70">
        <f t="shared" si="13"/>
        <v>37.836355555555556</v>
      </c>
      <c r="G452" s="70">
        <f t="shared" si="13"/>
        <v>41.581266666666664</v>
      </c>
      <c r="H452" s="70">
        <f t="shared" si="13"/>
        <v>41.035122222222221</v>
      </c>
      <c r="I452" s="66"/>
      <c r="J452" s="66"/>
      <c r="K452" s="67"/>
      <c r="L452" s="29"/>
      <c r="M452" s="70">
        <f t="shared" si="11"/>
        <v>474.74</v>
      </c>
      <c r="N452" s="70">
        <f t="shared" si="14"/>
        <v>37.837377777777775</v>
      </c>
      <c r="O452" s="70">
        <f t="shared" si="14"/>
        <v>41.579611111111113</v>
      </c>
      <c r="P452" s="70">
        <f t="shared" si="14"/>
        <v>41.033877777777775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9"/>
        <v>275.05200000000002</v>
      </c>
      <c r="F453" s="81">
        <f t="shared" si="13"/>
        <v>35.086655555555552</v>
      </c>
      <c r="G453" s="81">
        <f t="shared" si="13"/>
        <v>40.316455555555549</v>
      </c>
      <c r="H453" s="81">
        <f t="shared" si="13"/>
        <v>39.612066666666664</v>
      </c>
      <c r="I453" s="68"/>
      <c r="J453" s="68"/>
      <c r="K453" s="69"/>
      <c r="L453" s="29"/>
      <c r="M453" s="81">
        <f t="shared" si="11"/>
        <v>274.97120000000001</v>
      </c>
      <c r="N453" s="81">
        <f t="shared" si="14"/>
        <v>35.084366666666675</v>
      </c>
      <c r="O453" s="81">
        <f t="shared" si="14"/>
        <v>40.314833333333333</v>
      </c>
      <c r="P453" s="81">
        <f t="shared" si="14"/>
        <v>39.615422222222229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1127.5944</v>
      </c>
      <c r="F454" s="78">
        <f t="shared" ref="F454:H457" si="15">AVERAGE(F55,F59)</f>
        <v>43.152749999999997</v>
      </c>
      <c r="G454" s="78">
        <f t="shared" si="15"/>
        <v>44.844149999999999</v>
      </c>
      <c r="H454" s="78">
        <f t="shared" si="15"/>
        <v>44.552799999999998</v>
      </c>
      <c r="I454" s="79"/>
      <c r="J454" s="79"/>
      <c r="K454" s="80"/>
      <c r="L454" s="29"/>
      <c r="M454" s="78">
        <f>M55+M59</f>
        <v>1127.5008</v>
      </c>
      <c r="N454" s="78">
        <f t="shared" ref="N454:P457" si="16">AVERAGE(N55,N59)</f>
        <v>43.151949999999999</v>
      </c>
      <c r="O454" s="78">
        <f t="shared" si="16"/>
        <v>44.844250000000002</v>
      </c>
      <c r="P454" s="78">
        <f t="shared" si="16"/>
        <v>44.550200000000004</v>
      </c>
      <c r="Q454" s="79"/>
      <c r="R454" s="79"/>
      <c r="S454" s="80"/>
      <c r="U454" s="8">
        <f>bdrate($E454:$E457,F454:F457,$M454:$M457,N454:N457)</f>
        <v>-7.0644490126281489E-5</v>
      </c>
      <c r="V454" s="9">
        <f>bdrate($E454:$E457,G454:G457,$M454:$M457,O454:O457)</f>
        <v>-8.1592406815411689E-4</v>
      </c>
      <c r="W454" s="10">
        <f>bdrate($E454:$E457,H454:H457,$M454:$M457,P454:P457)</f>
        <v>2.397557841149478E-5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578.9248</v>
      </c>
      <c r="F455" s="70">
        <f t="shared" si="15"/>
        <v>40.902100000000004</v>
      </c>
      <c r="G455" s="70">
        <f t="shared" si="15"/>
        <v>43.953400000000002</v>
      </c>
      <c r="H455" s="70">
        <f t="shared" si="15"/>
        <v>43.05095</v>
      </c>
      <c r="I455" s="66"/>
      <c r="J455" s="66"/>
      <c r="K455" s="67"/>
      <c r="L455" s="29"/>
      <c r="M455" s="70">
        <f>M56+M60</f>
        <v>578.72720000000004</v>
      </c>
      <c r="N455" s="70">
        <f t="shared" si="16"/>
        <v>40.901949999999999</v>
      </c>
      <c r="O455" s="70">
        <f t="shared" si="16"/>
        <v>43.954349999999998</v>
      </c>
      <c r="P455" s="70">
        <f t="shared" si="16"/>
        <v>43.050750000000001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324.43439999999998</v>
      </c>
      <c r="F456" s="70">
        <f t="shared" si="15"/>
        <v>38.441450000000003</v>
      </c>
      <c r="G456" s="70">
        <f t="shared" si="15"/>
        <v>42.979349999999997</v>
      </c>
      <c r="H456" s="70">
        <f t="shared" si="15"/>
        <v>41.539349999999999</v>
      </c>
      <c r="I456" s="66"/>
      <c r="J456" s="66"/>
      <c r="K456" s="67"/>
      <c r="L456" s="29"/>
      <c r="M456" s="70">
        <f>M57+M61</f>
        <v>324.54719999999998</v>
      </c>
      <c r="N456" s="70">
        <f t="shared" si="16"/>
        <v>38.442499999999995</v>
      </c>
      <c r="O456" s="70">
        <f t="shared" si="16"/>
        <v>42.981949999999998</v>
      </c>
      <c r="P456" s="70">
        <f t="shared" si="16"/>
        <v>41.540750000000003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191.45839999999998</v>
      </c>
      <c r="F457" s="81">
        <f t="shared" si="15"/>
        <v>35.845100000000002</v>
      </c>
      <c r="G457" s="81">
        <f t="shared" si="15"/>
        <v>42.120950000000001</v>
      </c>
      <c r="H457" s="81">
        <f t="shared" si="15"/>
        <v>40.216450000000002</v>
      </c>
      <c r="I457" s="68"/>
      <c r="J457" s="68"/>
      <c r="K457" s="69"/>
      <c r="L457" s="29"/>
      <c r="M457" s="81">
        <f>M58+M62</f>
        <v>191.42399999999998</v>
      </c>
      <c r="N457" s="81">
        <f t="shared" si="16"/>
        <v>35.845399999999998</v>
      </c>
      <c r="O457" s="81">
        <f t="shared" si="16"/>
        <v>42.120249999999999</v>
      </c>
      <c r="P457" s="81">
        <f t="shared" si="16"/>
        <v>40.214950000000002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1425.2408</v>
      </c>
      <c r="F458" s="78">
        <f t="shared" ref="F458:H461" si="17">AVERAGE(F55,F59,F63)</f>
        <v>42.879933333333327</v>
      </c>
      <c r="G458" s="78">
        <f t="shared" si="17"/>
        <v>44.546166666666664</v>
      </c>
      <c r="H458" s="78">
        <f t="shared" si="17"/>
        <v>44.337199999999996</v>
      </c>
      <c r="I458" s="79"/>
      <c r="J458" s="79"/>
      <c r="K458" s="80"/>
      <c r="L458" s="29"/>
      <c r="M458" s="78">
        <f>M55+M59+M63</f>
        <v>1425.3384000000001</v>
      </c>
      <c r="N458" s="78">
        <f t="shared" ref="N458:P461" si="18">AVERAGE(N55,N59,N63)</f>
        <v>42.879799999999996</v>
      </c>
      <c r="O458" s="78">
        <f t="shared" si="18"/>
        <v>44.544699999999999</v>
      </c>
      <c r="P458" s="78">
        <f t="shared" si="18"/>
        <v>44.335733333333337</v>
      </c>
      <c r="Q458" s="79"/>
      <c r="R458" s="79"/>
      <c r="S458" s="80"/>
      <c r="U458" s="8">
        <f>bdrate($E458:$E461,F458:F461,$M458:$M461,N458:N461)</f>
        <v>1.6779904960340097E-4</v>
      </c>
      <c r="V458" s="9">
        <f>bdrate($E458:$E461,G458:G461,$M458:$M461,O458:O461)</f>
        <v>3.4278630845374636E-4</v>
      </c>
      <c r="W458" s="10">
        <f>bdrate($E458:$E461,H458:H461,$M458:$M461,P458:P461)</f>
        <v>1.6229690139413222E-4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712.6848</v>
      </c>
      <c r="F459" s="70">
        <f t="shared" si="17"/>
        <v>40.641466666666666</v>
      </c>
      <c r="G459" s="70">
        <f t="shared" si="17"/>
        <v>43.622733333333336</v>
      </c>
      <c r="H459" s="70">
        <f t="shared" si="17"/>
        <v>42.850866666666661</v>
      </c>
      <c r="I459" s="66"/>
      <c r="J459" s="66"/>
      <c r="K459" s="67"/>
      <c r="L459" s="29"/>
      <c r="M459" s="70">
        <f>M56+M60+M64</f>
        <v>712.72</v>
      </c>
      <c r="N459" s="70">
        <f t="shared" si="18"/>
        <v>40.642333333333333</v>
      </c>
      <c r="O459" s="70">
        <f t="shared" si="18"/>
        <v>43.6218</v>
      </c>
      <c r="P459" s="70">
        <f t="shared" si="18"/>
        <v>42.850366666666666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395.24559999999997</v>
      </c>
      <c r="F460" s="70">
        <f t="shared" si="17"/>
        <v>38.208033333333333</v>
      </c>
      <c r="G460" s="70">
        <f t="shared" si="17"/>
        <v>42.706499999999998</v>
      </c>
      <c r="H460" s="70">
        <f t="shared" si="17"/>
        <v>41.423300000000005</v>
      </c>
      <c r="I460" s="66"/>
      <c r="J460" s="66"/>
      <c r="K460" s="67"/>
      <c r="L460" s="29"/>
      <c r="M460" s="70">
        <f>M57+M61+M65</f>
        <v>395.59119999999996</v>
      </c>
      <c r="N460" s="70">
        <f t="shared" si="18"/>
        <v>38.208933333333327</v>
      </c>
      <c r="O460" s="70">
        <f t="shared" si="18"/>
        <v>42.707599999999992</v>
      </c>
      <c r="P460" s="70">
        <f t="shared" si="18"/>
        <v>41.426566666666666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230.27759999999998</v>
      </c>
      <c r="F461" s="81">
        <f t="shared" si="17"/>
        <v>35.641266666666667</v>
      </c>
      <c r="G461" s="81">
        <f t="shared" si="17"/>
        <v>41.891399999999997</v>
      </c>
      <c r="H461" s="81">
        <f t="shared" si="17"/>
        <v>40.129133333333336</v>
      </c>
      <c r="I461" s="68"/>
      <c r="J461" s="68"/>
      <c r="K461" s="69"/>
      <c r="L461" s="29"/>
      <c r="M461" s="81">
        <f>M58+M62+M66</f>
        <v>230.20079999999999</v>
      </c>
      <c r="N461" s="81">
        <f t="shared" si="18"/>
        <v>35.641300000000001</v>
      </c>
      <c r="O461" s="81">
        <f t="shared" si="18"/>
        <v>41.892933333333332</v>
      </c>
      <c r="P461" s="81">
        <f t="shared" si="18"/>
        <v>40.125833333333333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1380.8791999999999</v>
      </c>
      <c r="F462" s="78">
        <f t="shared" ref="F462:H465" si="19">AVERAGE(F79,F83,F87)</f>
        <v>43.273900000000005</v>
      </c>
      <c r="G462" s="78">
        <f t="shared" si="19"/>
        <v>47.205433333333332</v>
      </c>
      <c r="H462" s="78">
        <f t="shared" si="19"/>
        <v>46.324566666666669</v>
      </c>
      <c r="I462" s="79"/>
      <c r="J462" s="79"/>
      <c r="K462" s="80"/>
      <c r="L462" s="29"/>
      <c r="M462" s="78">
        <f>M55+M59+M67+M71</f>
        <v>1381.3848</v>
      </c>
      <c r="N462" s="78">
        <f t="shared" ref="N462:P465" si="20">AVERAGE(N79,N83,N87)</f>
        <v>43.271533333333331</v>
      </c>
      <c r="O462" s="78">
        <f t="shared" si="20"/>
        <v>47.201366666666665</v>
      </c>
      <c r="P462" s="78">
        <f t="shared" si="20"/>
        <v>46.319800000000008</v>
      </c>
      <c r="Q462" s="79"/>
      <c r="R462" s="79"/>
      <c r="S462" s="80"/>
      <c r="U462" s="8">
        <f>bdrate($E462:$E465,F462:F465,$M462:$M465,N462:N465)</f>
        <v>-4.9495040626257314E-4</v>
      </c>
      <c r="V462" s="9">
        <f>bdrate($E462:$E465,G462:G465,$M462:$M465,O462:O465)</f>
        <v>-2.2464396955085286E-3</v>
      </c>
      <c r="W462" s="10">
        <f>bdrate($E462:$E465,H462:H465,$M462:$M465,P462:P465)</f>
        <v>2.6282700932123149E-4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668.25279999999998</v>
      </c>
      <c r="F463" s="70">
        <f t="shared" si="19"/>
        <v>40.964733333333335</v>
      </c>
      <c r="G463" s="70">
        <f t="shared" si="19"/>
        <v>46.034533333333336</v>
      </c>
      <c r="H463" s="70">
        <f t="shared" si="19"/>
        <v>44.537599999999998</v>
      </c>
      <c r="I463" s="66"/>
      <c r="J463" s="66"/>
      <c r="K463" s="67"/>
      <c r="L463" s="29"/>
      <c r="M463" s="70">
        <f>M56+M60+M68+M72</f>
        <v>667.86799999999994</v>
      </c>
      <c r="N463" s="70">
        <f t="shared" si="20"/>
        <v>40.968533333333333</v>
      </c>
      <c r="O463" s="70">
        <f t="shared" si="20"/>
        <v>46.045233333333329</v>
      </c>
      <c r="P463" s="70">
        <f t="shared" si="20"/>
        <v>44.536366666666673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364.0736</v>
      </c>
      <c r="F464" s="70">
        <f t="shared" si="19"/>
        <v>38.527033333333343</v>
      </c>
      <c r="G464" s="70">
        <f t="shared" si="19"/>
        <v>44.782999999999994</v>
      </c>
      <c r="H464" s="70">
        <f t="shared" si="19"/>
        <v>42.803500000000007</v>
      </c>
      <c r="I464" s="66"/>
      <c r="J464" s="66"/>
      <c r="K464" s="67"/>
      <c r="L464" s="29"/>
      <c r="M464" s="70">
        <f>M57+M61+M69+M73</f>
        <v>363.99599999999998</v>
      </c>
      <c r="N464" s="70">
        <f t="shared" si="20"/>
        <v>38.527000000000008</v>
      </c>
      <c r="O464" s="70">
        <f t="shared" si="20"/>
        <v>44.786033333333336</v>
      </c>
      <c r="P464" s="70">
        <f t="shared" si="20"/>
        <v>42.804700000000004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210.12319999999997</v>
      </c>
      <c r="F465" s="81">
        <f t="shared" si="19"/>
        <v>35.949233333333332</v>
      </c>
      <c r="G465" s="81">
        <f t="shared" si="19"/>
        <v>43.757866666666665</v>
      </c>
      <c r="H465" s="81">
        <f t="shared" si="19"/>
        <v>41.310633333333335</v>
      </c>
      <c r="I465" s="68"/>
      <c r="J465" s="68"/>
      <c r="K465" s="69"/>
      <c r="L465" s="29"/>
      <c r="M465" s="81">
        <f>M58+M62+M70+M74</f>
        <v>210.15359999999998</v>
      </c>
      <c r="N465" s="81">
        <f t="shared" si="20"/>
        <v>35.948766666666671</v>
      </c>
      <c r="O465" s="81">
        <f t="shared" si="20"/>
        <v>43.749233333333329</v>
      </c>
      <c r="P465" s="81">
        <f t="shared" si="20"/>
        <v>41.305900000000001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1814.8208</v>
      </c>
      <c r="F466" s="78">
        <f t="shared" ref="F466:H469" si="21">AVERAGE(F79,F83,F87,F91,F95,F99)</f>
        <v>43.153916666666667</v>
      </c>
      <c r="G466" s="78">
        <f t="shared" si="21"/>
        <v>47.047316666666667</v>
      </c>
      <c r="H466" s="78">
        <f t="shared" si="21"/>
        <v>46.325166666666668</v>
      </c>
      <c r="I466" s="79"/>
      <c r="J466" s="79"/>
      <c r="K466" s="80"/>
      <c r="L466" s="29"/>
      <c r="M466" s="78">
        <f>M103</f>
        <v>1815.6496</v>
      </c>
      <c r="N466" s="78">
        <f t="shared" ref="N466:P469" si="22">AVERAGE(N79,N83,N87,N91,N95,N99)</f>
        <v>43.149016666666661</v>
      </c>
      <c r="O466" s="78">
        <f t="shared" si="22"/>
        <v>47.046016666666667</v>
      </c>
      <c r="P466" s="78">
        <f t="shared" si="22"/>
        <v>46.321249999999999</v>
      </c>
      <c r="Q466" s="79"/>
      <c r="R466" s="79"/>
      <c r="S466" s="80"/>
      <c r="U466" s="8">
        <f>bdrate($E466:$E469,F466:F469,$M466:$M469,N466:N469)</f>
        <v>1.0600720748477066E-4</v>
      </c>
      <c r="V466" s="9">
        <f>bdrate($E466:$E469,G466:G469,$M466:$M469,O466:O469)</f>
        <v>-8.6237831474955673E-4</v>
      </c>
      <c r="W466" s="10">
        <f>bdrate($E466:$E469,H466:H469,$M466:$M469,P466:P469)</f>
        <v>9.5664800999095689E-5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851.26800000000003</v>
      </c>
      <c r="F467" s="70">
        <f t="shared" si="21"/>
        <v>40.862783333333333</v>
      </c>
      <c r="G467" s="70">
        <f t="shared" si="21"/>
        <v>45.90506666666667</v>
      </c>
      <c r="H467" s="70">
        <f t="shared" si="21"/>
        <v>44.537683333333341</v>
      </c>
      <c r="I467" s="66"/>
      <c r="J467" s="66"/>
      <c r="K467" s="67"/>
      <c r="L467" s="29"/>
      <c r="M467" s="70">
        <f>M104</f>
        <v>851.19039999999995</v>
      </c>
      <c r="N467" s="70">
        <f t="shared" si="22"/>
        <v>40.864866666666664</v>
      </c>
      <c r="O467" s="70">
        <f t="shared" si="22"/>
        <v>45.909733333333328</v>
      </c>
      <c r="P467" s="70">
        <f t="shared" si="22"/>
        <v>44.53776666666667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459.14879999999999</v>
      </c>
      <c r="F468" s="70">
        <f t="shared" si="21"/>
        <v>38.430016666666667</v>
      </c>
      <c r="G468" s="70">
        <f t="shared" si="21"/>
        <v>44.693733333333334</v>
      </c>
      <c r="H468" s="70">
        <f t="shared" si="21"/>
        <v>42.812850000000005</v>
      </c>
      <c r="I468" s="66"/>
      <c r="J468" s="66"/>
      <c r="K468" s="67"/>
      <c r="L468" s="29"/>
      <c r="M468" s="70">
        <f>M105</f>
        <v>459.36720000000003</v>
      </c>
      <c r="N468" s="70">
        <f t="shared" si="22"/>
        <v>38.431466666666672</v>
      </c>
      <c r="O468" s="70">
        <f t="shared" si="22"/>
        <v>44.695433333333334</v>
      </c>
      <c r="P468" s="70">
        <f t="shared" si="22"/>
        <v>42.81635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263.31599999999997</v>
      </c>
      <c r="F469" s="81">
        <f t="shared" si="21"/>
        <v>35.853416666666668</v>
      </c>
      <c r="G469" s="81">
        <f t="shared" si="21"/>
        <v>43.717666666666666</v>
      </c>
      <c r="H469" s="81">
        <f t="shared" si="21"/>
        <v>41.296766666666663</v>
      </c>
      <c r="I469" s="68"/>
      <c r="J469" s="68"/>
      <c r="K469" s="69"/>
      <c r="L469" s="29"/>
      <c r="M469" s="81">
        <f>M106</f>
        <v>263.32159999999999</v>
      </c>
      <c r="N469" s="81">
        <f t="shared" si="22"/>
        <v>35.852233333333338</v>
      </c>
      <c r="O469" s="81">
        <f t="shared" si="22"/>
        <v>43.714166666666664</v>
      </c>
      <c r="P469" s="81">
        <f t="shared" si="22"/>
        <v>41.293883333333333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23">E462</f>
        <v>1380.8791999999999</v>
      </c>
      <c r="F470" s="78">
        <f t="shared" ref="F470:H473" si="24">AVERAGE(F55,F59,F79,F83,F87)</f>
        <v>43.225439999999992</v>
      </c>
      <c r="G470" s="78">
        <f t="shared" si="24"/>
        <v>46.260920000000006</v>
      </c>
      <c r="H470" s="78">
        <f t="shared" si="24"/>
        <v>45.615859999999998</v>
      </c>
      <c r="I470" s="79"/>
      <c r="J470" s="79"/>
      <c r="K470" s="80"/>
      <c r="L470" s="29"/>
      <c r="M470" s="78">
        <f t="shared" ref="M470:M477" si="25">M462</f>
        <v>1381.3848</v>
      </c>
      <c r="N470" s="78">
        <f t="shared" ref="N470:P473" si="26">AVERAGE(N55,N59,N79,N83,N87)</f>
        <v>43.223699999999994</v>
      </c>
      <c r="O470" s="78">
        <f t="shared" si="26"/>
        <v>46.258519999999997</v>
      </c>
      <c r="P470" s="78">
        <f t="shared" si="26"/>
        <v>45.611960000000003</v>
      </c>
      <c r="Q470" s="79"/>
      <c r="R470" s="79"/>
      <c r="S470" s="80"/>
      <c r="U470" s="8">
        <f>bdrate($E470:$E473,F470:F473,$M470:$M473,N470:N473)</f>
        <v>-4.0910091199009013E-4</v>
      </c>
      <c r="V470" s="9">
        <f>bdrate($E470:$E473,G470:G473,$M470:$M473,O470:O473)</f>
        <v>-1.8362938256435424E-3</v>
      </c>
      <c r="W470" s="10">
        <f>bdrate($E470:$E473,H470:H473,$M470:$M473,P470:P473)</f>
        <v>1.0658669452068281E-4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23"/>
        <v>668.25279999999998</v>
      </c>
      <c r="F471" s="70">
        <f t="shared" si="24"/>
        <v>40.939679999999996</v>
      </c>
      <c r="G471" s="70">
        <f t="shared" si="24"/>
        <v>45.202080000000002</v>
      </c>
      <c r="H471" s="70">
        <f t="shared" si="24"/>
        <v>43.94294</v>
      </c>
      <c r="I471" s="66"/>
      <c r="J471" s="66"/>
      <c r="K471" s="67"/>
      <c r="L471" s="29"/>
      <c r="M471" s="70">
        <f t="shared" si="25"/>
        <v>667.86799999999994</v>
      </c>
      <c r="N471" s="70">
        <f t="shared" si="26"/>
        <v>40.941899999999997</v>
      </c>
      <c r="O471" s="70">
        <f t="shared" si="26"/>
        <v>45.208879999999994</v>
      </c>
      <c r="P471" s="70">
        <f t="shared" si="26"/>
        <v>43.942120000000003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23"/>
        <v>364.0736</v>
      </c>
      <c r="F472" s="70">
        <f t="shared" si="24"/>
        <v>38.492800000000003</v>
      </c>
      <c r="G472" s="70">
        <f t="shared" si="24"/>
        <v>44.061539999999994</v>
      </c>
      <c r="H472" s="70">
        <f t="shared" si="24"/>
        <v>42.297840000000001</v>
      </c>
      <c r="I472" s="66"/>
      <c r="J472" s="66"/>
      <c r="K472" s="67"/>
      <c r="L472" s="29"/>
      <c r="M472" s="70">
        <f t="shared" si="25"/>
        <v>363.99599999999998</v>
      </c>
      <c r="N472" s="70">
        <f t="shared" si="26"/>
        <v>38.493200000000002</v>
      </c>
      <c r="O472" s="70">
        <f t="shared" si="26"/>
        <v>44.064399999999999</v>
      </c>
      <c r="P472" s="70">
        <f t="shared" si="26"/>
        <v>42.299120000000002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23"/>
        <v>210.12319999999997</v>
      </c>
      <c r="F473" s="81">
        <f t="shared" si="24"/>
        <v>35.907580000000003</v>
      </c>
      <c r="G473" s="81">
        <f t="shared" si="24"/>
        <v>43.103099999999998</v>
      </c>
      <c r="H473" s="81">
        <f t="shared" si="24"/>
        <v>40.872959999999999</v>
      </c>
      <c r="I473" s="68"/>
      <c r="J473" s="68"/>
      <c r="K473" s="69"/>
      <c r="L473" s="29"/>
      <c r="M473" s="81">
        <f t="shared" si="25"/>
        <v>210.15359999999998</v>
      </c>
      <c r="N473" s="81">
        <f t="shared" si="26"/>
        <v>35.907419999999995</v>
      </c>
      <c r="O473" s="81">
        <f t="shared" si="26"/>
        <v>43.097639999999998</v>
      </c>
      <c r="P473" s="81">
        <f t="shared" si="26"/>
        <v>40.869520000000001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23"/>
        <v>1814.8208</v>
      </c>
      <c r="F474" s="78">
        <f t="shared" ref="F474:H477" si="27">AVERAGE(F55,F59,F63,F79,F83,F87,F91,F95,F99)</f>
        <v>43.062588888888882</v>
      </c>
      <c r="G474" s="78">
        <f t="shared" si="27"/>
        <v>46.213600000000007</v>
      </c>
      <c r="H474" s="78">
        <f t="shared" si="27"/>
        <v>45.662511111111115</v>
      </c>
      <c r="I474" s="79"/>
      <c r="J474" s="79"/>
      <c r="K474" s="80"/>
      <c r="L474" s="29"/>
      <c r="M474" s="78">
        <f t="shared" si="25"/>
        <v>1815.6496</v>
      </c>
      <c r="N474" s="78">
        <f t="shared" ref="N474:P477" si="28">AVERAGE(N55,N59,N63,N79,N83,N87,N91,N95,N99)</f>
        <v>43.05927777777778</v>
      </c>
      <c r="O474" s="78">
        <f t="shared" si="28"/>
        <v>46.212244444444444</v>
      </c>
      <c r="P474" s="78">
        <f t="shared" si="28"/>
        <v>45.659411111111112</v>
      </c>
      <c r="Q474" s="79"/>
      <c r="R474" s="79"/>
      <c r="S474" s="80"/>
      <c r="U474" s="8">
        <f>bdrate($E474:$E477,F474:F477,$M474:$M477,N474:N477)</f>
        <v>8.5830155500898897E-5</v>
      </c>
      <c r="V474" s="9">
        <f>bdrate($E474:$E477,G474:G477,$M474:$M477,O474:O477)</f>
        <v>-5.4667644619987854E-4</v>
      </c>
      <c r="W474" s="10">
        <f>bdrate($E474:$E477,H474:H477,$M474:$M477,P474:P477)</f>
        <v>8.4902427516908574E-5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23"/>
        <v>851.26800000000003</v>
      </c>
      <c r="F475" s="70">
        <f t="shared" si="27"/>
        <v>40.789011111111115</v>
      </c>
      <c r="G475" s="70">
        <f t="shared" si="27"/>
        <v>45.144288888888894</v>
      </c>
      <c r="H475" s="70">
        <f t="shared" si="27"/>
        <v>43.975411111111107</v>
      </c>
      <c r="I475" s="66"/>
      <c r="J475" s="66"/>
      <c r="K475" s="67"/>
      <c r="L475" s="29"/>
      <c r="M475" s="70">
        <f t="shared" si="25"/>
        <v>851.19039999999995</v>
      </c>
      <c r="N475" s="70">
        <f t="shared" si="28"/>
        <v>40.790688888888887</v>
      </c>
      <c r="O475" s="70">
        <f t="shared" si="28"/>
        <v>45.147088888888888</v>
      </c>
      <c r="P475" s="70">
        <f t="shared" si="28"/>
        <v>43.975300000000004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23"/>
        <v>459.14879999999999</v>
      </c>
      <c r="F476" s="70">
        <f t="shared" si="27"/>
        <v>38.356022222222222</v>
      </c>
      <c r="G476" s="70">
        <f t="shared" si="27"/>
        <v>44.031322222222215</v>
      </c>
      <c r="H476" s="70">
        <f t="shared" si="27"/>
        <v>42.349666666666671</v>
      </c>
      <c r="I476" s="66"/>
      <c r="J476" s="66"/>
      <c r="K476" s="67"/>
      <c r="L476" s="29"/>
      <c r="M476" s="70">
        <f t="shared" si="25"/>
        <v>459.36720000000003</v>
      </c>
      <c r="N476" s="70">
        <f t="shared" si="28"/>
        <v>38.357288888888888</v>
      </c>
      <c r="O476" s="70">
        <f t="shared" si="28"/>
        <v>44.032822222222222</v>
      </c>
      <c r="P476" s="70">
        <f t="shared" si="28"/>
        <v>42.353088888888891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23"/>
        <v>263.31599999999997</v>
      </c>
      <c r="F477" s="81">
        <f t="shared" si="27"/>
        <v>35.782699999999998</v>
      </c>
      <c r="G477" s="81">
        <f t="shared" si="27"/>
        <v>43.108911111111105</v>
      </c>
      <c r="H477" s="81">
        <f t="shared" si="27"/>
        <v>40.907555555555554</v>
      </c>
      <c r="I477" s="68"/>
      <c r="J477" s="68"/>
      <c r="K477" s="69"/>
      <c r="L477" s="29"/>
      <c r="M477" s="81">
        <f t="shared" si="25"/>
        <v>263.32159999999999</v>
      </c>
      <c r="N477" s="81">
        <f t="shared" si="28"/>
        <v>35.781922222222221</v>
      </c>
      <c r="O477" s="81">
        <f t="shared" si="28"/>
        <v>43.107088888888889</v>
      </c>
      <c r="P477" s="81">
        <f t="shared" si="28"/>
        <v>40.904533333333326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1261.6904</v>
      </c>
      <c r="F478" s="78">
        <f t="shared" ref="F478:H481" si="29">AVERAGE(F107,F111)</f>
        <v>40.829149999999998</v>
      </c>
      <c r="G478" s="78">
        <f t="shared" si="29"/>
        <v>43.552549999999997</v>
      </c>
      <c r="H478" s="78">
        <f t="shared" si="29"/>
        <v>43.64385</v>
      </c>
      <c r="I478" s="79"/>
      <c r="J478" s="79"/>
      <c r="K478" s="80"/>
      <c r="L478" s="29"/>
      <c r="M478" s="82">
        <f>M107+M111</f>
        <v>1261.5183999999999</v>
      </c>
      <c r="N478" s="78">
        <f t="shared" ref="N478:P481" si="30">AVERAGE(N107,N111)</f>
        <v>40.829750000000004</v>
      </c>
      <c r="O478" s="78">
        <f t="shared" si="30"/>
        <v>43.548900000000003</v>
      </c>
      <c r="P478" s="78">
        <f t="shared" si="30"/>
        <v>43.643000000000001</v>
      </c>
      <c r="Q478" s="79"/>
      <c r="R478" s="79"/>
      <c r="S478" s="80"/>
      <c r="U478" s="8">
        <f>bdrate($E478:$E481,F478:F481,$M478:$M481,N478:N481)</f>
        <v>6.0403690711474667E-5</v>
      </c>
      <c r="V478" s="9">
        <f>bdrate($E478:$E481,G478:G481,$M478:$M481,O478:O481)</f>
        <v>-3.1652443099006167E-4</v>
      </c>
      <c r="W478" s="10">
        <f>bdrate($E478:$E481,H478:H481,$M478:$M481,P478:P481)</f>
        <v>-6.6441950617224244E-5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634.4008</v>
      </c>
      <c r="F479" s="70">
        <f t="shared" si="29"/>
        <v>38.480800000000002</v>
      </c>
      <c r="G479" s="70">
        <f t="shared" si="29"/>
        <v>41.913699999999999</v>
      </c>
      <c r="H479" s="70">
        <f t="shared" si="29"/>
        <v>41.9998</v>
      </c>
      <c r="I479" s="66"/>
      <c r="J479" s="66"/>
      <c r="K479" s="67"/>
      <c r="L479" s="29"/>
      <c r="M479" s="83">
        <f>M108+M112</f>
        <v>634.45119999999997</v>
      </c>
      <c r="N479" s="70">
        <f t="shared" si="30"/>
        <v>38.480000000000004</v>
      </c>
      <c r="O479" s="70">
        <f t="shared" si="30"/>
        <v>41.917299999999997</v>
      </c>
      <c r="P479" s="70">
        <f t="shared" si="30"/>
        <v>42.002299999999998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342.93439999999998</v>
      </c>
      <c r="F480" s="70">
        <f t="shared" si="29"/>
        <v>35.988149999999997</v>
      </c>
      <c r="G480" s="70">
        <f t="shared" si="29"/>
        <v>40.395200000000003</v>
      </c>
      <c r="H480" s="70">
        <f t="shared" si="29"/>
        <v>40.379350000000002</v>
      </c>
      <c r="I480" s="66"/>
      <c r="J480" s="66"/>
      <c r="K480" s="67"/>
      <c r="L480" s="29"/>
      <c r="M480" s="83">
        <f>M109+M113</f>
        <v>343.05439999999999</v>
      </c>
      <c r="N480" s="70">
        <f t="shared" si="30"/>
        <v>35.989099999999993</v>
      </c>
      <c r="O480" s="70">
        <f t="shared" si="30"/>
        <v>40.396450000000002</v>
      </c>
      <c r="P480" s="70">
        <f t="shared" si="30"/>
        <v>40.379649999999998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196.60399999999998</v>
      </c>
      <c r="F481" s="81">
        <f t="shared" si="29"/>
        <v>33.496250000000003</v>
      </c>
      <c r="G481" s="81">
        <f t="shared" si="29"/>
        <v>39.232599999999998</v>
      </c>
      <c r="H481" s="81">
        <f t="shared" si="29"/>
        <v>39.168400000000005</v>
      </c>
      <c r="I481" s="68"/>
      <c r="J481" s="68"/>
      <c r="K481" s="69"/>
      <c r="L481" s="29"/>
      <c r="M481" s="84">
        <f>M110+M114</f>
        <v>196.5872</v>
      </c>
      <c r="N481" s="81">
        <f t="shared" si="30"/>
        <v>33.498000000000005</v>
      </c>
      <c r="O481" s="81">
        <f t="shared" si="30"/>
        <v>39.229550000000003</v>
      </c>
      <c r="P481" s="81">
        <f t="shared" si="30"/>
        <v>39.163849999999996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1617.2624000000001</v>
      </c>
      <c r="F482" s="78">
        <f t="shared" ref="F482:H485" si="31">AVERAGE(F107,F111,F115)</f>
        <v>40.520400000000002</v>
      </c>
      <c r="G482" s="78">
        <f t="shared" si="31"/>
        <v>43.320766666666664</v>
      </c>
      <c r="H482" s="78">
        <f t="shared" si="31"/>
        <v>43.347900000000003</v>
      </c>
      <c r="I482" s="79"/>
      <c r="J482" s="79"/>
      <c r="K482" s="80"/>
      <c r="L482" s="29"/>
      <c r="M482" s="78">
        <f>M107+M111+M115</f>
        <v>1617.136</v>
      </c>
      <c r="N482" s="78">
        <f t="shared" ref="N482:P485" si="32">AVERAGE(N107,N111,N115)</f>
        <v>40.520800000000001</v>
      </c>
      <c r="O482" s="78">
        <f t="shared" si="32"/>
        <v>43.319233333333337</v>
      </c>
      <c r="P482" s="78">
        <f t="shared" si="32"/>
        <v>43.345566666666663</v>
      </c>
      <c r="Q482" s="79"/>
      <c r="R482" s="79"/>
      <c r="S482" s="80"/>
      <c r="U482" s="8">
        <f>bdrate($E482:$E485,F482:F485,$M482:$M485,N482:N485)</f>
        <v>9.8267033930454772E-5</v>
      </c>
      <c r="V482" s="9">
        <f>bdrate($E482:$E485,G482:G485,$M482:$M485,O482:O485)</f>
        <v>-2.315128767982344E-4</v>
      </c>
      <c r="W482" s="10">
        <f>bdrate($E482:$E485,H482:H485,$M482:$M485,P482:P485)</f>
        <v>5.3404354028341317E-5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789.26400000000001</v>
      </c>
      <c r="F483" s="70">
        <f t="shared" si="31"/>
        <v>38.162200000000006</v>
      </c>
      <c r="G483" s="70">
        <f t="shared" si="31"/>
        <v>41.732300000000002</v>
      </c>
      <c r="H483" s="70">
        <f t="shared" si="31"/>
        <v>41.703966666666666</v>
      </c>
      <c r="I483" s="66"/>
      <c r="J483" s="66"/>
      <c r="K483" s="67"/>
      <c r="L483" s="29"/>
      <c r="M483" s="70">
        <f>M108+M112+M116</f>
        <v>789.17039999999997</v>
      </c>
      <c r="N483" s="70">
        <f t="shared" si="32"/>
        <v>38.160400000000003</v>
      </c>
      <c r="O483" s="70">
        <f t="shared" si="32"/>
        <v>41.73383333333333</v>
      </c>
      <c r="P483" s="70">
        <f t="shared" si="32"/>
        <v>41.703399999999995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421.7808</v>
      </c>
      <c r="F484" s="70">
        <f t="shared" si="31"/>
        <v>35.682066666666664</v>
      </c>
      <c r="G484" s="70">
        <f t="shared" si="31"/>
        <v>40.292133333333332</v>
      </c>
      <c r="H484" s="70">
        <f t="shared" si="31"/>
        <v>40.141866666666665</v>
      </c>
      <c r="I484" s="66"/>
      <c r="J484" s="66"/>
      <c r="K484" s="67"/>
      <c r="L484" s="29"/>
      <c r="M484" s="70">
        <f>M109+M113+M117</f>
        <v>421.9624</v>
      </c>
      <c r="N484" s="70">
        <f t="shared" si="32"/>
        <v>35.683299999999996</v>
      </c>
      <c r="O484" s="70">
        <f t="shared" si="32"/>
        <v>40.293866666666666</v>
      </c>
      <c r="P484" s="70">
        <f t="shared" si="32"/>
        <v>40.144833333333331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239.19839999999999</v>
      </c>
      <c r="F485" s="81">
        <f t="shared" si="31"/>
        <v>33.184000000000005</v>
      </c>
      <c r="G485" s="81">
        <f t="shared" si="31"/>
        <v>39.181566666666669</v>
      </c>
      <c r="H485" s="81">
        <f t="shared" si="31"/>
        <v>38.9724</v>
      </c>
      <c r="I485" s="68"/>
      <c r="J485" s="68"/>
      <c r="K485" s="69"/>
      <c r="L485" s="29"/>
      <c r="M485" s="81">
        <f>M110+M114+M118</f>
        <v>239.12719999999999</v>
      </c>
      <c r="N485" s="81">
        <f t="shared" si="32"/>
        <v>33.185100000000006</v>
      </c>
      <c r="O485" s="81">
        <f t="shared" si="32"/>
        <v>39.178266666666666</v>
      </c>
      <c r="P485" s="81">
        <f t="shared" si="32"/>
        <v>38.968733333333326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1573.0208</v>
      </c>
      <c r="F486" s="78">
        <f t="shared" ref="F486:H489" si="33">AVERAGE(F131,F135,F139)</f>
        <v>40.363666666666667</v>
      </c>
      <c r="G486" s="78">
        <f t="shared" si="33"/>
        <v>45.790699999999994</v>
      </c>
      <c r="H486" s="78">
        <f t="shared" si="33"/>
        <v>45.897500000000001</v>
      </c>
      <c r="I486" s="79"/>
      <c r="J486" s="79"/>
      <c r="K486" s="80"/>
      <c r="L486" s="29"/>
      <c r="M486" s="78">
        <f>M107+M111+M119+M123</f>
        <v>1573.2008000000001</v>
      </c>
      <c r="N486" s="78">
        <f t="shared" ref="N486:P489" si="34">AVERAGE(N131,N135,N139)</f>
        <v>40.364766666666661</v>
      </c>
      <c r="O486" s="78">
        <f t="shared" si="34"/>
        <v>45.786000000000001</v>
      </c>
      <c r="P486" s="78">
        <f t="shared" si="34"/>
        <v>45.897533333333335</v>
      </c>
      <c r="Q486" s="79"/>
      <c r="R486" s="79"/>
      <c r="S486" s="80"/>
      <c r="U486" s="8">
        <f>bdrate($E486:$E489,F486:F489,$M486:$M489,N486:N489)</f>
        <v>-4.4706980298026E-4</v>
      </c>
      <c r="V486" s="9">
        <f>bdrate($E486:$E489,G486:G489,$M486:$M489,O486:O489)</f>
        <v>-7.9022799704175917E-4</v>
      </c>
      <c r="W486" s="10">
        <f>bdrate($E486:$E489,H486:H489,$M486:$M489,P486:P489)</f>
        <v>-3.7887683833492947E-4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744.81920000000002</v>
      </c>
      <c r="F487" s="70">
        <f t="shared" si="33"/>
        <v>38.157999999999994</v>
      </c>
      <c r="G487" s="70">
        <f t="shared" si="33"/>
        <v>43.995933333333333</v>
      </c>
      <c r="H487" s="70">
        <f t="shared" si="33"/>
        <v>44.039866666666661</v>
      </c>
      <c r="I487" s="66"/>
      <c r="J487" s="66"/>
      <c r="K487" s="67"/>
      <c r="L487" s="29"/>
      <c r="M487" s="70">
        <f>M108+M112+M120+M124</f>
        <v>744.72640000000001</v>
      </c>
      <c r="N487" s="70">
        <f t="shared" si="34"/>
        <v>38.15956666666667</v>
      </c>
      <c r="O487" s="70">
        <f t="shared" si="34"/>
        <v>44.00116666666667</v>
      </c>
      <c r="P487" s="70">
        <f t="shared" si="34"/>
        <v>44.039066666666663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390.46</v>
      </c>
      <c r="F488" s="70">
        <f t="shared" si="33"/>
        <v>35.80296666666667</v>
      </c>
      <c r="G488" s="70">
        <f t="shared" si="33"/>
        <v>42.209666666666671</v>
      </c>
      <c r="H488" s="70">
        <f t="shared" si="33"/>
        <v>42.116833333333339</v>
      </c>
      <c r="I488" s="66"/>
      <c r="J488" s="66"/>
      <c r="K488" s="67"/>
      <c r="L488" s="29"/>
      <c r="M488" s="70">
        <f>M109+M113+M121+M125</f>
        <v>390.58239999999995</v>
      </c>
      <c r="N488" s="70">
        <f t="shared" si="34"/>
        <v>35.805299999999995</v>
      </c>
      <c r="O488" s="70">
        <f t="shared" si="34"/>
        <v>42.214633333333332</v>
      </c>
      <c r="P488" s="70">
        <f t="shared" si="34"/>
        <v>42.123433333333331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218.24799999999996</v>
      </c>
      <c r="F489" s="81">
        <f t="shared" si="33"/>
        <v>33.362933333333331</v>
      </c>
      <c r="G489" s="81">
        <f t="shared" si="33"/>
        <v>40.75653333333333</v>
      </c>
      <c r="H489" s="81">
        <f t="shared" si="33"/>
        <v>40.6633</v>
      </c>
      <c r="I489" s="68"/>
      <c r="J489" s="68"/>
      <c r="K489" s="69"/>
      <c r="L489" s="29"/>
      <c r="M489" s="81">
        <f>M110+M114+M122+M126</f>
        <v>218.24239999999998</v>
      </c>
      <c r="N489" s="81">
        <f t="shared" si="34"/>
        <v>33.365766666666666</v>
      </c>
      <c r="O489" s="81">
        <f t="shared" si="34"/>
        <v>40.748699999999999</v>
      </c>
      <c r="P489" s="81">
        <f t="shared" si="34"/>
        <v>40.656966666666669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2045.5583999999999</v>
      </c>
      <c r="F490" s="78">
        <f t="shared" ref="F490:H493" si="35">AVERAGE(F131,F135,F139,F143,F147,F151)</f>
        <v>40.349750000000007</v>
      </c>
      <c r="G490" s="78">
        <f t="shared" si="35"/>
        <v>45.697816666666661</v>
      </c>
      <c r="H490" s="78">
        <f t="shared" si="35"/>
        <v>45.754533333333335</v>
      </c>
      <c r="I490" s="79"/>
      <c r="J490" s="79"/>
      <c r="K490" s="80"/>
      <c r="L490" s="29"/>
      <c r="M490" s="78">
        <f>M155</f>
        <v>2045.9703999999999</v>
      </c>
      <c r="N490" s="78">
        <f t="shared" ref="N490:P493" si="36">AVERAGE(N131,N135,N139,N143,N147,N151)</f>
        <v>40.351916666666668</v>
      </c>
      <c r="O490" s="78">
        <f t="shared" si="36"/>
        <v>45.696433333333324</v>
      </c>
      <c r="P490" s="78">
        <f t="shared" si="36"/>
        <v>45.754566666666669</v>
      </c>
      <c r="Q490" s="79"/>
      <c r="R490" s="79"/>
      <c r="S490" s="80"/>
      <c r="U490" s="8">
        <f>bdrate($E490:$E493,F490:F493,$M490:$M493,N490:N493)</f>
        <v>-5.8858347179668868E-4</v>
      </c>
      <c r="V490" s="9">
        <f>bdrate($E490:$E493,G490:G493,$M490:$M493,O490:O493)</f>
        <v>-2.8665382031844988E-4</v>
      </c>
      <c r="W490" s="10">
        <f>bdrate($E490:$E493,H490:H493,$M490:$M493,P490:P493)</f>
        <v>-4.0959898669112871E-4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942.09280000000001</v>
      </c>
      <c r="F491" s="70">
        <f t="shared" si="35"/>
        <v>38.088633333333334</v>
      </c>
      <c r="G491" s="70">
        <f t="shared" si="35"/>
        <v>43.913016666666664</v>
      </c>
      <c r="H491" s="70">
        <f t="shared" si="35"/>
        <v>43.869149999999998</v>
      </c>
      <c r="I491" s="66"/>
      <c r="J491" s="66"/>
      <c r="K491" s="67"/>
      <c r="L491" s="29"/>
      <c r="M491" s="70">
        <f>M156</f>
        <v>942.19759999999997</v>
      </c>
      <c r="N491" s="70">
        <f t="shared" si="36"/>
        <v>38.089750000000002</v>
      </c>
      <c r="O491" s="70">
        <f t="shared" si="36"/>
        <v>43.914200000000001</v>
      </c>
      <c r="P491" s="70">
        <f t="shared" si="36"/>
        <v>43.865900000000003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491.27120000000002</v>
      </c>
      <c r="F492" s="70">
        <f t="shared" si="35"/>
        <v>35.704250000000002</v>
      </c>
      <c r="G492" s="70">
        <f t="shared" si="35"/>
        <v>42.134466666666661</v>
      </c>
      <c r="H492" s="70">
        <f t="shared" si="35"/>
        <v>41.918599999999998</v>
      </c>
      <c r="I492" s="66"/>
      <c r="J492" s="66"/>
      <c r="K492" s="67"/>
      <c r="L492" s="29"/>
      <c r="M492" s="70">
        <f>M157</f>
        <v>491.392</v>
      </c>
      <c r="N492" s="70">
        <f t="shared" si="36"/>
        <v>35.709316666666666</v>
      </c>
      <c r="O492" s="70">
        <f t="shared" si="36"/>
        <v>42.138199999999998</v>
      </c>
      <c r="P492" s="70">
        <f t="shared" si="36"/>
        <v>41.926799999999993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274.30079999999998</v>
      </c>
      <c r="F493" s="81">
        <f t="shared" si="35"/>
        <v>33.239949999999993</v>
      </c>
      <c r="G493" s="81">
        <f t="shared" si="35"/>
        <v>40.714033333333333</v>
      </c>
      <c r="H493" s="81">
        <f t="shared" si="35"/>
        <v>40.468616666666669</v>
      </c>
      <c r="I493" s="68"/>
      <c r="J493" s="68"/>
      <c r="K493" s="69"/>
      <c r="L493" s="29"/>
      <c r="M493" s="81">
        <f>M158</f>
        <v>274.24720000000002</v>
      </c>
      <c r="N493" s="81">
        <f t="shared" si="36"/>
        <v>33.240050000000004</v>
      </c>
      <c r="O493" s="81">
        <f t="shared" si="36"/>
        <v>40.709983333333334</v>
      </c>
      <c r="P493" s="81">
        <f t="shared" si="36"/>
        <v>40.468966666666667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37">E486</f>
        <v>1573.0208</v>
      </c>
      <c r="F494" s="78">
        <f t="shared" ref="F494:H497" si="38">AVERAGE(F107,F111,F131,F135,F139)</f>
        <v>40.549859999999995</v>
      </c>
      <c r="G494" s="78">
        <f t="shared" si="38"/>
        <v>44.895440000000001</v>
      </c>
      <c r="H494" s="78">
        <f t="shared" si="38"/>
        <v>44.996040000000001</v>
      </c>
      <c r="I494" s="79"/>
      <c r="J494" s="79"/>
      <c r="K494" s="80"/>
      <c r="L494" s="29"/>
      <c r="M494" s="78">
        <f t="shared" ref="M494:M501" si="39">M486</f>
        <v>1573.2008000000001</v>
      </c>
      <c r="N494" s="78">
        <f t="shared" ref="N494:P497" si="40">AVERAGE(N107,N111,N131,N135,N139)</f>
        <v>40.550760000000004</v>
      </c>
      <c r="O494" s="78">
        <f t="shared" si="40"/>
        <v>44.891159999999999</v>
      </c>
      <c r="P494" s="78">
        <f t="shared" si="40"/>
        <v>44.995720000000006</v>
      </c>
      <c r="Q494" s="79"/>
      <c r="R494" s="79"/>
      <c r="S494" s="80"/>
      <c r="U494" s="8">
        <f>bdrate($E494:$E497,F494:F497,$M494:$M497,N494:N497)</f>
        <v>-2.6096196031666352E-4</v>
      </c>
      <c r="V494" s="9">
        <f>bdrate($E494:$E497,G494:G497,$M494:$M497,O494:O497)</f>
        <v>-6.4457380180082957E-4</v>
      </c>
      <c r="W494" s="10">
        <f>bdrate($E494:$E497,H494:H497,$M494:$M497,P494:P497)</f>
        <v>-2.89660997336183E-4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37"/>
        <v>744.81920000000002</v>
      </c>
      <c r="F495" s="70">
        <f t="shared" si="38"/>
        <v>38.287120000000002</v>
      </c>
      <c r="G495" s="70">
        <f t="shared" si="38"/>
        <v>43.163040000000002</v>
      </c>
      <c r="H495" s="70">
        <f t="shared" si="38"/>
        <v>43.223839999999996</v>
      </c>
      <c r="I495" s="66"/>
      <c r="J495" s="66"/>
      <c r="K495" s="67"/>
      <c r="L495" s="29"/>
      <c r="M495" s="70">
        <f t="shared" si="39"/>
        <v>744.72640000000001</v>
      </c>
      <c r="N495" s="70">
        <f t="shared" si="40"/>
        <v>38.287739999999999</v>
      </c>
      <c r="O495" s="70">
        <f t="shared" si="40"/>
        <v>43.167619999999999</v>
      </c>
      <c r="P495" s="70">
        <f t="shared" si="40"/>
        <v>43.224359999999997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37"/>
        <v>390.46</v>
      </c>
      <c r="F496" s="70">
        <f t="shared" si="38"/>
        <v>35.877040000000001</v>
      </c>
      <c r="G496" s="70">
        <f t="shared" si="38"/>
        <v>41.483879999999999</v>
      </c>
      <c r="H496" s="70">
        <f t="shared" si="38"/>
        <v>41.421840000000003</v>
      </c>
      <c r="I496" s="66"/>
      <c r="J496" s="66"/>
      <c r="K496" s="67"/>
      <c r="L496" s="29"/>
      <c r="M496" s="70">
        <f t="shared" si="39"/>
        <v>390.58239999999995</v>
      </c>
      <c r="N496" s="70">
        <f t="shared" si="40"/>
        <v>35.878819999999997</v>
      </c>
      <c r="O496" s="70">
        <f t="shared" si="40"/>
        <v>41.487360000000002</v>
      </c>
      <c r="P496" s="70">
        <f t="shared" si="40"/>
        <v>41.425919999999998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37"/>
        <v>218.24799999999996</v>
      </c>
      <c r="F497" s="81">
        <f t="shared" si="38"/>
        <v>33.416260000000001</v>
      </c>
      <c r="G497" s="81">
        <f t="shared" si="38"/>
        <v>40.146959999999993</v>
      </c>
      <c r="H497" s="81">
        <f t="shared" si="38"/>
        <v>40.065340000000006</v>
      </c>
      <c r="I497" s="68"/>
      <c r="J497" s="68"/>
      <c r="K497" s="69"/>
      <c r="L497" s="29"/>
      <c r="M497" s="81">
        <f t="shared" si="39"/>
        <v>218.24239999999998</v>
      </c>
      <c r="N497" s="81">
        <f t="shared" si="40"/>
        <v>33.418660000000003</v>
      </c>
      <c r="O497" s="81">
        <f t="shared" si="40"/>
        <v>40.141039999999997</v>
      </c>
      <c r="P497" s="81">
        <f t="shared" si="40"/>
        <v>40.059719999999992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37"/>
        <v>2045.5583999999999</v>
      </c>
      <c r="F498" s="78">
        <f t="shared" ref="F498:H501" si="41">AVERAGE(F107,F111,F115,F131,F135,F139,F143,F147,F151)</f>
        <v>40.406633333333325</v>
      </c>
      <c r="G498" s="78">
        <f t="shared" si="41"/>
        <v>44.905466666666669</v>
      </c>
      <c r="H498" s="78">
        <f t="shared" si="41"/>
        <v>44.952322222222229</v>
      </c>
      <c r="I498" s="79"/>
      <c r="J498" s="79"/>
      <c r="K498" s="80"/>
      <c r="L498" s="29"/>
      <c r="M498" s="78">
        <f t="shared" si="39"/>
        <v>2045.9703999999999</v>
      </c>
      <c r="N498" s="78">
        <f t="shared" ref="N498:P501" si="42">AVERAGE(N107,N111,N115,N131,N135,N139,N143,N147,N151)</f>
        <v>40.408211111111108</v>
      </c>
      <c r="O498" s="78">
        <f t="shared" si="42"/>
        <v>44.904033333333331</v>
      </c>
      <c r="P498" s="78">
        <f t="shared" si="42"/>
        <v>44.951566666666665</v>
      </c>
      <c r="Q498" s="79"/>
      <c r="R498" s="79"/>
      <c r="S498" s="80"/>
      <c r="U498" s="8">
        <f>bdrate($E498:$E501,F498:F501,$M498:$M501,N498:N501)</f>
        <v>-3.324492658858258E-4</v>
      </c>
      <c r="V498" s="9">
        <f>bdrate($E498:$E501,G498:G501,$M498:$M501,O498:O501)</f>
        <v>-2.4597326290687338E-4</v>
      </c>
      <c r="W498" s="10">
        <f>bdrate($E498:$E501,H498:H501,$M498:$M501,P498:P501)</f>
        <v>-2.4201151893687989E-4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37"/>
        <v>942.09280000000001</v>
      </c>
      <c r="F499" s="70">
        <f t="shared" si="41"/>
        <v>38.113155555555551</v>
      </c>
      <c r="G499" s="70">
        <f t="shared" si="41"/>
        <v>43.18611111111111</v>
      </c>
      <c r="H499" s="70">
        <f t="shared" si="41"/>
        <v>43.147422222222218</v>
      </c>
      <c r="I499" s="66"/>
      <c r="J499" s="66"/>
      <c r="K499" s="67"/>
      <c r="L499" s="29"/>
      <c r="M499" s="70">
        <f t="shared" si="39"/>
        <v>942.19759999999997</v>
      </c>
      <c r="N499" s="70">
        <f t="shared" si="42"/>
        <v>38.113299999999995</v>
      </c>
      <c r="O499" s="70">
        <f t="shared" si="42"/>
        <v>43.187411111111111</v>
      </c>
      <c r="P499" s="70">
        <f t="shared" si="42"/>
        <v>43.145066666666672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37"/>
        <v>491.27120000000002</v>
      </c>
      <c r="F500" s="70">
        <f t="shared" si="41"/>
        <v>35.696855555555565</v>
      </c>
      <c r="G500" s="70">
        <f t="shared" si="41"/>
        <v>41.520355555555554</v>
      </c>
      <c r="H500" s="70">
        <f t="shared" si="41"/>
        <v>41.326355555555558</v>
      </c>
      <c r="I500" s="66"/>
      <c r="J500" s="66"/>
      <c r="K500" s="67"/>
      <c r="L500" s="29"/>
      <c r="M500" s="70">
        <f t="shared" si="39"/>
        <v>491.392</v>
      </c>
      <c r="N500" s="70">
        <f t="shared" si="42"/>
        <v>35.700644444444443</v>
      </c>
      <c r="O500" s="70">
        <f t="shared" si="42"/>
        <v>41.523422222222223</v>
      </c>
      <c r="P500" s="70">
        <f t="shared" si="42"/>
        <v>41.332811111111113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37"/>
        <v>274.30079999999998</v>
      </c>
      <c r="F501" s="81">
        <f t="shared" si="41"/>
        <v>33.221300000000006</v>
      </c>
      <c r="G501" s="81">
        <f t="shared" si="41"/>
        <v>40.203211111111116</v>
      </c>
      <c r="H501" s="81">
        <f t="shared" si="41"/>
        <v>39.969877777777782</v>
      </c>
      <c r="I501" s="68"/>
      <c r="J501" s="68"/>
      <c r="K501" s="69"/>
      <c r="L501" s="29"/>
      <c r="M501" s="81">
        <f t="shared" si="39"/>
        <v>274.24720000000002</v>
      </c>
      <c r="N501" s="81">
        <f t="shared" si="42"/>
        <v>33.221733333333333</v>
      </c>
      <c r="O501" s="81">
        <f t="shared" si="42"/>
        <v>40.199411111111111</v>
      </c>
      <c r="P501" s="81">
        <f t="shared" si="42"/>
        <v>39.968888888888891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4252.8040000000001</v>
      </c>
      <c r="F502" s="78">
        <f t="shared" ref="F502:H505" si="43">AVERAGE(F159,F163)</f>
        <v>39.998350000000002</v>
      </c>
      <c r="G502" s="78">
        <f t="shared" si="43"/>
        <v>45.3934</v>
      </c>
      <c r="H502" s="78">
        <f t="shared" si="43"/>
        <v>46.238150000000005</v>
      </c>
      <c r="I502" s="79"/>
      <c r="J502" s="79"/>
      <c r="K502" s="80"/>
      <c r="L502" s="29"/>
      <c r="M502" s="82">
        <f>M159+M163</f>
        <v>4252.6064000000006</v>
      </c>
      <c r="N502" s="78">
        <f t="shared" ref="N502:P505" si="44">AVERAGE(N159,N163)</f>
        <v>39.9983</v>
      </c>
      <c r="O502" s="78">
        <f t="shared" si="44"/>
        <v>45.39385</v>
      </c>
      <c r="P502" s="78">
        <f t="shared" si="44"/>
        <v>46.237650000000002</v>
      </c>
      <c r="Q502" s="79"/>
      <c r="R502" s="79"/>
      <c r="S502" s="80"/>
      <c r="U502" s="8">
        <f>bdrate($E502:$E505,F502:F505,$M502:$M505,N502:N505)</f>
        <v>6.2595745080828991E-5</v>
      </c>
      <c r="V502" s="9">
        <f>bdrate($E502:$E505,G502:G505,$M502:$M505,O502:O505)</f>
        <v>-5.4456457624363352E-5</v>
      </c>
      <c r="W502" s="10">
        <f>bdrate($E502:$E505,H502:H505,$M502:$M505,P502:P505)</f>
        <v>-2.1204314015421666E-5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1818.4088000000002</v>
      </c>
      <c r="F503" s="70">
        <f t="shared" si="43"/>
        <v>37.647549999999995</v>
      </c>
      <c r="G503" s="70">
        <f t="shared" si="43"/>
        <v>43.609349999999999</v>
      </c>
      <c r="H503" s="70">
        <f t="shared" si="43"/>
        <v>44.429400000000001</v>
      </c>
      <c r="I503" s="66"/>
      <c r="J503" s="66"/>
      <c r="K503" s="67"/>
      <c r="L503" s="29"/>
      <c r="M503" s="83">
        <f>M160+M164</f>
        <v>1818.3992000000001</v>
      </c>
      <c r="N503" s="70">
        <f t="shared" si="44"/>
        <v>37.647350000000003</v>
      </c>
      <c r="O503" s="70">
        <f t="shared" si="44"/>
        <v>43.609049999999996</v>
      </c>
      <c r="P503" s="70">
        <f t="shared" si="44"/>
        <v>44.42915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843.56320000000005</v>
      </c>
      <c r="F504" s="70">
        <f t="shared" si="43"/>
        <v>35.501350000000002</v>
      </c>
      <c r="G504" s="70">
        <f t="shared" si="43"/>
        <v>41.785049999999998</v>
      </c>
      <c r="H504" s="70">
        <f t="shared" si="43"/>
        <v>42.624600000000001</v>
      </c>
      <c r="I504" s="66"/>
      <c r="J504" s="66"/>
      <c r="K504" s="67"/>
      <c r="L504" s="29"/>
      <c r="M504" s="83">
        <f>M161+M165</f>
        <v>843.68880000000001</v>
      </c>
      <c r="N504" s="70">
        <f t="shared" si="44"/>
        <v>35.5015</v>
      </c>
      <c r="O504" s="70">
        <f t="shared" si="44"/>
        <v>41.785899999999998</v>
      </c>
      <c r="P504" s="70">
        <f t="shared" si="44"/>
        <v>42.625500000000002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406.58799999999997</v>
      </c>
      <c r="F505" s="81">
        <f t="shared" si="43"/>
        <v>33.377399999999994</v>
      </c>
      <c r="G505" s="81">
        <f t="shared" si="43"/>
        <v>40.564250000000001</v>
      </c>
      <c r="H505" s="81">
        <f t="shared" si="43"/>
        <v>41.397549999999995</v>
      </c>
      <c r="I505" s="68"/>
      <c r="J505" s="68"/>
      <c r="K505" s="69"/>
      <c r="L505" s="29"/>
      <c r="M505" s="84">
        <f>M162+M166</f>
        <v>406.58159999999998</v>
      </c>
      <c r="N505" s="81">
        <f t="shared" si="44"/>
        <v>33.377200000000002</v>
      </c>
      <c r="O505" s="81">
        <f t="shared" si="44"/>
        <v>40.563900000000004</v>
      </c>
      <c r="P505" s="81">
        <f t="shared" si="44"/>
        <v>41.397449999999999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4819.8024000000005</v>
      </c>
      <c r="F506" s="78">
        <f t="shared" ref="F506:H509" si="45">AVERAGE(F159,F163,F167)</f>
        <v>39.901933333333339</v>
      </c>
      <c r="G506" s="78">
        <f t="shared" si="45"/>
        <v>45.358900000000006</v>
      </c>
      <c r="H506" s="78">
        <f t="shared" si="45"/>
        <v>46.206566666666674</v>
      </c>
      <c r="I506" s="79"/>
      <c r="J506" s="79"/>
      <c r="K506" s="80"/>
      <c r="L506" s="29"/>
      <c r="M506" s="78">
        <f>M159+M163+M167</f>
        <v>4819.9528000000009</v>
      </c>
      <c r="N506" s="78">
        <f t="shared" ref="N506:P509" si="46">AVERAGE(N159,N163,N167)</f>
        <v>39.901900000000005</v>
      </c>
      <c r="O506" s="78">
        <f t="shared" si="46"/>
        <v>45.359200000000008</v>
      </c>
      <c r="P506" s="78">
        <f t="shared" si="46"/>
        <v>46.206466666666671</v>
      </c>
      <c r="Q506" s="79"/>
      <c r="R506" s="79"/>
      <c r="S506" s="80"/>
      <c r="U506" s="8">
        <f>bdrate($E506:$E509,F506:F509,$M506:$M509,N506:N509)</f>
        <v>6.0031148876760199E-5</v>
      </c>
      <c r="V506" s="9">
        <f>bdrate($E506:$E509,G506:G509,$M506:$M509,O506:O509)</f>
        <v>9.4877818638483546E-5</v>
      </c>
      <c r="W506" s="10">
        <f>bdrate($E506:$E509,H506:H509,$M506:$M509,P506:P509)</f>
        <v>3.4638378312301654E-5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2029.4520000000002</v>
      </c>
      <c r="F507" s="70">
        <f t="shared" si="45"/>
        <v>37.574133333333329</v>
      </c>
      <c r="G507" s="70">
        <f t="shared" si="45"/>
        <v>43.58506666666667</v>
      </c>
      <c r="H507" s="70">
        <f t="shared" si="45"/>
        <v>44.409033333333333</v>
      </c>
      <c r="I507" s="66"/>
      <c r="J507" s="66"/>
      <c r="K507" s="67"/>
      <c r="L507" s="29"/>
      <c r="M507" s="70">
        <f>M160+M164+M168</f>
        <v>2029.4536000000001</v>
      </c>
      <c r="N507" s="70">
        <f t="shared" si="46"/>
        <v>37.574400000000004</v>
      </c>
      <c r="O507" s="70">
        <f t="shared" si="46"/>
        <v>43.584233333333337</v>
      </c>
      <c r="P507" s="70">
        <f t="shared" si="46"/>
        <v>44.408833333333327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935.95440000000008</v>
      </c>
      <c r="F508" s="70">
        <f t="shared" si="45"/>
        <v>35.442399999999999</v>
      </c>
      <c r="G508" s="70">
        <f t="shared" si="45"/>
        <v>41.7699</v>
      </c>
      <c r="H508" s="70">
        <f t="shared" si="45"/>
        <v>42.610500000000002</v>
      </c>
      <c r="I508" s="66"/>
      <c r="J508" s="66"/>
      <c r="K508" s="67"/>
      <c r="L508" s="29"/>
      <c r="M508" s="70">
        <f>M161+M165+M169</f>
        <v>936.14160000000004</v>
      </c>
      <c r="N508" s="70">
        <f t="shared" si="46"/>
        <v>35.442233333333334</v>
      </c>
      <c r="O508" s="70">
        <f t="shared" si="46"/>
        <v>41.770533333333333</v>
      </c>
      <c r="P508" s="70">
        <f t="shared" si="46"/>
        <v>42.610999999999997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451.23599999999999</v>
      </c>
      <c r="F509" s="81">
        <f t="shared" si="45"/>
        <v>33.327433333333325</v>
      </c>
      <c r="G509" s="81">
        <f t="shared" si="45"/>
        <v>40.546199999999999</v>
      </c>
      <c r="H509" s="81">
        <f t="shared" si="45"/>
        <v>41.383166666666661</v>
      </c>
      <c r="I509" s="68"/>
      <c r="J509" s="68"/>
      <c r="K509" s="69"/>
      <c r="L509" s="29"/>
      <c r="M509" s="81">
        <f>M162+M166+M170</f>
        <v>451.14799999999997</v>
      </c>
      <c r="N509" s="81">
        <f t="shared" si="46"/>
        <v>33.326866666666668</v>
      </c>
      <c r="O509" s="81">
        <f t="shared" si="46"/>
        <v>40.546100000000003</v>
      </c>
      <c r="P509" s="81">
        <f t="shared" si="46"/>
        <v>41.382866666666665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4624.1760000000004</v>
      </c>
      <c r="F510" s="78">
        <f t="shared" ref="F510:H513" si="47">AVERAGE(F183,F187,F191)</f>
        <v>39.979233333333333</v>
      </c>
      <c r="G510" s="78">
        <f t="shared" si="47"/>
        <v>46.597200000000008</v>
      </c>
      <c r="H510" s="78">
        <f t="shared" si="47"/>
        <v>46.988666666666667</v>
      </c>
      <c r="I510" s="79"/>
      <c r="J510" s="79"/>
      <c r="K510" s="80"/>
      <c r="L510" s="29"/>
      <c r="M510" s="78">
        <f>M159+M163+M171+M175</f>
        <v>4623.8520000000008</v>
      </c>
      <c r="N510" s="78">
        <f t="shared" ref="N510:P513" si="48">AVERAGE(N183,N187,N191)</f>
        <v>39.978166666666667</v>
      </c>
      <c r="O510" s="78">
        <f t="shared" si="48"/>
        <v>46.593833333333329</v>
      </c>
      <c r="P510" s="78">
        <f t="shared" si="48"/>
        <v>46.99496666666667</v>
      </c>
      <c r="Q510" s="79"/>
      <c r="R510" s="79"/>
      <c r="S510" s="80"/>
      <c r="U510" s="8">
        <f>bdrate($E510:$E513,F510:F513,$M510:$M513,N510:N513)</f>
        <v>4.5861969489680021E-4</v>
      </c>
      <c r="V510" s="9">
        <f>bdrate($E510:$E513,G510:G513,$M510:$M513,O510:O513)</f>
        <v>5.9005698772396364E-4</v>
      </c>
      <c r="W510" s="10">
        <f>bdrate($E510:$E513,H510:H513,$M510:$M513,P510:P513)</f>
        <v>4.6631800587482175E-4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1948.7000000000003</v>
      </c>
      <c r="F511" s="70">
        <f t="shared" si="47"/>
        <v>37.683766666666664</v>
      </c>
      <c r="G511" s="70">
        <f t="shared" si="47"/>
        <v>44.820666666666661</v>
      </c>
      <c r="H511" s="70">
        <f t="shared" si="47"/>
        <v>45.35646666666667</v>
      </c>
      <c r="I511" s="66"/>
      <c r="J511" s="66"/>
      <c r="K511" s="67"/>
      <c r="L511" s="29"/>
      <c r="M511" s="70">
        <f>M160+M164+M172+M176</f>
        <v>1948.7040000000002</v>
      </c>
      <c r="N511" s="70">
        <f t="shared" si="48"/>
        <v>37.681566666666669</v>
      </c>
      <c r="O511" s="70">
        <f t="shared" si="48"/>
        <v>44.8262</v>
      </c>
      <c r="P511" s="70">
        <f t="shared" si="48"/>
        <v>45.354700000000001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898.77120000000002</v>
      </c>
      <c r="F512" s="70">
        <f t="shared" si="47"/>
        <v>35.562433333333331</v>
      </c>
      <c r="G512" s="70">
        <f t="shared" si="47"/>
        <v>42.857599999999998</v>
      </c>
      <c r="H512" s="70">
        <f t="shared" si="47"/>
        <v>43.522966666666662</v>
      </c>
      <c r="I512" s="66"/>
      <c r="J512" s="66"/>
      <c r="K512" s="67"/>
      <c r="L512" s="29"/>
      <c r="M512" s="70">
        <f>M161+M165+M173+M177</f>
        <v>899.05520000000001</v>
      </c>
      <c r="N512" s="70">
        <f t="shared" si="48"/>
        <v>35.562766666666668</v>
      </c>
      <c r="O512" s="70">
        <f t="shared" si="48"/>
        <v>42.847233333333328</v>
      </c>
      <c r="P512" s="70">
        <f t="shared" si="48"/>
        <v>43.518433333333327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432.03919999999999</v>
      </c>
      <c r="F513" s="81">
        <f t="shared" si="47"/>
        <v>33.436233333333327</v>
      </c>
      <c r="G513" s="81">
        <f t="shared" si="47"/>
        <v>41.527266666666662</v>
      </c>
      <c r="H513" s="81">
        <f t="shared" si="47"/>
        <v>42.221166666666669</v>
      </c>
      <c r="I513" s="68"/>
      <c r="J513" s="68"/>
      <c r="K513" s="69"/>
      <c r="L513" s="29"/>
      <c r="M513" s="81">
        <f>M162+M166+M174+M178</f>
        <v>432.11680000000001</v>
      </c>
      <c r="N513" s="81">
        <f t="shared" si="48"/>
        <v>33.436099999999996</v>
      </c>
      <c r="O513" s="81">
        <f t="shared" si="48"/>
        <v>41.534700000000001</v>
      </c>
      <c r="P513" s="81">
        <f t="shared" si="48"/>
        <v>42.226300000000002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5287.8991999999998</v>
      </c>
      <c r="F514" s="78">
        <f t="shared" ref="F514:H517" si="49">AVERAGE(F183,F187,F191,F195,F199,F203)</f>
        <v>39.973900000000008</v>
      </c>
      <c r="G514" s="78">
        <f t="shared" si="49"/>
        <v>46.556950000000001</v>
      </c>
      <c r="H514" s="78">
        <f t="shared" si="49"/>
        <v>47.055950000000003</v>
      </c>
      <c r="I514" s="79"/>
      <c r="J514" s="79"/>
      <c r="K514" s="80"/>
      <c r="L514" s="29"/>
      <c r="M514" s="78">
        <f>M207</f>
        <v>5287.2824000000001</v>
      </c>
      <c r="N514" s="78">
        <f t="shared" ref="N514:P517" si="50">AVERAGE(N183,N187,N191,N195,N199,N203)</f>
        <v>39.971783333333335</v>
      </c>
      <c r="O514" s="78">
        <f t="shared" si="50"/>
        <v>46.555433333333326</v>
      </c>
      <c r="P514" s="78">
        <f t="shared" si="50"/>
        <v>47.058500000000002</v>
      </c>
      <c r="Q514" s="79"/>
      <c r="R514" s="79"/>
      <c r="S514" s="80"/>
      <c r="U514" s="8">
        <f>bdrate($E514:$E517,F514:F517,$M514:$M517,N514:N517)</f>
        <v>2.480515994871535E-4</v>
      </c>
      <c r="V514" s="9">
        <f>bdrate($E514:$E517,G514:G517,$M514:$M517,O514:O517)</f>
        <v>5.8289598108052232E-5</v>
      </c>
      <c r="W514" s="10">
        <f>bdrate($E514:$E517,H514:H517,$M514:$M517,P514:P517)</f>
        <v>1.3374715395686465E-4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2193.6480000000001</v>
      </c>
      <c r="F515" s="70">
        <f t="shared" si="49"/>
        <v>37.670250000000003</v>
      </c>
      <c r="G515" s="70">
        <f t="shared" si="49"/>
        <v>44.789616666666667</v>
      </c>
      <c r="H515" s="70">
        <f t="shared" si="49"/>
        <v>45.386866666666663</v>
      </c>
      <c r="I515" s="66"/>
      <c r="J515" s="66"/>
      <c r="K515" s="67"/>
      <c r="L515" s="29"/>
      <c r="M515" s="70">
        <f>M208</f>
        <v>2193.7968000000001</v>
      </c>
      <c r="N515" s="70">
        <f t="shared" si="50"/>
        <v>37.669666666666664</v>
      </c>
      <c r="O515" s="70">
        <f t="shared" si="50"/>
        <v>44.792300000000004</v>
      </c>
      <c r="P515" s="70">
        <f t="shared" si="50"/>
        <v>45.387699999999995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1008.5256000000001</v>
      </c>
      <c r="F516" s="70">
        <f t="shared" si="49"/>
        <v>35.544999999999995</v>
      </c>
      <c r="G516" s="70">
        <f t="shared" si="49"/>
        <v>42.834616666666669</v>
      </c>
      <c r="H516" s="70">
        <f t="shared" si="49"/>
        <v>43.516433333333332</v>
      </c>
      <c r="I516" s="66"/>
      <c r="J516" s="66"/>
      <c r="K516" s="67"/>
      <c r="L516" s="29"/>
      <c r="M516" s="70">
        <f>M209</f>
        <v>1008.9088</v>
      </c>
      <c r="N516" s="70">
        <f t="shared" si="50"/>
        <v>35.5456</v>
      </c>
      <c r="O516" s="70">
        <f t="shared" si="50"/>
        <v>42.831183333333335</v>
      </c>
      <c r="P516" s="70">
        <f t="shared" si="50"/>
        <v>43.512499999999996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487.8664</v>
      </c>
      <c r="F517" s="81">
        <f t="shared" si="49"/>
        <v>33.419499999999992</v>
      </c>
      <c r="G517" s="81">
        <f t="shared" si="49"/>
        <v>41.519416666666665</v>
      </c>
      <c r="H517" s="81">
        <f t="shared" si="49"/>
        <v>42.208283333333334</v>
      </c>
      <c r="I517" s="68"/>
      <c r="J517" s="68"/>
      <c r="K517" s="69"/>
      <c r="L517" s="29"/>
      <c r="M517" s="81">
        <f>M210</f>
        <v>487.84640000000002</v>
      </c>
      <c r="N517" s="81">
        <f t="shared" si="50"/>
        <v>33.419799999999995</v>
      </c>
      <c r="O517" s="81">
        <f t="shared" si="50"/>
        <v>41.52386666666667</v>
      </c>
      <c r="P517" s="81">
        <f t="shared" si="50"/>
        <v>42.213816666666666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51">E510</f>
        <v>4624.1760000000004</v>
      </c>
      <c r="F518" s="78">
        <f t="shared" ref="F518:H521" si="52">AVERAGE(F159,F163,F183,F187,F191)</f>
        <v>39.986879999999999</v>
      </c>
      <c r="G518" s="78">
        <f t="shared" si="52"/>
        <v>46.115680000000005</v>
      </c>
      <c r="H518" s="78">
        <f t="shared" si="52"/>
        <v>46.688460000000006</v>
      </c>
      <c r="I518" s="79"/>
      <c r="J518" s="79"/>
      <c r="K518" s="80"/>
      <c r="L518" s="29"/>
      <c r="M518" s="78">
        <f t="shared" ref="M518:M525" si="53">M510</f>
        <v>4623.8520000000008</v>
      </c>
      <c r="N518" s="78">
        <f t="shared" ref="N518:P521" si="54">AVERAGE(N159,N163,N183,N187,N191)</f>
        <v>39.986220000000003</v>
      </c>
      <c r="O518" s="78">
        <f t="shared" si="54"/>
        <v>46.113840000000003</v>
      </c>
      <c r="P518" s="78">
        <f t="shared" si="54"/>
        <v>46.692040000000006</v>
      </c>
      <c r="Q518" s="79"/>
      <c r="R518" s="79"/>
      <c r="S518" s="80"/>
      <c r="U518" s="8">
        <f>bdrate($E518:$E521,F518:F521,$M518:$M521,N518:N521)</f>
        <v>3.3273694094115847E-4</v>
      </c>
      <c r="V518" s="9">
        <f>bdrate($E518:$E521,G518:G521,$M518:$M521,O518:O521)</f>
        <v>3.5844838205978391E-4</v>
      </c>
      <c r="W518" s="10">
        <f>bdrate($E518:$E521,H518:H521,$M518:$M521,P518:P521)</f>
        <v>2.9936436332445027E-4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51"/>
        <v>1948.7000000000003</v>
      </c>
      <c r="F519" s="70">
        <f t="shared" si="52"/>
        <v>37.669280000000001</v>
      </c>
      <c r="G519" s="70">
        <f t="shared" si="52"/>
        <v>44.33614</v>
      </c>
      <c r="H519" s="70">
        <f t="shared" si="52"/>
        <v>44.985640000000004</v>
      </c>
      <c r="I519" s="66"/>
      <c r="J519" s="66"/>
      <c r="K519" s="67"/>
      <c r="L519" s="29"/>
      <c r="M519" s="70">
        <f t="shared" si="53"/>
        <v>1948.7040000000002</v>
      </c>
      <c r="N519" s="70">
        <f t="shared" si="54"/>
        <v>37.667880000000004</v>
      </c>
      <c r="O519" s="70">
        <f t="shared" si="54"/>
        <v>44.33934</v>
      </c>
      <c r="P519" s="70">
        <f t="shared" si="54"/>
        <v>44.984479999999998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51"/>
        <v>898.77120000000002</v>
      </c>
      <c r="F520" s="70">
        <f t="shared" si="52"/>
        <v>35.537999999999997</v>
      </c>
      <c r="G520" s="70">
        <f t="shared" si="52"/>
        <v>42.428579999999997</v>
      </c>
      <c r="H520" s="70">
        <f t="shared" si="52"/>
        <v>43.163619999999995</v>
      </c>
      <c r="I520" s="66"/>
      <c r="J520" s="66"/>
      <c r="K520" s="67"/>
      <c r="L520" s="29"/>
      <c r="M520" s="70">
        <f t="shared" si="53"/>
        <v>899.05520000000001</v>
      </c>
      <c r="N520" s="70">
        <f t="shared" si="54"/>
        <v>35.538260000000001</v>
      </c>
      <c r="O520" s="70">
        <f t="shared" si="54"/>
        <v>42.422700000000006</v>
      </c>
      <c r="P520" s="70">
        <f t="shared" si="54"/>
        <v>43.161260000000006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51"/>
        <v>432.03919999999999</v>
      </c>
      <c r="F521" s="81">
        <f t="shared" si="52"/>
        <v>33.412700000000001</v>
      </c>
      <c r="G521" s="81">
        <f t="shared" si="52"/>
        <v>41.142060000000001</v>
      </c>
      <c r="H521" s="81">
        <f t="shared" si="52"/>
        <v>41.891719999999999</v>
      </c>
      <c r="I521" s="68"/>
      <c r="J521" s="68"/>
      <c r="K521" s="69"/>
      <c r="L521" s="29"/>
      <c r="M521" s="81">
        <f t="shared" si="53"/>
        <v>432.11680000000001</v>
      </c>
      <c r="N521" s="81">
        <f t="shared" si="54"/>
        <v>33.41254</v>
      </c>
      <c r="O521" s="81">
        <f t="shared" si="54"/>
        <v>41.146380000000001</v>
      </c>
      <c r="P521" s="81">
        <f t="shared" si="54"/>
        <v>41.894760000000005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51"/>
        <v>5287.8991999999998</v>
      </c>
      <c r="F522" s="78">
        <f t="shared" ref="F522:H525" si="55">AVERAGE(F159,F163,F167,F183,F187,F191,F195,F199,F203)</f>
        <v>39.949911111111113</v>
      </c>
      <c r="G522" s="78">
        <f t="shared" si="55"/>
        <v>46.157600000000009</v>
      </c>
      <c r="H522" s="78">
        <f t="shared" si="55"/>
        <v>46.772822222222217</v>
      </c>
      <c r="I522" s="79"/>
      <c r="J522" s="79"/>
      <c r="K522" s="80"/>
      <c r="L522" s="29"/>
      <c r="M522" s="78">
        <f t="shared" si="53"/>
        <v>5287.2824000000001</v>
      </c>
      <c r="N522" s="78">
        <f t="shared" ref="N522:P525" si="56">AVERAGE(N159,N163,N167,N183,N187,N191,N195,N199,N203)</f>
        <v>39.948488888888882</v>
      </c>
      <c r="O522" s="78">
        <f t="shared" si="56"/>
        <v>46.156688888888887</v>
      </c>
      <c r="P522" s="78">
        <f t="shared" si="56"/>
        <v>46.774488888888889</v>
      </c>
      <c r="Q522" s="79"/>
      <c r="R522" s="79"/>
      <c r="S522" s="80"/>
      <c r="U522" s="8">
        <f>bdrate($E522:$E525,F522:F525,$M522:$M525,N522:N525)</f>
        <v>2.1482952723306248E-4</v>
      </c>
      <c r="V522" s="9">
        <f>bdrate($E522:$E525,G522:G525,$M522:$M525,O522:O525)</f>
        <v>9.3513870964789803E-5</v>
      </c>
      <c r="W522" s="10">
        <f>bdrate($E522:$E525,H522:H525,$M522:$M525,P522:P525)</f>
        <v>1.2597607507780495E-4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51"/>
        <v>2193.6480000000001</v>
      </c>
      <c r="F523" s="70">
        <f t="shared" si="55"/>
        <v>37.638211111111104</v>
      </c>
      <c r="G523" s="70">
        <f t="shared" si="55"/>
        <v>44.388100000000001</v>
      </c>
      <c r="H523" s="70">
        <f t="shared" si="55"/>
        <v>45.060922222222217</v>
      </c>
      <c r="I523" s="66"/>
      <c r="J523" s="66"/>
      <c r="K523" s="67"/>
      <c r="L523" s="29"/>
      <c r="M523" s="70">
        <f t="shared" si="53"/>
        <v>2193.7968000000001</v>
      </c>
      <c r="N523" s="70">
        <f t="shared" si="56"/>
        <v>37.637911111111109</v>
      </c>
      <c r="O523" s="70">
        <f t="shared" si="56"/>
        <v>44.389611111111108</v>
      </c>
      <c r="P523" s="70">
        <f t="shared" si="56"/>
        <v>45.061411111111106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51"/>
        <v>1008.5256000000001</v>
      </c>
      <c r="F524" s="70">
        <f t="shared" si="55"/>
        <v>35.510800000000003</v>
      </c>
      <c r="G524" s="70">
        <f t="shared" si="55"/>
        <v>42.479711111111108</v>
      </c>
      <c r="H524" s="70">
        <f t="shared" si="55"/>
        <v>43.214455555555553</v>
      </c>
      <c r="I524" s="66"/>
      <c r="J524" s="66"/>
      <c r="K524" s="67"/>
      <c r="L524" s="29"/>
      <c r="M524" s="70">
        <f t="shared" si="53"/>
        <v>1008.9088</v>
      </c>
      <c r="N524" s="70">
        <f t="shared" si="56"/>
        <v>35.511144444444447</v>
      </c>
      <c r="O524" s="70">
        <f t="shared" si="56"/>
        <v>42.47763333333333</v>
      </c>
      <c r="P524" s="70">
        <f t="shared" si="56"/>
        <v>43.212000000000003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51"/>
        <v>487.8664</v>
      </c>
      <c r="F525" s="81">
        <f t="shared" si="55"/>
        <v>33.38881111111111</v>
      </c>
      <c r="G525" s="81">
        <f t="shared" si="55"/>
        <v>41.195011111111107</v>
      </c>
      <c r="H525" s="81">
        <f t="shared" si="55"/>
        <v>41.933244444444448</v>
      </c>
      <c r="I525" s="68"/>
      <c r="J525" s="68"/>
      <c r="K525" s="69"/>
      <c r="L525" s="29"/>
      <c r="M525" s="81">
        <f t="shared" si="53"/>
        <v>487.84640000000002</v>
      </c>
      <c r="N525" s="81">
        <f t="shared" si="56"/>
        <v>33.388822222222224</v>
      </c>
      <c r="O525" s="81">
        <f t="shared" si="56"/>
        <v>41.197944444444438</v>
      </c>
      <c r="P525" s="81">
        <f t="shared" si="56"/>
        <v>41.93683333333334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1065.615</v>
      </c>
      <c r="F526" s="78">
        <f t="shared" ref="F526:H529" si="57">AVERAGE(F211,F215)</f>
        <v>41.975499999999997</v>
      </c>
      <c r="G526" s="78">
        <f t="shared" si="57"/>
        <v>48.298650000000002</v>
      </c>
      <c r="H526" s="78">
        <f t="shared" si="57"/>
        <v>47.819400000000002</v>
      </c>
      <c r="I526" s="79"/>
      <c r="J526" s="79"/>
      <c r="K526" s="80"/>
      <c r="L526" s="29"/>
      <c r="M526" s="82">
        <f>M211+M215</f>
        <v>1065.7570000000001</v>
      </c>
      <c r="N526" s="78">
        <f t="shared" ref="N526:P529" si="58">AVERAGE(N211,N215)</f>
        <v>41.975049999999996</v>
      </c>
      <c r="O526" s="78">
        <f t="shared" si="58"/>
        <v>48.297499999999999</v>
      </c>
      <c r="P526" s="78">
        <f t="shared" si="58"/>
        <v>47.815950000000001</v>
      </c>
      <c r="Q526" s="79"/>
      <c r="R526" s="79"/>
      <c r="S526" s="80"/>
      <c r="U526" s="8">
        <f>bdrate($E526:$E529,F526:F529,$M526:$M529,N526:N529)</f>
        <v>-1.831681957653597E-4</v>
      </c>
      <c r="V526" s="9">
        <f>bdrate($E526:$E529,G526:G529,$M526:$M529,O526:O529)</f>
        <v>1.2077077328602748E-3</v>
      </c>
      <c r="W526" s="10">
        <f>bdrate($E526:$E529,H526:H529,$M526:$M529,P526:P529)</f>
        <v>-2.6682231890973185E-4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446.30600000000004</v>
      </c>
      <c r="F527" s="70">
        <f t="shared" si="57"/>
        <v>40.986350000000002</v>
      </c>
      <c r="G527" s="70">
        <f t="shared" si="57"/>
        <v>47.277299999999997</v>
      </c>
      <c r="H527" s="70">
        <f t="shared" si="57"/>
        <v>46.938050000000004</v>
      </c>
      <c r="I527" s="66"/>
      <c r="J527" s="66"/>
      <c r="K527" s="67"/>
      <c r="L527" s="29"/>
      <c r="M527" s="83">
        <f>M212+M216</f>
        <v>446.34900000000005</v>
      </c>
      <c r="N527" s="70">
        <f t="shared" si="58"/>
        <v>40.986550000000001</v>
      </c>
      <c r="O527" s="70">
        <f t="shared" si="58"/>
        <v>47.273949999999999</v>
      </c>
      <c r="P527" s="70">
        <f t="shared" si="58"/>
        <v>46.938900000000004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228.821</v>
      </c>
      <c r="F528" s="70">
        <f t="shared" si="57"/>
        <v>39.572649999999996</v>
      </c>
      <c r="G528" s="70">
        <f t="shared" si="57"/>
        <v>45.969850000000001</v>
      </c>
      <c r="H528" s="70">
        <f t="shared" si="57"/>
        <v>45.742249999999999</v>
      </c>
      <c r="I528" s="66"/>
      <c r="J528" s="66"/>
      <c r="K528" s="67"/>
      <c r="L528" s="29"/>
      <c r="M528" s="83">
        <f>M213+M217</f>
        <v>228.86700000000002</v>
      </c>
      <c r="N528" s="70">
        <f t="shared" si="58"/>
        <v>39.574349999999995</v>
      </c>
      <c r="O528" s="70">
        <f t="shared" si="58"/>
        <v>45.969750000000005</v>
      </c>
      <c r="P528" s="70">
        <f t="shared" si="58"/>
        <v>45.743799999999993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126.57</v>
      </c>
      <c r="F529" s="81">
        <f t="shared" si="57"/>
        <v>37.804549999999999</v>
      </c>
      <c r="G529" s="81">
        <f t="shared" si="57"/>
        <v>44.842550000000003</v>
      </c>
      <c r="H529" s="81">
        <f t="shared" si="57"/>
        <v>44.631349999999998</v>
      </c>
      <c r="I529" s="68"/>
      <c r="J529" s="68"/>
      <c r="K529" s="69"/>
      <c r="L529" s="29"/>
      <c r="M529" s="84">
        <f>M214+M218</f>
        <v>126.61999999999999</v>
      </c>
      <c r="N529" s="81">
        <f t="shared" si="58"/>
        <v>37.806150000000002</v>
      </c>
      <c r="O529" s="81">
        <f t="shared" si="58"/>
        <v>44.841349999999998</v>
      </c>
      <c r="P529" s="81">
        <f t="shared" si="58"/>
        <v>44.635849999999998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1330.9189999999999</v>
      </c>
      <c r="F530" s="78">
        <f t="shared" ref="F530:H533" si="59">AVERAGE(F211,F215,F219)</f>
        <v>41.878133333333331</v>
      </c>
      <c r="G530" s="78">
        <f t="shared" si="59"/>
        <v>47.953933333333339</v>
      </c>
      <c r="H530" s="78">
        <f t="shared" si="59"/>
        <v>47.434566666666662</v>
      </c>
      <c r="I530" s="79"/>
      <c r="J530" s="79"/>
      <c r="K530" s="80"/>
      <c r="L530" s="29"/>
      <c r="M530" s="78">
        <f>M211+M215+M219</f>
        <v>1331.0790000000002</v>
      </c>
      <c r="N530" s="78">
        <f t="shared" ref="N530:P533" si="60">AVERAGE(N211,N215,N219)</f>
        <v>41.878233333333334</v>
      </c>
      <c r="O530" s="78">
        <f t="shared" si="60"/>
        <v>47.951699999999995</v>
      </c>
      <c r="P530" s="78">
        <f t="shared" si="60"/>
        <v>47.429966666666665</v>
      </c>
      <c r="Q530" s="79"/>
      <c r="R530" s="79"/>
      <c r="S530" s="80"/>
      <c r="U530" s="8">
        <f>bdrate($E530:$E533,F530:F533,$M530:$M533,N530:N533)</f>
        <v>-3.5455883404567068E-4</v>
      </c>
      <c r="V530" s="9">
        <f>bdrate($E530:$E533,G530:G533,$M530:$M533,O530:O533)</f>
        <v>8.1551811159186194E-4</v>
      </c>
      <c r="W530" s="10">
        <f>bdrate($E530:$E533,H530:H533,$M530:$M533,P530:P533)</f>
        <v>-1.3572633741423257E-3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548.88300000000004</v>
      </c>
      <c r="F531" s="70">
        <f t="shared" si="59"/>
        <v>40.903533333333336</v>
      </c>
      <c r="G531" s="70">
        <f t="shared" si="59"/>
        <v>46.954133333333324</v>
      </c>
      <c r="H531" s="70">
        <f t="shared" si="59"/>
        <v>46.473199999999999</v>
      </c>
      <c r="I531" s="66"/>
      <c r="J531" s="66"/>
      <c r="K531" s="67"/>
      <c r="L531" s="29"/>
      <c r="M531" s="70">
        <f>M212+M216+M220</f>
        <v>548.86599999999999</v>
      </c>
      <c r="N531" s="70">
        <f t="shared" si="60"/>
        <v>40.903466666666667</v>
      </c>
      <c r="O531" s="70">
        <f t="shared" si="60"/>
        <v>46.9527</v>
      </c>
      <c r="P531" s="70">
        <f t="shared" si="60"/>
        <v>46.475533333333338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280.84399999999999</v>
      </c>
      <c r="F532" s="70">
        <f t="shared" si="59"/>
        <v>39.50556666666666</v>
      </c>
      <c r="G532" s="70">
        <f t="shared" si="59"/>
        <v>45.7682</v>
      </c>
      <c r="H532" s="70">
        <f t="shared" si="59"/>
        <v>45.349700000000006</v>
      </c>
      <c r="I532" s="66"/>
      <c r="J532" s="66"/>
      <c r="K532" s="67"/>
      <c r="L532" s="29"/>
      <c r="M532" s="70">
        <f>M213+M217+M221</f>
        <v>280.88300000000004</v>
      </c>
      <c r="N532" s="70">
        <f t="shared" si="60"/>
        <v>39.508133333333326</v>
      </c>
      <c r="O532" s="70">
        <f t="shared" si="60"/>
        <v>45.767966666666666</v>
      </c>
      <c r="P532" s="70">
        <f t="shared" si="60"/>
        <v>45.354499999999994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154.34299999999999</v>
      </c>
      <c r="F533" s="81">
        <f t="shared" si="59"/>
        <v>37.749266666666664</v>
      </c>
      <c r="G533" s="81">
        <f t="shared" si="59"/>
        <v>44.699466666666666</v>
      </c>
      <c r="H533" s="81">
        <f t="shared" si="59"/>
        <v>44.2468</v>
      </c>
      <c r="I533" s="68"/>
      <c r="J533" s="68"/>
      <c r="K533" s="69"/>
      <c r="L533" s="29"/>
      <c r="M533" s="81">
        <f>M214+M218+M222</f>
        <v>154.47</v>
      </c>
      <c r="N533" s="81">
        <f t="shared" si="60"/>
        <v>37.751000000000005</v>
      </c>
      <c r="O533" s="81">
        <f t="shared" si="60"/>
        <v>44.699899999999992</v>
      </c>
      <c r="P533" s="81">
        <f t="shared" si="60"/>
        <v>44.252566666666667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1184.6200000000001</v>
      </c>
      <c r="F534" s="78">
        <f t="shared" ref="F534:H537" si="61">AVERAGE(F235,F239,F243)</f>
        <v>43.169566666666668</v>
      </c>
      <c r="G534" s="78">
        <f t="shared" si="61"/>
        <v>48.838233333333335</v>
      </c>
      <c r="H534" s="78">
        <f t="shared" si="61"/>
        <v>48.184933333333333</v>
      </c>
      <c r="I534" s="79"/>
      <c r="J534" s="79"/>
      <c r="K534" s="80"/>
      <c r="L534" s="29"/>
      <c r="M534" s="78">
        <f>M211+M215+M223+M227</f>
        <v>1184.8910000000001</v>
      </c>
      <c r="N534" s="78">
        <f t="shared" ref="N534:P537" si="62">AVERAGE(N235,N239,N243)</f>
        <v>43.169499999999999</v>
      </c>
      <c r="O534" s="78">
        <f t="shared" si="62"/>
        <v>48.85476666666667</v>
      </c>
      <c r="P534" s="78">
        <f t="shared" si="62"/>
        <v>48.174399999999999</v>
      </c>
      <c r="Q534" s="79"/>
      <c r="R534" s="79"/>
      <c r="S534" s="80"/>
      <c r="U534" s="8">
        <f>bdrate($E534:$E537,F534:F537,$M534:$M537,N534:N537)</f>
        <v>2.9017463517444497E-4</v>
      </c>
      <c r="V534" s="9">
        <f>bdrate($E534:$E537,G534:G537,$M534:$M537,O534:O537)</f>
        <v>-8.8661515672738833E-4</v>
      </c>
      <c r="W534" s="10">
        <f>bdrate($E534:$E537,H534:H537,$M534:$M537,P534:P537)</f>
        <v>1.9016733311212342E-3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495.63800000000003</v>
      </c>
      <c r="F535" s="70">
        <f t="shared" si="61"/>
        <v>41.962433333333337</v>
      </c>
      <c r="G535" s="70">
        <f t="shared" si="61"/>
        <v>47.722000000000001</v>
      </c>
      <c r="H535" s="70">
        <f t="shared" si="61"/>
        <v>47.327066666666667</v>
      </c>
      <c r="I535" s="66"/>
      <c r="J535" s="66"/>
      <c r="K535" s="67"/>
      <c r="L535" s="29"/>
      <c r="M535" s="70">
        <f>M212+M216+M224+M228</f>
        <v>495.72200000000004</v>
      </c>
      <c r="N535" s="70">
        <f t="shared" si="62"/>
        <v>41.959666666666671</v>
      </c>
      <c r="O535" s="70">
        <f t="shared" si="62"/>
        <v>47.722299999999997</v>
      </c>
      <c r="P535" s="70">
        <f t="shared" si="62"/>
        <v>47.323800000000006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253.87</v>
      </c>
      <c r="F536" s="70">
        <f t="shared" si="61"/>
        <v>40.355566666666668</v>
      </c>
      <c r="G536" s="70">
        <f t="shared" si="61"/>
        <v>46.379133333333336</v>
      </c>
      <c r="H536" s="70">
        <f t="shared" si="61"/>
        <v>46.158066666666663</v>
      </c>
      <c r="I536" s="66"/>
      <c r="J536" s="66"/>
      <c r="K536" s="67"/>
      <c r="L536" s="29"/>
      <c r="M536" s="70">
        <f>M213+M217+M225+M229</f>
        <v>253.90700000000001</v>
      </c>
      <c r="N536" s="70">
        <f t="shared" si="62"/>
        <v>40.35743333333334</v>
      </c>
      <c r="O536" s="70">
        <f t="shared" si="62"/>
        <v>46.3767</v>
      </c>
      <c r="P536" s="70">
        <f t="shared" si="62"/>
        <v>46.158999999999999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140.47299999999998</v>
      </c>
      <c r="F537" s="81">
        <f t="shared" si="61"/>
        <v>38.394066666666667</v>
      </c>
      <c r="G537" s="81">
        <f t="shared" si="61"/>
        <v>45.256266666666669</v>
      </c>
      <c r="H537" s="81">
        <f t="shared" si="61"/>
        <v>44.979633333333332</v>
      </c>
      <c r="I537" s="68"/>
      <c r="J537" s="68"/>
      <c r="K537" s="69"/>
      <c r="L537" s="29"/>
      <c r="M537" s="81">
        <f>M214+M218+M226+M230</f>
        <v>140.51</v>
      </c>
      <c r="N537" s="81">
        <f t="shared" si="62"/>
        <v>38.395566666666667</v>
      </c>
      <c r="O537" s="81">
        <f t="shared" si="62"/>
        <v>45.252066666666671</v>
      </c>
      <c r="P537" s="81">
        <f t="shared" si="62"/>
        <v>44.982066666666668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1501.7760000000001</v>
      </c>
      <c r="F538" s="78">
        <f t="shared" ref="F538:H541" si="63">AVERAGE(F235,F239,F243,F247,F251,F255)</f>
        <v>43.222783333333346</v>
      </c>
      <c r="G538" s="78">
        <f t="shared" si="63"/>
        <v>48.6676</v>
      </c>
      <c r="H538" s="78">
        <f t="shared" si="63"/>
        <v>48.485033333333341</v>
      </c>
      <c r="I538" s="79"/>
      <c r="J538" s="79"/>
      <c r="K538" s="80"/>
      <c r="L538" s="29"/>
      <c r="M538" s="78">
        <f>M259</f>
        <v>1502.3579999999999</v>
      </c>
      <c r="N538" s="78">
        <f t="shared" ref="N538:P541" si="64">AVERAGE(N235,N239,N243,N247,N251,N255)</f>
        <v>43.22206666666667</v>
      </c>
      <c r="O538" s="78">
        <f t="shared" si="64"/>
        <v>48.673466666666663</v>
      </c>
      <c r="P538" s="78">
        <f t="shared" si="64"/>
        <v>48.478199999999994</v>
      </c>
      <c r="Q538" s="79"/>
      <c r="R538" s="79"/>
      <c r="S538" s="80"/>
      <c r="U538" s="8">
        <f>bdrate($E538:$E541,F538:F541,$M538:$M541,N538:N541)</f>
        <v>-3.1453803646985801E-4</v>
      </c>
      <c r="V538" s="9">
        <f>bdrate($E538:$E541,G538:G541,$M538:$M541,O538:O541)</f>
        <v>-4.4231502016015556E-3</v>
      </c>
      <c r="W538" s="10">
        <f>bdrate($E538:$E541,H538:H541,$M538:$M541,P538:P541)</f>
        <v>-1.1268324021063147E-4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621.30799999999999</v>
      </c>
      <c r="F539" s="70">
        <f t="shared" si="63"/>
        <v>42.033200000000001</v>
      </c>
      <c r="G539" s="70">
        <f t="shared" si="63"/>
        <v>47.588583333333332</v>
      </c>
      <c r="H539" s="70">
        <f t="shared" si="63"/>
        <v>47.521850000000001</v>
      </c>
      <c r="I539" s="66"/>
      <c r="J539" s="66"/>
      <c r="K539" s="67"/>
      <c r="L539" s="29"/>
      <c r="M539" s="70">
        <f>M260</f>
        <v>621.30399999999997</v>
      </c>
      <c r="N539" s="70">
        <f t="shared" si="64"/>
        <v>42.032550000000001</v>
      </c>
      <c r="O539" s="70">
        <f t="shared" si="64"/>
        <v>47.598350000000003</v>
      </c>
      <c r="P539" s="70">
        <f t="shared" si="64"/>
        <v>47.523099999999999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320.05</v>
      </c>
      <c r="F540" s="70">
        <f t="shared" si="63"/>
        <v>40.437649999999998</v>
      </c>
      <c r="G540" s="70">
        <f t="shared" si="63"/>
        <v>46.31518333333333</v>
      </c>
      <c r="H540" s="70">
        <f t="shared" si="63"/>
        <v>46.334083333333332</v>
      </c>
      <c r="I540" s="66"/>
      <c r="J540" s="66"/>
      <c r="K540" s="67"/>
      <c r="L540" s="29"/>
      <c r="M540" s="70">
        <f>M261</f>
        <v>319.98099999999999</v>
      </c>
      <c r="N540" s="70">
        <f t="shared" si="64"/>
        <v>40.440450000000006</v>
      </c>
      <c r="O540" s="70">
        <f t="shared" si="64"/>
        <v>46.322649999999989</v>
      </c>
      <c r="P540" s="70">
        <f t="shared" si="64"/>
        <v>46.336233333333332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178.57599999999999</v>
      </c>
      <c r="F541" s="81">
        <f t="shared" si="63"/>
        <v>38.489599999999996</v>
      </c>
      <c r="G541" s="81">
        <f t="shared" si="63"/>
        <v>45.196533333333328</v>
      </c>
      <c r="H541" s="81">
        <f t="shared" si="63"/>
        <v>45.139616666666662</v>
      </c>
      <c r="I541" s="68"/>
      <c r="J541" s="68"/>
      <c r="K541" s="69"/>
      <c r="L541" s="29"/>
      <c r="M541" s="81">
        <f>M262</f>
        <v>178.666</v>
      </c>
      <c r="N541" s="81">
        <f t="shared" si="64"/>
        <v>38.491016666666667</v>
      </c>
      <c r="O541" s="81">
        <f t="shared" si="64"/>
        <v>45.195766666666664</v>
      </c>
      <c r="P541" s="81">
        <f t="shared" si="64"/>
        <v>45.142133333333334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65">E534</f>
        <v>1184.6200000000001</v>
      </c>
      <c r="F542" s="78">
        <f t="shared" ref="F542:H545" si="66">AVERAGE(F211,F215,F235,F239,F243)</f>
        <v>42.691939999999995</v>
      </c>
      <c r="G542" s="78">
        <f t="shared" si="66"/>
        <v>48.622399999999999</v>
      </c>
      <c r="H542" s="78">
        <f t="shared" si="66"/>
        <v>48.038720000000005</v>
      </c>
      <c r="I542" s="79"/>
      <c r="J542" s="79"/>
      <c r="K542" s="80"/>
      <c r="L542" s="29"/>
      <c r="M542" s="78">
        <f t="shared" ref="M542:M549" si="67">M534</f>
        <v>1184.8910000000001</v>
      </c>
      <c r="N542" s="78">
        <f t="shared" ref="N542:P545" si="68">AVERAGE(N211,N215,N235,N239,N243)</f>
        <v>42.691719999999997</v>
      </c>
      <c r="O542" s="78">
        <f t="shared" si="68"/>
        <v>48.631860000000003</v>
      </c>
      <c r="P542" s="78">
        <f t="shared" si="68"/>
        <v>48.031019999999998</v>
      </c>
      <c r="Q542" s="79"/>
      <c r="R542" s="79"/>
      <c r="S542" s="80"/>
      <c r="U542" s="8">
        <f>bdrate($E542:$E545,F542:F545,$M542:$M545,N542:N545)</f>
        <v>1.078513714194429E-4</v>
      </c>
      <c r="V542" s="9">
        <f>bdrate($E542:$E545,G542:G545,$M542:$M545,O542:O545)</f>
        <v>-7.7654370628787994E-5</v>
      </c>
      <c r="W542" s="10">
        <f>bdrate($E542:$E545,H542:H545,$M542:$M545,P542:P545)</f>
        <v>1.0384061129673494E-3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65"/>
        <v>495.63800000000003</v>
      </c>
      <c r="F543" s="70">
        <f t="shared" si="66"/>
        <v>41.572000000000003</v>
      </c>
      <c r="G543" s="70">
        <f t="shared" si="66"/>
        <v>47.544119999999999</v>
      </c>
      <c r="H543" s="70">
        <f t="shared" si="66"/>
        <v>47.171460000000003</v>
      </c>
      <c r="I543" s="66"/>
      <c r="J543" s="66"/>
      <c r="K543" s="67"/>
      <c r="L543" s="29"/>
      <c r="M543" s="70">
        <f t="shared" si="67"/>
        <v>495.72200000000004</v>
      </c>
      <c r="N543" s="70">
        <f t="shared" si="68"/>
        <v>41.570419999999999</v>
      </c>
      <c r="O543" s="70">
        <f t="shared" si="68"/>
        <v>47.542960000000001</v>
      </c>
      <c r="P543" s="70">
        <f t="shared" si="68"/>
        <v>47.169840000000008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65"/>
        <v>253.87</v>
      </c>
      <c r="F544" s="70">
        <f t="shared" si="66"/>
        <v>40.042400000000001</v>
      </c>
      <c r="G544" s="70">
        <f t="shared" si="66"/>
        <v>46.215420000000002</v>
      </c>
      <c r="H544" s="70">
        <f t="shared" si="66"/>
        <v>45.99174</v>
      </c>
      <c r="I544" s="66"/>
      <c r="J544" s="66"/>
      <c r="K544" s="67"/>
      <c r="L544" s="29"/>
      <c r="M544" s="70">
        <f t="shared" si="67"/>
        <v>253.90700000000001</v>
      </c>
      <c r="N544" s="70">
        <f t="shared" si="68"/>
        <v>40.044200000000004</v>
      </c>
      <c r="O544" s="70">
        <f t="shared" si="68"/>
        <v>46.213920000000002</v>
      </c>
      <c r="P544" s="70">
        <f t="shared" si="68"/>
        <v>45.992919999999998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65"/>
        <v>140.47299999999998</v>
      </c>
      <c r="F545" s="81">
        <f t="shared" si="66"/>
        <v>38.158259999999999</v>
      </c>
      <c r="G545" s="81">
        <f t="shared" si="66"/>
        <v>45.090779999999995</v>
      </c>
      <c r="H545" s="81">
        <f t="shared" si="66"/>
        <v>44.840319999999998</v>
      </c>
      <c r="I545" s="68"/>
      <c r="J545" s="68"/>
      <c r="K545" s="69"/>
      <c r="L545" s="29"/>
      <c r="M545" s="81">
        <f t="shared" si="67"/>
        <v>140.51</v>
      </c>
      <c r="N545" s="81">
        <f t="shared" si="68"/>
        <v>38.159800000000004</v>
      </c>
      <c r="O545" s="81">
        <f t="shared" si="68"/>
        <v>45.087780000000002</v>
      </c>
      <c r="P545" s="81">
        <f t="shared" si="68"/>
        <v>44.843580000000003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65"/>
        <v>1501.7760000000001</v>
      </c>
      <c r="F546" s="78">
        <f t="shared" ref="F546:H549" si="69">AVERAGE(F211,F215,F219,F235,F239,F243,F247,F251,F255)</f>
        <v>42.774566666666665</v>
      </c>
      <c r="G546" s="78">
        <f t="shared" si="69"/>
        <v>48.429711111111118</v>
      </c>
      <c r="H546" s="78">
        <f t="shared" si="69"/>
        <v>48.134877777777781</v>
      </c>
      <c r="I546" s="79"/>
      <c r="J546" s="79"/>
      <c r="K546" s="80"/>
      <c r="L546" s="29"/>
      <c r="M546" s="78">
        <f t="shared" si="67"/>
        <v>1502.3579999999999</v>
      </c>
      <c r="N546" s="78">
        <f t="shared" ref="N546:P549" si="70">AVERAGE(N211,N215,N219,N235,N239,N243,N247,N251,N255)</f>
        <v>42.774122222222225</v>
      </c>
      <c r="O546" s="78">
        <f t="shared" si="70"/>
        <v>48.432877777777776</v>
      </c>
      <c r="P546" s="78">
        <f t="shared" si="70"/>
        <v>48.128788888888884</v>
      </c>
      <c r="Q546" s="79"/>
      <c r="R546" s="79"/>
      <c r="S546" s="80"/>
      <c r="U546" s="8">
        <f>bdrate($E546:$E549,F546:F549,$M546:$M549,N546:N549)</f>
        <v>-3.8075011247140633E-4</v>
      </c>
      <c r="V546" s="9">
        <f>bdrate($E546:$E549,G546:G549,$M546:$M549,O546:O549)</f>
        <v>-2.8012980838580948E-3</v>
      </c>
      <c r="W546" s="10">
        <f>bdrate($E546:$E549,H546:H549,$M546:$M549,P546:P549)</f>
        <v>-5.5084315538578288E-4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65"/>
        <v>621.30799999999999</v>
      </c>
      <c r="F547" s="70">
        <f t="shared" si="69"/>
        <v>41.656644444444446</v>
      </c>
      <c r="G547" s="70">
        <f t="shared" si="69"/>
        <v>47.377099999999999</v>
      </c>
      <c r="H547" s="70">
        <f t="shared" si="69"/>
        <v>47.1723</v>
      </c>
      <c r="I547" s="66"/>
      <c r="J547" s="66"/>
      <c r="K547" s="67"/>
      <c r="L547" s="29"/>
      <c r="M547" s="70">
        <f t="shared" si="67"/>
        <v>621.30399999999997</v>
      </c>
      <c r="N547" s="70">
        <f t="shared" si="70"/>
        <v>41.656188888888892</v>
      </c>
      <c r="O547" s="70">
        <f t="shared" si="70"/>
        <v>47.383133333333326</v>
      </c>
      <c r="P547" s="70">
        <f t="shared" si="70"/>
        <v>47.17391111111111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65"/>
        <v>320.05</v>
      </c>
      <c r="F548" s="70">
        <f t="shared" si="69"/>
        <v>40.126955555555554</v>
      </c>
      <c r="G548" s="70">
        <f t="shared" si="69"/>
        <v>46.132855555555558</v>
      </c>
      <c r="H548" s="70">
        <f t="shared" si="69"/>
        <v>46.005955555555559</v>
      </c>
      <c r="I548" s="66"/>
      <c r="J548" s="66"/>
      <c r="K548" s="67"/>
      <c r="L548" s="29"/>
      <c r="M548" s="70">
        <f t="shared" si="67"/>
        <v>319.98099999999999</v>
      </c>
      <c r="N548" s="70">
        <f t="shared" si="70"/>
        <v>40.129677777777779</v>
      </c>
      <c r="O548" s="70">
        <f t="shared" si="70"/>
        <v>46.137755555555565</v>
      </c>
      <c r="P548" s="70">
        <f t="shared" si="70"/>
        <v>46.008988888888886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65"/>
        <v>178.57599999999999</v>
      </c>
      <c r="F549" s="81">
        <f t="shared" si="69"/>
        <v>38.24282222222223</v>
      </c>
      <c r="G549" s="81">
        <f t="shared" si="69"/>
        <v>45.03084444444444</v>
      </c>
      <c r="H549" s="81">
        <f t="shared" si="69"/>
        <v>44.842011111111113</v>
      </c>
      <c r="I549" s="68"/>
      <c r="J549" s="68"/>
      <c r="K549" s="69"/>
      <c r="L549" s="29"/>
      <c r="M549" s="81">
        <f t="shared" si="67"/>
        <v>178.666</v>
      </c>
      <c r="N549" s="81">
        <f t="shared" si="70"/>
        <v>38.244344444444444</v>
      </c>
      <c r="O549" s="81">
        <f t="shared" si="70"/>
        <v>45.030477777777783</v>
      </c>
      <c r="P549" s="81">
        <f t="shared" si="70"/>
        <v>44.845611111111104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3149.1032</v>
      </c>
      <c r="F550" s="78">
        <f t="shared" ref="F550:H553" si="71">AVERAGE(F263,F267)</f>
        <v>39.423900000000003</v>
      </c>
      <c r="G550" s="78">
        <f t="shared" si="71"/>
        <v>46.672899999999998</v>
      </c>
      <c r="H550" s="78">
        <f t="shared" si="71"/>
        <v>45.379999999999995</v>
      </c>
      <c r="I550" s="79"/>
      <c r="J550" s="79"/>
      <c r="K550" s="80"/>
      <c r="L550" s="29"/>
      <c r="M550" s="82">
        <f>M263+M267</f>
        <v>3150.3599999999997</v>
      </c>
      <c r="N550" s="78">
        <f t="shared" ref="N550:P553" si="72">AVERAGE(N263,N267)</f>
        <v>39.424250000000001</v>
      </c>
      <c r="O550" s="78">
        <f t="shared" si="72"/>
        <v>46.671700000000001</v>
      </c>
      <c r="P550" s="78">
        <f t="shared" si="72"/>
        <v>45.384450000000001</v>
      </c>
      <c r="Q550" s="79"/>
      <c r="R550" s="79"/>
      <c r="S550" s="80"/>
      <c r="U550" s="8">
        <f>bdrate($E550:$E553,F550:F553,$M550:$M553,N550:N553)</f>
        <v>-6.7174214598564319E-5</v>
      </c>
      <c r="V550" s="9">
        <f>bdrate($E550:$E553,G550:G553,$M550:$M553,O550:O553)</f>
        <v>-7.9066528060434127E-4</v>
      </c>
      <c r="W550" s="10">
        <f>bdrate($E550:$E553,H550:H553,$M550:$M553,P550:P553)</f>
        <v>3.5261352510218558E-4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1159.1215999999999</v>
      </c>
      <c r="F551" s="70">
        <f t="shared" si="71"/>
        <v>37.516100000000002</v>
      </c>
      <c r="G551" s="70">
        <f t="shared" si="71"/>
        <v>45.244900000000001</v>
      </c>
      <c r="H551" s="70">
        <f t="shared" si="71"/>
        <v>43.83755</v>
      </c>
      <c r="I551" s="66"/>
      <c r="J551" s="66"/>
      <c r="K551" s="67"/>
      <c r="L551" s="29"/>
      <c r="M551" s="83">
        <f>M264+M268</f>
        <v>1159.3472000000002</v>
      </c>
      <c r="N551" s="70">
        <f t="shared" si="72"/>
        <v>37.516950000000001</v>
      </c>
      <c r="O551" s="70">
        <f t="shared" si="72"/>
        <v>45.248400000000004</v>
      </c>
      <c r="P551" s="70">
        <f t="shared" si="72"/>
        <v>43.834099999999999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541.16239999999993</v>
      </c>
      <c r="F552" s="70">
        <f t="shared" si="71"/>
        <v>35.556899999999999</v>
      </c>
      <c r="G552" s="70">
        <f t="shared" si="71"/>
        <v>43.604199999999999</v>
      </c>
      <c r="H552" s="70">
        <f t="shared" si="71"/>
        <v>42.311700000000002</v>
      </c>
      <c r="I552" s="66"/>
      <c r="J552" s="66"/>
      <c r="K552" s="67"/>
      <c r="L552" s="29"/>
      <c r="M552" s="83">
        <f>M265+M269</f>
        <v>541.29279999999994</v>
      </c>
      <c r="N552" s="70">
        <f t="shared" si="72"/>
        <v>35.558</v>
      </c>
      <c r="O552" s="70">
        <f t="shared" si="72"/>
        <v>43.606650000000002</v>
      </c>
      <c r="P552" s="70">
        <f t="shared" si="72"/>
        <v>42.313699999999997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277.69119999999998</v>
      </c>
      <c r="F553" s="81">
        <f t="shared" si="71"/>
        <v>33.513100000000001</v>
      </c>
      <c r="G553" s="81">
        <f t="shared" si="71"/>
        <v>42.405349999999999</v>
      </c>
      <c r="H553" s="81">
        <f t="shared" si="71"/>
        <v>41.247250000000001</v>
      </c>
      <c r="I553" s="68"/>
      <c r="J553" s="68"/>
      <c r="K553" s="69"/>
      <c r="L553" s="29"/>
      <c r="M553" s="84">
        <f>M266+M270</f>
        <v>277.74639999999999</v>
      </c>
      <c r="N553" s="81">
        <f t="shared" si="72"/>
        <v>33.51285</v>
      </c>
      <c r="O553" s="81">
        <f t="shared" si="72"/>
        <v>42.403849999999998</v>
      </c>
      <c r="P553" s="81">
        <f t="shared" si="72"/>
        <v>41.245649999999998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3848.9151999999999</v>
      </c>
      <c r="F554" s="78">
        <f t="shared" ref="F554:H557" si="73">AVERAGE(F263,F267,F271)</f>
        <v>39.254300000000001</v>
      </c>
      <c r="G554" s="78">
        <f t="shared" si="73"/>
        <v>46.591266666666662</v>
      </c>
      <c r="H554" s="78">
        <f t="shared" si="73"/>
        <v>45.632499999999993</v>
      </c>
      <c r="I554" s="79"/>
      <c r="J554" s="79"/>
      <c r="K554" s="80"/>
      <c r="L554" s="29"/>
      <c r="M554" s="78">
        <f>M263+M267+M271</f>
        <v>3849.7703999999994</v>
      </c>
      <c r="N554" s="78">
        <f t="shared" ref="N554:P557" si="74">AVERAGE(N263,N267,N271)</f>
        <v>39.254533333333335</v>
      </c>
      <c r="O554" s="78">
        <f t="shared" si="74"/>
        <v>46.592133333333329</v>
      </c>
      <c r="P554" s="78">
        <f t="shared" si="74"/>
        <v>45.635400000000004</v>
      </c>
      <c r="Q554" s="79"/>
      <c r="R554" s="79"/>
      <c r="S554" s="80"/>
      <c r="U554" s="8">
        <f>bdrate($E554:$E557,F554:F557,$M554:$M557,N554:N557)</f>
        <v>3.7885977021590023E-5</v>
      </c>
      <c r="V554" s="9">
        <f>bdrate($E554:$E557,G554:G557,$M554:$M557,O554:O557)</f>
        <v>-7.7185693087444829E-4</v>
      </c>
      <c r="W554" s="10">
        <f>bdrate($E554:$E557,H554:H557,$M554:$M557,P554:P557)</f>
        <v>2.6125328442683227E-4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1359.2175999999999</v>
      </c>
      <c r="F555" s="70">
        <f t="shared" si="73"/>
        <v>37.325700000000005</v>
      </c>
      <c r="G555" s="70">
        <f t="shared" si="73"/>
        <v>45.165300000000002</v>
      </c>
      <c r="H555" s="70">
        <f t="shared" si="73"/>
        <v>44.128533333333337</v>
      </c>
      <c r="I555" s="66"/>
      <c r="J555" s="66"/>
      <c r="K555" s="67"/>
      <c r="L555" s="29"/>
      <c r="M555" s="70">
        <f>M264+M268+M272</f>
        <v>1359.2104000000002</v>
      </c>
      <c r="N555" s="70">
        <f t="shared" si="74"/>
        <v>37.326000000000001</v>
      </c>
      <c r="O555" s="70">
        <f t="shared" si="74"/>
        <v>45.169033333333338</v>
      </c>
      <c r="P555" s="70">
        <f t="shared" si="74"/>
        <v>44.126566666666669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620.11919999999998</v>
      </c>
      <c r="F556" s="70">
        <f t="shared" si="73"/>
        <v>35.359699999999997</v>
      </c>
      <c r="G556" s="70">
        <f t="shared" si="73"/>
        <v>43.561933333333336</v>
      </c>
      <c r="H556" s="70">
        <f t="shared" si="73"/>
        <v>42.579700000000003</v>
      </c>
      <c r="I556" s="66"/>
      <c r="J556" s="66"/>
      <c r="K556" s="67"/>
      <c r="L556" s="29"/>
      <c r="M556" s="70">
        <f>M265+M269+M273</f>
        <v>620.51599999999996</v>
      </c>
      <c r="N556" s="70">
        <f t="shared" si="74"/>
        <v>35.360833333333339</v>
      </c>
      <c r="O556" s="70">
        <f t="shared" si="74"/>
        <v>43.562199999999997</v>
      </c>
      <c r="P556" s="70">
        <f t="shared" si="74"/>
        <v>42.581099999999999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312.86239999999998</v>
      </c>
      <c r="F557" s="81">
        <f t="shared" si="73"/>
        <v>33.326166666666666</v>
      </c>
      <c r="G557" s="81">
        <f t="shared" si="73"/>
        <v>42.374766666666666</v>
      </c>
      <c r="H557" s="81">
        <f t="shared" si="73"/>
        <v>41.469533333333338</v>
      </c>
      <c r="I557" s="68"/>
      <c r="J557" s="68"/>
      <c r="K557" s="69"/>
      <c r="L557" s="29"/>
      <c r="M557" s="81">
        <f>M266+M270+M274</f>
        <v>312.80719999999997</v>
      </c>
      <c r="N557" s="81">
        <f t="shared" si="74"/>
        <v>33.325733333333339</v>
      </c>
      <c r="O557" s="81">
        <f t="shared" si="74"/>
        <v>42.374433333333336</v>
      </c>
      <c r="P557" s="81">
        <f t="shared" si="74"/>
        <v>41.467633333333332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3406.6056000000003</v>
      </c>
      <c r="F558" s="78">
        <f t="shared" ref="F558:H561" si="75">AVERAGE(F287,F291,F295)</f>
        <v>40.424200000000006</v>
      </c>
      <c r="G558" s="78">
        <f t="shared" si="75"/>
        <v>47.170433333333335</v>
      </c>
      <c r="H558" s="78">
        <f t="shared" si="75"/>
        <v>46.69306666666666</v>
      </c>
      <c r="I558" s="79"/>
      <c r="J558" s="79"/>
      <c r="K558" s="80"/>
      <c r="L558" s="29"/>
      <c r="M558" s="78">
        <f>M263+M267+M275+M279</f>
        <v>3408</v>
      </c>
      <c r="N558" s="78">
        <f t="shared" ref="N558:P561" si="76">AVERAGE(N287,N291,N295)</f>
        <v>40.425900000000006</v>
      </c>
      <c r="O558" s="78">
        <f t="shared" si="76"/>
        <v>47.174633333333333</v>
      </c>
      <c r="P558" s="78">
        <f t="shared" si="76"/>
        <v>46.704333333333331</v>
      </c>
      <c r="Q558" s="79"/>
      <c r="R558" s="79"/>
      <c r="S558" s="80"/>
      <c r="U558" s="8">
        <f>bdrate($E558:$E561,F558:F561,$M558:$M561,N558:N561)</f>
        <v>-4.3279897199777206E-4</v>
      </c>
      <c r="V558" s="9">
        <f>bdrate($E558:$E561,G558:G561,$M558:$M561,O558:O561)</f>
        <v>-3.8926107508929775E-4</v>
      </c>
      <c r="W558" s="10">
        <f>bdrate($E558:$E561,H558:H561,$M558:$M561,P558:P561)</f>
        <v>1.6128979652130226E-4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1235.2016000000001</v>
      </c>
      <c r="F559" s="70">
        <f t="shared" si="75"/>
        <v>38.233366666666662</v>
      </c>
      <c r="G559" s="70">
        <f t="shared" si="75"/>
        <v>45.625333333333337</v>
      </c>
      <c r="H559" s="70">
        <f t="shared" si="75"/>
        <v>45.042333333333339</v>
      </c>
      <c r="I559" s="66"/>
      <c r="J559" s="66"/>
      <c r="K559" s="67"/>
      <c r="L559" s="29"/>
      <c r="M559" s="70">
        <f>M264+M268+M276+M280</f>
        <v>1235.4312000000002</v>
      </c>
      <c r="N559" s="70">
        <f t="shared" si="76"/>
        <v>38.2346</v>
      </c>
      <c r="O559" s="70">
        <f t="shared" si="76"/>
        <v>45.621299999999998</v>
      </c>
      <c r="P559" s="70">
        <f t="shared" si="76"/>
        <v>45.043799999999997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573.5175999999999</v>
      </c>
      <c r="F560" s="70">
        <f t="shared" si="75"/>
        <v>36.11079999999999</v>
      </c>
      <c r="G560" s="70">
        <f t="shared" si="75"/>
        <v>43.960166666666673</v>
      </c>
      <c r="H560" s="70">
        <f t="shared" si="75"/>
        <v>43.42766666666666</v>
      </c>
      <c r="I560" s="66"/>
      <c r="J560" s="66"/>
      <c r="K560" s="67"/>
      <c r="L560" s="29"/>
      <c r="M560" s="70">
        <f>M265+M269+M277+M281</f>
        <v>573.61839999999995</v>
      </c>
      <c r="N560" s="70">
        <f t="shared" si="76"/>
        <v>36.113400000000006</v>
      </c>
      <c r="O560" s="70">
        <f t="shared" si="76"/>
        <v>43.971133333333334</v>
      </c>
      <c r="P560" s="70">
        <f t="shared" si="76"/>
        <v>43.418533333333329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294.22880000000004</v>
      </c>
      <c r="F561" s="81">
        <f t="shared" si="75"/>
        <v>33.940099999999994</v>
      </c>
      <c r="G561" s="81">
        <f t="shared" si="75"/>
        <v>42.717333333333329</v>
      </c>
      <c r="H561" s="81">
        <f t="shared" si="75"/>
        <v>42.357199999999999</v>
      </c>
      <c r="I561" s="68"/>
      <c r="J561" s="68"/>
      <c r="K561" s="69"/>
      <c r="L561" s="29"/>
      <c r="M561" s="81">
        <f>M266+M270+M278+M282</f>
        <v>294.2792</v>
      </c>
      <c r="N561" s="81">
        <f t="shared" si="76"/>
        <v>33.940666666666665</v>
      </c>
      <c r="O561" s="81">
        <f t="shared" si="76"/>
        <v>42.702599999999997</v>
      </c>
      <c r="P561" s="81">
        <f t="shared" si="76"/>
        <v>42.360700000000001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4222.3743999999997</v>
      </c>
      <c r="F562" s="78">
        <f t="shared" ref="F562:H565" si="77">AVERAGE(F287,F291,F295,F299,F303,F307)</f>
        <v>40.381416666666674</v>
      </c>
      <c r="G562" s="78">
        <f t="shared" si="77"/>
        <v>47.047866666666664</v>
      </c>
      <c r="H562" s="78">
        <f t="shared" si="77"/>
        <v>46.721333333333341</v>
      </c>
      <c r="I562" s="79"/>
      <c r="J562" s="79"/>
      <c r="K562" s="80"/>
      <c r="L562" s="29"/>
      <c r="M562" s="78">
        <f>M311</f>
        <v>4223.1088</v>
      </c>
      <c r="N562" s="78">
        <f t="shared" ref="N562:P565" si="78">AVERAGE(N287,N291,N295,N299,N303,N307)</f>
        <v>40.382283333333341</v>
      </c>
      <c r="O562" s="78">
        <f t="shared" si="78"/>
        <v>47.043133333333337</v>
      </c>
      <c r="P562" s="78">
        <f t="shared" si="78"/>
        <v>46.724516666666666</v>
      </c>
      <c r="Q562" s="79"/>
      <c r="R562" s="79"/>
      <c r="S562" s="80"/>
      <c r="U562" s="8">
        <f>bdrate($E562:$E565,F562:F565,$M562:$M565,N562:N565)</f>
        <v>-7.1613706851825221E-5</v>
      </c>
      <c r="V562" s="9">
        <f>bdrate($E562:$E565,G562:G565,$M562:$M565,O562:O565)</f>
        <v>-1.057574016984808E-3</v>
      </c>
      <c r="W562" s="10">
        <f>bdrate($E562:$E565,H562:H565,$M562:$M565,P562:P565)</f>
        <v>1.3110657108086343E-3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1468.1176</v>
      </c>
      <c r="F563" s="70">
        <f t="shared" si="77"/>
        <v>38.168366666666664</v>
      </c>
      <c r="G563" s="70">
        <f t="shared" si="77"/>
        <v>45.540300000000002</v>
      </c>
      <c r="H563" s="70">
        <f t="shared" si="77"/>
        <v>45.098816666666671</v>
      </c>
      <c r="I563" s="66"/>
      <c r="J563" s="66"/>
      <c r="K563" s="67"/>
      <c r="L563" s="29"/>
      <c r="M563" s="70">
        <f>M312</f>
        <v>1467.9336000000001</v>
      </c>
      <c r="N563" s="70">
        <f t="shared" si="78"/>
        <v>38.168433333333333</v>
      </c>
      <c r="O563" s="70">
        <f t="shared" si="78"/>
        <v>45.542016666666662</v>
      </c>
      <c r="P563" s="70">
        <f t="shared" si="78"/>
        <v>45.100283333333323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667.86080000000004</v>
      </c>
      <c r="F564" s="70">
        <f t="shared" si="77"/>
        <v>36.035066666666658</v>
      </c>
      <c r="G564" s="70">
        <f t="shared" si="77"/>
        <v>43.848966666666662</v>
      </c>
      <c r="H564" s="70">
        <f t="shared" si="77"/>
        <v>43.406083333333328</v>
      </c>
      <c r="I564" s="66"/>
      <c r="J564" s="66"/>
      <c r="K564" s="67"/>
      <c r="L564" s="29"/>
      <c r="M564" s="70">
        <f>M313</f>
        <v>668.24800000000005</v>
      </c>
      <c r="N564" s="70">
        <f t="shared" si="78"/>
        <v>36.0364</v>
      </c>
      <c r="O564" s="70">
        <f t="shared" si="78"/>
        <v>43.856733333333331</v>
      </c>
      <c r="P564" s="70">
        <f t="shared" si="78"/>
        <v>43.395150000000001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339.39519999999999</v>
      </c>
      <c r="F565" s="81">
        <f t="shared" si="77"/>
        <v>33.861399999999996</v>
      </c>
      <c r="G565" s="81">
        <f t="shared" si="77"/>
        <v>42.596083333333333</v>
      </c>
      <c r="H565" s="81">
        <f t="shared" si="77"/>
        <v>42.232866666666666</v>
      </c>
      <c r="I565" s="68"/>
      <c r="J565" s="68"/>
      <c r="K565" s="69"/>
      <c r="L565" s="29"/>
      <c r="M565" s="81">
        <f>M314</f>
        <v>339.32400000000001</v>
      </c>
      <c r="N565" s="81">
        <f t="shared" si="78"/>
        <v>33.861349999999995</v>
      </c>
      <c r="O565" s="81">
        <f t="shared" si="78"/>
        <v>42.594949999999997</v>
      </c>
      <c r="P565" s="81">
        <f t="shared" si="78"/>
        <v>42.234333333333332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79">E558</f>
        <v>3406.6056000000003</v>
      </c>
      <c r="F566" s="78">
        <f t="shared" ref="F566:H569" si="80">AVERAGE(F263,F267,F287,F291,F295)</f>
        <v>40.024080000000005</v>
      </c>
      <c r="G566" s="78">
        <f t="shared" si="80"/>
        <v>46.971419999999995</v>
      </c>
      <c r="H566" s="78">
        <f t="shared" si="80"/>
        <v>46.167839999999998</v>
      </c>
      <c r="I566" s="79"/>
      <c r="J566" s="79"/>
      <c r="K566" s="80"/>
      <c r="L566" s="29"/>
      <c r="M566" s="78">
        <f t="shared" ref="M566:M573" si="81">M558</f>
        <v>3408</v>
      </c>
      <c r="N566" s="78">
        <f t="shared" ref="N566:P569" si="82">AVERAGE(N263,N267,N287,N291,N295)</f>
        <v>40.025239999999997</v>
      </c>
      <c r="O566" s="78">
        <f t="shared" si="82"/>
        <v>46.973460000000003</v>
      </c>
      <c r="P566" s="78">
        <f t="shared" si="82"/>
        <v>46.176380000000002</v>
      </c>
      <c r="Q566" s="79"/>
      <c r="R566" s="79"/>
      <c r="S566" s="80"/>
      <c r="U566" s="8">
        <f>bdrate($E566:$E569,F566:F569,$M566:$M569,N566:N569)</f>
        <v>-3.0779682689707766E-4</v>
      </c>
      <c r="V566" s="9">
        <f>bdrate($E566:$E569,G566:G569,$M566:$M569,O566:O569)</f>
        <v>-5.6526205362594784E-4</v>
      </c>
      <c r="W566" s="10">
        <f>bdrate($E566:$E569,H566:H569,$M566:$M569,P566:P569)</f>
        <v>2.2608922668343467E-4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79"/>
        <v>1235.2016000000001</v>
      </c>
      <c r="F567" s="70">
        <f t="shared" si="80"/>
        <v>37.946460000000002</v>
      </c>
      <c r="G567" s="70">
        <f t="shared" si="80"/>
        <v>45.47316</v>
      </c>
      <c r="H567" s="70">
        <f t="shared" si="80"/>
        <v>44.560420000000001</v>
      </c>
      <c r="I567" s="66"/>
      <c r="J567" s="66"/>
      <c r="K567" s="67"/>
      <c r="L567" s="29"/>
      <c r="M567" s="70">
        <f t="shared" si="81"/>
        <v>1235.4312000000002</v>
      </c>
      <c r="N567" s="70">
        <f t="shared" si="82"/>
        <v>37.947540000000004</v>
      </c>
      <c r="O567" s="70">
        <f t="shared" si="82"/>
        <v>45.472140000000003</v>
      </c>
      <c r="P567" s="70">
        <f t="shared" si="82"/>
        <v>44.559919999999998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79"/>
        <v>573.5175999999999</v>
      </c>
      <c r="F568" s="70">
        <f t="shared" si="80"/>
        <v>35.889239999999994</v>
      </c>
      <c r="G568" s="70">
        <f t="shared" si="80"/>
        <v>43.817779999999999</v>
      </c>
      <c r="H568" s="70">
        <f t="shared" si="80"/>
        <v>42.981279999999998</v>
      </c>
      <c r="I568" s="66"/>
      <c r="J568" s="66"/>
      <c r="K568" s="67"/>
      <c r="L568" s="29"/>
      <c r="M568" s="70">
        <f t="shared" si="81"/>
        <v>573.61839999999995</v>
      </c>
      <c r="N568" s="70">
        <f t="shared" si="82"/>
        <v>35.891239999999996</v>
      </c>
      <c r="O568" s="70">
        <f t="shared" si="82"/>
        <v>43.825339999999997</v>
      </c>
      <c r="P568" s="70">
        <f t="shared" si="82"/>
        <v>42.976599999999998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79"/>
        <v>294.22880000000004</v>
      </c>
      <c r="F569" s="81">
        <f t="shared" si="80"/>
        <v>33.769300000000001</v>
      </c>
      <c r="G569" s="81">
        <f t="shared" si="80"/>
        <v>42.59254</v>
      </c>
      <c r="H569" s="81">
        <f t="shared" si="80"/>
        <v>41.913220000000003</v>
      </c>
      <c r="I569" s="68"/>
      <c r="J569" s="68"/>
      <c r="K569" s="69"/>
      <c r="L569" s="29"/>
      <c r="M569" s="81">
        <f t="shared" si="81"/>
        <v>294.2792</v>
      </c>
      <c r="N569" s="81">
        <f t="shared" si="82"/>
        <v>33.769539999999999</v>
      </c>
      <c r="O569" s="81">
        <f t="shared" si="82"/>
        <v>42.583100000000002</v>
      </c>
      <c r="P569" s="81">
        <f t="shared" si="82"/>
        <v>41.914679999999997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79"/>
        <v>4222.3743999999997</v>
      </c>
      <c r="F570" s="78">
        <f t="shared" ref="F570:H573" si="83">AVERAGE(F263,F267,F271,F287,F291,F295,F299,F303,F307)</f>
        <v>40.005711111111118</v>
      </c>
      <c r="G570" s="78">
        <f t="shared" si="83"/>
        <v>46.895666666666664</v>
      </c>
      <c r="H570" s="78">
        <f t="shared" si="83"/>
        <v>46.358388888888889</v>
      </c>
      <c r="I570" s="79"/>
      <c r="J570" s="79"/>
      <c r="K570" s="80"/>
      <c r="L570" s="29"/>
      <c r="M570" s="78">
        <f t="shared" si="81"/>
        <v>4223.1088</v>
      </c>
      <c r="N570" s="78">
        <f t="shared" ref="N570:P573" si="84">AVERAGE(N263,N267,N271,N287,N291,N295,N299,N303,N307)</f>
        <v>40.006366666666665</v>
      </c>
      <c r="O570" s="78">
        <f t="shared" si="84"/>
        <v>46.892800000000001</v>
      </c>
      <c r="P570" s="78">
        <f t="shared" si="84"/>
        <v>46.361477777777779</v>
      </c>
      <c r="Q570" s="79"/>
      <c r="R570" s="79"/>
      <c r="S570" s="80"/>
      <c r="U570" s="8">
        <f>bdrate($E570:$E573,F570:F573,$M570:$M573,N570:N573)</f>
        <v>-6.1974215204929628E-5</v>
      </c>
      <c r="V570" s="9">
        <f>bdrate($E570:$E573,G570:G573,$M570:$M573,O570:O573)</f>
        <v>-9.9411809999394585E-4</v>
      </c>
      <c r="W570" s="10">
        <f>bdrate($E570:$E573,H570:H573,$M570:$M573,P570:P573)</f>
        <v>9.5109354333433593E-4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79"/>
        <v>1468.1176</v>
      </c>
      <c r="F571" s="70">
        <f t="shared" si="83"/>
        <v>37.887477777777775</v>
      </c>
      <c r="G571" s="70">
        <f t="shared" si="83"/>
        <v>45.415299999999995</v>
      </c>
      <c r="H571" s="70">
        <f t="shared" si="83"/>
        <v>44.775388888888891</v>
      </c>
      <c r="I571" s="66"/>
      <c r="J571" s="66"/>
      <c r="K571" s="67"/>
      <c r="L571" s="29"/>
      <c r="M571" s="70">
        <f t="shared" si="81"/>
        <v>1467.9336000000001</v>
      </c>
      <c r="N571" s="70">
        <f t="shared" si="84"/>
        <v>37.88762222222222</v>
      </c>
      <c r="O571" s="70">
        <f t="shared" si="84"/>
        <v>45.41768888888889</v>
      </c>
      <c r="P571" s="70">
        <f t="shared" si="84"/>
        <v>44.775711111111114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79"/>
        <v>667.86080000000004</v>
      </c>
      <c r="F572" s="70">
        <f t="shared" si="83"/>
        <v>35.80994444444444</v>
      </c>
      <c r="G572" s="70">
        <f t="shared" si="83"/>
        <v>43.753288888888882</v>
      </c>
      <c r="H572" s="70">
        <f t="shared" si="83"/>
        <v>43.130622222222229</v>
      </c>
      <c r="I572" s="66"/>
      <c r="J572" s="66"/>
      <c r="K572" s="67"/>
      <c r="L572" s="29"/>
      <c r="M572" s="70">
        <f t="shared" si="81"/>
        <v>668.24800000000005</v>
      </c>
      <c r="N572" s="70">
        <f t="shared" si="84"/>
        <v>35.81121111111112</v>
      </c>
      <c r="O572" s="70">
        <f t="shared" si="84"/>
        <v>43.758555555555553</v>
      </c>
      <c r="P572" s="70">
        <f t="shared" si="84"/>
        <v>43.123800000000003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79"/>
        <v>339.39519999999999</v>
      </c>
      <c r="F573" s="81">
        <f t="shared" si="83"/>
        <v>33.682988888888886</v>
      </c>
      <c r="G573" s="81">
        <f t="shared" si="83"/>
        <v>42.522311111111115</v>
      </c>
      <c r="H573" s="81">
        <f t="shared" si="83"/>
        <v>41.978422222222228</v>
      </c>
      <c r="I573" s="68"/>
      <c r="J573" s="68"/>
      <c r="K573" s="69"/>
      <c r="L573" s="29"/>
      <c r="M573" s="81">
        <f t="shared" si="81"/>
        <v>339.32400000000001</v>
      </c>
      <c r="N573" s="81">
        <f t="shared" si="84"/>
        <v>33.682811111111114</v>
      </c>
      <c r="O573" s="81">
        <f t="shared" si="84"/>
        <v>42.521444444444441</v>
      </c>
      <c r="P573" s="81">
        <f t="shared" si="84"/>
        <v>41.978766666666665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5546.9807999999994</v>
      </c>
      <c r="F574" s="78">
        <f t="shared" ref="F574:H577" si="85">AVERAGE(F315,F319)</f>
        <v>38.389700000000005</v>
      </c>
      <c r="G574" s="78">
        <f t="shared" si="85"/>
        <v>46.605800000000002</v>
      </c>
      <c r="H574" s="78">
        <f t="shared" si="85"/>
        <v>45.967500000000001</v>
      </c>
      <c r="I574" s="79"/>
      <c r="J574" s="79"/>
      <c r="K574" s="80"/>
      <c r="L574" s="29"/>
      <c r="M574" s="82">
        <f>M315+M319</f>
        <v>5547.1448</v>
      </c>
      <c r="N574" s="78">
        <f t="shared" ref="N574:P577" si="86">AVERAGE(N315,N319)</f>
        <v>38.389949999999999</v>
      </c>
      <c r="O574" s="78">
        <f t="shared" si="86"/>
        <v>46.605350000000001</v>
      </c>
      <c r="P574" s="78">
        <f t="shared" si="86"/>
        <v>45.967349999999996</v>
      </c>
      <c r="Q574" s="79"/>
      <c r="R574" s="79"/>
      <c r="S574" s="80"/>
      <c r="U574" s="8">
        <f>bdrate($E574:$E577,F574:F577,$M574:$M577,N574:N577)</f>
        <v>-6.6580408551120129E-5</v>
      </c>
      <c r="V574" s="9">
        <f>bdrate($E574:$E577,G574:G577,$M574:$M577,O574:O577)</f>
        <v>3.6631725425873007E-4</v>
      </c>
      <c r="W574" s="10">
        <f>bdrate($E574:$E577,H574:H577,$M574:$M577,P574:P577)</f>
        <v>-1.3737457122942054E-4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2339.1728000000003</v>
      </c>
      <c r="F575" s="70">
        <f t="shared" si="85"/>
        <v>35.627849999999995</v>
      </c>
      <c r="G575" s="70">
        <f t="shared" si="85"/>
        <v>45.138599999999997</v>
      </c>
      <c r="H575" s="70">
        <f t="shared" si="85"/>
        <v>44.590150000000001</v>
      </c>
      <c r="I575" s="66"/>
      <c r="J575" s="66"/>
      <c r="K575" s="67"/>
      <c r="L575" s="29"/>
      <c r="M575" s="83">
        <f>M316+M320</f>
        <v>2338.4720000000002</v>
      </c>
      <c r="N575" s="70">
        <f t="shared" si="86"/>
        <v>35.627399999999994</v>
      </c>
      <c r="O575" s="70">
        <f t="shared" si="86"/>
        <v>45.137250000000002</v>
      </c>
      <c r="P575" s="70">
        <f t="shared" si="86"/>
        <v>44.590150000000001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1062.2167999999999</v>
      </c>
      <c r="F576" s="70">
        <f t="shared" si="85"/>
        <v>33.158500000000004</v>
      </c>
      <c r="G576" s="70">
        <f t="shared" si="85"/>
        <v>43.7941</v>
      </c>
      <c r="H576" s="70">
        <f t="shared" si="85"/>
        <v>43.362099999999998</v>
      </c>
      <c r="I576" s="66"/>
      <c r="J576" s="66"/>
      <c r="K576" s="67"/>
      <c r="L576" s="29"/>
      <c r="M576" s="83">
        <f>M317+M321</f>
        <v>1062.4823999999999</v>
      </c>
      <c r="N576" s="70">
        <f t="shared" si="86"/>
        <v>33.159149999999997</v>
      </c>
      <c r="O576" s="70">
        <f t="shared" si="86"/>
        <v>43.794699999999999</v>
      </c>
      <c r="P576" s="70">
        <f t="shared" si="86"/>
        <v>43.362299999999998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495.97119999999995</v>
      </c>
      <c r="F577" s="81">
        <f t="shared" si="85"/>
        <v>30.905050000000003</v>
      </c>
      <c r="G577" s="81">
        <f t="shared" si="85"/>
        <v>43.019399999999997</v>
      </c>
      <c r="H577" s="81">
        <f t="shared" si="85"/>
        <v>42.620450000000005</v>
      </c>
      <c r="I577" s="68"/>
      <c r="J577" s="68"/>
      <c r="K577" s="69"/>
      <c r="L577" s="29"/>
      <c r="M577" s="84">
        <f>M318+M322</f>
        <v>496.06319999999999</v>
      </c>
      <c r="N577" s="81">
        <f t="shared" si="86"/>
        <v>30.905799999999999</v>
      </c>
      <c r="O577" s="81">
        <f t="shared" si="86"/>
        <v>43.017650000000003</v>
      </c>
      <c r="P577" s="81">
        <f t="shared" si="86"/>
        <v>42.621049999999997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6423.8983999999991</v>
      </c>
      <c r="F578" s="78">
        <f t="shared" ref="F578:H581" si="87">AVERAGE(F315,F319,F323)</f>
        <v>38.30766666666667</v>
      </c>
      <c r="G578" s="78">
        <f t="shared" si="87"/>
        <v>46.573466666666668</v>
      </c>
      <c r="H578" s="78">
        <f t="shared" si="87"/>
        <v>45.905000000000001</v>
      </c>
      <c r="I578" s="79"/>
      <c r="J578" s="79"/>
      <c r="K578" s="80"/>
      <c r="L578" s="29"/>
      <c r="M578" s="78">
        <f>M315+M319+M323</f>
        <v>6424.2016000000003</v>
      </c>
      <c r="N578" s="78">
        <f t="shared" ref="N578:P581" si="88">AVERAGE(N315,N319,N323)</f>
        <v>38.308033333333334</v>
      </c>
      <c r="O578" s="78">
        <f t="shared" si="88"/>
        <v>46.573399999999999</v>
      </c>
      <c r="P578" s="78">
        <f t="shared" si="88"/>
        <v>45.904733333333333</v>
      </c>
      <c r="Q578" s="79"/>
      <c r="R578" s="79"/>
      <c r="S578" s="80"/>
      <c r="U578" s="8">
        <f>bdrate($E578:$E581,F578:F581,$M578:$M581,N578:N581)</f>
        <v>-1.0288378082012883E-4</v>
      </c>
      <c r="V578" s="9">
        <f>bdrate($E578:$E581,G578:G581,$M578:$M581,O578:O581)</f>
        <v>1.7351788521291489E-4</v>
      </c>
      <c r="W578" s="10">
        <f>bdrate($E578:$E581,H578:H581,$M578:$M581,P578:P581)</f>
        <v>-9.2776595017607377E-5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2656.1744000000003</v>
      </c>
      <c r="F579" s="70">
        <f t="shared" si="87"/>
        <v>35.594033333333329</v>
      </c>
      <c r="G579" s="70">
        <f t="shared" si="87"/>
        <v>45.109233333333329</v>
      </c>
      <c r="H579" s="70">
        <f t="shared" si="87"/>
        <v>44.537633333333332</v>
      </c>
      <c r="I579" s="66"/>
      <c r="J579" s="66"/>
      <c r="K579" s="67"/>
      <c r="L579" s="29"/>
      <c r="M579" s="70">
        <f>M316+M320+M324</f>
        <v>2655.1456000000003</v>
      </c>
      <c r="N579" s="70">
        <f t="shared" si="88"/>
        <v>35.593333333333327</v>
      </c>
      <c r="O579" s="70">
        <f t="shared" si="88"/>
        <v>45.109033333333336</v>
      </c>
      <c r="P579" s="70">
        <f t="shared" si="88"/>
        <v>44.537633333333332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1202.4287999999999</v>
      </c>
      <c r="F580" s="70">
        <f t="shared" si="87"/>
        <v>33.149633333333334</v>
      </c>
      <c r="G580" s="70">
        <f t="shared" si="87"/>
        <v>43.774099999999997</v>
      </c>
      <c r="H580" s="70">
        <f t="shared" si="87"/>
        <v>43.323833333333333</v>
      </c>
      <c r="I580" s="66"/>
      <c r="J580" s="66"/>
      <c r="K580" s="67"/>
      <c r="L580" s="29"/>
      <c r="M580" s="70">
        <f>M317+M321+M325</f>
        <v>1202.4519999999998</v>
      </c>
      <c r="N580" s="70">
        <f t="shared" si="88"/>
        <v>33.14993333333333</v>
      </c>
      <c r="O580" s="70">
        <f t="shared" si="88"/>
        <v>43.773366666666668</v>
      </c>
      <c r="P580" s="70">
        <f t="shared" si="88"/>
        <v>43.323633333333333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563.01599999999996</v>
      </c>
      <c r="F581" s="81">
        <f t="shared" si="87"/>
        <v>30.903900000000004</v>
      </c>
      <c r="G581" s="81">
        <f t="shared" si="87"/>
        <v>42.998533333333334</v>
      </c>
      <c r="H581" s="81">
        <f t="shared" si="87"/>
        <v>42.583966666666669</v>
      </c>
      <c r="I581" s="68"/>
      <c r="J581" s="68"/>
      <c r="K581" s="69"/>
      <c r="L581" s="29"/>
      <c r="M581" s="81">
        <f>M318+M322+M326</f>
        <v>563.04639999999995</v>
      </c>
      <c r="N581" s="81">
        <f t="shared" si="88"/>
        <v>30.904066666666665</v>
      </c>
      <c r="O581" s="81">
        <f t="shared" si="88"/>
        <v>42.997199999999999</v>
      </c>
      <c r="P581" s="81">
        <f t="shared" si="88"/>
        <v>42.583999999999996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5837.6111999999994</v>
      </c>
      <c r="F582" s="78">
        <f t="shared" ref="F582:H585" si="89">AVERAGE(F339,F343,F347)</f>
        <v>38.763233333333325</v>
      </c>
      <c r="G582" s="78">
        <f t="shared" si="89"/>
        <v>46.966733333333337</v>
      </c>
      <c r="H582" s="78">
        <f t="shared" si="89"/>
        <v>46.203233333333337</v>
      </c>
      <c r="I582" s="79"/>
      <c r="J582" s="79"/>
      <c r="K582" s="80"/>
      <c r="L582" s="29"/>
      <c r="M582" s="78">
        <f>M315+M319+M327+M331</f>
        <v>5837.8343999999997</v>
      </c>
      <c r="N582" s="78">
        <f t="shared" ref="N582:P585" si="90">AVERAGE(N339,N343,N347)</f>
        <v>38.766633333333338</v>
      </c>
      <c r="O582" s="78">
        <f t="shared" si="90"/>
        <v>46.975566666666658</v>
      </c>
      <c r="P582" s="78">
        <f t="shared" si="90"/>
        <v>46.164133333333332</v>
      </c>
      <c r="Q582" s="79"/>
      <c r="R582" s="79"/>
      <c r="S582" s="80"/>
      <c r="U582" s="8">
        <f>bdrate($E582:$E585,F582:F585,$M582:$M585,N582:N585)</f>
        <v>3.750578966372764E-4</v>
      </c>
      <c r="V582" s="9">
        <f>bdrate($E582:$E585,G582:G585,$M582:$M585,O582:O585)</f>
        <v>-4.4635293514971863E-4</v>
      </c>
      <c r="W582" s="10">
        <f>bdrate($E582:$E585,H582:H585,$M582:$M585,P582:P585)</f>
        <v>8.4497245093264617E-3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2472.7368000000006</v>
      </c>
      <c r="F583" s="70">
        <f t="shared" si="89"/>
        <v>35.873033333333332</v>
      </c>
      <c r="G583" s="70">
        <f t="shared" si="89"/>
        <v>45.530633333333334</v>
      </c>
      <c r="H583" s="70">
        <f t="shared" si="89"/>
        <v>44.893100000000004</v>
      </c>
      <c r="I583" s="66"/>
      <c r="J583" s="66"/>
      <c r="K583" s="67"/>
      <c r="L583" s="29"/>
      <c r="M583" s="70">
        <f>M316+M320+M328+M332</f>
        <v>2471.8184000000001</v>
      </c>
      <c r="N583" s="70">
        <f t="shared" si="90"/>
        <v>35.870933333333333</v>
      </c>
      <c r="O583" s="70">
        <f t="shared" si="90"/>
        <v>45.520666666666664</v>
      </c>
      <c r="P583" s="70">
        <f t="shared" si="90"/>
        <v>44.884333333333331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1131.8047999999999</v>
      </c>
      <c r="F584" s="70">
        <f t="shared" si="89"/>
        <v>33.302433333333333</v>
      </c>
      <c r="G584" s="70">
        <f t="shared" si="89"/>
        <v>44.17496666666667</v>
      </c>
      <c r="H584" s="70">
        <f t="shared" si="89"/>
        <v>43.712666666666671</v>
      </c>
      <c r="I584" s="66"/>
      <c r="J584" s="66"/>
      <c r="K584" s="67"/>
      <c r="L584" s="29"/>
      <c r="M584" s="70">
        <f>M317+M321+M329+M333</f>
        <v>1132.1511999999998</v>
      </c>
      <c r="N584" s="70">
        <f t="shared" si="90"/>
        <v>33.299366666666664</v>
      </c>
      <c r="O584" s="70">
        <f t="shared" si="90"/>
        <v>44.186766666666671</v>
      </c>
      <c r="P584" s="70">
        <f t="shared" si="90"/>
        <v>43.7057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531.22640000000001</v>
      </c>
      <c r="F585" s="81">
        <f t="shared" si="89"/>
        <v>30.960566666666665</v>
      </c>
      <c r="G585" s="81">
        <f t="shared" si="89"/>
        <v>43.42646666666667</v>
      </c>
      <c r="H585" s="81">
        <f t="shared" si="89"/>
        <v>42.967466666666667</v>
      </c>
      <c r="I585" s="68"/>
      <c r="J585" s="68"/>
      <c r="K585" s="69"/>
      <c r="L585" s="29"/>
      <c r="M585" s="81">
        <f>M318+M322+M330+M334</f>
        <v>531.4144</v>
      </c>
      <c r="N585" s="81">
        <f t="shared" si="90"/>
        <v>30.962333333333333</v>
      </c>
      <c r="O585" s="81">
        <f t="shared" si="90"/>
        <v>43.421266666666668</v>
      </c>
      <c r="P585" s="81">
        <f t="shared" si="90"/>
        <v>42.965066666666665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6805.8495999999996</v>
      </c>
      <c r="F586" s="78">
        <f t="shared" ref="F586:H589" si="91">AVERAGE(F339,F343,F347,F351,F355,F359)</f>
        <v>38.768316666666664</v>
      </c>
      <c r="G586" s="78">
        <f t="shared" si="91"/>
        <v>46.812466666666666</v>
      </c>
      <c r="H586" s="78">
        <f t="shared" si="91"/>
        <v>46.363366666666671</v>
      </c>
      <c r="I586" s="79"/>
      <c r="J586" s="79"/>
      <c r="K586" s="80"/>
      <c r="L586" s="29"/>
      <c r="M586" s="78">
        <f>M363</f>
        <v>6806.3775999999998</v>
      </c>
      <c r="N586" s="78">
        <f t="shared" ref="N586:P589" si="92">AVERAGE(N339,N343,N347,N351,N355,N359)</f>
        <v>38.774999999999999</v>
      </c>
      <c r="O586" s="78">
        <f t="shared" si="92"/>
        <v>46.813783333333333</v>
      </c>
      <c r="P586" s="78">
        <f t="shared" si="92"/>
        <v>46.346750000000007</v>
      </c>
      <c r="Q586" s="79"/>
      <c r="R586" s="79"/>
      <c r="S586" s="80"/>
      <c r="U586" s="8">
        <f>bdrate($E586:$E589,F586:F589,$M586:$M589,N586:N589)</f>
        <v>-2.2916409039963614E-4</v>
      </c>
      <c r="V586" s="9">
        <f>bdrate($E586:$E589,G586:G589,$M586:$M589,O586:O589)</f>
        <v>4.297243738669021E-4</v>
      </c>
      <c r="W586" s="10">
        <f>bdrate($E586:$E589,H586:H589,$M586:$M589,P586:P589)</f>
        <v>4.304103814982474E-3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2832.4584</v>
      </c>
      <c r="F587" s="70">
        <f t="shared" si="91"/>
        <v>35.892116666666666</v>
      </c>
      <c r="G587" s="70">
        <f t="shared" si="91"/>
        <v>45.354183333333332</v>
      </c>
      <c r="H587" s="70">
        <f t="shared" si="91"/>
        <v>44.968683333333338</v>
      </c>
      <c r="I587" s="66"/>
      <c r="J587" s="66"/>
      <c r="K587" s="67"/>
      <c r="L587" s="29"/>
      <c r="M587" s="70">
        <f>M364</f>
        <v>2831.1559999999999</v>
      </c>
      <c r="N587" s="70">
        <f t="shared" si="92"/>
        <v>35.891716666666674</v>
      </c>
      <c r="O587" s="70">
        <f t="shared" si="92"/>
        <v>45.347166666666659</v>
      </c>
      <c r="P587" s="70">
        <f t="shared" si="92"/>
        <v>44.957050000000002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1296.9808</v>
      </c>
      <c r="F588" s="70">
        <f t="shared" si="91"/>
        <v>33.3262</v>
      </c>
      <c r="G588" s="70">
        <f t="shared" si="91"/>
        <v>44.013833333333338</v>
      </c>
      <c r="H588" s="70">
        <f t="shared" si="91"/>
        <v>43.641316666666661</v>
      </c>
      <c r="I588" s="66"/>
      <c r="J588" s="66"/>
      <c r="K588" s="67"/>
      <c r="L588" s="29"/>
      <c r="M588" s="70">
        <f>M365</f>
        <v>1297.1184000000001</v>
      </c>
      <c r="N588" s="70">
        <f t="shared" si="92"/>
        <v>33.324850000000005</v>
      </c>
      <c r="O588" s="70">
        <f t="shared" si="92"/>
        <v>44.020116666666667</v>
      </c>
      <c r="P588" s="70">
        <f t="shared" si="92"/>
        <v>43.642016666666656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614.19920000000002</v>
      </c>
      <c r="F589" s="81">
        <f t="shared" si="91"/>
        <v>30.984366666666663</v>
      </c>
      <c r="G589" s="81">
        <f t="shared" si="91"/>
        <v>43.264783333333334</v>
      </c>
      <c r="H589" s="81">
        <f t="shared" si="91"/>
        <v>42.857633333333332</v>
      </c>
      <c r="I589" s="68"/>
      <c r="J589" s="68"/>
      <c r="K589" s="69"/>
      <c r="L589" s="29"/>
      <c r="M589" s="81">
        <f>M366</f>
        <v>614.35040000000004</v>
      </c>
      <c r="N589" s="81">
        <f t="shared" si="92"/>
        <v>30.984999999999999</v>
      </c>
      <c r="O589" s="81">
        <f t="shared" si="92"/>
        <v>43.262133333333338</v>
      </c>
      <c r="P589" s="81">
        <f t="shared" si="92"/>
        <v>42.859900000000003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93">E582</f>
        <v>5837.6111999999994</v>
      </c>
      <c r="F590" s="78">
        <f t="shared" ref="F590:H593" si="94">AVERAGE(F315,F319,F339,F343,F347)</f>
        <v>38.613819999999997</v>
      </c>
      <c r="G590" s="78">
        <f t="shared" si="94"/>
        <v>46.822360000000003</v>
      </c>
      <c r="H590" s="78">
        <f t="shared" si="94"/>
        <v>46.108940000000004</v>
      </c>
      <c r="I590" s="79"/>
      <c r="J590" s="79"/>
      <c r="K590" s="80"/>
      <c r="L590" s="29"/>
      <c r="M590" s="78">
        <f t="shared" ref="M590:M597" si="95">M582</f>
        <v>5837.8343999999997</v>
      </c>
      <c r="N590" s="78">
        <f t="shared" ref="N590:P593" si="96">AVERAGE(N315,N319,N339,N343,N347)</f>
        <v>38.615960000000001</v>
      </c>
      <c r="O590" s="78">
        <f t="shared" si="96"/>
        <v>46.827480000000001</v>
      </c>
      <c r="P590" s="78">
        <f t="shared" si="96"/>
        <v>46.085419999999999</v>
      </c>
      <c r="Q590" s="79"/>
      <c r="R590" s="79"/>
      <c r="S590" s="80"/>
      <c r="U590" s="8">
        <f>bdrate($E590:$E593,F590:F593,$M590:$M593,N590:N593)</f>
        <v>2.0668810868751386E-4</v>
      </c>
      <c r="V590" s="9">
        <f>bdrate($E590:$E593,G590:G593,$M590:$M593,O590:O593)</f>
        <v>-1.1727463137289895E-4</v>
      </c>
      <c r="W590" s="10">
        <f>bdrate($E590:$E593,H590:H593,$M590:$M593,P590:P593)</f>
        <v>4.9423522749176829E-3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93"/>
        <v>2472.7368000000006</v>
      </c>
      <c r="F591" s="70">
        <f t="shared" si="94"/>
        <v>35.77496</v>
      </c>
      <c r="G591" s="70">
        <f t="shared" si="94"/>
        <v>45.373819999999995</v>
      </c>
      <c r="H591" s="70">
        <f t="shared" si="94"/>
        <v>44.771920000000001</v>
      </c>
      <c r="I591" s="66"/>
      <c r="J591" s="66"/>
      <c r="K591" s="67"/>
      <c r="L591" s="29"/>
      <c r="M591" s="70">
        <f t="shared" si="95"/>
        <v>2471.8184000000001</v>
      </c>
      <c r="N591" s="70">
        <f t="shared" si="96"/>
        <v>35.773519999999998</v>
      </c>
      <c r="O591" s="70">
        <f t="shared" si="96"/>
        <v>45.3673</v>
      </c>
      <c r="P591" s="70">
        <f t="shared" si="96"/>
        <v>44.766660000000002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93"/>
        <v>1131.8047999999999</v>
      </c>
      <c r="F592" s="70">
        <f t="shared" si="94"/>
        <v>33.244860000000003</v>
      </c>
      <c r="G592" s="70">
        <f t="shared" si="94"/>
        <v>44.022620000000003</v>
      </c>
      <c r="H592" s="70">
        <f t="shared" si="94"/>
        <v>43.57244</v>
      </c>
      <c r="I592" s="66"/>
      <c r="J592" s="66"/>
      <c r="K592" s="67"/>
      <c r="L592" s="29"/>
      <c r="M592" s="70">
        <f t="shared" si="95"/>
        <v>1132.1511999999998</v>
      </c>
      <c r="N592" s="70">
        <f t="shared" si="96"/>
        <v>33.243279999999999</v>
      </c>
      <c r="O592" s="70">
        <f t="shared" si="96"/>
        <v>44.029939999999996</v>
      </c>
      <c r="P592" s="70">
        <f t="shared" si="96"/>
        <v>43.568339999999999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93"/>
        <v>531.22640000000001</v>
      </c>
      <c r="F593" s="81">
        <f t="shared" si="94"/>
        <v>30.938359999999999</v>
      </c>
      <c r="G593" s="81">
        <f t="shared" si="94"/>
        <v>43.263639999999995</v>
      </c>
      <c r="H593" s="81">
        <f t="shared" si="94"/>
        <v>42.828659999999999</v>
      </c>
      <c r="I593" s="68"/>
      <c r="J593" s="68"/>
      <c r="K593" s="69"/>
      <c r="L593" s="29"/>
      <c r="M593" s="81">
        <f t="shared" si="95"/>
        <v>531.4144</v>
      </c>
      <c r="N593" s="81">
        <f t="shared" si="96"/>
        <v>30.939720000000001</v>
      </c>
      <c r="O593" s="81">
        <f t="shared" si="96"/>
        <v>43.259820000000005</v>
      </c>
      <c r="P593" s="81">
        <f t="shared" si="96"/>
        <v>42.827459999999995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93"/>
        <v>6805.8495999999996</v>
      </c>
      <c r="F594" s="78">
        <f t="shared" ref="F594:H597" si="97">AVERAGE(F315,F319,F323,F339,F343,F347,F351,F355,F359)</f>
        <v>38.614766666666668</v>
      </c>
      <c r="G594" s="78">
        <f t="shared" si="97"/>
        <v>46.732799999999997</v>
      </c>
      <c r="H594" s="78">
        <f t="shared" si="97"/>
        <v>46.210577777777772</v>
      </c>
      <c r="I594" s="79"/>
      <c r="J594" s="79"/>
      <c r="K594" s="80"/>
      <c r="L594" s="29"/>
      <c r="M594" s="78">
        <f t="shared" si="95"/>
        <v>6806.3775999999998</v>
      </c>
      <c r="N594" s="78">
        <f t="shared" ref="N594:P597" si="98">AVERAGE(N315,N319,N323,N339,N343,N347,N351,N355,N359)</f>
        <v>38.619344444444451</v>
      </c>
      <c r="O594" s="78">
        <f t="shared" si="98"/>
        <v>46.733655555555558</v>
      </c>
      <c r="P594" s="78">
        <f t="shared" si="98"/>
        <v>46.199411111111111</v>
      </c>
      <c r="Q594" s="79"/>
      <c r="R594" s="79"/>
      <c r="S594" s="80"/>
      <c r="U594" s="8">
        <f>bdrate($E594:$E597,F594:F597,$M594:$M597,N594:N597)</f>
        <v>-1.8034846986370034E-4</v>
      </c>
      <c r="V594" s="9">
        <f>bdrate($E594:$E597,G594:G597,$M594:$M597,O594:O597)</f>
        <v>3.459262953877662E-4</v>
      </c>
      <c r="W594" s="10">
        <f>bdrate($E594:$E597,H594:H597,$M594:$M597,P594:P597)</f>
        <v>2.8965940812564206E-3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93"/>
        <v>2832.4584</v>
      </c>
      <c r="F595" s="70">
        <f t="shared" si="97"/>
        <v>35.792755555555551</v>
      </c>
      <c r="G595" s="70">
        <f t="shared" si="97"/>
        <v>45.272533333333335</v>
      </c>
      <c r="H595" s="70">
        <f t="shared" si="97"/>
        <v>44.825000000000003</v>
      </c>
      <c r="I595" s="66"/>
      <c r="J595" s="66"/>
      <c r="K595" s="67"/>
      <c r="L595" s="29"/>
      <c r="M595" s="70">
        <f t="shared" si="95"/>
        <v>2831.1559999999999</v>
      </c>
      <c r="N595" s="70">
        <f t="shared" si="98"/>
        <v>35.792255555555556</v>
      </c>
      <c r="O595" s="70">
        <f t="shared" si="98"/>
        <v>45.267788888888887</v>
      </c>
      <c r="P595" s="70">
        <f t="shared" si="98"/>
        <v>44.817244444444441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93"/>
        <v>1296.9808</v>
      </c>
      <c r="F596" s="70">
        <f t="shared" si="97"/>
        <v>33.267344444444447</v>
      </c>
      <c r="G596" s="70">
        <f t="shared" si="97"/>
        <v>43.933922222222215</v>
      </c>
      <c r="H596" s="70">
        <f t="shared" si="97"/>
        <v>43.535488888888885</v>
      </c>
      <c r="I596" s="66"/>
      <c r="J596" s="66"/>
      <c r="K596" s="67"/>
      <c r="L596" s="29"/>
      <c r="M596" s="70">
        <f t="shared" si="95"/>
        <v>1297.1184000000001</v>
      </c>
      <c r="N596" s="70">
        <f t="shared" si="98"/>
        <v>33.266544444444449</v>
      </c>
      <c r="O596" s="70">
        <f t="shared" si="98"/>
        <v>43.937866666666665</v>
      </c>
      <c r="P596" s="70">
        <f t="shared" si="98"/>
        <v>43.535888888888884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93"/>
        <v>614.19920000000002</v>
      </c>
      <c r="F597" s="81">
        <f t="shared" si="97"/>
        <v>30.957544444444441</v>
      </c>
      <c r="G597" s="81">
        <f t="shared" si="97"/>
        <v>43.176033333333322</v>
      </c>
      <c r="H597" s="81">
        <f t="shared" si="97"/>
        <v>42.766411111111111</v>
      </c>
      <c r="I597" s="68"/>
      <c r="J597" s="68"/>
      <c r="K597" s="69"/>
      <c r="L597" s="29"/>
      <c r="M597" s="81">
        <f t="shared" si="95"/>
        <v>614.35040000000004</v>
      </c>
      <c r="N597" s="81">
        <f t="shared" si="98"/>
        <v>30.958022222222219</v>
      </c>
      <c r="O597" s="81">
        <f t="shared" si="98"/>
        <v>43.173822222222221</v>
      </c>
      <c r="P597" s="81">
        <f t="shared" si="98"/>
        <v>42.767933333333339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4727.6776</v>
      </c>
      <c r="F598" s="78">
        <f t="shared" ref="F598:H601" si="99">AVERAGE(F367,F371)</f>
        <v>41.203949999999999</v>
      </c>
      <c r="G598" s="78">
        <f t="shared" si="99"/>
        <v>46.556449999999998</v>
      </c>
      <c r="H598" s="78">
        <f t="shared" si="99"/>
        <v>45.925049999999999</v>
      </c>
      <c r="I598" s="79"/>
      <c r="J598" s="79"/>
      <c r="K598" s="80"/>
      <c r="L598" s="29"/>
      <c r="M598" s="78">
        <f>M367+M371</f>
        <v>4727.4535999999998</v>
      </c>
      <c r="N598" s="78">
        <f t="shared" ref="N598:P601" si="100">AVERAGE(N367,N371)</f>
        <v>41.204049999999995</v>
      </c>
      <c r="O598" s="78">
        <f t="shared" si="100"/>
        <v>46.556399999999996</v>
      </c>
      <c r="P598" s="78">
        <f t="shared" si="100"/>
        <v>45.9251</v>
      </c>
      <c r="Q598" s="79"/>
      <c r="R598" s="79"/>
      <c r="S598" s="80"/>
      <c r="U598" s="8">
        <f>bdrate($E598:$E601,F598:F601,$M598:$M601,N598:N601)</f>
        <v>2.3783308529257141E-6</v>
      </c>
      <c r="V598" s="9">
        <f>bdrate($E598:$E601,G598:G601,$M598:$M601,O598:O601)</f>
        <v>-1.590672663687176E-5</v>
      </c>
      <c r="W598" s="10">
        <f>bdrate($E598:$E601,H598:H601,$M598:$M601,P598:P601)</f>
        <v>-2.8352903127415452E-4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2338.1296000000002</v>
      </c>
      <c r="F599" s="70">
        <f t="shared" si="99"/>
        <v>38.288499999999999</v>
      </c>
      <c r="G599" s="70">
        <f t="shared" si="99"/>
        <v>44.868099999999998</v>
      </c>
      <c r="H599" s="70">
        <f t="shared" si="99"/>
        <v>44.023099999999999</v>
      </c>
      <c r="I599" s="66"/>
      <c r="J599" s="66"/>
      <c r="K599" s="67"/>
      <c r="L599" s="29"/>
      <c r="M599" s="70">
        <f>M368+M372</f>
        <v>2338.1543999999999</v>
      </c>
      <c r="N599" s="70">
        <f t="shared" si="100"/>
        <v>38.288899999999998</v>
      </c>
      <c r="O599" s="70">
        <f t="shared" si="100"/>
        <v>44.867599999999996</v>
      </c>
      <c r="P599" s="70">
        <f t="shared" si="100"/>
        <v>44.024549999999998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1147.6239999999998</v>
      </c>
      <c r="F600" s="70">
        <f t="shared" si="99"/>
        <v>35.532449999999997</v>
      </c>
      <c r="G600" s="70">
        <f t="shared" si="99"/>
        <v>43.247100000000003</v>
      </c>
      <c r="H600" s="70">
        <f t="shared" si="99"/>
        <v>42.197950000000006</v>
      </c>
      <c r="I600" s="66"/>
      <c r="J600" s="66"/>
      <c r="K600" s="67"/>
      <c r="L600" s="29"/>
      <c r="M600" s="70">
        <f>M369+M373</f>
        <v>1147.5143999999998</v>
      </c>
      <c r="N600" s="70">
        <f t="shared" si="100"/>
        <v>35.531700000000001</v>
      </c>
      <c r="O600" s="70">
        <f t="shared" si="100"/>
        <v>43.247900000000001</v>
      </c>
      <c r="P600" s="70">
        <f t="shared" si="100"/>
        <v>42.197249999999997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551.6336</v>
      </c>
      <c r="F601" s="81">
        <f t="shared" si="99"/>
        <v>33.09055</v>
      </c>
      <c r="G601" s="81">
        <f t="shared" si="99"/>
        <v>42.2667</v>
      </c>
      <c r="H601" s="81">
        <f t="shared" si="99"/>
        <v>40.9163</v>
      </c>
      <c r="I601" s="68"/>
      <c r="J601" s="68"/>
      <c r="K601" s="69"/>
      <c r="L601" s="29"/>
      <c r="M601" s="81">
        <f>M370+M374</f>
        <v>551.58720000000005</v>
      </c>
      <c r="N601" s="81">
        <f t="shared" si="100"/>
        <v>33.090050000000005</v>
      </c>
      <c r="O601" s="81">
        <f t="shared" si="100"/>
        <v>42.265749999999997</v>
      </c>
      <c r="P601" s="81">
        <f t="shared" si="100"/>
        <v>40.918149999999997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5278.7151999999996</v>
      </c>
      <c r="F602" s="78">
        <f t="shared" ref="F602:H605" si="101">AVERAGE(F367,F371,F375)</f>
        <v>41.110500000000002</v>
      </c>
      <c r="G602" s="78">
        <f t="shared" si="101"/>
        <v>46.538866666666671</v>
      </c>
      <c r="H602" s="78">
        <f t="shared" si="101"/>
        <v>45.886766666666666</v>
      </c>
      <c r="I602" s="79"/>
      <c r="J602" s="79"/>
      <c r="K602" s="80"/>
      <c r="L602" s="29"/>
      <c r="M602" s="78">
        <f>M367+M371+M375</f>
        <v>5278.2847999999994</v>
      </c>
      <c r="N602" s="78">
        <f t="shared" ref="N602:P605" si="102">AVERAGE(N367,N371,N375)</f>
        <v>41.110533333333329</v>
      </c>
      <c r="O602" s="78">
        <f t="shared" si="102"/>
        <v>46.53843333333333</v>
      </c>
      <c r="P602" s="78">
        <f t="shared" si="102"/>
        <v>45.886433333333336</v>
      </c>
      <c r="Q602" s="79"/>
      <c r="R602" s="79"/>
      <c r="S602" s="80"/>
      <c r="U602" s="8">
        <f>bdrate($E602:$E605,F602:F605,$M602:$M605,N602:N605)</f>
        <v>1.4635993283906856E-4</v>
      </c>
      <c r="V602" s="9">
        <f>bdrate($E602:$E605,G602:G605,$M602:$M605,O602:O605)</f>
        <v>1.9420509402445774E-4</v>
      </c>
      <c r="W602" s="10">
        <f>bdrate($E602:$E605,H602:H605,$M602:$M605,P602:P605)</f>
        <v>1.8780094163561856E-5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2575.8960000000002</v>
      </c>
      <c r="F603" s="70">
        <f t="shared" si="101"/>
        <v>38.219166666666666</v>
      </c>
      <c r="G603" s="70">
        <f t="shared" si="101"/>
        <v>44.85476666666667</v>
      </c>
      <c r="H603" s="70">
        <f t="shared" si="101"/>
        <v>43.997233333333334</v>
      </c>
      <c r="I603" s="66"/>
      <c r="J603" s="66"/>
      <c r="K603" s="67"/>
      <c r="L603" s="29"/>
      <c r="M603" s="70">
        <f>M368+M372+M376</f>
        <v>2576.4247999999998</v>
      </c>
      <c r="N603" s="70">
        <f t="shared" si="102"/>
        <v>38.219366666666666</v>
      </c>
      <c r="O603" s="70">
        <f t="shared" si="102"/>
        <v>44.854099999999995</v>
      </c>
      <c r="P603" s="70">
        <f t="shared" si="102"/>
        <v>43.998433333333331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1263.3455999999999</v>
      </c>
      <c r="F604" s="70">
        <f t="shared" si="101"/>
        <v>35.485866666666659</v>
      </c>
      <c r="G604" s="70">
        <f t="shared" si="101"/>
        <v>43.242899999999999</v>
      </c>
      <c r="H604" s="70">
        <f t="shared" si="101"/>
        <v>42.188099999999999</v>
      </c>
      <c r="I604" s="66"/>
      <c r="J604" s="66"/>
      <c r="K604" s="67"/>
      <c r="L604" s="29"/>
      <c r="M604" s="70">
        <f>M369+M373+M377</f>
        <v>1263.3511999999998</v>
      </c>
      <c r="N604" s="70">
        <f t="shared" si="102"/>
        <v>35.484999999999999</v>
      </c>
      <c r="O604" s="70">
        <f t="shared" si="102"/>
        <v>43.243266666666671</v>
      </c>
      <c r="P604" s="70">
        <f t="shared" si="102"/>
        <v>42.186999999999998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609.85119999999995</v>
      </c>
      <c r="F605" s="81">
        <f t="shared" si="101"/>
        <v>33.05213333333333</v>
      </c>
      <c r="G605" s="81">
        <f t="shared" si="101"/>
        <v>42.255933333333331</v>
      </c>
      <c r="H605" s="81">
        <f t="shared" si="101"/>
        <v>40.900066666666667</v>
      </c>
      <c r="I605" s="68"/>
      <c r="J605" s="68"/>
      <c r="K605" s="69"/>
      <c r="L605" s="29"/>
      <c r="M605" s="81">
        <f>M370+M374+M378</f>
        <v>609.89360000000011</v>
      </c>
      <c r="N605" s="81">
        <f t="shared" si="102"/>
        <v>33.052066666666668</v>
      </c>
      <c r="O605" s="81">
        <f t="shared" si="102"/>
        <v>42.255733333333332</v>
      </c>
      <c r="P605" s="81">
        <f t="shared" si="102"/>
        <v>40.901000000000003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5373.1183999999994</v>
      </c>
      <c r="F606" s="78">
        <f t="shared" ref="F606:H609" si="103">AVERAGE(F391,F395,F399)</f>
        <v>40.7562</v>
      </c>
      <c r="G606" s="78">
        <f t="shared" si="103"/>
        <v>47.119866666666667</v>
      </c>
      <c r="H606" s="78">
        <f t="shared" si="103"/>
        <v>46.675400000000003</v>
      </c>
      <c r="I606" s="79"/>
      <c r="J606" s="79"/>
      <c r="K606" s="80"/>
      <c r="L606" s="29"/>
      <c r="M606" s="78">
        <f>M367+M371+M379+M383</f>
        <v>5372.6983999999993</v>
      </c>
      <c r="N606" s="78">
        <f t="shared" ref="N606:P609" si="104">AVERAGE(N391,N395,N399)</f>
        <v>40.757333333333328</v>
      </c>
      <c r="O606" s="78">
        <f t="shared" si="104"/>
        <v>47.105500000000006</v>
      </c>
      <c r="P606" s="78">
        <f t="shared" si="104"/>
        <v>46.668000000000006</v>
      </c>
      <c r="Q606" s="79"/>
      <c r="R606" s="79"/>
      <c r="S606" s="80"/>
      <c r="U606" s="8">
        <f>bdrate($E606:$E609,F606:F609,$M606:$M609,N606:N609)</f>
        <v>6.2482200114954978E-5</v>
      </c>
      <c r="V606" s="9">
        <f>bdrate($E606:$E609,G606:G609,$M606:$M609,O606:O609)</f>
        <v>5.514903342680455E-4</v>
      </c>
      <c r="W606" s="10">
        <f>bdrate($E606:$E609,H606:H609,$M606:$M609,P606:P609)</f>
        <v>1.9901790261076524E-3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2551.9216000000006</v>
      </c>
      <c r="F607" s="70">
        <f t="shared" si="103"/>
        <v>37.969166666666666</v>
      </c>
      <c r="G607" s="70">
        <f t="shared" si="103"/>
        <v>45.409266666666667</v>
      </c>
      <c r="H607" s="70">
        <f t="shared" si="103"/>
        <v>44.727666666666664</v>
      </c>
      <c r="I607" s="66"/>
      <c r="J607" s="66"/>
      <c r="K607" s="67"/>
      <c r="L607" s="29"/>
      <c r="M607" s="70">
        <f>M368+M372+M380+M384</f>
        <v>2551.7847999999999</v>
      </c>
      <c r="N607" s="70">
        <f t="shared" si="104"/>
        <v>37.968799999999995</v>
      </c>
      <c r="O607" s="70">
        <f t="shared" si="104"/>
        <v>45.411700000000003</v>
      </c>
      <c r="P607" s="70">
        <f t="shared" si="104"/>
        <v>44.715266666666672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1233.8015999999998</v>
      </c>
      <c r="F608" s="70">
        <f t="shared" si="103"/>
        <v>35.293666666666667</v>
      </c>
      <c r="G608" s="70">
        <f t="shared" si="103"/>
        <v>43.681766666666668</v>
      </c>
      <c r="H608" s="70">
        <f t="shared" si="103"/>
        <v>42.742066666666666</v>
      </c>
      <c r="I608" s="66"/>
      <c r="J608" s="66"/>
      <c r="K608" s="67"/>
      <c r="L608" s="29"/>
      <c r="M608" s="70">
        <f>M369+M373+M381+M385</f>
        <v>1233.6191999999996</v>
      </c>
      <c r="N608" s="70">
        <f t="shared" si="104"/>
        <v>35.292933333333337</v>
      </c>
      <c r="O608" s="70">
        <f t="shared" si="104"/>
        <v>43.683199999999999</v>
      </c>
      <c r="P608" s="70">
        <f t="shared" si="104"/>
        <v>42.745000000000005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589.59199999999998</v>
      </c>
      <c r="F609" s="81">
        <f t="shared" si="103"/>
        <v>32.871366666666667</v>
      </c>
      <c r="G609" s="81">
        <f t="shared" si="103"/>
        <v>42.479266666666668</v>
      </c>
      <c r="H609" s="81">
        <f t="shared" si="103"/>
        <v>41.334566666666667</v>
      </c>
      <c r="I609" s="68"/>
      <c r="J609" s="68"/>
      <c r="K609" s="69"/>
      <c r="L609" s="29"/>
      <c r="M609" s="81">
        <f>M370+M374+M382+M386</f>
        <v>589.51760000000002</v>
      </c>
      <c r="N609" s="81">
        <f t="shared" si="104"/>
        <v>32.868966666666665</v>
      </c>
      <c r="O609" s="81">
        <f t="shared" si="104"/>
        <v>42.472099999999998</v>
      </c>
      <c r="P609" s="81">
        <f t="shared" si="104"/>
        <v>41.331533333333333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6114.8023999999996</v>
      </c>
      <c r="F610" s="78">
        <f t="shared" ref="F610:H613" si="105">AVERAGE(F391,F395,F399,F403,F407,F411)</f>
        <v>40.758599999999994</v>
      </c>
      <c r="G610" s="78">
        <f t="shared" si="105"/>
        <v>47.07501666666667</v>
      </c>
      <c r="H610" s="78">
        <f t="shared" si="105"/>
        <v>46.73681666666667</v>
      </c>
      <c r="I610" s="79"/>
      <c r="J610" s="79"/>
      <c r="K610" s="80"/>
      <c r="L610" s="29"/>
      <c r="M610" s="78">
        <f>M415</f>
        <v>6113.5888000000004</v>
      </c>
      <c r="N610" s="78">
        <f t="shared" ref="N610:P613" si="106">AVERAGE(N391,N395,N399,N403,N407,N411)</f>
        <v>40.759666666666668</v>
      </c>
      <c r="O610" s="78">
        <f t="shared" si="106"/>
        <v>47.075600000000001</v>
      </c>
      <c r="P610" s="78">
        <f t="shared" si="106"/>
        <v>46.733366666666662</v>
      </c>
      <c r="Q610" s="79"/>
      <c r="R610" s="79"/>
      <c r="S610" s="80"/>
      <c r="U610" s="8">
        <f>bdrate($E610:$E613,F610:F613,$M610:$M613,N610:N613)</f>
        <v>1.2301667430114627E-4</v>
      </c>
      <c r="V610" s="9">
        <f>bdrate($E610:$E613,G610:G613,$M610:$M613,O610:O613)</f>
        <v>-4.7337503608835263E-4</v>
      </c>
      <c r="W610" s="10">
        <f>bdrate($E610:$E613,H610:H613,$M610:$M613,P610:P613)</f>
        <v>1.0052602748347184E-3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2851.6664000000001</v>
      </c>
      <c r="F611" s="70">
        <f t="shared" si="105"/>
        <v>37.969850000000001</v>
      </c>
      <c r="G611" s="70">
        <f t="shared" si="105"/>
        <v>45.392349999999993</v>
      </c>
      <c r="H611" s="70">
        <f t="shared" si="105"/>
        <v>44.771383333333326</v>
      </c>
      <c r="I611" s="66"/>
      <c r="J611" s="66"/>
      <c r="K611" s="67"/>
      <c r="L611" s="29"/>
      <c r="M611" s="70">
        <f>M416</f>
        <v>2852.1176</v>
      </c>
      <c r="N611" s="70">
        <f t="shared" si="106"/>
        <v>37.969433333333335</v>
      </c>
      <c r="O611" s="70">
        <f t="shared" si="106"/>
        <v>45.393900000000009</v>
      </c>
      <c r="P611" s="70">
        <f t="shared" si="106"/>
        <v>44.766649999999998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1378.9928</v>
      </c>
      <c r="F612" s="70">
        <f t="shared" si="105"/>
        <v>35.291500000000006</v>
      </c>
      <c r="G612" s="70">
        <f t="shared" si="105"/>
        <v>43.691966666666666</v>
      </c>
      <c r="H612" s="70">
        <f t="shared" si="105"/>
        <v>42.787633333333332</v>
      </c>
      <c r="I612" s="66"/>
      <c r="J612" s="66"/>
      <c r="K612" s="67"/>
      <c r="L612" s="29"/>
      <c r="M612" s="70">
        <f>M417</f>
        <v>1378.6952000000001</v>
      </c>
      <c r="N612" s="70">
        <f t="shared" si="106"/>
        <v>35.290733333333336</v>
      </c>
      <c r="O612" s="70">
        <f t="shared" si="106"/>
        <v>43.69415</v>
      </c>
      <c r="P612" s="70">
        <f t="shared" si="106"/>
        <v>42.787966666666669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665.2944</v>
      </c>
      <c r="F613" s="81">
        <f t="shared" si="105"/>
        <v>32.866300000000003</v>
      </c>
      <c r="G613" s="81">
        <f t="shared" si="105"/>
        <v>42.502766666666666</v>
      </c>
      <c r="H613" s="81">
        <f t="shared" si="105"/>
        <v>41.3491</v>
      </c>
      <c r="I613" s="68"/>
      <c r="J613" s="68"/>
      <c r="K613" s="69"/>
      <c r="L613" s="29"/>
      <c r="M613" s="81">
        <f>M418</f>
        <v>665.33040000000005</v>
      </c>
      <c r="N613" s="81">
        <f t="shared" si="106"/>
        <v>32.864233333333338</v>
      </c>
      <c r="O613" s="81">
        <f t="shared" si="106"/>
        <v>42.498849999999997</v>
      </c>
      <c r="P613" s="81">
        <f t="shared" si="106"/>
        <v>41.34643333333333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07">E606</f>
        <v>5373.1183999999994</v>
      </c>
      <c r="F614" s="78">
        <f t="shared" ref="F614:H617" si="108">AVERAGE(F367,F371,F391,F395,F399)</f>
        <v>40.935299999999998</v>
      </c>
      <c r="G614" s="78">
        <f t="shared" si="108"/>
        <v>46.894500000000008</v>
      </c>
      <c r="H614" s="78">
        <f t="shared" si="108"/>
        <v>46.375260000000004</v>
      </c>
      <c r="I614" s="79"/>
      <c r="J614" s="79"/>
      <c r="K614" s="80"/>
      <c r="L614" s="29"/>
      <c r="M614" s="78">
        <f t="shared" ref="M614:M621" si="109">M606</f>
        <v>5372.6983999999993</v>
      </c>
      <c r="N614" s="78">
        <f t="shared" ref="N614:P617" si="110">AVERAGE(N367,N371,N391,N395,N399)</f>
        <v>40.936019999999999</v>
      </c>
      <c r="O614" s="78">
        <f t="shared" si="110"/>
        <v>46.885860000000001</v>
      </c>
      <c r="P614" s="78">
        <f t="shared" si="110"/>
        <v>46.370840000000001</v>
      </c>
      <c r="Q614" s="79"/>
      <c r="R614" s="79"/>
      <c r="S614" s="80"/>
      <c r="U614" s="8">
        <f>bdrate($E614:$E617,F614:F617,$M614:$M617,N614:N617)</f>
        <v>1.6376599709877482E-5</v>
      </c>
      <c r="V614" s="9">
        <f>bdrate($E614:$E617,G614:G617,$M614:$M617,O614:O617)</f>
        <v>3.136079710619466E-4</v>
      </c>
      <c r="W614" s="10">
        <f>bdrate($E614:$E617,H614:H617,$M614:$M617,P614:P617)</f>
        <v>1.0968978917476058E-3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07"/>
        <v>2551.9216000000006</v>
      </c>
      <c r="F615" s="70">
        <f t="shared" si="108"/>
        <v>38.096899999999998</v>
      </c>
      <c r="G615" s="70">
        <f t="shared" si="108"/>
        <v>45.192799999999998</v>
      </c>
      <c r="H615" s="70">
        <f t="shared" si="108"/>
        <v>44.44583999999999</v>
      </c>
      <c r="I615" s="66"/>
      <c r="J615" s="66"/>
      <c r="K615" s="67"/>
      <c r="L615" s="29"/>
      <c r="M615" s="70">
        <f t="shared" si="109"/>
        <v>2551.7847999999999</v>
      </c>
      <c r="N615" s="70">
        <f t="shared" si="110"/>
        <v>38.09684</v>
      </c>
      <c r="O615" s="70">
        <f t="shared" si="110"/>
        <v>45.19406</v>
      </c>
      <c r="P615" s="70">
        <f t="shared" si="110"/>
        <v>44.438980000000001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07"/>
        <v>1233.8015999999998</v>
      </c>
      <c r="F616" s="70">
        <f t="shared" si="108"/>
        <v>35.389179999999996</v>
      </c>
      <c r="G616" s="70">
        <f t="shared" si="108"/>
        <v>43.507899999999999</v>
      </c>
      <c r="H616" s="70">
        <f t="shared" si="108"/>
        <v>42.524420000000006</v>
      </c>
      <c r="I616" s="66"/>
      <c r="J616" s="66"/>
      <c r="K616" s="67"/>
      <c r="L616" s="29"/>
      <c r="M616" s="70">
        <f t="shared" si="109"/>
        <v>1233.6191999999996</v>
      </c>
      <c r="N616" s="70">
        <f t="shared" si="110"/>
        <v>35.388440000000003</v>
      </c>
      <c r="O616" s="70">
        <f t="shared" si="110"/>
        <v>43.509080000000004</v>
      </c>
      <c r="P616" s="70">
        <f t="shared" si="110"/>
        <v>42.5259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07"/>
        <v>589.59199999999998</v>
      </c>
      <c r="F617" s="81">
        <f t="shared" si="108"/>
        <v>32.959040000000002</v>
      </c>
      <c r="G617" s="81">
        <f t="shared" si="108"/>
        <v>42.394239999999996</v>
      </c>
      <c r="H617" s="81">
        <f t="shared" si="108"/>
        <v>41.167259999999999</v>
      </c>
      <c r="I617" s="68"/>
      <c r="J617" s="68"/>
      <c r="K617" s="69"/>
      <c r="L617" s="29"/>
      <c r="M617" s="81">
        <f t="shared" si="109"/>
        <v>589.51760000000002</v>
      </c>
      <c r="N617" s="81">
        <f t="shared" si="110"/>
        <v>32.9574</v>
      </c>
      <c r="O617" s="81">
        <f t="shared" si="110"/>
        <v>42.389559999999996</v>
      </c>
      <c r="P617" s="81">
        <f t="shared" si="110"/>
        <v>41.166179999999997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07"/>
        <v>6114.8023999999996</v>
      </c>
      <c r="F618" s="78">
        <f t="shared" ref="F618:H621" si="111">AVERAGE(F367,F371,F375,F391,F395,F399,F403,F407,F411)</f>
        <v>40.875900000000001</v>
      </c>
      <c r="G618" s="78">
        <f t="shared" si="111"/>
        <v>46.896300000000004</v>
      </c>
      <c r="H618" s="78">
        <f t="shared" si="111"/>
        <v>46.453466666666671</v>
      </c>
      <c r="I618" s="79"/>
      <c r="J618" s="79"/>
      <c r="K618" s="80"/>
      <c r="L618" s="29"/>
      <c r="M618" s="78">
        <f t="shared" si="109"/>
        <v>6113.5888000000004</v>
      </c>
      <c r="N618" s="78">
        <f t="shared" ref="N618:P621" si="112">AVERAGE(N367,N371,N375,N391,N395,N399,N403,N407,N411)</f>
        <v>40.876622222222217</v>
      </c>
      <c r="O618" s="78">
        <f t="shared" si="112"/>
        <v>46.896544444444444</v>
      </c>
      <c r="P618" s="78">
        <f t="shared" si="112"/>
        <v>46.451055555555548</v>
      </c>
      <c r="Q618" s="79"/>
      <c r="R618" s="79"/>
      <c r="S618" s="80"/>
      <c r="U618" s="8">
        <f>bdrate($E618:$E621,F618:F621,$M618:$M621,N618:N621)</f>
        <v>9.264541685904959E-5</v>
      </c>
      <c r="V618" s="9">
        <f>bdrate($E618:$E621,G618:G621,$M618:$M621,O618:O621)</f>
        <v>-2.9253363186909631E-4</v>
      </c>
      <c r="W618" s="10">
        <f>bdrate($E618:$E621,H618:H621,$M618:$M621,P618:P621)</f>
        <v>6.5890652291544782E-4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07"/>
        <v>2851.6664000000001</v>
      </c>
      <c r="F619" s="70">
        <f t="shared" si="111"/>
        <v>38.052955555555549</v>
      </c>
      <c r="G619" s="70">
        <f t="shared" si="111"/>
        <v>45.213155555555552</v>
      </c>
      <c r="H619" s="70">
        <f t="shared" si="111"/>
        <v>44.513333333333335</v>
      </c>
      <c r="I619" s="66"/>
      <c r="J619" s="66"/>
      <c r="K619" s="67"/>
      <c r="L619" s="29"/>
      <c r="M619" s="70">
        <f t="shared" si="109"/>
        <v>2852.1176</v>
      </c>
      <c r="N619" s="70">
        <f t="shared" si="112"/>
        <v>38.052744444444443</v>
      </c>
      <c r="O619" s="70">
        <f t="shared" si="112"/>
        <v>45.213966666666664</v>
      </c>
      <c r="P619" s="70">
        <f t="shared" si="112"/>
        <v>44.510577777777776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07"/>
        <v>1378.9928</v>
      </c>
      <c r="F620" s="70">
        <f t="shared" si="111"/>
        <v>35.356288888888884</v>
      </c>
      <c r="G620" s="70">
        <f t="shared" si="111"/>
        <v>43.542277777777777</v>
      </c>
      <c r="H620" s="70">
        <f t="shared" si="111"/>
        <v>42.587788888888888</v>
      </c>
      <c r="I620" s="66"/>
      <c r="J620" s="66"/>
      <c r="K620" s="67"/>
      <c r="L620" s="29"/>
      <c r="M620" s="70">
        <f t="shared" si="109"/>
        <v>1378.6952000000001</v>
      </c>
      <c r="N620" s="70">
        <f t="shared" si="112"/>
        <v>35.355488888888893</v>
      </c>
      <c r="O620" s="70">
        <f t="shared" si="112"/>
        <v>43.54385555555556</v>
      </c>
      <c r="P620" s="70">
        <f t="shared" si="112"/>
        <v>42.587644444444443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07"/>
        <v>665.2944</v>
      </c>
      <c r="F621" s="81">
        <f t="shared" si="111"/>
        <v>32.928244444444445</v>
      </c>
      <c r="G621" s="81">
        <f t="shared" si="111"/>
        <v>42.420488888888883</v>
      </c>
      <c r="H621" s="81">
        <f t="shared" si="111"/>
        <v>41.199422222222218</v>
      </c>
      <c r="I621" s="68"/>
      <c r="J621" s="68"/>
      <c r="K621" s="69"/>
      <c r="L621" s="29"/>
      <c r="M621" s="81">
        <f t="shared" si="109"/>
        <v>665.33040000000005</v>
      </c>
      <c r="N621" s="81">
        <f t="shared" si="112"/>
        <v>32.926844444444448</v>
      </c>
      <c r="O621" s="81">
        <f t="shared" si="112"/>
        <v>42.417811111111106</v>
      </c>
      <c r="P621" s="81">
        <f t="shared" si="112"/>
        <v>41.197955555555552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61"/>
      <c r="AA749" s="61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61"/>
      <c r="Z762" s="61"/>
      <c r="AA762" s="61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5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s124087_0209</cp:lastModifiedBy>
  <dcterms:created xsi:type="dcterms:W3CDTF">2011-06-30T00:09:01Z</dcterms:created>
  <dcterms:modified xsi:type="dcterms:W3CDTF">2013-11-20T00:37:46Z</dcterms:modified>
</cp:coreProperties>
</file>