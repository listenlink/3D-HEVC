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930" yWindow="0" windowWidth="27870" windowHeight="12975" tabRatio="547"/>
  </bookViews>
  <sheets>
    <sheet name="summary (auto)" sheetId="22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Y51" i="21"/>
  <c r="I5" i="22" s="1"/>
  <c r="Y103" i="21"/>
  <c r="I6" i="22" s="1"/>
  <c r="Y155" i="21"/>
  <c r="I7" i="22" s="1"/>
  <c r="Y207" i="21"/>
  <c r="I8" i="22" s="1"/>
  <c r="Y259" i="21"/>
  <c r="I9" i="22" s="1"/>
  <c r="Y311" i="21"/>
  <c r="I10" i="22" s="1"/>
  <c r="Y363" i="21"/>
  <c r="I11" i="22" s="1"/>
  <c r="Y415" i="21"/>
  <c r="I12" i="22" s="1"/>
  <c r="E509" i="21"/>
  <c r="E508"/>
  <c r="E507"/>
  <c r="E506"/>
  <c r="F506"/>
  <c r="F507"/>
  <c r="F508"/>
  <c r="F509"/>
  <c r="M506"/>
  <c r="M507"/>
  <c r="M508"/>
  <c r="M509"/>
  <c r="N506"/>
  <c r="N507"/>
  <c r="N508"/>
  <c r="N509"/>
  <c r="E533"/>
  <c r="E532"/>
  <c r="E531"/>
  <c r="E530"/>
  <c r="F530"/>
  <c r="F531"/>
  <c r="F532"/>
  <c r="F533"/>
  <c r="M530"/>
  <c r="M531"/>
  <c r="M532"/>
  <c r="M533"/>
  <c r="N530"/>
  <c r="N531"/>
  <c r="N532"/>
  <c r="N533"/>
  <c r="E557"/>
  <c r="E556"/>
  <c r="E555"/>
  <c r="E554"/>
  <c r="F554"/>
  <c r="F555"/>
  <c r="F556"/>
  <c r="F557"/>
  <c r="M554"/>
  <c r="M555"/>
  <c r="M556"/>
  <c r="M557"/>
  <c r="N554"/>
  <c r="N555"/>
  <c r="N556"/>
  <c r="N557"/>
  <c r="E581"/>
  <c r="E580"/>
  <c r="E579"/>
  <c r="E578"/>
  <c r="F578"/>
  <c r="F579"/>
  <c r="F580"/>
  <c r="F581"/>
  <c r="M578"/>
  <c r="M579"/>
  <c r="M580"/>
  <c r="M581"/>
  <c r="N578"/>
  <c r="N579"/>
  <c r="N580"/>
  <c r="N581"/>
  <c r="E605"/>
  <c r="E604"/>
  <c r="E603"/>
  <c r="E602"/>
  <c r="F602"/>
  <c r="F603"/>
  <c r="F604"/>
  <c r="F605"/>
  <c r="M602"/>
  <c r="M603"/>
  <c r="M604"/>
  <c r="M605"/>
  <c r="N602"/>
  <c r="N603"/>
  <c r="N604"/>
  <c r="N605"/>
  <c r="E517"/>
  <c r="E525"/>
  <c r="E516"/>
  <c r="E524"/>
  <c r="E515"/>
  <c r="E523"/>
  <c r="E514"/>
  <c r="E522"/>
  <c r="M514"/>
  <c r="M522" s="1"/>
  <c r="M515"/>
  <c r="M523" s="1"/>
  <c r="M516"/>
  <c r="M524" s="1"/>
  <c r="M517"/>
  <c r="M525" s="1"/>
  <c r="E541"/>
  <c r="E549"/>
  <c r="E540"/>
  <c r="E548"/>
  <c r="E539"/>
  <c r="E547"/>
  <c r="E538"/>
  <c r="E546"/>
  <c r="M538"/>
  <c r="M546" s="1"/>
  <c r="M539"/>
  <c r="M547" s="1"/>
  <c r="M540"/>
  <c r="M548" s="1"/>
  <c r="M541"/>
  <c r="M549" s="1"/>
  <c r="E565"/>
  <c r="E573"/>
  <c r="E564"/>
  <c r="E572"/>
  <c r="E563"/>
  <c r="E571"/>
  <c r="E562"/>
  <c r="E570"/>
  <c r="M562"/>
  <c r="M570" s="1"/>
  <c r="M563"/>
  <c r="M571" s="1"/>
  <c r="M564"/>
  <c r="M572" s="1"/>
  <c r="M565"/>
  <c r="M573" s="1"/>
  <c r="E589"/>
  <c r="E597"/>
  <c r="E588"/>
  <c r="E596"/>
  <c r="E587"/>
  <c r="E595"/>
  <c r="E586"/>
  <c r="E594"/>
  <c r="M586"/>
  <c r="M594" s="1"/>
  <c r="M587"/>
  <c r="M595" s="1"/>
  <c r="M588"/>
  <c r="M596" s="1"/>
  <c r="M589"/>
  <c r="M597" s="1"/>
  <c r="E613"/>
  <c r="E621"/>
  <c r="E612"/>
  <c r="E620"/>
  <c r="E611"/>
  <c r="E619"/>
  <c r="E610"/>
  <c r="E618"/>
  <c r="M610"/>
  <c r="M618" s="1"/>
  <c r="M611"/>
  <c r="M619" s="1"/>
  <c r="M612"/>
  <c r="M620" s="1"/>
  <c r="M613"/>
  <c r="M621" s="1"/>
  <c r="F514"/>
  <c r="F515"/>
  <c r="F516"/>
  <c r="N514"/>
  <c r="F517"/>
  <c r="N515"/>
  <c r="N516"/>
  <c r="N517"/>
  <c r="F538"/>
  <c r="F539"/>
  <c r="F540"/>
  <c r="N538"/>
  <c r="F541"/>
  <c r="N539"/>
  <c r="N540"/>
  <c r="N541"/>
  <c r="F562"/>
  <c r="F563"/>
  <c r="F564"/>
  <c r="N562"/>
  <c r="F565"/>
  <c r="N563"/>
  <c r="N564"/>
  <c r="N565"/>
  <c r="F586"/>
  <c r="F587"/>
  <c r="F588"/>
  <c r="N586"/>
  <c r="F589"/>
  <c r="N587"/>
  <c r="N588"/>
  <c r="N589"/>
  <c r="F610"/>
  <c r="F611"/>
  <c r="F612"/>
  <c r="N610"/>
  <c r="F613"/>
  <c r="N611"/>
  <c r="N612"/>
  <c r="N613"/>
  <c r="Z207"/>
  <c r="J8" i="22" s="1"/>
  <c r="Z259" i="21"/>
  <c r="J9" i="22" s="1"/>
  <c r="Z311" i="21"/>
  <c r="J10" i="22" s="1"/>
  <c r="Z363" i="21"/>
  <c r="J11" i="22" s="1"/>
  <c r="Z415" i="21"/>
  <c r="J12" i="22" s="1"/>
  <c r="AA207" i="21"/>
  <c r="K8" i="22" s="1"/>
  <c r="AA259" i="21"/>
  <c r="K9" i="22" s="1"/>
  <c r="AA311" i="21"/>
  <c r="K10" i="22" s="1"/>
  <c r="AA363" i="21"/>
  <c r="K11" i="22" s="1"/>
  <c r="AA415" i="21"/>
  <c r="K12" i="22" s="1"/>
  <c r="E505" i="21"/>
  <c r="E504"/>
  <c r="E503"/>
  <c r="E502"/>
  <c r="F502"/>
  <c r="F503"/>
  <c r="F504"/>
  <c r="F505"/>
  <c r="M502"/>
  <c r="M503"/>
  <c r="M504"/>
  <c r="M505"/>
  <c r="N502"/>
  <c r="N503"/>
  <c r="N504"/>
  <c r="N505"/>
  <c r="E529"/>
  <c r="E528"/>
  <c r="E527"/>
  <c r="E526"/>
  <c r="F526"/>
  <c r="F527"/>
  <c r="F528"/>
  <c r="F529"/>
  <c r="M526"/>
  <c r="M527"/>
  <c r="M528"/>
  <c r="M529"/>
  <c r="N526"/>
  <c r="N527"/>
  <c r="N528"/>
  <c r="N529"/>
  <c r="E553"/>
  <c r="E552"/>
  <c r="E551"/>
  <c r="E550"/>
  <c r="F550"/>
  <c r="F551"/>
  <c r="F552"/>
  <c r="F553"/>
  <c r="M550"/>
  <c r="M551"/>
  <c r="M552"/>
  <c r="M553"/>
  <c r="N550"/>
  <c r="N551"/>
  <c r="N552"/>
  <c r="N553"/>
  <c r="E577"/>
  <c r="E576"/>
  <c r="E575"/>
  <c r="E574"/>
  <c r="F574"/>
  <c r="F575"/>
  <c r="F576"/>
  <c r="F577"/>
  <c r="M574"/>
  <c r="M575"/>
  <c r="M576"/>
  <c r="M577"/>
  <c r="N574"/>
  <c r="N575"/>
  <c r="N576"/>
  <c r="N577"/>
  <c r="E601"/>
  <c r="E600"/>
  <c r="E599"/>
  <c r="E598"/>
  <c r="F598"/>
  <c r="F599"/>
  <c r="F600"/>
  <c r="F601"/>
  <c r="M598"/>
  <c r="M599"/>
  <c r="M600"/>
  <c r="M601"/>
  <c r="N598"/>
  <c r="N599"/>
  <c r="N600"/>
  <c r="N601"/>
  <c r="E513"/>
  <c r="E521" s="1"/>
  <c r="E512"/>
  <c r="E520" s="1"/>
  <c r="E511"/>
  <c r="E519" s="1"/>
  <c r="E510"/>
  <c r="E518" s="1"/>
  <c r="M510"/>
  <c r="M518" s="1"/>
  <c r="M511"/>
  <c r="M519" s="1"/>
  <c r="M512"/>
  <c r="M520" s="1"/>
  <c r="M513"/>
  <c r="M521" s="1"/>
  <c r="E537"/>
  <c r="E545" s="1"/>
  <c r="E536"/>
  <c r="E544" s="1"/>
  <c r="E535"/>
  <c r="E543" s="1"/>
  <c r="E534"/>
  <c r="E542" s="1"/>
  <c r="M534"/>
  <c r="M542" s="1"/>
  <c r="M535"/>
  <c r="M543" s="1"/>
  <c r="M536"/>
  <c r="M544" s="1"/>
  <c r="M537"/>
  <c r="M545" s="1"/>
  <c r="E561"/>
  <c r="E569" s="1"/>
  <c r="E560"/>
  <c r="E568" s="1"/>
  <c r="E559"/>
  <c r="E567" s="1"/>
  <c r="E558"/>
  <c r="E566" s="1"/>
  <c r="M558"/>
  <c r="M566" s="1"/>
  <c r="M559"/>
  <c r="M567" s="1"/>
  <c r="M560"/>
  <c r="M568" s="1"/>
  <c r="M561"/>
  <c r="M569" s="1"/>
  <c r="E585"/>
  <c r="E593" s="1"/>
  <c r="E584"/>
  <c r="E592" s="1"/>
  <c r="E583"/>
  <c r="E591" s="1"/>
  <c r="E582"/>
  <c r="E590" s="1"/>
  <c r="M582"/>
  <c r="M590" s="1"/>
  <c r="M583"/>
  <c r="M591" s="1"/>
  <c r="M584"/>
  <c r="M592" s="1"/>
  <c r="M585"/>
  <c r="M593" s="1"/>
  <c r="E609"/>
  <c r="E617" s="1"/>
  <c r="E608"/>
  <c r="E616" s="1"/>
  <c r="E607"/>
  <c r="E615" s="1"/>
  <c r="E606"/>
  <c r="E614" s="1"/>
  <c r="M606"/>
  <c r="M614" s="1"/>
  <c r="M607"/>
  <c r="M615" s="1"/>
  <c r="M608"/>
  <c r="M616" s="1"/>
  <c r="M609"/>
  <c r="M617" s="1"/>
  <c r="F510"/>
  <c r="F511"/>
  <c r="F512"/>
  <c r="N510"/>
  <c r="F513"/>
  <c r="N511"/>
  <c r="N512"/>
  <c r="N513"/>
  <c r="F534"/>
  <c r="F535"/>
  <c r="F536"/>
  <c r="N534"/>
  <c r="F537"/>
  <c r="N535"/>
  <c r="N536"/>
  <c r="N537"/>
  <c r="F558"/>
  <c r="F559"/>
  <c r="F560"/>
  <c r="N558"/>
  <c r="F561"/>
  <c r="N559"/>
  <c r="N560"/>
  <c r="N561"/>
  <c r="F582"/>
  <c r="F583"/>
  <c r="F584"/>
  <c r="N582"/>
  <c r="F585"/>
  <c r="N583"/>
  <c r="N584"/>
  <c r="N585"/>
  <c r="F606"/>
  <c r="F607"/>
  <c r="F608"/>
  <c r="N606"/>
  <c r="F609"/>
  <c r="N607"/>
  <c r="N608"/>
  <c r="N609"/>
  <c r="E433"/>
  <c r="E432"/>
  <c r="E431"/>
  <c r="E430"/>
  <c r="F430"/>
  <c r="F431"/>
  <c r="F432"/>
  <c r="F433"/>
  <c r="M430"/>
  <c r="M431"/>
  <c r="M432"/>
  <c r="M433"/>
  <c r="N430"/>
  <c r="N431"/>
  <c r="N432"/>
  <c r="N433"/>
  <c r="E457"/>
  <c r="E456"/>
  <c r="E455"/>
  <c r="E454"/>
  <c r="F454"/>
  <c r="F455"/>
  <c r="F456"/>
  <c r="F457"/>
  <c r="M454"/>
  <c r="M455"/>
  <c r="M456"/>
  <c r="M457"/>
  <c r="N454"/>
  <c r="N455"/>
  <c r="N456"/>
  <c r="N457"/>
  <c r="E481"/>
  <c r="E480"/>
  <c r="E479"/>
  <c r="E478"/>
  <c r="F478"/>
  <c r="F479"/>
  <c r="F480"/>
  <c r="F481"/>
  <c r="M478"/>
  <c r="M479"/>
  <c r="M480"/>
  <c r="M481"/>
  <c r="N478"/>
  <c r="N479"/>
  <c r="N480"/>
  <c r="N481"/>
  <c r="E441"/>
  <c r="E449" s="1"/>
  <c r="E440"/>
  <c r="E448" s="1"/>
  <c r="E439"/>
  <c r="E447" s="1"/>
  <c r="E438"/>
  <c r="E446" s="1"/>
  <c r="M438"/>
  <c r="M446" s="1"/>
  <c r="M439"/>
  <c r="M447" s="1"/>
  <c r="M440"/>
  <c r="M448" s="1"/>
  <c r="M441"/>
  <c r="M449" s="1"/>
  <c r="E465"/>
  <c r="E473" s="1"/>
  <c r="E464"/>
  <c r="E472" s="1"/>
  <c r="E463"/>
  <c r="E471" s="1"/>
  <c r="E462"/>
  <c r="E470" s="1"/>
  <c r="M462"/>
  <c r="M470" s="1"/>
  <c r="M463"/>
  <c r="M471" s="1"/>
  <c r="M464"/>
  <c r="M472" s="1"/>
  <c r="M465"/>
  <c r="M473" s="1"/>
  <c r="E489"/>
  <c r="E497" s="1"/>
  <c r="E488"/>
  <c r="E496" s="1"/>
  <c r="E487"/>
  <c r="E495" s="1"/>
  <c r="E486"/>
  <c r="E494" s="1"/>
  <c r="M486"/>
  <c r="M494" s="1"/>
  <c r="M487"/>
  <c r="M495" s="1"/>
  <c r="M488"/>
  <c r="M496" s="1"/>
  <c r="M489"/>
  <c r="M497" s="1"/>
  <c r="F438"/>
  <c r="F439"/>
  <c r="F440"/>
  <c r="N438"/>
  <c r="F441"/>
  <c r="N439"/>
  <c r="N440"/>
  <c r="N441"/>
  <c r="F462"/>
  <c r="F463"/>
  <c r="F464"/>
  <c r="N462"/>
  <c r="F465"/>
  <c r="N463"/>
  <c r="N464"/>
  <c r="N465"/>
  <c r="F486"/>
  <c r="F487"/>
  <c r="F488"/>
  <c r="N486"/>
  <c r="F489"/>
  <c r="N487"/>
  <c r="N488"/>
  <c r="N489"/>
  <c r="E437"/>
  <c r="E436"/>
  <c r="E435"/>
  <c r="E434"/>
  <c r="F434"/>
  <c r="F435"/>
  <c r="F436"/>
  <c r="F437"/>
  <c r="M434"/>
  <c r="M435"/>
  <c r="M436"/>
  <c r="M437"/>
  <c r="N434"/>
  <c r="N435"/>
  <c r="N436"/>
  <c r="N437"/>
  <c r="E461"/>
  <c r="E460"/>
  <c r="E459"/>
  <c r="E458"/>
  <c r="F458"/>
  <c r="F459"/>
  <c r="F460"/>
  <c r="F461"/>
  <c r="M458"/>
  <c r="M459"/>
  <c r="M460"/>
  <c r="M461"/>
  <c r="N458"/>
  <c r="N459"/>
  <c r="N460"/>
  <c r="N461"/>
  <c r="E485"/>
  <c r="E484"/>
  <c r="E483"/>
  <c r="E482"/>
  <c r="F482"/>
  <c r="F483"/>
  <c r="F484"/>
  <c r="F485"/>
  <c r="M482"/>
  <c r="M483"/>
  <c r="M484"/>
  <c r="M485"/>
  <c r="N482"/>
  <c r="N483"/>
  <c r="N484"/>
  <c r="N485"/>
  <c r="E445"/>
  <c r="E453" s="1"/>
  <c r="E444"/>
  <c r="E452" s="1"/>
  <c r="E443"/>
  <c r="E451" s="1"/>
  <c r="E442"/>
  <c r="E450" s="1"/>
  <c r="M442"/>
  <c r="M450" s="1"/>
  <c r="M443"/>
  <c r="M451" s="1"/>
  <c r="M444"/>
  <c r="M452" s="1"/>
  <c r="M445"/>
  <c r="M453" s="1"/>
  <c r="E469"/>
  <c r="E477" s="1"/>
  <c r="E468"/>
  <c r="E476" s="1"/>
  <c r="E467"/>
  <c r="E475" s="1"/>
  <c r="E466"/>
  <c r="E474" s="1"/>
  <c r="M466"/>
  <c r="M474" s="1"/>
  <c r="M467"/>
  <c r="M475" s="1"/>
  <c r="M468"/>
  <c r="M476" s="1"/>
  <c r="M469"/>
  <c r="M477" s="1"/>
  <c r="E493"/>
  <c r="E501" s="1"/>
  <c r="E492"/>
  <c r="E500" s="1"/>
  <c r="E491"/>
  <c r="E499" s="1"/>
  <c r="E490"/>
  <c r="E498" s="1"/>
  <c r="M490"/>
  <c r="M498" s="1"/>
  <c r="M491"/>
  <c r="M499" s="1"/>
  <c r="M492"/>
  <c r="M500" s="1"/>
  <c r="M493"/>
  <c r="M501" s="1"/>
  <c r="F442"/>
  <c r="F443"/>
  <c r="F444"/>
  <c r="N442"/>
  <c r="F445"/>
  <c r="N443"/>
  <c r="N444"/>
  <c r="N445"/>
  <c r="F466"/>
  <c r="F467"/>
  <c r="F468"/>
  <c r="N466"/>
  <c r="F469"/>
  <c r="N467"/>
  <c r="N468"/>
  <c r="N469"/>
  <c r="F490"/>
  <c r="F491"/>
  <c r="F492"/>
  <c r="N490"/>
  <c r="F493"/>
  <c r="N491"/>
  <c r="N492"/>
  <c r="N493"/>
  <c r="Z51"/>
  <c r="J5" i="22" s="1"/>
  <c r="Z103" i="21"/>
  <c r="J6" i="22" s="1"/>
  <c r="Z155" i="21"/>
  <c r="J7" i="22" s="1"/>
  <c r="AA51" i="21"/>
  <c r="K5" i="22" s="1"/>
  <c r="AA103" i="21"/>
  <c r="K6" i="22" s="1"/>
  <c r="AA155" i="21"/>
  <c r="K7" i="22" s="1"/>
  <c r="B598" i="21"/>
  <c r="B28" i="22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B27" i="22"/>
  <c r="B26"/>
  <c r="B25"/>
  <c r="B24"/>
  <c r="B23"/>
  <c r="B22"/>
  <c r="B21"/>
  <c r="B11"/>
  <c r="B10"/>
  <c r="B9"/>
  <c r="B8"/>
  <c r="B7"/>
  <c r="B6"/>
  <c r="B5"/>
  <c r="P597" i="21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S423" s="1"/>
  <c r="J422"/>
  <c r="J420"/>
  <c r="I422"/>
  <c r="I421"/>
  <c r="I420"/>
  <c r="B12" i="22"/>
  <c r="Q425" i="21"/>
  <c r="R423"/>
  <c r="V211"/>
  <c r="V614"/>
  <c r="U542"/>
  <c r="U179"/>
  <c r="W570"/>
  <c r="U211"/>
  <c r="W494"/>
  <c r="U590"/>
  <c r="U450"/>
  <c r="U594"/>
  <c r="U63"/>
  <c r="W490"/>
  <c r="U526"/>
  <c r="U11"/>
  <c r="W550"/>
  <c r="W219"/>
  <c r="W163"/>
  <c r="V578"/>
  <c r="V582"/>
  <c r="V267"/>
  <c r="W434"/>
  <c r="W614"/>
  <c r="U458"/>
  <c r="V446"/>
  <c r="V474"/>
  <c r="U482"/>
  <c r="V219"/>
  <c r="U554"/>
  <c r="U159"/>
  <c r="U15"/>
  <c r="V502"/>
  <c r="W606"/>
  <c r="U271"/>
  <c r="V7"/>
  <c r="V550"/>
  <c r="U19"/>
  <c r="V490"/>
  <c r="V271"/>
  <c r="V554"/>
  <c r="U614"/>
  <c r="U598"/>
  <c r="V610"/>
  <c r="V263"/>
  <c r="U115"/>
  <c r="V107"/>
  <c r="W371"/>
  <c r="W578"/>
  <c r="V602"/>
  <c r="W470"/>
  <c r="W319"/>
  <c r="V530"/>
  <c r="V514"/>
  <c r="U462"/>
  <c r="U506"/>
  <c r="U442"/>
  <c r="V371"/>
  <c r="W430"/>
  <c r="U478"/>
  <c r="V11"/>
  <c r="W442"/>
  <c r="G9" i="22"/>
  <c r="V438" i="21"/>
  <c r="V598"/>
  <c r="W594"/>
  <c r="V454"/>
  <c r="W323"/>
  <c r="U530"/>
  <c r="W514"/>
  <c r="U574"/>
  <c r="U371"/>
  <c r="V367"/>
  <c r="V506"/>
  <c r="V606"/>
  <c r="W498"/>
  <c r="W458"/>
  <c r="V534"/>
  <c r="W486"/>
  <c r="U263"/>
  <c r="U167"/>
  <c r="U534"/>
  <c r="U279"/>
  <c r="W590"/>
  <c r="U175"/>
  <c r="U446"/>
  <c r="W574"/>
  <c r="U319"/>
  <c r="U67"/>
  <c r="V115"/>
  <c r="W263"/>
  <c r="W586"/>
  <c r="U566"/>
  <c r="U538"/>
  <c r="V55"/>
  <c r="U335"/>
  <c r="W482"/>
  <c r="W546"/>
  <c r="V594"/>
  <c r="W566"/>
  <c r="W211"/>
  <c r="V618"/>
  <c r="W502"/>
  <c r="U111"/>
  <c r="U383"/>
  <c r="U570"/>
  <c r="V458"/>
  <c r="U454"/>
  <c r="U219"/>
  <c r="U215"/>
  <c r="V590"/>
  <c r="U331"/>
  <c r="U163"/>
  <c r="U474"/>
  <c r="U510"/>
  <c r="U119"/>
  <c r="W59"/>
  <c r="U171"/>
  <c r="V542"/>
  <c r="V466"/>
  <c r="U323"/>
  <c r="V510"/>
  <c r="U586"/>
  <c r="F24" i="22"/>
  <c r="F21"/>
  <c r="G5"/>
  <c r="G10"/>
  <c r="G12"/>
  <c r="G6"/>
  <c r="F22"/>
  <c r="F26"/>
  <c r="W215" i="21"/>
  <c r="V450"/>
  <c r="U518"/>
  <c r="U59"/>
  <c r="V486"/>
  <c r="V215"/>
  <c r="U602"/>
  <c r="W159"/>
  <c r="V430"/>
  <c r="W438"/>
  <c r="U610"/>
  <c r="U23"/>
  <c r="V518"/>
  <c r="W518"/>
  <c r="W315"/>
  <c r="V59"/>
  <c r="W538"/>
  <c r="U434"/>
  <c r="U375"/>
  <c r="V323"/>
  <c r="U498"/>
  <c r="W582"/>
  <c r="U123"/>
  <c r="U315"/>
  <c r="V3"/>
  <c r="V566"/>
  <c r="W478"/>
  <c r="W115"/>
  <c r="U550"/>
  <c r="V482"/>
  <c r="U470"/>
  <c r="U75"/>
  <c r="W526"/>
  <c r="U558"/>
  <c r="W554"/>
  <c r="W510"/>
  <c r="U618"/>
  <c r="W530"/>
  <c r="V167"/>
  <c r="W534"/>
  <c r="W11"/>
  <c r="W466"/>
  <c r="U7"/>
  <c r="W446"/>
  <c r="U582"/>
  <c r="W618"/>
  <c r="U387"/>
  <c r="U514"/>
  <c r="W474"/>
  <c r="U430"/>
  <c r="V546"/>
  <c r="U367"/>
  <c r="U379"/>
  <c r="W558"/>
  <c r="W610"/>
  <c r="W562"/>
  <c r="U227"/>
  <c r="V442"/>
  <c r="W111"/>
  <c r="U606"/>
  <c r="G11" i="22"/>
  <c r="F25"/>
  <c r="U127" i="21"/>
  <c r="W107"/>
  <c r="W55"/>
  <c r="U494"/>
  <c r="U546"/>
  <c r="U562"/>
  <c r="V586"/>
  <c r="U502"/>
  <c r="U3"/>
  <c r="W542"/>
  <c r="V570"/>
  <c r="U267"/>
  <c r="W367"/>
  <c r="W167"/>
  <c r="U275"/>
  <c r="V470"/>
  <c r="U522"/>
  <c r="V319"/>
  <c r="W63"/>
  <c r="U283"/>
  <c r="W454"/>
  <c r="U578"/>
  <c r="V434"/>
  <c r="V63"/>
  <c r="W522"/>
  <c r="V538"/>
  <c r="V375"/>
  <c r="W602"/>
  <c r="V315"/>
  <c r="V462"/>
  <c r="W7"/>
  <c r="W3"/>
  <c r="W506"/>
  <c r="V526"/>
  <c r="U107"/>
  <c r="W450"/>
  <c r="U223"/>
  <c r="V478"/>
  <c r="U486"/>
  <c r="V558"/>
  <c r="V498"/>
  <c r="U231"/>
  <c r="U55"/>
  <c r="U466"/>
  <c r="W271"/>
  <c r="V111"/>
  <c r="W462"/>
  <c r="V159"/>
  <c r="U327"/>
  <c r="U490"/>
  <c r="V494"/>
  <c r="U438"/>
  <c r="V574"/>
  <c r="W267"/>
  <c r="U71"/>
  <c r="V562"/>
  <c r="V163"/>
  <c r="W598"/>
  <c r="V522"/>
  <c r="W375"/>
  <c r="G7" i="22"/>
  <c r="F27"/>
  <c r="G8"/>
  <c r="F28"/>
  <c r="F23"/>
  <c r="R425" i="21" l="1"/>
  <c r="K14" i="22"/>
  <c r="S424" i="21"/>
  <c r="Q423"/>
  <c r="Q424"/>
  <c r="R424"/>
  <c r="S425"/>
  <c r="H11" i="22"/>
  <c r="E11"/>
  <c r="G21"/>
  <c r="G24"/>
  <c r="H7"/>
  <c r="D8"/>
  <c r="D24"/>
  <c r="D9"/>
  <c r="D25"/>
  <c r="E9"/>
  <c r="E22"/>
  <c r="H6"/>
  <c r="C22"/>
  <c r="C6"/>
  <c r="D7"/>
  <c r="D23"/>
  <c r="G23"/>
  <c r="C7"/>
  <c r="C23"/>
  <c r="H9"/>
  <c r="D27"/>
  <c r="D11"/>
  <c r="F11"/>
  <c r="G25"/>
  <c r="E8"/>
  <c r="C26"/>
  <c r="C10"/>
  <c r="D26"/>
  <c r="D10"/>
  <c r="C21"/>
  <c r="C5"/>
  <c r="C13" s="1"/>
  <c r="D28"/>
  <c r="D12"/>
  <c r="E24"/>
  <c r="E27"/>
  <c r="H10"/>
  <c r="F9"/>
  <c r="G28"/>
  <c r="E23"/>
  <c r="H5"/>
  <c r="F8"/>
  <c r="G22"/>
  <c r="C28"/>
  <c r="C12"/>
  <c r="E21"/>
  <c r="H8"/>
  <c r="G27"/>
  <c r="E7"/>
  <c r="D21"/>
  <c r="D5"/>
  <c r="E28"/>
  <c r="G26"/>
  <c r="E10"/>
  <c r="C24"/>
  <c r="C8"/>
  <c r="E26"/>
  <c r="F10"/>
  <c r="F7"/>
  <c r="C27"/>
  <c r="C11"/>
  <c r="F6"/>
  <c r="E12"/>
  <c r="F5"/>
  <c r="F13" s="1"/>
  <c r="E5"/>
  <c r="E25"/>
  <c r="E6"/>
  <c r="H12"/>
  <c r="F12"/>
  <c r="C25"/>
  <c r="C9"/>
  <c r="D22"/>
  <c r="D6"/>
  <c r="J15"/>
  <c r="J13"/>
  <c r="J14"/>
  <c r="I15"/>
  <c r="K13"/>
  <c r="K15"/>
  <c r="I14"/>
  <c r="I13"/>
  <c r="G14"/>
  <c r="G15"/>
  <c r="G13"/>
  <c r="F29"/>
  <c r="F31"/>
  <c r="F30"/>
  <c r="D29" l="1"/>
  <c r="D31"/>
  <c r="E29"/>
  <c r="E31"/>
  <c r="C14"/>
  <c r="F14"/>
  <c r="E14"/>
  <c r="D15"/>
  <c r="G29"/>
  <c r="E13"/>
  <c r="E15"/>
  <c r="H13"/>
  <c r="H15"/>
  <c r="C29"/>
  <c r="C31"/>
  <c r="F15"/>
  <c r="C30"/>
  <c r="D13"/>
  <c r="H14"/>
  <c r="G31"/>
  <c r="E30"/>
  <c r="D30"/>
  <c r="C15"/>
  <c r="D14"/>
  <c r="G30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<sst xmlns="http://schemas.openxmlformats.org/spreadsheetml/2006/main" count="246" uniqueCount="62">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</sst>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3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8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20"/>
      <color theme="1"/>
      <name val="맑은 고딕"/>
      <family val="3"/>
      <charset val="129"/>
      <scheme val="minor"/>
    </font>
    <font>
      <sz val="12"/>
      <color theme="1" tint="0.49998474074526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6" fillId="0" borderId="7" xfId="0" applyFont="1" applyBorder="1"/>
    <xf numFmtId="0" fontId="6" fillId="0" borderId="10" xfId="0" applyFont="1" applyBorder="1"/>
    <xf numFmtId="0" fontId="6" fillId="0" borderId="6" xfId="0" applyFont="1" applyBorder="1"/>
    <xf numFmtId="0" fontId="6" fillId="0" borderId="8" xfId="0" applyFont="1" applyBorder="1"/>
    <xf numFmtId="0" fontId="1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6" fillId="0" borderId="4" xfId="0" applyFont="1" applyBorder="1"/>
    <xf numFmtId="0" fontId="6" fillId="0" borderId="9" xfId="0" applyFont="1" applyBorder="1"/>
    <xf numFmtId="2" fontId="6" fillId="0" borderId="5" xfId="0" applyNumberFormat="1" applyFont="1" applyBorder="1"/>
    <xf numFmtId="2" fontId="6" fillId="0" borderId="0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6" fontId="6" fillId="0" borderId="0" xfId="0" applyNumberFormat="1" applyFont="1" applyBorder="1"/>
    <xf numFmtId="176" fontId="6" fillId="0" borderId="10" xfId="0" applyNumberFormat="1" applyFont="1" applyBorder="1"/>
    <xf numFmtId="0" fontId="6" fillId="0" borderId="12" xfId="0" applyFont="1" applyBorder="1"/>
    <xf numFmtId="176" fontId="6" fillId="0" borderId="12" xfId="0" applyNumberFormat="1" applyFont="1" applyBorder="1"/>
    <xf numFmtId="176" fontId="6" fillId="0" borderId="13" xfId="0" applyNumberFormat="1" applyFont="1" applyBorder="1"/>
    <xf numFmtId="0" fontId="6" fillId="0" borderId="14" xfId="0" applyFont="1" applyBorder="1"/>
    <xf numFmtId="0" fontId="6" fillId="0" borderId="11" xfId="0" applyFont="1" applyBorder="1"/>
    <xf numFmtId="0" fontId="6" fillId="0" borderId="13" xfId="0" applyFont="1" applyBorder="1"/>
    <xf numFmtId="0" fontId="6" fillId="0" borderId="12" xfId="0" applyFont="1" applyBorder="1" applyAlignment="1">
      <alignment horizontal="center"/>
    </xf>
    <xf numFmtId="176" fontId="6" fillId="0" borderId="9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4" xfId="0" applyNumberFormat="1" applyFont="1" applyBorder="1" applyAlignment="1">
      <alignment horizontal="center"/>
    </xf>
    <xf numFmtId="176" fontId="6" fillId="0" borderId="5" xfId="0" applyNumberFormat="1" applyFont="1" applyBorder="1" applyAlignment="1">
      <alignment horizontal="center"/>
    </xf>
    <xf numFmtId="176" fontId="6" fillId="0" borderId="7" xfId="0" applyNumberFormat="1" applyFont="1" applyBorder="1" applyAlignment="1">
      <alignment horizontal="center"/>
    </xf>
    <xf numFmtId="176" fontId="6" fillId="0" borderId="0" xfId="0" applyNumberFormat="1" applyFont="1" applyBorder="1" applyAlignment="1">
      <alignment horizontal="center"/>
    </xf>
    <xf numFmtId="176" fontId="6" fillId="0" borderId="14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7" fillId="0" borderId="0" xfId="0" applyFont="1" applyBorder="1"/>
    <xf numFmtId="2" fontId="6" fillId="0" borderId="0" xfId="0" applyNumberFormat="1" applyFont="1" applyFill="1" applyBorder="1"/>
    <xf numFmtId="2" fontId="6" fillId="0" borderId="10" xfId="0" applyNumberFormat="1" applyFont="1" applyFill="1" applyBorder="1"/>
    <xf numFmtId="2" fontId="6" fillId="0" borderId="12" xfId="0" applyNumberFormat="1" applyFont="1" applyFill="1" applyBorder="1"/>
    <xf numFmtId="2" fontId="6" fillId="0" borderId="13" xfId="0" applyNumberFormat="1" applyFont="1" applyFill="1" applyBorder="1"/>
    <xf numFmtId="177" fontId="6" fillId="0" borderId="0" xfId="0" applyNumberFormat="1" applyFont="1" applyFill="1" applyBorder="1"/>
    <xf numFmtId="0" fontId="6" fillId="0" borderId="11" xfId="0" applyFont="1" applyBorder="1" applyAlignment="1">
      <alignment horizontal="center"/>
    </xf>
    <xf numFmtId="2" fontId="6" fillId="0" borderId="12" xfId="0" applyNumberFormat="1" applyFont="1" applyBorder="1"/>
    <xf numFmtId="2" fontId="6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77" fontId="6" fillId="0" borderId="5" xfId="0" applyNumberFormat="1" applyFont="1" applyFill="1" applyBorder="1"/>
    <xf numFmtId="2" fontId="6" fillId="0" borderId="5" xfId="0" applyNumberFormat="1" applyFont="1" applyFill="1" applyBorder="1"/>
    <xf numFmtId="2" fontId="6" fillId="0" borderId="7" xfId="0" applyNumberFormat="1" applyFont="1" applyFill="1" applyBorder="1"/>
    <xf numFmtId="177" fontId="6" fillId="0" borderId="12" xfId="0" applyNumberFormat="1" applyFont="1" applyFill="1" applyBorder="1"/>
    <xf numFmtId="177" fontId="6" fillId="0" borderId="4" xfId="0" applyNumberFormat="1" applyFont="1" applyFill="1" applyBorder="1"/>
    <xf numFmtId="177" fontId="6" fillId="0" borderId="9" xfId="0" applyNumberFormat="1" applyFont="1" applyFill="1" applyBorder="1"/>
    <xf numFmtId="177" fontId="6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8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9" fillId="0" borderId="1" xfId="0" applyFont="1" applyBorder="1"/>
    <xf numFmtId="176" fontId="10" fillId="0" borderId="1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176" fontId="10" fillId="0" borderId="14" xfId="0" applyNumberFormat="1" applyFont="1" applyBorder="1" applyAlignment="1">
      <alignment horizontal="center"/>
    </xf>
    <xf numFmtId="176" fontId="10" fillId="0" borderId="13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0" fontId="11" fillId="0" borderId="0" xfId="0" applyFont="1"/>
    <xf numFmtId="176" fontId="9" fillId="0" borderId="0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Border="1"/>
    <xf numFmtId="176" fontId="6" fillId="0" borderId="15" xfId="0" applyNumberFormat="1" applyFont="1" applyBorder="1" applyAlignment="1">
      <alignment horizontal="center"/>
    </xf>
    <xf numFmtId="176" fontId="6" fillId="0" borderId="16" xfId="0" applyNumberFormat="1" applyFont="1" applyBorder="1" applyAlignment="1">
      <alignment horizontal="center"/>
    </xf>
    <xf numFmtId="176" fontId="6" fillId="0" borderId="17" xfId="0" applyNumberFormat="1" applyFont="1" applyBorder="1" applyAlignment="1">
      <alignment horizontal="center"/>
    </xf>
    <xf numFmtId="176" fontId="9" fillId="0" borderId="17" xfId="0" applyNumberFormat="1" applyFont="1" applyBorder="1" applyAlignment="1">
      <alignment horizontal="center"/>
    </xf>
    <xf numFmtId="176" fontId="10" fillId="0" borderId="12" xfId="0" applyNumberFormat="1" applyFont="1" applyBorder="1" applyAlignment="1">
      <alignment horizontal="center"/>
    </xf>
    <xf numFmtId="0" fontId="6" fillId="2" borderId="4" xfId="0" applyFont="1" applyFill="1" applyBorder="1"/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 wrapText="1"/>
    </xf>
    <xf numFmtId="0" fontId="6" fillId="2" borderId="5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6" fillId="2" borderId="15" xfId="0" applyFont="1" applyFill="1" applyBorder="1" applyAlignment="1">
      <alignment horizontal="center"/>
    </xf>
    <xf numFmtId="177" fontId="6" fillId="0" borderId="0" xfId="0" applyNumberFormat="1" applyFont="1"/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10" fontId="10" fillId="0" borderId="3" xfId="0" applyNumberFormat="1" applyFont="1" applyBorder="1" applyAlignment="1">
      <alignment horizontal="center"/>
    </xf>
    <xf numFmtId="10" fontId="10" fillId="0" borderId="14" xfId="0" applyNumberFormat="1" applyFont="1" applyBorder="1" applyAlignment="1">
      <alignment horizontal="center"/>
    </xf>
    <xf numFmtId="10" fontId="10" fillId="0" borderId="12" xfId="0" applyNumberFormat="1" applyFont="1" applyBorder="1" applyAlignment="1">
      <alignment horizontal="center"/>
    </xf>
    <xf numFmtId="10" fontId="10" fillId="0" borderId="13" xfId="0" applyNumberFormat="1" applyFont="1" applyBorder="1" applyAlignment="1">
      <alignment horizontal="center"/>
    </xf>
    <xf numFmtId="0" fontId="14" fillId="0" borderId="19" xfId="1" applyFill="1" applyBorder="1" applyAlignment="1">
      <alignment horizontal="center"/>
    </xf>
    <xf numFmtId="0" fontId="14" fillId="0" borderId="19" xfId="1" applyBorder="1" applyAlignment="1">
      <alignment horizontal="center"/>
    </xf>
    <xf numFmtId="0" fontId="14" fillId="0" borderId="18" xfId="1" applyBorder="1" applyAlignment="1">
      <alignment horizontal="center"/>
    </xf>
    <xf numFmtId="0" fontId="14" fillId="0" borderId="0" xfId="1" applyFill="1" applyBorder="1" applyAlignment="1">
      <alignment horizontal="center"/>
    </xf>
    <xf numFmtId="0" fontId="14" fillId="0" borderId="0" xfId="1" applyBorder="1" applyAlignment="1">
      <alignment horizontal="center"/>
    </xf>
    <xf numFmtId="0" fontId="14" fillId="0" borderId="20" xfId="1" applyBorder="1" applyAlignment="1">
      <alignment horizontal="center"/>
    </xf>
    <xf numFmtId="0" fontId="14" fillId="0" borderId="22" xfId="1" applyFill="1" applyBorder="1" applyAlignment="1">
      <alignment horizontal="center"/>
    </xf>
    <xf numFmtId="0" fontId="14" fillId="0" borderId="22" xfId="1" applyBorder="1" applyAlignment="1">
      <alignment horizontal="center"/>
    </xf>
    <xf numFmtId="0" fontId="14" fillId="0" borderId="21" xfId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4" fillId="0" borderId="19" xfId="7" applyFill="1" applyBorder="1" applyAlignment="1">
      <alignment horizontal="center"/>
    </xf>
    <xf numFmtId="0" fontId="14" fillId="0" borderId="19" xfId="7" applyBorder="1" applyAlignment="1">
      <alignment horizontal="center"/>
    </xf>
    <xf numFmtId="0" fontId="14" fillId="0" borderId="18" xfId="7" applyBorder="1" applyAlignment="1">
      <alignment horizontal="center"/>
    </xf>
    <xf numFmtId="0" fontId="14" fillId="0" borderId="0" xfId="7" applyFill="1" applyBorder="1" applyAlignment="1">
      <alignment horizontal="center"/>
    </xf>
    <xf numFmtId="0" fontId="14" fillId="0" borderId="0" xfId="7" applyBorder="1" applyAlignment="1">
      <alignment horizontal="center"/>
    </xf>
    <xf numFmtId="0" fontId="14" fillId="0" borderId="20" xfId="7" applyBorder="1" applyAlignment="1">
      <alignment horizontal="center"/>
    </xf>
    <xf numFmtId="0" fontId="14" fillId="0" borderId="22" xfId="7" applyFill="1" applyBorder="1" applyAlignment="1">
      <alignment horizontal="center"/>
    </xf>
    <xf numFmtId="0" fontId="14" fillId="0" borderId="22" xfId="7" applyBorder="1" applyAlignment="1">
      <alignment horizontal="center"/>
    </xf>
    <xf numFmtId="0" fontId="14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18" sqref="K18"/>
    </sheetView>
  </sheetViews>
  <sheetFormatPr defaultRowHeight="17.25"/>
  <cols>
    <col min="2" max="2" width="10.6640625" customWidth="1"/>
    <col min="3" max="8" width="10" customWidth="1"/>
    <col min="11" max="11" width="8.88671875" customWidth="1"/>
    <col min="14" max="14" width="10.33203125" style="99" customWidth="1"/>
    <col min="15" max="18" width="9" style="99" customWidth="1"/>
    <col min="19" max="19" width="13" style="99" customWidth="1"/>
    <col min="20" max="20" width="15.109375" style="99" customWidth="1"/>
  </cols>
  <sheetData>
    <row r="2" spans="1:20" ht="31.5">
      <c r="B2" s="97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15">
        <f>'experimental data'!U3</f>
        <v>0</v>
      </c>
      <c r="D5" s="116">
        <f>'experimental data'!U7</f>
        <v>-1.1846473591597961E-3</v>
      </c>
      <c r="E5" s="117">
        <f>'experimental data'!U11</f>
        <v>7.3090824231747398E-4</v>
      </c>
      <c r="F5" s="115">
        <f>'experimental data'!U434</f>
        <v>-5.842297364377913E-5</v>
      </c>
      <c r="G5" s="116">
        <f>bdrate('experimental data'!E450:E453,'experimental data'!F434:F437,'experimental data'!M450:M453,'experimental data'!N434:N437)</f>
        <v>2.5020764451433308E-6</v>
      </c>
      <c r="H5" s="117">
        <f>'experimental data'!U442</f>
        <v>-1.2639671163394706E-4</v>
      </c>
      <c r="I5" s="57">
        <f>'experimental data'!Y51</f>
        <v>1.0023152459305835</v>
      </c>
      <c r="J5" s="101">
        <f>'experimental data'!Z51</f>
        <v>1.0056743965203048</v>
      </c>
      <c r="K5" s="58">
        <f>'experimental data'!AA51</f>
        <v>1.0036675556727732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18">
        <f>'experimental data'!U55</f>
        <v>0</v>
      </c>
      <c r="D6" s="119">
        <f>'experimental data'!U59</f>
        <v>-4.524650814858866E-4</v>
      </c>
      <c r="E6" s="120">
        <f>'experimental data'!U63</f>
        <v>6.0061046847526001E-5</v>
      </c>
      <c r="F6" s="118">
        <f>'experimental data'!U458</f>
        <v>-4.1442012578951637E-4</v>
      </c>
      <c r="G6" s="119">
        <f>bdrate('experimental data'!E474:E477,'experimental data'!F458:F461,'experimental data'!M474:M477,'experimental data'!N458:N461)</f>
        <v>-3.7758986970914954E-4</v>
      </c>
      <c r="H6" s="120">
        <f>'experimental data'!U466</f>
        <v>6.1561567286050334E-4</v>
      </c>
      <c r="I6" s="59">
        <f>'experimental data'!Y103</f>
        <v>1.0071678972434492</v>
      </c>
      <c r="J6" s="102">
        <f>'experimental data'!Z103</f>
        <v>1.0014349773923734</v>
      </c>
      <c r="K6" s="55">
        <f>'experimental data'!AA103</f>
        <v>0.99191790109157052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18">
        <f>'experimental data'!U107</f>
        <v>0</v>
      </c>
      <c r="D7" s="119">
        <f>'experimental data'!U111</f>
        <v>1.443156911656196E-3</v>
      </c>
      <c r="E7" s="120">
        <f>'experimental data'!U115</f>
        <v>-1.7308682012551202E-3</v>
      </c>
      <c r="F7" s="118">
        <f>'experimental data'!U482</f>
        <v>5.9195908941767073E-5</v>
      </c>
      <c r="G7" s="119">
        <f>bdrate('experimental data'!E498:E501,'experimental data'!F482:F485,'experimental data'!M498:M501,'experimental data'!N482:N485)</f>
        <v>-6.4409511422169885E-5</v>
      </c>
      <c r="H7" s="120">
        <f>'experimental data'!U490</f>
        <v>-1.0102917674159606E-4</v>
      </c>
      <c r="I7" s="59">
        <f>'experimental data'!Y155</f>
        <v>1.0002861707262487</v>
      </c>
      <c r="J7" s="102">
        <f>'experimental data'!Z155</f>
        <v>0.9323802734982829</v>
      </c>
      <c r="K7" s="55">
        <f>'experimental data'!AA155</f>
        <v>0.9966839589321409</v>
      </c>
      <c r="L7" s="87"/>
      <c r="M7" s="5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18">
        <f>'experimental data'!U159</f>
        <v>0</v>
      </c>
      <c r="D8" s="119">
        <f>'experimental data'!U163</f>
        <v>-3.552122403584379E-3</v>
      </c>
      <c r="E8" s="120">
        <f>'experimental data'!U167</f>
        <v>-5.6483185293557669E-3</v>
      </c>
      <c r="F8" s="118">
        <f>'experimental data'!U506</f>
        <v>-1.220843454429521E-3</v>
      </c>
      <c r="G8" s="119">
        <f>bdrate('experimental data'!E522:E525,'experimental data'!F506:F509,'experimental data'!M522:M525,'experimental data'!N506:N509)</f>
        <v>-1.2085671216349736E-3</v>
      </c>
      <c r="H8" s="120">
        <f>'experimental data'!U514</f>
        <v>-9.1215955460588471E-4</v>
      </c>
      <c r="I8" s="59">
        <f>'experimental data'!Y207</f>
        <v>1.000116897648526</v>
      </c>
      <c r="J8" s="102">
        <f>'experimental data'!Z207</f>
        <v>1.0541753195284804</v>
      </c>
      <c r="K8" s="55">
        <f>'experimental data'!AA207</f>
        <v>0.99618541192642251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18">
        <f>'experimental data'!U211</f>
        <v>0</v>
      </c>
      <c r="D9" s="119">
        <f>'experimental data'!U215</f>
        <v>-2.1586109390845376E-3</v>
      </c>
      <c r="E9" s="120">
        <f>'experimental data'!U219</f>
        <v>-1.1610443101361945E-3</v>
      </c>
      <c r="F9" s="118">
        <f>'experimental data'!U530</f>
        <v>-7.5027222292012308E-4</v>
      </c>
      <c r="G9" s="119">
        <f>bdrate('experimental data'!E546:E549,'experimental data'!F530:F533,'experimental data'!M546:M549,'experimental data'!N530:N533)</f>
        <v>-5.1077925032338989E-4</v>
      </c>
      <c r="H9" s="120">
        <f>'experimental data'!U538</f>
        <v>7.8740121294940124E-5</v>
      </c>
      <c r="I9" s="59">
        <f>'experimental data'!Y259</f>
        <v>0.99798331642745741</v>
      </c>
      <c r="J9" s="102">
        <f>'experimental data'!Z259</f>
        <v>0.95334854361847332</v>
      </c>
      <c r="K9" s="55">
        <f>'experimental data'!AA259</f>
        <v>1.0031685637930525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18">
        <f>'experimental data'!U263</f>
        <v>0</v>
      </c>
      <c r="D10" s="119">
        <f>'experimental data'!U267</f>
        <v>-1.2322081089890524E-3</v>
      </c>
      <c r="E10" s="120">
        <f>'experimental data'!U271</f>
        <v>-8.8225691607468626E-4</v>
      </c>
      <c r="F10" s="118">
        <f>'experimental data'!U554</f>
        <v>-2.4450046324209218E-4</v>
      </c>
      <c r="G10" s="119">
        <f>bdrate('experimental data'!E570:E573,'experimental data'!F554:F557,'experimental data'!M570:M573,'experimental data'!N554:N557)</f>
        <v>-1.2217987355600535E-4</v>
      </c>
      <c r="H10" s="120">
        <f>'experimental data'!U562</f>
        <v>-7.256531978150349E-5</v>
      </c>
      <c r="I10" s="59">
        <f>'experimental data'!Y311</f>
        <v>1.0096789509577093</v>
      </c>
      <c r="J10" s="102">
        <f>'experimental data'!Z311</f>
        <v>1.043837849660854</v>
      </c>
      <c r="K10" s="55">
        <f>'experimental data'!AA311</f>
        <v>1.0155816981906562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18">
        <f>'experimental data'!U315</f>
        <v>0</v>
      </c>
      <c r="D11" s="119">
        <f>'experimental data'!U319</f>
        <v>-4.3194450841907983E-3</v>
      </c>
      <c r="E11" s="120">
        <f>'experimental data'!U323</f>
        <v>-4.8193996774154035E-3</v>
      </c>
      <c r="F11" s="118">
        <f>'experimental data'!U578</f>
        <v>-1.3518481894277956E-3</v>
      </c>
      <c r="G11" s="119">
        <f>bdrate('experimental data'!E594:E597,'experimental data'!F578:F581,'experimental data'!M594:M597,'experimental data'!N578:N581)</f>
        <v>-1.3530944560521396E-3</v>
      </c>
      <c r="H11" s="120">
        <f>'experimental data'!U586</f>
        <v>-9.2405696885711208E-4</v>
      </c>
      <c r="I11" s="59">
        <f>'experimental data'!Y363</f>
        <v>1.0007964005486281</v>
      </c>
      <c r="J11" s="102">
        <f>'experimental data'!Z363</f>
        <v>1.0846324975445489</v>
      </c>
      <c r="K11" s="55">
        <f>'experimental data'!AA363</f>
        <v>0.99423870133698</v>
      </c>
      <c r="L11" s="87"/>
      <c r="M11" s="59"/>
      <c r="N11" s="59"/>
      <c r="O11"/>
      <c r="P11"/>
      <c r="Q11"/>
      <c r="R11"/>
      <c r="S11"/>
      <c r="T11"/>
    </row>
    <row r="12" spans="1:20" ht="18" thickBot="1">
      <c r="A12" s="87"/>
      <c r="B12" s="50" t="str">
        <f>'experimental data'!B598</f>
        <v>Shark</v>
      </c>
      <c r="C12" s="121">
        <f>'experimental data'!U367</f>
        <v>0</v>
      </c>
      <c r="D12" s="122">
        <f>'experimental data'!U371</f>
        <v>-4.7091840999003987E-3</v>
      </c>
      <c r="E12" s="123">
        <f>'experimental data'!U375</f>
        <v>-4.2839538914716258E-3</v>
      </c>
      <c r="F12" s="121">
        <f>'experimental data'!U602</f>
        <v>-9.0655243618698034E-4</v>
      </c>
      <c r="G12" s="122">
        <f>bdrate('experimental data'!E618:E621,'experimental data'!F602:F605,'experimental data'!M618:M621,'experimental data'!N602:N605)</f>
        <v>-9.1827148501322231E-4</v>
      </c>
      <c r="H12" s="123">
        <f>'experimental data'!U610</f>
        <v>-7.8736267756396305E-4</v>
      </c>
      <c r="I12" s="61">
        <f>'experimental data'!Y415</f>
        <v>1.0009520792273616</v>
      </c>
      <c r="J12" s="103">
        <f>'experimental data'!Z415</f>
        <v>1.0348649309906879</v>
      </c>
      <c r="K12" s="62">
        <f>'experimental data'!AA415</f>
        <v>0.9989483479395227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15">
        <f t="shared" ref="C13:K13" si="0">AVERAGE(C5:C7)</f>
        <v>0</v>
      </c>
      <c r="D13" s="116">
        <f t="shared" si="0"/>
        <v>-6.4651842996495582E-5</v>
      </c>
      <c r="E13" s="117">
        <f t="shared" si="0"/>
        <v>-3.1329963736337341E-4</v>
      </c>
      <c r="F13" s="115">
        <f t="shared" si="0"/>
        <v>-1.3788239683050948E-4</v>
      </c>
      <c r="G13" s="116">
        <f t="shared" si="0"/>
        <v>-1.464991015620587E-4</v>
      </c>
      <c r="H13" s="117">
        <f t="shared" si="0"/>
        <v>1.2939659482832008E-4</v>
      </c>
      <c r="I13" s="56">
        <f t="shared" si="0"/>
        <v>1.0032564379667606</v>
      </c>
      <c r="J13" s="101">
        <f t="shared" si="0"/>
        <v>0.97982988247032043</v>
      </c>
      <c r="K13" s="58">
        <f t="shared" si="0"/>
        <v>0.99742313856549492</v>
      </c>
      <c r="L13" s="87"/>
      <c r="M13" s="59"/>
      <c r="N13" s="59"/>
      <c r="O13"/>
      <c r="P13"/>
      <c r="Q13"/>
      <c r="R13"/>
      <c r="S13"/>
      <c r="T13"/>
    </row>
    <row r="14" spans="1:20" ht="18" thickBot="1">
      <c r="A14" s="87"/>
      <c r="B14" s="36" t="s">
        <v>19</v>
      </c>
      <c r="C14" s="118">
        <f>AVERAGE(C8:C12)</f>
        <v>0</v>
      </c>
      <c r="D14" s="119">
        <f t="shared" ref="D14:K14" si="1">AVERAGE(D8:D12)</f>
        <v>-3.1943141271498334E-3</v>
      </c>
      <c r="E14" s="120">
        <f t="shared" si="1"/>
        <v>-3.3589946648907355E-3</v>
      </c>
      <c r="F14" s="121">
        <f t="shared" si="1"/>
        <v>-8.9480335324130242E-4</v>
      </c>
      <c r="G14" s="122">
        <f t="shared" si="1"/>
        <v>-8.2257843731594618E-4</v>
      </c>
      <c r="H14" s="123">
        <f t="shared" si="1"/>
        <v>-5.2348087990270462E-4</v>
      </c>
      <c r="I14" s="60">
        <f t="shared" si="1"/>
        <v>1.0019055289619365</v>
      </c>
      <c r="J14" s="103">
        <f t="shared" si="1"/>
        <v>1.034171828268609</v>
      </c>
      <c r="K14" s="62">
        <f t="shared" si="1"/>
        <v>1.0016245446373269</v>
      </c>
      <c r="L14" s="87"/>
      <c r="M14" s="59"/>
      <c r="N14" s="59"/>
      <c r="O14"/>
      <c r="P14"/>
      <c r="Q14"/>
      <c r="R14"/>
      <c r="S14"/>
      <c r="T14"/>
    </row>
    <row r="15" spans="1:20" ht="18" thickBot="1">
      <c r="A15" s="87"/>
      <c r="B15" s="90" t="s">
        <v>34</v>
      </c>
      <c r="C15" s="124">
        <f>AVERAGE(C5:C12)</f>
        <v>0</v>
      </c>
      <c r="D15" s="125">
        <f t="shared" ref="D15:K15" si="2">AVERAGE(D5:D12)</f>
        <v>-2.0206907705923316E-3</v>
      </c>
      <c r="E15" s="126">
        <f t="shared" si="2"/>
        <v>-2.2168590295679746E-3</v>
      </c>
      <c r="F15" s="127">
        <f t="shared" si="2"/>
        <v>-6.1095799458725508E-4</v>
      </c>
      <c r="G15" s="128">
        <f t="shared" si="2"/>
        <v>-5.6904868640823836E-4</v>
      </c>
      <c r="H15" s="129">
        <f t="shared" si="2"/>
        <v>-2.7865182687857037E-4</v>
      </c>
      <c r="I15" s="95">
        <f>AVERAGE(I5:I12)</f>
        <v>1.0024121198387455</v>
      </c>
      <c r="J15" s="104">
        <f t="shared" si="2"/>
        <v>1.0137935985942508</v>
      </c>
      <c r="K15" s="96">
        <f t="shared" si="2"/>
        <v>1.0000490173603898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31.5">
      <c r="B18" s="97" t="s">
        <v>46</v>
      </c>
      <c r="N18"/>
      <c r="O18"/>
      <c r="P18"/>
      <c r="Q18"/>
      <c r="R18"/>
      <c r="S18"/>
      <c r="T18"/>
    </row>
    <row r="19" spans="1:20" ht="18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0</v>
      </c>
      <c r="D21" s="9">
        <f>'experimental data'!U7</f>
        <v>-1.1846473591597961E-3</v>
      </c>
      <c r="E21" s="8">
        <f>'experimental data'!U430</f>
        <v>-1.694250562157551E-4</v>
      </c>
      <c r="F21" s="9">
        <f>bdrate('experimental data'!E446:E449,'experimental data'!F430:F433,'experimental data'!M446:M449,'experimental data'!N430:N433)</f>
        <v>-1.5891605610363069E-4</v>
      </c>
      <c r="G21" s="10">
        <f>'experimental data'!U438</f>
        <v>-5.6286760350865439E-4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0</v>
      </c>
      <c r="D22" s="18">
        <f>'experimental data'!U59</f>
        <v>-4.524650814858866E-4</v>
      </c>
      <c r="E22" s="17">
        <f>'experimental data'!U454</f>
        <v>-3.432708622671532E-4</v>
      </c>
      <c r="F22" s="18">
        <f>bdrate('experimental data'!E470:E473,'experimental data'!F454:F457,'experimental data'!M470:M473,'experimental data'!N454:N457)</f>
        <v>-1.8193835813884451E-4</v>
      </c>
      <c r="G22" s="19">
        <f>'experimental data'!U462</f>
        <v>1.1418481743881159E-3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1.443156911656196E-3</v>
      </c>
      <c r="E23" s="17">
        <f>'experimental data'!U478</f>
        <v>3.0825796733080502E-4</v>
      </c>
      <c r="F23" s="18">
        <f>bdrate('experimental data'!E494:E497,'experimental data'!F478:F481,'experimental data'!M494:M497,'experimental data'!N478:N481)</f>
        <v>4.8029437950347642E-5</v>
      </c>
      <c r="G23" s="19">
        <f>'experimental data'!U486</f>
        <v>2.3228424569787798E-4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-3.552122403584379E-3</v>
      </c>
      <c r="E24" s="17">
        <f>'experimental data'!U502</f>
        <v>-6.9896934934010613E-4</v>
      </c>
      <c r="F24" s="18">
        <f>bdrate('experimental data'!E518:E521,'experimental data'!F502:F505,'experimental data'!M518:M521,'experimental data'!N502:N505)</f>
        <v>-6.8326105621185906E-4</v>
      </c>
      <c r="G24" s="19">
        <f>'experimental data'!U510</f>
        <v>-4.1749960431836097E-4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-2.1586109390845376E-3</v>
      </c>
      <c r="E25" s="17">
        <f>'experimental data'!U526</f>
        <v>-3.7059001693318105E-4</v>
      </c>
      <c r="F25" s="18">
        <f>bdrate('experimental data'!E542:E545,'experimental data'!F526:F529,'experimental data'!M542:M545,'experimental data'!N526:N529)</f>
        <v>-2.2995460037755766E-4</v>
      </c>
      <c r="G25" s="19">
        <f>'experimental data'!U534</f>
        <v>-8.5740945120482692E-5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-1.2322081089890524E-3</v>
      </c>
      <c r="E26" s="17">
        <f>'experimental data'!U550</f>
        <v>-2.5454937485180906E-4</v>
      </c>
      <c r="F26" s="18">
        <f>bdrate('experimental data'!E566:E569,'experimental data'!F550:F553,'experimental data'!M566:M569,'experimental data'!N550:N553)</f>
        <v>-1.7856218684286773E-4</v>
      </c>
      <c r="G26" s="19">
        <f>'experimental data'!U558</f>
        <v>-2.2826201915437938E-4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-4.3194450841907983E-3</v>
      </c>
      <c r="E27" s="17">
        <f>'experimental data'!U574</f>
        <v>-8.6032612382469509E-4</v>
      </c>
      <c r="F27" s="18">
        <f>bdrate('experimental data'!E590:E593,'experimental data'!F574:F577,'experimental data'!M590:M593,'experimental data'!N574:N577)</f>
        <v>-8.0903554807199018E-4</v>
      </c>
      <c r="G27" s="19">
        <f>'experimental data'!U582</f>
        <v>-3.4797613057546695E-4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8" thickBot="1">
      <c r="A28" s="87"/>
      <c r="B28" s="50" t="str">
        <f>'experimental data'!B598</f>
        <v>Shark</v>
      </c>
      <c r="C28" s="88">
        <f>'experimental data'!U367</f>
        <v>0</v>
      </c>
      <c r="D28" s="72">
        <f>'experimental data'!U371</f>
        <v>-4.7091840999003987E-3</v>
      </c>
      <c r="E28" s="88">
        <f>'experimental data'!U598</f>
        <v>-5.2857944608708518E-4</v>
      </c>
      <c r="F28" s="72">
        <f>bdrate('experimental data'!E614:E617,'experimental data'!F598:F601,'experimental data'!M614:M617,'experimental data'!N598:N601)</f>
        <v>-5.8778315014829108E-4</v>
      </c>
      <c r="G28" s="89">
        <f>'experimental data'!U606</f>
        <v>-3.9155679160451928E-4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0</v>
      </c>
      <c r="D29" s="9">
        <f>AVERAGE(D21:D23)</f>
        <v>-6.4651842996495582E-5</v>
      </c>
      <c r="E29" s="8">
        <f>AVERAGE(E21:E23)</f>
        <v>-6.8145983717367756E-5</v>
      </c>
      <c r="F29" s="9">
        <f>AVERAGE(F21:F23)</f>
        <v>-9.7608325430709186E-5</v>
      </c>
      <c r="G29" s="10">
        <f>AVERAGE(G21:G23)</f>
        <v>2.7042160552577982E-4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8" thickBot="1">
      <c r="A30" s="87"/>
      <c r="B30" s="36" t="s">
        <v>19</v>
      </c>
      <c r="C30" s="17">
        <f>AVERAGE(C24:C28)</f>
        <v>0</v>
      </c>
      <c r="D30" s="18">
        <f>AVERAGE(D24:D28)</f>
        <v>-3.1943141271498334E-3</v>
      </c>
      <c r="E30" s="88">
        <f>AVERAGE(E24:E28)</f>
        <v>-5.4260286220737526E-4</v>
      </c>
      <c r="F30" s="72">
        <f>AVERAGE(F24:F28)</f>
        <v>-4.9771930833051312E-4</v>
      </c>
      <c r="G30" s="89">
        <f>AVERAGE(G24:G28)</f>
        <v>-2.9420709815464186E-4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8" thickBot="1">
      <c r="A31" s="87"/>
      <c r="B31" s="90" t="s">
        <v>34</v>
      </c>
      <c r="C31" s="91">
        <f>AVERAGE(C21:C28)</f>
        <v>0</v>
      </c>
      <c r="D31" s="92">
        <f>AVERAGE(D21:D28)</f>
        <v>-2.0206907705923316E-3</v>
      </c>
      <c r="E31" s="93">
        <f>AVERAGE(E21:E28)</f>
        <v>-3.6468153277362247E-4</v>
      </c>
      <c r="F31" s="105">
        <f>AVERAGE(F21:F28)</f>
        <v>-3.4767768974308666E-4</v>
      </c>
      <c r="G31" s="94">
        <f>AVERAGE(G21:G28)</f>
        <v>-8.2471334274483721E-5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5" type="noConversion"/>
  <conditionalFormatting sqref="C594:E1643 C5:E11 F6:H11 C170:H593 C147:H168 C124:H144 C101:H120 C78:H96 C55:H72 C33:H48 H28 C13:E15">
    <cfRule type="cellIs" dxfId="603" priority="93" operator="greaterThan">
      <formula>0.03</formula>
    </cfRule>
    <cfRule type="cellIs" dxfId="602" priority="94" stopIfTrue="1" operator="lessThan">
      <formula>-0.03</formula>
    </cfRule>
  </conditionalFormatting>
  <conditionalFormatting sqref="F5:H5 G7 G9 G11">
    <cfRule type="cellIs" dxfId="601" priority="89" operator="greaterThan">
      <formula>0.03</formula>
    </cfRule>
    <cfRule type="cellIs" dxfId="600" priority="90" stopIfTrue="1" operator="lessThan">
      <formula>-0.03</formula>
    </cfRule>
  </conditionalFormatting>
  <conditionalFormatting sqref="F13:H13">
    <cfRule type="cellIs" dxfId="599" priority="51" operator="greaterThan">
      <formula>0.03</formula>
    </cfRule>
    <cfRule type="cellIs" dxfId="598" priority="52" stopIfTrue="1" operator="lessThan">
      <formula>-0.03</formula>
    </cfRule>
  </conditionalFormatting>
  <conditionalFormatting sqref="F14:H15">
    <cfRule type="cellIs" dxfId="597" priority="49" operator="greaterThan">
      <formula>0.03</formula>
    </cfRule>
    <cfRule type="cellIs" dxfId="596" priority="50" stopIfTrue="1" operator="lessThan">
      <formula>-0.03</formula>
    </cfRule>
  </conditionalFormatting>
  <conditionalFormatting sqref="C21:D27 E22:G27">
    <cfRule type="cellIs" dxfId="595" priority="47" operator="greaterThan">
      <formula>0.03</formula>
    </cfRule>
    <cfRule type="cellIs" dxfId="594" priority="48" stopIfTrue="1" operator="lessThan">
      <formula>-0.03</formula>
    </cfRule>
  </conditionalFormatting>
  <conditionalFormatting sqref="E21:G21">
    <cfRule type="cellIs" dxfId="593" priority="45" operator="greaterThan">
      <formula>0.03</formula>
    </cfRule>
    <cfRule type="cellIs" dxfId="592" priority="46" stopIfTrue="1" operator="lessThan">
      <formula>-0.03</formula>
    </cfRule>
  </conditionalFormatting>
  <conditionalFormatting sqref="E29:G29">
    <cfRule type="cellIs" dxfId="591" priority="37" operator="greaterThan">
      <formula>0.03</formula>
    </cfRule>
    <cfRule type="cellIs" dxfId="590" priority="38" stopIfTrue="1" operator="lessThan">
      <formula>-0.03</formula>
    </cfRule>
  </conditionalFormatting>
  <conditionalFormatting sqref="E30:G31">
    <cfRule type="cellIs" dxfId="589" priority="35" operator="greaterThan">
      <formula>0.03</formula>
    </cfRule>
    <cfRule type="cellIs" dxfId="588" priority="36" stopIfTrue="1" operator="lessThan">
      <formula>-0.03</formula>
    </cfRule>
  </conditionalFormatting>
  <conditionalFormatting sqref="C29:D31">
    <cfRule type="cellIs" dxfId="587" priority="39" operator="greaterThan">
      <formula>0.03</formula>
    </cfRule>
    <cfRule type="cellIs" dxfId="586" priority="40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H818"/>
  <sheetViews>
    <sheetView zoomScale="85" zoomScaleNormal="85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886718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34" ht="16.5" customHeight="1" thickBot="1">
      <c r="A1" s="14"/>
      <c r="B1" s="13"/>
      <c r="C1" s="11"/>
      <c r="D1" s="29"/>
      <c r="E1" s="141" t="s">
        <v>2</v>
      </c>
      <c r="F1" s="141"/>
      <c r="G1" s="141"/>
      <c r="H1" s="141"/>
      <c r="I1" s="141"/>
      <c r="J1" s="141"/>
      <c r="K1" s="142"/>
      <c r="L1" s="11"/>
      <c r="M1" s="143" t="s">
        <v>3</v>
      </c>
      <c r="N1" s="141"/>
      <c r="O1" s="141"/>
      <c r="P1" s="141"/>
      <c r="Q1" s="141"/>
      <c r="R1" s="141"/>
      <c r="S1" s="142"/>
      <c r="T1" s="34"/>
      <c r="U1" s="143" t="s">
        <v>10</v>
      </c>
      <c r="V1" s="141"/>
      <c r="W1" s="142"/>
      <c r="X1" s="29"/>
      <c r="Y1" s="139" t="s">
        <v>1</v>
      </c>
      <c r="Z1" s="139"/>
      <c r="AA1" s="140"/>
    </row>
    <row r="2" spans="1:34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34" ht="12.75">
      <c r="A3" s="26" t="s">
        <v>18</v>
      </c>
      <c r="B3" s="35" t="s">
        <v>11</v>
      </c>
      <c r="C3" s="28" t="s">
        <v>26</v>
      </c>
      <c r="D3" s="31">
        <v>25</v>
      </c>
      <c r="E3" s="130">
        <v>878.15440000000001</v>
      </c>
      <c r="F3" s="130">
        <v>43.095199999999998</v>
      </c>
      <c r="G3" s="130">
        <v>43.402000000000001</v>
      </c>
      <c r="H3" s="130">
        <v>43.971200000000003</v>
      </c>
      <c r="I3" s="130"/>
      <c r="J3" s="131"/>
      <c r="K3" s="132"/>
      <c r="L3" s="29"/>
      <c r="M3" s="144">
        <v>878.15440000000001</v>
      </c>
      <c r="N3" s="144">
        <v>43.095199999999998</v>
      </c>
      <c r="O3" s="144">
        <v>43.402000000000001</v>
      </c>
      <c r="P3" s="144">
        <v>43.971200000000003</v>
      </c>
      <c r="Q3" s="144"/>
      <c r="R3" s="145"/>
      <c r="S3" s="146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B3" s="114"/>
      <c r="AC3" s="114"/>
      <c r="AD3" s="114"/>
      <c r="AE3" s="114"/>
      <c r="AF3" s="114"/>
      <c r="AG3" s="114"/>
      <c r="AH3" s="114"/>
    </row>
    <row r="4" spans="1:34" ht="12.75">
      <c r="A4" s="27"/>
      <c r="B4" s="36"/>
      <c r="C4" s="29"/>
      <c r="D4" s="32">
        <v>30</v>
      </c>
      <c r="E4" s="133">
        <v>481.56639999999999</v>
      </c>
      <c r="F4" s="133">
        <v>41.045999999999999</v>
      </c>
      <c r="G4" s="133">
        <v>42.140300000000003</v>
      </c>
      <c r="H4" s="133">
        <v>42.332299999999996</v>
      </c>
      <c r="I4" s="133"/>
      <c r="J4" s="134"/>
      <c r="K4" s="135"/>
      <c r="L4" s="29"/>
      <c r="M4" s="147">
        <v>481.56639999999999</v>
      </c>
      <c r="N4" s="147">
        <v>41.045999999999999</v>
      </c>
      <c r="O4" s="147">
        <v>42.140300000000003</v>
      </c>
      <c r="P4" s="147">
        <v>42.332299999999996</v>
      </c>
      <c r="Q4" s="147"/>
      <c r="R4" s="148"/>
      <c r="S4" s="149"/>
      <c r="U4" s="41"/>
      <c r="V4" s="42"/>
      <c r="W4" s="43"/>
      <c r="X4" s="29"/>
      <c r="Y4" s="24"/>
      <c r="Z4" s="24"/>
      <c r="AA4" s="27"/>
      <c r="AB4" s="114"/>
      <c r="AC4" s="114"/>
      <c r="AD4" s="114"/>
      <c r="AE4" s="114"/>
      <c r="AF4" s="114"/>
      <c r="AG4" s="114"/>
      <c r="AH4" s="114"/>
    </row>
    <row r="5" spans="1:34" ht="12.75">
      <c r="A5" s="27"/>
      <c r="B5" s="36"/>
      <c r="C5" s="29"/>
      <c r="D5" s="32">
        <v>35</v>
      </c>
      <c r="E5" s="133">
        <v>277.18239999999997</v>
      </c>
      <c r="F5" s="133">
        <v>38.456600000000002</v>
      </c>
      <c r="G5" s="133">
        <v>40.6462</v>
      </c>
      <c r="H5" s="133">
        <v>40.521599999999999</v>
      </c>
      <c r="I5" s="133"/>
      <c r="J5" s="134"/>
      <c r="K5" s="135"/>
      <c r="L5" s="29"/>
      <c r="M5" s="147">
        <v>277.18239999999997</v>
      </c>
      <c r="N5" s="147">
        <v>38.456600000000002</v>
      </c>
      <c r="O5" s="147">
        <v>40.6462</v>
      </c>
      <c r="P5" s="147">
        <v>40.521599999999999</v>
      </c>
      <c r="Q5" s="147"/>
      <c r="R5" s="148"/>
      <c r="S5" s="149"/>
      <c r="U5" s="41"/>
      <c r="V5" s="42"/>
      <c r="W5" s="43"/>
      <c r="X5" s="29"/>
      <c r="Y5" s="24"/>
      <c r="Z5" s="24"/>
      <c r="AA5" s="27"/>
      <c r="AB5" s="114"/>
      <c r="AC5" s="114"/>
      <c r="AD5" s="114"/>
      <c r="AE5" s="114"/>
      <c r="AF5" s="114"/>
      <c r="AG5" s="114"/>
      <c r="AH5" s="114"/>
    </row>
    <row r="6" spans="1:34" ht="13.5" thickBot="1">
      <c r="A6" s="27"/>
      <c r="B6" s="36"/>
      <c r="C6" s="29"/>
      <c r="D6" s="32">
        <v>40</v>
      </c>
      <c r="E6" s="136">
        <v>167.7</v>
      </c>
      <c r="F6" s="136">
        <v>35.633899999999997</v>
      </c>
      <c r="G6" s="136">
        <v>39.5593</v>
      </c>
      <c r="H6" s="136">
        <v>39.209499999999998</v>
      </c>
      <c r="I6" s="136"/>
      <c r="J6" s="137"/>
      <c r="K6" s="138"/>
      <c r="L6" s="29"/>
      <c r="M6" s="150">
        <v>167.7</v>
      </c>
      <c r="N6" s="150">
        <v>35.633899999999997</v>
      </c>
      <c r="O6" s="150">
        <v>39.5593</v>
      </c>
      <c r="P6" s="150">
        <v>39.209499999999998</v>
      </c>
      <c r="Q6" s="150"/>
      <c r="R6" s="151"/>
      <c r="S6" s="152"/>
      <c r="U6" s="41"/>
      <c r="V6" s="42"/>
      <c r="W6" s="43"/>
      <c r="X6" s="29"/>
      <c r="Y6" s="24"/>
      <c r="Z6" s="24"/>
      <c r="AA6" s="27"/>
      <c r="AB6" s="114"/>
      <c r="AC6" s="114"/>
      <c r="AD6" s="114"/>
      <c r="AE6" s="114"/>
      <c r="AF6" s="114"/>
      <c r="AG6" s="114"/>
      <c r="AH6" s="114"/>
    </row>
    <row r="7" spans="1:34" ht="12.75">
      <c r="A7" s="27"/>
      <c r="B7" s="36"/>
      <c r="C7" s="28" t="s">
        <v>27</v>
      </c>
      <c r="D7" s="31">
        <v>25</v>
      </c>
      <c r="E7" s="133">
        <v>270.72559999999999</v>
      </c>
      <c r="F7" s="133">
        <v>42.229500000000002</v>
      </c>
      <c r="G7" s="133">
        <v>43.1066</v>
      </c>
      <c r="H7" s="133">
        <v>43.1297</v>
      </c>
      <c r="I7" s="133"/>
      <c r="J7" s="134"/>
      <c r="K7" s="135"/>
      <c r="L7" s="29"/>
      <c r="M7" s="147">
        <v>270.64080000000001</v>
      </c>
      <c r="N7" s="147">
        <v>42.225999999999999</v>
      </c>
      <c r="O7" s="147">
        <v>43.109000000000002</v>
      </c>
      <c r="P7" s="147">
        <v>43.128300000000003</v>
      </c>
      <c r="Q7" s="147"/>
      <c r="R7" s="148"/>
      <c r="S7" s="149"/>
      <c r="U7" s="8">
        <f>bdrate($E7:$E10,F7:F10,$M7:$M10,N7:N10)</f>
        <v>-1.1846473591597961E-3</v>
      </c>
      <c r="V7" s="9">
        <f>bdrate($E7:$E10,G7:G10,$M7:$M10,O7:O10)</f>
        <v>2.6146650771141644E-4</v>
      </c>
      <c r="W7" s="10">
        <f>bdrate($E7:$E10,H7:H10,$M7:$M10,P7:P10)</f>
        <v>-4.6521137481825292E-5</v>
      </c>
      <c r="X7" s="29"/>
      <c r="Y7" s="24"/>
      <c r="Z7" s="24"/>
      <c r="AA7" s="27"/>
      <c r="AB7" s="114"/>
      <c r="AC7" s="114"/>
      <c r="AD7" s="114"/>
      <c r="AE7" s="114"/>
      <c r="AF7" s="114"/>
      <c r="AG7" s="114"/>
      <c r="AH7" s="114"/>
    </row>
    <row r="8" spans="1:34" ht="12.75">
      <c r="A8" s="27"/>
      <c r="B8" s="36"/>
      <c r="C8" s="29"/>
      <c r="D8" s="32">
        <v>30</v>
      </c>
      <c r="E8" s="133">
        <v>123.428</v>
      </c>
      <c r="F8" s="133">
        <v>39.915300000000002</v>
      </c>
      <c r="G8" s="133">
        <v>41.8215</v>
      </c>
      <c r="H8" s="133">
        <v>41.532899999999998</v>
      </c>
      <c r="I8" s="133"/>
      <c r="J8" s="134"/>
      <c r="K8" s="135"/>
      <c r="L8" s="29"/>
      <c r="M8" s="147">
        <v>123.64319999999999</v>
      </c>
      <c r="N8" s="147">
        <v>39.9178</v>
      </c>
      <c r="O8" s="147">
        <v>41.816499999999998</v>
      </c>
      <c r="P8" s="147">
        <v>41.529800000000002</v>
      </c>
      <c r="Q8" s="147"/>
      <c r="R8" s="148"/>
      <c r="S8" s="149"/>
      <c r="U8" s="17"/>
      <c r="V8" s="18"/>
      <c r="W8" s="19"/>
      <c r="X8" s="29"/>
      <c r="Y8" s="24"/>
      <c r="Z8" s="24"/>
      <c r="AA8" s="27"/>
      <c r="AB8" s="114"/>
      <c r="AC8" s="114"/>
      <c r="AD8" s="114"/>
      <c r="AE8" s="114"/>
      <c r="AF8" s="114"/>
      <c r="AG8" s="114"/>
      <c r="AH8" s="114"/>
    </row>
    <row r="9" spans="1:34" ht="12.75">
      <c r="A9" s="27"/>
      <c r="B9" s="36"/>
      <c r="C9" s="29"/>
      <c r="D9" s="32">
        <v>35</v>
      </c>
      <c r="E9" s="133">
        <v>64.925600000000003</v>
      </c>
      <c r="F9" s="133">
        <v>37.320999999999998</v>
      </c>
      <c r="G9" s="133">
        <v>40.5593</v>
      </c>
      <c r="H9" s="133">
        <v>40.046900000000001</v>
      </c>
      <c r="I9" s="133"/>
      <c r="J9" s="134"/>
      <c r="K9" s="135"/>
      <c r="L9" s="29"/>
      <c r="M9" s="147">
        <v>64.555199999999999</v>
      </c>
      <c r="N9" s="147">
        <v>37.318300000000001</v>
      </c>
      <c r="O9" s="147">
        <v>40.557400000000001</v>
      </c>
      <c r="P9" s="147">
        <v>40.040300000000002</v>
      </c>
      <c r="Q9" s="147"/>
      <c r="R9" s="148"/>
      <c r="S9" s="149"/>
      <c r="U9" s="41"/>
      <c r="V9" s="44"/>
      <c r="W9" s="43"/>
      <c r="X9" s="29"/>
      <c r="Y9" s="24"/>
      <c r="Z9" s="24"/>
      <c r="AA9" s="27"/>
      <c r="AB9" s="114"/>
      <c r="AC9" s="114"/>
      <c r="AD9" s="114"/>
      <c r="AE9" s="114"/>
      <c r="AF9" s="114"/>
      <c r="AG9" s="114"/>
      <c r="AH9" s="114"/>
    </row>
    <row r="10" spans="1:34" ht="13.5" thickBot="1">
      <c r="A10" s="27"/>
      <c r="B10" s="36"/>
      <c r="C10" s="29"/>
      <c r="D10" s="32">
        <v>40</v>
      </c>
      <c r="E10" s="133">
        <v>34.071199999999997</v>
      </c>
      <c r="F10" s="133">
        <v>34.595100000000002</v>
      </c>
      <c r="G10" s="133">
        <v>39.448500000000003</v>
      </c>
      <c r="H10" s="133">
        <v>38.794699999999999</v>
      </c>
      <c r="I10" s="133"/>
      <c r="J10" s="134"/>
      <c r="K10" s="135"/>
      <c r="L10" s="29"/>
      <c r="M10" s="147">
        <v>34.132800000000003</v>
      </c>
      <c r="N10" s="147">
        <v>34.590400000000002</v>
      </c>
      <c r="O10" s="147">
        <v>39.445799999999998</v>
      </c>
      <c r="P10" s="147">
        <v>38.807099999999998</v>
      </c>
      <c r="Q10" s="147"/>
      <c r="R10" s="148"/>
      <c r="S10" s="149"/>
      <c r="U10" s="41"/>
      <c r="V10" s="42"/>
      <c r="W10" s="43"/>
      <c r="X10" s="29"/>
      <c r="Y10" s="24"/>
      <c r="Z10" s="24"/>
      <c r="AA10" s="27"/>
      <c r="AB10" s="114"/>
      <c r="AC10" s="114"/>
      <c r="AD10" s="114"/>
      <c r="AE10" s="114"/>
      <c r="AF10" s="114"/>
      <c r="AG10" s="114"/>
      <c r="AH10" s="114"/>
    </row>
    <row r="11" spans="1:34" ht="12.75">
      <c r="A11" s="27"/>
      <c r="B11" s="36"/>
      <c r="C11" s="28" t="s">
        <v>28</v>
      </c>
      <c r="D11" s="31">
        <v>25</v>
      </c>
      <c r="E11" s="130">
        <v>300.21359999999999</v>
      </c>
      <c r="F11" s="130">
        <v>41.902999999999999</v>
      </c>
      <c r="G11" s="130">
        <v>42.5441</v>
      </c>
      <c r="H11" s="130">
        <v>42.865600000000001</v>
      </c>
      <c r="I11" s="130"/>
      <c r="J11" s="131"/>
      <c r="K11" s="132"/>
      <c r="L11" s="29"/>
      <c r="M11" s="144">
        <v>299.96319999999997</v>
      </c>
      <c r="N11" s="144">
        <v>41.9011</v>
      </c>
      <c r="O11" s="144">
        <v>42.5456</v>
      </c>
      <c r="P11" s="144">
        <v>42.862299999999998</v>
      </c>
      <c r="Q11" s="144"/>
      <c r="R11" s="145"/>
      <c r="S11" s="146"/>
      <c r="U11" s="8">
        <f>bdrate($E11:$E14,F11:F14,$M11:$M14,N11:N14)</f>
        <v>7.3090824231747398E-4</v>
      </c>
      <c r="V11" s="9">
        <f>bdrate($E11:$E14,G11:G14,$M11:$M14,O11:O14)</f>
        <v>-2.9418442376579756E-3</v>
      </c>
      <c r="W11" s="10">
        <f>bdrate($E11:$E14,H11:H14,$M11:$M14,P11:P14)</f>
        <v>2.8305994826900438E-3</v>
      </c>
      <c r="X11" s="29"/>
      <c r="Y11" s="24"/>
      <c r="Z11" s="24"/>
      <c r="AA11" s="27"/>
      <c r="AB11" s="114"/>
      <c r="AC11" s="114"/>
      <c r="AD11" s="114"/>
      <c r="AE11" s="114"/>
      <c r="AF11" s="114"/>
      <c r="AG11" s="114"/>
      <c r="AH11" s="114"/>
    </row>
    <row r="12" spans="1:34" ht="12.75">
      <c r="A12" s="27"/>
      <c r="B12" s="36"/>
      <c r="C12" s="29"/>
      <c r="D12" s="32">
        <v>30</v>
      </c>
      <c r="E12" s="133">
        <v>135.90799999999999</v>
      </c>
      <c r="F12" s="133">
        <v>39.666499999999999</v>
      </c>
      <c r="G12" s="133">
        <v>41.217300000000002</v>
      </c>
      <c r="H12" s="133">
        <v>41.309100000000001</v>
      </c>
      <c r="I12" s="133"/>
      <c r="J12" s="134"/>
      <c r="K12" s="135"/>
      <c r="L12" s="29"/>
      <c r="M12" s="147">
        <v>136.1464</v>
      </c>
      <c r="N12" s="147">
        <v>39.6708</v>
      </c>
      <c r="O12" s="147">
        <v>41.226399999999998</v>
      </c>
      <c r="P12" s="147">
        <v>41.305300000000003</v>
      </c>
      <c r="Q12" s="147"/>
      <c r="R12" s="148"/>
      <c r="S12" s="149"/>
      <c r="U12" s="41"/>
      <c r="V12" s="42"/>
      <c r="W12" s="43"/>
      <c r="X12" s="29"/>
      <c r="Y12" s="24"/>
      <c r="Z12" s="24"/>
      <c r="AA12" s="27"/>
      <c r="AB12" s="114"/>
      <c r="AC12" s="114"/>
      <c r="AD12" s="114"/>
      <c r="AE12" s="114"/>
      <c r="AF12" s="114"/>
      <c r="AG12" s="114"/>
      <c r="AH12" s="114"/>
    </row>
    <row r="13" spans="1:34" ht="12.75">
      <c r="A13" s="27"/>
      <c r="B13" s="36"/>
      <c r="C13" s="29"/>
      <c r="D13" s="32">
        <v>35</v>
      </c>
      <c r="E13" s="133">
        <v>71.068799999999996</v>
      </c>
      <c r="F13" s="133">
        <v>37.112200000000001</v>
      </c>
      <c r="G13" s="133">
        <v>40.063499999999998</v>
      </c>
      <c r="H13" s="133">
        <v>39.8628</v>
      </c>
      <c r="I13" s="133"/>
      <c r="J13" s="134"/>
      <c r="K13" s="135"/>
      <c r="L13" s="29"/>
      <c r="M13" s="147">
        <v>71.3</v>
      </c>
      <c r="N13" s="147">
        <v>37.113900000000001</v>
      </c>
      <c r="O13" s="147">
        <v>40.072899999999997</v>
      </c>
      <c r="P13" s="147">
        <v>39.857500000000002</v>
      </c>
      <c r="Q13" s="147"/>
      <c r="R13" s="148"/>
      <c r="S13" s="149"/>
      <c r="U13" s="17"/>
      <c r="V13" s="18"/>
      <c r="W13" s="19"/>
      <c r="X13" s="29"/>
      <c r="Y13" s="24"/>
      <c r="Z13" s="24"/>
      <c r="AA13" s="27"/>
      <c r="AB13" s="114"/>
      <c r="AC13" s="114"/>
      <c r="AD13" s="114"/>
      <c r="AE13" s="114"/>
      <c r="AF13" s="114"/>
      <c r="AG13" s="114"/>
      <c r="AH13" s="114"/>
    </row>
    <row r="14" spans="1:34" ht="13.5" thickBot="1">
      <c r="A14" s="27"/>
      <c r="B14" s="36"/>
      <c r="C14" s="51"/>
      <c r="D14" s="69">
        <v>40</v>
      </c>
      <c r="E14" s="136">
        <v>37.825600000000001</v>
      </c>
      <c r="F14" s="136">
        <v>34.408999999999999</v>
      </c>
      <c r="G14" s="136">
        <v>38.9985</v>
      </c>
      <c r="H14" s="136">
        <v>38.598500000000001</v>
      </c>
      <c r="I14" s="136"/>
      <c r="J14" s="137"/>
      <c r="K14" s="138"/>
      <c r="L14" s="29"/>
      <c r="M14" s="150">
        <v>37.6128</v>
      </c>
      <c r="N14" s="150">
        <v>34.402900000000002</v>
      </c>
      <c r="O14" s="150">
        <v>38.997300000000003</v>
      </c>
      <c r="P14" s="150">
        <v>38.6006</v>
      </c>
      <c r="Q14" s="150"/>
      <c r="R14" s="151"/>
      <c r="S14" s="152"/>
      <c r="U14" s="41"/>
      <c r="V14" s="42"/>
      <c r="W14" s="43"/>
      <c r="X14" s="29"/>
      <c r="Y14" s="24"/>
      <c r="Z14" s="24"/>
      <c r="AA14" s="27"/>
      <c r="AB14" s="114"/>
      <c r="AC14" s="114"/>
      <c r="AD14" s="114"/>
      <c r="AE14" s="114"/>
      <c r="AF14" s="114"/>
      <c r="AG14" s="114"/>
      <c r="AH14" s="114"/>
    </row>
    <row r="15" spans="1:34" ht="12.75">
      <c r="A15" s="27"/>
      <c r="B15" s="36"/>
      <c r="C15" s="28" t="s">
        <v>29</v>
      </c>
      <c r="D15" s="31">
        <v>34</v>
      </c>
      <c r="E15" s="130">
        <v>116.5968</v>
      </c>
      <c r="F15" s="130">
        <v>39.590000000000003</v>
      </c>
      <c r="G15" s="130"/>
      <c r="H15" s="130"/>
      <c r="I15" s="130"/>
      <c r="J15" s="131"/>
      <c r="K15" s="132"/>
      <c r="L15" s="29"/>
      <c r="M15" s="144">
        <v>116.5968</v>
      </c>
      <c r="N15" s="144">
        <v>39.590000000000003</v>
      </c>
      <c r="O15" s="144"/>
      <c r="P15" s="144"/>
      <c r="Q15" s="144"/>
      <c r="R15" s="145"/>
      <c r="S15" s="146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B15" s="114"/>
      <c r="AC15" s="114"/>
      <c r="AD15" s="114"/>
      <c r="AE15" s="114"/>
      <c r="AF15" s="114"/>
      <c r="AG15" s="114"/>
      <c r="AH15" s="114"/>
    </row>
    <row r="16" spans="1:34" ht="12.75">
      <c r="A16" s="27"/>
      <c r="B16" s="36"/>
      <c r="C16" s="29"/>
      <c r="D16" s="32">
        <v>39</v>
      </c>
      <c r="E16" s="133">
        <v>39.143999999999998</v>
      </c>
      <c r="F16" s="133">
        <v>36.4482</v>
      </c>
      <c r="G16" s="133"/>
      <c r="H16" s="133"/>
      <c r="I16" s="133"/>
      <c r="J16" s="134"/>
      <c r="K16" s="135"/>
      <c r="L16" s="29"/>
      <c r="M16" s="147">
        <v>39.143999999999998</v>
      </c>
      <c r="N16" s="147">
        <v>36.4482</v>
      </c>
      <c r="O16" s="147"/>
      <c r="P16" s="147"/>
      <c r="Q16" s="147"/>
      <c r="R16" s="148"/>
      <c r="S16" s="149"/>
      <c r="U16" s="41"/>
      <c r="V16" s="42"/>
      <c r="W16" s="43"/>
      <c r="X16" s="29"/>
      <c r="Y16" s="24"/>
      <c r="Z16" s="24"/>
      <c r="AA16" s="27"/>
      <c r="AB16" s="114"/>
      <c r="AC16" s="114"/>
      <c r="AD16" s="114"/>
      <c r="AE16" s="114"/>
      <c r="AF16" s="114"/>
      <c r="AG16" s="114"/>
      <c r="AH16" s="114"/>
    </row>
    <row r="17" spans="1:34" ht="12.75">
      <c r="A17" s="27"/>
      <c r="B17" s="36"/>
      <c r="C17" s="29"/>
      <c r="D17" s="32">
        <v>42</v>
      </c>
      <c r="E17" s="133">
        <v>17.087199999999999</v>
      </c>
      <c r="F17" s="133">
        <v>34.028300000000002</v>
      </c>
      <c r="G17" s="133"/>
      <c r="H17" s="133"/>
      <c r="I17" s="133"/>
      <c r="J17" s="134"/>
      <c r="K17" s="135"/>
      <c r="L17" s="29"/>
      <c r="M17" s="147">
        <v>17.087199999999999</v>
      </c>
      <c r="N17" s="147">
        <v>34.028300000000002</v>
      </c>
      <c r="O17" s="147"/>
      <c r="P17" s="147"/>
      <c r="Q17" s="147"/>
      <c r="R17" s="148"/>
      <c r="S17" s="149"/>
      <c r="U17" s="41"/>
      <c r="V17" s="42"/>
      <c r="W17" s="43"/>
      <c r="X17" s="29"/>
      <c r="Y17" s="24"/>
      <c r="Z17" s="24"/>
      <c r="AA17" s="27"/>
      <c r="AB17" s="114"/>
      <c r="AC17" s="114"/>
      <c r="AD17" s="114"/>
      <c r="AE17" s="114"/>
      <c r="AF17" s="114"/>
      <c r="AG17" s="114"/>
      <c r="AH17" s="114"/>
    </row>
    <row r="18" spans="1:34" ht="13.5" thickBot="1">
      <c r="A18" s="27"/>
      <c r="B18" s="36"/>
      <c r="C18" s="29"/>
      <c r="D18" s="32">
        <v>45</v>
      </c>
      <c r="E18" s="136">
        <v>8.5535999999999994</v>
      </c>
      <c r="F18" s="136">
        <v>31.492899999999999</v>
      </c>
      <c r="G18" s="136"/>
      <c r="H18" s="136"/>
      <c r="I18" s="136"/>
      <c r="J18" s="137"/>
      <c r="K18" s="138"/>
      <c r="L18" s="29"/>
      <c r="M18" s="150">
        <v>8.5535999999999994</v>
      </c>
      <c r="N18" s="150">
        <v>31.492899999999999</v>
      </c>
      <c r="O18" s="150"/>
      <c r="P18" s="150"/>
      <c r="Q18" s="150"/>
      <c r="R18" s="151"/>
      <c r="S18" s="152"/>
      <c r="U18" s="17"/>
      <c r="V18" s="18"/>
      <c r="W18" s="19"/>
      <c r="X18" s="29"/>
      <c r="Y18" s="59"/>
      <c r="Z18" s="59"/>
      <c r="AA18" s="55"/>
      <c r="AB18" s="114"/>
      <c r="AC18" s="114"/>
      <c r="AD18" s="114"/>
      <c r="AE18" s="114"/>
      <c r="AF18" s="114"/>
      <c r="AG18" s="114"/>
      <c r="AH18" s="114"/>
    </row>
    <row r="19" spans="1:34" ht="12.75">
      <c r="A19" s="27"/>
      <c r="B19" s="36"/>
      <c r="C19" s="28" t="s">
        <v>30</v>
      </c>
      <c r="D19" s="31">
        <v>34</v>
      </c>
      <c r="E19" s="130">
        <v>86.128</v>
      </c>
      <c r="F19" s="130">
        <v>37.464100000000002</v>
      </c>
      <c r="G19" s="130"/>
      <c r="H19" s="130"/>
      <c r="I19" s="130"/>
      <c r="J19" s="131"/>
      <c r="K19" s="132"/>
      <c r="L19" s="29"/>
      <c r="M19" s="144">
        <v>86.344800000000006</v>
      </c>
      <c r="N19" s="144">
        <v>37.489899999999999</v>
      </c>
      <c r="O19" s="144"/>
      <c r="P19" s="144"/>
      <c r="Q19" s="144"/>
      <c r="R19" s="145"/>
      <c r="S19" s="146"/>
      <c r="U19" s="8">
        <f>bdrate($E19:$E22,F19:F22,$M19:$M22,N19:N22)</f>
        <v>-8.031376185508865E-4</v>
      </c>
      <c r="V19" s="9"/>
      <c r="W19" s="10"/>
      <c r="X19" s="29"/>
      <c r="Y19" s="24"/>
      <c r="Z19" s="24"/>
      <c r="AA19" s="27"/>
      <c r="AB19" s="114"/>
      <c r="AC19" s="114"/>
      <c r="AD19" s="114"/>
      <c r="AE19" s="114"/>
      <c r="AF19" s="114"/>
      <c r="AG19" s="114"/>
      <c r="AH19" s="114"/>
    </row>
    <row r="20" spans="1:34" ht="12.75">
      <c r="A20" s="27"/>
      <c r="B20" s="36"/>
      <c r="C20" s="29"/>
      <c r="D20" s="32">
        <v>39</v>
      </c>
      <c r="E20" s="133">
        <v>27.825600000000001</v>
      </c>
      <c r="F20" s="133">
        <v>34.428100000000001</v>
      </c>
      <c r="G20" s="133"/>
      <c r="H20" s="133"/>
      <c r="I20" s="133"/>
      <c r="J20" s="134"/>
      <c r="K20" s="135"/>
      <c r="L20" s="29"/>
      <c r="M20" s="147">
        <v>27.9696</v>
      </c>
      <c r="N20" s="147">
        <v>34.4467</v>
      </c>
      <c r="O20" s="147"/>
      <c r="P20" s="147"/>
      <c r="Q20" s="147"/>
      <c r="R20" s="148"/>
      <c r="S20" s="149"/>
      <c r="U20" s="12"/>
      <c r="V20" s="13"/>
      <c r="W20" s="14"/>
      <c r="X20" s="29"/>
      <c r="Y20" s="24"/>
      <c r="Z20" s="24"/>
      <c r="AA20" s="27"/>
      <c r="AB20" s="114"/>
      <c r="AC20" s="114"/>
      <c r="AD20" s="114"/>
      <c r="AE20" s="114"/>
      <c r="AF20" s="114"/>
      <c r="AG20" s="114"/>
      <c r="AH20" s="114"/>
    </row>
    <row r="21" spans="1:34" ht="12.75">
      <c r="A21" s="27"/>
      <c r="B21" s="36"/>
      <c r="C21" s="29"/>
      <c r="D21" s="32">
        <v>42</v>
      </c>
      <c r="E21" s="133">
        <v>11.9976</v>
      </c>
      <c r="F21" s="133">
        <v>31.923500000000001</v>
      </c>
      <c r="G21" s="133"/>
      <c r="H21" s="133"/>
      <c r="I21" s="133"/>
      <c r="J21" s="134"/>
      <c r="K21" s="135"/>
      <c r="L21" s="29"/>
      <c r="M21" s="147">
        <v>11.972799999999999</v>
      </c>
      <c r="N21" s="147">
        <v>31.904699999999998</v>
      </c>
      <c r="O21" s="147"/>
      <c r="P21" s="147"/>
      <c r="Q21" s="147"/>
      <c r="R21" s="148"/>
      <c r="S21" s="149"/>
      <c r="U21" s="12"/>
      <c r="V21" s="13"/>
      <c r="W21" s="14"/>
      <c r="X21" s="29"/>
      <c r="Y21" s="24"/>
      <c r="Z21" s="24"/>
      <c r="AA21" s="27"/>
      <c r="AB21" s="114"/>
      <c r="AC21" s="114"/>
      <c r="AD21" s="114"/>
      <c r="AE21" s="114"/>
      <c r="AF21" s="114"/>
      <c r="AG21" s="114"/>
      <c r="AH21" s="114"/>
    </row>
    <row r="22" spans="1:34" ht="13.5" thickBot="1">
      <c r="A22" s="27"/>
      <c r="B22" s="36"/>
      <c r="C22" s="29"/>
      <c r="D22" s="32">
        <v>45</v>
      </c>
      <c r="E22" s="136">
        <v>5.8575999999999997</v>
      </c>
      <c r="F22" s="136">
        <v>29.3186</v>
      </c>
      <c r="G22" s="136"/>
      <c r="H22" s="136"/>
      <c r="I22" s="136"/>
      <c r="J22" s="137"/>
      <c r="K22" s="138"/>
      <c r="L22" s="29"/>
      <c r="M22" s="150">
        <v>5.7384000000000004</v>
      </c>
      <c r="N22" s="150">
        <v>29.250699999999998</v>
      </c>
      <c r="O22" s="150"/>
      <c r="P22" s="150"/>
      <c r="Q22" s="150"/>
      <c r="R22" s="151"/>
      <c r="S22" s="152"/>
      <c r="U22" s="12"/>
      <c r="V22" s="13"/>
      <c r="W22" s="14"/>
      <c r="X22" s="29"/>
      <c r="Y22" s="24"/>
      <c r="Z22" s="24"/>
      <c r="AA22" s="27"/>
      <c r="AB22" s="114"/>
      <c r="AC22" s="114"/>
      <c r="AD22" s="114"/>
      <c r="AE22" s="114"/>
      <c r="AF22" s="114"/>
      <c r="AG22" s="114"/>
      <c r="AH22" s="114"/>
    </row>
    <row r="23" spans="1:34" ht="12.75">
      <c r="A23" s="27"/>
      <c r="B23" s="36"/>
      <c r="C23" s="28" t="s">
        <v>31</v>
      </c>
      <c r="D23" s="31">
        <v>34</v>
      </c>
      <c r="E23" s="130">
        <v>96.118399999999994</v>
      </c>
      <c r="F23" s="130">
        <v>36.7684</v>
      </c>
      <c r="G23" s="130"/>
      <c r="H23" s="130"/>
      <c r="I23" s="130"/>
      <c r="J23" s="131"/>
      <c r="K23" s="132"/>
      <c r="L23" s="29"/>
      <c r="M23" s="144">
        <v>96.115200000000002</v>
      </c>
      <c r="N23" s="144">
        <v>36.796599999999998</v>
      </c>
      <c r="O23" s="144"/>
      <c r="P23" s="144"/>
      <c r="Q23" s="144"/>
      <c r="R23" s="145"/>
      <c r="S23" s="146"/>
      <c r="U23" s="8">
        <f>bdrate($E23:$E26,F23:F26,$M23:$M26,N23:N26)</f>
        <v>-6.025186635491564E-3</v>
      </c>
      <c r="V23" s="9"/>
      <c r="W23" s="10"/>
      <c r="X23" s="29"/>
      <c r="Y23" s="24"/>
      <c r="Z23" s="24"/>
      <c r="AA23" s="27"/>
      <c r="AB23" s="114"/>
      <c r="AC23" s="114"/>
      <c r="AD23" s="114"/>
      <c r="AE23" s="114"/>
      <c r="AF23" s="114"/>
      <c r="AG23" s="114"/>
      <c r="AH23" s="114"/>
    </row>
    <row r="24" spans="1:34" ht="12.75">
      <c r="A24" s="27"/>
      <c r="B24" s="36"/>
      <c r="C24" s="29"/>
      <c r="D24" s="32">
        <v>39</v>
      </c>
      <c r="E24" s="133">
        <v>31.081600000000002</v>
      </c>
      <c r="F24" s="133">
        <v>33.605699999999999</v>
      </c>
      <c r="G24" s="133"/>
      <c r="H24" s="133"/>
      <c r="I24" s="133"/>
      <c r="J24" s="134"/>
      <c r="K24" s="135"/>
      <c r="L24" s="29"/>
      <c r="M24" s="147">
        <v>31.12</v>
      </c>
      <c r="N24" s="147">
        <v>33.628700000000002</v>
      </c>
      <c r="O24" s="147"/>
      <c r="P24" s="147"/>
      <c r="Q24" s="147"/>
      <c r="R24" s="148"/>
      <c r="S24" s="149"/>
      <c r="U24" s="41"/>
      <c r="V24" s="42"/>
      <c r="W24" s="43"/>
      <c r="X24" s="29"/>
      <c r="Y24" s="24"/>
      <c r="Z24" s="24"/>
      <c r="AA24" s="27"/>
      <c r="AB24" s="114"/>
      <c r="AC24" s="114"/>
      <c r="AD24" s="114"/>
      <c r="AE24" s="114"/>
      <c r="AF24" s="114"/>
      <c r="AG24" s="114"/>
      <c r="AH24" s="114"/>
    </row>
    <row r="25" spans="1:34" ht="12.75">
      <c r="A25" s="27"/>
      <c r="B25" s="36"/>
      <c r="C25" s="29"/>
      <c r="D25" s="32">
        <v>42</v>
      </c>
      <c r="E25" s="133">
        <v>13.393599999999999</v>
      </c>
      <c r="F25" s="133">
        <v>31.059200000000001</v>
      </c>
      <c r="G25" s="133"/>
      <c r="H25" s="133"/>
      <c r="I25" s="133"/>
      <c r="J25" s="134"/>
      <c r="K25" s="135"/>
      <c r="L25" s="29"/>
      <c r="M25" s="147">
        <v>13.4384</v>
      </c>
      <c r="N25" s="147">
        <v>31.082599999999999</v>
      </c>
      <c r="O25" s="147"/>
      <c r="P25" s="147"/>
      <c r="Q25" s="147"/>
      <c r="R25" s="148"/>
      <c r="S25" s="149"/>
      <c r="U25" s="41"/>
      <c r="V25" s="42"/>
      <c r="W25" s="43"/>
      <c r="X25" s="29"/>
      <c r="Y25" s="24"/>
      <c r="Z25" s="24"/>
      <c r="AA25" s="27"/>
      <c r="AB25" s="114"/>
      <c r="AC25" s="114"/>
      <c r="AD25" s="114"/>
      <c r="AE25" s="114"/>
      <c r="AF25" s="114"/>
      <c r="AG25" s="114"/>
      <c r="AH25" s="114"/>
    </row>
    <row r="26" spans="1:34" ht="13.5" thickBot="1">
      <c r="A26" s="27"/>
      <c r="B26" s="36"/>
      <c r="C26" s="29"/>
      <c r="D26" s="32">
        <v>45</v>
      </c>
      <c r="E26" s="136">
        <v>6.2359999999999998</v>
      </c>
      <c r="F26" s="136">
        <v>27.893899999999999</v>
      </c>
      <c r="G26" s="136"/>
      <c r="H26" s="136"/>
      <c r="I26" s="136"/>
      <c r="J26" s="137"/>
      <c r="K26" s="138"/>
      <c r="L26" s="29"/>
      <c r="M26" s="150">
        <v>6.2775999999999996</v>
      </c>
      <c r="N26" s="150">
        <v>27.960699999999999</v>
      </c>
      <c r="O26" s="150"/>
      <c r="P26" s="150"/>
      <c r="Q26" s="150"/>
      <c r="R26" s="151"/>
      <c r="S26" s="152"/>
      <c r="U26" s="41"/>
      <c r="V26" s="42"/>
      <c r="W26" s="43"/>
      <c r="X26" s="29"/>
      <c r="Y26" s="24"/>
      <c r="Z26" s="24"/>
      <c r="AA26" s="27"/>
      <c r="AB26" s="114"/>
      <c r="AC26" s="114"/>
      <c r="AD26" s="114"/>
      <c r="AE26" s="114"/>
      <c r="AF26" s="114"/>
      <c r="AG26" s="114"/>
      <c r="AH26" s="114"/>
    </row>
    <row r="27" spans="1:34" ht="12.75">
      <c r="A27" s="27"/>
      <c r="B27" s="36"/>
      <c r="C27" s="28" t="s">
        <v>47</v>
      </c>
      <c r="D27" s="31">
        <v>25</v>
      </c>
      <c r="E27" s="130"/>
      <c r="F27" s="130">
        <v>42.3232</v>
      </c>
      <c r="G27" s="130">
        <v>45.365600000000001</v>
      </c>
      <c r="H27" s="130">
        <v>45.071899999999999</v>
      </c>
      <c r="I27" s="130"/>
      <c r="J27" s="131"/>
      <c r="K27" s="132"/>
      <c r="L27" s="29"/>
      <c r="M27" s="144"/>
      <c r="N27" s="144">
        <v>42.320599999999999</v>
      </c>
      <c r="O27" s="144">
        <v>45.369199999999999</v>
      </c>
      <c r="P27" s="144">
        <v>45.064999999999998</v>
      </c>
      <c r="Q27" s="144"/>
      <c r="R27" s="145"/>
      <c r="S27" s="146"/>
      <c r="U27" s="8"/>
      <c r="V27" s="9"/>
      <c r="W27" s="10"/>
      <c r="X27" s="29"/>
      <c r="Y27" s="24"/>
      <c r="Z27" s="24"/>
      <c r="AA27" s="27"/>
      <c r="AB27" s="114"/>
      <c r="AC27" s="114"/>
      <c r="AD27" s="114"/>
      <c r="AE27" s="114"/>
      <c r="AF27" s="114"/>
      <c r="AG27" s="114"/>
      <c r="AH27" s="114"/>
    </row>
    <row r="28" spans="1:34" ht="12.75">
      <c r="A28" s="27"/>
      <c r="B28" s="36"/>
      <c r="C28" s="29"/>
      <c r="D28" s="32">
        <v>30</v>
      </c>
      <c r="E28" s="133"/>
      <c r="F28" s="133">
        <v>40.115000000000002</v>
      </c>
      <c r="G28" s="133">
        <v>43.730600000000003</v>
      </c>
      <c r="H28" s="133">
        <v>43.132300000000001</v>
      </c>
      <c r="I28" s="133"/>
      <c r="J28" s="134"/>
      <c r="K28" s="135"/>
      <c r="L28" s="29"/>
      <c r="M28" s="147"/>
      <c r="N28" s="147">
        <v>40.1235</v>
      </c>
      <c r="O28" s="147">
        <v>43.7256</v>
      </c>
      <c r="P28" s="147">
        <v>43.128999999999998</v>
      </c>
      <c r="Q28" s="147"/>
      <c r="R28" s="148"/>
      <c r="S28" s="149"/>
      <c r="U28" s="17"/>
      <c r="V28" s="18"/>
      <c r="W28" s="19"/>
      <c r="X28" s="29"/>
      <c r="Y28" s="24"/>
      <c r="Z28" s="24"/>
      <c r="AA28" s="27"/>
      <c r="AB28" s="114"/>
      <c r="AC28" s="114"/>
      <c r="AD28" s="114"/>
      <c r="AE28" s="114"/>
      <c r="AF28" s="114"/>
      <c r="AG28" s="114"/>
      <c r="AH28" s="114"/>
    </row>
    <row r="29" spans="1:34" ht="12.75">
      <c r="A29" s="27"/>
      <c r="B29" s="36"/>
      <c r="C29" s="29"/>
      <c r="D29" s="32">
        <v>35</v>
      </c>
      <c r="E29" s="133"/>
      <c r="F29" s="133">
        <v>37.619199999999999</v>
      </c>
      <c r="G29" s="133">
        <v>42.054099999999998</v>
      </c>
      <c r="H29" s="133">
        <v>41.285600000000002</v>
      </c>
      <c r="I29" s="133"/>
      <c r="J29" s="134"/>
      <c r="K29" s="135"/>
      <c r="L29" s="29"/>
      <c r="M29" s="147"/>
      <c r="N29" s="147">
        <v>37.626399999999997</v>
      </c>
      <c r="O29" s="147">
        <v>42.059600000000003</v>
      </c>
      <c r="P29" s="147">
        <v>41.285400000000003</v>
      </c>
      <c r="Q29" s="147"/>
      <c r="R29" s="148"/>
      <c r="S29" s="149"/>
      <c r="U29" s="41"/>
      <c r="V29" s="44"/>
      <c r="W29" s="43"/>
      <c r="X29" s="29"/>
      <c r="Y29" s="24"/>
      <c r="Z29" s="24"/>
      <c r="AA29" s="27"/>
      <c r="AB29" s="114"/>
      <c r="AC29" s="114"/>
      <c r="AD29" s="114"/>
      <c r="AE29" s="114"/>
      <c r="AF29" s="114"/>
      <c r="AG29" s="114"/>
      <c r="AH29" s="114"/>
    </row>
    <row r="30" spans="1:34" ht="13.5" thickBot="1">
      <c r="A30" s="27"/>
      <c r="B30" s="36"/>
      <c r="C30" s="51"/>
      <c r="D30" s="69">
        <v>40</v>
      </c>
      <c r="E30" s="136"/>
      <c r="F30" s="136">
        <v>34.938400000000001</v>
      </c>
      <c r="G30" s="136">
        <v>40.709200000000003</v>
      </c>
      <c r="H30" s="136">
        <v>39.818300000000001</v>
      </c>
      <c r="I30" s="136"/>
      <c r="J30" s="137"/>
      <c r="K30" s="138"/>
      <c r="L30" s="29"/>
      <c r="M30" s="150"/>
      <c r="N30" s="150">
        <v>34.929400000000001</v>
      </c>
      <c r="O30" s="150">
        <v>40.703400000000002</v>
      </c>
      <c r="P30" s="150">
        <v>39.8309</v>
      </c>
      <c r="Q30" s="150"/>
      <c r="R30" s="151"/>
      <c r="S30" s="152"/>
      <c r="U30" s="41"/>
      <c r="V30" s="42"/>
      <c r="W30" s="43"/>
      <c r="X30" s="29"/>
      <c r="Y30" s="24"/>
      <c r="Z30" s="24"/>
      <c r="AA30" s="27"/>
      <c r="AB30" s="114"/>
      <c r="AC30" s="114"/>
      <c r="AD30" s="114"/>
      <c r="AE30" s="114"/>
      <c r="AF30" s="114"/>
      <c r="AG30" s="114"/>
      <c r="AH30" s="114"/>
    </row>
    <row r="31" spans="1:34" ht="12.75">
      <c r="A31" s="27"/>
      <c r="B31" s="36"/>
      <c r="C31" s="29" t="s">
        <v>48</v>
      </c>
      <c r="D31" s="32">
        <v>25</v>
      </c>
      <c r="E31" s="130"/>
      <c r="F31" s="130">
        <v>42.927199999999999</v>
      </c>
      <c r="G31" s="130">
        <v>45.968600000000002</v>
      </c>
      <c r="H31" s="130">
        <v>45.765700000000002</v>
      </c>
      <c r="I31" s="130"/>
      <c r="J31" s="131"/>
      <c r="K31" s="132"/>
      <c r="L31" s="29"/>
      <c r="M31" s="144"/>
      <c r="N31" s="144">
        <v>42.934100000000001</v>
      </c>
      <c r="O31" s="144">
        <v>45.970599999999997</v>
      </c>
      <c r="P31" s="144">
        <v>45.761699999999998</v>
      </c>
      <c r="Q31" s="144"/>
      <c r="R31" s="145"/>
      <c r="S31" s="146"/>
      <c r="U31" s="8"/>
      <c r="V31" s="9"/>
      <c r="W31" s="10"/>
      <c r="X31" s="29"/>
      <c r="Y31" s="24"/>
      <c r="Z31" s="24"/>
      <c r="AA31" s="27"/>
      <c r="AB31" s="114"/>
      <c r="AC31" s="114"/>
      <c r="AD31" s="114"/>
      <c r="AE31" s="114"/>
      <c r="AF31" s="114"/>
      <c r="AG31" s="114"/>
      <c r="AH31" s="114"/>
    </row>
    <row r="32" spans="1:34" ht="12.75">
      <c r="A32" s="27"/>
      <c r="B32" s="36"/>
      <c r="C32" s="29"/>
      <c r="D32" s="32">
        <v>30</v>
      </c>
      <c r="E32" s="133"/>
      <c r="F32" s="133">
        <v>40.640300000000003</v>
      </c>
      <c r="G32" s="133">
        <v>44.2194</v>
      </c>
      <c r="H32" s="133">
        <v>43.693300000000001</v>
      </c>
      <c r="I32" s="133"/>
      <c r="J32" s="134"/>
      <c r="K32" s="135"/>
      <c r="L32" s="29"/>
      <c r="M32" s="147"/>
      <c r="N32" s="147">
        <v>40.634500000000003</v>
      </c>
      <c r="O32" s="147">
        <v>44.214799999999997</v>
      </c>
      <c r="P32" s="147">
        <v>43.69</v>
      </c>
      <c r="Q32" s="147"/>
      <c r="R32" s="148"/>
      <c r="S32" s="149"/>
      <c r="U32" s="41"/>
      <c r="V32" s="42"/>
      <c r="W32" s="43"/>
      <c r="X32" s="29"/>
      <c r="Y32" s="24"/>
      <c r="Z32" s="24"/>
      <c r="AA32" s="27"/>
      <c r="AB32" s="114"/>
      <c r="AC32" s="114"/>
      <c r="AD32" s="114"/>
      <c r="AE32" s="114"/>
      <c r="AF32" s="114"/>
      <c r="AG32" s="114"/>
      <c r="AH32" s="114"/>
    </row>
    <row r="33" spans="1:34" ht="12.75">
      <c r="A33" s="27"/>
      <c r="B33" s="36"/>
      <c r="C33" s="29"/>
      <c r="D33" s="32">
        <v>35</v>
      </c>
      <c r="E33" s="133"/>
      <c r="F33" s="133">
        <v>38.042099999999998</v>
      </c>
      <c r="G33" s="133">
        <v>42.354999999999997</v>
      </c>
      <c r="H33" s="133">
        <v>41.642200000000003</v>
      </c>
      <c r="I33" s="133"/>
      <c r="J33" s="134"/>
      <c r="K33" s="135"/>
      <c r="L33" s="29"/>
      <c r="M33" s="147"/>
      <c r="N33" s="147">
        <v>38.048099999999998</v>
      </c>
      <c r="O33" s="147">
        <v>42.357900000000001</v>
      </c>
      <c r="P33" s="147">
        <v>41.641500000000001</v>
      </c>
      <c r="Q33" s="147"/>
      <c r="R33" s="148"/>
      <c r="S33" s="149"/>
      <c r="U33" s="17"/>
      <c r="V33" s="18"/>
      <c r="W33" s="19"/>
      <c r="X33" s="29"/>
      <c r="Y33" s="24"/>
      <c r="Z33" s="24"/>
      <c r="AA33" s="27"/>
      <c r="AB33" s="114"/>
      <c r="AC33" s="114"/>
      <c r="AD33" s="114"/>
      <c r="AE33" s="114"/>
      <c r="AF33" s="114"/>
      <c r="AG33" s="114"/>
      <c r="AH33" s="114"/>
    </row>
    <row r="34" spans="1:34" ht="13.5" thickBot="1">
      <c r="A34" s="27"/>
      <c r="B34" s="36"/>
      <c r="C34" s="51"/>
      <c r="D34" s="69">
        <v>40</v>
      </c>
      <c r="E34" s="136"/>
      <c r="F34" s="136">
        <v>35.279000000000003</v>
      </c>
      <c r="G34" s="136">
        <v>40.944600000000001</v>
      </c>
      <c r="H34" s="136">
        <v>40.096899999999998</v>
      </c>
      <c r="I34" s="136"/>
      <c r="J34" s="137"/>
      <c r="K34" s="138"/>
      <c r="L34" s="29"/>
      <c r="M34" s="150"/>
      <c r="N34" s="150">
        <v>35.272300000000001</v>
      </c>
      <c r="O34" s="150">
        <v>40.940600000000003</v>
      </c>
      <c r="P34" s="150">
        <v>40.102800000000002</v>
      </c>
      <c r="Q34" s="150"/>
      <c r="R34" s="151"/>
      <c r="S34" s="152"/>
      <c r="U34" s="41"/>
      <c r="V34" s="42"/>
      <c r="W34" s="43"/>
      <c r="X34" s="29"/>
      <c r="Y34" s="24"/>
      <c r="Z34" s="24"/>
      <c r="AA34" s="27"/>
      <c r="AB34" s="114"/>
      <c r="AC34" s="114"/>
      <c r="AD34" s="114"/>
      <c r="AE34" s="114"/>
      <c r="AF34" s="114"/>
      <c r="AG34" s="114"/>
      <c r="AH34" s="114"/>
    </row>
    <row r="35" spans="1:34" ht="12.75">
      <c r="A35" s="27"/>
      <c r="B35" s="36"/>
      <c r="C35" s="29" t="s">
        <v>49</v>
      </c>
      <c r="D35" s="32">
        <v>25</v>
      </c>
      <c r="E35" s="130"/>
      <c r="F35" s="130">
        <v>43.057899999999997</v>
      </c>
      <c r="G35" s="130">
        <v>45.583599999999997</v>
      </c>
      <c r="H35" s="130">
        <v>45.702500000000001</v>
      </c>
      <c r="I35" s="130"/>
      <c r="J35" s="131"/>
      <c r="K35" s="132"/>
      <c r="L35" s="29"/>
      <c r="M35" s="144"/>
      <c r="N35" s="144">
        <v>43.06</v>
      </c>
      <c r="O35" s="144">
        <v>45.584200000000003</v>
      </c>
      <c r="P35" s="144">
        <v>45.700400000000002</v>
      </c>
      <c r="Q35" s="144"/>
      <c r="R35" s="145"/>
      <c r="S35" s="146"/>
      <c r="U35" s="8"/>
      <c r="V35" s="9"/>
      <c r="W35" s="10"/>
      <c r="X35" s="29"/>
      <c r="Y35" s="24"/>
      <c r="Z35" s="24"/>
      <c r="AA35" s="27"/>
      <c r="AB35" s="114"/>
      <c r="AC35" s="114"/>
      <c r="AD35" s="114"/>
      <c r="AE35" s="114"/>
      <c r="AF35" s="114"/>
      <c r="AG35" s="114"/>
      <c r="AH35" s="114"/>
    </row>
    <row r="36" spans="1:34" ht="12.75">
      <c r="A36" s="27"/>
      <c r="B36" s="36"/>
      <c r="C36" s="29"/>
      <c r="D36" s="32">
        <v>30</v>
      </c>
      <c r="E36" s="133"/>
      <c r="F36" s="133">
        <v>40.900700000000001</v>
      </c>
      <c r="G36" s="133">
        <v>43.968000000000004</v>
      </c>
      <c r="H36" s="133">
        <v>43.713999999999999</v>
      </c>
      <c r="I36" s="133"/>
      <c r="J36" s="134"/>
      <c r="K36" s="135"/>
      <c r="L36" s="29"/>
      <c r="M36" s="147"/>
      <c r="N36" s="147">
        <v>40.900500000000001</v>
      </c>
      <c r="O36" s="147">
        <v>43.9651</v>
      </c>
      <c r="P36" s="147">
        <v>43.711799999999997</v>
      </c>
      <c r="Q36" s="147"/>
      <c r="R36" s="148"/>
      <c r="S36" s="149"/>
      <c r="U36" s="41"/>
      <c r="V36" s="42"/>
      <c r="W36" s="43"/>
      <c r="X36" s="29"/>
      <c r="Y36" s="24"/>
      <c r="Z36" s="24"/>
      <c r="AA36" s="27"/>
      <c r="AB36" s="114"/>
      <c r="AC36" s="114"/>
      <c r="AD36" s="114"/>
      <c r="AE36" s="114"/>
      <c r="AF36" s="114"/>
      <c r="AG36" s="114"/>
      <c r="AH36" s="114"/>
    </row>
    <row r="37" spans="1:34" ht="12.75">
      <c r="A37" s="27"/>
      <c r="B37" s="36"/>
      <c r="C37" s="29"/>
      <c r="D37" s="32">
        <v>35</v>
      </c>
      <c r="E37" s="133"/>
      <c r="F37" s="133">
        <v>38.339599999999997</v>
      </c>
      <c r="G37" s="133">
        <v>42.122999999999998</v>
      </c>
      <c r="H37" s="133">
        <v>41.632800000000003</v>
      </c>
      <c r="I37" s="133"/>
      <c r="J37" s="134"/>
      <c r="K37" s="135"/>
      <c r="L37" s="29"/>
      <c r="M37" s="147"/>
      <c r="N37" s="147">
        <v>38.3369</v>
      </c>
      <c r="O37" s="147">
        <v>42.122900000000001</v>
      </c>
      <c r="P37" s="147">
        <v>41.631399999999999</v>
      </c>
      <c r="Q37" s="147"/>
      <c r="R37" s="148"/>
      <c r="S37" s="149"/>
      <c r="U37" s="41"/>
      <c r="V37" s="42"/>
      <c r="W37" s="43"/>
      <c r="X37" s="29"/>
      <c r="Y37" s="24"/>
      <c r="Z37" s="24"/>
      <c r="AA37" s="27"/>
      <c r="AB37" s="114"/>
      <c r="AC37" s="114"/>
      <c r="AD37" s="114"/>
      <c r="AE37" s="114"/>
      <c r="AF37" s="114"/>
      <c r="AG37" s="114"/>
      <c r="AH37" s="114"/>
    </row>
    <row r="38" spans="1:34" ht="13.5" thickBot="1">
      <c r="A38" s="27"/>
      <c r="B38" s="36"/>
      <c r="C38" s="51"/>
      <c r="D38" s="69">
        <v>40</v>
      </c>
      <c r="E38" s="136"/>
      <c r="F38" s="136">
        <v>35.558599999999998</v>
      </c>
      <c r="G38" s="136">
        <v>40.804400000000001</v>
      </c>
      <c r="H38" s="136">
        <v>40.104700000000001</v>
      </c>
      <c r="I38" s="136"/>
      <c r="J38" s="137"/>
      <c r="K38" s="138"/>
      <c r="L38" s="29"/>
      <c r="M38" s="150"/>
      <c r="N38" s="150">
        <v>35.552199999999999</v>
      </c>
      <c r="O38" s="150">
        <v>40.8003</v>
      </c>
      <c r="P38" s="150">
        <v>40.104700000000001</v>
      </c>
      <c r="Q38" s="150"/>
      <c r="R38" s="151"/>
      <c r="S38" s="152"/>
      <c r="U38" s="17"/>
      <c r="V38" s="18"/>
      <c r="W38" s="19"/>
      <c r="X38" s="29"/>
      <c r="Z38" s="59"/>
      <c r="AA38" s="55"/>
      <c r="AB38" s="114"/>
      <c r="AC38" s="114"/>
      <c r="AD38" s="114"/>
      <c r="AE38" s="114"/>
      <c r="AF38" s="114"/>
      <c r="AG38" s="114"/>
      <c r="AH38" s="114"/>
    </row>
    <row r="39" spans="1:34" ht="12.75">
      <c r="A39" s="27"/>
      <c r="B39" s="36"/>
      <c r="C39" s="29" t="s">
        <v>50</v>
      </c>
      <c r="D39" s="32">
        <v>25</v>
      </c>
      <c r="E39" s="130"/>
      <c r="F39" s="130">
        <v>42.962600000000002</v>
      </c>
      <c r="G39" s="130">
        <v>45.589799999999997</v>
      </c>
      <c r="H39" s="130">
        <v>45.670900000000003</v>
      </c>
      <c r="I39" s="130"/>
      <c r="J39" s="131"/>
      <c r="K39" s="132"/>
      <c r="L39" s="29"/>
      <c r="M39" s="144"/>
      <c r="N39" s="144">
        <v>42.962200000000003</v>
      </c>
      <c r="O39" s="144">
        <v>45.589599999999997</v>
      </c>
      <c r="P39" s="144">
        <v>45.669800000000002</v>
      </c>
      <c r="Q39" s="144"/>
      <c r="R39" s="145"/>
      <c r="S39" s="146"/>
      <c r="U39" s="8"/>
      <c r="V39" s="9"/>
      <c r="W39" s="10"/>
      <c r="X39" s="29"/>
      <c r="Y39" s="24"/>
      <c r="Z39" s="24"/>
      <c r="AA39" s="27"/>
      <c r="AB39" s="114"/>
      <c r="AC39" s="114"/>
      <c r="AD39" s="114"/>
      <c r="AE39" s="114"/>
      <c r="AF39" s="114"/>
      <c r="AG39" s="114"/>
      <c r="AH39" s="114"/>
    </row>
    <row r="40" spans="1:34" ht="12.75">
      <c r="A40" s="27"/>
      <c r="B40" s="36"/>
      <c r="C40" s="29"/>
      <c r="D40" s="32">
        <v>30</v>
      </c>
      <c r="E40" s="133"/>
      <c r="F40" s="133">
        <v>40.802100000000003</v>
      </c>
      <c r="G40" s="133">
        <v>43.964399999999998</v>
      </c>
      <c r="H40" s="133">
        <v>43.689500000000002</v>
      </c>
      <c r="I40" s="133"/>
      <c r="J40" s="134"/>
      <c r="K40" s="135"/>
      <c r="L40" s="29"/>
      <c r="M40" s="147"/>
      <c r="N40" s="147">
        <v>40.803600000000003</v>
      </c>
      <c r="O40" s="147">
        <v>43.965400000000002</v>
      </c>
      <c r="P40" s="147">
        <v>43.689100000000003</v>
      </c>
      <c r="Q40" s="147"/>
      <c r="R40" s="148"/>
      <c r="S40" s="149"/>
      <c r="U40" s="12"/>
      <c r="V40" s="13"/>
      <c r="W40" s="14"/>
      <c r="X40" s="29"/>
      <c r="Y40" s="24"/>
      <c r="Z40" s="24"/>
      <c r="AA40" s="27"/>
      <c r="AB40" s="114"/>
      <c r="AC40" s="114"/>
      <c r="AD40" s="114"/>
      <c r="AE40" s="114"/>
      <c r="AF40" s="114"/>
      <c r="AG40" s="114"/>
      <c r="AH40" s="114"/>
    </row>
    <row r="41" spans="1:34" ht="12.75">
      <c r="A41" s="27"/>
      <c r="B41" s="36"/>
      <c r="C41" s="29"/>
      <c r="D41" s="32">
        <v>35</v>
      </c>
      <c r="E41" s="133"/>
      <c r="F41" s="133">
        <v>38.244</v>
      </c>
      <c r="G41" s="133">
        <v>42.137999999999998</v>
      </c>
      <c r="H41" s="133">
        <v>41.6158</v>
      </c>
      <c r="I41" s="133"/>
      <c r="J41" s="134"/>
      <c r="K41" s="135"/>
      <c r="L41" s="29"/>
      <c r="M41" s="147"/>
      <c r="N41" s="147">
        <v>38.247999999999998</v>
      </c>
      <c r="O41" s="147">
        <v>42.1374</v>
      </c>
      <c r="P41" s="147">
        <v>41.613399999999999</v>
      </c>
      <c r="Q41" s="147"/>
      <c r="R41" s="148"/>
      <c r="S41" s="149"/>
      <c r="U41" s="12"/>
      <c r="V41" s="13"/>
      <c r="W41" s="14"/>
      <c r="X41" s="29"/>
      <c r="Y41" s="24"/>
      <c r="Z41" s="24"/>
      <c r="AA41" s="27"/>
      <c r="AB41" s="114"/>
      <c r="AC41" s="114"/>
      <c r="AD41" s="114"/>
      <c r="AE41" s="114"/>
      <c r="AF41" s="114"/>
      <c r="AG41" s="114"/>
      <c r="AH41" s="114"/>
    </row>
    <row r="42" spans="1:34" ht="13.5" thickBot="1">
      <c r="A42" s="27"/>
      <c r="B42" s="36"/>
      <c r="C42" s="51"/>
      <c r="D42" s="69">
        <v>40</v>
      </c>
      <c r="E42" s="136"/>
      <c r="F42" s="136">
        <v>35.442900000000002</v>
      </c>
      <c r="G42" s="136">
        <v>40.802300000000002</v>
      </c>
      <c r="H42" s="136">
        <v>40.077100000000002</v>
      </c>
      <c r="I42" s="136"/>
      <c r="J42" s="137"/>
      <c r="K42" s="138"/>
      <c r="L42" s="29"/>
      <c r="M42" s="150"/>
      <c r="N42" s="150">
        <v>35.444000000000003</v>
      </c>
      <c r="O42" s="150">
        <v>40.799799999999998</v>
      </c>
      <c r="P42" s="150">
        <v>40.076999999999998</v>
      </c>
      <c r="Q42" s="150"/>
      <c r="R42" s="151"/>
      <c r="S42" s="152"/>
      <c r="U42" s="12"/>
      <c r="V42" s="13"/>
      <c r="W42" s="14"/>
      <c r="X42" s="29"/>
      <c r="Y42" s="24"/>
      <c r="Z42" s="24"/>
      <c r="AA42" s="27"/>
      <c r="AB42" s="114"/>
      <c r="AC42" s="114"/>
      <c r="AD42" s="114"/>
      <c r="AE42" s="114"/>
      <c r="AF42" s="114"/>
      <c r="AG42" s="114"/>
      <c r="AH42" s="114"/>
    </row>
    <row r="43" spans="1:34" ht="12.75">
      <c r="A43" s="27"/>
      <c r="B43" s="36"/>
      <c r="C43" s="29" t="s">
        <v>51</v>
      </c>
      <c r="D43" s="32">
        <v>25</v>
      </c>
      <c r="E43" s="131"/>
      <c r="F43" s="131">
        <v>42.760800000000003</v>
      </c>
      <c r="G43" s="131">
        <v>45.886299999999999</v>
      </c>
      <c r="H43" s="131">
        <v>45.645699999999998</v>
      </c>
      <c r="I43" s="131"/>
      <c r="J43" s="131"/>
      <c r="K43" s="132"/>
      <c r="L43" s="29"/>
      <c r="M43" s="145"/>
      <c r="N43" s="145">
        <v>42.7624</v>
      </c>
      <c r="O43" s="145">
        <v>45.893300000000004</v>
      </c>
      <c r="P43" s="145">
        <v>45.6449</v>
      </c>
      <c r="Q43" s="145"/>
      <c r="R43" s="145"/>
      <c r="S43" s="146"/>
      <c r="U43" s="8"/>
      <c r="V43" s="9"/>
      <c r="W43" s="10"/>
      <c r="X43" s="29"/>
      <c r="Y43" s="24"/>
      <c r="Z43" s="24"/>
      <c r="AA43" s="27"/>
      <c r="AB43" s="114"/>
      <c r="AC43" s="114"/>
      <c r="AD43" s="114"/>
      <c r="AE43" s="114"/>
      <c r="AF43" s="114"/>
      <c r="AG43" s="114"/>
      <c r="AH43" s="114"/>
    </row>
    <row r="44" spans="1:34" ht="12.75">
      <c r="A44" s="27"/>
      <c r="B44" s="36"/>
      <c r="C44" s="29"/>
      <c r="D44" s="32">
        <v>30</v>
      </c>
      <c r="E44" s="134"/>
      <c r="F44" s="134">
        <v>40.5047</v>
      </c>
      <c r="G44" s="134">
        <v>44.114899999999999</v>
      </c>
      <c r="H44" s="134">
        <v>43.580100000000002</v>
      </c>
      <c r="I44" s="134"/>
      <c r="J44" s="134"/>
      <c r="K44" s="135"/>
      <c r="L44" s="29"/>
      <c r="M44" s="148"/>
      <c r="N44" s="148">
        <v>40.503799999999998</v>
      </c>
      <c r="O44" s="148">
        <v>44.127099999999999</v>
      </c>
      <c r="P44" s="148">
        <v>43.567100000000003</v>
      </c>
      <c r="Q44" s="148"/>
      <c r="R44" s="148"/>
      <c r="S44" s="149"/>
      <c r="U44" s="41"/>
      <c r="V44" s="42"/>
      <c r="W44" s="43"/>
      <c r="X44" s="29"/>
      <c r="Y44" s="24"/>
      <c r="Z44" s="24"/>
      <c r="AA44" s="27"/>
      <c r="AB44" s="114"/>
      <c r="AC44" s="114"/>
      <c r="AD44" s="114"/>
      <c r="AE44" s="114"/>
      <c r="AF44" s="114"/>
      <c r="AG44" s="114"/>
      <c r="AH44" s="114"/>
    </row>
    <row r="45" spans="1:34" ht="12.75">
      <c r="A45" s="27"/>
      <c r="B45" s="36"/>
      <c r="C45" s="29"/>
      <c r="D45" s="32">
        <v>35</v>
      </c>
      <c r="E45" s="134"/>
      <c r="F45" s="134">
        <v>37.956400000000002</v>
      </c>
      <c r="G45" s="134">
        <v>42.324199999999998</v>
      </c>
      <c r="H45" s="134">
        <v>41.543700000000001</v>
      </c>
      <c r="I45" s="134"/>
      <c r="J45" s="134"/>
      <c r="K45" s="135"/>
      <c r="L45" s="29"/>
      <c r="M45" s="148"/>
      <c r="N45" s="148">
        <v>37.957500000000003</v>
      </c>
      <c r="O45" s="148">
        <v>42.318800000000003</v>
      </c>
      <c r="P45" s="148">
        <v>41.531799999999997</v>
      </c>
      <c r="Q45" s="148"/>
      <c r="R45" s="148"/>
      <c r="S45" s="149"/>
      <c r="U45" s="41"/>
      <c r="V45" s="42"/>
      <c r="W45" s="43"/>
      <c r="X45" s="29"/>
      <c r="Y45" s="24"/>
      <c r="Z45" s="24"/>
      <c r="AA45" s="27"/>
      <c r="AB45" s="114"/>
      <c r="AC45" s="114"/>
      <c r="AD45" s="114"/>
      <c r="AE45" s="114"/>
      <c r="AF45" s="114"/>
      <c r="AG45" s="114"/>
      <c r="AH45" s="114"/>
    </row>
    <row r="46" spans="1:34" ht="13.5" thickBot="1">
      <c r="A46" s="27"/>
      <c r="B46" s="36"/>
      <c r="C46" s="51"/>
      <c r="D46" s="69">
        <v>40</v>
      </c>
      <c r="E46" s="137"/>
      <c r="F46" s="137">
        <v>35.1691</v>
      </c>
      <c r="G46" s="137">
        <v>40.912500000000001</v>
      </c>
      <c r="H46" s="137">
        <v>39.967500000000001</v>
      </c>
      <c r="I46" s="137"/>
      <c r="J46" s="137"/>
      <c r="K46" s="138"/>
      <c r="L46" s="29"/>
      <c r="M46" s="151"/>
      <c r="N46" s="151">
        <v>35.169800000000002</v>
      </c>
      <c r="O46" s="151">
        <v>40.912100000000002</v>
      </c>
      <c r="P46" s="151">
        <v>39.9694</v>
      </c>
      <c r="Q46" s="151"/>
      <c r="R46" s="151"/>
      <c r="S46" s="152"/>
      <c r="U46" s="41"/>
      <c r="V46" s="42"/>
      <c r="W46" s="43"/>
      <c r="X46" s="29"/>
      <c r="Y46" s="24"/>
      <c r="Z46" s="24"/>
      <c r="AA46" s="27"/>
      <c r="AB46" s="114"/>
      <c r="AC46" s="114"/>
      <c r="AD46" s="114"/>
      <c r="AE46" s="114"/>
      <c r="AF46" s="114"/>
      <c r="AG46" s="114"/>
      <c r="AH46" s="114"/>
    </row>
    <row r="47" spans="1:34" ht="12.75">
      <c r="A47" s="27"/>
      <c r="B47" s="36"/>
      <c r="C47" s="29" t="s">
        <v>52</v>
      </c>
      <c r="D47" s="32">
        <v>25</v>
      </c>
      <c r="E47" s="131"/>
      <c r="F47" s="131">
        <v>42.105699999999999</v>
      </c>
      <c r="G47" s="131">
        <v>45.1327</v>
      </c>
      <c r="H47" s="131">
        <v>44.878100000000003</v>
      </c>
      <c r="I47" s="131"/>
      <c r="J47" s="131"/>
      <c r="K47" s="132"/>
      <c r="L47" s="29"/>
      <c r="M47" s="145"/>
      <c r="N47" s="145">
        <v>42.088799999999999</v>
      </c>
      <c r="O47" s="145">
        <v>45.146000000000001</v>
      </c>
      <c r="P47" s="145">
        <v>44.866799999999998</v>
      </c>
      <c r="Q47" s="145"/>
      <c r="R47" s="145"/>
      <c r="S47" s="146"/>
      <c r="U47" s="8"/>
      <c r="V47" s="9"/>
      <c r="W47" s="10"/>
      <c r="X47" s="29"/>
      <c r="Y47" s="24"/>
      <c r="Z47" s="24"/>
      <c r="AA47" s="27"/>
      <c r="AB47" s="114"/>
      <c r="AC47" s="114"/>
      <c r="AD47" s="114"/>
      <c r="AE47" s="114"/>
      <c r="AF47" s="114"/>
      <c r="AG47" s="114"/>
      <c r="AH47" s="114"/>
    </row>
    <row r="48" spans="1:34" ht="12.75">
      <c r="A48" s="27"/>
      <c r="B48" s="36"/>
      <c r="C48" s="29"/>
      <c r="D48" s="32">
        <v>30</v>
      </c>
      <c r="E48" s="134"/>
      <c r="F48" s="134">
        <v>39.960099999999997</v>
      </c>
      <c r="G48" s="134">
        <v>43.438699999999997</v>
      </c>
      <c r="H48" s="134">
        <v>42.948</v>
      </c>
      <c r="I48" s="134"/>
      <c r="J48" s="134"/>
      <c r="K48" s="135"/>
      <c r="L48" s="29"/>
      <c r="M48" s="148"/>
      <c r="N48" s="148">
        <v>39.960799999999999</v>
      </c>
      <c r="O48" s="148">
        <v>43.4619</v>
      </c>
      <c r="P48" s="148">
        <v>42.930500000000002</v>
      </c>
      <c r="Q48" s="148"/>
      <c r="R48" s="148"/>
      <c r="S48" s="149"/>
      <c r="U48" s="17"/>
      <c r="V48" s="18"/>
      <c r="W48" s="19"/>
      <c r="X48" s="29"/>
      <c r="Y48" s="24"/>
      <c r="Z48" s="24"/>
      <c r="AA48" s="27"/>
      <c r="AB48" s="114"/>
      <c r="AC48" s="114"/>
      <c r="AD48" s="114"/>
      <c r="AE48" s="114"/>
      <c r="AF48" s="114"/>
      <c r="AG48" s="114"/>
      <c r="AH48" s="114"/>
    </row>
    <row r="49" spans="1:34" ht="12.75">
      <c r="A49" s="27"/>
      <c r="B49" s="36"/>
      <c r="C49" s="29"/>
      <c r="D49" s="32">
        <v>35</v>
      </c>
      <c r="E49" s="134"/>
      <c r="F49" s="134">
        <v>37.5017</v>
      </c>
      <c r="G49" s="134">
        <v>41.882800000000003</v>
      </c>
      <c r="H49" s="134">
        <v>41.121499999999997</v>
      </c>
      <c r="I49" s="134"/>
      <c r="J49" s="134"/>
      <c r="K49" s="135"/>
      <c r="L49" s="29"/>
      <c r="M49" s="148"/>
      <c r="N49" s="148">
        <v>37.503399999999999</v>
      </c>
      <c r="O49" s="148">
        <v>41.8765</v>
      </c>
      <c r="P49" s="148">
        <v>41.1023</v>
      </c>
      <c r="Q49" s="148"/>
      <c r="R49" s="148"/>
      <c r="S49" s="149"/>
      <c r="U49" s="41"/>
      <c r="V49" s="44"/>
      <c r="W49" s="43"/>
      <c r="X49" s="29"/>
      <c r="Y49" s="24"/>
      <c r="Z49" s="24"/>
      <c r="AA49" s="27"/>
      <c r="AB49" s="114"/>
      <c r="AC49" s="114"/>
      <c r="AD49" s="114"/>
      <c r="AE49" s="114"/>
      <c r="AF49" s="114"/>
      <c r="AG49" s="114"/>
      <c r="AH49" s="114"/>
    </row>
    <row r="50" spans="1:34" ht="13.5" thickBot="1">
      <c r="A50" s="27"/>
      <c r="B50" s="36"/>
      <c r="C50" s="51"/>
      <c r="D50" s="69">
        <v>40</v>
      </c>
      <c r="E50" s="137"/>
      <c r="F50" s="137">
        <v>34.808900000000001</v>
      </c>
      <c r="G50" s="137">
        <v>40.565800000000003</v>
      </c>
      <c r="H50" s="137">
        <v>39.639699999999998</v>
      </c>
      <c r="I50" s="137"/>
      <c r="J50" s="137"/>
      <c r="K50" s="138"/>
      <c r="L50" s="29"/>
      <c r="M50" s="151"/>
      <c r="N50" s="151">
        <v>34.804099999999998</v>
      </c>
      <c r="O50" s="151">
        <v>40.563800000000001</v>
      </c>
      <c r="P50" s="151">
        <v>39.641199999999998</v>
      </c>
      <c r="Q50" s="151"/>
      <c r="R50" s="151"/>
      <c r="S50" s="152"/>
      <c r="U50" s="41"/>
      <c r="V50" s="42"/>
      <c r="W50" s="43"/>
      <c r="X50" s="29"/>
      <c r="Y50" s="24"/>
      <c r="Z50" s="24"/>
      <c r="AA50" s="27"/>
      <c r="AB50" s="114"/>
      <c r="AC50" s="114"/>
      <c r="AD50" s="114"/>
      <c r="AE50" s="114"/>
      <c r="AF50" s="114"/>
      <c r="AG50" s="114"/>
      <c r="AH50" s="114"/>
    </row>
    <row r="51" spans="1:34" ht="12.75">
      <c r="A51" s="27"/>
      <c r="B51" s="36"/>
      <c r="C51" s="29" t="s">
        <v>12</v>
      </c>
      <c r="D51" s="32">
        <v>25</v>
      </c>
      <c r="E51" s="134">
        <v>1753.7272</v>
      </c>
      <c r="F51" s="134"/>
      <c r="G51" s="134"/>
      <c r="H51" s="134"/>
      <c r="I51" s="134">
        <v>24372.32</v>
      </c>
      <c r="J51" s="134">
        <v>50.52</v>
      </c>
      <c r="K51" s="135">
        <v>330.38</v>
      </c>
      <c r="L51" s="29"/>
      <c r="M51" s="148">
        <v>1753.6056000000001</v>
      </c>
      <c r="N51" s="148"/>
      <c r="O51" s="148"/>
      <c r="P51" s="148"/>
      <c r="Q51" s="148">
        <v>24518.52</v>
      </c>
      <c r="R51" s="148">
        <v>50.97</v>
      </c>
      <c r="S51" s="149">
        <v>331.87</v>
      </c>
      <c r="U51" s="8"/>
      <c r="V51" s="9"/>
      <c r="W51" s="10"/>
      <c r="X51" s="29"/>
      <c r="Y51" s="59">
        <f>GEOMEAN(Q51:Q54)/GEOMEAN(I51:I54)</f>
        <v>1.0023152459305835</v>
      </c>
      <c r="Z51" s="59">
        <f>GEOMEAN(R51:R54)/GEOMEAN(J51:J54)</f>
        <v>1.0056743965203048</v>
      </c>
      <c r="AA51" s="55">
        <f>GEOMEAN(S51:S54)/GEOMEAN(K51:K54)</f>
        <v>1.0036675556727732</v>
      </c>
      <c r="AB51" s="114"/>
      <c r="AC51" s="114"/>
      <c r="AD51" s="114"/>
      <c r="AE51" s="114"/>
      <c r="AF51" s="114"/>
      <c r="AG51" s="114"/>
      <c r="AH51" s="114"/>
    </row>
    <row r="52" spans="1:34" ht="12.75">
      <c r="A52" s="27"/>
      <c r="B52" s="36"/>
      <c r="C52" s="29"/>
      <c r="D52" s="32">
        <v>30</v>
      </c>
      <c r="E52" s="134">
        <v>844.74400000000003</v>
      </c>
      <c r="F52" s="134"/>
      <c r="G52" s="134"/>
      <c r="H52" s="134"/>
      <c r="I52" s="134">
        <v>18734</v>
      </c>
      <c r="J52" s="134">
        <v>46.06</v>
      </c>
      <c r="K52" s="135">
        <v>337.22</v>
      </c>
      <c r="L52" s="29"/>
      <c r="M52" s="148">
        <v>845.38</v>
      </c>
      <c r="N52" s="148"/>
      <c r="O52" s="148"/>
      <c r="P52" s="148"/>
      <c r="Q52" s="148">
        <v>18673.82</v>
      </c>
      <c r="R52" s="148">
        <v>46.15</v>
      </c>
      <c r="S52" s="149">
        <v>332.62</v>
      </c>
      <c r="U52" s="41"/>
      <c r="V52" s="42"/>
      <c r="W52" s="43"/>
      <c r="X52" s="29"/>
      <c r="Y52" s="24"/>
      <c r="Z52" s="24"/>
      <c r="AA52" s="27"/>
      <c r="AB52" s="114"/>
      <c r="AC52" s="114"/>
      <c r="AD52" s="114"/>
      <c r="AE52" s="114"/>
      <c r="AF52" s="114"/>
      <c r="AG52" s="114"/>
      <c r="AH52" s="114"/>
    </row>
    <row r="53" spans="1:34" ht="12.75">
      <c r="A53" s="27"/>
      <c r="B53" s="36"/>
      <c r="C53" s="29"/>
      <c r="D53" s="32">
        <v>35</v>
      </c>
      <c r="E53" s="134">
        <v>461.44560000000001</v>
      </c>
      <c r="F53" s="134"/>
      <c r="G53" s="134"/>
      <c r="H53" s="134"/>
      <c r="I53" s="134">
        <v>15708.6</v>
      </c>
      <c r="J53" s="134">
        <v>49.62</v>
      </c>
      <c r="K53" s="135">
        <v>336.71</v>
      </c>
      <c r="L53" s="29"/>
      <c r="M53" s="148">
        <v>461.32639999999998</v>
      </c>
      <c r="N53" s="148"/>
      <c r="O53" s="148"/>
      <c r="P53" s="148"/>
      <c r="Q53" s="148">
        <v>15908.64</v>
      </c>
      <c r="R53" s="148">
        <v>42.76</v>
      </c>
      <c r="S53" s="149">
        <v>337.39</v>
      </c>
      <c r="U53" s="17"/>
      <c r="V53" s="18"/>
      <c r="W53" s="19"/>
      <c r="X53" s="29"/>
      <c r="Y53" s="24"/>
      <c r="Z53" s="24"/>
      <c r="AA53" s="27"/>
      <c r="AB53" s="114"/>
      <c r="AC53" s="114"/>
      <c r="AD53" s="114"/>
      <c r="AE53" s="114"/>
      <c r="AF53" s="114"/>
      <c r="AG53" s="114"/>
      <c r="AH53" s="114"/>
    </row>
    <row r="54" spans="1:34" ht="13.5" thickBot="1">
      <c r="A54" s="27"/>
      <c r="B54" s="50"/>
      <c r="C54" s="51"/>
      <c r="D54" s="69">
        <v>40</v>
      </c>
      <c r="E54" s="137">
        <v>266.03440000000001</v>
      </c>
      <c r="F54" s="137"/>
      <c r="G54" s="137"/>
      <c r="H54" s="137"/>
      <c r="I54" s="137">
        <v>13838.77</v>
      </c>
      <c r="J54" s="137">
        <v>41.04</v>
      </c>
      <c r="K54" s="138">
        <v>333.46</v>
      </c>
      <c r="L54" s="29"/>
      <c r="M54" s="151">
        <v>265.80560000000003</v>
      </c>
      <c r="N54" s="151"/>
      <c r="O54" s="151"/>
      <c r="P54" s="151"/>
      <c r="Q54" s="151">
        <v>13753.69</v>
      </c>
      <c r="R54" s="151">
        <v>48.19</v>
      </c>
      <c r="S54" s="152">
        <v>340.83</v>
      </c>
      <c r="U54" s="82"/>
      <c r="V54" s="83"/>
      <c r="W54" s="84"/>
      <c r="X54" s="29"/>
      <c r="Y54" s="47"/>
      <c r="Z54" s="47"/>
      <c r="AA54" s="52"/>
      <c r="AB54" s="114"/>
      <c r="AC54" s="114"/>
      <c r="AD54" s="114"/>
      <c r="AE54" s="114"/>
      <c r="AF54" s="114"/>
      <c r="AG54" s="114"/>
      <c r="AH54" s="114"/>
    </row>
    <row r="55" spans="1:34" ht="12.75">
      <c r="A55" s="27" t="s">
        <v>18</v>
      </c>
      <c r="B55" s="35" t="s">
        <v>13</v>
      </c>
      <c r="C55" s="28" t="s">
        <v>26</v>
      </c>
      <c r="D55" s="31">
        <v>25</v>
      </c>
      <c r="E55" s="130">
        <v>846.76080000000002</v>
      </c>
      <c r="F55" s="130">
        <v>43.604900000000001</v>
      </c>
      <c r="G55" s="130">
        <v>44.955800000000004</v>
      </c>
      <c r="H55" s="130">
        <v>44.934399999999997</v>
      </c>
      <c r="I55" s="130"/>
      <c r="J55" s="131"/>
      <c r="K55" s="132"/>
      <c r="L55" s="29"/>
      <c r="M55" s="144">
        <v>846.76080000000002</v>
      </c>
      <c r="N55" s="144">
        <v>43.604900000000001</v>
      </c>
      <c r="O55" s="144">
        <v>44.955800000000004</v>
      </c>
      <c r="P55" s="144">
        <v>44.934399999999997</v>
      </c>
      <c r="Q55" s="144"/>
      <c r="R55" s="145"/>
      <c r="S55" s="146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B55" s="114"/>
      <c r="AC55" s="114"/>
      <c r="AD55" s="114"/>
      <c r="AE55" s="114"/>
      <c r="AF55" s="114"/>
      <c r="AG55" s="114"/>
      <c r="AH55" s="114"/>
    </row>
    <row r="56" spans="1:34" ht="12.75">
      <c r="A56" s="27"/>
      <c r="B56" s="36"/>
      <c r="C56" s="29"/>
      <c r="D56" s="32">
        <v>30</v>
      </c>
      <c r="E56" s="133">
        <v>450.83120000000002</v>
      </c>
      <c r="F56" s="133">
        <v>41.431699999999999</v>
      </c>
      <c r="G56" s="133">
        <v>44.111400000000003</v>
      </c>
      <c r="H56" s="133">
        <v>43.4435</v>
      </c>
      <c r="I56" s="133"/>
      <c r="J56" s="134"/>
      <c r="K56" s="135"/>
      <c r="L56" s="29"/>
      <c r="M56" s="147">
        <v>450.83120000000002</v>
      </c>
      <c r="N56" s="147">
        <v>41.431699999999999</v>
      </c>
      <c r="O56" s="147">
        <v>44.111400000000003</v>
      </c>
      <c r="P56" s="147">
        <v>43.4435</v>
      </c>
      <c r="Q56" s="147"/>
      <c r="R56" s="148"/>
      <c r="S56" s="149"/>
      <c r="U56" s="41"/>
      <c r="V56" s="42"/>
      <c r="W56" s="43"/>
      <c r="X56" s="29"/>
      <c r="Y56" s="24"/>
      <c r="Z56" s="24"/>
      <c r="AA56" s="27"/>
      <c r="AB56" s="114"/>
      <c r="AC56" s="114"/>
      <c r="AD56" s="114"/>
      <c r="AE56" s="114"/>
      <c r="AF56" s="114"/>
      <c r="AG56" s="114"/>
      <c r="AH56" s="114"/>
    </row>
    <row r="57" spans="1:34" ht="12.75">
      <c r="A57" s="27"/>
      <c r="B57" s="36"/>
      <c r="C57" s="29"/>
      <c r="D57" s="32">
        <v>35</v>
      </c>
      <c r="E57" s="133">
        <v>256.22320000000002</v>
      </c>
      <c r="F57" s="133">
        <v>38.945</v>
      </c>
      <c r="G57" s="133">
        <v>43.065899999999999</v>
      </c>
      <c r="H57" s="133">
        <v>41.777799999999999</v>
      </c>
      <c r="I57" s="133"/>
      <c r="J57" s="134"/>
      <c r="K57" s="135"/>
      <c r="L57" s="29"/>
      <c r="M57" s="147">
        <v>256.22320000000002</v>
      </c>
      <c r="N57" s="147">
        <v>38.945</v>
      </c>
      <c r="O57" s="147">
        <v>43.065899999999999</v>
      </c>
      <c r="P57" s="147">
        <v>41.777799999999999</v>
      </c>
      <c r="Q57" s="147"/>
      <c r="R57" s="148"/>
      <c r="S57" s="149"/>
      <c r="U57" s="41"/>
      <c r="V57" s="42"/>
      <c r="W57" s="43"/>
      <c r="X57" s="29"/>
      <c r="Y57" s="24"/>
      <c r="Z57" s="24"/>
      <c r="AA57" s="27"/>
      <c r="AB57" s="114"/>
      <c r="AC57" s="114"/>
      <c r="AD57" s="114"/>
      <c r="AE57" s="114"/>
      <c r="AF57" s="114"/>
      <c r="AG57" s="114"/>
      <c r="AH57" s="114"/>
    </row>
    <row r="58" spans="1:34" ht="13.5" thickBot="1">
      <c r="A58" s="27"/>
      <c r="B58" s="36"/>
      <c r="C58" s="29"/>
      <c r="D58" s="32">
        <v>40</v>
      </c>
      <c r="E58" s="136">
        <v>153.95920000000001</v>
      </c>
      <c r="F58" s="136">
        <v>36.328800000000001</v>
      </c>
      <c r="G58" s="136">
        <v>42.261400000000002</v>
      </c>
      <c r="H58" s="136">
        <v>40.440199999999997</v>
      </c>
      <c r="I58" s="136"/>
      <c r="J58" s="137"/>
      <c r="K58" s="138"/>
      <c r="L58" s="29"/>
      <c r="M58" s="150">
        <v>153.95920000000001</v>
      </c>
      <c r="N58" s="150">
        <v>36.328800000000001</v>
      </c>
      <c r="O58" s="150">
        <v>42.261400000000002</v>
      </c>
      <c r="P58" s="150">
        <v>40.440199999999997</v>
      </c>
      <c r="Q58" s="150"/>
      <c r="R58" s="151"/>
      <c r="S58" s="152"/>
      <c r="U58" s="41"/>
      <c r="V58" s="42"/>
      <c r="W58" s="43"/>
      <c r="X58" s="29"/>
      <c r="Y58" s="24"/>
      <c r="Z58" s="24"/>
      <c r="AA58" s="27"/>
      <c r="AB58" s="114"/>
      <c r="AC58" s="114"/>
      <c r="AD58" s="114"/>
      <c r="AE58" s="114"/>
      <c r="AF58" s="114"/>
      <c r="AG58" s="114"/>
      <c r="AH58" s="114"/>
    </row>
    <row r="59" spans="1:34" ht="12.75">
      <c r="A59" s="27"/>
      <c r="B59" s="36"/>
      <c r="C59" s="28" t="s">
        <v>27</v>
      </c>
      <c r="D59" s="31">
        <v>25</v>
      </c>
      <c r="E59" s="133">
        <v>274.1848</v>
      </c>
      <c r="F59" s="133">
        <v>42.691899999999997</v>
      </c>
      <c r="G59" s="133">
        <v>44.7502</v>
      </c>
      <c r="H59" s="133">
        <v>44.152900000000002</v>
      </c>
      <c r="I59" s="133"/>
      <c r="J59" s="134"/>
      <c r="K59" s="135"/>
      <c r="L59" s="29"/>
      <c r="M59" s="147">
        <v>273.75360000000001</v>
      </c>
      <c r="N59" s="147">
        <v>42.689900000000002</v>
      </c>
      <c r="O59" s="147">
        <v>44.746499999999997</v>
      </c>
      <c r="P59" s="147">
        <v>44.152500000000003</v>
      </c>
      <c r="Q59" s="147"/>
      <c r="R59" s="148"/>
      <c r="S59" s="149"/>
      <c r="U59" s="8">
        <f>bdrate($E59:$E62,F59:F62,$M59:$M62,N59:N62)</f>
        <v>-4.524650814858866E-4</v>
      </c>
      <c r="V59" s="9">
        <f>bdrate($E59:$E62,G59:G62,$M59:$M62,O59:O62)</f>
        <v>2.3751283285928793E-3</v>
      </c>
      <c r="W59" s="10">
        <f>bdrate($E59:$E62,H59:H62,$M59:$M62,P59:P62)</f>
        <v>2.2313991427171942E-3</v>
      </c>
      <c r="X59" s="29"/>
      <c r="Y59" s="24"/>
      <c r="Z59" s="24"/>
      <c r="AA59" s="27"/>
      <c r="AB59" s="114"/>
      <c r="AC59" s="114"/>
      <c r="AD59" s="114"/>
      <c r="AE59" s="114"/>
      <c r="AF59" s="114"/>
      <c r="AG59" s="114"/>
      <c r="AH59" s="114"/>
    </row>
    <row r="60" spans="1:34" ht="12.75">
      <c r="A60" s="27"/>
      <c r="B60" s="36"/>
      <c r="C60" s="29"/>
      <c r="D60" s="32">
        <v>30</v>
      </c>
      <c r="E60" s="133">
        <v>122.7424</v>
      </c>
      <c r="F60" s="133">
        <v>40.358600000000003</v>
      </c>
      <c r="G60" s="133">
        <v>43.807699999999997</v>
      </c>
      <c r="H60" s="133">
        <v>42.650300000000001</v>
      </c>
      <c r="I60" s="133"/>
      <c r="J60" s="134"/>
      <c r="K60" s="135"/>
      <c r="L60" s="29"/>
      <c r="M60" s="147">
        <v>122.77679999999999</v>
      </c>
      <c r="N60" s="147">
        <v>40.362200000000001</v>
      </c>
      <c r="O60" s="147">
        <v>43.808799999999998</v>
      </c>
      <c r="P60" s="147">
        <v>42.644799999999996</v>
      </c>
      <c r="Q60" s="147"/>
      <c r="R60" s="148"/>
      <c r="S60" s="149"/>
      <c r="U60" s="17"/>
      <c r="V60" s="18"/>
      <c r="W60" s="19"/>
      <c r="X60" s="29"/>
      <c r="Y60" s="24"/>
      <c r="Z60" s="24"/>
      <c r="AA60" s="27"/>
      <c r="AB60" s="114"/>
      <c r="AC60" s="114"/>
      <c r="AD60" s="114"/>
      <c r="AE60" s="114"/>
      <c r="AF60" s="114"/>
      <c r="AG60" s="114"/>
      <c r="AH60" s="114"/>
    </row>
    <row r="61" spans="1:34" ht="12.75">
      <c r="A61" s="27"/>
      <c r="B61" s="36"/>
      <c r="C61" s="29"/>
      <c r="D61" s="32">
        <v>35</v>
      </c>
      <c r="E61" s="133">
        <v>64.227199999999996</v>
      </c>
      <c r="F61" s="133">
        <v>37.918399999999998</v>
      </c>
      <c r="G61" s="133">
        <v>42.882300000000001</v>
      </c>
      <c r="H61" s="133">
        <v>41.295099999999998</v>
      </c>
      <c r="I61" s="133"/>
      <c r="J61" s="134"/>
      <c r="K61" s="135"/>
      <c r="L61" s="29"/>
      <c r="M61" s="147">
        <v>64.352000000000004</v>
      </c>
      <c r="N61" s="147">
        <v>37.923499999999997</v>
      </c>
      <c r="O61" s="147">
        <v>42.879100000000001</v>
      </c>
      <c r="P61" s="147">
        <v>41.290399999999998</v>
      </c>
      <c r="Q61" s="147"/>
      <c r="R61" s="148"/>
      <c r="S61" s="149"/>
      <c r="U61" s="41"/>
      <c r="V61" s="44"/>
      <c r="W61" s="43"/>
      <c r="X61" s="29"/>
      <c r="Y61" s="24"/>
      <c r="Z61" s="24"/>
      <c r="AA61" s="27"/>
      <c r="AB61" s="114"/>
      <c r="AC61" s="114"/>
      <c r="AD61" s="114"/>
      <c r="AE61" s="114"/>
      <c r="AF61" s="114"/>
      <c r="AG61" s="114"/>
      <c r="AH61" s="114"/>
    </row>
    <row r="62" spans="1:34" ht="13.5" thickBot="1">
      <c r="A62" s="27"/>
      <c r="B62" s="36"/>
      <c r="C62" s="29"/>
      <c r="D62" s="32">
        <v>40</v>
      </c>
      <c r="E62" s="133">
        <v>34.477600000000002</v>
      </c>
      <c r="F62" s="133">
        <v>35.371499999999997</v>
      </c>
      <c r="G62" s="133">
        <v>41.999299999999998</v>
      </c>
      <c r="H62" s="133">
        <v>39.977400000000003</v>
      </c>
      <c r="I62" s="133"/>
      <c r="J62" s="134"/>
      <c r="K62" s="135"/>
      <c r="L62" s="29"/>
      <c r="M62" s="147">
        <v>34.463200000000001</v>
      </c>
      <c r="N62" s="147">
        <v>35.380200000000002</v>
      </c>
      <c r="O62" s="147">
        <v>41.988900000000001</v>
      </c>
      <c r="P62" s="147">
        <v>39.981000000000002</v>
      </c>
      <c r="Q62" s="147"/>
      <c r="R62" s="148"/>
      <c r="S62" s="149"/>
      <c r="U62" s="41"/>
      <c r="V62" s="42"/>
      <c r="W62" s="43"/>
      <c r="X62" s="29"/>
      <c r="Y62" s="24"/>
      <c r="Z62" s="24"/>
      <c r="AA62" s="27"/>
      <c r="AB62" s="114"/>
      <c r="AC62" s="114"/>
      <c r="AD62" s="114"/>
      <c r="AE62" s="114"/>
      <c r="AF62" s="114"/>
      <c r="AG62" s="114"/>
      <c r="AH62" s="114"/>
    </row>
    <row r="63" spans="1:34" ht="12.75">
      <c r="A63" s="27"/>
      <c r="B63" s="36"/>
      <c r="C63" s="28" t="s">
        <v>28</v>
      </c>
      <c r="D63" s="31">
        <v>25</v>
      </c>
      <c r="E63" s="130">
        <v>291.82159999999999</v>
      </c>
      <c r="F63" s="130">
        <v>42.326700000000002</v>
      </c>
      <c r="G63" s="130">
        <v>43.958199999999998</v>
      </c>
      <c r="H63" s="130">
        <v>43.890300000000003</v>
      </c>
      <c r="I63" s="130"/>
      <c r="J63" s="131"/>
      <c r="K63" s="132"/>
      <c r="L63" s="29"/>
      <c r="M63" s="144">
        <v>292.06560000000002</v>
      </c>
      <c r="N63" s="144">
        <v>42.330199999999998</v>
      </c>
      <c r="O63" s="144">
        <v>43.954700000000003</v>
      </c>
      <c r="P63" s="144">
        <v>43.890999999999998</v>
      </c>
      <c r="Q63" s="144"/>
      <c r="R63" s="145"/>
      <c r="S63" s="146"/>
      <c r="U63" s="8">
        <f>bdrate($E63:$E66,F63:F66,$M63:$M66,N63:N66)</f>
        <v>6.0061046847526001E-5</v>
      </c>
      <c r="V63" s="9">
        <f>bdrate($E63:$E66,G63:G66,$M63:$M66,O63:O66)</f>
        <v>3.3990661624394569E-3</v>
      </c>
      <c r="W63" s="10">
        <f>bdrate($E63:$E66,H63:H66,$M63:$M66,P63:P66)</f>
        <v>3.3675401059312104E-3</v>
      </c>
      <c r="X63" s="29"/>
      <c r="Y63" s="24"/>
      <c r="Z63" s="24"/>
      <c r="AA63" s="27"/>
      <c r="AB63" s="114"/>
      <c r="AC63" s="114"/>
      <c r="AD63" s="114"/>
      <c r="AE63" s="114"/>
      <c r="AF63" s="114"/>
      <c r="AG63" s="114"/>
      <c r="AH63" s="114"/>
    </row>
    <row r="64" spans="1:34" ht="12.75">
      <c r="A64" s="27"/>
      <c r="B64" s="36"/>
      <c r="C64" s="29"/>
      <c r="D64" s="32">
        <v>30</v>
      </c>
      <c r="E64" s="133">
        <v>129.05119999999999</v>
      </c>
      <c r="F64" s="133">
        <v>40.107700000000001</v>
      </c>
      <c r="G64" s="133">
        <v>42.971699999999998</v>
      </c>
      <c r="H64" s="133">
        <v>42.445300000000003</v>
      </c>
      <c r="I64" s="133"/>
      <c r="J64" s="134"/>
      <c r="K64" s="135"/>
      <c r="L64" s="29"/>
      <c r="M64" s="147">
        <v>129.13679999999999</v>
      </c>
      <c r="N64" s="147">
        <v>40.110700000000001</v>
      </c>
      <c r="O64" s="147">
        <v>42.970199999999998</v>
      </c>
      <c r="P64" s="147">
        <v>42.440199999999997</v>
      </c>
      <c r="Q64" s="147"/>
      <c r="R64" s="148"/>
      <c r="S64" s="149"/>
      <c r="U64" s="41"/>
      <c r="V64" s="42"/>
      <c r="W64" s="43"/>
      <c r="X64" s="29"/>
      <c r="Y64" s="24"/>
      <c r="Z64" s="24"/>
      <c r="AA64" s="27"/>
      <c r="AB64" s="114"/>
      <c r="AC64" s="114"/>
      <c r="AD64" s="114"/>
      <c r="AE64" s="114"/>
      <c r="AF64" s="114"/>
      <c r="AG64" s="114"/>
      <c r="AH64" s="114"/>
    </row>
    <row r="65" spans="1:34" ht="12.75">
      <c r="A65" s="27"/>
      <c r="B65" s="36"/>
      <c r="C65" s="29"/>
      <c r="D65" s="32">
        <v>35</v>
      </c>
      <c r="E65" s="133">
        <v>67.127200000000002</v>
      </c>
      <c r="F65" s="133">
        <v>37.7258</v>
      </c>
      <c r="G65" s="133">
        <v>42.1995</v>
      </c>
      <c r="H65" s="133">
        <v>41.201599999999999</v>
      </c>
      <c r="I65" s="133"/>
      <c r="J65" s="134"/>
      <c r="K65" s="135"/>
      <c r="L65" s="29"/>
      <c r="M65" s="147">
        <v>67.298400000000001</v>
      </c>
      <c r="N65" s="147">
        <v>37.7361</v>
      </c>
      <c r="O65" s="147">
        <v>42.195900000000002</v>
      </c>
      <c r="P65" s="147">
        <v>41.199399999999997</v>
      </c>
      <c r="Q65" s="147"/>
      <c r="R65" s="148"/>
      <c r="S65" s="149"/>
      <c r="U65" s="17"/>
      <c r="V65" s="18"/>
      <c r="W65" s="19"/>
      <c r="X65" s="29"/>
      <c r="Y65" s="24"/>
      <c r="Z65" s="24"/>
      <c r="AA65" s="27"/>
      <c r="AB65" s="114"/>
      <c r="AC65" s="114"/>
      <c r="AD65" s="114"/>
      <c r="AE65" s="114"/>
      <c r="AF65" s="114"/>
      <c r="AG65" s="114"/>
      <c r="AH65" s="114"/>
    </row>
    <row r="66" spans="1:34" ht="13.5" thickBot="1">
      <c r="A66" s="27"/>
      <c r="B66" s="36"/>
      <c r="C66" s="51"/>
      <c r="D66" s="69">
        <v>40</v>
      </c>
      <c r="E66" s="136">
        <v>35.82</v>
      </c>
      <c r="F66" s="136">
        <v>35.229199999999999</v>
      </c>
      <c r="G66" s="136">
        <v>41.389200000000002</v>
      </c>
      <c r="H66" s="136">
        <v>39.9482</v>
      </c>
      <c r="I66" s="136"/>
      <c r="J66" s="137"/>
      <c r="K66" s="138"/>
      <c r="L66" s="29"/>
      <c r="M66" s="150">
        <v>35.951999999999998</v>
      </c>
      <c r="N66" s="150">
        <v>35.235599999999998</v>
      </c>
      <c r="O66" s="150">
        <v>41.391199999999998</v>
      </c>
      <c r="P66" s="150">
        <v>39.944099999999999</v>
      </c>
      <c r="Q66" s="150"/>
      <c r="R66" s="151"/>
      <c r="S66" s="152"/>
      <c r="U66" s="41"/>
      <c r="V66" s="42"/>
      <c r="W66" s="43"/>
      <c r="X66" s="29"/>
      <c r="Y66" s="24"/>
      <c r="Z66" s="24"/>
      <c r="AA66" s="27"/>
      <c r="AB66" s="114"/>
      <c r="AC66" s="114"/>
      <c r="AD66" s="114"/>
      <c r="AE66" s="114"/>
      <c r="AF66" s="114"/>
      <c r="AG66" s="114"/>
      <c r="AH66" s="114"/>
    </row>
    <row r="67" spans="1:34" ht="12.75">
      <c r="A67" s="27"/>
      <c r="B67" s="36"/>
      <c r="C67" s="28" t="s">
        <v>29</v>
      </c>
      <c r="D67" s="31">
        <v>34</v>
      </c>
      <c r="E67" s="130">
        <v>136.56880000000001</v>
      </c>
      <c r="F67" s="130">
        <v>39.205300000000001</v>
      </c>
      <c r="G67" s="130"/>
      <c r="H67" s="130"/>
      <c r="I67" s="130"/>
      <c r="J67" s="131"/>
      <c r="K67" s="132"/>
      <c r="L67" s="29"/>
      <c r="M67" s="144">
        <v>136.56880000000001</v>
      </c>
      <c r="N67" s="144">
        <v>39.205300000000001</v>
      </c>
      <c r="O67" s="144"/>
      <c r="P67" s="144"/>
      <c r="Q67" s="144"/>
      <c r="R67" s="145"/>
      <c r="S67" s="146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B67" s="114"/>
      <c r="AC67" s="114"/>
      <c r="AD67" s="114"/>
      <c r="AE67" s="114"/>
      <c r="AF67" s="114"/>
      <c r="AG67" s="114"/>
      <c r="AH67" s="114"/>
    </row>
    <row r="68" spans="1:34" ht="12.75">
      <c r="A68" s="27"/>
      <c r="B68" s="36"/>
      <c r="C68" s="29"/>
      <c r="D68" s="32">
        <v>39</v>
      </c>
      <c r="E68" s="133">
        <v>48.2624</v>
      </c>
      <c r="F68" s="133">
        <v>35.219900000000003</v>
      </c>
      <c r="G68" s="133"/>
      <c r="H68" s="133"/>
      <c r="I68" s="133"/>
      <c r="J68" s="134"/>
      <c r="K68" s="135"/>
      <c r="L68" s="29"/>
      <c r="M68" s="147">
        <v>48.2624</v>
      </c>
      <c r="N68" s="147">
        <v>35.219900000000003</v>
      </c>
      <c r="O68" s="147"/>
      <c r="P68" s="147"/>
      <c r="Q68" s="147"/>
      <c r="R68" s="148"/>
      <c r="S68" s="149"/>
      <c r="U68" s="41"/>
      <c r="V68" s="42"/>
      <c r="W68" s="43"/>
      <c r="X68" s="29"/>
      <c r="Y68" s="24"/>
      <c r="Z68" s="24"/>
      <c r="AA68" s="27"/>
      <c r="AB68" s="114"/>
      <c r="AC68" s="114"/>
      <c r="AD68" s="114"/>
      <c r="AE68" s="114"/>
      <c r="AF68" s="114"/>
      <c r="AG68" s="114"/>
      <c r="AH68" s="114"/>
    </row>
    <row r="69" spans="1:34" ht="12.75">
      <c r="A69" s="27"/>
      <c r="B69" s="36"/>
      <c r="C69" s="29"/>
      <c r="D69" s="32">
        <v>42</v>
      </c>
      <c r="E69" s="133">
        <v>20.532800000000002</v>
      </c>
      <c r="F69" s="133">
        <v>32.225200000000001</v>
      </c>
      <c r="G69" s="133"/>
      <c r="H69" s="133"/>
      <c r="I69" s="133"/>
      <c r="J69" s="134"/>
      <c r="K69" s="135"/>
      <c r="L69" s="29"/>
      <c r="M69" s="147">
        <v>20.532800000000002</v>
      </c>
      <c r="N69" s="147">
        <v>32.225200000000001</v>
      </c>
      <c r="O69" s="147"/>
      <c r="P69" s="147"/>
      <c r="Q69" s="147"/>
      <c r="R69" s="148"/>
      <c r="S69" s="149"/>
      <c r="U69" s="41"/>
      <c r="V69" s="42"/>
      <c r="W69" s="43"/>
      <c r="X69" s="29"/>
      <c r="Y69" s="24"/>
      <c r="Z69" s="24"/>
      <c r="AA69" s="27"/>
      <c r="AB69" s="114"/>
      <c r="AC69" s="114"/>
      <c r="AD69" s="114"/>
      <c r="AE69" s="114"/>
      <c r="AF69" s="114"/>
      <c r="AG69" s="114"/>
      <c r="AH69" s="114"/>
    </row>
    <row r="70" spans="1:34" ht="13.5" thickBot="1">
      <c r="A70" s="27"/>
      <c r="B70" s="36"/>
      <c r="C70" s="29"/>
      <c r="D70" s="32">
        <v>45</v>
      </c>
      <c r="E70" s="136">
        <v>9.9160000000000004</v>
      </c>
      <c r="F70" s="136">
        <v>29.731000000000002</v>
      </c>
      <c r="G70" s="136"/>
      <c r="H70" s="136"/>
      <c r="I70" s="136"/>
      <c r="J70" s="137"/>
      <c r="K70" s="138"/>
      <c r="L70" s="29"/>
      <c r="M70" s="150">
        <v>9.9160000000000004</v>
      </c>
      <c r="N70" s="150">
        <v>29.731000000000002</v>
      </c>
      <c r="O70" s="150"/>
      <c r="P70" s="150"/>
      <c r="Q70" s="150"/>
      <c r="R70" s="151"/>
      <c r="S70" s="152"/>
      <c r="U70" s="17"/>
      <c r="V70" s="18"/>
      <c r="W70" s="19"/>
      <c r="X70" s="29"/>
      <c r="Y70" s="59"/>
      <c r="Z70" s="59"/>
      <c r="AA70" s="55"/>
      <c r="AB70" s="114"/>
      <c r="AC70" s="114"/>
      <c r="AD70" s="114"/>
      <c r="AE70" s="114"/>
      <c r="AF70" s="114"/>
      <c r="AG70" s="114"/>
      <c r="AH70" s="114"/>
    </row>
    <row r="71" spans="1:34" ht="12.75">
      <c r="A71" s="27"/>
      <c r="B71" s="36"/>
      <c r="C71" s="28" t="s">
        <v>30</v>
      </c>
      <c r="D71" s="31">
        <v>34</v>
      </c>
      <c r="E71" s="130">
        <v>108.1816</v>
      </c>
      <c r="F71" s="130">
        <v>36.180900000000001</v>
      </c>
      <c r="G71" s="130"/>
      <c r="H71" s="130"/>
      <c r="I71" s="130"/>
      <c r="J71" s="131"/>
      <c r="K71" s="132"/>
      <c r="L71" s="29"/>
      <c r="M71" s="144">
        <v>108.36960000000001</v>
      </c>
      <c r="N71" s="144">
        <v>36.161099999999998</v>
      </c>
      <c r="O71" s="144"/>
      <c r="P71" s="144"/>
      <c r="Q71" s="144"/>
      <c r="R71" s="145"/>
      <c r="S71" s="146"/>
      <c r="U71" s="8">
        <f>bdrate($E71:$E74,F71:F74,$M71:$M74,N71:N74)</f>
        <v>5.6180800494742833E-3</v>
      </c>
      <c r="V71" s="9"/>
      <c r="W71" s="10"/>
      <c r="X71" s="29"/>
      <c r="Y71" s="24"/>
      <c r="Z71" s="24"/>
      <c r="AA71" s="27"/>
      <c r="AB71" s="114"/>
      <c r="AC71" s="114"/>
      <c r="AD71" s="114"/>
      <c r="AE71" s="114"/>
      <c r="AF71" s="114"/>
      <c r="AG71" s="114"/>
      <c r="AH71" s="114"/>
    </row>
    <row r="72" spans="1:34" ht="12.75">
      <c r="A72" s="27"/>
      <c r="B72" s="36"/>
      <c r="C72" s="29"/>
      <c r="D72" s="32">
        <v>39</v>
      </c>
      <c r="E72" s="133">
        <v>35.588000000000001</v>
      </c>
      <c r="F72" s="133">
        <v>32.213200000000001</v>
      </c>
      <c r="G72" s="133"/>
      <c r="H72" s="133"/>
      <c r="I72" s="133"/>
      <c r="J72" s="134"/>
      <c r="K72" s="135"/>
      <c r="L72" s="29"/>
      <c r="M72" s="147">
        <v>35.712000000000003</v>
      </c>
      <c r="N72" s="147">
        <v>32.211300000000001</v>
      </c>
      <c r="O72" s="147"/>
      <c r="P72" s="147"/>
      <c r="Q72" s="147"/>
      <c r="R72" s="148"/>
      <c r="S72" s="149"/>
      <c r="U72" s="12"/>
      <c r="V72" s="13"/>
      <c r="W72" s="14"/>
      <c r="X72" s="29"/>
      <c r="Y72" s="24"/>
      <c r="Z72" s="24"/>
      <c r="AA72" s="27"/>
      <c r="AB72" s="114"/>
      <c r="AC72" s="114"/>
      <c r="AD72" s="114"/>
      <c r="AE72" s="114"/>
      <c r="AF72" s="114"/>
      <c r="AG72" s="114"/>
      <c r="AH72" s="114"/>
    </row>
    <row r="73" spans="1:34" ht="12.75">
      <c r="A73" s="27"/>
      <c r="B73" s="36"/>
      <c r="C73" s="29"/>
      <c r="D73" s="32">
        <v>42</v>
      </c>
      <c r="E73" s="133">
        <v>15.4544</v>
      </c>
      <c r="F73" s="133">
        <v>29.540299999999998</v>
      </c>
      <c r="G73" s="133"/>
      <c r="H73" s="133"/>
      <c r="I73" s="133"/>
      <c r="J73" s="134"/>
      <c r="K73" s="135"/>
      <c r="L73" s="29"/>
      <c r="M73" s="147">
        <v>15.538399999999999</v>
      </c>
      <c r="N73" s="147">
        <v>29.528400000000001</v>
      </c>
      <c r="O73" s="147"/>
      <c r="P73" s="147"/>
      <c r="Q73" s="147"/>
      <c r="R73" s="148"/>
      <c r="S73" s="149"/>
      <c r="U73" s="12"/>
      <c r="V73" s="13"/>
      <c r="W73" s="14"/>
      <c r="X73" s="29"/>
      <c r="Y73" s="24"/>
      <c r="Z73" s="24"/>
      <c r="AA73" s="27"/>
      <c r="AB73" s="114"/>
      <c r="AC73" s="114"/>
      <c r="AD73" s="114"/>
      <c r="AE73" s="114"/>
      <c r="AF73" s="114"/>
      <c r="AG73" s="114"/>
      <c r="AH73" s="114"/>
    </row>
    <row r="74" spans="1:34" ht="13.5" thickBot="1">
      <c r="A74" s="27"/>
      <c r="B74" s="36"/>
      <c r="C74" s="29"/>
      <c r="D74" s="32">
        <v>45</v>
      </c>
      <c r="E74" s="136">
        <v>7.3335999999999997</v>
      </c>
      <c r="F74" s="136">
        <v>26.9132</v>
      </c>
      <c r="G74" s="136"/>
      <c r="H74" s="136"/>
      <c r="I74" s="136"/>
      <c r="J74" s="137"/>
      <c r="K74" s="138"/>
      <c r="L74" s="29"/>
      <c r="M74" s="150">
        <v>7.3567999999999998</v>
      </c>
      <c r="N74" s="150">
        <v>26.9222</v>
      </c>
      <c r="O74" s="150"/>
      <c r="P74" s="150"/>
      <c r="Q74" s="150"/>
      <c r="R74" s="151"/>
      <c r="S74" s="152"/>
      <c r="U74" s="12"/>
      <c r="V74" s="13"/>
      <c r="W74" s="14"/>
      <c r="X74" s="29"/>
      <c r="Y74" s="24"/>
      <c r="Z74" s="24"/>
      <c r="AA74" s="27"/>
      <c r="AB74" s="114"/>
      <c r="AC74" s="114"/>
      <c r="AD74" s="114"/>
      <c r="AE74" s="114"/>
      <c r="AF74" s="114"/>
      <c r="AG74" s="114"/>
      <c r="AH74" s="114"/>
    </row>
    <row r="75" spans="1:34" ht="12.75">
      <c r="A75" s="27"/>
      <c r="B75" s="36"/>
      <c r="C75" s="28" t="s">
        <v>31</v>
      </c>
      <c r="D75" s="31">
        <v>34</v>
      </c>
      <c r="E75" s="130">
        <v>125.97920000000001</v>
      </c>
      <c r="F75" s="130">
        <v>35.304499999999997</v>
      </c>
      <c r="G75" s="130"/>
      <c r="H75" s="130"/>
      <c r="I75" s="130"/>
      <c r="J75" s="131"/>
      <c r="K75" s="132"/>
      <c r="L75" s="29"/>
      <c r="M75" s="144">
        <v>125.96080000000001</v>
      </c>
      <c r="N75" s="144">
        <v>35.319699999999997</v>
      </c>
      <c r="O75" s="144"/>
      <c r="P75" s="144"/>
      <c r="Q75" s="144"/>
      <c r="R75" s="145"/>
      <c r="S75" s="146"/>
      <c r="U75" s="8">
        <f>bdrate($E75:$E78,F75:F78,$M75:$M78,N75:N78)</f>
        <v>-1.4320040126247768E-4</v>
      </c>
      <c r="V75" s="9"/>
      <c r="W75" s="10"/>
      <c r="X75" s="29"/>
      <c r="Y75" s="24"/>
      <c r="Z75" s="24"/>
      <c r="AA75" s="27"/>
      <c r="AB75" s="114"/>
      <c r="AC75" s="114"/>
      <c r="AD75" s="114"/>
      <c r="AE75" s="114"/>
      <c r="AF75" s="114"/>
      <c r="AG75" s="114"/>
      <c r="AH75" s="114"/>
    </row>
    <row r="76" spans="1:34" ht="12.75">
      <c r="A76" s="27"/>
      <c r="B76" s="36"/>
      <c r="C76" s="29"/>
      <c r="D76" s="32">
        <v>39</v>
      </c>
      <c r="E76" s="133">
        <v>41.028799999999997</v>
      </c>
      <c r="F76" s="133">
        <v>31.490500000000001</v>
      </c>
      <c r="G76" s="133"/>
      <c r="H76" s="133"/>
      <c r="I76" s="133"/>
      <c r="J76" s="134"/>
      <c r="K76" s="135"/>
      <c r="L76" s="29"/>
      <c r="M76" s="147">
        <v>41.0944</v>
      </c>
      <c r="N76" s="147">
        <v>31.4802</v>
      </c>
      <c r="O76" s="147"/>
      <c r="P76" s="147"/>
      <c r="Q76" s="147"/>
      <c r="R76" s="148"/>
      <c r="S76" s="149"/>
      <c r="U76" s="41"/>
      <c r="V76" s="42"/>
      <c r="W76" s="43"/>
      <c r="X76" s="29"/>
      <c r="Y76" s="24"/>
      <c r="Z76" s="24"/>
      <c r="AA76" s="27"/>
      <c r="AB76" s="114"/>
      <c r="AC76" s="114"/>
      <c r="AD76" s="114"/>
      <c r="AE76" s="114"/>
      <c r="AF76" s="114"/>
      <c r="AG76" s="114"/>
      <c r="AH76" s="114"/>
    </row>
    <row r="77" spans="1:34" ht="12.75">
      <c r="A77" s="27"/>
      <c r="B77" s="36"/>
      <c r="C77" s="29"/>
      <c r="D77" s="32">
        <v>42</v>
      </c>
      <c r="E77" s="133">
        <v>17.487200000000001</v>
      </c>
      <c r="F77" s="133">
        <v>28.807500000000001</v>
      </c>
      <c r="G77" s="133"/>
      <c r="H77" s="133"/>
      <c r="I77" s="133"/>
      <c r="J77" s="134"/>
      <c r="K77" s="135"/>
      <c r="L77" s="29"/>
      <c r="M77" s="147">
        <v>17.443200000000001</v>
      </c>
      <c r="N77" s="147">
        <v>28.815200000000001</v>
      </c>
      <c r="O77" s="147"/>
      <c r="P77" s="147"/>
      <c r="Q77" s="147"/>
      <c r="R77" s="148"/>
      <c r="S77" s="149"/>
      <c r="U77" s="41"/>
      <c r="V77" s="42"/>
      <c r="W77" s="43"/>
      <c r="X77" s="29"/>
      <c r="Y77" s="24"/>
      <c r="Z77" s="24"/>
      <c r="AA77" s="27"/>
      <c r="AB77" s="114"/>
      <c r="AC77" s="114"/>
      <c r="AD77" s="114"/>
      <c r="AE77" s="114"/>
      <c r="AF77" s="114"/>
      <c r="AG77" s="114"/>
      <c r="AH77" s="114"/>
    </row>
    <row r="78" spans="1:34" ht="13.5" thickBot="1">
      <c r="A78" s="27"/>
      <c r="B78" s="36"/>
      <c r="C78" s="29"/>
      <c r="D78" s="32">
        <v>45</v>
      </c>
      <c r="E78" s="136">
        <v>8.2360000000000007</v>
      </c>
      <c r="F78" s="136">
        <v>26.178899999999999</v>
      </c>
      <c r="G78" s="136"/>
      <c r="H78" s="136"/>
      <c r="I78" s="136"/>
      <c r="J78" s="137"/>
      <c r="K78" s="138"/>
      <c r="L78" s="29"/>
      <c r="M78" s="150">
        <v>8.2103999999999999</v>
      </c>
      <c r="N78" s="150">
        <v>26.169499999999999</v>
      </c>
      <c r="O78" s="150"/>
      <c r="P78" s="150"/>
      <c r="Q78" s="150"/>
      <c r="R78" s="151"/>
      <c r="S78" s="152"/>
      <c r="U78" s="41"/>
      <c r="V78" s="42"/>
      <c r="W78" s="43"/>
      <c r="X78" s="29"/>
      <c r="Y78" s="24"/>
      <c r="Z78" s="24"/>
      <c r="AA78" s="27"/>
      <c r="AB78" s="114"/>
      <c r="AC78" s="114"/>
      <c r="AD78" s="114"/>
      <c r="AE78" s="114"/>
      <c r="AF78" s="114"/>
      <c r="AG78" s="114"/>
      <c r="AH78" s="114"/>
    </row>
    <row r="79" spans="1:34" ht="12.75">
      <c r="A79" s="27"/>
      <c r="B79" s="36"/>
      <c r="C79" s="28" t="s">
        <v>47</v>
      </c>
      <c r="D79" s="31">
        <v>25</v>
      </c>
      <c r="E79" s="130"/>
      <c r="F79" s="130">
        <v>42.774000000000001</v>
      </c>
      <c r="G79" s="130">
        <v>46.9938</v>
      </c>
      <c r="H79" s="130">
        <v>45.779800000000002</v>
      </c>
      <c r="I79" s="130"/>
      <c r="J79" s="131"/>
      <c r="K79" s="132"/>
      <c r="L79" s="29"/>
      <c r="M79" s="144"/>
      <c r="N79" s="144">
        <v>42.780500000000004</v>
      </c>
      <c r="O79" s="144">
        <v>46.996699999999997</v>
      </c>
      <c r="P79" s="144">
        <v>45.781199999999998</v>
      </c>
      <c r="Q79" s="144"/>
      <c r="R79" s="145"/>
      <c r="S79" s="146"/>
      <c r="U79" s="8"/>
      <c r="V79" s="9"/>
      <c r="W79" s="10"/>
      <c r="X79" s="29"/>
      <c r="Y79" s="24"/>
      <c r="Z79" s="24"/>
      <c r="AA79" s="27"/>
      <c r="AB79" s="114"/>
      <c r="AC79" s="114"/>
      <c r="AD79" s="114"/>
      <c r="AE79" s="114"/>
      <c r="AF79" s="114"/>
      <c r="AG79" s="114"/>
      <c r="AH79" s="114"/>
    </row>
    <row r="80" spans="1:34" ht="12.75">
      <c r="A80" s="27"/>
      <c r="B80" s="36"/>
      <c r="C80" s="29"/>
      <c r="D80" s="32">
        <v>30</v>
      </c>
      <c r="E80" s="133"/>
      <c r="F80" s="133">
        <v>40.530500000000004</v>
      </c>
      <c r="G80" s="133">
        <v>45.796900000000001</v>
      </c>
      <c r="H80" s="133">
        <v>44.037399999999998</v>
      </c>
      <c r="I80" s="133"/>
      <c r="J80" s="134"/>
      <c r="K80" s="135"/>
      <c r="L80" s="29"/>
      <c r="M80" s="147"/>
      <c r="N80" s="147">
        <v>40.5304</v>
      </c>
      <c r="O80" s="147">
        <v>45.794499999999999</v>
      </c>
      <c r="P80" s="147">
        <v>44.034999999999997</v>
      </c>
      <c r="Q80" s="147"/>
      <c r="R80" s="148"/>
      <c r="S80" s="149"/>
      <c r="U80" s="17"/>
      <c r="V80" s="18"/>
      <c r="W80" s="19"/>
      <c r="X80" s="29"/>
      <c r="Y80" s="24"/>
      <c r="Z80" s="24"/>
      <c r="AA80" s="27"/>
      <c r="AB80" s="114"/>
      <c r="AC80" s="114"/>
      <c r="AD80" s="114"/>
      <c r="AE80" s="114"/>
      <c r="AF80" s="114"/>
      <c r="AG80" s="114"/>
      <c r="AH80" s="114"/>
    </row>
    <row r="81" spans="1:34" ht="12.75">
      <c r="A81" s="27"/>
      <c r="B81" s="36"/>
      <c r="C81" s="29"/>
      <c r="D81" s="32">
        <v>35</v>
      </c>
      <c r="E81" s="133"/>
      <c r="F81" s="133">
        <v>38.176000000000002</v>
      </c>
      <c r="G81" s="133">
        <v>44.624699999999997</v>
      </c>
      <c r="H81" s="133">
        <v>42.476999999999997</v>
      </c>
      <c r="I81" s="133"/>
      <c r="J81" s="134"/>
      <c r="K81" s="135"/>
      <c r="L81" s="29"/>
      <c r="M81" s="147"/>
      <c r="N81" s="147">
        <v>38.168300000000002</v>
      </c>
      <c r="O81" s="147">
        <v>44.622900000000001</v>
      </c>
      <c r="P81" s="147">
        <v>42.478299999999997</v>
      </c>
      <c r="Q81" s="147"/>
      <c r="R81" s="148"/>
      <c r="S81" s="149"/>
      <c r="U81" s="41"/>
      <c r="V81" s="44"/>
      <c r="W81" s="43"/>
      <c r="X81" s="29"/>
      <c r="Y81" s="24"/>
      <c r="Z81" s="24"/>
      <c r="AA81" s="27"/>
      <c r="AB81" s="114"/>
      <c r="AC81" s="114"/>
      <c r="AD81" s="114"/>
      <c r="AE81" s="114"/>
      <c r="AF81" s="114"/>
      <c r="AG81" s="114"/>
      <c r="AH81" s="114"/>
    </row>
    <row r="82" spans="1:34" ht="13.5" thickBot="1">
      <c r="A82" s="27"/>
      <c r="B82" s="36"/>
      <c r="C82" s="51"/>
      <c r="D82" s="69">
        <v>40</v>
      </c>
      <c r="E82" s="136"/>
      <c r="F82" s="136">
        <v>35.688000000000002</v>
      </c>
      <c r="G82" s="136">
        <v>43.656700000000001</v>
      </c>
      <c r="H82" s="136">
        <v>41.035899999999998</v>
      </c>
      <c r="I82" s="136"/>
      <c r="J82" s="137"/>
      <c r="K82" s="138"/>
      <c r="L82" s="29"/>
      <c r="M82" s="150"/>
      <c r="N82" s="150">
        <v>35.693600000000004</v>
      </c>
      <c r="O82" s="150">
        <v>43.6233</v>
      </c>
      <c r="P82" s="150">
        <v>41.034799999999997</v>
      </c>
      <c r="Q82" s="150"/>
      <c r="R82" s="151"/>
      <c r="S82" s="152"/>
      <c r="U82" s="41"/>
      <c r="V82" s="42"/>
      <c r="W82" s="43"/>
      <c r="X82" s="29"/>
      <c r="Y82" s="24"/>
      <c r="Z82" s="24"/>
      <c r="AA82" s="27"/>
      <c r="AB82" s="114"/>
      <c r="AC82" s="114"/>
      <c r="AD82" s="114"/>
      <c r="AE82" s="114"/>
      <c r="AF82" s="114"/>
      <c r="AG82" s="114"/>
      <c r="AH82" s="114"/>
    </row>
    <row r="83" spans="1:34" ht="12.75">
      <c r="A83" s="27"/>
      <c r="B83" s="36"/>
      <c r="C83" s="29" t="s">
        <v>48</v>
      </c>
      <c r="D83" s="32">
        <v>25</v>
      </c>
      <c r="E83" s="130"/>
      <c r="F83" s="130">
        <v>43.482300000000002</v>
      </c>
      <c r="G83" s="130">
        <v>47.6004</v>
      </c>
      <c r="H83" s="130">
        <v>46.611699999999999</v>
      </c>
      <c r="I83" s="130"/>
      <c r="J83" s="131"/>
      <c r="K83" s="132"/>
      <c r="L83" s="29"/>
      <c r="M83" s="144"/>
      <c r="N83" s="144">
        <v>43.488700000000001</v>
      </c>
      <c r="O83" s="144">
        <v>47.600499999999997</v>
      </c>
      <c r="P83" s="144">
        <v>46.609400000000001</v>
      </c>
      <c r="Q83" s="144"/>
      <c r="R83" s="145"/>
      <c r="S83" s="146"/>
      <c r="U83" s="8"/>
      <c r="V83" s="9"/>
      <c r="W83" s="10"/>
      <c r="X83" s="29"/>
      <c r="Y83" s="24"/>
      <c r="Z83" s="24"/>
      <c r="AA83" s="27"/>
      <c r="AB83" s="114"/>
      <c r="AC83" s="114"/>
      <c r="AD83" s="114"/>
      <c r="AE83" s="114"/>
      <c r="AF83" s="114"/>
      <c r="AG83" s="114"/>
      <c r="AH83" s="114"/>
    </row>
    <row r="84" spans="1:34" ht="12.75">
      <c r="A84" s="27"/>
      <c r="B84" s="36"/>
      <c r="C84" s="29"/>
      <c r="D84" s="32">
        <v>30</v>
      </c>
      <c r="E84" s="133"/>
      <c r="F84" s="133">
        <v>41.091299999999997</v>
      </c>
      <c r="G84" s="133">
        <v>46.307299999999998</v>
      </c>
      <c r="H84" s="133">
        <v>44.770499999999998</v>
      </c>
      <c r="I84" s="133"/>
      <c r="J84" s="134"/>
      <c r="K84" s="135"/>
      <c r="L84" s="29"/>
      <c r="M84" s="147"/>
      <c r="N84" s="147">
        <v>41.077300000000001</v>
      </c>
      <c r="O84" s="147">
        <v>46.307699999999997</v>
      </c>
      <c r="P84" s="147">
        <v>44.756799999999998</v>
      </c>
      <c r="Q84" s="147"/>
      <c r="R84" s="148"/>
      <c r="S84" s="149"/>
      <c r="U84" s="41"/>
      <c r="V84" s="42"/>
      <c r="W84" s="43"/>
      <c r="X84" s="29"/>
      <c r="Y84" s="24"/>
      <c r="Z84" s="24"/>
      <c r="AA84" s="27"/>
      <c r="AB84" s="114"/>
      <c r="AC84" s="114"/>
      <c r="AD84" s="114"/>
      <c r="AE84" s="114"/>
      <c r="AF84" s="114"/>
      <c r="AG84" s="114"/>
      <c r="AH84" s="114"/>
    </row>
    <row r="85" spans="1:34" ht="12.75">
      <c r="A85" s="27"/>
      <c r="B85" s="36"/>
      <c r="C85" s="29"/>
      <c r="D85" s="32">
        <v>35</v>
      </c>
      <c r="E85" s="133"/>
      <c r="F85" s="133">
        <v>38.6006</v>
      </c>
      <c r="G85" s="133">
        <v>44.963000000000001</v>
      </c>
      <c r="H85" s="133">
        <v>42.981499999999997</v>
      </c>
      <c r="I85" s="133"/>
      <c r="J85" s="134"/>
      <c r="K85" s="135"/>
      <c r="L85" s="29"/>
      <c r="M85" s="147"/>
      <c r="N85" s="147">
        <v>38.592399999999998</v>
      </c>
      <c r="O85" s="147">
        <v>44.957500000000003</v>
      </c>
      <c r="P85" s="147">
        <v>42.981999999999999</v>
      </c>
      <c r="Q85" s="147"/>
      <c r="R85" s="148"/>
      <c r="S85" s="149"/>
      <c r="U85" s="17"/>
      <c r="V85" s="18"/>
      <c r="W85" s="19"/>
      <c r="X85" s="29"/>
      <c r="Y85" s="24"/>
      <c r="Z85" s="24"/>
      <c r="AA85" s="27"/>
      <c r="AB85" s="114"/>
      <c r="AC85" s="114"/>
      <c r="AD85" s="114"/>
      <c r="AE85" s="114"/>
      <c r="AF85" s="114"/>
      <c r="AG85" s="114"/>
      <c r="AH85" s="114"/>
    </row>
    <row r="86" spans="1:34" ht="13.5" thickBot="1">
      <c r="A86" s="27"/>
      <c r="B86" s="36"/>
      <c r="C86" s="51"/>
      <c r="D86" s="69">
        <v>40</v>
      </c>
      <c r="E86" s="136"/>
      <c r="F86" s="136">
        <v>36.008200000000002</v>
      </c>
      <c r="G86" s="136">
        <v>43.921999999999997</v>
      </c>
      <c r="H86" s="136">
        <v>41.439700000000002</v>
      </c>
      <c r="I86" s="136"/>
      <c r="J86" s="137"/>
      <c r="K86" s="138"/>
      <c r="L86" s="29"/>
      <c r="M86" s="150"/>
      <c r="N86" s="150">
        <v>36.016500000000001</v>
      </c>
      <c r="O86" s="150">
        <v>43.903100000000002</v>
      </c>
      <c r="P86" s="150">
        <v>41.441000000000003</v>
      </c>
      <c r="Q86" s="150"/>
      <c r="R86" s="151"/>
      <c r="S86" s="152"/>
      <c r="U86" s="41"/>
      <c r="V86" s="42"/>
      <c r="W86" s="43"/>
      <c r="X86" s="29"/>
      <c r="Y86" s="24"/>
      <c r="Z86" s="24"/>
      <c r="AA86" s="27"/>
      <c r="AB86" s="114"/>
      <c r="AC86" s="114"/>
      <c r="AD86" s="114"/>
      <c r="AE86" s="114"/>
      <c r="AF86" s="114"/>
      <c r="AG86" s="114"/>
      <c r="AH86" s="114"/>
    </row>
    <row r="87" spans="1:34" ht="12.75">
      <c r="A87" s="27"/>
      <c r="B87" s="36"/>
      <c r="C87" s="29" t="s">
        <v>49</v>
      </c>
      <c r="D87" s="32">
        <v>25</v>
      </c>
      <c r="E87" s="130"/>
      <c r="F87" s="130">
        <v>43.6464</v>
      </c>
      <c r="G87" s="130">
        <v>47.049799999999998</v>
      </c>
      <c r="H87" s="130">
        <v>46.540599999999998</v>
      </c>
      <c r="I87" s="130"/>
      <c r="J87" s="131"/>
      <c r="K87" s="132"/>
      <c r="L87" s="29"/>
      <c r="M87" s="144"/>
      <c r="N87" s="144">
        <v>43.6511</v>
      </c>
      <c r="O87" s="144">
        <v>47.053600000000003</v>
      </c>
      <c r="P87" s="144">
        <v>46.537500000000001</v>
      </c>
      <c r="Q87" s="144"/>
      <c r="R87" s="145"/>
      <c r="S87" s="146"/>
      <c r="U87" s="8"/>
      <c r="V87" s="9"/>
      <c r="W87" s="10"/>
      <c r="X87" s="29"/>
      <c r="Y87" s="24"/>
      <c r="Z87" s="24"/>
      <c r="AA87" s="27"/>
      <c r="AB87" s="114"/>
      <c r="AC87" s="114"/>
      <c r="AD87" s="114"/>
      <c r="AE87" s="114"/>
      <c r="AF87" s="114"/>
      <c r="AG87" s="114"/>
      <c r="AH87" s="114"/>
    </row>
    <row r="88" spans="1:34" ht="12.75">
      <c r="A88" s="27"/>
      <c r="B88" s="36"/>
      <c r="C88" s="29"/>
      <c r="D88" s="32">
        <v>30</v>
      </c>
      <c r="E88" s="133"/>
      <c r="F88" s="133">
        <v>41.359400000000001</v>
      </c>
      <c r="G88" s="133">
        <v>46.001600000000003</v>
      </c>
      <c r="H88" s="133">
        <v>44.807699999999997</v>
      </c>
      <c r="I88" s="133"/>
      <c r="J88" s="134"/>
      <c r="K88" s="135"/>
      <c r="L88" s="29"/>
      <c r="M88" s="147"/>
      <c r="N88" s="147">
        <v>41.356900000000003</v>
      </c>
      <c r="O88" s="147">
        <v>45.998699999999999</v>
      </c>
      <c r="P88" s="147">
        <v>44.804600000000001</v>
      </c>
      <c r="Q88" s="147"/>
      <c r="R88" s="148"/>
      <c r="S88" s="149"/>
      <c r="U88" s="41"/>
      <c r="V88" s="42"/>
      <c r="W88" s="43"/>
      <c r="X88" s="29"/>
      <c r="Y88" s="24"/>
      <c r="Z88" s="24"/>
      <c r="AA88" s="27"/>
      <c r="AB88" s="114"/>
      <c r="AC88" s="114"/>
      <c r="AD88" s="114"/>
      <c r="AE88" s="114"/>
      <c r="AF88" s="114"/>
      <c r="AG88" s="114"/>
      <c r="AH88" s="114"/>
    </row>
    <row r="89" spans="1:34" ht="12.75">
      <c r="A89" s="27"/>
      <c r="B89" s="36"/>
      <c r="C89" s="29"/>
      <c r="D89" s="32">
        <v>35</v>
      </c>
      <c r="E89" s="133"/>
      <c r="F89" s="133">
        <v>38.855800000000002</v>
      </c>
      <c r="G89" s="133">
        <v>44.720999999999997</v>
      </c>
      <c r="H89" s="133">
        <v>42.965200000000003</v>
      </c>
      <c r="I89" s="133"/>
      <c r="J89" s="134"/>
      <c r="K89" s="135"/>
      <c r="L89" s="29"/>
      <c r="M89" s="147"/>
      <c r="N89" s="147">
        <v>38.849800000000002</v>
      </c>
      <c r="O89" s="147">
        <v>44.723300000000002</v>
      </c>
      <c r="P89" s="147">
        <v>42.965400000000002</v>
      </c>
      <c r="Q89" s="147"/>
      <c r="R89" s="148"/>
      <c r="S89" s="149"/>
      <c r="U89" s="41"/>
      <c r="V89" s="42"/>
      <c r="W89" s="43"/>
      <c r="X89" s="29"/>
      <c r="Y89" s="24"/>
      <c r="Z89" s="24"/>
      <c r="AA89" s="27"/>
      <c r="AB89" s="114"/>
      <c r="AC89" s="114"/>
      <c r="AD89" s="114"/>
      <c r="AE89" s="114"/>
      <c r="AF89" s="114"/>
      <c r="AG89" s="114"/>
      <c r="AH89" s="114"/>
    </row>
    <row r="90" spans="1:34" ht="13.5" thickBot="1">
      <c r="A90" s="27"/>
      <c r="B90" s="36"/>
      <c r="C90" s="51"/>
      <c r="D90" s="69">
        <v>40</v>
      </c>
      <c r="E90" s="136"/>
      <c r="F90" s="136">
        <v>36.239699999999999</v>
      </c>
      <c r="G90" s="136">
        <v>43.763800000000003</v>
      </c>
      <c r="H90" s="136">
        <v>41.4437</v>
      </c>
      <c r="I90" s="136"/>
      <c r="J90" s="137"/>
      <c r="K90" s="138"/>
      <c r="L90" s="29"/>
      <c r="M90" s="150"/>
      <c r="N90" s="150">
        <v>36.241500000000002</v>
      </c>
      <c r="O90" s="150">
        <v>43.762799999999999</v>
      </c>
      <c r="P90" s="150">
        <v>41.441899999999997</v>
      </c>
      <c r="Q90" s="150"/>
      <c r="R90" s="151"/>
      <c r="S90" s="152"/>
      <c r="U90" s="17"/>
      <c r="V90" s="18"/>
      <c r="W90" s="19"/>
      <c r="X90" s="29"/>
      <c r="Z90" s="59"/>
      <c r="AA90" s="55"/>
      <c r="AB90" s="114"/>
      <c r="AC90" s="114"/>
      <c r="AD90" s="114"/>
      <c r="AE90" s="114"/>
      <c r="AF90" s="114"/>
      <c r="AG90" s="114"/>
      <c r="AH90" s="114"/>
    </row>
    <row r="91" spans="1:34" ht="12.75">
      <c r="A91" s="27"/>
      <c r="B91" s="36"/>
      <c r="C91" s="29" t="s">
        <v>50</v>
      </c>
      <c r="D91" s="32">
        <v>25</v>
      </c>
      <c r="E91" s="130"/>
      <c r="F91" s="130">
        <v>43.490499999999997</v>
      </c>
      <c r="G91" s="130">
        <v>47.038499999999999</v>
      </c>
      <c r="H91" s="130">
        <v>46.595999999999997</v>
      </c>
      <c r="I91" s="130"/>
      <c r="J91" s="131"/>
      <c r="K91" s="132"/>
      <c r="L91" s="29"/>
      <c r="M91" s="144"/>
      <c r="N91" s="144">
        <v>43.493299999999998</v>
      </c>
      <c r="O91" s="144">
        <v>47.039099999999998</v>
      </c>
      <c r="P91" s="144">
        <v>46.599400000000003</v>
      </c>
      <c r="Q91" s="144"/>
      <c r="R91" s="145"/>
      <c r="S91" s="146"/>
      <c r="U91" s="8"/>
      <c r="V91" s="9"/>
      <c r="W91" s="10"/>
      <c r="X91" s="29"/>
      <c r="Y91" s="24"/>
      <c r="Z91" s="24"/>
      <c r="AA91" s="27"/>
      <c r="AB91" s="114"/>
      <c r="AC91" s="114"/>
      <c r="AD91" s="114"/>
      <c r="AE91" s="114"/>
      <c r="AF91" s="114"/>
      <c r="AG91" s="114"/>
      <c r="AH91" s="114"/>
    </row>
    <row r="92" spans="1:34" ht="12.75">
      <c r="A92" s="27"/>
      <c r="B92" s="36"/>
      <c r="C92" s="29"/>
      <c r="D92" s="32">
        <v>30</v>
      </c>
      <c r="E92" s="133"/>
      <c r="F92" s="133">
        <v>41.203200000000002</v>
      </c>
      <c r="G92" s="133">
        <v>46.0259</v>
      </c>
      <c r="H92" s="133">
        <v>44.851900000000001</v>
      </c>
      <c r="I92" s="133"/>
      <c r="J92" s="134"/>
      <c r="K92" s="135"/>
      <c r="L92" s="29"/>
      <c r="M92" s="147"/>
      <c r="N92" s="147">
        <v>41.203000000000003</v>
      </c>
      <c r="O92" s="147">
        <v>46.025199999999998</v>
      </c>
      <c r="P92" s="147">
        <v>44.855200000000004</v>
      </c>
      <c r="Q92" s="147"/>
      <c r="R92" s="148"/>
      <c r="S92" s="149"/>
      <c r="U92" s="12"/>
      <c r="V92" s="13"/>
      <c r="W92" s="14"/>
      <c r="X92" s="29"/>
      <c r="Y92" s="24"/>
      <c r="Z92" s="24"/>
      <c r="AA92" s="27"/>
      <c r="AB92" s="114"/>
      <c r="AC92" s="114"/>
      <c r="AD92" s="114"/>
      <c r="AE92" s="114"/>
      <c r="AF92" s="114"/>
      <c r="AG92" s="114"/>
      <c r="AH92" s="114"/>
    </row>
    <row r="93" spans="1:34" ht="12.75">
      <c r="A93" s="27"/>
      <c r="B93" s="36"/>
      <c r="C93" s="29"/>
      <c r="D93" s="32">
        <v>35</v>
      </c>
      <c r="E93" s="133"/>
      <c r="F93" s="133">
        <v>38.710700000000003</v>
      </c>
      <c r="G93" s="133">
        <v>44.768799999999999</v>
      </c>
      <c r="H93" s="133">
        <v>42.989400000000003</v>
      </c>
      <c r="I93" s="133"/>
      <c r="J93" s="134"/>
      <c r="K93" s="135"/>
      <c r="L93" s="29"/>
      <c r="M93" s="147"/>
      <c r="N93" s="147">
        <v>38.710299999999997</v>
      </c>
      <c r="O93" s="147">
        <v>44.768999999999998</v>
      </c>
      <c r="P93" s="147">
        <v>42.983400000000003</v>
      </c>
      <c r="Q93" s="147"/>
      <c r="R93" s="148"/>
      <c r="S93" s="149"/>
      <c r="U93" s="12"/>
      <c r="V93" s="13"/>
      <c r="W93" s="14"/>
      <c r="X93" s="29"/>
      <c r="Y93" s="24"/>
      <c r="Z93" s="24"/>
      <c r="AA93" s="27"/>
      <c r="AB93" s="114"/>
      <c r="AC93" s="114"/>
      <c r="AD93" s="114"/>
      <c r="AE93" s="114"/>
      <c r="AF93" s="114"/>
      <c r="AG93" s="114"/>
      <c r="AH93" s="114"/>
    </row>
    <row r="94" spans="1:34" ht="13.5" thickBot="1">
      <c r="A94" s="27"/>
      <c r="B94" s="36"/>
      <c r="C94" s="51"/>
      <c r="D94" s="69">
        <v>40</v>
      </c>
      <c r="E94" s="136"/>
      <c r="F94" s="136">
        <v>36.096800000000002</v>
      </c>
      <c r="G94" s="136">
        <v>43.795000000000002</v>
      </c>
      <c r="H94" s="136">
        <v>41.436300000000003</v>
      </c>
      <c r="I94" s="136"/>
      <c r="J94" s="137"/>
      <c r="K94" s="138"/>
      <c r="L94" s="29"/>
      <c r="M94" s="150"/>
      <c r="N94" s="150">
        <v>36.098300000000002</v>
      </c>
      <c r="O94" s="150">
        <v>43.795499999999997</v>
      </c>
      <c r="P94" s="150">
        <v>41.434199999999997</v>
      </c>
      <c r="Q94" s="150"/>
      <c r="R94" s="151"/>
      <c r="S94" s="152"/>
      <c r="U94" s="12"/>
      <c r="V94" s="13"/>
      <c r="W94" s="14"/>
      <c r="X94" s="29"/>
      <c r="Y94" s="24"/>
      <c r="Z94" s="24"/>
      <c r="AA94" s="27"/>
      <c r="AB94" s="114"/>
      <c r="AC94" s="114"/>
      <c r="AD94" s="114"/>
      <c r="AE94" s="114"/>
      <c r="AF94" s="114"/>
      <c r="AG94" s="114"/>
      <c r="AH94" s="114"/>
    </row>
    <row r="95" spans="1:34" ht="12.75">
      <c r="A95" s="27"/>
      <c r="B95" s="36"/>
      <c r="C95" s="29" t="s">
        <v>51</v>
      </c>
      <c r="D95" s="32">
        <v>25</v>
      </c>
      <c r="E95" s="131"/>
      <c r="F95" s="131">
        <v>43.2211</v>
      </c>
      <c r="G95" s="131">
        <v>47.295299999999997</v>
      </c>
      <c r="H95" s="131">
        <v>46.602600000000002</v>
      </c>
      <c r="I95" s="131"/>
      <c r="J95" s="131"/>
      <c r="K95" s="132"/>
      <c r="L95" s="29"/>
      <c r="M95" s="145"/>
      <c r="N95" s="145">
        <v>43.2286</v>
      </c>
      <c r="O95" s="145">
        <v>47.294899999999998</v>
      </c>
      <c r="P95" s="145">
        <v>46.604500000000002</v>
      </c>
      <c r="Q95" s="145"/>
      <c r="R95" s="145"/>
      <c r="S95" s="146"/>
      <c r="U95" s="8"/>
      <c r="V95" s="9"/>
      <c r="W95" s="10"/>
      <c r="X95" s="29"/>
      <c r="Y95" s="24"/>
      <c r="Z95" s="24"/>
      <c r="AA95" s="27"/>
      <c r="AB95" s="114"/>
      <c r="AC95" s="114"/>
      <c r="AD95" s="114"/>
      <c r="AE95" s="114"/>
      <c r="AF95" s="114"/>
      <c r="AG95" s="114"/>
      <c r="AH95" s="114"/>
    </row>
    <row r="96" spans="1:34" ht="12.75">
      <c r="A96" s="27"/>
      <c r="B96" s="36"/>
      <c r="C96" s="29"/>
      <c r="D96" s="32">
        <v>30</v>
      </c>
      <c r="E96" s="134"/>
      <c r="F96" s="134">
        <v>40.860199999999999</v>
      </c>
      <c r="G96" s="134">
        <v>46.128100000000003</v>
      </c>
      <c r="H96" s="134">
        <v>44.7652</v>
      </c>
      <c r="I96" s="134"/>
      <c r="J96" s="134"/>
      <c r="K96" s="135"/>
      <c r="L96" s="29"/>
      <c r="M96" s="148"/>
      <c r="N96" s="148">
        <v>40.868299999999998</v>
      </c>
      <c r="O96" s="148">
        <v>46.134599999999999</v>
      </c>
      <c r="P96" s="148">
        <v>44.7682</v>
      </c>
      <c r="Q96" s="148"/>
      <c r="R96" s="148"/>
      <c r="S96" s="149"/>
      <c r="U96" s="41"/>
      <c r="V96" s="42"/>
      <c r="W96" s="43"/>
      <c r="X96" s="29"/>
      <c r="Y96" s="24"/>
      <c r="Z96" s="24"/>
      <c r="AA96" s="27"/>
      <c r="AB96" s="114"/>
      <c r="AC96" s="114"/>
      <c r="AD96" s="114"/>
      <c r="AE96" s="114"/>
      <c r="AF96" s="114"/>
      <c r="AG96" s="114"/>
      <c r="AH96" s="114"/>
    </row>
    <row r="97" spans="1:34" ht="12.75">
      <c r="A97" s="27"/>
      <c r="B97" s="36"/>
      <c r="C97" s="29"/>
      <c r="D97" s="32">
        <v>35</v>
      </c>
      <c r="E97" s="134"/>
      <c r="F97" s="134">
        <v>38.384500000000003</v>
      </c>
      <c r="G97" s="134">
        <v>44.926099999999998</v>
      </c>
      <c r="H97" s="134">
        <v>42.992899999999999</v>
      </c>
      <c r="I97" s="134"/>
      <c r="J97" s="134"/>
      <c r="K97" s="135"/>
      <c r="L97" s="29"/>
      <c r="M97" s="148"/>
      <c r="N97" s="148">
        <v>38.389400000000002</v>
      </c>
      <c r="O97" s="148">
        <v>44.933300000000003</v>
      </c>
      <c r="P97" s="148">
        <v>42.987699999999997</v>
      </c>
      <c r="Q97" s="148"/>
      <c r="R97" s="148"/>
      <c r="S97" s="149"/>
      <c r="U97" s="41"/>
      <c r="V97" s="42"/>
      <c r="W97" s="43"/>
      <c r="X97" s="29"/>
      <c r="Y97" s="24"/>
      <c r="Z97" s="24"/>
      <c r="AA97" s="27"/>
      <c r="AB97" s="114"/>
      <c r="AC97" s="114"/>
      <c r="AD97" s="114"/>
      <c r="AE97" s="114"/>
      <c r="AF97" s="114"/>
      <c r="AG97" s="114"/>
      <c r="AH97" s="114"/>
    </row>
    <row r="98" spans="1:34" ht="13.5" thickBot="1">
      <c r="A98" s="27"/>
      <c r="B98" s="36"/>
      <c r="C98" s="51"/>
      <c r="D98" s="69">
        <v>40</v>
      </c>
      <c r="E98" s="137"/>
      <c r="F98" s="137">
        <v>35.8033</v>
      </c>
      <c r="G98" s="137">
        <v>43.910699999999999</v>
      </c>
      <c r="H98" s="137">
        <v>41.404000000000003</v>
      </c>
      <c r="I98" s="137"/>
      <c r="J98" s="137"/>
      <c r="K98" s="138"/>
      <c r="L98" s="29"/>
      <c r="M98" s="151"/>
      <c r="N98" s="151">
        <v>35.8065</v>
      </c>
      <c r="O98" s="151">
        <v>43.912700000000001</v>
      </c>
      <c r="P98" s="151">
        <v>41.408099999999997</v>
      </c>
      <c r="Q98" s="151"/>
      <c r="R98" s="151"/>
      <c r="S98" s="152"/>
      <c r="U98" s="41"/>
      <c r="V98" s="42"/>
      <c r="W98" s="43"/>
      <c r="X98" s="29"/>
      <c r="Y98" s="24"/>
      <c r="Z98" s="24"/>
      <c r="AA98" s="27"/>
      <c r="AB98" s="114"/>
      <c r="AC98" s="114"/>
      <c r="AD98" s="114"/>
      <c r="AE98" s="114"/>
      <c r="AF98" s="114"/>
      <c r="AG98" s="114"/>
      <c r="AH98" s="114"/>
    </row>
    <row r="99" spans="1:34" ht="12.75">
      <c r="A99" s="27"/>
      <c r="B99" s="36"/>
      <c r="C99" s="29" t="s">
        <v>52</v>
      </c>
      <c r="D99" s="32">
        <v>25</v>
      </c>
      <c r="E99" s="131"/>
      <c r="F99" s="131">
        <v>42.477400000000003</v>
      </c>
      <c r="G99" s="131">
        <v>46.346400000000003</v>
      </c>
      <c r="H99" s="131">
        <v>45.750399999999999</v>
      </c>
      <c r="I99" s="131"/>
      <c r="J99" s="131"/>
      <c r="K99" s="132"/>
      <c r="L99" s="29"/>
      <c r="M99" s="145"/>
      <c r="N99" s="145">
        <v>42.464399999999998</v>
      </c>
      <c r="O99" s="145">
        <v>46.3476</v>
      </c>
      <c r="P99" s="145">
        <v>45.751600000000003</v>
      </c>
      <c r="Q99" s="145"/>
      <c r="R99" s="145"/>
      <c r="S99" s="146"/>
      <c r="U99" s="8"/>
      <c r="V99" s="9"/>
      <c r="W99" s="10"/>
      <c r="X99" s="29"/>
      <c r="Y99" s="24"/>
      <c r="Z99" s="24"/>
      <c r="AA99" s="27"/>
      <c r="AB99" s="114"/>
      <c r="AC99" s="114"/>
      <c r="AD99" s="114"/>
      <c r="AE99" s="114"/>
      <c r="AF99" s="114"/>
      <c r="AG99" s="114"/>
      <c r="AH99" s="114"/>
    </row>
    <row r="100" spans="1:34" ht="12.75">
      <c r="A100" s="27"/>
      <c r="B100" s="36"/>
      <c r="C100" s="29"/>
      <c r="D100" s="32">
        <v>30</v>
      </c>
      <c r="E100" s="134"/>
      <c r="F100" s="134">
        <v>40.281300000000002</v>
      </c>
      <c r="G100" s="134">
        <v>45.216299999999997</v>
      </c>
      <c r="H100" s="134">
        <v>44.033200000000001</v>
      </c>
      <c r="I100" s="134"/>
      <c r="J100" s="134"/>
      <c r="K100" s="135"/>
      <c r="L100" s="29"/>
      <c r="M100" s="148"/>
      <c r="N100" s="148">
        <v>40.274900000000002</v>
      </c>
      <c r="O100" s="148">
        <v>45.219900000000003</v>
      </c>
      <c r="P100" s="148">
        <v>44.027000000000001</v>
      </c>
      <c r="Q100" s="148"/>
      <c r="R100" s="148"/>
      <c r="S100" s="149"/>
      <c r="U100" s="17"/>
      <c r="V100" s="18"/>
      <c r="W100" s="19"/>
      <c r="X100" s="29"/>
      <c r="Y100" s="24"/>
      <c r="Z100" s="24"/>
      <c r="AA100" s="27"/>
      <c r="AB100" s="114"/>
      <c r="AC100" s="114"/>
      <c r="AD100" s="114"/>
      <c r="AE100" s="114"/>
      <c r="AF100" s="114"/>
      <c r="AG100" s="114"/>
      <c r="AH100" s="114"/>
    </row>
    <row r="101" spans="1:34" ht="12.75">
      <c r="A101" s="27"/>
      <c r="B101" s="36"/>
      <c r="C101" s="29"/>
      <c r="D101" s="32">
        <v>35</v>
      </c>
      <c r="E101" s="134"/>
      <c r="F101" s="134">
        <v>37.929299999999998</v>
      </c>
      <c r="G101" s="134">
        <v>44.224400000000003</v>
      </c>
      <c r="H101" s="134">
        <v>42.491</v>
      </c>
      <c r="I101" s="134"/>
      <c r="J101" s="134"/>
      <c r="K101" s="135"/>
      <c r="L101" s="29"/>
      <c r="M101" s="148"/>
      <c r="N101" s="148">
        <v>37.942700000000002</v>
      </c>
      <c r="O101" s="148">
        <v>44.227400000000003</v>
      </c>
      <c r="P101" s="148">
        <v>42.478900000000003</v>
      </c>
      <c r="Q101" s="148"/>
      <c r="R101" s="148"/>
      <c r="S101" s="149"/>
      <c r="U101" s="41"/>
      <c r="V101" s="44"/>
      <c r="W101" s="43"/>
      <c r="X101" s="29"/>
      <c r="Y101" s="24"/>
      <c r="Z101" s="24"/>
      <c r="AA101" s="27"/>
      <c r="AB101" s="114"/>
      <c r="AC101" s="114"/>
      <c r="AD101" s="114"/>
      <c r="AE101" s="114"/>
      <c r="AF101" s="114"/>
      <c r="AG101" s="114"/>
      <c r="AH101" s="114"/>
    </row>
    <row r="102" spans="1:34" ht="13.5" thickBot="1">
      <c r="A102" s="27"/>
      <c r="B102" s="36"/>
      <c r="C102" s="51"/>
      <c r="D102" s="69">
        <v>40</v>
      </c>
      <c r="E102" s="137"/>
      <c r="F102" s="137">
        <v>35.4514</v>
      </c>
      <c r="G102" s="137">
        <v>43.335599999999999</v>
      </c>
      <c r="H102" s="137">
        <v>41.000399999999999</v>
      </c>
      <c r="I102" s="137"/>
      <c r="J102" s="137"/>
      <c r="K102" s="138"/>
      <c r="L102" s="29"/>
      <c r="M102" s="151"/>
      <c r="N102" s="151">
        <v>35.450499999999998</v>
      </c>
      <c r="O102" s="151">
        <v>43.339500000000001</v>
      </c>
      <c r="P102" s="151">
        <v>41.004300000000001</v>
      </c>
      <c r="Q102" s="151"/>
      <c r="R102" s="151"/>
      <c r="S102" s="152"/>
      <c r="U102" s="41"/>
      <c r="V102" s="42"/>
      <c r="W102" s="43"/>
      <c r="X102" s="29"/>
      <c r="Y102" s="24"/>
      <c r="Z102" s="24"/>
      <c r="AA102" s="27"/>
      <c r="AB102" s="114"/>
      <c r="AC102" s="114"/>
      <c r="AD102" s="114"/>
      <c r="AE102" s="114"/>
      <c r="AF102" s="114"/>
      <c r="AG102" s="114"/>
      <c r="AH102" s="114"/>
    </row>
    <row r="103" spans="1:34" ht="12.75">
      <c r="A103" s="27"/>
      <c r="B103" s="36"/>
      <c r="C103" s="29" t="s">
        <v>12</v>
      </c>
      <c r="D103" s="32">
        <v>25</v>
      </c>
      <c r="E103" s="134">
        <v>1789.2872</v>
      </c>
      <c r="F103" s="134"/>
      <c r="G103" s="134"/>
      <c r="H103" s="134"/>
      <c r="I103" s="134">
        <v>27499.84</v>
      </c>
      <c r="J103" s="134">
        <v>53.36</v>
      </c>
      <c r="K103" s="135">
        <v>337</v>
      </c>
      <c r="L103" s="29"/>
      <c r="M103" s="148">
        <v>1789.2696000000001</v>
      </c>
      <c r="N103" s="148"/>
      <c r="O103" s="148"/>
      <c r="P103" s="148"/>
      <c r="Q103" s="148">
        <v>27790.5</v>
      </c>
      <c r="R103" s="148">
        <v>48.97</v>
      </c>
      <c r="S103" s="149">
        <v>333.69</v>
      </c>
      <c r="U103" s="8"/>
      <c r="V103" s="9"/>
      <c r="W103" s="10"/>
      <c r="X103" s="29"/>
      <c r="Y103" s="59">
        <f>GEOMEAN(Q103:Q106)/GEOMEAN(I103:I106)</f>
        <v>1.0071678972434492</v>
      </c>
      <c r="Z103" s="59">
        <f>GEOMEAN(R103:R106)/GEOMEAN(J103:J106)</f>
        <v>1.0014349773923734</v>
      </c>
      <c r="AA103" s="55">
        <f>GEOMEAN(S103:S106)/GEOMEAN(K103:K106)</f>
        <v>0.99191790109157052</v>
      </c>
      <c r="AB103" s="114"/>
      <c r="AC103" s="114"/>
      <c r="AD103" s="114"/>
      <c r="AE103" s="114"/>
      <c r="AF103" s="114"/>
      <c r="AG103" s="114"/>
      <c r="AH103" s="114"/>
    </row>
    <row r="104" spans="1:34" ht="12.75">
      <c r="A104" s="27"/>
      <c r="B104" s="36"/>
      <c r="C104" s="29"/>
      <c r="D104" s="32">
        <v>30</v>
      </c>
      <c r="E104" s="134">
        <v>833.2944</v>
      </c>
      <c r="F104" s="134"/>
      <c r="G104" s="134"/>
      <c r="H104" s="134"/>
      <c r="I104" s="134">
        <v>21080.39</v>
      </c>
      <c r="J104" s="134">
        <v>52.98</v>
      </c>
      <c r="K104" s="135">
        <v>333.99</v>
      </c>
      <c r="L104" s="29"/>
      <c r="M104" s="148">
        <v>833.60400000000004</v>
      </c>
      <c r="N104" s="148"/>
      <c r="O104" s="148"/>
      <c r="P104" s="148"/>
      <c r="Q104" s="148">
        <v>21427.72</v>
      </c>
      <c r="R104" s="148">
        <v>52.38</v>
      </c>
      <c r="S104" s="149">
        <v>331.75</v>
      </c>
      <c r="U104" s="41"/>
      <c r="V104" s="42"/>
      <c r="W104" s="43"/>
      <c r="X104" s="29"/>
      <c r="Y104" s="24"/>
      <c r="Z104" s="24"/>
      <c r="AA104" s="27"/>
      <c r="AB104" s="114"/>
      <c r="AC104" s="114"/>
      <c r="AD104" s="114"/>
      <c r="AE104" s="114"/>
      <c r="AF104" s="114"/>
      <c r="AG104" s="114"/>
      <c r="AH104" s="114"/>
    </row>
    <row r="105" spans="1:34" ht="12.75">
      <c r="A105" s="27"/>
      <c r="B105" s="36"/>
      <c r="C105" s="29"/>
      <c r="D105" s="32">
        <v>35</v>
      </c>
      <c r="E105" s="134">
        <v>446.8424</v>
      </c>
      <c r="F105" s="134"/>
      <c r="G105" s="134"/>
      <c r="H105" s="134"/>
      <c r="I105" s="134">
        <v>17545.09</v>
      </c>
      <c r="J105" s="134">
        <v>42</v>
      </c>
      <c r="K105" s="135">
        <v>333.83</v>
      </c>
      <c r="L105" s="29"/>
      <c r="M105" s="148">
        <v>447.17840000000001</v>
      </c>
      <c r="N105" s="148"/>
      <c r="O105" s="148"/>
      <c r="P105" s="148"/>
      <c r="Q105" s="148">
        <v>17671.169999999998</v>
      </c>
      <c r="R105" s="148">
        <v>50.02</v>
      </c>
      <c r="S105" s="149">
        <v>338.84</v>
      </c>
      <c r="U105" s="17"/>
      <c r="V105" s="18"/>
      <c r="W105" s="19"/>
      <c r="X105" s="29"/>
      <c r="Y105" s="24"/>
      <c r="Z105" s="24"/>
      <c r="AA105" s="27"/>
      <c r="AB105" s="114"/>
      <c r="AC105" s="114"/>
      <c r="AD105" s="114"/>
      <c r="AE105" s="114"/>
      <c r="AF105" s="114"/>
      <c r="AG105" s="114"/>
      <c r="AH105" s="114"/>
    </row>
    <row r="106" spans="1:34" ht="13.5" thickBot="1">
      <c r="A106" s="27"/>
      <c r="B106" s="50"/>
      <c r="C106" s="51"/>
      <c r="D106" s="69">
        <v>40</v>
      </c>
      <c r="E106" s="137">
        <v>255.53280000000001</v>
      </c>
      <c r="F106" s="137"/>
      <c r="G106" s="137"/>
      <c r="H106" s="137"/>
      <c r="I106" s="137">
        <v>15317.17</v>
      </c>
      <c r="J106" s="137">
        <v>43.46</v>
      </c>
      <c r="K106" s="138">
        <v>339.08</v>
      </c>
      <c r="L106" s="29"/>
      <c r="M106" s="151">
        <v>255.648</v>
      </c>
      <c r="N106" s="151"/>
      <c r="O106" s="151"/>
      <c r="P106" s="151"/>
      <c r="Q106" s="151">
        <v>15233.96</v>
      </c>
      <c r="R106" s="151">
        <v>40.450000000000003</v>
      </c>
      <c r="S106" s="152">
        <v>328.81</v>
      </c>
      <c r="U106" s="82"/>
      <c r="V106" s="83"/>
      <c r="W106" s="84"/>
      <c r="X106" s="29"/>
      <c r="Y106" s="47"/>
      <c r="Z106" s="47"/>
      <c r="AA106" s="52"/>
      <c r="AB106" s="114"/>
      <c r="AC106" s="114"/>
      <c r="AD106" s="114"/>
      <c r="AE106" s="114"/>
      <c r="AF106" s="114"/>
      <c r="AG106" s="114"/>
      <c r="AH106" s="114"/>
    </row>
    <row r="107" spans="1:34" ht="12.75">
      <c r="A107" s="27" t="s">
        <v>18</v>
      </c>
      <c r="B107" s="35" t="s">
        <v>57</v>
      </c>
      <c r="C107" s="28" t="s">
        <v>26</v>
      </c>
      <c r="D107" s="31">
        <v>25</v>
      </c>
      <c r="E107" s="130">
        <v>949.88480000000004</v>
      </c>
      <c r="F107" s="130">
        <v>41.355600000000003</v>
      </c>
      <c r="G107" s="130">
        <v>44.1509</v>
      </c>
      <c r="H107" s="130">
        <v>44.212299999999999</v>
      </c>
      <c r="I107" s="130"/>
      <c r="J107" s="131"/>
      <c r="K107" s="132"/>
      <c r="L107" s="29"/>
      <c r="M107" s="144">
        <v>949.88480000000004</v>
      </c>
      <c r="N107" s="144">
        <v>41.355600000000003</v>
      </c>
      <c r="O107" s="144">
        <v>44.1509</v>
      </c>
      <c r="P107" s="144">
        <v>44.212299999999999</v>
      </c>
      <c r="Q107" s="144"/>
      <c r="R107" s="145"/>
      <c r="S107" s="146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B107" s="114"/>
      <c r="AC107" s="114"/>
      <c r="AD107" s="114"/>
      <c r="AE107" s="114"/>
      <c r="AF107" s="114"/>
      <c r="AG107" s="114"/>
      <c r="AH107" s="114"/>
    </row>
    <row r="108" spans="1:34" ht="12.75">
      <c r="A108" s="27"/>
      <c r="B108" s="36"/>
      <c r="C108" s="29"/>
      <c r="D108" s="32">
        <v>30</v>
      </c>
      <c r="E108" s="133">
        <v>499.77760000000001</v>
      </c>
      <c r="F108" s="133">
        <v>38.9893</v>
      </c>
      <c r="G108" s="133">
        <v>42.521000000000001</v>
      </c>
      <c r="H108" s="133">
        <v>42.537199999999999</v>
      </c>
      <c r="I108" s="133"/>
      <c r="J108" s="134"/>
      <c r="K108" s="135"/>
      <c r="L108" s="29"/>
      <c r="M108" s="147">
        <v>499.77760000000001</v>
      </c>
      <c r="N108" s="147">
        <v>38.9893</v>
      </c>
      <c r="O108" s="147">
        <v>42.521000000000001</v>
      </c>
      <c r="P108" s="147">
        <v>42.537199999999999</v>
      </c>
      <c r="Q108" s="147"/>
      <c r="R108" s="148"/>
      <c r="S108" s="149"/>
      <c r="U108" s="41"/>
      <c r="V108" s="42"/>
      <c r="W108" s="43"/>
      <c r="X108" s="29"/>
      <c r="Y108" s="24"/>
      <c r="Z108" s="24"/>
      <c r="AA108" s="27"/>
      <c r="AB108" s="114"/>
      <c r="AC108" s="114"/>
      <c r="AD108" s="114"/>
      <c r="AE108" s="114"/>
      <c r="AF108" s="114"/>
      <c r="AG108" s="114"/>
      <c r="AH108" s="114"/>
    </row>
    <row r="109" spans="1:34" ht="12.75">
      <c r="A109" s="27"/>
      <c r="B109" s="36"/>
      <c r="C109" s="29"/>
      <c r="D109" s="32">
        <v>35</v>
      </c>
      <c r="E109" s="133">
        <v>275.01679999999999</v>
      </c>
      <c r="F109" s="133">
        <v>36.447499999999998</v>
      </c>
      <c r="G109" s="133">
        <v>40.752600000000001</v>
      </c>
      <c r="H109" s="133">
        <v>40.702300000000001</v>
      </c>
      <c r="I109" s="133"/>
      <c r="J109" s="134"/>
      <c r="K109" s="135"/>
      <c r="L109" s="29"/>
      <c r="M109" s="147">
        <v>275.01679999999999</v>
      </c>
      <c r="N109" s="147">
        <v>36.447499999999998</v>
      </c>
      <c r="O109" s="147">
        <v>40.752600000000001</v>
      </c>
      <c r="P109" s="147">
        <v>40.702300000000001</v>
      </c>
      <c r="Q109" s="147"/>
      <c r="R109" s="148"/>
      <c r="S109" s="149"/>
      <c r="U109" s="41"/>
      <c r="V109" s="42"/>
      <c r="W109" s="43"/>
      <c r="X109" s="29"/>
      <c r="Y109" s="24"/>
      <c r="Z109" s="24"/>
      <c r="AA109" s="27"/>
      <c r="AB109" s="114"/>
      <c r="AC109" s="114"/>
      <c r="AD109" s="114"/>
      <c r="AE109" s="114"/>
      <c r="AF109" s="114"/>
      <c r="AG109" s="114"/>
      <c r="AH109" s="114"/>
    </row>
    <row r="110" spans="1:34" ht="13.5" thickBot="1">
      <c r="A110" s="27"/>
      <c r="B110" s="36"/>
      <c r="C110" s="29"/>
      <c r="D110" s="32">
        <v>40</v>
      </c>
      <c r="E110" s="136">
        <v>159.2824</v>
      </c>
      <c r="F110" s="136">
        <v>33.871200000000002</v>
      </c>
      <c r="G110" s="136">
        <v>39.508099999999999</v>
      </c>
      <c r="H110" s="136">
        <v>39.403799999999997</v>
      </c>
      <c r="I110" s="136"/>
      <c r="J110" s="137"/>
      <c r="K110" s="138"/>
      <c r="L110" s="29"/>
      <c r="M110" s="150">
        <v>159.2824</v>
      </c>
      <c r="N110" s="150">
        <v>33.871200000000002</v>
      </c>
      <c r="O110" s="150">
        <v>39.508099999999999</v>
      </c>
      <c r="P110" s="150">
        <v>39.403799999999997</v>
      </c>
      <c r="Q110" s="150"/>
      <c r="R110" s="151"/>
      <c r="S110" s="152"/>
      <c r="U110" s="41"/>
      <c r="V110" s="42"/>
      <c r="W110" s="43"/>
      <c r="X110" s="29"/>
      <c r="Y110" s="24"/>
      <c r="Z110" s="24"/>
      <c r="AA110" s="27"/>
      <c r="AB110" s="114"/>
      <c r="AC110" s="114"/>
      <c r="AD110" s="114"/>
      <c r="AE110" s="114"/>
      <c r="AF110" s="114"/>
      <c r="AG110" s="114"/>
      <c r="AH110" s="114"/>
    </row>
    <row r="111" spans="1:34" ht="12.75">
      <c r="A111" s="27"/>
      <c r="B111" s="36"/>
      <c r="C111" s="28" t="s">
        <v>27</v>
      </c>
      <c r="D111" s="31">
        <v>25</v>
      </c>
      <c r="E111" s="133">
        <v>305.45679999999999</v>
      </c>
      <c r="F111" s="133">
        <v>40.307200000000002</v>
      </c>
      <c r="G111" s="133">
        <v>42.955199999999998</v>
      </c>
      <c r="H111" s="133">
        <v>43.067599999999999</v>
      </c>
      <c r="I111" s="133"/>
      <c r="J111" s="134"/>
      <c r="K111" s="135"/>
      <c r="L111" s="29"/>
      <c r="M111" s="147">
        <v>305.01119999999997</v>
      </c>
      <c r="N111" s="147">
        <v>40.303600000000003</v>
      </c>
      <c r="O111" s="147">
        <v>42.954599999999999</v>
      </c>
      <c r="P111" s="147">
        <v>43.071399999999997</v>
      </c>
      <c r="Q111" s="147"/>
      <c r="R111" s="148"/>
      <c r="S111" s="149"/>
      <c r="U111" s="8">
        <f>bdrate($E111:$E114,F111:F114,$M111:$M114,N111:N114)</f>
        <v>1.443156911656196E-3</v>
      </c>
      <c r="V111" s="9">
        <f>bdrate($E111:$E114,G111:G114,$M111:$M114,O111:O114)</f>
        <v>3.7840048246140512E-4</v>
      </c>
      <c r="W111" s="10">
        <f>bdrate($E111:$E114,H111:H114,$M111:$M114,P111:P114)</f>
        <v>5.9541446243693841E-4</v>
      </c>
      <c r="X111" s="29"/>
      <c r="Y111" s="24"/>
      <c r="Z111" s="24"/>
      <c r="AA111" s="27"/>
      <c r="AB111" s="114"/>
      <c r="AC111" s="114"/>
      <c r="AD111" s="114"/>
      <c r="AE111" s="114"/>
      <c r="AF111" s="114"/>
      <c r="AG111" s="114"/>
      <c r="AH111" s="114"/>
    </row>
    <row r="112" spans="1:34" ht="12.75">
      <c r="A112" s="27"/>
      <c r="B112" s="36"/>
      <c r="C112" s="29"/>
      <c r="D112" s="32">
        <v>30</v>
      </c>
      <c r="E112" s="133">
        <v>129.69839999999999</v>
      </c>
      <c r="F112" s="133">
        <v>37.962800000000001</v>
      </c>
      <c r="G112" s="133">
        <v>41.291899999999998</v>
      </c>
      <c r="H112" s="133">
        <v>41.435099999999998</v>
      </c>
      <c r="I112" s="133"/>
      <c r="J112" s="134"/>
      <c r="K112" s="135"/>
      <c r="L112" s="29"/>
      <c r="M112" s="147">
        <v>129.79040000000001</v>
      </c>
      <c r="N112" s="147">
        <v>37.9617</v>
      </c>
      <c r="O112" s="147">
        <v>41.298099999999998</v>
      </c>
      <c r="P112" s="147">
        <v>41.432400000000001</v>
      </c>
      <c r="Q112" s="147"/>
      <c r="R112" s="148"/>
      <c r="S112" s="149"/>
      <c r="U112" s="17"/>
      <c r="V112" s="18"/>
      <c r="W112" s="19"/>
      <c r="X112" s="29"/>
      <c r="Y112" s="24"/>
      <c r="Z112" s="24"/>
      <c r="AA112" s="27"/>
      <c r="AB112" s="114"/>
      <c r="AC112" s="114"/>
      <c r="AD112" s="114"/>
      <c r="AE112" s="114"/>
      <c r="AF112" s="114"/>
      <c r="AG112" s="114"/>
      <c r="AH112" s="114"/>
    </row>
    <row r="113" spans="1:34" ht="12.75">
      <c r="A113" s="27"/>
      <c r="B113" s="36"/>
      <c r="C113" s="29"/>
      <c r="D113" s="32">
        <v>35</v>
      </c>
      <c r="E113" s="133">
        <v>64.007199999999997</v>
      </c>
      <c r="F113" s="133">
        <v>35.524900000000002</v>
      </c>
      <c r="G113" s="133">
        <v>40.020400000000002</v>
      </c>
      <c r="H113" s="133">
        <v>40.0565</v>
      </c>
      <c r="I113" s="133"/>
      <c r="J113" s="134"/>
      <c r="K113" s="135"/>
      <c r="L113" s="29"/>
      <c r="M113" s="147">
        <v>64.175200000000004</v>
      </c>
      <c r="N113" s="147">
        <v>35.5242</v>
      </c>
      <c r="O113" s="147">
        <v>40.016399999999997</v>
      </c>
      <c r="P113" s="147">
        <v>40.057099999999998</v>
      </c>
      <c r="Q113" s="147"/>
      <c r="R113" s="148"/>
      <c r="S113" s="149"/>
      <c r="U113" s="41"/>
      <c r="V113" s="44"/>
      <c r="W113" s="43"/>
      <c r="X113" s="29"/>
      <c r="Y113" s="24"/>
      <c r="Z113" s="24"/>
      <c r="AA113" s="27"/>
      <c r="AB113" s="114"/>
      <c r="AC113" s="114"/>
      <c r="AD113" s="114"/>
      <c r="AE113" s="114"/>
      <c r="AF113" s="114"/>
      <c r="AG113" s="114"/>
      <c r="AH113" s="114"/>
    </row>
    <row r="114" spans="1:34" ht="13.5" thickBot="1">
      <c r="A114" s="27"/>
      <c r="B114" s="36"/>
      <c r="C114" s="29"/>
      <c r="D114" s="32">
        <v>40</v>
      </c>
      <c r="E114" s="133">
        <v>34.458399999999997</v>
      </c>
      <c r="F114" s="133">
        <v>33.106999999999999</v>
      </c>
      <c r="G114" s="133">
        <v>38.966700000000003</v>
      </c>
      <c r="H114" s="133">
        <v>38.953400000000002</v>
      </c>
      <c r="I114" s="133"/>
      <c r="J114" s="134"/>
      <c r="K114" s="135"/>
      <c r="L114" s="29"/>
      <c r="M114" s="147">
        <v>34.496000000000002</v>
      </c>
      <c r="N114" s="147">
        <v>33.112400000000001</v>
      </c>
      <c r="O114" s="147">
        <v>38.963900000000002</v>
      </c>
      <c r="P114" s="147">
        <v>38.964599999999997</v>
      </c>
      <c r="Q114" s="147"/>
      <c r="R114" s="148"/>
      <c r="S114" s="149"/>
      <c r="U114" s="41"/>
      <c r="V114" s="42"/>
      <c r="W114" s="43"/>
      <c r="X114" s="29"/>
      <c r="Y114" s="24"/>
      <c r="Z114" s="24"/>
      <c r="AA114" s="27"/>
      <c r="AB114" s="114"/>
      <c r="AC114" s="114"/>
      <c r="AD114" s="114"/>
      <c r="AE114" s="114"/>
      <c r="AF114" s="114"/>
      <c r="AG114" s="114"/>
      <c r="AH114" s="114"/>
    </row>
    <row r="115" spans="1:34" ht="12.75">
      <c r="A115" s="27"/>
      <c r="B115" s="36"/>
      <c r="C115" s="28" t="s">
        <v>28</v>
      </c>
      <c r="D115" s="31">
        <v>25</v>
      </c>
      <c r="E115" s="130">
        <v>348.17200000000003</v>
      </c>
      <c r="F115" s="130">
        <v>39.9009</v>
      </c>
      <c r="G115" s="130">
        <v>42.851900000000001</v>
      </c>
      <c r="H115" s="130">
        <v>42.748699999999999</v>
      </c>
      <c r="I115" s="130"/>
      <c r="J115" s="131"/>
      <c r="K115" s="132"/>
      <c r="L115" s="29"/>
      <c r="M115" s="144">
        <v>348.39679999999998</v>
      </c>
      <c r="N115" s="144">
        <v>39.902999999999999</v>
      </c>
      <c r="O115" s="144">
        <v>42.8491</v>
      </c>
      <c r="P115" s="144">
        <v>42.747799999999998</v>
      </c>
      <c r="Q115" s="144"/>
      <c r="R115" s="145"/>
      <c r="S115" s="146"/>
      <c r="U115" s="8">
        <f>bdrate($E115:$E118,F115:F118,$M115:$M118,N115:N118)</f>
        <v>-1.7308682012551202E-3</v>
      </c>
      <c r="V115" s="9">
        <f>bdrate($E115:$E118,G115:G118,$M115:$M118,O115:O118)</f>
        <v>-1.8674030720465806E-3</v>
      </c>
      <c r="W115" s="10">
        <f>bdrate($E115:$E118,H115:H118,$M115:$M118,P115:P118)</f>
        <v>-2.8286729192450455E-4</v>
      </c>
      <c r="X115" s="29"/>
      <c r="Y115" s="24"/>
      <c r="Z115" s="24"/>
      <c r="AA115" s="27"/>
      <c r="AB115" s="114"/>
      <c r="AC115" s="114"/>
      <c r="AD115" s="114"/>
      <c r="AE115" s="114"/>
      <c r="AF115" s="114"/>
      <c r="AG115" s="114"/>
      <c r="AH115" s="114"/>
    </row>
    <row r="116" spans="1:34" ht="12.75">
      <c r="A116" s="27"/>
      <c r="B116" s="36"/>
      <c r="C116" s="29"/>
      <c r="D116" s="32">
        <v>30</v>
      </c>
      <c r="E116" s="133">
        <v>150.5016</v>
      </c>
      <c r="F116" s="133">
        <v>37.520200000000003</v>
      </c>
      <c r="G116" s="133">
        <v>41.368000000000002</v>
      </c>
      <c r="H116" s="133">
        <v>41.103400000000001</v>
      </c>
      <c r="I116" s="133"/>
      <c r="J116" s="134"/>
      <c r="K116" s="135"/>
      <c r="L116" s="29"/>
      <c r="M116" s="147">
        <v>150.12479999999999</v>
      </c>
      <c r="N116" s="147">
        <v>37.517099999999999</v>
      </c>
      <c r="O116" s="147">
        <v>41.363399999999999</v>
      </c>
      <c r="P116" s="147">
        <v>41.097499999999997</v>
      </c>
      <c r="Q116" s="147"/>
      <c r="R116" s="148"/>
      <c r="S116" s="149"/>
      <c r="U116" s="41"/>
      <c r="V116" s="42"/>
      <c r="W116" s="43"/>
      <c r="X116" s="29"/>
      <c r="Y116" s="24"/>
      <c r="Z116" s="24"/>
      <c r="AA116" s="27"/>
      <c r="AB116" s="114"/>
      <c r="AC116" s="114"/>
      <c r="AD116" s="114"/>
      <c r="AE116" s="114"/>
      <c r="AF116" s="114"/>
      <c r="AG116" s="114"/>
      <c r="AH116" s="114"/>
    </row>
    <row r="117" spans="1:34" ht="12.75">
      <c r="A117" s="27"/>
      <c r="B117" s="36"/>
      <c r="C117" s="29"/>
      <c r="D117" s="32">
        <v>35</v>
      </c>
      <c r="E117" s="133">
        <v>75.58</v>
      </c>
      <c r="F117" s="133">
        <v>35.070099999999996</v>
      </c>
      <c r="G117" s="133">
        <v>40.080300000000001</v>
      </c>
      <c r="H117" s="133">
        <v>39.671300000000002</v>
      </c>
      <c r="I117" s="133"/>
      <c r="J117" s="134"/>
      <c r="K117" s="135"/>
      <c r="L117" s="29"/>
      <c r="M117" s="147">
        <v>75.214399999999998</v>
      </c>
      <c r="N117" s="147">
        <v>35.0627</v>
      </c>
      <c r="O117" s="147">
        <v>40.084000000000003</v>
      </c>
      <c r="P117" s="147">
        <v>39.665799999999997</v>
      </c>
      <c r="Q117" s="147"/>
      <c r="R117" s="148"/>
      <c r="S117" s="149"/>
      <c r="U117" s="17"/>
      <c r="V117" s="18"/>
      <c r="W117" s="19"/>
      <c r="X117" s="29"/>
      <c r="Y117" s="24"/>
      <c r="Z117" s="24"/>
      <c r="AA117" s="27"/>
      <c r="AB117" s="114"/>
      <c r="AC117" s="114"/>
      <c r="AD117" s="114"/>
      <c r="AE117" s="114"/>
      <c r="AF117" s="114"/>
      <c r="AG117" s="114"/>
      <c r="AH117" s="114"/>
    </row>
    <row r="118" spans="1:34" ht="13.5" thickBot="1">
      <c r="A118" s="27"/>
      <c r="B118" s="36"/>
      <c r="C118" s="51"/>
      <c r="D118" s="69">
        <v>40</v>
      </c>
      <c r="E118" s="136">
        <v>40.016800000000003</v>
      </c>
      <c r="F118" s="136">
        <v>32.549399999999999</v>
      </c>
      <c r="G118" s="136">
        <v>39.073900000000002</v>
      </c>
      <c r="H118" s="136">
        <v>38.579000000000001</v>
      </c>
      <c r="I118" s="136"/>
      <c r="J118" s="137"/>
      <c r="K118" s="138"/>
      <c r="L118" s="29"/>
      <c r="M118" s="150">
        <v>39.9664</v>
      </c>
      <c r="N118" s="150">
        <v>32.545400000000001</v>
      </c>
      <c r="O118" s="150">
        <v>39.071800000000003</v>
      </c>
      <c r="P118" s="150">
        <v>38.576999999999998</v>
      </c>
      <c r="Q118" s="150"/>
      <c r="R118" s="151"/>
      <c r="S118" s="152"/>
      <c r="U118" s="41"/>
      <c r="V118" s="42"/>
      <c r="W118" s="43"/>
      <c r="X118" s="29"/>
      <c r="Y118" s="24"/>
      <c r="Z118" s="24"/>
      <c r="AA118" s="27"/>
      <c r="AB118" s="114"/>
      <c r="AC118" s="114"/>
      <c r="AD118" s="114"/>
      <c r="AE118" s="114"/>
      <c r="AF118" s="114"/>
      <c r="AG118" s="114"/>
      <c r="AH118" s="114"/>
    </row>
    <row r="119" spans="1:34" ht="12.75">
      <c r="A119" s="27"/>
      <c r="B119" s="36"/>
      <c r="C119" s="28" t="s">
        <v>29</v>
      </c>
      <c r="D119" s="31">
        <v>34</v>
      </c>
      <c r="E119" s="130">
        <v>190.45679999999999</v>
      </c>
      <c r="F119" s="130">
        <v>38.367800000000003</v>
      </c>
      <c r="G119" s="130"/>
      <c r="H119" s="130"/>
      <c r="I119" s="130"/>
      <c r="J119" s="131"/>
      <c r="K119" s="132"/>
      <c r="L119" s="29"/>
      <c r="M119" s="144">
        <v>190.45679999999999</v>
      </c>
      <c r="N119" s="144">
        <v>38.367800000000003</v>
      </c>
      <c r="O119" s="144"/>
      <c r="P119" s="144"/>
      <c r="Q119" s="144"/>
      <c r="R119" s="145"/>
      <c r="S119" s="146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B119" s="114"/>
      <c r="AC119" s="114"/>
      <c r="AD119" s="114"/>
      <c r="AE119" s="114"/>
      <c r="AF119" s="114"/>
      <c r="AG119" s="114"/>
      <c r="AH119" s="114"/>
    </row>
    <row r="120" spans="1:34" ht="12.75">
      <c r="A120" s="27"/>
      <c r="B120" s="36"/>
      <c r="C120" s="29"/>
      <c r="D120" s="32">
        <v>39</v>
      </c>
      <c r="E120" s="133">
        <v>64.770399999999995</v>
      </c>
      <c r="F120" s="133">
        <v>35.0976</v>
      </c>
      <c r="G120" s="133"/>
      <c r="H120" s="133"/>
      <c r="I120" s="133"/>
      <c r="J120" s="134"/>
      <c r="K120" s="135"/>
      <c r="L120" s="29"/>
      <c r="M120" s="147">
        <v>64.770399999999995</v>
      </c>
      <c r="N120" s="147">
        <v>35.0976</v>
      </c>
      <c r="O120" s="147"/>
      <c r="P120" s="147"/>
      <c r="Q120" s="147"/>
      <c r="R120" s="148"/>
      <c r="S120" s="149"/>
      <c r="U120" s="41"/>
      <c r="V120" s="42"/>
      <c r="W120" s="43"/>
      <c r="X120" s="29"/>
      <c r="Y120" s="24"/>
      <c r="Z120" s="24"/>
      <c r="AA120" s="27"/>
      <c r="AB120" s="114"/>
      <c r="AC120" s="114"/>
      <c r="AD120" s="114"/>
      <c r="AE120" s="114"/>
      <c r="AF120" s="114"/>
      <c r="AG120" s="114"/>
      <c r="AH120" s="114"/>
    </row>
    <row r="121" spans="1:34" ht="12.75">
      <c r="A121" s="27"/>
      <c r="B121" s="36"/>
      <c r="C121" s="29"/>
      <c r="D121" s="32">
        <v>42</v>
      </c>
      <c r="E121" s="133">
        <v>26.236000000000001</v>
      </c>
      <c r="F121" s="133">
        <v>32.4313</v>
      </c>
      <c r="G121" s="133"/>
      <c r="H121" s="133"/>
      <c r="I121" s="133"/>
      <c r="J121" s="134"/>
      <c r="K121" s="135"/>
      <c r="L121" s="29"/>
      <c r="M121" s="147">
        <v>26.236000000000001</v>
      </c>
      <c r="N121" s="147">
        <v>32.4313</v>
      </c>
      <c r="O121" s="147"/>
      <c r="P121" s="147"/>
      <c r="Q121" s="147"/>
      <c r="R121" s="148"/>
      <c r="S121" s="149"/>
      <c r="U121" s="41"/>
      <c r="V121" s="42"/>
      <c r="W121" s="43"/>
      <c r="X121" s="29"/>
      <c r="Y121" s="24"/>
      <c r="Z121" s="24"/>
      <c r="AA121" s="27"/>
      <c r="AB121" s="114"/>
      <c r="AC121" s="114"/>
      <c r="AD121" s="114"/>
      <c r="AE121" s="114"/>
      <c r="AF121" s="114"/>
      <c r="AG121" s="114"/>
      <c r="AH121" s="114"/>
    </row>
    <row r="122" spans="1:34" ht="13.5" thickBot="1">
      <c r="A122" s="27"/>
      <c r="B122" s="36"/>
      <c r="C122" s="29"/>
      <c r="D122" s="32">
        <v>45</v>
      </c>
      <c r="E122" s="136">
        <v>11.7712</v>
      </c>
      <c r="F122" s="136">
        <v>29.461500000000001</v>
      </c>
      <c r="G122" s="136"/>
      <c r="H122" s="136"/>
      <c r="I122" s="136"/>
      <c r="J122" s="137"/>
      <c r="K122" s="138"/>
      <c r="L122" s="29"/>
      <c r="M122" s="150">
        <v>11.7712</v>
      </c>
      <c r="N122" s="150">
        <v>29.461500000000001</v>
      </c>
      <c r="O122" s="150"/>
      <c r="P122" s="150"/>
      <c r="Q122" s="150"/>
      <c r="R122" s="151"/>
      <c r="S122" s="152"/>
      <c r="U122" s="17"/>
      <c r="V122" s="18"/>
      <c r="W122" s="19"/>
      <c r="X122" s="29"/>
      <c r="Y122" s="59"/>
      <c r="Z122" s="59"/>
      <c r="AA122" s="55"/>
      <c r="AB122" s="114"/>
      <c r="AC122" s="114"/>
      <c r="AD122" s="114"/>
      <c r="AE122" s="114"/>
      <c r="AF122" s="114"/>
      <c r="AG122" s="114"/>
      <c r="AH122" s="114"/>
    </row>
    <row r="123" spans="1:34" ht="12.75">
      <c r="A123" s="27"/>
      <c r="B123" s="36"/>
      <c r="C123" s="28" t="s">
        <v>30</v>
      </c>
      <c r="D123" s="31">
        <v>34</v>
      </c>
      <c r="E123" s="130">
        <v>124.29600000000001</v>
      </c>
      <c r="F123" s="130">
        <v>37.245699999999999</v>
      </c>
      <c r="G123" s="130"/>
      <c r="H123" s="130"/>
      <c r="I123" s="130"/>
      <c r="J123" s="131"/>
      <c r="K123" s="132"/>
      <c r="L123" s="29"/>
      <c r="M123" s="144">
        <v>123.6</v>
      </c>
      <c r="N123" s="144">
        <v>37.2393</v>
      </c>
      <c r="O123" s="144"/>
      <c r="P123" s="144"/>
      <c r="Q123" s="144"/>
      <c r="R123" s="145"/>
      <c r="S123" s="146"/>
      <c r="U123" s="8">
        <f>bdrate($E123:$E126,F123:F126,$M123:$M126,N123:N126)</f>
        <v>-1.076889077687504E-2</v>
      </c>
      <c r="V123" s="9"/>
      <c r="W123" s="10"/>
      <c r="X123" s="29"/>
      <c r="Y123" s="24"/>
      <c r="Z123" s="24"/>
      <c r="AA123" s="27"/>
      <c r="AB123" s="114"/>
      <c r="AC123" s="114"/>
      <c r="AD123" s="114"/>
      <c r="AE123" s="114"/>
      <c r="AF123" s="114"/>
      <c r="AG123" s="114"/>
      <c r="AH123" s="114"/>
    </row>
    <row r="124" spans="1:34" ht="12.75">
      <c r="A124" s="27"/>
      <c r="B124" s="36"/>
      <c r="C124" s="29"/>
      <c r="D124" s="32">
        <v>39</v>
      </c>
      <c r="E124" s="133">
        <v>43.931199999999997</v>
      </c>
      <c r="F124" s="133">
        <v>34.154600000000002</v>
      </c>
      <c r="G124" s="133"/>
      <c r="H124" s="133"/>
      <c r="I124" s="133"/>
      <c r="J124" s="134"/>
      <c r="K124" s="135"/>
      <c r="L124" s="29"/>
      <c r="M124" s="147">
        <v>43.7408</v>
      </c>
      <c r="N124" s="147">
        <v>34.1785</v>
      </c>
      <c r="O124" s="147"/>
      <c r="P124" s="147"/>
      <c r="Q124" s="147"/>
      <c r="R124" s="148"/>
      <c r="S124" s="149"/>
      <c r="U124" s="12"/>
      <c r="V124" s="13"/>
      <c r="W124" s="14"/>
      <c r="X124" s="29"/>
      <c r="Y124" s="24"/>
      <c r="Z124" s="24"/>
      <c r="AA124" s="27"/>
      <c r="AB124" s="114"/>
      <c r="AC124" s="114"/>
      <c r="AD124" s="114"/>
      <c r="AE124" s="114"/>
      <c r="AF124" s="114"/>
      <c r="AG124" s="114"/>
      <c r="AH124" s="114"/>
    </row>
    <row r="125" spans="1:34" ht="12.75">
      <c r="A125" s="27"/>
      <c r="B125" s="36"/>
      <c r="C125" s="29"/>
      <c r="D125" s="32">
        <v>42</v>
      </c>
      <c r="E125" s="133">
        <v>18.9328</v>
      </c>
      <c r="F125" s="133">
        <v>31.5749</v>
      </c>
      <c r="G125" s="133"/>
      <c r="H125" s="133"/>
      <c r="I125" s="133"/>
      <c r="J125" s="134"/>
      <c r="K125" s="135"/>
      <c r="L125" s="29"/>
      <c r="M125" s="147">
        <v>18.8752</v>
      </c>
      <c r="N125" s="147">
        <v>31.607299999999999</v>
      </c>
      <c r="O125" s="147"/>
      <c r="P125" s="147"/>
      <c r="Q125" s="147"/>
      <c r="R125" s="148"/>
      <c r="S125" s="149"/>
      <c r="U125" s="12"/>
      <c r="V125" s="13"/>
      <c r="W125" s="14"/>
      <c r="X125" s="29"/>
      <c r="Y125" s="24"/>
      <c r="Z125" s="24"/>
      <c r="AA125" s="27"/>
      <c r="AB125" s="114"/>
      <c r="AC125" s="114"/>
      <c r="AD125" s="114"/>
      <c r="AE125" s="114"/>
      <c r="AF125" s="114"/>
      <c r="AG125" s="114"/>
      <c r="AH125" s="114"/>
    </row>
    <row r="126" spans="1:34" ht="13.5" thickBot="1">
      <c r="A126" s="27"/>
      <c r="B126" s="36"/>
      <c r="C126" s="29"/>
      <c r="D126" s="32">
        <v>45</v>
      </c>
      <c r="E126" s="136">
        <v>8.5207999999999995</v>
      </c>
      <c r="F126" s="136">
        <v>28.320399999999999</v>
      </c>
      <c r="G126" s="136"/>
      <c r="H126" s="136"/>
      <c r="I126" s="136"/>
      <c r="J126" s="137"/>
      <c r="K126" s="138"/>
      <c r="L126" s="29"/>
      <c r="M126" s="150">
        <v>8.4527999999999999</v>
      </c>
      <c r="N126" s="150">
        <v>28.328900000000001</v>
      </c>
      <c r="O126" s="150"/>
      <c r="P126" s="150"/>
      <c r="Q126" s="150"/>
      <c r="R126" s="151"/>
      <c r="S126" s="152"/>
      <c r="U126" s="12"/>
      <c r="V126" s="13"/>
      <c r="W126" s="14"/>
      <c r="X126" s="29"/>
      <c r="Y126" s="24"/>
      <c r="Z126" s="24"/>
      <c r="AA126" s="27"/>
      <c r="AB126" s="114"/>
      <c r="AC126" s="114"/>
      <c r="AD126" s="114"/>
      <c r="AE126" s="114"/>
      <c r="AF126" s="114"/>
      <c r="AG126" s="114"/>
      <c r="AH126" s="114"/>
    </row>
    <row r="127" spans="1:34" ht="12.75">
      <c r="A127" s="27"/>
      <c r="B127" s="36"/>
      <c r="C127" s="28" t="s">
        <v>31</v>
      </c>
      <c r="D127" s="31">
        <v>34</v>
      </c>
      <c r="E127" s="130">
        <v>112.01600000000001</v>
      </c>
      <c r="F127" s="130">
        <v>37.176600000000001</v>
      </c>
      <c r="G127" s="130"/>
      <c r="H127" s="130"/>
      <c r="I127" s="130"/>
      <c r="J127" s="131"/>
      <c r="K127" s="132"/>
      <c r="L127" s="29"/>
      <c r="M127" s="144">
        <v>111.64960000000001</v>
      </c>
      <c r="N127" s="144">
        <v>37.1496</v>
      </c>
      <c r="O127" s="144"/>
      <c r="P127" s="144"/>
      <c r="Q127" s="144"/>
      <c r="R127" s="145"/>
      <c r="S127" s="146"/>
      <c r="U127" s="8">
        <f>bdrate($E127:$E130,F127:F130,$M127:$M130,N127:N130)</f>
        <v>4.2001003152214444E-4</v>
      </c>
      <c r="V127" s="9"/>
      <c r="W127" s="10"/>
      <c r="X127" s="29"/>
      <c r="Y127" s="24"/>
      <c r="Z127" s="24"/>
      <c r="AA127" s="27"/>
      <c r="AB127" s="114"/>
      <c r="AC127" s="114"/>
      <c r="AD127" s="114"/>
      <c r="AE127" s="114"/>
      <c r="AF127" s="114"/>
      <c r="AG127" s="114"/>
      <c r="AH127" s="114"/>
    </row>
    <row r="128" spans="1:34" ht="12.75">
      <c r="A128" s="27"/>
      <c r="B128" s="36"/>
      <c r="C128" s="29"/>
      <c r="D128" s="32">
        <v>39</v>
      </c>
      <c r="E128" s="133">
        <v>36.688000000000002</v>
      </c>
      <c r="F128" s="133">
        <v>34.155299999999997</v>
      </c>
      <c r="G128" s="133"/>
      <c r="H128" s="133"/>
      <c r="I128" s="133"/>
      <c r="J128" s="134"/>
      <c r="K128" s="135"/>
      <c r="L128" s="29"/>
      <c r="M128" s="147">
        <v>36.783999999999999</v>
      </c>
      <c r="N128" s="147">
        <v>34.174500000000002</v>
      </c>
      <c r="O128" s="147"/>
      <c r="P128" s="147"/>
      <c r="Q128" s="147"/>
      <c r="R128" s="148"/>
      <c r="S128" s="149"/>
      <c r="U128" s="41"/>
      <c r="V128" s="42"/>
      <c r="W128" s="43"/>
      <c r="X128" s="29"/>
      <c r="Y128" s="24"/>
      <c r="Z128" s="24"/>
      <c r="AA128" s="27"/>
      <c r="AB128" s="114"/>
      <c r="AC128" s="114"/>
      <c r="AD128" s="114"/>
      <c r="AE128" s="114"/>
      <c r="AF128" s="114"/>
      <c r="AG128" s="114"/>
      <c r="AH128" s="114"/>
    </row>
    <row r="129" spans="1:34" ht="12.75">
      <c r="A129" s="27"/>
      <c r="B129" s="36"/>
      <c r="C129" s="29"/>
      <c r="D129" s="32">
        <v>42</v>
      </c>
      <c r="E129" s="133">
        <v>15.655200000000001</v>
      </c>
      <c r="F129" s="133">
        <v>31.622299999999999</v>
      </c>
      <c r="G129" s="133"/>
      <c r="H129" s="133"/>
      <c r="I129" s="133"/>
      <c r="J129" s="134"/>
      <c r="K129" s="135"/>
      <c r="L129" s="29"/>
      <c r="M129" s="147">
        <v>15.607200000000001</v>
      </c>
      <c r="N129" s="147">
        <v>31.612500000000001</v>
      </c>
      <c r="O129" s="147"/>
      <c r="P129" s="147"/>
      <c r="Q129" s="147"/>
      <c r="R129" s="148"/>
      <c r="S129" s="149"/>
      <c r="U129" s="41"/>
      <c r="V129" s="42"/>
      <c r="W129" s="43"/>
      <c r="X129" s="29"/>
      <c r="Y129" s="24"/>
      <c r="Z129" s="24"/>
      <c r="AA129" s="27"/>
      <c r="AB129" s="114"/>
      <c r="AC129" s="114"/>
      <c r="AD129" s="114"/>
      <c r="AE129" s="114"/>
      <c r="AF129" s="114"/>
      <c r="AG129" s="114"/>
      <c r="AH129" s="114"/>
    </row>
    <row r="130" spans="1:34" ht="13.5" thickBot="1">
      <c r="A130" s="27"/>
      <c r="B130" s="36"/>
      <c r="C130" s="29"/>
      <c r="D130" s="32">
        <v>45</v>
      </c>
      <c r="E130" s="136">
        <v>7.6096000000000004</v>
      </c>
      <c r="F130" s="136">
        <v>29.067900000000002</v>
      </c>
      <c r="G130" s="136"/>
      <c r="H130" s="136"/>
      <c r="I130" s="136"/>
      <c r="J130" s="137"/>
      <c r="K130" s="138"/>
      <c r="L130" s="29"/>
      <c r="M130" s="150">
        <v>7.6559999999999997</v>
      </c>
      <c r="N130" s="150">
        <v>29.055499999999999</v>
      </c>
      <c r="O130" s="150"/>
      <c r="P130" s="150"/>
      <c r="Q130" s="150"/>
      <c r="R130" s="151"/>
      <c r="S130" s="152"/>
      <c r="U130" s="41"/>
      <c r="V130" s="42"/>
      <c r="W130" s="43"/>
      <c r="X130" s="29"/>
      <c r="Y130" s="24"/>
      <c r="Z130" s="24"/>
      <c r="AA130" s="27"/>
      <c r="AB130" s="114"/>
      <c r="AC130" s="114"/>
      <c r="AD130" s="114"/>
      <c r="AE130" s="114"/>
      <c r="AF130" s="114"/>
      <c r="AG130" s="114"/>
      <c r="AH130" s="114"/>
    </row>
    <row r="131" spans="1:34" ht="12.75">
      <c r="A131" s="27"/>
      <c r="B131" s="36"/>
      <c r="C131" s="28" t="s">
        <v>47</v>
      </c>
      <c r="D131" s="31">
        <v>25</v>
      </c>
      <c r="E131" s="130"/>
      <c r="F131" s="130">
        <v>39.928899999999999</v>
      </c>
      <c r="G131" s="130">
        <v>45.267400000000002</v>
      </c>
      <c r="H131" s="130">
        <v>45.444299999999998</v>
      </c>
      <c r="I131" s="130"/>
      <c r="J131" s="131"/>
      <c r="K131" s="132"/>
      <c r="L131" s="29"/>
      <c r="M131" s="144"/>
      <c r="N131" s="144">
        <v>39.930900000000001</v>
      </c>
      <c r="O131" s="144">
        <v>45.262500000000003</v>
      </c>
      <c r="P131" s="144">
        <v>45.444800000000001</v>
      </c>
      <c r="Q131" s="144"/>
      <c r="R131" s="145"/>
      <c r="S131" s="146"/>
      <c r="U131" s="8"/>
      <c r="V131" s="9"/>
      <c r="W131" s="10"/>
      <c r="X131" s="29"/>
      <c r="Y131" s="24"/>
      <c r="Z131" s="24"/>
      <c r="AA131" s="27"/>
      <c r="AB131" s="114"/>
      <c r="AC131" s="114"/>
      <c r="AD131" s="114"/>
      <c r="AE131" s="114"/>
      <c r="AF131" s="114"/>
      <c r="AG131" s="114"/>
      <c r="AH131" s="114"/>
    </row>
    <row r="132" spans="1:34" ht="12.75">
      <c r="A132" s="27"/>
      <c r="B132" s="36"/>
      <c r="C132" s="29"/>
      <c r="D132" s="32">
        <v>30</v>
      </c>
      <c r="E132" s="133"/>
      <c r="F132" s="133">
        <v>37.784399999999998</v>
      </c>
      <c r="G132" s="133">
        <v>43.451599999999999</v>
      </c>
      <c r="H132" s="133">
        <v>43.622399999999999</v>
      </c>
      <c r="I132" s="133"/>
      <c r="J132" s="134"/>
      <c r="K132" s="135"/>
      <c r="L132" s="29"/>
      <c r="M132" s="147"/>
      <c r="N132" s="147">
        <v>37.781700000000001</v>
      </c>
      <c r="O132" s="147">
        <v>43.459099999999999</v>
      </c>
      <c r="P132" s="147">
        <v>43.6312</v>
      </c>
      <c r="Q132" s="147"/>
      <c r="R132" s="148"/>
      <c r="S132" s="149"/>
      <c r="U132" s="17"/>
      <c r="V132" s="18"/>
      <c r="W132" s="19"/>
      <c r="X132" s="29"/>
      <c r="Y132" s="24"/>
      <c r="Z132" s="24"/>
      <c r="AA132" s="27"/>
      <c r="AB132" s="114"/>
      <c r="AC132" s="114"/>
      <c r="AD132" s="114"/>
      <c r="AE132" s="114"/>
      <c r="AF132" s="114"/>
      <c r="AG132" s="114"/>
      <c r="AH132" s="114"/>
    </row>
    <row r="133" spans="1:34" ht="12.75">
      <c r="A133" s="27"/>
      <c r="B133" s="36"/>
      <c r="C133" s="29"/>
      <c r="D133" s="32">
        <v>35</v>
      </c>
      <c r="E133" s="133"/>
      <c r="F133" s="133">
        <v>35.505899999999997</v>
      </c>
      <c r="G133" s="133">
        <v>41.8767</v>
      </c>
      <c r="H133" s="133">
        <v>41.894399999999997</v>
      </c>
      <c r="I133" s="133"/>
      <c r="J133" s="134"/>
      <c r="K133" s="135"/>
      <c r="L133" s="29"/>
      <c r="M133" s="147"/>
      <c r="N133" s="147">
        <v>35.511800000000001</v>
      </c>
      <c r="O133" s="147">
        <v>41.871200000000002</v>
      </c>
      <c r="P133" s="147">
        <v>41.900300000000001</v>
      </c>
      <c r="Q133" s="147"/>
      <c r="R133" s="148"/>
      <c r="S133" s="149"/>
      <c r="U133" s="41"/>
      <c r="V133" s="44"/>
      <c r="W133" s="43"/>
      <c r="X133" s="29"/>
      <c r="Y133" s="24"/>
      <c r="Z133" s="24"/>
      <c r="AA133" s="27"/>
      <c r="AB133" s="114"/>
      <c r="AC133" s="114"/>
      <c r="AD133" s="114"/>
      <c r="AE133" s="114"/>
      <c r="AF133" s="114"/>
      <c r="AG133" s="114"/>
      <c r="AH133" s="114"/>
    </row>
    <row r="134" spans="1:34" ht="13.5" thickBot="1">
      <c r="A134" s="27"/>
      <c r="B134" s="36"/>
      <c r="C134" s="51"/>
      <c r="D134" s="69">
        <v>40</v>
      </c>
      <c r="E134" s="136"/>
      <c r="F134" s="136">
        <v>33.129600000000003</v>
      </c>
      <c r="G134" s="136">
        <v>40.524700000000003</v>
      </c>
      <c r="H134" s="136">
        <v>40.531700000000001</v>
      </c>
      <c r="I134" s="136"/>
      <c r="J134" s="137"/>
      <c r="K134" s="138"/>
      <c r="L134" s="29"/>
      <c r="M134" s="150"/>
      <c r="N134" s="150">
        <v>33.133200000000002</v>
      </c>
      <c r="O134" s="150">
        <v>40.523699999999998</v>
      </c>
      <c r="P134" s="150">
        <v>40.543900000000001</v>
      </c>
      <c r="Q134" s="150"/>
      <c r="R134" s="151"/>
      <c r="S134" s="152"/>
      <c r="U134" s="41"/>
      <c r="V134" s="42"/>
      <c r="W134" s="43"/>
      <c r="X134" s="29"/>
      <c r="Y134" s="24"/>
      <c r="Z134" s="24"/>
      <c r="AA134" s="27"/>
      <c r="AB134" s="114"/>
      <c r="AC134" s="114"/>
      <c r="AD134" s="114"/>
      <c r="AE134" s="114"/>
      <c r="AF134" s="114"/>
      <c r="AG134" s="114"/>
      <c r="AH134" s="114"/>
    </row>
    <row r="135" spans="1:34" ht="12.75">
      <c r="A135" s="27"/>
      <c r="B135" s="36"/>
      <c r="C135" s="29" t="s">
        <v>48</v>
      </c>
      <c r="D135" s="32">
        <v>25</v>
      </c>
      <c r="E135" s="130"/>
      <c r="F135" s="130">
        <v>40.471800000000002</v>
      </c>
      <c r="G135" s="130">
        <v>46.125399999999999</v>
      </c>
      <c r="H135" s="130">
        <v>46.166600000000003</v>
      </c>
      <c r="I135" s="130"/>
      <c r="J135" s="131"/>
      <c r="K135" s="132"/>
      <c r="L135" s="29"/>
      <c r="M135" s="144"/>
      <c r="N135" s="144">
        <v>40.478400000000001</v>
      </c>
      <c r="O135" s="144">
        <v>46.127000000000002</v>
      </c>
      <c r="P135" s="144">
        <v>46.171700000000001</v>
      </c>
      <c r="Q135" s="144"/>
      <c r="R135" s="145"/>
      <c r="S135" s="146"/>
      <c r="U135" s="8"/>
      <c r="V135" s="9"/>
      <c r="W135" s="10"/>
      <c r="X135" s="29"/>
      <c r="Y135" s="24"/>
      <c r="Z135" s="24"/>
      <c r="AA135" s="27"/>
      <c r="AB135" s="114"/>
      <c r="AC135" s="114"/>
      <c r="AD135" s="114"/>
      <c r="AE135" s="114"/>
      <c r="AF135" s="114"/>
      <c r="AG135" s="114"/>
      <c r="AH135" s="114"/>
    </row>
    <row r="136" spans="1:34" ht="12.75">
      <c r="A136" s="27"/>
      <c r="B136" s="36"/>
      <c r="C136" s="29"/>
      <c r="D136" s="32">
        <v>30</v>
      </c>
      <c r="E136" s="133"/>
      <c r="F136" s="133">
        <v>38.200299999999999</v>
      </c>
      <c r="G136" s="133">
        <v>44.225099999999998</v>
      </c>
      <c r="H136" s="133">
        <v>44.239100000000001</v>
      </c>
      <c r="I136" s="133"/>
      <c r="J136" s="134"/>
      <c r="K136" s="135"/>
      <c r="L136" s="29"/>
      <c r="M136" s="147"/>
      <c r="N136" s="147">
        <v>38.191400000000002</v>
      </c>
      <c r="O136" s="147">
        <v>44.2346</v>
      </c>
      <c r="P136" s="147">
        <v>44.242100000000001</v>
      </c>
      <c r="Q136" s="147"/>
      <c r="R136" s="148"/>
      <c r="S136" s="149"/>
      <c r="U136" s="41"/>
      <c r="V136" s="42"/>
      <c r="W136" s="43"/>
      <c r="X136" s="29"/>
      <c r="Y136" s="24"/>
      <c r="Z136" s="24"/>
      <c r="AA136" s="27"/>
      <c r="AB136" s="114"/>
      <c r="AC136" s="114"/>
      <c r="AD136" s="114"/>
      <c r="AE136" s="114"/>
      <c r="AF136" s="114"/>
      <c r="AG136" s="114"/>
      <c r="AH136" s="114"/>
    </row>
    <row r="137" spans="1:34" ht="12.75">
      <c r="A137" s="27"/>
      <c r="B137" s="36"/>
      <c r="C137" s="29"/>
      <c r="D137" s="32">
        <v>35</v>
      </c>
      <c r="E137" s="133"/>
      <c r="F137" s="133">
        <v>35.8003</v>
      </c>
      <c r="G137" s="133">
        <v>42.385899999999999</v>
      </c>
      <c r="H137" s="133">
        <v>42.261000000000003</v>
      </c>
      <c r="I137" s="133"/>
      <c r="J137" s="134"/>
      <c r="K137" s="135"/>
      <c r="L137" s="29"/>
      <c r="M137" s="147"/>
      <c r="N137" s="147">
        <v>35.799599999999998</v>
      </c>
      <c r="O137" s="147">
        <v>42.379199999999997</v>
      </c>
      <c r="P137" s="147">
        <v>42.265099999999997</v>
      </c>
      <c r="Q137" s="147"/>
      <c r="R137" s="148"/>
      <c r="S137" s="149"/>
      <c r="U137" s="17"/>
      <c r="V137" s="18"/>
      <c r="W137" s="19"/>
      <c r="X137" s="29"/>
      <c r="Y137" s="24"/>
      <c r="Z137" s="24"/>
      <c r="AA137" s="27"/>
      <c r="AB137" s="114"/>
      <c r="AC137" s="114"/>
      <c r="AD137" s="114"/>
      <c r="AE137" s="114"/>
      <c r="AF137" s="114"/>
      <c r="AG137" s="114"/>
      <c r="AH137" s="114"/>
    </row>
    <row r="138" spans="1:34" ht="13.5" thickBot="1">
      <c r="A138" s="27"/>
      <c r="B138" s="36"/>
      <c r="C138" s="51"/>
      <c r="D138" s="69">
        <v>40</v>
      </c>
      <c r="E138" s="136"/>
      <c r="F138" s="136">
        <v>33.334299999999999</v>
      </c>
      <c r="G138" s="136">
        <v>40.899299999999997</v>
      </c>
      <c r="H138" s="136">
        <v>40.7669</v>
      </c>
      <c r="I138" s="136"/>
      <c r="J138" s="137"/>
      <c r="K138" s="138"/>
      <c r="L138" s="29"/>
      <c r="M138" s="150"/>
      <c r="N138" s="150">
        <v>33.333199999999998</v>
      </c>
      <c r="O138" s="150">
        <v>40.896099999999997</v>
      </c>
      <c r="P138" s="150">
        <v>40.773299999999999</v>
      </c>
      <c r="Q138" s="150"/>
      <c r="R138" s="151"/>
      <c r="S138" s="152"/>
      <c r="U138" s="41"/>
      <c r="V138" s="42"/>
      <c r="W138" s="43"/>
      <c r="X138" s="29"/>
      <c r="Y138" s="24"/>
      <c r="Z138" s="24"/>
      <c r="AA138" s="27"/>
      <c r="AB138" s="114"/>
      <c r="AC138" s="114"/>
      <c r="AD138" s="114"/>
      <c r="AE138" s="114"/>
      <c r="AF138" s="114"/>
      <c r="AG138" s="114"/>
      <c r="AH138" s="114"/>
    </row>
    <row r="139" spans="1:34" ht="12.75">
      <c r="A139" s="27"/>
      <c r="B139" s="36"/>
      <c r="C139" s="29" t="s">
        <v>49</v>
      </c>
      <c r="D139" s="32">
        <v>25</v>
      </c>
      <c r="E139" s="130"/>
      <c r="F139" s="130">
        <v>40.956499999999998</v>
      </c>
      <c r="G139" s="130">
        <v>46.033200000000001</v>
      </c>
      <c r="H139" s="130">
        <v>46.096499999999999</v>
      </c>
      <c r="I139" s="130"/>
      <c r="J139" s="131"/>
      <c r="K139" s="132"/>
      <c r="L139" s="29"/>
      <c r="M139" s="144"/>
      <c r="N139" s="144">
        <v>40.952500000000001</v>
      </c>
      <c r="O139" s="144">
        <v>46.031100000000002</v>
      </c>
      <c r="P139" s="144">
        <v>46.097999999999999</v>
      </c>
      <c r="Q139" s="144"/>
      <c r="R139" s="145"/>
      <c r="S139" s="146"/>
      <c r="U139" s="8"/>
      <c r="V139" s="9"/>
      <c r="W139" s="10"/>
      <c r="X139" s="29"/>
      <c r="Y139" s="24"/>
      <c r="Z139" s="24"/>
      <c r="AA139" s="27"/>
      <c r="AB139" s="114"/>
      <c r="AC139" s="114"/>
      <c r="AD139" s="114"/>
      <c r="AE139" s="114"/>
      <c r="AF139" s="114"/>
      <c r="AG139" s="114"/>
      <c r="AH139" s="114"/>
    </row>
    <row r="140" spans="1:34" ht="12.75">
      <c r="A140" s="27"/>
      <c r="B140" s="36"/>
      <c r="C140" s="29"/>
      <c r="D140" s="32">
        <v>30</v>
      </c>
      <c r="E140" s="133"/>
      <c r="F140" s="133">
        <v>38.661999999999999</v>
      </c>
      <c r="G140" s="133">
        <v>44.256300000000003</v>
      </c>
      <c r="H140" s="133">
        <v>44.232799999999997</v>
      </c>
      <c r="I140" s="133"/>
      <c r="J140" s="134"/>
      <c r="K140" s="135"/>
      <c r="L140" s="29"/>
      <c r="M140" s="147"/>
      <c r="N140" s="147">
        <v>38.659300000000002</v>
      </c>
      <c r="O140" s="147">
        <v>44.2562</v>
      </c>
      <c r="P140" s="147">
        <v>44.230499999999999</v>
      </c>
      <c r="Q140" s="147"/>
      <c r="R140" s="148"/>
      <c r="S140" s="149"/>
      <c r="U140" s="41"/>
      <c r="V140" s="42"/>
      <c r="W140" s="43"/>
      <c r="X140" s="29"/>
      <c r="Y140" s="24"/>
      <c r="Z140" s="24"/>
      <c r="AA140" s="27"/>
      <c r="AB140" s="114"/>
      <c r="AC140" s="114"/>
      <c r="AD140" s="114"/>
      <c r="AE140" s="114"/>
      <c r="AF140" s="114"/>
      <c r="AG140" s="114"/>
      <c r="AH140" s="114"/>
    </row>
    <row r="141" spans="1:34" ht="12.75">
      <c r="A141" s="27"/>
      <c r="B141" s="36"/>
      <c r="C141" s="29"/>
      <c r="D141" s="32">
        <v>35</v>
      </c>
      <c r="E141" s="133"/>
      <c r="F141" s="133">
        <v>36.198799999999999</v>
      </c>
      <c r="G141" s="133">
        <v>42.318899999999999</v>
      </c>
      <c r="H141" s="133">
        <v>42.186500000000002</v>
      </c>
      <c r="I141" s="133"/>
      <c r="J141" s="134"/>
      <c r="K141" s="135"/>
      <c r="L141" s="29"/>
      <c r="M141" s="147"/>
      <c r="N141" s="147">
        <v>36.198599999999999</v>
      </c>
      <c r="O141" s="147">
        <v>42.317</v>
      </c>
      <c r="P141" s="147">
        <v>42.191899999999997</v>
      </c>
      <c r="Q141" s="147"/>
      <c r="R141" s="148"/>
      <c r="S141" s="149"/>
      <c r="U141" s="41"/>
      <c r="V141" s="42"/>
      <c r="W141" s="43"/>
      <c r="X141" s="29"/>
      <c r="Y141" s="24"/>
      <c r="Z141" s="24"/>
      <c r="AA141" s="27"/>
      <c r="AB141" s="114"/>
      <c r="AC141" s="114"/>
      <c r="AD141" s="114"/>
      <c r="AE141" s="114"/>
      <c r="AF141" s="114"/>
      <c r="AG141" s="114"/>
      <c r="AH141" s="114"/>
    </row>
    <row r="142" spans="1:34" ht="13.5" thickBot="1">
      <c r="A142" s="27"/>
      <c r="B142" s="36"/>
      <c r="C142" s="51"/>
      <c r="D142" s="69">
        <v>40</v>
      </c>
      <c r="E142" s="136"/>
      <c r="F142" s="136">
        <v>33.676900000000003</v>
      </c>
      <c r="G142" s="136">
        <v>40.848500000000001</v>
      </c>
      <c r="H142" s="136">
        <v>40.698900000000002</v>
      </c>
      <c r="I142" s="136"/>
      <c r="J142" s="137"/>
      <c r="K142" s="138"/>
      <c r="L142" s="29"/>
      <c r="M142" s="150"/>
      <c r="N142" s="150">
        <v>33.676299999999998</v>
      </c>
      <c r="O142" s="150">
        <v>40.850299999999997</v>
      </c>
      <c r="P142" s="150">
        <v>40.704300000000003</v>
      </c>
      <c r="Q142" s="150"/>
      <c r="R142" s="151"/>
      <c r="S142" s="152"/>
      <c r="U142" s="17"/>
      <c r="V142" s="18"/>
      <c r="W142" s="19"/>
      <c r="X142" s="29"/>
      <c r="Z142" s="59"/>
      <c r="AA142" s="55"/>
      <c r="AB142" s="114"/>
      <c r="AC142" s="114"/>
      <c r="AD142" s="114"/>
      <c r="AE142" s="114"/>
      <c r="AF142" s="114"/>
      <c r="AG142" s="114"/>
      <c r="AH142" s="114"/>
    </row>
    <row r="143" spans="1:34" ht="12.75">
      <c r="A143" s="27"/>
      <c r="B143" s="36"/>
      <c r="C143" s="29" t="s">
        <v>50</v>
      </c>
      <c r="D143" s="32">
        <v>25</v>
      </c>
      <c r="E143" s="130"/>
      <c r="F143" s="130">
        <v>40.919199999999996</v>
      </c>
      <c r="G143" s="130">
        <v>45.871699999999997</v>
      </c>
      <c r="H143" s="130">
        <v>45.942300000000003</v>
      </c>
      <c r="I143" s="130"/>
      <c r="J143" s="131"/>
      <c r="K143" s="132"/>
      <c r="L143" s="29"/>
      <c r="M143" s="144"/>
      <c r="N143" s="144">
        <v>40.920299999999997</v>
      </c>
      <c r="O143" s="144">
        <v>45.868499999999997</v>
      </c>
      <c r="P143" s="144">
        <v>45.938800000000001</v>
      </c>
      <c r="Q143" s="144"/>
      <c r="R143" s="145"/>
      <c r="S143" s="146"/>
      <c r="T143" s="24"/>
      <c r="U143" s="8"/>
      <c r="V143" s="9"/>
      <c r="W143" s="10"/>
      <c r="X143" s="29"/>
      <c r="Y143" s="24"/>
      <c r="Z143" s="24"/>
      <c r="AA143" s="27"/>
      <c r="AB143" s="114"/>
      <c r="AC143" s="114"/>
      <c r="AD143" s="114"/>
      <c r="AE143" s="114"/>
      <c r="AF143" s="114"/>
      <c r="AG143" s="114"/>
      <c r="AH143" s="114"/>
    </row>
    <row r="144" spans="1:34" ht="12.75">
      <c r="B144" s="36"/>
      <c r="C144" s="29"/>
      <c r="D144" s="32">
        <v>30</v>
      </c>
      <c r="E144" s="133"/>
      <c r="F144" s="133">
        <v>38.591299999999997</v>
      </c>
      <c r="G144" s="133">
        <v>44.070799999999998</v>
      </c>
      <c r="H144" s="133">
        <v>44.042299999999997</v>
      </c>
      <c r="I144" s="133"/>
      <c r="J144" s="134"/>
      <c r="K144" s="135"/>
      <c r="L144" s="29"/>
      <c r="M144" s="147"/>
      <c r="N144" s="147">
        <v>38.590299999999999</v>
      </c>
      <c r="O144" s="147">
        <v>44.069800000000001</v>
      </c>
      <c r="P144" s="147">
        <v>44.041899999999998</v>
      </c>
      <c r="Q144" s="147"/>
      <c r="R144" s="148"/>
      <c r="S144" s="149"/>
      <c r="U144" s="12"/>
      <c r="V144" s="13"/>
      <c r="W144" s="14"/>
      <c r="X144" s="29"/>
      <c r="Y144" s="24"/>
      <c r="Z144" s="24"/>
      <c r="AA144" s="27"/>
      <c r="AB144" s="114"/>
      <c r="AC144" s="114"/>
      <c r="AD144" s="114"/>
      <c r="AE144" s="114"/>
      <c r="AF144" s="114"/>
      <c r="AG144" s="114"/>
      <c r="AH144" s="114"/>
    </row>
    <row r="145" spans="1:34" ht="12.75">
      <c r="B145" s="36"/>
      <c r="C145" s="29"/>
      <c r="D145" s="32">
        <v>35</v>
      </c>
      <c r="E145" s="133"/>
      <c r="F145" s="133">
        <v>36.119</v>
      </c>
      <c r="G145" s="133">
        <v>42.143900000000002</v>
      </c>
      <c r="H145" s="133">
        <v>41.971299999999999</v>
      </c>
      <c r="I145" s="133"/>
      <c r="J145" s="134"/>
      <c r="K145" s="135"/>
      <c r="L145" s="29"/>
      <c r="M145" s="147"/>
      <c r="N145" s="147">
        <v>36.115400000000001</v>
      </c>
      <c r="O145" s="147">
        <v>42.1464</v>
      </c>
      <c r="P145" s="147">
        <v>41.974299999999999</v>
      </c>
      <c r="Q145" s="147"/>
      <c r="R145" s="148"/>
      <c r="S145" s="149"/>
      <c r="U145" s="12"/>
      <c r="V145" s="13"/>
      <c r="W145" s="14"/>
      <c r="X145" s="29"/>
      <c r="Y145" s="24"/>
      <c r="Z145" s="24"/>
      <c r="AA145" s="27"/>
      <c r="AB145" s="114"/>
      <c r="AC145" s="114"/>
      <c r="AD145" s="114"/>
      <c r="AE145" s="114"/>
      <c r="AF145" s="114"/>
      <c r="AG145" s="114"/>
      <c r="AH145" s="114"/>
    </row>
    <row r="146" spans="1:34" ht="13.5" thickBot="1">
      <c r="B146" s="36"/>
      <c r="C146" s="51"/>
      <c r="D146" s="69">
        <v>40</v>
      </c>
      <c r="E146" s="136"/>
      <c r="F146" s="136">
        <v>33.6068</v>
      </c>
      <c r="G146" s="136">
        <v>40.707799999999999</v>
      </c>
      <c r="H146" s="136">
        <v>40.494399999999999</v>
      </c>
      <c r="I146" s="136"/>
      <c r="J146" s="137"/>
      <c r="K146" s="138"/>
      <c r="L146" s="29"/>
      <c r="M146" s="150"/>
      <c r="N146" s="150">
        <v>33.605200000000004</v>
      </c>
      <c r="O146" s="150">
        <v>40.708100000000002</v>
      </c>
      <c r="P146" s="150">
        <v>40.492400000000004</v>
      </c>
      <c r="Q146" s="150"/>
      <c r="R146" s="151"/>
      <c r="S146" s="152"/>
      <c r="U146" s="12"/>
      <c r="V146" s="13"/>
      <c r="W146" s="14"/>
      <c r="X146" s="29"/>
      <c r="Y146" s="24"/>
      <c r="Z146" s="24"/>
      <c r="AA146" s="27"/>
      <c r="AB146" s="114"/>
      <c r="AC146" s="114"/>
      <c r="AD146" s="114"/>
      <c r="AE146" s="114"/>
      <c r="AF146" s="114"/>
      <c r="AG146" s="114"/>
      <c r="AH146" s="114"/>
    </row>
    <row r="147" spans="1:34" ht="12.75">
      <c r="B147" s="36"/>
      <c r="C147" s="29" t="s">
        <v>51</v>
      </c>
      <c r="D147" s="32">
        <v>25</v>
      </c>
      <c r="E147" s="131"/>
      <c r="F147" s="131">
        <v>40.312899999999999</v>
      </c>
      <c r="G147" s="131">
        <v>45.902299999999997</v>
      </c>
      <c r="H147" s="131">
        <v>45.868899999999996</v>
      </c>
      <c r="I147" s="131"/>
      <c r="J147" s="131"/>
      <c r="K147" s="132"/>
      <c r="L147" s="29"/>
      <c r="M147" s="145"/>
      <c r="N147" s="145">
        <v>40.310499999999998</v>
      </c>
      <c r="O147" s="145">
        <v>45.900199999999998</v>
      </c>
      <c r="P147" s="145">
        <v>45.861199999999997</v>
      </c>
      <c r="Q147" s="145"/>
      <c r="R147" s="145"/>
      <c r="S147" s="146"/>
      <c r="U147" s="8"/>
      <c r="V147" s="9"/>
      <c r="W147" s="10"/>
      <c r="X147" s="29"/>
      <c r="Y147" s="24"/>
      <c r="Z147" s="24"/>
      <c r="AA147" s="27"/>
      <c r="AB147" s="114"/>
      <c r="AC147" s="114"/>
      <c r="AD147" s="114"/>
      <c r="AE147" s="114"/>
      <c r="AF147" s="114"/>
      <c r="AG147" s="114"/>
      <c r="AH147" s="114"/>
    </row>
    <row r="148" spans="1:34" ht="12.75">
      <c r="B148" s="36"/>
      <c r="C148" s="29"/>
      <c r="D148" s="32">
        <v>30</v>
      </c>
      <c r="E148" s="134"/>
      <c r="F148" s="134">
        <v>37.973300000000002</v>
      </c>
      <c r="G148" s="134">
        <v>44.0595</v>
      </c>
      <c r="H148" s="134">
        <v>43.869</v>
      </c>
      <c r="I148" s="134"/>
      <c r="J148" s="134"/>
      <c r="K148" s="135"/>
      <c r="L148" s="29"/>
      <c r="M148" s="148"/>
      <c r="N148" s="148">
        <v>37.978299999999997</v>
      </c>
      <c r="O148" s="148">
        <v>44.048499999999997</v>
      </c>
      <c r="P148" s="148">
        <v>43.872199999999999</v>
      </c>
      <c r="Q148" s="148"/>
      <c r="R148" s="148"/>
      <c r="S148" s="149"/>
      <c r="U148" s="41"/>
      <c r="V148" s="42"/>
      <c r="W148" s="43"/>
      <c r="X148" s="29"/>
      <c r="Y148" s="24"/>
      <c r="Z148" s="24"/>
      <c r="AA148" s="27"/>
      <c r="AB148" s="114"/>
      <c r="AC148" s="114"/>
      <c r="AD148" s="114"/>
      <c r="AE148" s="114"/>
      <c r="AF148" s="114"/>
      <c r="AG148" s="114"/>
      <c r="AH148" s="114"/>
    </row>
    <row r="149" spans="1:34" ht="12.75">
      <c r="B149" s="36"/>
      <c r="C149" s="29"/>
      <c r="D149" s="32">
        <v>35</v>
      </c>
      <c r="E149" s="134"/>
      <c r="F149" s="134">
        <v>35.566299999999998</v>
      </c>
      <c r="G149" s="134">
        <v>42.2181</v>
      </c>
      <c r="H149" s="134">
        <v>41.848700000000001</v>
      </c>
      <c r="I149" s="134"/>
      <c r="J149" s="134"/>
      <c r="K149" s="135"/>
      <c r="L149" s="29"/>
      <c r="M149" s="148"/>
      <c r="N149" s="148">
        <v>35.561</v>
      </c>
      <c r="O149" s="148">
        <v>42.222900000000003</v>
      </c>
      <c r="P149" s="148">
        <v>41.854399999999998</v>
      </c>
      <c r="Q149" s="148"/>
      <c r="R149" s="148"/>
      <c r="S149" s="149"/>
      <c r="U149" s="41"/>
      <c r="V149" s="42"/>
      <c r="W149" s="43"/>
      <c r="X149" s="29"/>
      <c r="Y149" s="24"/>
      <c r="Z149" s="24"/>
      <c r="AA149" s="27"/>
      <c r="AB149" s="114"/>
      <c r="AC149" s="114"/>
      <c r="AD149" s="114"/>
      <c r="AE149" s="114"/>
      <c r="AF149" s="114"/>
      <c r="AG149" s="114"/>
      <c r="AH149" s="114"/>
    </row>
    <row r="150" spans="1:34" ht="13.5" thickBot="1">
      <c r="B150" s="36"/>
      <c r="C150" s="51"/>
      <c r="D150" s="69">
        <v>40</v>
      </c>
      <c r="E150" s="137"/>
      <c r="F150" s="137">
        <v>33.081600000000002</v>
      </c>
      <c r="G150" s="137">
        <v>40.789000000000001</v>
      </c>
      <c r="H150" s="137">
        <v>40.383499999999998</v>
      </c>
      <c r="I150" s="137"/>
      <c r="J150" s="137"/>
      <c r="K150" s="138"/>
      <c r="L150" s="29"/>
      <c r="M150" s="151"/>
      <c r="N150" s="151">
        <v>33.078499999999998</v>
      </c>
      <c r="O150" s="151">
        <v>40.7836</v>
      </c>
      <c r="P150" s="151">
        <v>40.387099999999997</v>
      </c>
      <c r="Q150" s="151"/>
      <c r="R150" s="151"/>
      <c r="S150" s="152"/>
      <c r="T150" s="24"/>
      <c r="U150" s="41"/>
      <c r="V150" s="42"/>
      <c r="W150" s="43"/>
      <c r="X150" s="29"/>
      <c r="Y150" s="24"/>
      <c r="Z150" s="24"/>
      <c r="AA150" s="27"/>
      <c r="AB150" s="114"/>
      <c r="AC150" s="114"/>
      <c r="AD150" s="114"/>
      <c r="AE150" s="114"/>
      <c r="AF150" s="114"/>
      <c r="AG150" s="114"/>
      <c r="AH150" s="114"/>
    </row>
    <row r="151" spans="1:34" ht="12.75">
      <c r="B151" s="36"/>
      <c r="C151" s="29" t="s">
        <v>52</v>
      </c>
      <c r="D151" s="32">
        <v>25</v>
      </c>
      <c r="E151" s="131"/>
      <c r="F151" s="131">
        <v>39.944800000000001</v>
      </c>
      <c r="G151" s="131">
        <v>45.084000000000003</v>
      </c>
      <c r="H151" s="131">
        <v>45.041600000000003</v>
      </c>
      <c r="I151" s="131"/>
      <c r="J151" s="131"/>
      <c r="K151" s="132"/>
      <c r="L151" s="29"/>
      <c r="M151" s="145"/>
      <c r="N151" s="145">
        <v>39.944800000000001</v>
      </c>
      <c r="O151" s="145">
        <v>45.082700000000003</v>
      </c>
      <c r="P151" s="145">
        <v>45.036700000000003</v>
      </c>
      <c r="Q151" s="145"/>
      <c r="R151" s="145"/>
      <c r="S151" s="146"/>
      <c r="T151" s="24"/>
      <c r="U151" s="8"/>
      <c r="V151" s="9"/>
      <c r="W151" s="10"/>
      <c r="X151" s="29"/>
      <c r="Y151" s="24"/>
      <c r="Z151" s="24"/>
      <c r="AA151" s="27"/>
      <c r="AB151" s="114"/>
      <c r="AC151" s="114"/>
      <c r="AD151" s="114"/>
      <c r="AE151" s="114"/>
      <c r="AF151" s="114"/>
      <c r="AG151" s="114"/>
      <c r="AH151" s="114"/>
    </row>
    <row r="152" spans="1:34" ht="12.75">
      <c r="B152" s="36"/>
      <c r="C152" s="29"/>
      <c r="D152" s="32">
        <v>30</v>
      </c>
      <c r="E152" s="134"/>
      <c r="F152" s="134">
        <v>37.615900000000003</v>
      </c>
      <c r="G152" s="134">
        <v>43.379600000000003</v>
      </c>
      <c r="H152" s="134">
        <v>43.134999999999998</v>
      </c>
      <c r="I152" s="134"/>
      <c r="J152" s="134"/>
      <c r="K152" s="135"/>
      <c r="L152" s="29"/>
      <c r="M152" s="148"/>
      <c r="N152" s="148">
        <v>37.615900000000003</v>
      </c>
      <c r="O152" s="148">
        <v>43.362900000000003</v>
      </c>
      <c r="P152" s="148">
        <v>43.131</v>
      </c>
      <c r="Q152" s="148"/>
      <c r="R152" s="148"/>
      <c r="S152" s="149"/>
      <c r="T152" s="63"/>
      <c r="U152" s="17"/>
      <c r="V152" s="18"/>
      <c r="W152" s="19"/>
      <c r="X152" s="29"/>
      <c r="Y152" s="24"/>
      <c r="Z152" s="24"/>
      <c r="AA152" s="27"/>
      <c r="AB152" s="114"/>
      <c r="AC152" s="114"/>
      <c r="AD152" s="114"/>
      <c r="AE152" s="114"/>
      <c r="AF152" s="114"/>
      <c r="AG152" s="114"/>
      <c r="AH152" s="114"/>
    </row>
    <row r="153" spans="1:34" ht="12.75">
      <c r="B153" s="36"/>
      <c r="C153" s="29"/>
      <c r="D153" s="32">
        <v>35</v>
      </c>
      <c r="E153" s="134"/>
      <c r="F153" s="134">
        <v>35.193399999999997</v>
      </c>
      <c r="G153" s="134">
        <v>41.775599999999997</v>
      </c>
      <c r="H153" s="134">
        <v>41.323799999999999</v>
      </c>
      <c r="I153" s="134"/>
      <c r="J153" s="134"/>
      <c r="K153" s="135"/>
      <c r="L153" s="29"/>
      <c r="M153" s="148"/>
      <c r="N153" s="148">
        <v>35.185899999999997</v>
      </c>
      <c r="O153" s="148">
        <v>41.784999999999997</v>
      </c>
      <c r="P153" s="148">
        <v>41.326900000000002</v>
      </c>
      <c r="Q153" s="148"/>
      <c r="R153" s="148"/>
      <c r="S153" s="149"/>
      <c r="T153" s="24"/>
      <c r="U153" s="41"/>
      <c r="V153" s="44"/>
      <c r="W153" s="43"/>
      <c r="X153" s="29"/>
      <c r="Y153" s="24"/>
      <c r="Z153" s="24"/>
      <c r="AA153" s="27"/>
      <c r="AB153" s="114"/>
      <c r="AC153" s="114"/>
      <c r="AD153" s="114"/>
      <c r="AE153" s="114"/>
      <c r="AF153" s="114"/>
      <c r="AG153" s="114"/>
      <c r="AH153" s="114"/>
    </row>
    <row r="154" spans="1:34" ht="13.5" thickBot="1">
      <c r="B154" s="36"/>
      <c r="C154" s="51"/>
      <c r="D154" s="69">
        <v>40</v>
      </c>
      <c r="E154" s="137"/>
      <c r="F154" s="137">
        <v>32.697299999999998</v>
      </c>
      <c r="G154" s="137">
        <v>40.485900000000001</v>
      </c>
      <c r="H154" s="137">
        <v>39.978099999999998</v>
      </c>
      <c r="I154" s="137"/>
      <c r="J154" s="137"/>
      <c r="K154" s="138"/>
      <c r="L154" s="29"/>
      <c r="M154" s="151"/>
      <c r="N154" s="151">
        <v>32.693899999999999</v>
      </c>
      <c r="O154" s="151">
        <v>40.481400000000001</v>
      </c>
      <c r="P154" s="151">
        <v>39.987900000000003</v>
      </c>
      <c r="Q154" s="151"/>
      <c r="R154" s="151"/>
      <c r="S154" s="152"/>
      <c r="T154" s="24"/>
      <c r="U154" s="41"/>
      <c r="V154" s="42"/>
      <c r="W154" s="43"/>
      <c r="X154" s="29"/>
      <c r="Y154" s="24"/>
      <c r="Z154" s="24"/>
      <c r="AA154" s="27"/>
      <c r="AB154" s="114"/>
      <c r="AC154" s="114"/>
      <c r="AD154" s="114"/>
      <c r="AE154" s="114"/>
      <c r="AF154" s="114"/>
      <c r="AG154" s="114"/>
      <c r="AH154" s="114"/>
    </row>
    <row r="155" spans="1:34" ht="12.75">
      <c r="B155" s="36"/>
      <c r="C155" s="29" t="s">
        <v>12</v>
      </c>
      <c r="D155" s="32">
        <v>25</v>
      </c>
      <c r="E155" s="134">
        <v>2036.0727999999999</v>
      </c>
      <c r="F155" s="134"/>
      <c r="G155" s="134"/>
      <c r="H155" s="134"/>
      <c r="I155" s="134">
        <v>22228.28</v>
      </c>
      <c r="J155" s="134">
        <v>52.85</v>
      </c>
      <c r="K155" s="135">
        <v>334.93</v>
      </c>
      <c r="L155" s="29"/>
      <c r="M155" s="148">
        <v>2034.7896000000001</v>
      </c>
      <c r="N155" s="148"/>
      <c r="O155" s="148"/>
      <c r="P155" s="148"/>
      <c r="Q155" s="148">
        <v>22304.97</v>
      </c>
      <c r="R155" s="148">
        <v>47.45</v>
      </c>
      <c r="S155" s="149">
        <v>340.02</v>
      </c>
      <c r="T155" s="24"/>
      <c r="U155" s="8"/>
      <c r="V155" s="9"/>
      <c r="W155" s="10"/>
      <c r="X155" s="29"/>
      <c r="Y155" s="59">
        <f>GEOMEAN(Q155:Q158)/GEOMEAN(I155:I158)</f>
        <v>1.0002861707262487</v>
      </c>
      <c r="Z155" s="59">
        <f>GEOMEAN(R155:R158)/GEOMEAN(J155:J158)</f>
        <v>0.9323802734982829</v>
      </c>
      <c r="AA155" s="55">
        <f>GEOMEAN(S155:S158)/GEOMEAN(K155:K158)</f>
        <v>0.9966839589321409</v>
      </c>
      <c r="AB155" s="114"/>
      <c r="AC155" s="114"/>
      <c r="AD155" s="114"/>
      <c r="AE155" s="114"/>
      <c r="AF155" s="114"/>
      <c r="AG155" s="114"/>
      <c r="AH155" s="114"/>
    </row>
    <row r="156" spans="1:34" ht="12.75">
      <c r="B156" s="36"/>
      <c r="C156" s="29"/>
      <c r="D156" s="32">
        <v>30</v>
      </c>
      <c r="E156" s="134">
        <v>931.1576</v>
      </c>
      <c r="F156" s="134"/>
      <c r="G156" s="134"/>
      <c r="H156" s="134"/>
      <c r="I156" s="134">
        <v>17811.2</v>
      </c>
      <c r="J156" s="134">
        <v>42.11</v>
      </c>
      <c r="K156" s="135">
        <v>333.19</v>
      </c>
      <c r="L156" s="29"/>
      <c r="M156" s="148">
        <v>930.77840000000003</v>
      </c>
      <c r="N156" s="148"/>
      <c r="O156" s="148"/>
      <c r="P156" s="148"/>
      <c r="Q156" s="148">
        <v>17833.32</v>
      </c>
      <c r="R156" s="148">
        <v>42.38</v>
      </c>
      <c r="S156" s="149">
        <v>334.91</v>
      </c>
      <c r="T156" s="24"/>
      <c r="U156" s="41"/>
      <c r="V156" s="42"/>
      <c r="W156" s="43"/>
      <c r="X156" s="29"/>
      <c r="Y156" s="24"/>
      <c r="Z156" s="24"/>
      <c r="AA156" s="27"/>
      <c r="AB156" s="114"/>
      <c r="AC156" s="114"/>
      <c r="AD156" s="114"/>
      <c r="AE156" s="114"/>
      <c r="AF156" s="114"/>
      <c r="AG156" s="114"/>
      <c r="AH156" s="114"/>
    </row>
    <row r="157" spans="1:34" ht="12.75">
      <c r="B157" s="36"/>
      <c r="C157" s="29"/>
      <c r="D157" s="32">
        <v>35</v>
      </c>
      <c r="E157" s="134">
        <v>481.21839999999997</v>
      </c>
      <c r="F157" s="134"/>
      <c r="G157" s="134"/>
      <c r="H157" s="134"/>
      <c r="I157" s="134">
        <v>15417.95</v>
      </c>
      <c r="J157" s="134">
        <v>40.450000000000003</v>
      </c>
      <c r="K157" s="135">
        <v>340.2</v>
      </c>
      <c r="L157" s="29"/>
      <c r="M157" s="148">
        <v>480.91520000000003</v>
      </c>
      <c r="N157" s="148"/>
      <c r="O157" s="148"/>
      <c r="P157" s="148"/>
      <c r="Q157" s="148">
        <v>15488.77</v>
      </c>
      <c r="R157" s="148">
        <v>40.22</v>
      </c>
      <c r="S157" s="149">
        <v>331.99</v>
      </c>
      <c r="T157" s="24"/>
      <c r="U157" s="17"/>
      <c r="V157" s="18"/>
      <c r="W157" s="19"/>
      <c r="X157" s="29"/>
      <c r="Y157" s="24"/>
      <c r="Z157" s="24"/>
      <c r="AA157" s="27"/>
      <c r="AB157" s="114"/>
      <c r="AC157" s="114"/>
      <c r="AD157" s="114"/>
      <c r="AE157" s="114"/>
      <c r="AF157" s="114"/>
      <c r="AG157" s="114"/>
      <c r="AH157" s="114"/>
    </row>
    <row r="158" spans="1:34" ht="13.5" thickBot="1">
      <c r="B158" s="50"/>
      <c r="C158" s="51"/>
      <c r="D158" s="69">
        <v>40</v>
      </c>
      <c r="E158" s="137">
        <v>267.44959999999998</v>
      </c>
      <c r="F158" s="137"/>
      <c r="G158" s="137"/>
      <c r="H158" s="137"/>
      <c r="I158" s="137">
        <v>13741.67</v>
      </c>
      <c r="J158" s="137">
        <v>45.96</v>
      </c>
      <c r="K158" s="138">
        <v>334.88</v>
      </c>
      <c r="L158" s="29"/>
      <c r="M158" s="151">
        <v>267.41520000000003</v>
      </c>
      <c r="N158" s="151"/>
      <c r="O158" s="151"/>
      <c r="P158" s="151"/>
      <c r="Q158" s="151">
        <v>13630.49</v>
      </c>
      <c r="R158" s="151">
        <v>38.659999999999997</v>
      </c>
      <c r="S158" s="152">
        <v>331.85</v>
      </c>
      <c r="T158" s="24"/>
      <c r="U158" s="82"/>
      <c r="V158" s="83"/>
      <c r="W158" s="84"/>
      <c r="X158" s="29"/>
      <c r="Y158" s="47"/>
      <c r="Z158" s="47"/>
      <c r="AA158" s="52"/>
      <c r="AB158" s="114"/>
      <c r="AC158" s="114"/>
      <c r="AD158" s="114"/>
      <c r="AE158" s="114"/>
      <c r="AF158" s="114"/>
      <c r="AG158" s="114"/>
      <c r="AH158" s="114"/>
    </row>
    <row r="159" spans="1:34" ht="12.75">
      <c r="A159" s="26" t="s">
        <v>19</v>
      </c>
      <c r="B159" s="35" t="s">
        <v>53</v>
      </c>
      <c r="C159" s="28" t="s">
        <v>26</v>
      </c>
      <c r="D159" s="31">
        <v>25</v>
      </c>
      <c r="E159" s="130">
        <v>3712.6183999999998</v>
      </c>
      <c r="F159" s="130">
        <v>40.253799999999998</v>
      </c>
      <c r="G159" s="130">
        <v>45.457700000000003</v>
      </c>
      <c r="H159" s="130">
        <v>46.298400000000001</v>
      </c>
      <c r="I159" s="130"/>
      <c r="J159" s="131"/>
      <c r="K159" s="132"/>
      <c r="L159" s="29"/>
      <c r="M159" s="144">
        <v>3712.6183999999998</v>
      </c>
      <c r="N159" s="144">
        <v>40.253799999999998</v>
      </c>
      <c r="O159" s="144">
        <v>45.457700000000003</v>
      </c>
      <c r="P159" s="144">
        <v>46.298400000000001</v>
      </c>
      <c r="Q159" s="144"/>
      <c r="R159" s="145"/>
      <c r="S159" s="146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114"/>
      <c r="AC159" s="114"/>
      <c r="AD159" s="114"/>
      <c r="AE159" s="114"/>
      <c r="AF159" s="114"/>
      <c r="AG159" s="114"/>
      <c r="AH159" s="114"/>
    </row>
    <row r="160" spans="1:34" ht="12.75">
      <c r="B160" s="36"/>
      <c r="C160" s="29"/>
      <c r="D160" s="32">
        <v>30</v>
      </c>
      <c r="E160" s="133">
        <v>1616.4760000000001</v>
      </c>
      <c r="F160" s="133">
        <v>37.82</v>
      </c>
      <c r="G160" s="133">
        <v>43.627600000000001</v>
      </c>
      <c r="H160" s="133">
        <v>44.459200000000003</v>
      </c>
      <c r="I160" s="133"/>
      <c r="J160" s="134"/>
      <c r="K160" s="135"/>
      <c r="L160" s="29"/>
      <c r="M160" s="147">
        <v>1616.4760000000001</v>
      </c>
      <c r="N160" s="147">
        <v>37.82</v>
      </c>
      <c r="O160" s="147">
        <v>43.627600000000001</v>
      </c>
      <c r="P160" s="147">
        <v>44.459200000000003</v>
      </c>
      <c r="Q160" s="147"/>
      <c r="R160" s="148"/>
      <c r="S160" s="149"/>
      <c r="T160" s="24"/>
      <c r="U160" s="41"/>
      <c r="V160" s="42"/>
      <c r="W160" s="43"/>
      <c r="X160" s="29"/>
      <c r="Y160" s="24"/>
      <c r="Z160" s="24"/>
      <c r="AA160" s="27"/>
      <c r="AB160" s="114"/>
      <c r="AC160" s="114"/>
      <c r="AD160" s="114"/>
      <c r="AE160" s="114"/>
      <c r="AF160" s="114"/>
      <c r="AG160" s="114"/>
      <c r="AH160" s="114"/>
    </row>
    <row r="161" spans="1:34" ht="12.75">
      <c r="B161" s="36"/>
      <c r="C161" s="29"/>
      <c r="D161" s="32">
        <v>35</v>
      </c>
      <c r="E161" s="133">
        <v>756.49919999999997</v>
      </c>
      <c r="F161" s="133">
        <v>35.621600000000001</v>
      </c>
      <c r="G161" s="133">
        <v>41.799100000000003</v>
      </c>
      <c r="H161" s="133">
        <v>42.621600000000001</v>
      </c>
      <c r="I161" s="133"/>
      <c r="J161" s="134"/>
      <c r="K161" s="135"/>
      <c r="L161" s="29"/>
      <c r="M161" s="147">
        <v>756.49919999999997</v>
      </c>
      <c r="N161" s="147">
        <v>35.621600000000001</v>
      </c>
      <c r="O161" s="147">
        <v>41.799100000000003</v>
      </c>
      <c r="P161" s="147">
        <v>42.621600000000001</v>
      </c>
      <c r="Q161" s="147"/>
      <c r="R161" s="148"/>
      <c r="S161" s="149"/>
      <c r="T161" s="24"/>
      <c r="U161" s="41"/>
      <c r="V161" s="42"/>
      <c r="W161" s="43"/>
      <c r="X161" s="29"/>
      <c r="Y161" s="24"/>
      <c r="Z161" s="24"/>
      <c r="AA161" s="27"/>
      <c r="AB161" s="114"/>
      <c r="AC161" s="114"/>
      <c r="AD161" s="114"/>
      <c r="AE161" s="114"/>
      <c r="AF161" s="114"/>
      <c r="AG161" s="114"/>
      <c r="AH161" s="114"/>
    </row>
    <row r="162" spans="1:34" ht="13.5" thickBot="1">
      <c r="B162" s="36"/>
      <c r="C162" s="29"/>
      <c r="D162" s="32">
        <v>40</v>
      </c>
      <c r="E162" s="136">
        <v>365.29599999999999</v>
      </c>
      <c r="F162" s="136">
        <v>33.462400000000002</v>
      </c>
      <c r="G162" s="136">
        <v>40.561100000000003</v>
      </c>
      <c r="H162" s="136">
        <v>41.389400000000002</v>
      </c>
      <c r="I162" s="136"/>
      <c r="J162" s="137"/>
      <c r="K162" s="138"/>
      <c r="L162" s="29"/>
      <c r="M162" s="150">
        <v>365.29599999999999</v>
      </c>
      <c r="N162" s="150">
        <v>33.462400000000002</v>
      </c>
      <c r="O162" s="150">
        <v>40.561100000000003</v>
      </c>
      <c r="P162" s="150">
        <v>41.389400000000002</v>
      </c>
      <c r="Q162" s="150"/>
      <c r="R162" s="151"/>
      <c r="S162" s="152"/>
      <c r="T162" s="24"/>
      <c r="U162" s="41"/>
      <c r="V162" s="42"/>
      <c r="W162" s="43"/>
      <c r="X162" s="29"/>
      <c r="Y162" s="24"/>
      <c r="Z162" s="24"/>
      <c r="AA162" s="27"/>
      <c r="AB162" s="114"/>
      <c r="AC162" s="114"/>
      <c r="AD162" s="114"/>
      <c r="AE162" s="114"/>
      <c r="AF162" s="114"/>
      <c r="AG162" s="114"/>
      <c r="AH162" s="114"/>
    </row>
    <row r="163" spans="1:34" ht="12.75">
      <c r="B163" s="36"/>
      <c r="C163" s="28" t="s">
        <v>27</v>
      </c>
      <c r="D163" s="31">
        <v>25</v>
      </c>
      <c r="E163" s="133">
        <v>525.38239999999996</v>
      </c>
      <c r="F163" s="133">
        <v>39.745100000000001</v>
      </c>
      <c r="G163" s="133">
        <v>45.322000000000003</v>
      </c>
      <c r="H163" s="133">
        <v>46.1736</v>
      </c>
      <c r="I163" s="133"/>
      <c r="J163" s="134"/>
      <c r="K163" s="135"/>
      <c r="L163" s="29"/>
      <c r="M163" s="147">
        <v>523.84320000000002</v>
      </c>
      <c r="N163" s="147">
        <v>39.747399999999999</v>
      </c>
      <c r="O163" s="147">
        <v>45.3247</v>
      </c>
      <c r="P163" s="147">
        <v>46.174199999999999</v>
      </c>
      <c r="Q163" s="147"/>
      <c r="R163" s="148"/>
      <c r="S163" s="149"/>
      <c r="T163" s="24"/>
      <c r="U163" s="8">
        <f>bdrate($E163:$E166,F163:F166,$M163:$M166,N163:N166)</f>
        <v>-3.552122403584379E-3</v>
      </c>
      <c r="V163" s="9">
        <f>bdrate($E163:$E166,G163:G166,$M163:$M166,O163:O166)</f>
        <v>-4.0841004408951331E-3</v>
      </c>
      <c r="W163" s="10">
        <f>bdrate($E163:$E166,H163:H166,$M163:$M166,P163:P166)</f>
        <v>-4.117994949550341E-3</v>
      </c>
      <c r="X163" s="29"/>
      <c r="Y163" s="24"/>
      <c r="Z163" s="24"/>
      <c r="AA163" s="27"/>
      <c r="AB163" s="114"/>
      <c r="AC163" s="114"/>
      <c r="AD163" s="114"/>
      <c r="AE163" s="114"/>
      <c r="AF163" s="114"/>
      <c r="AG163" s="114"/>
      <c r="AH163" s="114"/>
    </row>
    <row r="164" spans="1:34" ht="12.75">
      <c r="A164" s="24"/>
      <c r="B164" s="36"/>
      <c r="C164" s="29"/>
      <c r="D164" s="32">
        <v>30</v>
      </c>
      <c r="E164" s="133">
        <v>183.76079999999999</v>
      </c>
      <c r="F164" s="133">
        <v>37.4696</v>
      </c>
      <c r="G164" s="133">
        <v>43.567300000000003</v>
      </c>
      <c r="H164" s="133">
        <v>44.406999999999996</v>
      </c>
      <c r="I164" s="133"/>
      <c r="J164" s="134"/>
      <c r="K164" s="135"/>
      <c r="L164" s="29"/>
      <c r="M164" s="147">
        <v>182.87039999999999</v>
      </c>
      <c r="N164" s="147">
        <v>37.472000000000001</v>
      </c>
      <c r="O164" s="147">
        <v>43.569400000000002</v>
      </c>
      <c r="P164" s="147">
        <v>44.410899999999998</v>
      </c>
      <c r="Q164" s="147"/>
      <c r="R164" s="148"/>
      <c r="S164" s="149"/>
      <c r="T164" s="24"/>
      <c r="U164" s="17"/>
      <c r="V164" s="18"/>
      <c r="W164" s="19"/>
      <c r="X164" s="29"/>
      <c r="Y164" s="24"/>
      <c r="Z164" s="24"/>
      <c r="AA164" s="27"/>
      <c r="AB164" s="114"/>
      <c r="AC164" s="114"/>
      <c r="AD164" s="114"/>
      <c r="AE164" s="114"/>
      <c r="AF164" s="114"/>
      <c r="AG164" s="114"/>
      <c r="AH164" s="114"/>
    </row>
    <row r="165" spans="1:34" ht="12.75">
      <c r="B165" s="36"/>
      <c r="C165" s="29"/>
      <c r="D165" s="32">
        <v>35</v>
      </c>
      <c r="E165" s="133">
        <v>74.753600000000006</v>
      </c>
      <c r="F165" s="133">
        <v>35.380499999999998</v>
      </c>
      <c r="G165" s="133">
        <v>41.795000000000002</v>
      </c>
      <c r="H165" s="133">
        <v>42.629100000000001</v>
      </c>
      <c r="I165" s="133"/>
      <c r="J165" s="134"/>
      <c r="K165" s="135"/>
      <c r="L165" s="29"/>
      <c r="M165" s="147">
        <v>74.668000000000006</v>
      </c>
      <c r="N165" s="147">
        <v>35.3827</v>
      </c>
      <c r="O165" s="147">
        <v>41.797600000000003</v>
      </c>
      <c r="P165" s="147">
        <v>42.630899999999997</v>
      </c>
      <c r="Q165" s="147"/>
      <c r="R165" s="148"/>
      <c r="S165" s="149"/>
      <c r="T165" s="63"/>
      <c r="U165" s="41"/>
      <c r="V165" s="44"/>
      <c r="W165" s="43"/>
      <c r="X165" s="29"/>
      <c r="Y165" s="24"/>
      <c r="Z165" s="24"/>
      <c r="AA165" s="27"/>
      <c r="AB165" s="114"/>
      <c r="AC165" s="114"/>
      <c r="AD165" s="114"/>
      <c r="AE165" s="114"/>
      <c r="AF165" s="114"/>
      <c r="AG165" s="114"/>
      <c r="AH165" s="114"/>
    </row>
    <row r="166" spans="1:34" ht="13.5" thickBot="1">
      <c r="B166" s="36"/>
      <c r="C166" s="29"/>
      <c r="D166" s="32">
        <v>40</v>
      </c>
      <c r="E166" s="133">
        <v>34.747999999999998</v>
      </c>
      <c r="F166" s="133">
        <v>33.292900000000003</v>
      </c>
      <c r="G166" s="133">
        <v>40.557099999999998</v>
      </c>
      <c r="H166" s="133">
        <v>41.396299999999997</v>
      </c>
      <c r="I166" s="133"/>
      <c r="J166" s="134"/>
      <c r="K166" s="135"/>
      <c r="L166" s="29"/>
      <c r="M166" s="147">
        <v>34.787999999999997</v>
      </c>
      <c r="N166" s="147">
        <v>33.296300000000002</v>
      </c>
      <c r="O166" s="147">
        <v>40.558399999999999</v>
      </c>
      <c r="P166" s="147">
        <v>41.396700000000003</v>
      </c>
      <c r="Q166" s="147"/>
      <c r="R166" s="148"/>
      <c r="S166" s="149"/>
      <c r="T166" s="63"/>
      <c r="U166" s="41"/>
      <c r="V166" s="42"/>
      <c r="W166" s="43"/>
      <c r="X166" s="29"/>
      <c r="Y166" s="24"/>
      <c r="Z166" s="24"/>
      <c r="AA166" s="27"/>
      <c r="AB166" s="114"/>
      <c r="AC166" s="114"/>
      <c r="AD166" s="114"/>
      <c r="AE166" s="114"/>
      <c r="AF166" s="114"/>
      <c r="AG166" s="114"/>
      <c r="AH166" s="114"/>
    </row>
    <row r="167" spans="1:34" ht="12.75">
      <c r="B167" s="36"/>
      <c r="C167" s="28" t="s">
        <v>28</v>
      </c>
      <c r="D167" s="31">
        <v>25</v>
      </c>
      <c r="E167" s="130">
        <v>545.80240000000003</v>
      </c>
      <c r="F167" s="130">
        <v>39.708100000000002</v>
      </c>
      <c r="G167" s="130">
        <v>45.278100000000002</v>
      </c>
      <c r="H167" s="130">
        <v>46.1357</v>
      </c>
      <c r="I167" s="130"/>
      <c r="J167" s="131"/>
      <c r="K167" s="132"/>
      <c r="L167" s="29"/>
      <c r="M167" s="144">
        <v>543.3184</v>
      </c>
      <c r="N167" s="144">
        <v>39.711100000000002</v>
      </c>
      <c r="O167" s="144">
        <v>45.280999999999999</v>
      </c>
      <c r="P167" s="144">
        <v>46.1372</v>
      </c>
      <c r="Q167" s="144"/>
      <c r="R167" s="145"/>
      <c r="S167" s="146"/>
      <c r="T167" s="63"/>
      <c r="U167" s="8">
        <f>bdrate($E167:$E170,F167:F170,$M167:$M170,N167:N170)</f>
        <v>-5.6483185293557669E-3</v>
      </c>
      <c r="V167" s="9">
        <f>bdrate($E167:$E170,G167:G170,$M167:$M170,O167:O170)</f>
        <v>-5.342449286028228E-3</v>
      </c>
      <c r="W167" s="10">
        <f>bdrate($E167:$E170,H167:H170,$M167:$M170,P167:P170)</f>
        <v>-5.1700366320226454E-3</v>
      </c>
      <c r="X167" s="29"/>
      <c r="Y167" s="24"/>
      <c r="Z167" s="24"/>
      <c r="AA167" s="27"/>
      <c r="AB167" s="114"/>
      <c r="AC167" s="114"/>
      <c r="AD167" s="114"/>
      <c r="AE167" s="114"/>
      <c r="AF167" s="114"/>
      <c r="AG167" s="114"/>
      <c r="AH167" s="114"/>
    </row>
    <row r="168" spans="1:34" ht="12.75">
      <c r="B168" s="36"/>
      <c r="C168" s="29"/>
      <c r="D168" s="32">
        <v>30</v>
      </c>
      <c r="E168" s="133">
        <v>192.328</v>
      </c>
      <c r="F168" s="133">
        <v>37.427799999999998</v>
      </c>
      <c r="G168" s="133">
        <v>43.5246</v>
      </c>
      <c r="H168" s="133">
        <v>44.370399999999997</v>
      </c>
      <c r="I168" s="133"/>
      <c r="J168" s="134"/>
      <c r="K168" s="135"/>
      <c r="L168" s="29"/>
      <c r="M168" s="147">
        <v>191.08320000000001</v>
      </c>
      <c r="N168" s="147">
        <v>37.4298</v>
      </c>
      <c r="O168" s="147">
        <v>43.524999999999999</v>
      </c>
      <c r="P168" s="147">
        <v>44.370199999999997</v>
      </c>
      <c r="Q168" s="147"/>
      <c r="R168" s="148"/>
      <c r="S168" s="149"/>
      <c r="T168" s="63"/>
      <c r="U168" s="41"/>
      <c r="V168" s="42"/>
      <c r="W168" s="43"/>
      <c r="X168" s="29"/>
      <c r="Y168" s="24"/>
      <c r="Z168" s="24"/>
      <c r="AA168" s="27"/>
      <c r="AB168" s="114"/>
      <c r="AC168" s="114"/>
      <c r="AD168" s="114"/>
      <c r="AE168" s="114"/>
      <c r="AF168" s="114"/>
      <c r="AG168" s="114"/>
      <c r="AH168" s="114"/>
    </row>
    <row r="169" spans="1:34" ht="12.75">
      <c r="B169" s="36"/>
      <c r="C169" s="29"/>
      <c r="D169" s="32">
        <v>35</v>
      </c>
      <c r="E169" s="133">
        <v>78.894400000000005</v>
      </c>
      <c r="F169" s="133">
        <v>35.336300000000001</v>
      </c>
      <c r="G169" s="133">
        <v>41.7575</v>
      </c>
      <c r="H169" s="133">
        <v>42.591799999999999</v>
      </c>
      <c r="I169" s="133"/>
      <c r="J169" s="134"/>
      <c r="K169" s="135"/>
      <c r="L169" s="29"/>
      <c r="M169" s="147">
        <v>78.48</v>
      </c>
      <c r="N169" s="147">
        <v>35.337699999999998</v>
      </c>
      <c r="O169" s="147">
        <v>41.756500000000003</v>
      </c>
      <c r="P169" s="147">
        <v>42.592199999999998</v>
      </c>
      <c r="Q169" s="147"/>
      <c r="R169" s="148"/>
      <c r="S169" s="149"/>
      <c r="T169" s="63"/>
      <c r="U169" s="17"/>
      <c r="V169" s="18"/>
      <c r="W169" s="19"/>
      <c r="X169" s="29"/>
      <c r="Y169" s="24"/>
      <c r="Z169" s="24"/>
      <c r="AA169" s="27"/>
      <c r="AB169" s="114"/>
      <c r="AC169" s="114"/>
      <c r="AD169" s="114"/>
      <c r="AE169" s="114"/>
      <c r="AF169" s="114"/>
      <c r="AG169" s="114"/>
      <c r="AH169" s="114"/>
    </row>
    <row r="170" spans="1:34" ht="13.5" thickBot="1">
      <c r="B170" s="36"/>
      <c r="C170" s="51"/>
      <c r="D170" s="69">
        <v>40</v>
      </c>
      <c r="E170" s="136">
        <v>36.773600000000002</v>
      </c>
      <c r="F170" s="136">
        <v>33.243000000000002</v>
      </c>
      <c r="G170" s="136">
        <v>40.513199999999998</v>
      </c>
      <c r="H170" s="136">
        <v>41.356499999999997</v>
      </c>
      <c r="I170" s="136"/>
      <c r="J170" s="137"/>
      <c r="K170" s="138"/>
      <c r="L170" s="29"/>
      <c r="M170" s="150">
        <v>36.809600000000003</v>
      </c>
      <c r="N170" s="150">
        <v>33.244100000000003</v>
      </c>
      <c r="O170" s="150">
        <v>40.514099999999999</v>
      </c>
      <c r="P170" s="150">
        <v>41.354399999999998</v>
      </c>
      <c r="Q170" s="150"/>
      <c r="R170" s="151"/>
      <c r="S170" s="152"/>
      <c r="T170" s="63"/>
      <c r="U170" s="41"/>
      <c r="V170" s="42"/>
      <c r="W170" s="43"/>
      <c r="X170" s="29"/>
      <c r="Y170" s="24"/>
      <c r="Z170" s="24"/>
      <c r="AA170" s="27"/>
      <c r="AB170" s="114"/>
      <c r="AC170" s="114"/>
      <c r="AD170" s="114"/>
      <c r="AE170" s="114"/>
      <c r="AF170" s="114"/>
      <c r="AG170" s="114"/>
      <c r="AH170" s="114"/>
    </row>
    <row r="171" spans="1:34" ht="12.75">
      <c r="B171" s="36"/>
      <c r="C171" s="28" t="s">
        <v>29</v>
      </c>
      <c r="D171" s="31">
        <v>34</v>
      </c>
      <c r="E171" s="130">
        <v>288.39839999999998</v>
      </c>
      <c r="F171" s="130">
        <v>43.317999999999998</v>
      </c>
      <c r="G171" s="130"/>
      <c r="H171" s="130"/>
      <c r="I171" s="130"/>
      <c r="J171" s="131"/>
      <c r="K171" s="132"/>
      <c r="L171" s="29"/>
      <c r="M171" s="144">
        <v>288.39839999999998</v>
      </c>
      <c r="N171" s="144">
        <v>43.317999999999998</v>
      </c>
      <c r="O171" s="144"/>
      <c r="P171" s="144"/>
      <c r="Q171" s="144"/>
      <c r="R171" s="145"/>
      <c r="S171" s="146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114"/>
      <c r="AC171" s="114"/>
      <c r="AD171" s="114"/>
      <c r="AE171" s="114"/>
      <c r="AF171" s="114"/>
      <c r="AG171" s="114"/>
      <c r="AH171" s="114"/>
    </row>
    <row r="172" spans="1:34" ht="12.75">
      <c r="B172" s="36"/>
      <c r="C172" s="29"/>
      <c r="D172" s="32">
        <v>39</v>
      </c>
      <c r="E172" s="133">
        <v>98.208799999999997</v>
      </c>
      <c r="F172" s="133">
        <v>38.931699999999999</v>
      </c>
      <c r="G172" s="133"/>
      <c r="H172" s="133"/>
      <c r="I172" s="133"/>
      <c r="J172" s="134"/>
      <c r="K172" s="135"/>
      <c r="L172" s="29"/>
      <c r="M172" s="147">
        <v>98.208799999999997</v>
      </c>
      <c r="N172" s="147">
        <v>38.931699999999999</v>
      </c>
      <c r="O172" s="147"/>
      <c r="P172" s="147"/>
      <c r="Q172" s="147"/>
      <c r="R172" s="148"/>
      <c r="S172" s="149"/>
      <c r="T172" s="24"/>
      <c r="U172" s="41"/>
      <c r="V172" s="42"/>
      <c r="W172" s="43"/>
      <c r="X172" s="29"/>
      <c r="Y172" s="24"/>
      <c r="Z172" s="24"/>
      <c r="AA172" s="27"/>
      <c r="AB172" s="114"/>
      <c r="AC172" s="114"/>
      <c r="AD172" s="114"/>
      <c r="AE172" s="114"/>
      <c r="AF172" s="114"/>
      <c r="AG172" s="114"/>
      <c r="AH172" s="114"/>
    </row>
    <row r="173" spans="1:34" ht="12.75">
      <c r="B173" s="36"/>
      <c r="C173" s="29"/>
      <c r="D173" s="32">
        <v>42</v>
      </c>
      <c r="E173" s="133">
        <v>37.551200000000001</v>
      </c>
      <c r="F173" s="133">
        <v>35.005600000000001</v>
      </c>
      <c r="G173" s="133"/>
      <c r="H173" s="133"/>
      <c r="I173" s="133"/>
      <c r="J173" s="134"/>
      <c r="K173" s="135"/>
      <c r="L173" s="29"/>
      <c r="M173" s="147">
        <v>37.551200000000001</v>
      </c>
      <c r="N173" s="147">
        <v>35.005600000000001</v>
      </c>
      <c r="O173" s="147"/>
      <c r="P173" s="147"/>
      <c r="Q173" s="147"/>
      <c r="R173" s="148"/>
      <c r="S173" s="149"/>
      <c r="T173" s="24"/>
      <c r="U173" s="41"/>
      <c r="V173" s="42"/>
      <c r="W173" s="43"/>
      <c r="X173" s="29"/>
      <c r="Y173" s="24"/>
      <c r="Z173" s="24"/>
      <c r="AA173" s="27"/>
      <c r="AB173" s="114"/>
      <c r="AC173" s="114"/>
      <c r="AD173" s="114"/>
      <c r="AE173" s="114"/>
      <c r="AF173" s="114"/>
      <c r="AG173" s="114"/>
      <c r="AH173" s="114"/>
    </row>
    <row r="174" spans="1:34" ht="13.5" thickBot="1">
      <c r="B174" s="36"/>
      <c r="C174" s="29"/>
      <c r="D174" s="32">
        <v>45</v>
      </c>
      <c r="E174" s="136">
        <v>14.782400000000001</v>
      </c>
      <c r="F174" s="136">
        <v>31.387699999999999</v>
      </c>
      <c r="G174" s="136"/>
      <c r="H174" s="136"/>
      <c r="I174" s="136"/>
      <c r="J174" s="137"/>
      <c r="K174" s="138"/>
      <c r="L174" s="29"/>
      <c r="M174" s="150">
        <v>14.782400000000001</v>
      </c>
      <c r="N174" s="150">
        <v>31.387699999999999</v>
      </c>
      <c r="O174" s="150"/>
      <c r="P174" s="150"/>
      <c r="Q174" s="150"/>
      <c r="R174" s="151"/>
      <c r="S174" s="152"/>
      <c r="T174" s="24"/>
      <c r="U174" s="17"/>
      <c r="V174" s="18"/>
      <c r="W174" s="19"/>
      <c r="X174" s="29"/>
      <c r="Y174" s="59"/>
      <c r="Z174" s="59"/>
      <c r="AA174" s="55"/>
      <c r="AB174" s="114"/>
      <c r="AC174" s="114"/>
      <c r="AD174" s="114"/>
      <c r="AE174" s="114"/>
      <c r="AF174" s="114"/>
      <c r="AG174" s="114"/>
      <c r="AH174" s="114"/>
    </row>
    <row r="175" spans="1:34" ht="12.75">
      <c r="B175" s="36"/>
      <c r="C175" s="28" t="s">
        <v>30</v>
      </c>
      <c r="D175" s="31">
        <v>34</v>
      </c>
      <c r="E175" s="130">
        <v>100.3248</v>
      </c>
      <c r="F175" s="130">
        <v>42.415100000000002</v>
      </c>
      <c r="G175" s="130"/>
      <c r="H175" s="130"/>
      <c r="I175" s="130"/>
      <c r="J175" s="131"/>
      <c r="K175" s="132"/>
      <c r="L175" s="29"/>
      <c r="M175" s="144">
        <v>100.1456</v>
      </c>
      <c r="N175" s="144">
        <v>42.390999999999998</v>
      </c>
      <c r="O175" s="144"/>
      <c r="P175" s="144"/>
      <c r="Q175" s="144"/>
      <c r="R175" s="145"/>
      <c r="S175" s="146"/>
      <c r="T175" s="24"/>
      <c r="U175" s="8">
        <f>bdrate($E175:$E178,F175:F178,$M175:$M178,N175:N178)</f>
        <v>5.3325896499336611E-3</v>
      </c>
      <c r="V175" s="9"/>
      <c r="W175" s="10"/>
      <c r="X175" s="29"/>
      <c r="Y175" s="24"/>
      <c r="Z175" s="24"/>
      <c r="AA175" s="27"/>
      <c r="AB175" s="114"/>
      <c r="AC175" s="114"/>
      <c r="AD175" s="114"/>
      <c r="AE175" s="114"/>
      <c r="AF175" s="114"/>
      <c r="AG175" s="114"/>
      <c r="AH175" s="114"/>
    </row>
    <row r="176" spans="1:34" ht="12.75">
      <c r="B176" s="36"/>
      <c r="C176" s="29"/>
      <c r="D176" s="32">
        <v>39</v>
      </c>
      <c r="E176" s="133">
        <v>29.064800000000002</v>
      </c>
      <c r="F176" s="133">
        <v>38.173999999999999</v>
      </c>
      <c r="G176" s="133"/>
      <c r="H176" s="133"/>
      <c r="I176" s="133"/>
      <c r="J176" s="134"/>
      <c r="K176" s="135"/>
      <c r="L176" s="29"/>
      <c r="M176" s="147">
        <v>29.012</v>
      </c>
      <c r="N176" s="147">
        <v>38.164400000000001</v>
      </c>
      <c r="O176" s="147"/>
      <c r="P176" s="147"/>
      <c r="Q176" s="147"/>
      <c r="R176" s="148"/>
      <c r="S176" s="149"/>
      <c r="T176" s="24"/>
      <c r="U176" s="12"/>
      <c r="V176" s="13"/>
      <c r="W176" s="14"/>
      <c r="X176" s="29"/>
      <c r="Y176" s="24"/>
      <c r="Z176" s="24"/>
      <c r="AA176" s="27"/>
      <c r="AB176" s="114"/>
      <c r="AC176" s="114"/>
      <c r="AD176" s="114"/>
      <c r="AE176" s="114"/>
      <c r="AF176" s="114"/>
      <c r="AG176" s="114"/>
      <c r="AH176" s="114"/>
    </row>
    <row r="177" spans="2:34" ht="12.75">
      <c r="B177" s="36"/>
      <c r="C177" s="29"/>
      <c r="D177" s="32">
        <v>42</v>
      </c>
      <c r="E177" s="133">
        <v>11.8856</v>
      </c>
      <c r="F177" s="133">
        <v>34.3611</v>
      </c>
      <c r="G177" s="133"/>
      <c r="H177" s="133"/>
      <c r="I177" s="133"/>
      <c r="J177" s="134"/>
      <c r="K177" s="135"/>
      <c r="L177" s="29"/>
      <c r="M177" s="147">
        <v>12</v>
      </c>
      <c r="N177" s="147">
        <v>34.325800000000001</v>
      </c>
      <c r="O177" s="147"/>
      <c r="P177" s="147"/>
      <c r="Q177" s="147"/>
      <c r="R177" s="148"/>
      <c r="S177" s="149"/>
      <c r="T177" s="24"/>
      <c r="U177" s="12"/>
      <c r="V177" s="13"/>
      <c r="W177" s="14"/>
      <c r="X177" s="29"/>
      <c r="Y177" s="24"/>
      <c r="Z177" s="24"/>
      <c r="AA177" s="27"/>
      <c r="AB177" s="114"/>
      <c r="AC177" s="114"/>
      <c r="AD177" s="114"/>
      <c r="AE177" s="114"/>
      <c r="AF177" s="114"/>
      <c r="AG177" s="114"/>
      <c r="AH177" s="114"/>
    </row>
    <row r="178" spans="2:34" ht="13.5" thickBot="1">
      <c r="B178" s="36"/>
      <c r="C178" s="29"/>
      <c r="D178" s="32">
        <v>45</v>
      </c>
      <c r="E178" s="136">
        <v>6.0983999999999998</v>
      </c>
      <c r="F178" s="136">
        <v>30.794499999999999</v>
      </c>
      <c r="G178" s="136"/>
      <c r="H178" s="136"/>
      <c r="I178" s="136"/>
      <c r="J178" s="137"/>
      <c r="K178" s="138"/>
      <c r="L178" s="29"/>
      <c r="M178" s="150">
        <v>6.0064000000000002</v>
      </c>
      <c r="N178" s="150">
        <v>30.7926</v>
      </c>
      <c r="O178" s="150"/>
      <c r="P178" s="150"/>
      <c r="Q178" s="150"/>
      <c r="R178" s="151"/>
      <c r="S178" s="152"/>
      <c r="T178" s="24"/>
      <c r="U178" s="12"/>
      <c r="V178" s="13"/>
      <c r="W178" s="14"/>
      <c r="X178" s="29"/>
      <c r="Y178" s="24"/>
      <c r="Z178" s="24"/>
      <c r="AA178" s="27"/>
      <c r="AB178" s="114"/>
      <c r="AC178" s="114"/>
      <c r="AD178" s="114"/>
      <c r="AE178" s="114"/>
      <c r="AF178" s="114"/>
      <c r="AG178" s="114"/>
      <c r="AH178" s="114"/>
    </row>
    <row r="179" spans="2:34" ht="12.75">
      <c r="B179" s="36"/>
      <c r="C179" s="28" t="s">
        <v>31</v>
      </c>
      <c r="D179" s="31">
        <v>34</v>
      </c>
      <c r="E179" s="130">
        <v>103.90479999999999</v>
      </c>
      <c r="F179" s="130">
        <v>42.377699999999997</v>
      </c>
      <c r="G179" s="130"/>
      <c r="H179" s="130"/>
      <c r="I179" s="130"/>
      <c r="J179" s="131"/>
      <c r="K179" s="132"/>
      <c r="L179" s="29"/>
      <c r="M179" s="144">
        <v>103.688</v>
      </c>
      <c r="N179" s="144">
        <v>42.389899999999997</v>
      </c>
      <c r="O179" s="144"/>
      <c r="P179" s="144"/>
      <c r="Q179" s="144"/>
      <c r="R179" s="145"/>
      <c r="S179" s="146"/>
      <c r="T179" s="24"/>
      <c r="U179" s="8">
        <f>bdrate($E179:$E182,F179:F182,$M179:$M182,N179:N182)</f>
        <v>-3.0248741772603838E-3</v>
      </c>
      <c r="V179" s="9"/>
      <c r="W179" s="10"/>
      <c r="X179" s="29"/>
      <c r="Y179" s="24"/>
      <c r="Z179" s="24"/>
      <c r="AA179" s="27"/>
      <c r="AB179" s="114"/>
      <c r="AC179" s="114"/>
      <c r="AD179" s="114"/>
      <c r="AE179" s="114"/>
      <c r="AF179" s="114"/>
      <c r="AG179" s="114"/>
      <c r="AH179" s="114"/>
    </row>
    <row r="180" spans="2:34" ht="12.75">
      <c r="B180" s="36"/>
      <c r="C180" s="29"/>
      <c r="D180" s="32">
        <v>39</v>
      </c>
      <c r="E180" s="133">
        <v>30.724799999999998</v>
      </c>
      <c r="F180" s="133">
        <v>38.124400000000001</v>
      </c>
      <c r="G180" s="133"/>
      <c r="H180" s="133"/>
      <c r="I180" s="133"/>
      <c r="J180" s="134"/>
      <c r="K180" s="135"/>
      <c r="L180" s="29"/>
      <c r="M180" s="147">
        <v>30.688800000000001</v>
      </c>
      <c r="N180" s="147">
        <v>38.115499999999997</v>
      </c>
      <c r="O180" s="147"/>
      <c r="P180" s="147"/>
      <c r="Q180" s="147"/>
      <c r="R180" s="148"/>
      <c r="S180" s="149"/>
      <c r="T180" s="24"/>
      <c r="U180" s="41"/>
      <c r="V180" s="42"/>
      <c r="W180" s="43"/>
      <c r="X180" s="29"/>
      <c r="Y180" s="24"/>
      <c r="Z180" s="24"/>
      <c r="AA180" s="27"/>
      <c r="AB180" s="114"/>
      <c r="AC180" s="114"/>
      <c r="AD180" s="114"/>
      <c r="AE180" s="114"/>
      <c r="AF180" s="114"/>
      <c r="AG180" s="114"/>
      <c r="AH180" s="114"/>
    </row>
    <row r="181" spans="2:34" ht="12.75">
      <c r="B181" s="36"/>
      <c r="C181" s="29"/>
      <c r="D181" s="32">
        <v>42</v>
      </c>
      <c r="E181" s="133">
        <v>12.635199999999999</v>
      </c>
      <c r="F181" s="133">
        <v>34.384999999999998</v>
      </c>
      <c r="G181" s="133"/>
      <c r="H181" s="133"/>
      <c r="I181" s="133"/>
      <c r="J181" s="134"/>
      <c r="K181" s="135"/>
      <c r="L181" s="29"/>
      <c r="M181" s="147">
        <v>12.504</v>
      </c>
      <c r="N181" s="147">
        <v>34.3855</v>
      </c>
      <c r="O181" s="147"/>
      <c r="P181" s="147"/>
      <c r="Q181" s="147"/>
      <c r="R181" s="148"/>
      <c r="S181" s="149"/>
      <c r="U181" s="41"/>
      <c r="V181" s="42"/>
      <c r="W181" s="43"/>
      <c r="X181" s="29"/>
      <c r="Y181" s="24"/>
      <c r="Z181" s="24"/>
      <c r="AA181" s="27"/>
      <c r="AB181" s="114"/>
      <c r="AC181" s="114"/>
      <c r="AD181" s="114"/>
      <c r="AE181" s="114"/>
      <c r="AF181" s="114"/>
      <c r="AG181" s="114"/>
      <c r="AH181" s="114"/>
    </row>
    <row r="182" spans="2:34" ht="13.5" thickBot="1">
      <c r="B182" s="36"/>
      <c r="C182" s="29"/>
      <c r="D182" s="32">
        <v>45</v>
      </c>
      <c r="E182" s="136">
        <v>6.0431999999999997</v>
      </c>
      <c r="F182" s="136">
        <v>30.8872</v>
      </c>
      <c r="G182" s="136"/>
      <c r="H182" s="136"/>
      <c r="I182" s="136"/>
      <c r="J182" s="137"/>
      <c r="K182" s="138"/>
      <c r="L182" s="29"/>
      <c r="M182" s="150">
        <v>6.1239999999999997</v>
      </c>
      <c r="N182" s="150">
        <v>30.912800000000001</v>
      </c>
      <c r="O182" s="150"/>
      <c r="P182" s="150"/>
      <c r="Q182" s="150"/>
      <c r="R182" s="151"/>
      <c r="S182" s="152"/>
      <c r="U182" s="41"/>
      <c r="V182" s="42"/>
      <c r="W182" s="43"/>
      <c r="X182" s="29"/>
      <c r="Y182" s="24"/>
      <c r="Z182" s="24"/>
      <c r="AA182" s="27"/>
      <c r="AB182" s="114"/>
      <c r="AC182" s="114"/>
      <c r="AD182" s="114"/>
      <c r="AE182" s="114"/>
      <c r="AF182" s="114"/>
      <c r="AG182" s="114"/>
      <c r="AH182" s="114"/>
    </row>
    <row r="183" spans="2:34" ht="12.75">
      <c r="B183" s="36"/>
      <c r="C183" s="28" t="s">
        <v>47</v>
      </c>
      <c r="D183" s="31">
        <v>25</v>
      </c>
      <c r="E183" s="130"/>
      <c r="F183" s="130">
        <v>39.844999999999999</v>
      </c>
      <c r="G183" s="130">
        <v>46.511499999999998</v>
      </c>
      <c r="H183" s="130">
        <v>46.489100000000001</v>
      </c>
      <c r="I183" s="130"/>
      <c r="J183" s="131"/>
      <c r="K183" s="132"/>
      <c r="L183" s="29"/>
      <c r="M183" s="144"/>
      <c r="N183" s="144">
        <v>39.846200000000003</v>
      </c>
      <c r="O183" s="144">
        <v>46.5092</v>
      </c>
      <c r="P183" s="144">
        <v>46.5032</v>
      </c>
      <c r="Q183" s="144"/>
      <c r="R183" s="145"/>
      <c r="S183" s="146"/>
      <c r="U183" s="8"/>
      <c r="V183" s="9"/>
      <c r="W183" s="10"/>
      <c r="X183" s="29"/>
      <c r="Y183" s="24"/>
      <c r="Z183" s="24"/>
      <c r="AA183" s="27"/>
      <c r="AB183" s="114"/>
      <c r="AC183" s="114"/>
      <c r="AD183" s="114"/>
      <c r="AE183" s="114"/>
      <c r="AF183" s="114"/>
      <c r="AG183" s="114"/>
      <c r="AH183" s="114"/>
    </row>
    <row r="184" spans="2:34" ht="12.75">
      <c r="B184" s="36"/>
      <c r="C184" s="29"/>
      <c r="D184" s="32">
        <v>30</v>
      </c>
      <c r="E184" s="133"/>
      <c r="F184" s="133">
        <v>37.595300000000002</v>
      </c>
      <c r="G184" s="133">
        <v>44.744500000000002</v>
      </c>
      <c r="H184" s="133">
        <v>44.998199999999997</v>
      </c>
      <c r="I184" s="133"/>
      <c r="J184" s="134"/>
      <c r="K184" s="135"/>
      <c r="L184" s="29"/>
      <c r="M184" s="147"/>
      <c r="N184" s="147">
        <v>37.595100000000002</v>
      </c>
      <c r="O184" s="147">
        <v>44.725299999999997</v>
      </c>
      <c r="P184" s="147">
        <v>45.055700000000002</v>
      </c>
      <c r="Q184" s="147"/>
      <c r="R184" s="148"/>
      <c r="S184" s="149"/>
      <c r="U184" s="17"/>
      <c r="V184" s="18"/>
      <c r="W184" s="19"/>
      <c r="X184" s="29"/>
      <c r="Y184" s="24"/>
      <c r="Z184" s="24"/>
      <c r="AA184" s="27"/>
      <c r="AB184" s="114"/>
      <c r="AC184" s="114"/>
      <c r="AD184" s="114"/>
      <c r="AE184" s="114"/>
      <c r="AF184" s="114"/>
      <c r="AG184" s="114"/>
      <c r="AH184" s="114"/>
    </row>
    <row r="185" spans="2:34" ht="12.75">
      <c r="B185" s="36"/>
      <c r="C185" s="29"/>
      <c r="D185" s="32">
        <v>35</v>
      </c>
      <c r="E185" s="133"/>
      <c r="F185" s="133">
        <v>35.503</v>
      </c>
      <c r="G185" s="133">
        <v>42.796399999999998</v>
      </c>
      <c r="H185" s="133">
        <v>43.374400000000001</v>
      </c>
      <c r="I185" s="133"/>
      <c r="J185" s="134"/>
      <c r="K185" s="135"/>
      <c r="L185" s="29"/>
      <c r="M185" s="147"/>
      <c r="N185" s="147">
        <v>35.507399999999997</v>
      </c>
      <c r="O185" s="147">
        <v>42.786999999999999</v>
      </c>
      <c r="P185" s="147">
        <v>43.350700000000003</v>
      </c>
      <c r="Q185" s="147"/>
      <c r="R185" s="148"/>
      <c r="S185" s="149"/>
      <c r="U185" s="41"/>
      <c r="V185" s="44"/>
      <c r="W185" s="43"/>
      <c r="X185" s="29"/>
      <c r="Y185" s="24"/>
      <c r="Z185" s="24"/>
      <c r="AA185" s="27"/>
      <c r="AB185" s="114"/>
      <c r="AC185" s="114"/>
      <c r="AD185" s="114"/>
      <c r="AE185" s="114"/>
      <c r="AF185" s="114"/>
      <c r="AG185" s="114"/>
      <c r="AH185" s="114"/>
    </row>
    <row r="186" spans="2:34" ht="13.5" thickBot="1">
      <c r="B186" s="36"/>
      <c r="C186" s="51"/>
      <c r="D186" s="69">
        <v>40</v>
      </c>
      <c r="E186" s="136"/>
      <c r="F186" s="136">
        <v>33.412799999999997</v>
      </c>
      <c r="G186" s="136">
        <v>41.382800000000003</v>
      </c>
      <c r="H186" s="136">
        <v>42.1158</v>
      </c>
      <c r="I186" s="136"/>
      <c r="J186" s="137"/>
      <c r="K186" s="138"/>
      <c r="L186" s="29"/>
      <c r="M186" s="150"/>
      <c r="N186" s="150">
        <v>33.414099999999998</v>
      </c>
      <c r="O186" s="150">
        <v>41.363100000000003</v>
      </c>
      <c r="P186" s="150">
        <v>42.103200000000001</v>
      </c>
      <c r="Q186" s="150"/>
      <c r="R186" s="151"/>
      <c r="S186" s="152"/>
      <c r="U186" s="41"/>
      <c r="V186" s="42"/>
      <c r="W186" s="43"/>
      <c r="X186" s="29"/>
      <c r="Y186" s="24"/>
      <c r="Z186" s="24"/>
      <c r="AA186" s="27"/>
      <c r="AB186" s="114"/>
      <c r="AC186" s="114"/>
      <c r="AD186" s="114"/>
      <c r="AE186" s="114"/>
      <c r="AF186" s="114"/>
      <c r="AG186" s="114"/>
      <c r="AH186" s="114"/>
    </row>
    <row r="187" spans="2:34" ht="12.75">
      <c r="B187" s="36"/>
      <c r="C187" s="29" t="s">
        <v>48</v>
      </c>
      <c r="D187" s="32">
        <v>25</v>
      </c>
      <c r="E187" s="130"/>
      <c r="F187" s="130">
        <v>40.037500000000001</v>
      </c>
      <c r="G187" s="130">
        <v>46.32</v>
      </c>
      <c r="H187" s="130">
        <v>46.757100000000001</v>
      </c>
      <c r="I187" s="130"/>
      <c r="J187" s="131"/>
      <c r="K187" s="132"/>
      <c r="L187" s="29"/>
      <c r="M187" s="144"/>
      <c r="N187" s="144">
        <v>40.033499999999997</v>
      </c>
      <c r="O187" s="144">
        <v>46.318899999999999</v>
      </c>
      <c r="P187" s="144">
        <v>46.760399999999997</v>
      </c>
      <c r="Q187" s="144"/>
      <c r="R187" s="145"/>
      <c r="S187" s="146"/>
      <c r="U187" s="8"/>
      <c r="V187" s="9"/>
      <c r="W187" s="10"/>
      <c r="X187" s="29"/>
      <c r="Y187" s="24"/>
      <c r="Z187" s="24"/>
      <c r="AA187" s="27"/>
      <c r="AB187" s="114"/>
      <c r="AC187" s="114"/>
      <c r="AD187" s="114"/>
      <c r="AE187" s="114"/>
      <c r="AF187" s="114"/>
      <c r="AG187" s="114"/>
      <c r="AH187" s="114"/>
    </row>
    <row r="188" spans="2:34" ht="12.75">
      <c r="B188" s="36"/>
      <c r="C188" s="29"/>
      <c r="D188" s="32">
        <v>30</v>
      </c>
      <c r="E188" s="133"/>
      <c r="F188" s="133">
        <v>37.744599999999998</v>
      </c>
      <c r="G188" s="133">
        <v>44.661200000000001</v>
      </c>
      <c r="H188" s="133">
        <v>45.179600000000001</v>
      </c>
      <c r="I188" s="133"/>
      <c r="J188" s="134"/>
      <c r="K188" s="135"/>
      <c r="L188" s="29"/>
      <c r="M188" s="147"/>
      <c r="N188" s="147">
        <v>37.742899999999999</v>
      </c>
      <c r="O188" s="147">
        <v>44.650199999999998</v>
      </c>
      <c r="P188" s="147">
        <v>45.202800000000003</v>
      </c>
      <c r="Q188" s="147"/>
      <c r="R188" s="148"/>
      <c r="S188" s="149"/>
      <c r="U188" s="41"/>
      <c r="V188" s="42"/>
      <c r="W188" s="43"/>
      <c r="X188" s="29"/>
      <c r="Y188" s="24"/>
      <c r="Z188" s="24"/>
      <c r="AA188" s="27"/>
      <c r="AB188" s="114"/>
      <c r="AC188" s="114"/>
      <c r="AD188" s="114"/>
      <c r="AE188" s="114"/>
      <c r="AF188" s="114"/>
      <c r="AG188" s="114"/>
      <c r="AH188" s="114"/>
    </row>
    <row r="189" spans="2:34" ht="12.75">
      <c r="B189" s="36"/>
      <c r="C189" s="29"/>
      <c r="D189" s="32">
        <v>35</v>
      </c>
      <c r="E189" s="133"/>
      <c r="F189" s="133">
        <v>35.610399999999998</v>
      </c>
      <c r="G189" s="133">
        <v>42.822499999999998</v>
      </c>
      <c r="H189" s="133">
        <v>43.428100000000001</v>
      </c>
      <c r="I189" s="133"/>
      <c r="J189" s="134"/>
      <c r="K189" s="135"/>
      <c r="L189" s="29"/>
      <c r="M189" s="147"/>
      <c r="N189" s="147">
        <v>35.612000000000002</v>
      </c>
      <c r="O189" s="147">
        <v>42.8142</v>
      </c>
      <c r="P189" s="147">
        <v>43.446100000000001</v>
      </c>
      <c r="Q189" s="147"/>
      <c r="R189" s="148"/>
      <c r="S189" s="149"/>
      <c r="U189" s="17"/>
      <c r="V189" s="18"/>
      <c r="W189" s="19"/>
      <c r="X189" s="29"/>
      <c r="Y189" s="24"/>
      <c r="Z189" s="24"/>
      <c r="AA189" s="27"/>
      <c r="AB189" s="114"/>
      <c r="AC189" s="114"/>
      <c r="AD189" s="114"/>
      <c r="AE189" s="114"/>
      <c r="AF189" s="114"/>
      <c r="AG189" s="114"/>
      <c r="AH189" s="114"/>
    </row>
    <row r="190" spans="2:34" ht="13.5" thickBot="1">
      <c r="B190" s="36"/>
      <c r="C190" s="51"/>
      <c r="D190" s="69">
        <v>40</v>
      </c>
      <c r="E190" s="136"/>
      <c r="F190" s="136">
        <v>33.483800000000002</v>
      </c>
      <c r="G190" s="136">
        <v>41.470199999999998</v>
      </c>
      <c r="H190" s="136">
        <v>42.153399999999998</v>
      </c>
      <c r="I190" s="136"/>
      <c r="J190" s="137"/>
      <c r="K190" s="138"/>
      <c r="L190" s="29"/>
      <c r="M190" s="150"/>
      <c r="N190" s="150">
        <v>33.485199999999999</v>
      </c>
      <c r="O190" s="150">
        <v>41.469900000000003</v>
      </c>
      <c r="P190" s="150">
        <v>42.157200000000003</v>
      </c>
      <c r="Q190" s="150"/>
      <c r="R190" s="151"/>
      <c r="S190" s="152"/>
      <c r="U190" s="41"/>
      <c r="V190" s="42"/>
      <c r="W190" s="43"/>
      <c r="X190" s="29"/>
      <c r="Y190" s="24"/>
      <c r="Z190" s="24"/>
      <c r="AA190" s="27"/>
      <c r="AB190" s="114"/>
      <c r="AC190" s="114"/>
      <c r="AD190" s="114"/>
      <c r="AE190" s="114"/>
      <c r="AF190" s="114"/>
      <c r="AG190" s="114"/>
      <c r="AH190" s="114"/>
    </row>
    <row r="191" spans="2:34" ht="12.75">
      <c r="B191" s="36"/>
      <c r="C191" s="29" t="s">
        <v>49</v>
      </c>
      <c r="D191" s="32">
        <v>25</v>
      </c>
      <c r="E191" s="130"/>
      <c r="F191" s="130">
        <v>40.2849</v>
      </c>
      <c r="G191" s="130">
        <v>46.961300000000001</v>
      </c>
      <c r="H191" s="130">
        <v>47.795200000000001</v>
      </c>
      <c r="I191" s="130"/>
      <c r="J191" s="131"/>
      <c r="K191" s="132"/>
      <c r="L191" s="29"/>
      <c r="M191" s="144"/>
      <c r="N191" s="144">
        <v>40.284500000000001</v>
      </c>
      <c r="O191" s="144">
        <v>46.961399999999998</v>
      </c>
      <c r="P191" s="144">
        <v>47.795000000000002</v>
      </c>
      <c r="Q191" s="144"/>
      <c r="R191" s="145"/>
      <c r="S191" s="146"/>
      <c r="U191" s="8"/>
      <c r="V191" s="9"/>
      <c r="W191" s="10"/>
      <c r="X191" s="29"/>
      <c r="Y191" s="24"/>
      <c r="Z191" s="24"/>
      <c r="AA191" s="27"/>
      <c r="AB191" s="114"/>
      <c r="AC191" s="114"/>
      <c r="AD191" s="114"/>
      <c r="AE191" s="114"/>
      <c r="AF191" s="114"/>
      <c r="AG191" s="114"/>
      <c r="AH191" s="114"/>
    </row>
    <row r="192" spans="2:34" ht="12.75">
      <c r="B192" s="36"/>
      <c r="C192" s="29"/>
      <c r="D192" s="32">
        <v>30</v>
      </c>
      <c r="E192" s="133"/>
      <c r="F192" s="133">
        <v>37.875500000000002</v>
      </c>
      <c r="G192" s="133">
        <v>45.0503</v>
      </c>
      <c r="H192" s="133">
        <v>45.866500000000002</v>
      </c>
      <c r="I192" s="133"/>
      <c r="J192" s="134"/>
      <c r="K192" s="135"/>
      <c r="L192" s="29"/>
      <c r="M192" s="147"/>
      <c r="N192" s="147">
        <v>37.875599999999999</v>
      </c>
      <c r="O192" s="147">
        <v>45.050800000000002</v>
      </c>
      <c r="P192" s="147">
        <v>45.866900000000001</v>
      </c>
      <c r="Q192" s="147"/>
      <c r="R192" s="148"/>
      <c r="S192" s="149"/>
      <c r="T192" s="24"/>
      <c r="U192" s="41"/>
      <c r="V192" s="42"/>
      <c r="W192" s="43"/>
      <c r="X192" s="29"/>
      <c r="Y192" s="24"/>
      <c r="Z192" s="24"/>
      <c r="AA192" s="27"/>
      <c r="AB192" s="114"/>
      <c r="AC192" s="114"/>
      <c r="AD192" s="114"/>
      <c r="AE192" s="114"/>
      <c r="AF192" s="114"/>
      <c r="AG192" s="114"/>
      <c r="AH192" s="114"/>
    </row>
    <row r="193" spans="2:34" ht="12.75">
      <c r="B193" s="36"/>
      <c r="C193" s="29"/>
      <c r="D193" s="32">
        <v>35</v>
      </c>
      <c r="E193" s="133"/>
      <c r="F193" s="133">
        <v>35.6785</v>
      </c>
      <c r="G193" s="133">
        <v>43.039200000000001</v>
      </c>
      <c r="H193" s="133">
        <v>43.828800000000001</v>
      </c>
      <c r="I193" s="133"/>
      <c r="J193" s="134"/>
      <c r="K193" s="135"/>
      <c r="L193" s="29"/>
      <c r="M193" s="147"/>
      <c r="N193" s="147">
        <v>35.678800000000003</v>
      </c>
      <c r="O193" s="147">
        <v>43.038600000000002</v>
      </c>
      <c r="P193" s="147">
        <v>43.829000000000001</v>
      </c>
      <c r="Q193" s="147"/>
      <c r="R193" s="148"/>
      <c r="S193" s="149"/>
      <c r="U193" s="41"/>
      <c r="V193" s="42"/>
      <c r="W193" s="43"/>
      <c r="X193" s="29"/>
      <c r="Y193" s="24"/>
      <c r="Z193" s="24"/>
      <c r="AA193" s="27"/>
      <c r="AB193" s="114"/>
      <c r="AC193" s="114"/>
      <c r="AD193" s="114"/>
      <c r="AE193" s="114"/>
      <c r="AF193" s="114"/>
      <c r="AG193" s="114"/>
      <c r="AH193" s="114"/>
    </row>
    <row r="194" spans="2:34" ht="13.5" thickBot="1">
      <c r="B194" s="36"/>
      <c r="C194" s="51"/>
      <c r="D194" s="69">
        <v>40</v>
      </c>
      <c r="E194" s="136"/>
      <c r="F194" s="136">
        <v>33.516199999999998</v>
      </c>
      <c r="G194" s="136">
        <v>41.655700000000003</v>
      </c>
      <c r="H194" s="136">
        <v>42.4375</v>
      </c>
      <c r="I194" s="136"/>
      <c r="J194" s="137"/>
      <c r="K194" s="138"/>
      <c r="L194" s="29"/>
      <c r="M194" s="150"/>
      <c r="N194" s="150">
        <v>33.517000000000003</v>
      </c>
      <c r="O194" s="150">
        <v>41.655799999999999</v>
      </c>
      <c r="P194" s="150">
        <v>42.438699999999997</v>
      </c>
      <c r="Q194" s="150"/>
      <c r="R194" s="151"/>
      <c r="S194" s="152"/>
      <c r="U194" s="17"/>
      <c r="V194" s="18"/>
      <c r="W194" s="19"/>
      <c r="X194" s="29"/>
      <c r="Z194" s="59"/>
      <c r="AA194" s="55"/>
      <c r="AB194" s="114"/>
      <c r="AC194" s="114"/>
      <c r="AD194" s="114"/>
      <c r="AE194" s="114"/>
      <c r="AF194" s="114"/>
      <c r="AG194" s="114"/>
      <c r="AH194" s="114"/>
    </row>
    <row r="195" spans="2:34" ht="12.75">
      <c r="B195" s="36"/>
      <c r="C195" s="29" t="s">
        <v>50</v>
      </c>
      <c r="D195" s="32">
        <v>25</v>
      </c>
      <c r="E195" s="130"/>
      <c r="F195" s="130">
        <v>40.263399999999997</v>
      </c>
      <c r="G195" s="130">
        <v>46.962400000000002</v>
      </c>
      <c r="H195" s="130">
        <v>47.787399999999998</v>
      </c>
      <c r="I195" s="130"/>
      <c r="J195" s="131"/>
      <c r="K195" s="132"/>
      <c r="L195" s="29"/>
      <c r="M195" s="144"/>
      <c r="N195" s="144">
        <v>40.263100000000001</v>
      </c>
      <c r="O195" s="144">
        <v>46.961599999999997</v>
      </c>
      <c r="P195" s="144">
        <v>47.787100000000002</v>
      </c>
      <c r="Q195" s="144"/>
      <c r="R195" s="145"/>
      <c r="S195" s="146"/>
      <c r="U195" s="8"/>
      <c r="V195" s="9"/>
      <c r="W195" s="10"/>
      <c r="X195" s="29"/>
      <c r="Y195" s="24"/>
      <c r="Z195" s="24"/>
      <c r="AA195" s="27"/>
      <c r="AB195" s="114"/>
      <c r="AC195" s="114"/>
      <c r="AD195" s="114"/>
      <c r="AE195" s="114"/>
      <c r="AF195" s="114"/>
      <c r="AG195" s="114"/>
      <c r="AH195" s="114"/>
    </row>
    <row r="196" spans="2:34" ht="12.75">
      <c r="B196" s="36"/>
      <c r="C196" s="29"/>
      <c r="D196" s="32">
        <v>30</v>
      </c>
      <c r="E196" s="133"/>
      <c r="F196" s="133">
        <v>37.860799999999998</v>
      </c>
      <c r="G196" s="133">
        <v>45.049700000000001</v>
      </c>
      <c r="H196" s="133">
        <v>45.8521</v>
      </c>
      <c r="I196" s="133"/>
      <c r="J196" s="134"/>
      <c r="K196" s="135"/>
      <c r="L196" s="29"/>
      <c r="M196" s="147"/>
      <c r="N196" s="147">
        <v>37.860900000000001</v>
      </c>
      <c r="O196" s="147">
        <v>45.0486</v>
      </c>
      <c r="P196" s="147">
        <v>45.851599999999998</v>
      </c>
      <c r="Q196" s="147"/>
      <c r="R196" s="148"/>
      <c r="S196" s="149"/>
      <c r="U196" s="12"/>
      <c r="V196" s="13"/>
      <c r="W196" s="14"/>
      <c r="X196" s="29"/>
      <c r="Y196" s="24"/>
      <c r="Z196" s="24"/>
      <c r="AA196" s="27"/>
      <c r="AB196" s="114"/>
      <c r="AC196" s="114"/>
      <c r="AD196" s="114"/>
      <c r="AE196" s="114"/>
      <c r="AF196" s="114"/>
      <c r="AG196" s="114"/>
      <c r="AH196" s="114"/>
    </row>
    <row r="197" spans="2:34" ht="12.75">
      <c r="B197" s="36"/>
      <c r="C197" s="29"/>
      <c r="D197" s="32">
        <v>35</v>
      </c>
      <c r="E197" s="133"/>
      <c r="F197" s="133">
        <v>35.666699999999999</v>
      </c>
      <c r="G197" s="133">
        <v>43.03</v>
      </c>
      <c r="H197" s="133">
        <v>43.812399999999997</v>
      </c>
      <c r="I197" s="133"/>
      <c r="J197" s="134"/>
      <c r="K197" s="135"/>
      <c r="L197" s="29"/>
      <c r="M197" s="147"/>
      <c r="N197" s="147">
        <v>35.666499999999999</v>
      </c>
      <c r="O197" s="147">
        <v>43.029200000000003</v>
      </c>
      <c r="P197" s="147">
        <v>43.812100000000001</v>
      </c>
      <c r="Q197" s="147"/>
      <c r="R197" s="148"/>
      <c r="S197" s="149"/>
      <c r="U197" s="12"/>
      <c r="V197" s="13"/>
      <c r="W197" s="14"/>
      <c r="X197" s="29"/>
      <c r="Y197" s="24"/>
      <c r="Z197" s="24"/>
      <c r="AA197" s="27"/>
      <c r="AB197" s="114"/>
      <c r="AC197" s="114"/>
      <c r="AD197" s="114"/>
      <c r="AE197" s="114"/>
      <c r="AF197" s="114"/>
      <c r="AG197" s="114"/>
      <c r="AH197" s="114"/>
    </row>
    <row r="198" spans="2:34" ht="13.5" thickBot="1">
      <c r="B198" s="36"/>
      <c r="C198" s="51"/>
      <c r="D198" s="69">
        <v>40</v>
      </c>
      <c r="E198" s="136"/>
      <c r="F198" s="136">
        <v>33.5107</v>
      </c>
      <c r="G198" s="136">
        <v>41.652200000000001</v>
      </c>
      <c r="H198" s="136">
        <v>42.4191</v>
      </c>
      <c r="I198" s="136"/>
      <c r="J198" s="137"/>
      <c r="K198" s="138"/>
      <c r="L198" s="29"/>
      <c r="M198" s="150"/>
      <c r="N198" s="150">
        <v>33.510399999999997</v>
      </c>
      <c r="O198" s="150">
        <v>41.651400000000002</v>
      </c>
      <c r="P198" s="150">
        <v>42.4191</v>
      </c>
      <c r="Q198" s="150"/>
      <c r="R198" s="151"/>
      <c r="S198" s="152"/>
      <c r="U198" s="12"/>
      <c r="V198" s="13"/>
      <c r="W198" s="14"/>
      <c r="X198" s="29"/>
      <c r="Y198" s="24"/>
      <c r="Z198" s="24"/>
      <c r="AA198" s="27"/>
      <c r="AB198" s="114"/>
      <c r="AC198" s="114"/>
      <c r="AD198" s="114"/>
      <c r="AE198" s="114"/>
      <c r="AF198" s="114"/>
      <c r="AG198" s="114"/>
      <c r="AH198" s="114"/>
    </row>
    <row r="199" spans="2:34" ht="12.75">
      <c r="B199" s="36"/>
      <c r="C199" s="29" t="s">
        <v>51</v>
      </c>
      <c r="D199" s="32">
        <v>25</v>
      </c>
      <c r="E199" s="131"/>
      <c r="F199" s="131">
        <v>40.041400000000003</v>
      </c>
      <c r="G199" s="131">
        <v>46.277500000000003</v>
      </c>
      <c r="H199" s="131">
        <v>47.016399999999997</v>
      </c>
      <c r="I199" s="131"/>
      <c r="J199" s="131"/>
      <c r="K199" s="132"/>
      <c r="L199" s="29"/>
      <c r="M199" s="145"/>
      <c r="N199" s="145">
        <v>40.047499999999999</v>
      </c>
      <c r="O199" s="145">
        <v>46.279899999999998</v>
      </c>
      <c r="P199" s="145">
        <v>47.015700000000002</v>
      </c>
      <c r="Q199" s="145"/>
      <c r="R199" s="145"/>
      <c r="S199" s="146"/>
      <c r="U199" s="8"/>
      <c r="V199" s="9"/>
      <c r="W199" s="10"/>
      <c r="X199" s="29"/>
      <c r="Y199" s="24"/>
      <c r="Z199" s="24"/>
      <c r="AA199" s="27"/>
      <c r="AB199" s="114"/>
      <c r="AC199" s="114"/>
      <c r="AD199" s="114"/>
      <c r="AE199" s="114"/>
      <c r="AF199" s="114"/>
      <c r="AG199" s="114"/>
      <c r="AH199" s="114"/>
    </row>
    <row r="200" spans="2:34" ht="12.75">
      <c r="B200" s="36"/>
      <c r="C200" s="29"/>
      <c r="D200" s="32">
        <v>30</v>
      </c>
      <c r="E200" s="134"/>
      <c r="F200" s="134">
        <v>37.7196</v>
      </c>
      <c r="G200" s="134">
        <v>44.651499999999999</v>
      </c>
      <c r="H200" s="134">
        <v>45.296500000000002</v>
      </c>
      <c r="I200" s="134"/>
      <c r="J200" s="134"/>
      <c r="K200" s="135"/>
      <c r="L200" s="29"/>
      <c r="M200" s="148"/>
      <c r="N200" s="148">
        <v>37.716200000000001</v>
      </c>
      <c r="O200" s="148">
        <v>44.633200000000002</v>
      </c>
      <c r="P200" s="148">
        <v>45.305700000000002</v>
      </c>
      <c r="Q200" s="148"/>
      <c r="R200" s="148"/>
      <c r="S200" s="149"/>
      <c r="U200" s="41"/>
      <c r="V200" s="42"/>
      <c r="W200" s="43"/>
      <c r="X200" s="29"/>
      <c r="Y200" s="24"/>
      <c r="Z200" s="24"/>
      <c r="AA200" s="27"/>
      <c r="AB200" s="114"/>
      <c r="AC200" s="114"/>
      <c r="AD200" s="114"/>
      <c r="AE200" s="114"/>
      <c r="AF200" s="114"/>
      <c r="AG200" s="114"/>
      <c r="AH200" s="114"/>
    </row>
    <row r="201" spans="2:34" ht="12.75">
      <c r="B201" s="36"/>
      <c r="C201" s="29"/>
      <c r="D201" s="32">
        <v>35</v>
      </c>
      <c r="E201" s="134"/>
      <c r="F201" s="134">
        <v>35.586100000000002</v>
      </c>
      <c r="G201" s="134">
        <v>42.755400000000002</v>
      </c>
      <c r="H201" s="134">
        <v>43.463900000000002</v>
      </c>
      <c r="I201" s="134"/>
      <c r="J201" s="134"/>
      <c r="K201" s="135"/>
      <c r="L201" s="29"/>
      <c r="M201" s="148"/>
      <c r="N201" s="148">
        <v>35.587699999999998</v>
      </c>
      <c r="O201" s="148">
        <v>42.764000000000003</v>
      </c>
      <c r="P201" s="148">
        <v>43.461399999999998</v>
      </c>
      <c r="Q201" s="148"/>
      <c r="R201" s="148"/>
      <c r="S201" s="149"/>
      <c r="U201" s="41"/>
      <c r="V201" s="42"/>
      <c r="W201" s="43"/>
      <c r="X201" s="29"/>
      <c r="Y201" s="24"/>
      <c r="Z201" s="24"/>
      <c r="AA201" s="27"/>
      <c r="AB201" s="114"/>
      <c r="AC201" s="114"/>
      <c r="AD201" s="114"/>
      <c r="AE201" s="114"/>
      <c r="AF201" s="114"/>
      <c r="AG201" s="114"/>
      <c r="AH201" s="114"/>
    </row>
    <row r="202" spans="2:34" ht="13.5" thickBot="1">
      <c r="B202" s="36"/>
      <c r="C202" s="51"/>
      <c r="D202" s="69">
        <v>40</v>
      </c>
      <c r="E202" s="137"/>
      <c r="F202" s="137">
        <v>33.4559</v>
      </c>
      <c r="G202" s="137">
        <v>41.453400000000002</v>
      </c>
      <c r="H202" s="137">
        <v>42.135800000000003</v>
      </c>
      <c r="I202" s="137"/>
      <c r="J202" s="137"/>
      <c r="K202" s="138"/>
      <c r="L202" s="29"/>
      <c r="M202" s="151"/>
      <c r="N202" s="151">
        <v>33.456899999999997</v>
      </c>
      <c r="O202" s="151">
        <v>41.447400000000002</v>
      </c>
      <c r="P202" s="151">
        <v>42.127299999999998</v>
      </c>
      <c r="Q202" s="151"/>
      <c r="R202" s="151"/>
      <c r="S202" s="152"/>
      <c r="U202" s="41"/>
      <c r="V202" s="42"/>
      <c r="W202" s="43"/>
      <c r="X202" s="29"/>
      <c r="Y202" s="24"/>
      <c r="Z202" s="24"/>
      <c r="AA202" s="27"/>
      <c r="AB202" s="114"/>
      <c r="AC202" s="114"/>
      <c r="AD202" s="114"/>
      <c r="AE202" s="114"/>
      <c r="AF202" s="114"/>
      <c r="AG202" s="114"/>
      <c r="AH202" s="114"/>
    </row>
    <row r="203" spans="2:34" ht="12.75">
      <c r="B203" s="36"/>
      <c r="C203" s="29" t="s">
        <v>52</v>
      </c>
      <c r="D203" s="32">
        <v>25</v>
      </c>
      <c r="E203" s="131"/>
      <c r="F203" s="131">
        <v>39.837400000000002</v>
      </c>
      <c r="G203" s="131">
        <v>46.328000000000003</v>
      </c>
      <c r="H203" s="131">
        <v>46.563099999999999</v>
      </c>
      <c r="I203" s="131"/>
      <c r="J203" s="131"/>
      <c r="K203" s="132"/>
      <c r="L203" s="29"/>
      <c r="M203" s="145"/>
      <c r="N203" s="145">
        <v>39.843400000000003</v>
      </c>
      <c r="O203" s="145">
        <v>46.332700000000003</v>
      </c>
      <c r="P203" s="145">
        <v>46.5749</v>
      </c>
      <c r="Q203" s="145"/>
      <c r="R203" s="145"/>
      <c r="S203" s="146"/>
      <c r="U203" s="8"/>
      <c r="V203" s="9"/>
      <c r="W203" s="10"/>
      <c r="X203" s="29"/>
      <c r="Y203" s="24"/>
      <c r="Z203" s="24"/>
      <c r="AA203" s="27"/>
      <c r="AB203" s="114"/>
      <c r="AC203" s="114"/>
      <c r="AD203" s="114"/>
      <c r="AE203" s="114"/>
      <c r="AF203" s="114"/>
      <c r="AG203" s="114"/>
      <c r="AH203" s="114"/>
    </row>
    <row r="204" spans="2:34" ht="12.75">
      <c r="B204" s="36"/>
      <c r="C204" s="29"/>
      <c r="D204" s="32">
        <v>30</v>
      </c>
      <c r="E204" s="134"/>
      <c r="F204" s="134">
        <v>37.546999999999997</v>
      </c>
      <c r="G204" s="134">
        <v>44.621299999999998</v>
      </c>
      <c r="H204" s="134">
        <v>45.057499999999997</v>
      </c>
      <c r="I204" s="134"/>
      <c r="J204" s="134"/>
      <c r="K204" s="135"/>
      <c r="L204" s="29"/>
      <c r="M204" s="148"/>
      <c r="N204" s="148">
        <v>37.546100000000003</v>
      </c>
      <c r="O204" s="148">
        <v>44.602699999999999</v>
      </c>
      <c r="P204" s="148">
        <v>45.066899999999997</v>
      </c>
      <c r="Q204" s="148"/>
      <c r="R204" s="148"/>
      <c r="S204" s="149"/>
      <c r="U204" s="17"/>
      <c r="V204" s="18"/>
      <c r="W204" s="19"/>
      <c r="X204" s="29"/>
      <c r="Y204" s="24"/>
      <c r="Z204" s="24"/>
      <c r="AA204" s="27"/>
      <c r="AB204" s="114"/>
      <c r="AC204" s="114"/>
      <c r="AD204" s="114"/>
      <c r="AE204" s="114"/>
      <c r="AF204" s="114"/>
      <c r="AG204" s="114"/>
      <c r="AH204" s="114"/>
    </row>
    <row r="205" spans="2:34" ht="12.75">
      <c r="B205" s="36"/>
      <c r="C205" s="29"/>
      <c r="D205" s="32">
        <v>35</v>
      </c>
      <c r="E205" s="134"/>
      <c r="F205" s="134">
        <v>35.4514</v>
      </c>
      <c r="G205" s="134">
        <v>42.665700000000001</v>
      </c>
      <c r="H205" s="134">
        <v>43.258800000000001</v>
      </c>
      <c r="I205" s="134"/>
      <c r="J205" s="134"/>
      <c r="K205" s="135"/>
      <c r="L205" s="29"/>
      <c r="M205" s="148"/>
      <c r="N205" s="148">
        <v>35.456099999999999</v>
      </c>
      <c r="O205" s="148">
        <v>42.67</v>
      </c>
      <c r="P205" s="148">
        <v>43.278799999999997</v>
      </c>
      <c r="Q205" s="148"/>
      <c r="R205" s="148"/>
      <c r="S205" s="149"/>
      <c r="U205" s="41"/>
      <c r="V205" s="44"/>
      <c r="W205" s="43"/>
      <c r="X205" s="29"/>
      <c r="Y205" s="24"/>
      <c r="Z205" s="24"/>
      <c r="AA205" s="27"/>
      <c r="AB205" s="114"/>
      <c r="AC205" s="114"/>
      <c r="AD205" s="114"/>
      <c r="AE205" s="114"/>
      <c r="AF205" s="114"/>
      <c r="AG205" s="114"/>
      <c r="AH205" s="114"/>
    </row>
    <row r="206" spans="2:34" ht="13.5" thickBot="1">
      <c r="B206" s="36"/>
      <c r="C206" s="51"/>
      <c r="D206" s="69">
        <v>40</v>
      </c>
      <c r="E206" s="137"/>
      <c r="F206" s="137">
        <v>33.359000000000002</v>
      </c>
      <c r="G206" s="137">
        <v>41.348500000000001</v>
      </c>
      <c r="H206" s="137">
        <v>41.985999999999997</v>
      </c>
      <c r="I206" s="137"/>
      <c r="J206" s="137"/>
      <c r="K206" s="138"/>
      <c r="L206" s="29"/>
      <c r="M206" s="151"/>
      <c r="N206" s="151">
        <v>33.359900000000003</v>
      </c>
      <c r="O206" s="151">
        <v>41.349600000000002</v>
      </c>
      <c r="P206" s="151">
        <v>41.970500000000001</v>
      </c>
      <c r="Q206" s="151"/>
      <c r="R206" s="151"/>
      <c r="S206" s="152"/>
      <c r="U206" s="41"/>
      <c r="V206" s="42"/>
      <c r="W206" s="43"/>
      <c r="X206" s="29"/>
      <c r="Y206" s="24"/>
      <c r="Z206" s="24"/>
      <c r="AA206" s="27"/>
      <c r="AB206" s="114"/>
      <c r="AC206" s="114"/>
      <c r="AD206" s="114"/>
      <c r="AE206" s="114"/>
      <c r="AF206" s="114"/>
      <c r="AG206" s="114"/>
      <c r="AH206" s="114"/>
    </row>
    <row r="207" spans="2:34" ht="12.75">
      <c r="B207" s="36"/>
      <c r="C207" s="29" t="s">
        <v>12</v>
      </c>
      <c r="D207" s="32">
        <v>25</v>
      </c>
      <c r="E207" s="134">
        <v>5281.2615999999998</v>
      </c>
      <c r="F207" s="134"/>
      <c r="G207" s="134"/>
      <c r="H207" s="134"/>
      <c r="I207" s="134">
        <v>56403.09</v>
      </c>
      <c r="J207" s="134">
        <v>101.64</v>
      </c>
      <c r="K207" s="135">
        <v>760.3</v>
      </c>
      <c r="L207" s="29"/>
      <c r="M207" s="148">
        <v>5276.8424000000005</v>
      </c>
      <c r="N207" s="148"/>
      <c r="O207" s="148"/>
      <c r="P207" s="148"/>
      <c r="Q207" s="148">
        <v>56436.27</v>
      </c>
      <c r="R207" s="148">
        <v>111.56</v>
      </c>
      <c r="S207" s="149">
        <v>749.43</v>
      </c>
      <c r="U207" s="8"/>
      <c r="V207" s="9"/>
      <c r="W207" s="10"/>
      <c r="X207" s="29"/>
      <c r="Y207" s="59">
        <f>GEOMEAN(Q207:Q210)/GEOMEAN(I207:I210)</f>
        <v>1.000116897648526</v>
      </c>
      <c r="Z207" s="59">
        <f>GEOMEAN(R207:R210)/GEOMEAN(J207:J210)</f>
        <v>1.0541753195284804</v>
      </c>
      <c r="AA207" s="55">
        <f>GEOMEAN(S207:S210)/GEOMEAN(K207:K210)</f>
        <v>0.99618541192642251</v>
      </c>
      <c r="AB207" s="114"/>
      <c r="AC207" s="114"/>
      <c r="AD207" s="114"/>
      <c r="AE207" s="114"/>
      <c r="AF207" s="114"/>
      <c r="AG207" s="114"/>
      <c r="AH207" s="114"/>
    </row>
    <row r="208" spans="2:34" ht="12.75">
      <c r="B208" s="36"/>
      <c r="C208" s="29"/>
      <c r="D208" s="32">
        <v>30</v>
      </c>
      <c r="E208" s="134">
        <v>2155.3935999999999</v>
      </c>
      <c r="F208" s="134"/>
      <c r="G208" s="134"/>
      <c r="H208" s="134"/>
      <c r="I208" s="134">
        <v>40827.08</v>
      </c>
      <c r="J208" s="134">
        <v>111.78</v>
      </c>
      <c r="K208" s="135">
        <v>784.63</v>
      </c>
      <c r="L208" s="29"/>
      <c r="M208" s="148">
        <v>2153.1696000000002</v>
      </c>
      <c r="N208" s="148"/>
      <c r="O208" s="148"/>
      <c r="P208" s="148"/>
      <c r="Q208" s="148">
        <v>40631.72</v>
      </c>
      <c r="R208" s="148">
        <v>95.4</v>
      </c>
      <c r="S208" s="149">
        <v>772.97</v>
      </c>
      <c r="U208" s="41"/>
      <c r="V208" s="42"/>
      <c r="W208" s="43"/>
      <c r="X208" s="29"/>
      <c r="Y208" s="24"/>
      <c r="Z208" s="24"/>
      <c r="AA208" s="27"/>
      <c r="AB208" s="114"/>
      <c r="AC208" s="114"/>
      <c r="AD208" s="114"/>
      <c r="AE208" s="114"/>
      <c r="AF208" s="114"/>
      <c r="AG208" s="114"/>
      <c r="AH208" s="114"/>
    </row>
    <row r="209" spans="1:34" ht="12.75">
      <c r="B209" s="36"/>
      <c r="C209" s="29"/>
      <c r="D209" s="32">
        <v>35</v>
      </c>
      <c r="E209" s="134">
        <v>977.04960000000005</v>
      </c>
      <c r="F209" s="134"/>
      <c r="G209" s="134"/>
      <c r="H209" s="134"/>
      <c r="I209" s="134">
        <v>33021.760000000002</v>
      </c>
      <c r="J209" s="134">
        <v>98.04</v>
      </c>
      <c r="K209" s="135">
        <v>776.29</v>
      </c>
      <c r="L209" s="29"/>
      <c r="M209" s="148">
        <v>976.53279999999995</v>
      </c>
      <c r="N209" s="148"/>
      <c r="O209" s="148"/>
      <c r="P209" s="148"/>
      <c r="Q209" s="148">
        <v>33070.79</v>
      </c>
      <c r="R209" s="148">
        <v>107.02</v>
      </c>
      <c r="S209" s="149">
        <v>775.03</v>
      </c>
      <c r="U209" s="17"/>
      <c r="V209" s="18"/>
      <c r="W209" s="19"/>
      <c r="X209" s="29"/>
      <c r="Y209" s="24"/>
      <c r="Z209" s="24"/>
      <c r="AA209" s="27"/>
      <c r="AB209" s="114"/>
      <c r="AC209" s="114"/>
      <c r="AD209" s="114"/>
      <c r="AE209" s="114"/>
      <c r="AF209" s="114"/>
      <c r="AG209" s="114"/>
      <c r="AH209" s="114"/>
    </row>
    <row r="210" spans="1:34" ht="13.5" thickBot="1">
      <c r="B210" s="50"/>
      <c r="C210" s="51"/>
      <c r="D210" s="69">
        <v>40</v>
      </c>
      <c r="E210" s="137">
        <v>468.572</v>
      </c>
      <c r="F210" s="137"/>
      <c r="G210" s="137"/>
      <c r="H210" s="137"/>
      <c r="I210" s="137">
        <v>27584.58</v>
      </c>
      <c r="J210" s="137">
        <v>88.49</v>
      </c>
      <c r="K210" s="138">
        <v>764.22</v>
      </c>
      <c r="L210" s="29"/>
      <c r="M210" s="151">
        <v>468.63679999999999</v>
      </c>
      <c r="N210" s="151"/>
      <c r="O210" s="151"/>
      <c r="P210" s="151"/>
      <c r="Q210" s="151">
        <v>27672.78</v>
      </c>
      <c r="R210" s="151">
        <v>106.87</v>
      </c>
      <c r="S210" s="152">
        <v>776.32</v>
      </c>
      <c r="U210" s="82"/>
      <c r="V210" s="83"/>
      <c r="W210" s="84"/>
      <c r="X210" s="29"/>
      <c r="Y210" s="47"/>
      <c r="Z210" s="47"/>
      <c r="AA210" s="52"/>
      <c r="AB210" s="114"/>
      <c r="AC210" s="114"/>
      <c r="AD210" s="114"/>
      <c r="AE210" s="114"/>
      <c r="AF210" s="114"/>
      <c r="AG210" s="114"/>
      <c r="AH210" s="114"/>
    </row>
    <row r="211" spans="1:34" ht="12.75">
      <c r="A211" s="20" t="s">
        <v>19</v>
      </c>
      <c r="B211" s="35" t="s">
        <v>54</v>
      </c>
      <c r="C211" s="28" t="s">
        <v>26</v>
      </c>
      <c r="D211" s="31">
        <v>25</v>
      </c>
      <c r="E211" s="130">
        <v>809.72</v>
      </c>
      <c r="F211" s="130">
        <v>42.115600000000001</v>
      </c>
      <c r="G211" s="130">
        <v>48.426699999999997</v>
      </c>
      <c r="H211" s="130">
        <v>48.135399999999997</v>
      </c>
      <c r="I211" s="130"/>
      <c r="J211" s="131"/>
      <c r="K211" s="132"/>
      <c r="L211" s="29"/>
      <c r="M211" s="144">
        <v>809.72</v>
      </c>
      <c r="N211" s="144">
        <v>42.115600000000001</v>
      </c>
      <c r="O211" s="144">
        <v>48.426699999999997</v>
      </c>
      <c r="P211" s="144">
        <v>48.135399999999997</v>
      </c>
      <c r="Q211" s="144"/>
      <c r="R211" s="145"/>
      <c r="S211" s="146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B211" s="114"/>
      <c r="AC211" s="114"/>
      <c r="AD211" s="114"/>
      <c r="AE211" s="114"/>
      <c r="AF211" s="114"/>
      <c r="AG211" s="114"/>
      <c r="AH211" s="114"/>
    </row>
    <row r="212" spans="1:34" ht="12.75">
      <c r="B212" s="36"/>
      <c r="C212" s="29"/>
      <c r="D212" s="32">
        <v>30</v>
      </c>
      <c r="E212" s="133">
        <v>345.29300000000001</v>
      </c>
      <c r="F212" s="133">
        <v>41.150300000000001</v>
      </c>
      <c r="G212" s="133">
        <v>47.470199999999998</v>
      </c>
      <c r="H212" s="133">
        <v>47.2913</v>
      </c>
      <c r="I212" s="133"/>
      <c r="J212" s="134"/>
      <c r="K212" s="135"/>
      <c r="L212" s="29"/>
      <c r="M212" s="147">
        <v>345.29300000000001</v>
      </c>
      <c r="N212" s="147">
        <v>41.150300000000001</v>
      </c>
      <c r="O212" s="147">
        <v>47.470199999999998</v>
      </c>
      <c r="P212" s="147">
        <v>47.2913</v>
      </c>
      <c r="Q212" s="147"/>
      <c r="R212" s="148"/>
      <c r="S212" s="149"/>
      <c r="U212" s="41"/>
      <c r="V212" s="42"/>
      <c r="W212" s="43"/>
      <c r="X212" s="29"/>
      <c r="Y212" s="24"/>
      <c r="Z212" s="24"/>
      <c r="AA212" s="27"/>
      <c r="AB212" s="114"/>
      <c r="AC212" s="114"/>
      <c r="AD212" s="114"/>
      <c r="AE212" s="114"/>
      <c r="AF212" s="114"/>
      <c r="AG212" s="114"/>
      <c r="AH212" s="114"/>
    </row>
    <row r="213" spans="1:34" ht="12.75">
      <c r="B213" s="36"/>
      <c r="C213" s="29"/>
      <c r="D213" s="32">
        <v>35</v>
      </c>
      <c r="E213" s="133">
        <v>177.04900000000001</v>
      </c>
      <c r="F213" s="133">
        <v>39.7547</v>
      </c>
      <c r="G213" s="133">
        <v>46.049300000000002</v>
      </c>
      <c r="H213" s="133">
        <v>45.935699999999997</v>
      </c>
      <c r="I213" s="133"/>
      <c r="J213" s="134"/>
      <c r="K213" s="135"/>
      <c r="L213" s="29"/>
      <c r="M213" s="147">
        <v>177.04900000000001</v>
      </c>
      <c r="N213" s="147">
        <v>39.7547</v>
      </c>
      <c r="O213" s="147">
        <v>46.049300000000002</v>
      </c>
      <c r="P213" s="147">
        <v>45.935699999999997</v>
      </c>
      <c r="Q213" s="147"/>
      <c r="R213" s="148"/>
      <c r="S213" s="149"/>
      <c r="U213" s="41"/>
      <c r="V213" s="42"/>
      <c r="W213" s="43"/>
      <c r="X213" s="29"/>
      <c r="Y213" s="24"/>
      <c r="Z213" s="24"/>
      <c r="AA213" s="27"/>
      <c r="AB213" s="114"/>
      <c r="AC213" s="114"/>
      <c r="AD213" s="114"/>
      <c r="AE213" s="114"/>
      <c r="AF213" s="114"/>
      <c r="AG213" s="114"/>
      <c r="AH213" s="114"/>
    </row>
    <row r="214" spans="1:34" ht="13.5" thickBot="1">
      <c r="B214" s="36"/>
      <c r="C214" s="29"/>
      <c r="D214" s="32">
        <v>40</v>
      </c>
      <c r="E214" s="136">
        <v>98.628</v>
      </c>
      <c r="F214" s="136">
        <v>38.012099999999997</v>
      </c>
      <c r="G214" s="136">
        <v>44.870800000000003</v>
      </c>
      <c r="H214" s="136">
        <v>44.774999999999999</v>
      </c>
      <c r="I214" s="136"/>
      <c r="J214" s="137"/>
      <c r="K214" s="138"/>
      <c r="L214" s="29"/>
      <c r="M214" s="150">
        <v>98.628</v>
      </c>
      <c r="N214" s="150">
        <v>38.012099999999997</v>
      </c>
      <c r="O214" s="150">
        <v>44.870800000000003</v>
      </c>
      <c r="P214" s="150">
        <v>44.774999999999999</v>
      </c>
      <c r="Q214" s="150"/>
      <c r="R214" s="151"/>
      <c r="S214" s="152"/>
      <c r="U214" s="41"/>
      <c r="V214" s="42"/>
      <c r="W214" s="43"/>
      <c r="X214" s="29"/>
      <c r="Y214" s="24"/>
      <c r="Z214" s="24"/>
      <c r="AA214" s="27"/>
      <c r="AB214" s="114"/>
      <c r="AC214" s="114"/>
      <c r="AD214" s="114"/>
      <c r="AE214" s="114"/>
      <c r="AF214" s="114"/>
      <c r="AG214" s="114"/>
      <c r="AH214" s="114"/>
    </row>
    <row r="215" spans="1:34" ht="12.75">
      <c r="B215" s="36"/>
      <c r="C215" s="28" t="s">
        <v>27</v>
      </c>
      <c r="D215" s="31">
        <v>25</v>
      </c>
      <c r="E215" s="133">
        <v>248.85300000000001</v>
      </c>
      <c r="F215" s="133">
        <v>41.8322</v>
      </c>
      <c r="G215" s="133">
        <v>48.172499999999999</v>
      </c>
      <c r="H215" s="133">
        <v>47.512</v>
      </c>
      <c r="I215" s="133"/>
      <c r="J215" s="134"/>
      <c r="K215" s="135"/>
      <c r="L215" s="29"/>
      <c r="M215" s="147">
        <v>249.119</v>
      </c>
      <c r="N215" s="147">
        <v>41.832099999999997</v>
      </c>
      <c r="O215" s="147">
        <v>48.179699999999997</v>
      </c>
      <c r="P215" s="147">
        <v>47.512</v>
      </c>
      <c r="Q215" s="147"/>
      <c r="R215" s="148"/>
      <c r="S215" s="149"/>
      <c r="U215" s="8">
        <f>bdrate($E215:$E218,F215:F218,$M215:$M218,N215:N218)</f>
        <v>-2.1586109390845376E-3</v>
      </c>
      <c r="V215" s="9">
        <f>bdrate($E215:$E218,G215:G218,$M215:$M218,O215:O218)</f>
        <v>-6.2399375190739237E-3</v>
      </c>
      <c r="W215" s="10">
        <f>bdrate($E215:$E218,H215:H218,$M215:$M218,P215:P218)</f>
        <v>-1.8714276334690361E-3</v>
      </c>
      <c r="X215" s="29"/>
      <c r="Y215" s="24"/>
      <c r="Z215" s="24"/>
      <c r="AA215" s="27"/>
      <c r="AB215" s="114"/>
      <c r="AC215" s="114"/>
      <c r="AD215" s="114"/>
      <c r="AE215" s="114"/>
      <c r="AF215" s="114"/>
      <c r="AG215" s="114"/>
      <c r="AH215" s="114"/>
    </row>
    <row r="216" spans="1:34" ht="12.75">
      <c r="B216" s="36"/>
      <c r="C216" s="29"/>
      <c r="D216" s="32">
        <v>30</v>
      </c>
      <c r="E216" s="133">
        <v>96.024000000000001</v>
      </c>
      <c r="F216" s="133">
        <v>40.8309</v>
      </c>
      <c r="G216" s="133">
        <v>47.084600000000002</v>
      </c>
      <c r="H216" s="133">
        <v>46.593200000000003</v>
      </c>
      <c r="I216" s="133"/>
      <c r="J216" s="134"/>
      <c r="K216" s="135"/>
      <c r="L216" s="29"/>
      <c r="M216" s="147">
        <v>95.945999999999998</v>
      </c>
      <c r="N216" s="147">
        <v>40.8324</v>
      </c>
      <c r="O216" s="147">
        <v>47.089399999999998</v>
      </c>
      <c r="P216" s="147">
        <v>46.5884</v>
      </c>
      <c r="Q216" s="147"/>
      <c r="R216" s="148"/>
      <c r="S216" s="149"/>
      <c r="U216" s="17"/>
      <c r="V216" s="18"/>
      <c r="W216" s="19"/>
      <c r="X216" s="29"/>
      <c r="Y216" s="24"/>
      <c r="Z216" s="24"/>
      <c r="AA216" s="27"/>
      <c r="AB216" s="114"/>
      <c r="AC216" s="114"/>
      <c r="AD216" s="114"/>
      <c r="AE216" s="114"/>
      <c r="AF216" s="114"/>
      <c r="AG216" s="114"/>
      <c r="AH216" s="114"/>
    </row>
    <row r="217" spans="1:34" ht="12.75">
      <c r="B217" s="36"/>
      <c r="C217" s="29"/>
      <c r="D217" s="32">
        <v>35</v>
      </c>
      <c r="E217" s="133">
        <v>47.798000000000002</v>
      </c>
      <c r="F217" s="133">
        <v>39.410699999999999</v>
      </c>
      <c r="G217" s="133">
        <v>45.8889</v>
      </c>
      <c r="H217" s="133">
        <v>45.542200000000001</v>
      </c>
      <c r="I217" s="133"/>
      <c r="J217" s="134"/>
      <c r="K217" s="135"/>
      <c r="L217" s="29"/>
      <c r="M217" s="147">
        <v>47.569000000000003</v>
      </c>
      <c r="N217" s="147">
        <v>39.405900000000003</v>
      </c>
      <c r="O217" s="147">
        <v>45.896799999999999</v>
      </c>
      <c r="P217" s="147">
        <v>45.545499999999997</v>
      </c>
      <c r="Q217" s="147"/>
      <c r="R217" s="148"/>
      <c r="S217" s="149"/>
      <c r="U217" s="41"/>
      <c r="V217" s="44"/>
      <c r="W217" s="43"/>
      <c r="X217" s="29"/>
      <c r="Y217" s="24"/>
      <c r="Z217" s="24"/>
      <c r="AA217" s="27"/>
      <c r="AB217" s="114"/>
      <c r="AC217" s="114"/>
      <c r="AD217" s="114"/>
      <c r="AE217" s="114"/>
      <c r="AF217" s="114"/>
      <c r="AG217" s="114"/>
      <c r="AH217" s="114"/>
    </row>
    <row r="218" spans="1:34" ht="13.5" thickBot="1">
      <c r="B218" s="36"/>
      <c r="C218" s="29"/>
      <c r="D218" s="32">
        <v>40</v>
      </c>
      <c r="E218" s="133">
        <v>25.584</v>
      </c>
      <c r="F218" s="133">
        <v>37.630200000000002</v>
      </c>
      <c r="G218" s="133">
        <v>44.818600000000004</v>
      </c>
      <c r="H218" s="133">
        <v>44.487400000000001</v>
      </c>
      <c r="I218" s="133"/>
      <c r="J218" s="134"/>
      <c r="K218" s="135"/>
      <c r="L218" s="29"/>
      <c r="M218" s="147">
        <v>25.57</v>
      </c>
      <c r="N218" s="147">
        <v>37.637300000000003</v>
      </c>
      <c r="O218" s="147">
        <v>44.822800000000001</v>
      </c>
      <c r="P218" s="147">
        <v>44.491700000000002</v>
      </c>
      <c r="Q218" s="147"/>
      <c r="R218" s="148"/>
      <c r="S218" s="149"/>
      <c r="U218" s="41"/>
      <c r="V218" s="42"/>
      <c r="W218" s="43"/>
      <c r="X218" s="29"/>
      <c r="Y218" s="24"/>
      <c r="Z218" s="24"/>
      <c r="AA218" s="27"/>
      <c r="AB218" s="114"/>
      <c r="AC218" s="114"/>
      <c r="AD218" s="114"/>
      <c r="AE218" s="114"/>
      <c r="AF218" s="114"/>
      <c r="AG218" s="114"/>
      <c r="AH218" s="114"/>
    </row>
    <row r="219" spans="1:34" ht="12.75">
      <c r="B219" s="36"/>
      <c r="C219" s="28" t="s">
        <v>28</v>
      </c>
      <c r="D219" s="31">
        <v>25</v>
      </c>
      <c r="E219" s="130">
        <v>259.572</v>
      </c>
      <c r="F219" s="130">
        <v>41.686700000000002</v>
      </c>
      <c r="G219" s="130">
        <v>47.250900000000001</v>
      </c>
      <c r="H219" s="130">
        <v>46.666200000000003</v>
      </c>
      <c r="I219" s="130"/>
      <c r="J219" s="131"/>
      <c r="K219" s="132"/>
      <c r="L219" s="29"/>
      <c r="M219" s="144">
        <v>258.95</v>
      </c>
      <c r="N219" s="144">
        <v>41.684600000000003</v>
      </c>
      <c r="O219" s="144">
        <v>47.247999999999998</v>
      </c>
      <c r="P219" s="144">
        <v>46.658000000000001</v>
      </c>
      <c r="Q219" s="144"/>
      <c r="R219" s="145"/>
      <c r="S219" s="146"/>
      <c r="U219" s="8">
        <f>bdrate($E219:$E222,F219:F222,$M219:$M222,N219:N222)</f>
        <v>-1.1610443101361945E-3</v>
      </c>
      <c r="V219" s="9">
        <f>bdrate($E219:$E222,G219:G222,$M219:$M222,O219:O222)</f>
        <v>4.6715465585691618E-3</v>
      </c>
      <c r="W219" s="10">
        <f>bdrate($E219:$E222,H219:H222,$M219:$M222,P219:P222)</f>
        <v>1.322030896662385E-3</v>
      </c>
      <c r="X219" s="29"/>
      <c r="Y219" s="24"/>
      <c r="Z219" s="24"/>
      <c r="AA219" s="27"/>
      <c r="AB219" s="114"/>
      <c r="AC219" s="114"/>
      <c r="AD219" s="114"/>
      <c r="AE219" s="114"/>
      <c r="AF219" s="114"/>
      <c r="AG219" s="114"/>
      <c r="AH219" s="114"/>
    </row>
    <row r="220" spans="1:34" ht="12.75">
      <c r="B220" s="36"/>
      <c r="C220" s="29"/>
      <c r="D220" s="32">
        <v>30</v>
      </c>
      <c r="E220" s="133">
        <v>97.307000000000002</v>
      </c>
      <c r="F220" s="133">
        <v>40.746099999999998</v>
      </c>
      <c r="G220" s="133">
        <v>46.312399999999997</v>
      </c>
      <c r="H220" s="133">
        <v>45.528100000000002</v>
      </c>
      <c r="I220" s="133"/>
      <c r="J220" s="134"/>
      <c r="K220" s="135"/>
      <c r="L220" s="29"/>
      <c r="M220" s="147">
        <v>97.188000000000002</v>
      </c>
      <c r="N220" s="147">
        <v>40.744900000000001</v>
      </c>
      <c r="O220" s="147">
        <v>46.305399999999999</v>
      </c>
      <c r="P220" s="147">
        <v>45.523099999999999</v>
      </c>
      <c r="Q220" s="147"/>
      <c r="R220" s="148"/>
      <c r="S220" s="149"/>
      <c r="U220" s="41"/>
      <c r="V220" s="42"/>
      <c r="W220" s="43"/>
      <c r="X220" s="29"/>
      <c r="Y220" s="24"/>
      <c r="Z220" s="24"/>
      <c r="AA220" s="27"/>
      <c r="AB220" s="114"/>
      <c r="AC220" s="114"/>
      <c r="AD220" s="114"/>
      <c r="AE220" s="114"/>
      <c r="AF220" s="114"/>
      <c r="AG220" s="114"/>
      <c r="AH220" s="114"/>
    </row>
    <row r="221" spans="1:34" ht="12.75">
      <c r="B221" s="36"/>
      <c r="C221" s="29"/>
      <c r="D221" s="32">
        <v>35</v>
      </c>
      <c r="E221" s="133">
        <v>48.38</v>
      </c>
      <c r="F221" s="133">
        <v>39.391800000000003</v>
      </c>
      <c r="G221" s="133">
        <v>45.361600000000003</v>
      </c>
      <c r="H221" s="133">
        <v>44.583599999999997</v>
      </c>
      <c r="I221" s="133"/>
      <c r="J221" s="134"/>
      <c r="K221" s="135"/>
      <c r="L221" s="29"/>
      <c r="M221" s="147">
        <v>48.591999999999999</v>
      </c>
      <c r="N221" s="147">
        <v>39.4009</v>
      </c>
      <c r="O221" s="147">
        <v>45.357799999999997</v>
      </c>
      <c r="P221" s="147">
        <v>44.5901</v>
      </c>
      <c r="Q221" s="147"/>
      <c r="R221" s="148"/>
      <c r="S221" s="149"/>
      <c r="U221" s="17"/>
      <c r="V221" s="18"/>
      <c r="W221" s="19"/>
      <c r="X221" s="29"/>
      <c r="Y221" s="24"/>
      <c r="Z221" s="24"/>
      <c r="AA221" s="27"/>
      <c r="AB221" s="114"/>
      <c r="AC221" s="114"/>
      <c r="AD221" s="114"/>
      <c r="AE221" s="114"/>
      <c r="AF221" s="114"/>
      <c r="AG221" s="114"/>
      <c r="AH221" s="114"/>
    </row>
    <row r="222" spans="1:34" ht="13.5" thickBot="1">
      <c r="B222" s="36"/>
      <c r="C222" s="51"/>
      <c r="D222" s="69">
        <v>40</v>
      </c>
      <c r="E222" s="136">
        <v>25.719000000000001</v>
      </c>
      <c r="F222" s="136">
        <v>37.6616</v>
      </c>
      <c r="G222" s="136">
        <v>44.416699999999999</v>
      </c>
      <c r="H222" s="136">
        <v>43.479399999999998</v>
      </c>
      <c r="I222" s="136"/>
      <c r="J222" s="137"/>
      <c r="K222" s="138"/>
      <c r="L222" s="29"/>
      <c r="M222" s="150">
        <v>25.553000000000001</v>
      </c>
      <c r="N222" s="150">
        <v>37.665999999999997</v>
      </c>
      <c r="O222" s="150">
        <v>44.405799999999999</v>
      </c>
      <c r="P222" s="150">
        <v>43.473100000000002</v>
      </c>
      <c r="Q222" s="150"/>
      <c r="R222" s="151"/>
      <c r="S222" s="152"/>
      <c r="U222" s="41"/>
      <c r="V222" s="42"/>
      <c r="W222" s="43"/>
      <c r="X222" s="29"/>
      <c r="Y222" s="24"/>
      <c r="Z222" s="24"/>
      <c r="AA222" s="27"/>
      <c r="AB222" s="114"/>
      <c r="AC222" s="114"/>
      <c r="AD222" s="114"/>
      <c r="AE222" s="114"/>
      <c r="AF222" s="114"/>
      <c r="AG222" s="114"/>
      <c r="AH222" s="114"/>
    </row>
    <row r="223" spans="1:34" ht="12.75">
      <c r="B223" s="36"/>
      <c r="C223" s="28" t="s">
        <v>29</v>
      </c>
      <c r="D223" s="31">
        <v>34</v>
      </c>
      <c r="E223" s="130">
        <v>73.019000000000005</v>
      </c>
      <c r="F223" s="130">
        <v>46.174900000000001</v>
      </c>
      <c r="G223" s="130"/>
      <c r="H223" s="130"/>
      <c r="I223" s="130"/>
      <c r="J223" s="131"/>
      <c r="K223" s="132"/>
      <c r="L223" s="29"/>
      <c r="M223" s="144">
        <v>73.019000000000005</v>
      </c>
      <c r="N223" s="144">
        <v>46.174900000000001</v>
      </c>
      <c r="O223" s="144"/>
      <c r="P223" s="144"/>
      <c r="Q223" s="144"/>
      <c r="R223" s="145"/>
      <c r="S223" s="146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B223" s="114"/>
      <c r="AC223" s="114"/>
      <c r="AD223" s="114"/>
      <c r="AE223" s="114"/>
      <c r="AF223" s="114"/>
      <c r="AG223" s="114"/>
      <c r="AH223" s="114"/>
    </row>
    <row r="224" spans="1:34" ht="12.75">
      <c r="B224" s="36"/>
      <c r="C224" s="29"/>
      <c r="D224" s="32">
        <v>39</v>
      </c>
      <c r="E224" s="133">
        <v>30.068999999999999</v>
      </c>
      <c r="F224" s="133">
        <v>42.699199999999998</v>
      </c>
      <c r="G224" s="133"/>
      <c r="H224" s="133"/>
      <c r="I224" s="133"/>
      <c r="J224" s="134"/>
      <c r="K224" s="135"/>
      <c r="L224" s="29"/>
      <c r="M224" s="147">
        <v>30.068999999999999</v>
      </c>
      <c r="N224" s="147">
        <v>42.699199999999998</v>
      </c>
      <c r="O224" s="147"/>
      <c r="P224" s="147"/>
      <c r="Q224" s="147"/>
      <c r="R224" s="148"/>
      <c r="S224" s="149"/>
      <c r="U224" s="41"/>
      <c r="V224" s="42"/>
      <c r="W224" s="43"/>
      <c r="X224" s="29"/>
      <c r="Y224" s="24"/>
      <c r="Z224" s="24"/>
      <c r="AA224" s="27"/>
      <c r="AB224" s="114"/>
      <c r="AC224" s="114"/>
      <c r="AD224" s="114"/>
      <c r="AE224" s="114"/>
      <c r="AF224" s="114"/>
      <c r="AG224" s="114"/>
      <c r="AH224" s="114"/>
    </row>
    <row r="225" spans="2:34" ht="12.75">
      <c r="B225" s="36"/>
      <c r="C225" s="29"/>
      <c r="D225" s="32">
        <v>42</v>
      </c>
      <c r="E225" s="133">
        <v>15.166</v>
      </c>
      <c r="F225" s="133">
        <v>40.1845</v>
      </c>
      <c r="G225" s="133"/>
      <c r="H225" s="133"/>
      <c r="I225" s="133"/>
      <c r="J225" s="134"/>
      <c r="K225" s="135"/>
      <c r="L225" s="29"/>
      <c r="M225" s="147">
        <v>15.166</v>
      </c>
      <c r="N225" s="147">
        <v>40.1845</v>
      </c>
      <c r="O225" s="147"/>
      <c r="P225" s="147"/>
      <c r="Q225" s="147"/>
      <c r="R225" s="148"/>
      <c r="S225" s="149"/>
      <c r="U225" s="41"/>
      <c r="V225" s="42"/>
      <c r="W225" s="43"/>
      <c r="X225" s="29"/>
      <c r="Y225" s="24"/>
      <c r="Z225" s="24"/>
      <c r="AA225" s="27"/>
      <c r="AB225" s="114"/>
      <c r="AC225" s="114"/>
      <c r="AD225" s="114"/>
      <c r="AE225" s="114"/>
      <c r="AF225" s="114"/>
      <c r="AG225" s="114"/>
      <c r="AH225" s="114"/>
    </row>
    <row r="226" spans="2:34" ht="13.5" thickBot="1">
      <c r="B226" s="36"/>
      <c r="C226" s="29"/>
      <c r="D226" s="32">
        <v>45</v>
      </c>
      <c r="E226" s="136">
        <v>8.3390000000000004</v>
      </c>
      <c r="F226" s="136">
        <v>36.8919</v>
      </c>
      <c r="G226" s="136"/>
      <c r="H226" s="136"/>
      <c r="I226" s="136"/>
      <c r="J226" s="137"/>
      <c r="K226" s="138"/>
      <c r="L226" s="29"/>
      <c r="M226" s="150">
        <v>8.3390000000000004</v>
      </c>
      <c r="N226" s="150">
        <v>36.8919</v>
      </c>
      <c r="O226" s="150"/>
      <c r="P226" s="150"/>
      <c r="Q226" s="150"/>
      <c r="R226" s="151"/>
      <c r="S226" s="152"/>
      <c r="U226" s="17"/>
      <c r="V226" s="18"/>
      <c r="W226" s="19"/>
      <c r="X226" s="29"/>
      <c r="Y226" s="59"/>
      <c r="Z226" s="59"/>
      <c r="AA226" s="55"/>
      <c r="AB226" s="114"/>
      <c r="AC226" s="114"/>
      <c r="AD226" s="114"/>
      <c r="AE226" s="114"/>
      <c r="AF226" s="114"/>
      <c r="AG226" s="114"/>
      <c r="AH226" s="114"/>
    </row>
    <row r="227" spans="2:34" ht="12.75">
      <c r="B227" s="36"/>
      <c r="C227" s="28" t="s">
        <v>30</v>
      </c>
      <c r="D227" s="31">
        <v>34</v>
      </c>
      <c r="E227" s="130">
        <v>50.067</v>
      </c>
      <c r="F227" s="130">
        <v>44.705599999999997</v>
      </c>
      <c r="G227" s="130"/>
      <c r="H227" s="130"/>
      <c r="I227" s="130"/>
      <c r="J227" s="131"/>
      <c r="K227" s="132"/>
      <c r="L227" s="29"/>
      <c r="M227" s="144">
        <v>50.390999999999998</v>
      </c>
      <c r="N227" s="144">
        <v>44.689399999999999</v>
      </c>
      <c r="O227" s="144"/>
      <c r="P227" s="144"/>
      <c r="Q227" s="144"/>
      <c r="R227" s="145"/>
      <c r="S227" s="146"/>
      <c r="U227" s="8">
        <f>bdrate($E227:$E230,F227:F230,$M227:$M230,N227:N230)</f>
        <v>-6.8361247151121907E-3</v>
      </c>
      <c r="V227" s="9"/>
      <c r="W227" s="10"/>
      <c r="X227" s="29"/>
      <c r="Y227" s="24"/>
      <c r="Z227" s="24"/>
      <c r="AA227" s="27"/>
      <c r="AB227" s="114"/>
      <c r="AC227" s="114"/>
      <c r="AD227" s="114"/>
      <c r="AE227" s="114"/>
      <c r="AF227" s="114"/>
      <c r="AG227" s="114"/>
      <c r="AH227" s="114"/>
    </row>
    <row r="228" spans="2:34" ht="12.75">
      <c r="B228" s="36"/>
      <c r="C228" s="29"/>
      <c r="D228" s="32">
        <v>39</v>
      </c>
      <c r="E228" s="133">
        <v>19.515000000000001</v>
      </c>
      <c r="F228" s="133">
        <v>41.512999999999998</v>
      </c>
      <c r="G228" s="133"/>
      <c r="H228" s="133"/>
      <c r="I228" s="133"/>
      <c r="J228" s="134"/>
      <c r="K228" s="135"/>
      <c r="L228" s="29"/>
      <c r="M228" s="147">
        <v>19.701000000000001</v>
      </c>
      <c r="N228" s="147">
        <v>41.584099999999999</v>
      </c>
      <c r="O228" s="147"/>
      <c r="P228" s="147"/>
      <c r="Q228" s="147"/>
      <c r="R228" s="148"/>
      <c r="S228" s="149"/>
      <c r="U228" s="12"/>
      <c r="V228" s="13"/>
      <c r="W228" s="14"/>
      <c r="X228" s="29"/>
      <c r="Y228" s="24"/>
      <c r="Z228" s="24"/>
      <c r="AA228" s="27"/>
      <c r="AB228" s="114"/>
      <c r="AC228" s="114"/>
      <c r="AD228" s="114"/>
      <c r="AE228" s="114"/>
      <c r="AF228" s="114"/>
      <c r="AG228" s="114"/>
      <c r="AH228" s="114"/>
    </row>
    <row r="229" spans="2:34" ht="12.75">
      <c r="B229" s="36"/>
      <c r="C229" s="29"/>
      <c r="D229" s="32">
        <v>42</v>
      </c>
      <c r="E229" s="133">
        <v>9.4450000000000003</v>
      </c>
      <c r="F229" s="133">
        <v>38.428400000000003</v>
      </c>
      <c r="G229" s="133"/>
      <c r="H229" s="133"/>
      <c r="I229" s="133"/>
      <c r="J229" s="134"/>
      <c r="K229" s="135"/>
      <c r="L229" s="29"/>
      <c r="M229" s="147">
        <v>9.4359999999999999</v>
      </c>
      <c r="N229" s="147">
        <v>38.503799999999998</v>
      </c>
      <c r="O229" s="147"/>
      <c r="P229" s="147"/>
      <c r="Q229" s="147"/>
      <c r="R229" s="148"/>
      <c r="S229" s="149"/>
      <c r="U229" s="12"/>
      <c r="V229" s="13"/>
      <c r="W229" s="14"/>
      <c r="X229" s="29"/>
      <c r="Y229" s="24"/>
      <c r="Z229" s="24"/>
      <c r="AA229" s="27"/>
      <c r="AB229" s="114"/>
      <c r="AC229" s="114"/>
      <c r="AD229" s="114"/>
      <c r="AE229" s="114"/>
      <c r="AF229" s="114"/>
      <c r="AG229" s="114"/>
      <c r="AH229" s="114"/>
    </row>
    <row r="230" spans="2:34" ht="13.5" thickBot="1">
      <c r="B230" s="36"/>
      <c r="C230" s="29"/>
      <c r="D230" s="32">
        <v>45</v>
      </c>
      <c r="E230" s="136">
        <v>5.2439999999999998</v>
      </c>
      <c r="F230" s="136">
        <v>35.402799999999999</v>
      </c>
      <c r="G230" s="136"/>
      <c r="H230" s="136"/>
      <c r="I230" s="136"/>
      <c r="J230" s="137"/>
      <c r="K230" s="138"/>
      <c r="L230" s="29"/>
      <c r="M230" s="150">
        <v>5.2220000000000004</v>
      </c>
      <c r="N230" s="150">
        <v>35.299599999999998</v>
      </c>
      <c r="O230" s="150"/>
      <c r="P230" s="150"/>
      <c r="Q230" s="150"/>
      <c r="R230" s="151"/>
      <c r="S230" s="152"/>
      <c r="U230" s="12"/>
      <c r="V230" s="13"/>
      <c r="W230" s="14"/>
      <c r="X230" s="29"/>
      <c r="Y230" s="24"/>
      <c r="Z230" s="24"/>
      <c r="AA230" s="27"/>
      <c r="AB230" s="114"/>
      <c r="AC230" s="114"/>
      <c r="AD230" s="114"/>
      <c r="AE230" s="114"/>
      <c r="AF230" s="114"/>
      <c r="AG230" s="114"/>
      <c r="AH230" s="114"/>
    </row>
    <row r="231" spans="2:34" ht="12.75">
      <c r="B231" s="36"/>
      <c r="C231" s="28" t="s">
        <v>31</v>
      </c>
      <c r="D231" s="31">
        <v>34</v>
      </c>
      <c r="E231" s="130">
        <v>49.411999999999999</v>
      </c>
      <c r="F231" s="130">
        <v>44.525599999999997</v>
      </c>
      <c r="G231" s="130"/>
      <c r="H231" s="130"/>
      <c r="I231" s="130"/>
      <c r="J231" s="131"/>
      <c r="K231" s="132"/>
      <c r="L231" s="29"/>
      <c r="M231" s="144">
        <v>49.353999999999999</v>
      </c>
      <c r="N231" s="144">
        <v>44.5379</v>
      </c>
      <c r="O231" s="144"/>
      <c r="P231" s="144"/>
      <c r="Q231" s="144"/>
      <c r="R231" s="145"/>
      <c r="S231" s="146"/>
      <c r="U231" s="8">
        <f>bdrate($E231:$E234,F231:F234,$M231:$M234,N231:N234)</f>
        <v>6.1097489266246363E-3</v>
      </c>
      <c r="V231" s="9"/>
      <c r="W231" s="10"/>
      <c r="X231" s="29"/>
      <c r="Y231" s="24"/>
      <c r="Z231" s="24"/>
      <c r="AA231" s="27"/>
      <c r="AB231" s="114"/>
      <c r="AC231" s="114"/>
      <c r="AD231" s="114"/>
      <c r="AE231" s="114"/>
      <c r="AF231" s="114"/>
      <c r="AG231" s="114"/>
      <c r="AH231" s="114"/>
    </row>
    <row r="232" spans="2:34" ht="12.75">
      <c r="B232" s="36"/>
      <c r="C232" s="29"/>
      <c r="D232" s="32">
        <v>39</v>
      </c>
      <c r="E232" s="133">
        <v>18.855</v>
      </c>
      <c r="F232" s="133">
        <v>41.537300000000002</v>
      </c>
      <c r="G232" s="133"/>
      <c r="H232" s="133"/>
      <c r="I232" s="133"/>
      <c r="J232" s="134"/>
      <c r="K232" s="135"/>
      <c r="L232" s="29"/>
      <c r="M232" s="147">
        <v>18.919</v>
      </c>
      <c r="N232" s="147">
        <v>41.490200000000002</v>
      </c>
      <c r="O232" s="147"/>
      <c r="P232" s="147"/>
      <c r="Q232" s="147"/>
      <c r="R232" s="148"/>
      <c r="S232" s="149"/>
      <c r="U232" s="41"/>
      <c r="V232" s="42"/>
      <c r="W232" s="43"/>
      <c r="X232" s="29"/>
      <c r="Y232" s="24"/>
      <c r="Z232" s="24"/>
      <c r="AA232" s="27"/>
      <c r="AB232" s="114"/>
      <c r="AC232" s="114"/>
      <c r="AD232" s="114"/>
      <c r="AE232" s="114"/>
      <c r="AF232" s="114"/>
      <c r="AG232" s="114"/>
      <c r="AH232" s="114"/>
    </row>
    <row r="233" spans="2:34" ht="12.75">
      <c r="B233" s="36"/>
      <c r="C233" s="29"/>
      <c r="D233" s="32">
        <v>42</v>
      </c>
      <c r="E233" s="133">
        <v>9.0259999999999998</v>
      </c>
      <c r="F233" s="133">
        <v>38.780200000000001</v>
      </c>
      <c r="G233" s="133"/>
      <c r="H233" s="133"/>
      <c r="I233" s="133"/>
      <c r="J233" s="134"/>
      <c r="K233" s="135"/>
      <c r="L233" s="29"/>
      <c r="M233" s="147">
        <v>9.0719999999999992</v>
      </c>
      <c r="N233" s="147">
        <v>38.823700000000002</v>
      </c>
      <c r="O233" s="147"/>
      <c r="P233" s="147"/>
      <c r="Q233" s="147"/>
      <c r="R233" s="148"/>
      <c r="S233" s="149"/>
      <c r="U233" s="41"/>
      <c r="V233" s="42"/>
      <c r="W233" s="43"/>
      <c r="X233" s="29"/>
      <c r="Y233" s="24"/>
      <c r="Z233" s="24"/>
      <c r="AA233" s="27"/>
      <c r="AB233" s="114"/>
      <c r="AC233" s="114"/>
      <c r="AD233" s="114"/>
      <c r="AE233" s="114"/>
      <c r="AF233" s="114"/>
      <c r="AG233" s="114"/>
      <c r="AH233" s="114"/>
    </row>
    <row r="234" spans="2:34" ht="13.5" thickBot="1">
      <c r="B234" s="36"/>
      <c r="C234" s="29"/>
      <c r="D234" s="32">
        <v>45</v>
      </c>
      <c r="E234" s="136">
        <v>5.0839999999999996</v>
      </c>
      <c r="F234" s="136">
        <v>35.835099999999997</v>
      </c>
      <c r="G234" s="136"/>
      <c r="H234" s="136"/>
      <c r="I234" s="136"/>
      <c r="J234" s="137"/>
      <c r="K234" s="138"/>
      <c r="L234" s="29"/>
      <c r="M234" s="150">
        <v>5.1040000000000001</v>
      </c>
      <c r="N234" s="150">
        <v>35.750599999999999</v>
      </c>
      <c r="O234" s="150"/>
      <c r="P234" s="150"/>
      <c r="Q234" s="150"/>
      <c r="R234" s="151"/>
      <c r="S234" s="152"/>
      <c r="U234" s="41"/>
      <c r="V234" s="42"/>
      <c r="W234" s="43"/>
      <c r="X234" s="29"/>
      <c r="Y234" s="24"/>
      <c r="Z234" s="24"/>
      <c r="AA234" s="27"/>
      <c r="AB234" s="114"/>
      <c r="AC234" s="114"/>
      <c r="AD234" s="114"/>
      <c r="AE234" s="114"/>
      <c r="AF234" s="114"/>
      <c r="AG234" s="114"/>
      <c r="AH234" s="114"/>
    </row>
    <row r="235" spans="2:34" ht="12.75">
      <c r="B235" s="36"/>
      <c r="C235" s="28" t="s">
        <v>47</v>
      </c>
      <c r="D235" s="31">
        <v>25</v>
      </c>
      <c r="E235" s="130"/>
      <c r="F235" s="130">
        <v>42.868600000000001</v>
      </c>
      <c r="G235" s="130">
        <v>48.101399999999998</v>
      </c>
      <c r="H235" s="130">
        <v>47.278399999999998</v>
      </c>
      <c r="I235" s="130"/>
      <c r="J235" s="131"/>
      <c r="K235" s="132"/>
      <c r="L235" s="29"/>
      <c r="M235" s="144"/>
      <c r="N235" s="144">
        <v>42.871899999999997</v>
      </c>
      <c r="O235" s="144">
        <v>48.125100000000003</v>
      </c>
      <c r="P235" s="144">
        <v>47.274500000000003</v>
      </c>
      <c r="Q235" s="144"/>
      <c r="R235" s="145"/>
      <c r="S235" s="146"/>
      <c r="U235" s="8"/>
      <c r="V235" s="9"/>
      <c r="W235" s="10"/>
      <c r="X235" s="29"/>
      <c r="Y235" s="24"/>
      <c r="Z235" s="24"/>
      <c r="AA235" s="27"/>
      <c r="AB235" s="114"/>
      <c r="AC235" s="114"/>
      <c r="AD235" s="114"/>
      <c r="AE235" s="114"/>
      <c r="AF235" s="114"/>
      <c r="AG235" s="114"/>
      <c r="AH235" s="114"/>
    </row>
    <row r="236" spans="2:34" ht="12.75">
      <c r="B236" s="36"/>
      <c r="C236" s="29"/>
      <c r="D236" s="32">
        <v>30</v>
      </c>
      <c r="E236" s="133"/>
      <c r="F236" s="133">
        <v>41.7057</v>
      </c>
      <c r="G236" s="133">
        <v>46.9758</v>
      </c>
      <c r="H236" s="133">
        <v>46.501300000000001</v>
      </c>
      <c r="I236" s="133"/>
      <c r="J236" s="134"/>
      <c r="K236" s="135"/>
      <c r="L236" s="29"/>
      <c r="M236" s="147"/>
      <c r="N236" s="147">
        <v>41.708799999999997</v>
      </c>
      <c r="O236" s="147">
        <v>46.995800000000003</v>
      </c>
      <c r="P236" s="147">
        <v>46.538400000000003</v>
      </c>
      <c r="Q236" s="147"/>
      <c r="R236" s="148"/>
      <c r="S236" s="149"/>
      <c r="U236" s="17"/>
      <c r="V236" s="18"/>
      <c r="W236" s="19"/>
      <c r="X236" s="29"/>
      <c r="Y236" s="24"/>
      <c r="Z236" s="24"/>
      <c r="AA236" s="27"/>
      <c r="AB236" s="114"/>
      <c r="AC236" s="114"/>
      <c r="AD236" s="114"/>
      <c r="AE236" s="114"/>
      <c r="AF236" s="114"/>
      <c r="AG236" s="114"/>
      <c r="AH236" s="114"/>
    </row>
    <row r="237" spans="2:34" ht="12.75">
      <c r="B237" s="36"/>
      <c r="C237" s="29"/>
      <c r="D237" s="32">
        <v>35</v>
      </c>
      <c r="E237" s="133"/>
      <c r="F237" s="133">
        <v>40.1357</v>
      </c>
      <c r="G237" s="133">
        <v>45.817300000000003</v>
      </c>
      <c r="H237" s="133">
        <v>45.521000000000001</v>
      </c>
      <c r="I237" s="133"/>
      <c r="J237" s="134"/>
      <c r="K237" s="135"/>
      <c r="L237" s="29"/>
      <c r="M237" s="147"/>
      <c r="N237" s="147">
        <v>40.127000000000002</v>
      </c>
      <c r="O237" s="147">
        <v>45.834099999999999</v>
      </c>
      <c r="P237" s="147">
        <v>45.581299999999999</v>
      </c>
      <c r="Q237" s="147"/>
      <c r="R237" s="148"/>
      <c r="S237" s="149"/>
      <c r="U237" s="41"/>
      <c r="V237" s="44"/>
      <c r="W237" s="43"/>
      <c r="X237" s="29"/>
      <c r="Y237" s="24"/>
      <c r="Z237" s="24"/>
      <c r="AA237" s="27"/>
      <c r="AB237" s="114"/>
      <c r="AC237" s="114"/>
      <c r="AD237" s="114"/>
      <c r="AE237" s="114"/>
      <c r="AF237" s="114"/>
      <c r="AG237" s="114"/>
      <c r="AH237" s="114"/>
    </row>
    <row r="238" spans="2:34" ht="13.5" thickBot="1">
      <c r="B238" s="36"/>
      <c r="C238" s="51"/>
      <c r="D238" s="69">
        <v>40</v>
      </c>
      <c r="E238" s="136"/>
      <c r="F238" s="136">
        <v>38.2029</v>
      </c>
      <c r="G238" s="136">
        <v>44.882199999999997</v>
      </c>
      <c r="H238" s="136">
        <v>44.459400000000002</v>
      </c>
      <c r="I238" s="136"/>
      <c r="J238" s="137"/>
      <c r="K238" s="138"/>
      <c r="L238" s="29"/>
      <c r="M238" s="150"/>
      <c r="N238" s="150">
        <v>38.208500000000001</v>
      </c>
      <c r="O238" s="150">
        <v>44.872500000000002</v>
      </c>
      <c r="P238" s="150">
        <v>44.46</v>
      </c>
      <c r="Q238" s="150"/>
      <c r="R238" s="151"/>
      <c r="S238" s="152"/>
      <c r="U238" s="41"/>
      <c r="V238" s="42"/>
      <c r="W238" s="43"/>
      <c r="X238" s="29"/>
      <c r="Y238" s="24"/>
      <c r="Z238" s="24"/>
      <c r="AA238" s="27"/>
      <c r="AB238" s="114"/>
      <c r="AC238" s="114"/>
      <c r="AD238" s="114"/>
      <c r="AE238" s="114"/>
      <c r="AF238" s="114"/>
      <c r="AG238" s="114"/>
      <c r="AH238" s="114"/>
    </row>
    <row r="239" spans="2:34" ht="12.75">
      <c r="B239" s="36"/>
      <c r="C239" s="29" t="s">
        <v>48</v>
      </c>
      <c r="D239" s="32">
        <v>25</v>
      </c>
      <c r="E239" s="130"/>
      <c r="F239" s="130">
        <v>43.601100000000002</v>
      </c>
      <c r="G239" s="130">
        <v>49.033999999999999</v>
      </c>
      <c r="H239" s="130">
        <v>48.468200000000003</v>
      </c>
      <c r="I239" s="130"/>
      <c r="J239" s="131"/>
      <c r="K239" s="132"/>
      <c r="L239" s="29"/>
      <c r="M239" s="144"/>
      <c r="N239" s="144">
        <v>43.601300000000002</v>
      </c>
      <c r="O239" s="144">
        <v>49.043999999999997</v>
      </c>
      <c r="P239" s="144">
        <v>48.4604</v>
      </c>
      <c r="Q239" s="144"/>
      <c r="R239" s="145"/>
      <c r="S239" s="146"/>
      <c r="U239" s="8"/>
      <c r="V239" s="9"/>
      <c r="W239" s="10"/>
      <c r="X239" s="29"/>
      <c r="Y239" s="24"/>
      <c r="Z239" s="24"/>
      <c r="AA239" s="27"/>
      <c r="AB239" s="114"/>
      <c r="AC239" s="114"/>
      <c r="AD239" s="114"/>
      <c r="AE239" s="114"/>
      <c r="AF239" s="114"/>
      <c r="AG239" s="114"/>
      <c r="AH239" s="114"/>
    </row>
    <row r="240" spans="2:34" ht="12.75">
      <c r="B240" s="36"/>
      <c r="C240" s="29"/>
      <c r="D240" s="32">
        <v>30</v>
      </c>
      <c r="E240" s="133"/>
      <c r="F240" s="133">
        <v>42.293100000000003</v>
      </c>
      <c r="G240" s="133">
        <v>47.859000000000002</v>
      </c>
      <c r="H240" s="133">
        <v>47.501899999999999</v>
      </c>
      <c r="I240" s="133"/>
      <c r="J240" s="134"/>
      <c r="K240" s="135"/>
      <c r="L240" s="29"/>
      <c r="M240" s="147"/>
      <c r="N240" s="147">
        <v>42.2973</v>
      </c>
      <c r="O240" s="147">
        <v>47.856400000000001</v>
      </c>
      <c r="P240" s="147">
        <v>47.521700000000003</v>
      </c>
      <c r="Q240" s="147"/>
      <c r="R240" s="148"/>
      <c r="S240" s="149"/>
      <c r="U240" s="41"/>
      <c r="V240" s="42"/>
      <c r="W240" s="43"/>
      <c r="X240" s="29"/>
      <c r="Y240" s="24"/>
      <c r="Z240" s="24"/>
      <c r="AA240" s="27"/>
      <c r="AB240" s="114"/>
      <c r="AC240" s="114"/>
      <c r="AD240" s="114"/>
      <c r="AE240" s="114"/>
      <c r="AF240" s="114"/>
      <c r="AG240" s="114"/>
      <c r="AH240" s="114"/>
    </row>
    <row r="241" spans="2:34" ht="12.75">
      <c r="B241" s="36"/>
      <c r="C241" s="29"/>
      <c r="D241" s="32">
        <v>35</v>
      </c>
      <c r="E241" s="133"/>
      <c r="F241" s="133">
        <v>40.5899</v>
      </c>
      <c r="G241" s="133">
        <v>46.514000000000003</v>
      </c>
      <c r="H241" s="133">
        <v>46.229500000000002</v>
      </c>
      <c r="I241" s="133"/>
      <c r="J241" s="134"/>
      <c r="K241" s="135"/>
      <c r="L241" s="29"/>
      <c r="M241" s="147"/>
      <c r="N241" s="147">
        <v>40.588200000000001</v>
      </c>
      <c r="O241" s="147">
        <v>46.522500000000001</v>
      </c>
      <c r="P241" s="147">
        <v>46.291200000000003</v>
      </c>
      <c r="Q241" s="147"/>
      <c r="R241" s="148"/>
      <c r="S241" s="149"/>
      <c r="U241" s="17"/>
      <c r="V241" s="18"/>
      <c r="W241" s="19"/>
      <c r="X241" s="29"/>
      <c r="Y241" s="24"/>
      <c r="Z241" s="24"/>
      <c r="AA241" s="27"/>
      <c r="AB241" s="114"/>
      <c r="AC241" s="114"/>
      <c r="AD241" s="114"/>
      <c r="AE241" s="114"/>
      <c r="AF241" s="114"/>
      <c r="AG241" s="114"/>
      <c r="AH241" s="114"/>
    </row>
    <row r="242" spans="2:34" ht="13.5" thickBot="1">
      <c r="B242" s="36"/>
      <c r="C242" s="51"/>
      <c r="D242" s="69">
        <v>40</v>
      </c>
      <c r="E242" s="136"/>
      <c r="F242" s="136">
        <v>38.564300000000003</v>
      </c>
      <c r="G242" s="136">
        <v>45.354500000000002</v>
      </c>
      <c r="H242" s="136">
        <v>45.001199999999997</v>
      </c>
      <c r="I242" s="136"/>
      <c r="J242" s="137"/>
      <c r="K242" s="138"/>
      <c r="L242" s="29"/>
      <c r="M242" s="150"/>
      <c r="N242" s="150">
        <v>38.567300000000003</v>
      </c>
      <c r="O242" s="150">
        <v>45.3626</v>
      </c>
      <c r="P242" s="150">
        <v>44.993299999999998</v>
      </c>
      <c r="Q242" s="150"/>
      <c r="R242" s="151"/>
      <c r="S242" s="152"/>
      <c r="U242" s="41"/>
      <c r="V242" s="42"/>
      <c r="W242" s="43"/>
      <c r="X242" s="29"/>
      <c r="Y242" s="24"/>
      <c r="Z242" s="24"/>
      <c r="AA242" s="27"/>
      <c r="AB242" s="114"/>
      <c r="AC242" s="114"/>
      <c r="AD242" s="114"/>
      <c r="AE242" s="114"/>
      <c r="AF242" s="114"/>
      <c r="AG242" s="114"/>
      <c r="AH242" s="114"/>
    </row>
    <row r="243" spans="2:34" ht="12.75">
      <c r="B243" s="36"/>
      <c r="C243" s="29" t="s">
        <v>49</v>
      </c>
      <c r="D243" s="32">
        <v>25</v>
      </c>
      <c r="E243" s="130"/>
      <c r="F243" s="130">
        <v>43.154800000000002</v>
      </c>
      <c r="G243" s="130">
        <v>49.241300000000003</v>
      </c>
      <c r="H243" s="130">
        <v>48.787100000000002</v>
      </c>
      <c r="I243" s="130"/>
      <c r="J243" s="131"/>
      <c r="K243" s="132"/>
      <c r="L243" s="29"/>
      <c r="M243" s="144"/>
      <c r="N243" s="144">
        <v>43.149099999999997</v>
      </c>
      <c r="O243" s="144">
        <v>49.2423</v>
      </c>
      <c r="P243" s="144">
        <v>48.784100000000002</v>
      </c>
      <c r="Q243" s="144"/>
      <c r="R243" s="145"/>
      <c r="S243" s="146"/>
      <c r="U243" s="8"/>
      <c r="V243" s="9"/>
      <c r="W243" s="10"/>
      <c r="X243" s="29"/>
      <c r="Y243" s="24"/>
      <c r="Z243" s="24"/>
      <c r="AA243" s="27"/>
      <c r="AB243" s="114"/>
      <c r="AC243" s="114"/>
      <c r="AD243" s="114"/>
      <c r="AE243" s="114"/>
      <c r="AF243" s="114"/>
      <c r="AG243" s="114"/>
      <c r="AH243" s="114"/>
    </row>
    <row r="244" spans="2:34" ht="12.75">
      <c r="B244" s="36"/>
      <c r="C244" s="29"/>
      <c r="D244" s="32">
        <v>30</v>
      </c>
      <c r="E244" s="133"/>
      <c r="F244" s="133">
        <v>42.002600000000001</v>
      </c>
      <c r="G244" s="133">
        <v>48.2239</v>
      </c>
      <c r="H244" s="133">
        <v>47.909799999999997</v>
      </c>
      <c r="I244" s="133"/>
      <c r="J244" s="134"/>
      <c r="K244" s="135"/>
      <c r="L244" s="29"/>
      <c r="M244" s="147"/>
      <c r="N244" s="147">
        <v>42.002099999999999</v>
      </c>
      <c r="O244" s="147">
        <v>48.229799999999997</v>
      </c>
      <c r="P244" s="147">
        <v>47.9176</v>
      </c>
      <c r="Q244" s="147"/>
      <c r="R244" s="148"/>
      <c r="S244" s="149"/>
      <c r="U244" s="41"/>
      <c r="V244" s="42"/>
      <c r="W244" s="43"/>
      <c r="X244" s="29"/>
      <c r="Y244" s="24"/>
      <c r="Z244" s="24"/>
      <c r="AA244" s="27"/>
      <c r="AB244" s="114"/>
      <c r="AC244" s="114"/>
      <c r="AD244" s="114"/>
      <c r="AE244" s="114"/>
      <c r="AF244" s="114"/>
      <c r="AG244" s="114"/>
      <c r="AH244" s="114"/>
    </row>
    <row r="245" spans="2:34" ht="12.75">
      <c r="B245" s="36"/>
      <c r="C245" s="29"/>
      <c r="D245" s="32">
        <v>35</v>
      </c>
      <c r="E245" s="133"/>
      <c r="F245" s="133">
        <v>40.428199999999997</v>
      </c>
      <c r="G245" s="133">
        <v>46.760899999999999</v>
      </c>
      <c r="H245" s="133">
        <v>46.599299999999999</v>
      </c>
      <c r="I245" s="133"/>
      <c r="J245" s="134"/>
      <c r="K245" s="135"/>
      <c r="L245" s="29"/>
      <c r="M245" s="147"/>
      <c r="N245" s="147">
        <v>40.426299999999998</v>
      </c>
      <c r="O245" s="147">
        <v>46.762900000000002</v>
      </c>
      <c r="P245" s="147">
        <v>46.595599999999997</v>
      </c>
      <c r="Q245" s="147"/>
      <c r="R245" s="148"/>
      <c r="S245" s="149"/>
      <c r="U245" s="41"/>
      <c r="V245" s="42"/>
      <c r="W245" s="43"/>
      <c r="X245" s="29"/>
      <c r="Y245" s="24"/>
      <c r="Z245" s="24"/>
      <c r="AA245" s="27"/>
      <c r="AB245" s="114"/>
      <c r="AC245" s="114"/>
      <c r="AD245" s="114"/>
      <c r="AE245" s="114"/>
      <c r="AF245" s="114"/>
      <c r="AG245" s="114"/>
      <c r="AH245" s="114"/>
    </row>
    <row r="246" spans="2:34" ht="13.5" thickBot="1">
      <c r="B246" s="36"/>
      <c r="C246" s="51"/>
      <c r="D246" s="69">
        <v>40</v>
      </c>
      <c r="E246" s="136"/>
      <c r="F246" s="136">
        <v>38.518500000000003</v>
      </c>
      <c r="G246" s="136">
        <v>45.578099999999999</v>
      </c>
      <c r="H246" s="136">
        <v>45.431100000000001</v>
      </c>
      <c r="I246" s="136"/>
      <c r="J246" s="137"/>
      <c r="K246" s="138"/>
      <c r="L246" s="29"/>
      <c r="M246" s="150"/>
      <c r="N246" s="150">
        <v>38.514400000000002</v>
      </c>
      <c r="O246" s="150">
        <v>45.580100000000002</v>
      </c>
      <c r="P246" s="150">
        <v>45.429699999999997</v>
      </c>
      <c r="Q246" s="150"/>
      <c r="R246" s="151"/>
      <c r="S246" s="152"/>
      <c r="U246" s="17"/>
      <c r="V246" s="18"/>
      <c r="W246" s="19"/>
      <c r="X246" s="29"/>
      <c r="Z246" s="59"/>
      <c r="AA246" s="55"/>
      <c r="AB246" s="114"/>
      <c r="AC246" s="114"/>
      <c r="AD246" s="114"/>
      <c r="AE246" s="114"/>
      <c r="AF246" s="114"/>
      <c r="AG246" s="114"/>
      <c r="AH246" s="114"/>
    </row>
    <row r="247" spans="2:34" ht="12.75">
      <c r="B247" s="36"/>
      <c r="C247" s="29" t="s">
        <v>50</v>
      </c>
      <c r="D247" s="32">
        <v>25</v>
      </c>
      <c r="E247" s="130"/>
      <c r="F247" s="130">
        <v>43.259300000000003</v>
      </c>
      <c r="G247" s="130">
        <v>49.118600000000001</v>
      </c>
      <c r="H247" s="130">
        <v>49.013500000000001</v>
      </c>
      <c r="I247" s="130"/>
      <c r="J247" s="131"/>
      <c r="K247" s="132"/>
      <c r="L247" s="29"/>
      <c r="M247" s="144"/>
      <c r="N247" s="144">
        <v>43.259599999999999</v>
      </c>
      <c r="O247" s="144">
        <v>49.1096</v>
      </c>
      <c r="P247" s="144">
        <v>49.013599999999997</v>
      </c>
      <c r="Q247" s="144"/>
      <c r="R247" s="145"/>
      <c r="S247" s="146"/>
      <c r="U247" s="8"/>
      <c r="V247" s="9"/>
      <c r="W247" s="10"/>
      <c r="X247" s="29"/>
      <c r="Y247" s="24"/>
      <c r="Z247" s="24"/>
      <c r="AA247" s="27"/>
      <c r="AB247" s="114"/>
      <c r="AC247" s="114"/>
      <c r="AD247" s="114"/>
      <c r="AE247" s="114"/>
      <c r="AF247" s="114"/>
      <c r="AG247" s="114"/>
      <c r="AH247" s="114"/>
    </row>
    <row r="248" spans="2:34" ht="12.75">
      <c r="B248" s="36"/>
      <c r="C248" s="29"/>
      <c r="D248" s="32">
        <v>30</v>
      </c>
      <c r="E248" s="133"/>
      <c r="F248" s="133">
        <v>42.113500000000002</v>
      </c>
      <c r="G248" s="133">
        <v>48.155299999999997</v>
      </c>
      <c r="H248" s="133">
        <v>48.116700000000002</v>
      </c>
      <c r="I248" s="133"/>
      <c r="J248" s="134"/>
      <c r="K248" s="135"/>
      <c r="L248" s="29"/>
      <c r="M248" s="147"/>
      <c r="N248" s="147">
        <v>42.115299999999998</v>
      </c>
      <c r="O248" s="147">
        <v>48.150399999999998</v>
      </c>
      <c r="P248" s="147">
        <v>48.113900000000001</v>
      </c>
      <c r="Q248" s="147"/>
      <c r="R248" s="148"/>
      <c r="S248" s="149"/>
      <c r="U248" s="12"/>
      <c r="V248" s="13"/>
      <c r="W248" s="14"/>
      <c r="X248" s="29"/>
      <c r="Y248" s="24"/>
      <c r="Z248" s="24"/>
      <c r="AA248" s="27"/>
      <c r="AB248" s="114"/>
      <c r="AC248" s="114"/>
      <c r="AD248" s="114"/>
      <c r="AE248" s="114"/>
      <c r="AF248" s="114"/>
      <c r="AG248" s="114"/>
      <c r="AH248" s="114"/>
    </row>
    <row r="249" spans="2:34" ht="12.75">
      <c r="B249" s="36"/>
      <c r="C249" s="29"/>
      <c r="D249" s="32">
        <v>35</v>
      </c>
      <c r="E249" s="133"/>
      <c r="F249" s="133">
        <v>40.536999999999999</v>
      </c>
      <c r="G249" s="133">
        <v>46.741999999999997</v>
      </c>
      <c r="H249" s="133">
        <v>46.761499999999998</v>
      </c>
      <c r="I249" s="133"/>
      <c r="J249" s="134"/>
      <c r="K249" s="135"/>
      <c r="L249" s="29"/>
      <c r="M249" s="147"/>
      <c r="N249" s="147">
        <v>40.539700000000003</v>
      </c>
      <c r="O249" s="147">
        <v>46.741999999999997</v>
      </c>
      <c r="P249" s="147">
        <v>46.761200000000002</v>
      </c>
      <c r="Q249" s="147"/>
      <c r="R249" s="148"/>
      <c r="S249" s="149"/>
      <c r="U249" s="12"/>
      <c r="V249" s="13"/>
      <c r="W249" s="14"/>
      <c r="X249" s="29"/>
      <c r="Y249" s="24"/>
      <c r="Z249" s="24"/>
      <c r="AA249" s="27"/>
      <c r="AB249" s="114"/>
      <c r="AC249" s="114"/>
      <c r="AD249" s="114"/>
      <c r="AE249" s="114"/>
      <c r="AF249" s="114"/>
      <c r="AG249" s="114"/>
      <c r="AH249" s="114"/>
    </row>
    <row r="250" spans="2:34" ht="13.5" thickBot="1">
      <c r="B250" s="36"/>
      <c r="C250" s="51"/>
      <c r="D250" s="69">
        <v>40</v>
      </c>
      <c r="E250" s="136"/>
      <c r="F250" s="136">
        <v>38.594999999999999</v>
      </c>
      <c r="G250" s="136">
        <v>45.619799999999998</v>
      </c>
      <c r="H250" s="136">
        <v>45.558300000000003</v>
      </c>
      <c r="I250" s="136"/>
      <c r="J250" s="137"/>
      <c r="K250" s="138"/>
      <c r="L250" s="29"/>
      <c r="M250" s="150"/>
      <c r="N250" s="150">
        <v>38.598399999999998</v>
      </c>
      <c r="O250" s="150">
        <v>45.620899999999999</v>
      </c>
      <c r="P250" s="150">
        <v>45.5578</v>
      </c>
      <c r="Q250" s="150"/>
      <c r="R250" s="151"/>
      <c r="S250" s="152"/>
      <c r="U250" s="12"/>
      <c r="V250" s="13"/>
      <c r="W250" s="14"/>
      <c r="X250" s="29"/>
      <c r="Y250" s="24"/>
      <c r="Z250" s="24"/>
      <c r="AA250" s="27"/>
      <c r="AB250" s="114"/>
      <c r="AC250" s="114"/>
      <c r="AD250" s="114"/>
      <c r="AE250" s="114"/>
      <c r="AF250" s="114"/>
      <c r="AG250" s="114"/>
      <c r="AH250" s="114"/>
    </row>
    <row r="251" spans="2:34" ht="12.75">
      <c r="B251" s="36"/>
      <c r="C251" s="29" t="s">
        <v>51</v>
      </c>
      <c r="D251" s="32">
        <v>25</v>
      </c>
      <c r="E251" s="131"/>
      <c r="F251" s="131">
        <v>43.734900000000003</v>
      </c>
      <c r="G251" s="131">
        <v>48.840899999999998</v>
      </c>
      <c r="H251" s="131">
        <v>49.203699999999998</v>
      </c>
      <c r="I251" s="131"/>
      <c r="J251" s="131"/>
      <c r="K251" s="132"/>
      <c r="L251" s="29"/>
      <c r="M251" s="145"/>
      <c r="N251" s="145">
        <v>43.730200000000004</v>
      </c>
      <c r="O251" s="145">
        <v>48.829099999999997</v>
      </c>
      <c r="P251" s="145">
        <v>49.198099999999997</v>
      </c>
      <c r="Q251" s="145"/>
      <c r="R251" s="145"/>
      <c r="S251" s="146"/>
      <c r="U251" s="8"/>
      <c r="V251" s="9"/>
      <c r="W251" s="10"/>
      <c r="X251" s="29"/>
      <c r="Y251" s="24"/>
      <c r="Z251" s="24"/>
      <c r="AA251" s="27"/>
      <c r="AB251" s="114"/>
      <c r="AC251" s="114"/>
      <c r="AD251" s="114"/>
      <c r="AE251" s="114"/>
      <c r="AF251" s="114"/>
      <c r="AG251" s="114"/>
      <c r="AH251" s="114"/>
    </row>
    <row r="252" spans="2:34" ht="12.75">
      <c r="B252" s="36"/>
      <c r="C252" s="29"/>
      <c r="D252" s="32">
        <v>30</v>
      </c>
      <c r="E252" s="134"/>
      <c r="F252" s="134">
        <v>42.477699999999999</v>
      </c>
      <c r="G252" s="134">
        <v>47.650700000000001</v>
      </c>
      <c r="H252" s="134">
        <v>48.038899999999998</v>
      </c>
      <c r="I252" s="134"/>
      <c r="J252" s="134"/>
      <c r="K252" s="135"/>
      <c r="L252" s="29"/>
      <c r="M252" s="148"/>
      <c r="N252" s="148">
        <v>42.471800000000002</v>
      </c>
      <c r="O252" s="148">
        <v>47.646500000000003</v>
      </c>
      <c r="P252" s="148">
        <v>48.017099999999999</v>
      </c>
      <c r="Q252" s="148"/>
      <c r="R252" s="148"/>
      <c r="S252" s="149"/>
      <c r="U252" s="41"/>
      <c r="V252" s="42"/>
      <c r="W252" s="43"/>
      <c r="X252" s="29"/>
      <c r="Y252" s="24"/>
      <c r="Z252" s="24"/>
      <c r="AA252" s="27"/>
      <c r="AB252" s="114"/>
      <c r="AC252" s="114"/>
      <c r="AD252" s="114"/>
      <c r="AE252" s="114"/>
      <c r="AF252" s="114"/>
      <c r="AG252" s="114"/>
      <c r="AH252" s="114"/>
    </row>
    <row r="253" spans="2:34" ht="12.75">
      <c r="B253" s="36"/>
      <c r="C253" s="29"/>
      <c r="D253" s="32">
        <v>35</v>
      </c>
      <c r="E253" s="134"/>
      <c r="F253" s="134">
        <v>40.8108</v>
      </c>
      <c r="G253" s="134">
        <v>46.3718</v>
      </c>
      <c r="H253" s="134">
        <v>46.735100000000003</v>
      </c>
      <c r="I253" s="134"/>
      <c r="J253" s="134"/>
      <c r="K253" s="135"/>
      <c r="L253" s="29"/>
      <c r="M253" s="148"/>
      <c r="N253" s="148">
        <v>40.813099999999999</v>
      </c>
      <c r="O253" s="148">
        <v>46.350900000000003</v>
      </c>
      <c r="P253" s="148">
        <v>46.752800000000001</v>
      </c>
      <c r="Q253" s="148"/>
      <c r="R253" s="148"/>
      <c r="S253" s="149"/>
      <c r="U253" s="41"/>
      <c r="V253" s="42"/>
      <c r="W253" s="43"/>
      <c r="X253" s="29"/>
      <c r="Y253" s="24"/>
      <c r="Z253" s="24"/>
      <c r="AA253" s="27"/>
      <c r="AB253" s="114"/>
      <c r="AC253" s="114"/>
      <c r="AD253" s="114"/>
      <c r="AE253" s="114"/>
      <c r="AF253" s="114"/>
      <c r="AG253" s="114"/>
      <c r="AH253" s="114"/>
    </row>
    <row r="254" spans="2:34" ht="13.5" thickBot="1">
      <c r="B254" s="36"/>
      <c r="C254" s="51"/>
      <c r="D254" s="69">
        <v>40</v>
      </c>
      <c r="E254" s="137"/>
      <c r="F254" s="137">
        <v>38.799399999999999</v>
      </c>
      <c r="G254" s="137">
        <v>45.202100000000002</v>
      </c>
      <c r="H254" s="137">
        <v>45.504800000000003</v>
      </c>
      <c r="I254" s="137"/>
      <c r="J254" s="137"/>
      <c r="K254" s="138"/>
      <c r="L254" s="29"/>
      <c r="M254" s="151"/>
      <c r="N254" s="151">
        <v>38.809399999999997</v>
      </c>
      <c r="O254" s="151">
        <v>45.218299999999999</v>
      </c>
      <c r="P254" s="151">
        <v>45.464199999999998</v>
      </c>
      <c r="Q254" s="151"/>
      <c r="R254" s="151"/>
      <c r="S254" s="152"/>
      <c r="U254" s="41"/>
      <c r="V254" s="42"/>
      <c r="W254" s="43"/>
      <c r="X254" s="29"/>
      <c r="Y254" s="24"/>
      <c r="Z254" s="24"/>
      <c r="AA254" s="27"/>
      <c r="AB254" s="114"/>
      <c r="AC254" s="114"/>
      <c r="AD254" s="114"/>
      <c r="AE254" s="114"/>
      <c r="AF254" s="114"/>
      <c r="AG254" s="114"/>
      <c r="AH254" s="114"/>
    </row>
    <row r="255" spans="2:34" ht="12.75">
      <c r="B255" s="36"/>
      <c r="C255" s="29" t="s">
        <v>52</v>
      </c>
      <c r="D255" s="32">
        <v>25</v>
      </c>
      <c r="E255" s="131"/>
      <c r="F255" s="131">
        <v>42.929299999999998</v>
      </c>
      <c r="G255" s="131">
        <v>47.625599999999999</v>
      </c>
      <c r="H255" s="131">
        <v>48.1629</v>
      </c>
      <c r="I255" s="131"/>
      <c r="J255" s="131"/>
      <c r="K255" s="132"/>
      <c r="L255" s="29"/>
      <c r="M255" s="145"/>
      <c r="N255" s="145">
        <v>42.926900000000003</v>
      </c>
      <c r="O255" s="145">
        <v>47.6008</v>
      </c>
      <c r="P255" s="145">
        <v>48.139499999999998</v>
      </c>
      <c r="Q255" s="145"/>
      <c r="R255" s="145"/>
      <c r="S255" s="146"/>
      <c r="U255" s="8"/>
      <c r="V255" s="9"/>
      <c r="W255" s="10"/>
      <c r="X255" s="29"/>
      <c r="Y255" s="24"/>
      <c r="Z255" s="24"/>
      <c r="AA255" s="27"/>
      <c r="AB255" s="114"/>
      <c r="AC255" s="114"/>
      <c r="AD255" s="114"/>
      <c r="AE255" s="114"/>
      <c r="AF255" s="114"/>
      <c r="AG255" s="114"/>
      <c r="AH255" s="114"/>
    </row>
    <row r="256" spans="2:34" ht="12.75">
      <c r="B256" s="36"/>
      <c r="C256" s="29"/>
      <c r="D256" s="32">
        <v>30</v>
      </c>
      <c r="E256" s="134"/>
      <c r="F256" s="134">
        <v>41.827300000000001</v>
      </c>
      <c r="G256" s="134">
        <v>46.5946</v>
      </c>
      <c r="H256" s="134">
        <v>47.036299999999997</v>
      </c>
      <c r="I256" s="134"/>
      <c r="J256" s="134"/>
      <c r="K256" s="135"/>
      <c r="L256" s="29"/>
      <c r="M256" s="148"/>
      <c r="N256" s="148">
        <v>41.822200000000002</v>
      </c>
      <c r="O256" s="148">
        <v>46.580599999999997</v>
      </c>
      <c r="P256" s="148">
        <v>47.011099999999999</v>
      </c>
      <c r="Q256" s="148"/>
      <c r="R256" s="148"/>
      <c r="S256" s="149"/>
      <c r="U256" s="17"/>
      <c r="V256" s="18"/>
      <c r="W256" s="19"/>
      <c r="X256" s="29"/>
      <c r="Y256" s="24"/>
      <c r="Z256" s="24"/>
      <c r="AA256" s="27"/>
      <c r="AB256" s="114"/>
      <c r="AC256" s="114"/>
      <c r="AD256" s="114"/>
      <c r="AE256" s="114"/>
      <c r="AF256" s="114"/>
      <c r="AG256" s="114"/>
      <c r="AH256" s="114"/>
    </row>
    <row r="257" spans="1:34" ht="12.75">
      <c r="B257" s="36"/>
      <c r="C257" s="29"/>
      <c r="D257" s="32">
        <v>35</v>
      </c>
      <c r="E257" s="134"/>
      <c r="F257" s="134">
        <v>40.301699999999997</v>
      </c>
      <c r="G257" s="134">
        <v>45.572699999999998</v>
      </c>
      <c r="H257" s="134">
        <v>46.006799999999998</v>
      </c>
      <c r="I257" s="134"/>
      <c r="J257" s="134"/>
      <c r="K257" s="135"/>
      <c r="L257" s="29"/>
      <c r="M257" s="148"/>
      <c r="N257" s="148">
        <v>40.302399999999999</v>
      </c>
      <c r="O257" s="148">
        <v>45.574399999999997</v>
      </c>
      <c r="P257" s="148">
        <v>46.037399999999998</v>
      </c>
      <c r="Q257" s="148"/>
      <c r="R257" s="148"/>
      <c r="S257" s="149"/>
      <c r="U257" s="41"/>
      <c r="V257" s="44"/>
      <c r="W257" s="43"/>
      <c r="X257" s="29"/>
      <c r="Y257" s="24"/>
      <c r="Z257" s="24"/>
      <c r="AA257" s="27"/>
      <c r="AB257" s="114"/>
      <c r="AC257" s="114"/>
      <c r="AD257" s="114"/>
      <c r="AE257" s="114"/>
      <c r="AF257" s="114"/>
      <c r="AG257" s="114"/>
      <c r="AH257" s="114"/>
    </row>
    <row r="258" spans="1:34" ht="13.5" thickBot="1">
      <c r="B258" s="36"/>
      <c r="C258" s="51"/>
      <c r="D258" s="69">
        <v>40</v>
      </c>
      <c r="E258" s="137"/>
      <c r="F258" s="137">
        <v>38.441800000000001</v>
      </c>
      <c r="G258" s="137">
        <v>44.658000000000001</v>
      </c>
      <c r="H258" s="137">
        <v>44.891399999999997</v>
      </c>
      <c r="I258" s="137"/>
      <c r="J258" s="137"/>
      <c r="K258" s="138"/>
      <c r="L258" s="29"/>
      <c r="M258" s="151"/>
      <c r="N258" s="151">
        <v>38.450800000000001</v>
      </c>
      <c r="O258" s="151">
        <v>44.664299999999997</v>
      </c>
      <c r="P258" s="151">
        <v>44.854799999999997</v>
      </c>
      <c r="Q258" s="151"/>
      <c r="R258" s="151"/>
      <c r="S258" s="152"/>
      <c r="U258" s="41"/>
      <c r="V258" s="42"/>
      <c r="W258" s="43"/>
      <c r="X258" s="29"/>
      <c r="Y258" s="24"/>
      <c r="Z258" s="24"/>
      <c r="AA258" s="27"/>
      <c r="AB258" s="114"/>
      <c r="AC258" s="114"/>
      <c r="AD258" s="114"/>
      <c r="AE258" s="114"/>
      <c r="AF258" s="114"/>
      <c r="AG258" s="114"/>
      <c r="AH258" s="114"/>
    </row>
    <row r="259" spans="1:34" ht="12.75">
      <c r="B259" s="36"/>
      <c r="C259" s="29" t="s">
        <v>12</v>
      </c>
      <c r="D259" s="32">
        <v>25</v>
      </c>
      <c r="E259" s="134">
        <v>1495.481</v>
      </c>
      <c r="F259" s="134"/>
      <c r="G259" s="134"/>
      <c r="H259" s="134"/>
      <c r="I259" s="134">
        <v>25879.48</v>
      </c>
      <c r="J259" s="134">
        <v>87.71</v>
      </c>
      <c r="K259" s="135">
        <v>599.98</v>
      </c>
      <c r="L259" s="29"/>
      <c r="M259" s="148">
        <v>1495.3910000000001</v>
      </c>
      <c r="N259" s="148"/>
      <c r="O259" s="148"/>
      <c r="P259" s="148"/>
      <c r="Q259" s="148">
        <v>25901.69</v>
      </c>
      <c r="R259" s="148">
        <v>81.05</v>
      </c>
      <c r="S259" s="149">
        <v>622.57000000000005</v>
      </c>
      <c r="U259" s="8"/>
      <c r="V259" s="9"/>
      <c r="W259" s="10"/>
      <c r="X259" s="29"/>
      <c r="Y259" s="59">
        <f>GEOMEAN(Q259:Q262)/GEOMEAN(I259:I262)</f>
        <v>0.99798331642745741</v>
      </c>
      <c r="Z259" s="59">
        <f>GEOMEAN(R259:R262)/GEOMEAN(J259:J262)</f>
        <v>0.95334854361847332</v>
      </c>
      <c r="AA259" s="55">
        <f>GEOMEAN(S259:S262)/GEOMEAN(K259:K262)</f>
        <v>1.0031685637930525</v>
      </c>
      <c r="AB259" s="114"/>
      <c r="AC259" s="114"/>
      <c r="AD259" s="114"/>
      <c r="AE259" s="114"/>
      <c r="AF259" s="114"/>
      <c r="AG259" s="114"/>
      <c r="AH259" s="114"/>
    </row>
    <row r="260" spans="1:34" ht="12.75">
      <c r="B260" s="36"/>
      <c r="C260" s="29"/>
      <c r="D260" s="32">
        <v>30</v>
      </c>
      <c r="E260" s="134">
        <v>611.90099999999995</v>
      </c>
      <c r="F260" s="134"/>
      <c r="G260" s="134"/>
      <c r="H260" s="134"/>
      <c r="I260" s="134">
        <v>20691.580000000002</v>
      </c>
      <c r="J260" s="134">
        <v>74.25</v>
      </c>
      <c r="K260" s="135">
        <v>607.83000000000004</v>
      </c>
      <c r="L260" s="29"/>
      <c r="M260" s="148">
        <v>611.95399999999995</v>
      </c>
      <c r="N260" s="148"/>
      <c r="O260" s="148"/>
      <c r="P260" s="148"/>
      <c r="Q260" s="148">
        <v>20317.25</v>
      </c>
      <c r="R260" s="148">
        <v>79</v>
      </c>
      <c r="S260" s="149">
        <v>604.76</v>
      </c>
      <c r="U260" s="41"/>
      <c r="V260" s="42"/>
      <c r="W260" s="43"/>
      <c r="X260" s="29"/>
      <c r="Y260" s="24"/>
      <c r="Z260" s="24"/>
      <c r="AA260" s="27"/>
      <c r="AB260" s="114"/>
      <c r="AC260" s="114"/>
      <c r="AD260" s="114"/>
      <c r="AE260" s="114"/>
      <c r="AF260" s="114"/>
      <c r="AG260" s="114"/>
      <c r="AH260" s="114"/>
    </row>
    <row r="261" spans="1:34" ht="12.75">
      <c r="B261" s="36"/>
      <c r="C261" s="29"/>
      <c r="D261" s="32">
        <v>35</v>
      </c>
      <c r="E261" s="134">
        <v>311.702</v>
      </c>
      <c r="F261" s="134"/>
      <c r="G261" s="134"/>
      <c r="H261" s="134"/>
      <c r="I261" s="134">
        <v>17886.63</v>
      </c>
      <c r="J261" s="134">
        <v>71.44</v>
      </c>
      <c r="K261" s="135">
        <v>613.52</v>
      </c>
      <c r="L261" s="29"/>
      <c r="M261" s="148">
        <v>311.72199999999998</v>
      </c>
      <c r="N261" s="148"/>
      <c r="O261" s="148"/>
      <c r="P261" s="148"/>
      <c r="Q261" s="148">
        <v>17918.79</v>
      </c>
      <c r="R261" s="148">
        <v>71.55</v>
      </c>
      <c r="S261" s="149">
        <v>615.13</v>
      </c>
      <c r="U261" s="17"/>
      <c r="V261" s="18"/>
      <c r="W261" s="19"/>
      <c r="X261" s="29"/>
      <c r="Y261" s="24"/>
      <c r="Z261" s="24"/>
      <c r="AA261" s="27"/>
      <c r="AB261" s="114"/>
      <c r="AC261" s="114"/>
      <c r="AD261" s="114"/>
      <c r="AE261" s="114"/>
      <c r="AF261" s="114"/>
      <c r="AG261" s="114"/>
      <c r="AH261" s="114"/>
    </row>
    <row r="262" spans="1:34" ht="13.5" thickBot="1">
      <c r="B262" s="50"/>
      <c r="C262" s="51"/>
      <c r="D262" s="69">
        <v>40</v>
      </c>
      <c r="E262" s="137">
        <v>173.43600000000001</v>
      </c>
      <c r="F262" s="137"/>
      <c r="G262" s="137"/>
      <c r="H262" s="137"/>
      <c r="I262" s="137">
        <v>16438.849999999999</v>
      </c>
      <c r="J262" s="137">
        <v>83.11</v>
      </c>
      <c r="K262" s="138">
        <v>629.35</v>
      </c>
      <c r="L262" s="29"/>
      <c r="M262" s="151">
        <v>173.25399999999999</v>
      </c>
      <c r="N262" s="151"/>
      <c r="O262" s="151"/>
      <c r="P262" s="151"/>
      <c r="Q262" s="151">
        <v>16563.060000000001</v>
      </c>
      <c r="R262" s="151">
        <v>69.72</v>
      </c>
      <c r="S262" s="152">
        <v>615.74</v>
      </c>
      <c r="U262" s="82"/>
      <c r="V262" s="83"/>
      <c r="W262" s="84"/>
      <c r="X262" s="29"/>
      <c r="Y262" s="47"/>
      <c r="Z262" s="47"/>
      <c r="AA262" s="52"/>
      <c r="AB262" s="114"/>
      <c r="AC262" s="114"/>
      <c r="AD262" s="114"/>
      <c r="AE262" s="114"/>
      <c r="AF262" s="114"/>
      <c r="AG262" s="114"/>
      <c r="AH262" s="114"/>
    </row>
    <row r="263" spans="1:34" ht="12.75">
      <c r="A263" s="20" t="s">
        <v>19</v>
      </c>
      <c r="B263" s="35" t="s">
        <v>55</v>
      </c>
      <c r="C263" s="28" t="s">
        <v>26</v>
      </c>
      <c r="D263" s="31">
        <v>25</v>
      </c>
      <c r="E263" s="130">
        <v>2440.5952000000002</v>
      </c>
      <c r="F263" s="130">
        <v>39.861800000000002</v>
      </c>
      <c r="G263" s="130">
        <v>46.748800000000003</v>
      </c>
      <c r="H263" s="130">
        <v>46.033200000000001</v>
      </c>
      <c r="I263" s="130"/>
      <c r="J263" s="131"/>
      <c r="K263" s="132"/>
      <c r="L263" s="29"/>
      <c r="M263" s="144">
        <v>2440.5952000000002</v>
      </c>
      <c r="N263" s="144">
        <v>39.861800000000002</v>
      </c>
      <c r="O263" s="144">
        <v>46.748800000000003</v>
      </c>
      <c r="P263" s="144">
        <v>46.033200000000001</v>
      </c>
      <c r="Q263" s="144"/>
      <c r="R263" s="145"/>
      <c r="S263" s="146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B263" s="114"/>
      <c r="AC263" s="114"/>
      <c r="AD263" s="114"/>
      <c r="AE263" s="114"/>
      <c r="AF263" s="114"/>
      <c r="AG263" s="114"/>
      <c r="AH263" s="114"/>
    </row>
    <row r="264" spans="1:34" ht="12.75">
      <c r="B264" s="36"/>
      <c r="C264" s="29"/>
      <c r="D264" s="32">
        <v>30</v>
      </c>
      <c r="E264" s="133">
        <v>956.43600000000004</v>
      </c>
      <c r="F264" s="133">
        <v>37.902799999999999</v>
      </c>
      <c r="G264" s="133">
        <v>45.311</v>
      </c>
      <c r="H264" s="133">
        <v>44.550199999999997</v>
      </c>
      <c r="I264" s="133"/>
      <c r="J264" s="134"/>
      <c r="K264" s="135"/>
      <c r="L264" s="29"/>
      <c r="M264" s="147">
        <v>956.43600000000004</v>
      </c>
      <c r="N264" s="147">
        <v>37.902799999999999</v>
      </c>
      <c r="O264" s="147">
        <v>45.311</v>
      </c>
      <c r="P264" s="147">
        <v>44.550199999999997</v>
      </c>
      <c r="Q264" s="147"/>
      <c r="R264" s="148"/>
      <c r="S264" s="149"/>
      <c r="U264" s="41"/>
      <c r="V264" s="42"/>
      <c r="W264" s="43"/>
      <c r="X264" s="29"/>
      <c r="Y264" s="24"/>
      <c r="Z264" s="24"/>
      <c r="AA264" s="27"/>
      <c r="AB264" s="114"/>
      <c r="AC264" s="114"/>
      <c r="AD264" s="114"/>
      <c r="AE264" s="114"/>
      <c r="AF264" s="114"/>
      <c r="AG264" s="114"/>
      <c r="AH264" s="114"/>
    </row>
    <row r="265" spans="1:34" ht="12.75">
      <c r="B265" s="36"/>
      <c r="C265" s="29"/>
      <c r="D265" s="32">
        <v>35</v>
      </c>
      <c r="E265" s="133">
        <v>461.7792</v>
      </c>
      <c r="F265" s="133">
        <v>35.882399999999997</v>
      </c>
      <c r="G265" s="133">
        <v>43.554200000000002</v>
      </c>
      <c r="H265" s="133">
        <v>42.8249</v>
      </c>
      <c r="I265" s="133"/>
      <c r="J265" s="134"/>
      <c r="K265" s="135"/>
      <c r="L265" s="29"/>
      <c r="M265" s="147">
        <v>461.7792</v>
      </c>
      <c r="N265" s="147">
        <v>35.882399999999997</v>
      </c>
      <c r="O265" s="147">
        <v>43.554200000000002</v>
      </c>
      <c r="P265" s="147">
        <v>42.8249</v>
      </c>
      <c r="Q265" s="147"/>
      <c r="R265" s="148"/>
      <c r="S265" s="149"/>
      <c r="U265" s="41"/>
      <c r="V265" s="42"/>
      <c r="W265" s="43"/>
      <c r="X265" s="29"/>
      <c r="Y265" s="24"/>
      <c r="Z265" s="24"/>
      <c r="AA265" s="27"/>
      <c r="AB265" s="114"/>
      <c r="AC265" s="114"/>
      <c r="AD265" s="114"/>
      <c r="AE265" s="114"/>
      <c r="AF265" s="114"/>
      <c r="AG265" s="114"/>
      <c r="AH265" s="114"/>
    </row>
    <row r="266" spans="1:34" ht="13.5" thickBot="1">
      <c r="B266" s="36"/>
      <c r="C266" s="29"/>
      <c r="D266" s="32">
        <v>40</v>
      </c>
      <c r="E266" s="136">
        <v>241.52879999999999</v>
      </c>
      <c r="F266" s="136">
        <v>33.765900000000002</v>
      </c>
      <c r="G266" s="136">
        <v>42.314300000000003</v>
      </c>
      <c r="H266" s="136">
        <v>41.622700000000002</v>
      </c>
      <c r="I266" s="136"/>
      <c r="J266" s="137"/>
      <c r="K266" s="138"/>
      <c r="L266" s="29"/>
      <c r="M266" s="150">
        <v>241.52879999999999</v>
      </c>
      <c r="N266" s="150">
        <v>33.765900000000002</v>
      </c>
      <c r="O266" s="150">
        <v>42.314300000000003</v>
      </c>
      <c r="P266" s="150">
        <v>41.622700000000002</v>
      </c>
      <c r="Q266" s="150"/>
      <c r="R266" s="151"/>
      <c r="S266" s="152"/>
      <c r="U266" s="41"/>
      <c r="V266" s="42"/>
      <c r="W266" s="43"/>
      <c r="X266" s="29"/>
      <c r="Y266" s="24"/>
      <c r="Z266" s="24"/>
      <c r="AA266" s="27"/>
      <c r="AB266" s="114"/>
      <c r="AC266" s="114"/>
      <c r="AD266" s="114"/>
      <c r="AE266" s="114"/>
      <c r="AF266" s="114"/>
      <c r="AG266" s="114"/>
      <c r="AH266" s="114"/>
    </row>
    <row r="267" spans="1:34" ht="12.75">
      <c r="B267" s="36"/>
      <c r="C267" s="28" t="s">
        <v>27</v>
      </c>
      <c r="D267" s="31">
        <v>25</v>
      </c>
      <c r="E267" s="133">
        <v>700.45280000000002</v>
      </c>
      <c r="F267" s="133">
        <v>38.979700000000001</v>
      </c>
      <c r="G267" s="133">
        <v>46.595399999999998</v>
      </c>
      <c r="H267" s="133">
        <v>44.731400000000001</v>
      </c>
      <c r="I267" s="133"/>
      <c r="J267" s="134"/>
      <c r="K267" s="135"/>
      <c r="L267" s="29"/>
      <c r="M267" s="147">
        <v>701.45920000000001</v>
      </c>
      <c r="N267" s="147">
        <v>38.982500000000002</v>
      </c>
      <c r="O267" s="147">
        <v>46.597499999999997</v>
      </c>
      <c r="P267" s="147">
        <v>44.732399999999998</v>
      </c>
      <c r="Q267" s="147"/>
      <c r="R267" s="148"/>
      <c r="S267" s="149"/>
      <c r="U267" s="8">
        <f>bdrate($E267:$E270,F267:F270,$M267:$M270,N267:N270)</f>
        <v>-1.2322081089890524E-3</v>
      </c>
      <c r="V267" s="9">
        <f>bdrate($E267:$E270,G267:G270,$M267:$M270,O267:O270)</f>
        <v>-1.1161336635975294E-3</v>
      </c>
      <c r="W267" s="10">
        <f>bdrate($E267:$E270,H267:H270,$M267:$M270,P267:P270)</f>
        <v>1.1818153180405133E-3</v>
      </c>
      <c r="X267" s="29"/>
      <c r="Y267" s="24"/>
      <c r="Z267" s="24"/>
      <c r="AA267" s="27"/>
      <c r="AB267" s="114"/>
      <c r="AC267" s="114"/>
      <c r="AD267" s="114"/>
      <c r="AE267" s="114"/>
      <c r="AF267" s="114"/>
      <c r="AG267" s="114"/>
      <c r="AH267" s="114"/>
    </row>
    <row r="268" spans="1:34" ht="12.75">
      <c r="B268" s="36"/>
      <c r="C268" s="29"/>
      <c r="D268" s="32">
        <v>30</v>
      </c>
      <c r="E268" s="133">
        <v>195.97200000000001</v>
      </c>
      <c r="F268" s="133">
        <v>37.1355</v>
      </c>
      <c r="G268" s="133">
        <v>45.1629</v>
      </c>
      <c r="H268" s="133">
        <v>43.115099999999998</v>
      </c>
      <c r="I268" s="133"/>
      <c r="J268" s="134"/>
      <c r="K268" s="135"/>
      <c r="L268" s="29"/>
      <c r="M268" s="147">
        <v>195.66319999999999</v>
      </c>
      <c r="N268" s="147">
        <v>37.133899999999997</v>
      </c>
      <c r="O268" s="147">
        <v>45.162399999999998</v>
      </c>
      <c r="P268" s="147">
        <v>43.107199999999999</v>
      </c>
      <c r="Q268" s="147"/>
      <c r="R268" s="148"/>
      <c r="S268" s="149"/>
      <c r="U268" s="17"/>
      <c r="V268" s="18"/>
      <c r="W268" s="19"/>
      <c r="X268" s="29"/>
      <c r="Y268" s="24"/>
      <c r="Z268" s="24"/>
      <c r="AA268" s="27"/>
      <c r="AB268" s="114"/>
      <c r="AC268" s="114"/>
      <c r="AD268" s="114"/>
      <c r="AE268" s="114"/>
      <c r="AF268" s="114"/>
      <c r="AG268" s="114"/>
      <c r="AH268" s="114"/>
    </row>
    <row r="269" spans="1:34" ht="12.75">
      <c r="B269" s="36"/>
      <c r="C269" s="29"/>
      <c r="D269" s="32">
        <v>35</v>
      </c>
      <c r="E269" s="133">
        <v>75.493600000000001</v>
      </c>
      <c r="F269" s="133">
        <v>35.239800000000002</v>
      </c>
      <c r="G269" s="133">
        <v>43.680599999999998</v>
      </c>
      <c r="H269" s="133">
        <v>41.816899999999997</v>
      </c>
      <c r="I269" s="133"/>
      <c r="J269" s="134"/>
      <c r="K269" s="135"/>
      <c r="L269" s="29"/>
      <c r="M269" s="147">
        <v>75.362399999999994</v>
      </c>
      <c r="N269" s="147">
        <v>35.241599999999998</v>
      </c>
      <c r="O269" s="147">
        <v>43.680900000000001</v>
      </c>
      <c r="P269" s="147">
        <v>41.820099999999996</v>
      </c>
      <c r="Q269" s="147"/>
      <c r="R269" s="148"/>
      <c r="S269" s="149"/>
      <c r="U269" s="41"/>
      <c r="V269" s="44"/>
      <c r="W269" s="43"/>
      <c r="X269" s="29"/>
      <c r="Y269" s="24"/>
      <c r="Z269" s="24"/>
      <c r="AA269" s="27"/>
      <c r="AB269" s="114"/>
      <c r="AC269" s="114"/>
      <c r="AD269" s="114"/>
      <c r="AE269" s="114"/>
      <c r="AF269" s="114"/>
      <c r="AG269" s="114"/>
      <c r="AH269" s="114"/>
    </row>
    <row r="270" spans="1:34" ht="13.5" thickBot="1">
      <c r="B270" s="36"/>
      <c r="C270" s="29"/>
      <c r="D270" s="32">
        <v>40</v>
      </c>
      <c r="E270" s="133">
        <v>33.487200000000001</v>
      </c>
      <c r="F270" s="133">
        <v>33.262300000000003</v>
      </c>
      <c r="G270" s="133">
        <v>42.489600000000003</v>
      </c>
      <c r="H270" s="133">
        <v>40.869599999999998</v>
      </c>
      <c r="I270" s="133"/>
      <c r="J270" s="134"/>
      <c r="K270" s="135"/>
      <c r="L270" s="29"/>
      <c r="M270" s="147">
        <v>33.522399999999998</v>
      </c>
      <c r="N270" s="147">
        <v>33.263599999999997</v>
      </c>
      <c r="O270" s="147">
        <v>42.488900000000001</v>
      </c>
      <c r="P270" s="147">
        <v>40.866500000000002</v>
      </c>
      <c r="Q270" s="147"/>
      <c r="R270" s="148"/>
      <c r="S270" s="149"/>
      <c r="U270" s="41"/>
      <c r="V270" s="42"/>
      <c r="W270" s="43"/>
      <c r="X270" s="29"/>
      <c r="Y270" s="24"/>
      <c r="Z270" s="24"/>
      <c r="AA270" s="27"/>
      <c r="AB270" s="114"/>
      <c r="AC270" s="114"/>
      <c r="AD270" s="114"/>
      <c r="AE270" s="114"/>
      <c r="AF270" s="114"/>
      <c r="AG270" s="114"/>
      <c r="AH270" s="114"/>
    </row>
    <row r="271" spans="1:34" ht="12.75">
      <c r="B271" s="36"/>
      <c r="C271" s="28" t="s">
        <v>28</v>
      </c>
      <c r="D271" s="31">
        <v>25</v>
      </c>
      <c r="E271" s="130">
        <v>691.33920000000001</v>
      </c>
      <c r="F271" s="130">
        <v>38.912799999999997</v>
      </c>
      <c r="G271" s="130">
        <v>46.423299999999998</v>
      </c>
      <c r="H271" s="130">
        <v>46.1312</v>
      </c>
      <c r="I271" s="130"/>
      <c r="J271" s="131"/>
      <c r="K271" s="132"/>
      <c r="L271" s="29"/>
      <c r="M271" s="144">
        <v>690.82240000000002</v>
      </c>
      <c r="N271" s="144">
        <v>38.912700000000001</v>
      </c>
      <c r="O271" s="144">
        <v>46.429600000000001</v>
      </c>
      <c r="P271" s="144">
        <v>46.1342</v>
      </c>
      <c r="Q271" s="144"/>
      <c r="R271" s="145"/>
      <c r="S271" s="146"/>
      <c r="U271" s="8">
        <f>bdrate($E271:$E274,F271:F274,$M271:$M274,N271:N274)</f>
        <v>-8.8225691607468626E-4</v>
      </c>
      <c r="V271" s="9">
        <f>bdrate($E271:$E274,G271:G274,$M271:$M274,O271:O274)</f>
        <v>-3.6132044571240973E-3</v>
      </c>
      <c r="W271" s="10">
        <f>bdrate($E271:$E274,H271:H274,$M271:$M274,P271:P274)</f>
        <v>-2.4834103789383999E-3</v>
      </c>
      <c r="X271" s="29"/>
      <c r="Y271" s="24"/>
      <c r="Z271" s="24"/>
      <c r="AA271" s="27"/>
      <c r="AB271" s="114"/>
      <c r="AC271" s="114"/>
      <c r="AD271" s="114"/>
      <c r="AE271" s="114"/>
      <c r="AF271" s="114"/>
      <c r="AG271" s="114"/>
      <c r="AH271" s="114"/>
    </row>
    <row r="272" spans="1:34" ht="12.75">
      <c r="B272" s="36"/>
      <c r="C272" s="29"/>
      <c r="D272" s="32">
        <v>30</v>
      </c>
      <c r="E272" s="133">
        <v>193.2088</v>
      </c>
      <c r="F272" s="133">
        <v>36.948700000000002</v>
      </c>
      <c r="G272" s="133">
        <v>44.988799999999998</v>
      </c>
      <c r="H272" s="133">
        <v>44.710799999999999</v>
      </c>
      <c r="I272" s="133"/>
      <c r="J272" s="134"/>
      <c r="K272" s="135"/>
      <c r="L272" s="29"/>
      <c r="M272" s="147">
        <v>192.64240000000001</v>
      </c>
      <c r="N272" s="147">
        <v>36.947699999999998</v>
      </c>
      <c r="O272" s="147">
        <v>44.989100000000001</v>
      </c>
      <c r="P272" s="147">
        <v>44.715600000000002</v>
      </c>
      <c r="Q272" s="147"/>
      <c r="R272" s="148"/>
      <c r="S272" s="149"/>
      <c r="U272" s="41"/>
      <c r="V272" s="42"/>
      <c r="W272" s="43"/>
      <c r="X272" s="29"/>
      <c r="Y272" s="24"/>
      <c r="Z272" s="24"/>
      <c r="AA272" s="27"/>
      <c r="AB272" s="114"/>
      <c r="AC272" s="114"/>
      <c r="AD272" s="114"/>
      <c r="AE272" s="114"/>
      <c r="AF272" s="114"/>
      <c r="AG272" s="114"/>
      <c r="AH272" s="114"/>
    </row>
    <row r="273" spans="2:34" ht="12.75">
      <c r="B273" s="36"/>
      <c r="C273" s="29"/>
      <c r="D273" s="32">
        <v>35</v>
      </c>
      <c r="E273" s="133">
        <v>73.921599999999998</v>
      </c>
      <c r="F273" s="133">
        <v>34.973799999999997</v>
      </c>
      <c r="G273" s="133">
        <v>43.478499999999997</v>
      </c>
      <c r="H273" s="133">
        <v>43.126199999999997</v>
      </c>
      <c r="I273" s="133"/>
      <c r="J273" s="134"/>
      <c r="K273" s="135"/>
      <c r="L273" s="29"/>
      <c r="M273" s="147">
        <v>73.733599999999996</v>
      </c>
      <c r="N273" s="147">
        <v>34.970799999999997</v>
      </c>
      <c r="O273" s="147">
        <v>43.482300000000002</v>
      </c>
      <c r="P273" s="147">
        <v>43.122799999999998</v>
      </c>
      <c r="Q273" s="147"/>
      <c r="R273" s="148"/>
      <c r="S273" s="149"/>
      <c r="U273" s="17"/>
      <c r="V273" s="18"/>
      <c r="W273" s="19"/>
      <c r="X273" s="29"/>
      <c r="Y273" s="24"/>
      <c r="Z273" s="24"/>
      <c r="AA273" s="27"/>
      <c r="AB273" s="114"/>
      <c r="AC273" s="114"/>
      <c r="AD273" s="114"/>
      <c r="AE273" s="114"/>
      <c r="AF273" s="114"/>
      <c r="AG273" s="114"/>
      <c r="AH273" s="114"/>
    </row>
    <row r="274" spans="2:34" ht="13.5" thickBot="1">
      <c r="B274" s="36"/>
      <c r="C274" s="51"/>
      <c r="D274" s="69">
        <v>40</v>
      </c>
      <c r="E274" s="136">
        <v>31.285599999999999</v>
      </c>
      <c r="F274" s="136">
        <v>32.948300000000003</v>
      </c>
      <c r="G274" s="136">
        <v>42.307600000000001</v>
      </c>
      <c r="H274" s="136">
        <v>41.919499999999999</v>
      </c>
      <c r="I274" s="136"/>
      <c r="J274" s="137"/>
      <c r="K274" s="138"/>
      <c r="L274" s="29"/>
      <c r="M274" s="150">
        <v>31.433599999999998</v>
      </c>
      <c r="N274" s="150">
        <v>32.9497</v>
      </c>
      <c r="O274" s="150">
        <v>42.308300000000003</v>
      </c>
      <c r="P274" s="150">
        <v>41.915999999999997</v>
      </c>
      <c r="Q274" s="150"/>
      <c r="R274" s="151"/>
      <c r="S274" s="152"/>
      <c r="U274" s="41"/>
      <c r="V274" s="42"/>
      <c r="W274" s="43"/>
      <c r="X274" s="29"/>
      <c r="Y274" s="24"/>
      <c r="Z274" s="24"/>
      <c r="AA274" s="27"/>
      <c r="AB274" s="114"/>
      <c r="AC274" s="114"/>
      <c r="AD274" s="114"/>
      <c r="AE274" s="114"/>
      <c r="AF274" s="114"/>
      <c r="AG274" s="114"/>
      <c r="AH274" s="114"/>
    </row>
    <row r="275" spans="2:34" ht="12.75">
      <c r="B275" s="36"/>
      <c r="C275" s="28" t="s">
        <v>29</v>
      </c>
      <c r="D275" s="31">
        <v>34</v>
      </c>
      <c r="E275" s="130">
        <v>164.24799999999999</v>
      </c>
      <c r="F275" s="130">
        <v>43.938800000000001</v>
      </c>
      <c r="G275" s="130"/>
      <c r="H275" s="130"/>
      <c r="I275" s="130"/>
      <c r="J275" s="131"/>
      <c r="K275" s="132"/>
      <c r="L275" s="29"/>
      <c r="M275" s="144">
        <v>164.24799999999999</v>
      </c>
      <c r="N275" s="144">
        <v>43.938800000000001</v>
      </c>
      <c r="O275" s="144"/>
      <c r="P275" s="144"/>
      <c r="Q275" s="144"/>
      <c r="R275" s="145"/>
      <c r="S275" s="146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B275" s="114"/>
      <c r="AC275" s="114"/>
      <c r="AD275" s="114"/>
      <c r="AE275" s="114"/>
      <c r="AF275" s="114"/>
      <c r="AG275" s="114"/>
      <c r="AH275" s="114"/>
    </row>
    <row r="276" spans="2:34" ht="12.75">
      <c r="B276" s="36"/>
      <c r="C276" s="29"/>
      <c r="D276" s="32">
        <v>39</v>
      </c>
      <c r="E276" s="133">
        <v>49.904800000000002</v>
      </c>
      <c r="F276" s="133">
        <v>40.788200000000003</v>
      </c>
      <c r="G276" s="133"/>
      <c r="H276" s="133"/>
      <c r="I276" s="133"/>
      <c r="J276" s="134"/>
      <c r="K276" s="135"/>
      <c r="L276" s="29"/>
      <c r="M276" s="147">
        <v>49.904800000000002</v>
      </c>
      <c r="N276" s="147">
        <v>40.788200000000003</v>
      </c>
      <c r="O276" s="147"/>
      <c r="P276" s="147"/>
      <c r="Q276" s="147"/>
      <c r="R276" s="148"/>
      <c r="S276" s="149"/>
      <c r="U276" s="41"/>
      <c r="V276" s="42"/>
      <c r="W276" s="43"/>
      <c r="X276" s="29"/>
      <c r="Y276" s="24"/>
      <c r="Z276" s="24"/>
      <c r="AA276" s="27"/>
      <c r="AB276" s="114"/>
      <c r="AC276" s="114"/>
      <c r="AD276" s="114"/>
      <c r="AE276" s="114"/>
      <c r="AF276" s="114"/>
      <c r="AG276" s="114"/>
      <c r="AH276" s="114"/>
    </row>
    <row r="277" spans="2:34" ht="12.75">
      <c r="B277" s="36"/>
      <c r="C277" s="29"/>
      <c r="D277" s="32">
        <v>42</v>
      </c>
      <c r="E277" s="133">
        <v>20.428799999999999</v>
      </c>
      <c r="F277" s="133">
        <v>37.245399999999997</v>
      </c>
      <c r="G277" s="133"/>
      <c r="H277" s="133"/>
      <c r="I277" s="133"/>
      <c r="J277" s="134"/>
      <c r="K277" s="135"/>
      <c r="L277" s="29"/>
      <c r="M277" s="147">
        <v>20.428799999999999</v>
      </c>
      <c r="N277" s="147">
        <v>37.245399999999997</v>
      </c>
      <c r="O277" s="147"/>
      <c r="P277" s="147"/>
      <c r="Q277" s="147"/>
      <c r="R277" s="148"/>
      <c r="S277" s="149"/>
      <c r="U277" s="41"/>
      <c r="V277" s="42"/>
      <c r="W277" s="43"/>
      <c r="X277" s="29"/>
      <c r="Y277" s="24"/>
      <c r="Z277" s="24"/>
      <c r="AA277" s="27"/>
      <c r="AB277" s="114"/>
      <c r="AC277" s="114"/>
      <c r="AD277" s="114"/>
      <c r="AE277" s="114"/>
      <c r="AF277" s="114"/>
      <c r="AG277" s="114"/>
      <c r="AH277" s="114"/>
    </row>
    <row r="278" spans="2:34" ht="13.5" thickBot="1">
      <c r="B278" s="36"/>
      <c r="C278" s="29"/>
      <c r="D278" s="32">
        <v>45</v>
      </c>
      <c r="E278" s="136">
        <v>9.6831999999999994</v>
      </c>
      <c r="F278" s="136">
        <v>33.898699999999998</v>
      </c>
      <c r="G278" s="136"/>
      <c r="H278" s="136"/>
      <c r="I278" s="136"/>
      <c r="J278" s="137"/>
      <c r="K278" s="138"/>
      <c r="L278" s="29"/>
      <c r="M278" s="150">
        <v>9.6831999999999994</v>
      </c>
      <c r="N278" s="150">
        <v>33.898699999999998</v>
      </c>
      <c r="O278" s="150"/>
      <c r="P278" s="150"/>
      <c r="Q278" s="150"/>
      <c r="R278" s="151"/>
      <c r="S278" s="152"/>
      <c r="U278" s="17"/>
      <c r="V278" s="18"/>
      <c r="W278" s="19"/>
      <c r="X278" s="29"/>
      <c r="Y278" s="59"/>
      <c r="Z278" s="59"/>
      <c r="AA278" s="55"/>
      <c r="AB278" s="114"/>
      <c r="AC278" s="114"/>
      <c r="AD278" s="114"/>
      <c r="AE278" s="114"/>
      <c r="AF278" s="114"/>
      <c r="AG278" s="114"/>
      <c r="AH278" s="114"/>
    </row>
    <row r="279" spans="2:34" ht="12.75">
      <c r="B279" s="36"/>
      <c r="C279" s="28" t="s">
        <v>30</v>
      </c>
      <c r="D279" s="31">
        <v>34</v>
      </c>
      <c r="E279" s="130">
        <v>100.7296</v>
      </c>
      <c r="F279" s="130">
        <v>42.324599999999997</v>
      </c>
      <c r="G279" s="130"/>
      <c r="H279" s="130"/>
      <c r="I279" s="130"/>
      <c r="J279" s="131"/>
      <c r="K279" s="132"/>
      <c r="L279" s="29"/>
      <c r="M279" s="144">
        <v>100.6512</v>
      </c>
      <c r="N279" s="144">
        <v>42.317300000000003</v>
      </c>
      <c r="O279" s="144"/>
      <c r="P279" s="144"/>
      <c r="Q279" s="144"/>
      <c r="R279" s="145"/>
      <c r="S279" s="146"/>
      <c r="U279" s="8">
        <f>bdrate($E279:$E282,F279:F282,$M279:$M282,N279:N282)</f>
        <v>-1.5888821673416542E-3</v>
      </c>
      <c r="V279" s="9"/>
      <c r="W279" s="10"/>
      <c r="X279" s="29"/>
      <c r="Y279" s="24"/>
      <c r="Z279" s="24"/>
      <c r="AA279" s="27"/>
      <c r="AB279" s="114"/>
      <c r="AC279" s="114"/>
      <c r="AD279" s="114"/>
      <c r="AE279" s="114"/>
      <c r="AF279" s="114"/>
      <c r="AG279" s="114"/>
      <c r="AH279" s="114"/>
    </row>
    <row r="280" spans="2:34" ht="12.75">
      <c r="B280" s="36"/>
      <c r="C280" s="29"/>
      <c r="D280" s="32">
        <v>39</v>
      </c>
      <c r="E280" s="133">
        <v>24.4208</v>
      </c>
      <c r="F280" s="133">
        <v>39.4696</v>
      </c>
      <c r="G280" s="133"/>
      <c r="H280" s="133"/>
      <c r="I280" s="133"/>
      <c r="J280" s="134"/>
      <c r="K280" s="135"/>
      <c r="L280" s="29"/>
      <c r="M280" s="147">
        <v>24.5808</v>
      </c>
      <c r="N280" s="147">
        <v>39.514899999999997</v>
      </c>
      <c r="O280" s="147"/>
      <c r="P280" s="147"/>
      <c r="Q280" s="147"/>
      <c r="R280" s="148"/>
      <c r="S280" s="149"/>
      <c r="U280" s="12"/>
      <c r="V280" s="13"/>
      <c r="W280" s="14"/>
      <c r="X280" s="29"/>
      <c r="Y280" s="24"/>
      <c r="Z280" s="24"/>
      <c r="AA280" s="27"/>
      <c r="AB280" s="114"/>
      <c r="AC280" s="114"/>
      <c r="AD280" s="114"/>
      <c r="AE280" s="114"/>
      <c r="AF280" s="114"/>
      <c r="AG280" s="114"/>
      <c r="AH280" s="114"/>
    </row>
    <row r="281" spans="2:34" ht="12.75">
      <c r="B281" s="36"/>
      <c r="C281" s="29"/>
      <c r="D281" s="32">
        <v>42</v>
      </c>
      <c r="E281" s="133">
        <v>9.3879999999999999</v>
      </c>
      <c r="F281" s="133">
        <v>36.379600000000003</v>
      </c>
      <c r="G281" s="133"/>
      <c r="H281" s="133"/>
      <c r="I281" s="133"/>
      <c r="J281" s="134"/>
      <c r="K281" s="135"/>
      <c r="L281" s="29"/>
      <c r="M281" s="147">
        <v>9.4016000000000002</v>
      </c>
      <c r="N281" s="147">
        <v>36.370199999999997</v>
      </c>
      <c r="O281" s="147"/>
      <c r="P281" s="147"/>
      <c r="Q281" s="147"/>
      <c r="R281" s="148"/>
      <c r="S281" s="149"/>
      <c r="U281" s="12"/>
      <c r="V281" s="13"/>
      <c r="W281" s="14"/>
      <c r="X281" s="29"/>
      <c r="Y281" s="24"/>
      <c r="Z281" s="24"/>
      <c r="AA281" s="27"/>
      <c r="AB281" s="114"/>
      <c r="AC281" s="114"/>
      <c r="AD281" s="114"/>
      <c r="AE281" s="114"/>
      <c r="AF281" s="114"/>
      <c r="AG281" s="114"/>
      <c r="AH281" s="114"/>
    </row>
    <row r="282" spans="2:34" ht="13.5" thickBot="1">
      <c r="B282" s="36"/>
      <c r="C282" s="29"/>
      <c r="D282" s="32">
        <v>45</v>
      </c>
      <c r="E282" s="136">
        <v>4.7607999999999997</v>
      </c>
      <c r="F282" s="136">
        <v>33.4407</v>
      </c>
      <c r="G282" s="136"/>
      <c r="H282" s="136"/>
      <c r="I282" s="136"/>
      <c r="J282" s="137"/>
      <c r="K282" s="138"/>
      <c r="L282" s="29"/>
      <c r="M282" s="150">
        <v>4.7968000000000002</v>
      </c>
      <c r="N282" s="150">
        <v>33.451900000000002</v>
      </c>
      <c r="O282" s="150"/>
      <c r="P282" s="150"/>
      <c r="Q282" s="150"/>
      <c r="R282" s="151"/>
      <c r="S282" s="152"/>
      <c r="U282" s="12"/>
      <c r="V282" s="13"/>
      <c r="W282" s="14"/>
      <c r="X282" s="29"/>
      <c r="Y282" s="24"/>
      <c r="Z282" s="24"/>
      <c r="AA282" s="27"/>
      <c r="AB282" s="114"/>
      <c r="AC282" s="114"/>
      <c r="AD282" s="114"/>
      <c r="AE282" s="114"/>
      <c r="AF282" s="114"/>
      <c r="AG282" s="114"/>
      <c r="AH282" s="114"/>
    </row>
    <row r="283" spans="2:34" ht="12.75">
      <c r="B283" s="36"/>
      <c r="C283" s="28" t="s">
        <v>31</v>
      </c>
      <c r="D283" s="31">
        <v>34</v>
      </c>
      <c r="E283" s="130">
        <v>117.4984</v>
      </c>
      <c r="F283" s="130">
        <v>41.787700000000001</v>
      </c>
      <c r="G283" s="130"/>
      <c r="H283" s="130"/>
      <c r="I283" s="130"/>
      <c r="J283" s="131"/>
      <c r="K283" s="132"/>
      <c r="L283" s="29"/>
      <c r="M283" s="144">
        <v>117.1576</v>
      </c>
      <c r="N283" s="144">
        <v>41.778500000000001</v>
      </c>
      <c r="O283" s="144"/>
      <c r="P283" s="144"/>
      <c r="Q283" s="144"/>
      <c r="R283" s="145"/>
      <c r="S283" s="146"/>
      <c r="U283" s="8">
        <f>bdrate($E283:$E286,F283:F286,$M283:$M286,N283:N286)</f>
        <v>1.030396763529895E-3</v>
      </c>
      <c r="V283" s="9"/>
      <c r="W283" s="10"/>
      <c r="X283" s="29"/>
      <c r="Y283" s="24"/>
      <c r="Z283" s="24"/>
      <c r="AA283" s="27"/>
      <c r="AB283" s="114"/>
      <c r="AC283" s="114"/>
      <c r="AD283" s="114"/>
      <c r="AE283" s="114"/>
      <c r="AF283" s="114"/>
      <c r="AG283" s="114"/>
      <c r="AH283" s="114"/>
    </row>
    <row r="284" spans="2:34" ht="12.75">
      <c r="B284" s="36"/>
      <c r="C284" s="29"/>
      <c r="D284" s="32">
        <v>39</v>
      </c>
      <c r="E284" s="133">
        <v>28.475999999999999</v>
      </c>
      <c r="F284" s="133">
        <v>38.984200000000001</v>
      </c>
      <c r="G284" s="133"/>
      <c r="H284" s="133"/>
      <c r="I284" s="133"/>
      <c r="J284" s="134"/>
      <c r="K284" s="135"/>
      <c r="L284" s="29"/>
      <c r="M284" s="147">
        <v>28.394400000000001</v>
      </c>
      <c r="N284" s="147">
        <v>39.013300000000001</v>
      </c>
      <c r="O284" s="147"/>
      <c r="P284" s="147"/>
      <c r="Q284" s="147"/>
      <c r="R284" s="148"/>
      <c r="S284" s="149"/>
      <c r="U284" s="41"/>
      <c r="V284" s="42"/>
      <c r="W284" s="43"/>
      <c r="X284" s="29"/>
      <c r="Y284" s="24"/>
      <c r="Z284" s="24"/>
      <c r="AA284" s="27"/>
      <c r="AB284" s="114"/>
      <c r="AC284" s="114"/>
      <c r="AD284" s="114"/>
      <c r="AE284" s="114"/>
      <c r="AF284" s="114"/>
      <c r="AG284" s="114"/>
      <c r="AH284" s="114"/>
    </row>
    <row r="285" spans="2:34" ht="12.75">
      <c r="B285" s="36"/>
      <c r="C285" s="29"/>
      <c r="D285" s="32">
        <v>42</v>
      </c>
      <c r="E285" s="133">
        <v>10.3576</v>
      </c>
      <c r="F285" s="133">
        <v>36.006999999999998</v>
      </c>
      <c r="G285" s="133"/>
      <c r="H285" s="133"/>
      <c r="I285" s="133"/>
      <c r="J285" s="134"/>
      <c r="K285" s="135"/>
      <c r="L285" s="29"/>
      <c r="M285" s="147">
        <v>10.426399999999999</v>
      </c>
      <c r="N285" s="147">
        <v>35.988100000000003</v>
      </c>
      <c r="O285" s="147"/>
      <c r="P285" s="147"/>
      <c r="Q285" s="147"/>
      <c r="R285" s="148"/>
      <c r="S285" s="149"/>
      <c r="U285" s="41"/>
      <c r="V285" s="42"/>
      <c r="W285" s="43"/>
      <c r="X285" s="29"/>
      <c r="Y285" s="24"/>
      <c r="Z285" s="24"/>
      <c r="AA285" s="27"/>
      <c r="AB285" s="114"/>
      <c r="AC285" s="114"/>
      <c r="AD285" s="114"/>
      <c r="AE285" s="114"/>
      <c r="AF285" s="114"/>
      <c r="AG285" s="114"/>
      <c r="AH285" s="114"/>
    </row>
    <row r="286" spans="2:34" ht="13.5" thickBot="1">
      <c r="B286" s="36"/>
      <c r="C286" s="29"/>
      <c r="D286" s="32">
        <v>45</v>
      </c>
      <c r="E286" s="136">
        <v>4.8087999999999997</v>
      </c>
      <c r="F286" s="136">
        <v>33.073399999999999</v>
      </c>
      <c r="G286" s="136"/>
      <c r="H286" s="136"/>
      <c r="I286" s="136"/>
      <c r="J286" s="137"/>
      <c r="K286" s="138"/>
      <c r="L286" s="29"/>
      <c r="M286" s="150">
        <v>4.8776000000000002</v>
      </c>
      <c r="N286" s="150">
        <v>33.082500000000003</v>
      </c>
      <c r="O286" s="150"/>
      <c r="P286" s="150"/>
      <c r="Q286" s="150"/>
      <c r="R286" s="151"/>
      <c r="S286" s="152"/>
      <c r="U286" s="41"/>
      <c r="V286" s="42"/>
      <c r="W286" s="43"/>
      <c r="X286" s="29"/>
      <c r="Y286" s="24"/>
      <c r="Z286" s="24"/>
      <c r="AA286" s="27"/>
      <c r="AB286" s="114"/>
      <c r="AC286" s="114"/>
      <c r="AD286" s="114"/>
      <c r="AE286" s="114"/>
      <c r="AF286" s="114"/>
      <c r="AG286" s="114"/>
      <c r="AH286" s="114"/>
    </row>
    <row r="287" spans="2:34" ht="12.75">
      <c r="B287" s="36"/>
      <c r="C287" s="28" t="s">
        <v>47</v>
      </c>
      <c r="D287" s="31">
        <v>25</v>
      </c>
      <c r="E287" s="130"/>
      <c r="F287" s="130">
        <v>40.001800000000003</v>
      </c>
      <c r="G287" s="130">
        <v>46.636200000000002</v>
      </c>
      <c r="H287" s="130">
        <v>45.9985</v>
      </c>
      <c r="I287" s="130"/>
      <c r="J287" s="131"/>
      <c r="K287" s="132"/>
      <c r="L287" s="29"/>
      <c r="M287" s="144"/>
      <c r="N287" s="144">
        <v>40.004600000000003</v>
      </c>
      <c r="O287" s="144">
        <v>46.680399999999999</v>
      </c>
      <c r="P287" s="144">
        <v>46.036700000000003</v>
      </c>
      <c r="Q287" s="144"/>
      <c r="R287" s="145"/>
      <c r="S287" s="146"/>
      <c r="U287" s="8"/>
      <c r="V287" s="9"/>
      <c r="W287" s="10"/>
      <c r="X287" s="29"/>
      <c r="Y287" s="24"/>
      <c r="Z287" s="24"/>
      <c r="AA287" s="27"/>
      <c r="AB287" s="114"/>
      <c r="AC287" s="114"/>
      <c r="AD287" s="114"/>
      <c r="AE287" s="114"/>
      <c r="AF287" s="114"/>
      <c r="AG287" s="114"/>
      <c r="AH287" s="114"/>
    </row>
    <row r="288" spans="2:34" ht="12.75">
      <c r="B288" s="36"/>
      <c r="C288" s="29"/>
      <c r="D288" s="32">
        <v>30</v>
      </c>
      <c r="E288" s="133"/>
      <c r="F288" s="133">
        <v>37.927399999999999</v>
      </c>
      <c r="G288" s="133">
        <v>45.132800000000003</v>
      </c>
      <c r="H288" s="133">
        <v>44.362299999999998</v>
      </c>
      <c r="I288" s="133"/>
      <c r="J288" s="134"/>
      <c r="K288" s="135"/>
      <c r="L288" s="29"/>
      <c r="M288" s="147"/>
      <c r="N288" s="147">
        <v>37.927599999999998</v>
      </c>
      <c r="O288" s="147">
        <v>45.150100000000002</v>
      </c>
      <c r="P288" s="147">
        <v>44.344900000000003</v>
      </c>
      <c r="Q288" s="147"/>
      <c r="R288" s="148"/>
      <c r="S288" s="149"/>
      <c r="U288" s="17"/>
      <c r="V288" s="18"/>
      <c r="W288" s="19"/>
      <c r="X288" s="29"/>
      <c r="Y288" s="24"/>
      <c r="Z288" s="24"/>
      <c r="AA288" s="27"/>
      <c r="AB288" s="114"/>
      <c r="AC288" s="114"/>
      <c r="AD288" s="114"/>
      <c r="AE288" s="114"/>
      <c r="AF288" s="114"/>
      <c r="AG288" s="114"/>
      <c r="AH288" s="114"/>
    </row>
    <row r="289" spans="2:34" ht="12.75">
      <c r="B289" s="36"/>
      <c r="C289" s="29"/>
      <c r="D289" s="32">
        <v>35</v>
      </c>
      <c r="E289" s="133"/>
      <c r="F289" s="133">
        <v>35.883600000000001</v>
      </c>
      <c r="G289" s="133">
        <v>43.6813</v>
      </c>
      <c r="H289" s="133">
        <v>42.993899999999996</v>
      </c>
      <c r="I289" s="133"/>
      <c r="J289" s="134"/>
      <c r="K289" s="135"/>
      <c r="L289" s="29"/>
      <c r="M289" s="147"/>
      <c r="N289" s="147">
        <v>35.886699999999998</v>
      </c>
      <c r="O289" s="147">
        <v>43.688200000000002</v>
      </c>
      <c r="P289" s="147">
        <v>42.986400000000003</v>
      </c>
      <c r="Q289" s="147"/>
      <c r="R289" s="148"/>
      <c r="S289" s="149"/>
      <c r="U289" s="41"/>
      <c r="V289" s="44"/>
      <c r="W289" s="43"/>
      <c r="X289" s="29"/>
      <c r="Y289" s="24"/>
      <c r="Z289" s="24"/>
      <c r="AA289" s="27"/>
      <c r="AB289" s="114"/>
      <c r="AC289" s="114"/>
      <c r="AD289" s="114"/>
      <c r="AE289" s="114"/>
      <c r="AF289" s="114"/>
      <c r="AG289" s="114"/>
      <c r="AH289" s="114"/>
    </row>
    <row r="290" spans="2:34" ht="13.5" thickBot="1">
      <c r="B290" s="36"/>
      <c r="C290" s="51"/>
      <c r="D290" s="69">
        <v>40</v>
      </c>
      <c r="E290" s="136"/>
      <c r="F290" s="136">
        <v>33.771700000000003</v>
      </c>
      <c r="G290" s="136">
        <v>42.497500000000002</v>
      </c>
      <c r="H290" s="136">
        <v>42.0139</v>
      </c>
      <c r="I290" s="136"/>
      <c r="J290" s="137"/>
      <c r="K290" s="138"/>
      <c r="L290" s="29"/>
      <c r="M290" s="150"/>
      <c r="N290" s="150">
        <v>33.774099999999997</v>
      </c>
      <c r="O290" s="150">
        <v>42.493200000000002</v>
      </c>
      <c r="P290" s="150">
        <v>41.990099999999998</v>
      </c>
      <c r="Q290" s="150"/>
      <c r="R290" s="151"/>
      <c r="S290" s="152"/>
      <c r="U290" s="41"/>
      <c r="V290" s="42"/>
      <c r="W290" s="43"/>
      <c r="X290" s="29"/>
      <c r="Y290" s="24"/>
      <c r="Z290" s="24"/>
      <c r="AA290" s="27"/>
      <c r="AB290" s="114"/>
      <c r="AC290" s="114"/>
      <c r="AD290" s="114"/>
      <c r="AE290" s="114"/>
      <c r="AF290" s="114"/>
      <c r="AG290" s="114"/>
      <c r="AH290" s="114"/>
    </row>
    <row r="291" spans="2:34" ht="12.75">
      <c r="B291" s="36"/>
      <c r="C291" s="29" t="s">
        <v>48</v>
      </c>
      <c r="D291" s="32">
        <v>25</v>
      </c>
      <c r="E291" s="130"/>
      <c r="F291" s="130">
        <v>40.715899999999998</v>
      </c>
      <c r="G291" s="130">
        <v>47.361199999999997</v>
      </c>
      <c r="H291" s="130">
        <v>46.870899999999999</v>
      </c>
      <c r="I291" s="130"/>
      <c r="J291" s="131"/>
      <c r="K291" s="132"/>
      <c r="L291" s="29"/>
      <c r="M291" s="144"/>
      <c r="N291" s="144">
        <v>40.716900000000003</v>
      </c>
      <c r="O291" s="144">
        <v>47.397799999999997</v>
      </c>
      <c r="P291" s="144">
        <v>46.900100000000002</v>
      </c>
      <c r="Q291" s="144"/>
      <c r="R291" s="145"/>
      <c r="S291" s="146"/>
      <c r="U291" s="8"/>
      <c r="V291" s="9"/>
      <c r="W291" s="10"/>
      <c r="X291" s="29"/>
      <c r="Y291" s="24"/>
      <c r="Z291" s="24"/>
      <c r="AA291" s="27"/>
      <c r="AB291" s="114"/>
      <c r="AC291" s="114"/>
      <c r="AD291" s="114"/>
      <c r="AE291" s="114"/>
      <c r="AF291" s="114"/>
      <c r="AG291" s="114"/>
      <c r="AH291" s="114"/>
    </row>
    <row r="292" spans="2:34" ht="12.75">
      <c r="B292" s="36"/>
      <c r="C292" s="29"/>
      <c r="D292" s="32">
        <v>30</v>
      </c>
      <c r="E292" s="133"/>
      <c r="F292" s="133">
        <v>38.419800000000002</v>
      </c>
      <c r="G292" s="133">
        <v>45.678699999999999</v>
      </c>
      <c r="H292" s="133">
        <v>45.144500000000001</v>
      </c>
      <c r="I292" s="133"/>
      <c r="J292" s="134"/>
      <c r="K292" s="135"/>
      <c r="L292" s="29"/>
      <c r="M292" s="147"/>
      <c r="N292" s="147">
        <v>38.418199999999999</v>
      </c>
      <c r="O292" s="147">
        <v>45.695500000000003</v>
      </c>
      <c r="P292" s="147">
        <v>45.1325</v>
      </c>
      <c r="Q292" s="147"/>
      <c r="R292" s="148"/>
      <c r="S292" s="149"/>
      <c r="U292" s="41"/>
      <c r="V292" s="42"/>
      <c r="W292" s="43"/>
      <c r="X292" s="29"/>
      <c r="Y292" s="24"/>
      <c r="Z292" s="24"/>
      <c r="AA292" s="27"/>
      <c r="AB292" s="114"/>
      <c r="AC292" s="114"/>
      <c r="AD292" s="114"/>
      <c r="AE292" s="114"/>
      <c r="AF292" s="114"/>
      <c r="AG292" s="114"/>
      <c r="AH292" s="114"/>
    </row>
    <row r="293" spans="2:34" ht="12.75">
      <c r="B293" s="36"/>
      <c r="C293" s="29"/>
      <c r="D293" s="32">
        <v>35</v>
      </c>
      <c r="E293" s="133"/>
      <c r="F293" s="133">
        <v>36.247599999999998</v>
      </c>
      <c r="G293" s="133">
        <v>44.018000000000001</v>
      </c>
      <c r="H293" s="133">
        <v>43.531399999999998</v>
      </c>
      <c r="I293" s="133"/>
      <c r="J293" s="134"/>
      <c r="K293" s="135"/>
      <c r="L293" s="29"/>
      <c r="M293" s="147"/>
      <c r="N293" s="147">
        <v>36.248100000000001</v>
      </c>
      <c r="O293" s="147">
        <v>44.026299999999999</v>
      </c>
      <c r="P293" s="147">
        <v>43.523899999999998</v>
      </c>
      <c r="Q293" s="147"/>
      <c r="R293" s="148"/>
      <c r="S293" s="149"/>
      <c r="U293" s="17"/>
      <c r="V293" s="18"/>
      <c r="W293" s="19"/>
      <c r="X293" s="29"/>
      <c r="Y293" s="24"/>
      <c r="Z293" s="24"/>
      <c r="AA293" s="27"/>
      <c r="AB293" s="114"/>
      <c r="AC293" s="114"/>
      <c r="AD293" s="114"/>
      <c r="AE293" s="114"/>
      <c r="AF293" s="114"/>
      <c r="AG293" s="114"/>
      <c r="AH293" s="114"/>
    </row>
    <row r="294" spans="2:34" ht="13.5" thickBot="1">
      <c r="B294" s="36"/>
      <c r="C294" s="51"/>
      <c r="D294" s="69">
        <v>40</v>
      </c>
      <c r="E294" s="136"/>
      <c r="F294" s="136">
        <v>34.033799999999999</v>
      </c>
      <c r="G294" s="136">
        <v>42.721800000000002</v>
      </c>
      <c r="H294" s="136">
        <v>42.393700000000003</v>
      </c>
      <c r="I294" s="136"/>
      <c r="J294" s="137"/>
      <c r="K294" s="138"/>
      <c r="L294" s="29"/>
      <c r="M294" s="150"/>
      <c r="N294" s="150">
        <v>34.034599999999998</v>
      </c>
      <c r="O294" s="150">
        <v>42.717799999999997</v>
      </c>
      <c r="P294" s="150">
        <v>42.368000000000002</v>
      </c>
      <c r="Q294" s="150"/>
      <c r="R294" s="151"/>
      <c r="S294" s="152"/>
      <c r="U294" s="41"/>
      <c r="V294" s="42"/>
      <c r="W294" s="43"/>
      <c r="X294" s="29"/>
      <c r="Y294" s="24"/>
      <c r="Z294" s="24"/>
      <c r="AA294" s="27"/>
      <c r="AB294" s="114"/>
      <c r="AC294" s="114"/>
      <c r="AD294" s="114"/>
      <c r="AE294" s="114"/>
      <c r="AF294" s="114"/>
      <c r="AG294" s="114"/>
      <c r="AH294" s="114"/>
    </row>
    <row r="295" spans="2:34" ht="12.75">
      <c r="B295" s="36"/>
      <c r="C295" s="29" t="s">
        <v>49</v>
      </c>
      <c r="D295" s="32">
        <v>25</v>
      </c>
      <c r="E295" s="130"/>
      <c r="F295" s="130">
        <v>40.619399999999999</v>
      </c>
      <c r="G295" s="130">
        <v>47.563200000000002</v>
      </c>
      <c r="H295" s="130">
        <v>47.198500000000003</v>
      </c>
      <c r="I295" s="130"/>
      <c r="J295" s="131"/>
      <c r="K295" s="132"/>
      <c r="L295" s="29"/>
      <c r="M295" s="144"/>
      <c r="N295" s="144">
        <v>40.619700000000002</v>
      </c>
      <c r="O295" s="144">
        <v>47.562399999999997</v>
      </c>
      <c r="P295" s="144">
        <v>47.2</v>
      </c>
      <c r="Q295" s="144"/>
      <c r="R295" s="145"/>
      <c r="S295" s="146"/>
      <c r="U295" s="8"/>
      <c r="V295" s="9"/>
      <c r="W295" s="10"/>
      <c r="X295" s="29"/>
      <c r="Y295" s="24"/>
      <c r="Z295" s="24"/>
      <c r="AA295" s="27"/>
      <c r="AB295" s="114"/>
      <c r="AC295" s="114"/>
      <c r="AD295" s="114"/>
      <c r="AE295" s="114"/>
      <c r="AF295" s="114"/>
      <c r="AG295" s="114"/>
      <c r="AH295" s="114"/>
    </row>
    <row r="296" spans="2:34" ht="12.75">
      <c r="B296" s="36"/>
      <c r="C296" s="29"/>
      <c r="D296" s="32">
        <v>30</v>
      </c>
      <c r="E296" s="133"/>
      <c r="F296" s="133">
        <v>38.412100000000002</v>
      </c>
      <c r="G296" s="133">
        <v>46.014800000000001</v>
      </c>
      <c r="H296" s="133">
        <v>45.5867</v>
      </c>
      <c r="I296" s="133"/>
      <c r="J296" s="134"/>
      <c r="K296" s="135"/>
      <c r="L296" s="29"/>
      <c r="M296" s="147"/>
      <c r="N296" s="147">
        <v>38.4114</v>
      </c>
      <c r="O296" s="147">
        <v>46.0124</v>
      </c>
      <c r="P296" s="147">
        <v>45.579799999999999</v>
      </c>
      <c r="Q296" s="147"/>
      <c r="R296" s="148"/>
      <c r="S296" s="149"/>
      <c r="U296" s="41"/>
      <c r="V296" s="42"/>
      <c r="W296" s="43"/>
      <c r="X296" s="29"/>
      <c r="Y296" s="24"/>
      <c r="Z296" s="24"/>
      <c r="AA296" s="27"/>
      <c r="AB296" s="114"/>
      <c r="AC296" s="114"/>
      <c r="AD296" s="114"/>
      <c r="AE296" s="114"/>
      <c r="AF296" s="114"/>
      <c r="AG296" s="114"/>
      <c r="AH296" s="114"/>
    </row>
    <row r="297" spans="2:34" ht="12.75">
      <c r="B297" s="36"/>
      <c r="C297" s="29"/>
      <c r="D297" s="32">
        <v>35</v>
      </c>
      <c r="E297" s="133"/>
      <c r="F297" s="133">
        <v>36.2502</v>
      </c>
      <c r="G297" s="133">
        <v>44.189599999999999</v>
      </c>
      <c r="H297" s="133">
        <v>43.786099999999998</v>
      </c>
      <c r="I297" s="133"/>
      <c r="J297" s="134"/>
      <c r="K297" s="135"/>
      <c r="L297" s="29"/>
      <c r="M297" s="147"/>
      <c r="N297" s="147">
        <v>36.249899999999997</v>
      </c>
      <c r="O297" s="147">
        <v>44.188099999999999</v>
      </c>
      <c r="P297" s="147">
        <v>43.7834</v>
      </c>
      <c r="Q297" s="147"/>
      <c r="R297" s="148"/>
      <c r="S297" s="149"/>
      <c r="U297" s="41"/>
      <c r="V297" s="42"/>
      <c r="W297" s="43"/>
      <c r="X297" s="29"/>
      <c r="Y297" s="24"/>
      <c r="Z297" s="24"/>
      <c r="AA297" s="27"/>
      <c r="AB297" s="114"/>
      <c r="AC297" s="114"/>
      <c r="AD297" s="114"/>
      <c r="AE297" s="114"/>
      <c r="AF297" s="114"/>
      <c r="AG297" s="114"/>
      <c r="AH297" s="114"/>
    </row>
    <row r="298" spans="2:34" ht="13.5" thickBot="1">
      <c r="B298" s="36"/>
      <c r="C298" s="51"/>
      <c r="D298" s="69">
        <v>40</v>
      </c>
      <c r="E298" s="136"/>
      <c r="F298" s="136">
        <v>34.035200000000003</v>
      </c>
      <c r="G298" s="136">
        <v>42.8767</v>
      </c>
      <c r="H298" s="136">
        <v>42.5411</v>
      </c>
      <c r="I298" s="136"/>
      <c r="J298" s="137"/>
      <c r="K298" s="138"/>
      <c r="L298" s="29"/>
      <c r="M298" s="150"/>
      <c r="N298" s="150">
        <v>34.0364</v>
      </c>
      <c r="O298" s="150">
        <v>42.878300000000003</v>
      </c>
      <c r="P298" s="150">
        <v>42.537300000000002</v>
      </c>
      <c r="Q298" s="150"/>
      <c r="R298" s="151"/>
      <c r="S298" s="152"/>
      <c r="U298" s="17"/>
      <c r="V298" s="18"/>
      <c r="W298" s="19"/>
      <c r="X298" s="29"/>
      <c r="Z298" s="59"/>
      <c r="AA298" s="55"/>
      <c r="AB298" s="114"/>
      <c r="AC298" s="114"/>
      <c r="AD298" s="114"/>
      <c r="AE298" s="114"/>
      <c r="AF298" s="114"/>
      <c r="AG298" s="114"/>
      <c r="AH298" s="114"/>
    </row>
    <row r="299" spans="2:34" ht="12.75">
      <c r="B299" s="36"/>
      <c r="C299" s="29" t="s">
        <v>50</v>
      </c>
      <c r="D299" s="32">
        <v>25</v>
      </c>
      <c r="E299" s="130"/>
      <c r="F299" s="130">
        <v>40.572699999999998</v>
      </c>
      <c r="G299" s="130">
        <v>47.483199999999997</v>
      </c>
      <c r="H299" s="130">
        <v>47.0169</v>
      </c>
      <c r="I299" s="130"/>
      <c r="J299" s="131"/>
      <c r="K299" s="132"/>
      <c r="L299" s="29"/>
      <c r="M299" s="144"/>
      <c r="N299" s="144">
        <v>40.572499999999998</v>
      </c>
      <c r="O299" s="144">
        <v>47.485399999999998</v>
      </c>
      <c r="P299" s="144">
        <v>47.015599999999999</v>
      </c>
      <c r="Q299" s="144"/>
      <c r="R299" s="145"/>
      <c r="S299" s="146"/>
      <c r="U299" s="8"/>
      <c r="V299" s="9"/>
      <c r="W299" s="10"/>
      <c r="X299" s="29"/>
      <c r="Y299" s="24"/>
      <c r="Z299" s="24"/>
      <c r="AA299" s="27"/>
      <c r="AB299" s="114"/>
      <c r="AC299" s="114"/>
      <c r="AD299" s="114"/>
      <c r="AE299" s="114"/>
      <c r="AF299" s="114"/>
      <c r="AG299" s="114"/>
      <c r="AH299" s="114"/>
    </row>
    <row r="300" spans="2:34" ht="12.75">
      <c r="B300" s="36"/>
      <c r="C300" s="29"/>
      <c r="D300" s="32">
        <v>30</v>
      </c>
      <c r="E300" s="133"/>
      <c r="F300" s="133">
        <v>38.351399999999998</v>
      </c>
      <c r="G300" s="133">
        <v>45.926600000000001</v>
      </c>
      <c r="H300" s="133">
        <v>45.3812</v>
      </c>
      <c r="I300" s="133"/>
      <c r="J300" s="134"/>
      <c r="K300" s="135"/>
      <c r="L300" s="29"/>
      <c r="M300" s="147"/>
      <c r="N300" s="147">
        <v>38.352499999999999</v>
      </c>
      <c r="O300" s="147">
        <v>45.928899999999999</v>
      </c>
      <c r="P300" s="147">
        <v>45.383099999999999</v>
      </c>
      <c r="Q300" s="147"/>
      <c r="R300" s="148"/>
      <c r="S300" s="149"/>
      <c r="U300" s="12"/>
      <c r="V300" s="13"/>
      <c r="W300" s="14"/>
      <c r="X300" s="29"/>
      <c r="Y300" s="24"/>
      <c r="Z300" s="24"/>
      <c r="AA300" s="27"/>
      <c r="AB300" s="114"/>
      <c r="AC300" s="114"/>
      <c r="AD300" s="114"/>
      <c r="AE300" s="114"/>
      <c r="AF300" s="114"/>
      <c r="AG300" s="114"/>
      <c r="AH300" s="114"/>
    </row>
    <row r="301" spans="2:34" ht="12.75">
      <c r="B301" s="36"/>
      <c r="C301" s="29"/>
      <c r="D301" s="32">
        <v>35</v>
      </c>
      <c r="E301" s="133"/>
      <c r="F301" s="133">
        <v>36.1873</v>
      </c>
      <c r="G301" s="133">
        <v>44.084899999999998</v>
      </c>
      <c r="H301" s="133">
        <v>43.555599999999998</v>
      </c>
      <c r="I301" s="133"/>
      <c r="J301" s="134"/>
      <c r="K301" s="135"/>
      <c r="L301" s="29"/>
      <c r="M301" s="147"/>
      <c r="N301" s="147">
        <v>36.186399999999999</v>
      </c>
      <c r="O301" s="147">
        <v>44.084099999999999</v>
      </c>
      <c r="P301" s="147">
        <v>43.556100000000001</v>
      </c>
      <c r="Q301" s="147"/>
      <c r="R301" s="148"/>
      <c r="S301" s="149"/>
      <c r="U301" s="12"/>
      <c r="V301" s="13"/>
      <c r="W301" s="14"/>
      <c r="X301" s="29"/>
      <c r="Y301" s="24"/>
      <c r="Z301" s="24"/>
      <c r="AA301" s="27"/>
      <c r="AB301" s="114"/>
      <c r="AC301" s="114"/>
      <c r="AD301" s="114"/>
      <c r="AE301" s="114"/>
      <c r="AF301" s="114"/>
      <c r="AG301" s="114"/>
      <c r="AH301" s="114"/>
    </row>
    <row r="302" spans="2:34" ht="13.5" thickBot="1">
      <c r="B302" s="36"/>
      <c r="C302" s="51"/>
      <c r="D302" s="69">
        <v>40</v>
      </c>
      <c r="E302" s="136"/>
      <c r="F302" s="136">
        <v>33.960799999999999</v>
      </c>
      <c r="G302" s="136">
        <v>42.752499999999998</v>
      </c>
      <c r="H302" s="136">
        <v>42.2804</v>
      </c>
      <c r="I302" s="136"/>
      <c r="J302" s="137"/>
      <c r="K302" s="138"/>
      <c r="L302" s="29"/>
      <c r="M302" s="150"/>
      <c r="N302" s="150">
        <v>33.962200000000003</v>
      </c>
      <c r="O302" s="150">
        <v>42.757300000000001</v>
      </c>
      <c r="P302" s="150">
        <v>42.280900000000003</v>
      </c>
      <c r="Q302" s="150"/>
      <c r="R302" s="151"/>
      <c r="S302" s="152"/>
      <c r="U302" s="12"/>
      <c r="V302" s="13"/>
      <c r="W302" s="14"/>
      <c r="X302" s="29"/>
      <c r="Y302" s="24"/>
      <c r="Z302" s="24"/>
      <c r="AA302" s="27"/>
      <c r="AB302" s="114"/>
      <c r="AC302" s="114"/>
      <c r="AD302" s="114"/>
      <c r="AE302" s="114"/>
      <c r="AF302" s="114"/>
      <c r="AG302" s="114"/>
      <c r="AH302" s="114"/>
    </row>
    <row r="303" spans="2:34" ht="12.75">
      <c r="B303" s="36"/>
      <c r="C303" s="29" t="s">
        <v>51</v>
      </c>
      <c r="D303" s="32">
        <v>25</v>
      </c>
      <c r="E303" s="131"/>
      <c r="F303" s="131">
        <v>40.61</v>
      </c>
      <c r="G303" s="131">
        <v>47.049100000000003</v>
      </c>
      <c r="H303" s="131">
        <v>46.8232</v>
      </c>
      <c r="I303" s="131"/>
      <c r="J303" s="131"/>
      <c r="K303" s="132"/>
      <c r="L303" s="29"/>
      <c r="M303" s="145"/>
      <c r="N303" s="145">
        <v>40.612000000000002</v>
      </c>
      <c r="O303" s="145">
        <v>47.038400000000003</v>
      </c>
      <c r="P303" s="145">
        <v>46.816299999999998</v>
      </c>
      <c r="Q303" s="145"/>
      <c r="R303" s="145"/>
      <c r="S303" s="146"/>
      <c r="U303" s="8"/>
      <c r="V303" s="9"/>
      <c r="W303" s="10"/>
      <c r="X303" s="29"/>
      <c r="Y303" s="24"/>
      <c r="Z303" s="24"/>
      <c r="AA303" s="27"/>
      <c r="AB303" s="114"/>
      <c r="AC303" s="114"/>
      <c r="AD303" s="114"/>
      <c r="AE303" s="114"/>
      <c r="AF303" s="114"/>
      <c r="AG303" s="114"/>
      <c r="AH303" s="114"/>
    </row>
    <row r="304" spans="2:34" ht="12.75">
      <c r="B304" s="36"/>
      <c r="C304" s="29"/>
      <c r="D304" s="32">
        <v>30</v>
      </c>
      <c r="E304" s="134"/>
      <c r="F304" s="134">
        <v>38.272599999999997</v>
      </c>
      <c r="G304" s="134">
        <v>45.527200000000001</v>
      </c>
      <c r="H304" s="134">
        <v>45.199399999999997</v>
      </c>
      <c r="I304" s="134"/>
      <c r="J304" s="134"/>
      <c r="K304" s="135"/>
      <c r="L304" s="29"/>
      <c r="M304" s="148"/>
      <c r="N304" s="148">
        <v>38.271700000000003</v>
      </c>
      <c r="O304" s="148">
        <v>45.519199999999998</v>
      </c>
      <c r="P304" s="148">
        <v>45.196100000000001</v>
      </c>
      <c r="Q304" s="148"/>
      <c r="R304" s="148"/>
      <c r="S304" s="149"/>
      <c r="U304" s="41"/>
      <c r="V304" s="42"/>
      <c r="W304" s="43"/>
      <c r="X304" s="29"/>
      <c r="Y304" s="24"/>
      <c r="Z304" s="24"/>
      <c r="AA304" s="27"/>
      <c r="AB304" s="114"/>
      <c r="AC304" s="114"/>
      <c r="AD304" s="114"/>
      <c r="AE304" s="114"/>
      <c r="AF304" s="114"/>
      <c r="AG304" s="114"/>
      <c r="AH304" s="114"/>
    </row>
    <row r="305" spans="1:34" ht="12.75">
      <c r="B305" s="36"/>
      <c r="C305" s="29"/>
      <c r="D305" s="32">
        <v>35</v>
      </c>
      <c r="E305" s="134"/>
      <c r="F305" s="134">
        <v>36.081899999999997</v>
      </c>
      <c r="G305" s="134">
        <v>43.762599999999999</v>
      </c>
      <c r="H305" s="134">
        <v>43.406599999999997</v>
      </c>
      <c r="I305" s="134"/>
      <c r="J305" s="134"/>
      <c r="K305" s="135"/>
      <c r="L305" s="29"/>
      <c r="M305" s="148"/>
      <c r="N305" s="148">
        <v>36.076900000000002</v>
      </c>
      <c r="O305" s="148">
        <v>43.759300000000003</v>
      </c>
      <c r="P305" s="148">
        <v>43.4</v>
      </c>
      <c r="Q305" s="148"/>
      <c r="R305" s="148"/>
      <c r="S305" s="149"/>
      <c r="U305" s="41"/>
      <c r="V305" s="42"/>
      <c r="W305" s="43"/>
      <c r="X305" s="29"/>
      <c r="Y305" s="24"/>
      <c r="Z305" s="24"/>
      <c r="AA305" s="27"/>
      <c r="AB305" s="114"/>
      <c r="AC305" s="114"/>
      <c r="AD305" s="114"/>
      <c r="AE305" s="114"/>
      <c r="AF305" s="114"/>
      <c r="AG305" s="114"/>
      <c r="AH305" s="114"/>
    </row>
    <row r="306" spans="1:34" ht="13.5" thickBot="1">
      <c r="B306" s="36"/>
      <c r="C306" s="51"/>
      <c r="D306" s="69">
        <v>40</v>
      </c>
      <c r="E306" s="137"/>
      <c r="F306" s="137">
        <v>33.856400000000001</v>
      </c>
      <c r="G306" s="137">
        <v>42.4893</v>
      </c>
      <c r="H306" s="137">
        <v>42.057600000000001</v>
      </c>
      <c r="I306" s="137"/>
      <c r="J306" s="137"/>
      <c r="K306" s="138"/>
      <c r="L306" s="29"/>
      <c r="M306" s="151"/>
      <c r="N306" s="151">
        <v>33.856400000000001</v>
      </c>
      <c r="O306" s="151">
        <v>42.491100000000003</v>
      </c>
      <c r="P306" s="151">
        <v>42.066600000000001</v>
      </c>
      <c r="Q306" s="151"/>
      <c r="R306" s="151"/>
      <c r="S306" s="152"/>
      <c r="U306" s="41"/>
      <c r="V306" s="42"/>
      <c r="W306" s="43"/>
      <c r="X306" s="29"/>
      <c r="Y306" s="24"/>
      <c r="Z306" s="24"/>
      <c r="AA306" s="27"/>
      <c r="AB306" s="114"/>
      <c r="AC306" s="114"/>
      <c r="AD306" s="114"/>
      <c r="AE306" s="114"/>
      <c r="AF306" s="114"/>
      <c r="AG306" s="114"/>
      <c r="AH306" s="114"/>
    </row>
    <row r="307" spans="1:34" ht="12.75">
      <c r="B307" s="36"/>
      <c r="C307" s="29" t="s">
        <v>52</v>
      </c>
      <c r="D307" s="32">
        <v>25</v>
      </c>
      <c r="E307" s="131"/>
      <c r="F307" s="131">
        <v>39.910400000000003</v>
      </c>
      <c r="G307" s="131">
        <v>46.219200000000001</v>
      </c>
      <c r="H307" s="131">
        <v>46.399299999999997</v>
      </c>
      <c r="I307" s="131"/>
      <c r="J307" s="131"/>
      <c r="K307" s="132"/>
      <c r="L307" s="29"/>
      <c r="M307" s="145"/>
      <c r="N307" s="145">
        <v>39.909300000000002</v>
      </c>
      <c r="O307" s="145">
        <v>46.213799999999999</v>
      </c>
      <c r="P307" s="145">
        <v>46.3979</v>
      </c>
      <c r="Q307" s="145"/>
      <c r="R307" s="145"/>
      <c r="S307" s="146"/>
      <c r="U307" s="8"/>
      <c r="V307" s="9"/>
      <c r="W307" s="10"/>
      <c r="X307" s="29"/>
      <c r="Y307" s="24"/>
      <c r="Z307" s="24"/>
      <c r="AA307" s="27"/>
      <c r="AB307" s="114"/>
      <c r="AC307" s="114"/>
      <c r="AD307" s="114"/>
      <c r="AE307" s="114"/>
      <c r="AF307" s="114"/>
      <c r="AG307" s="114"/>
      <c r="AH307" s="114"/>
    </row>
    <row r="308" spans="1:34" ht="12.75">
      <c r="B308" s="36"/>
      <c r="C308" s="29"/>
      <c r="D308" s="32">
        <v>30</v>
      </c>
      <c r="E308" s="134"/>
      <c r="F308" s="134">
        <v>37.7438</v>
      </c>
      <c r="G308" s="134">
        <v>44.897199999999998</v>
      </c>
      <c r="H308" s="134">
        <v>44.866300000000003</v>
      </c>
      <c r="I308" s="134"/>
      <c r="J308" s="134"/>
      <c r="K308" s="135"/>
      <c r="L308" s="29"/>
      <c r="M308" s="148"/>
      <c r="N308" s="148">
        <v>37.742100000000001</v>
      </c>
      <c r="O308" s="148">
        <v>44.898099999999999</v>
      </c>
      <c r="P308" s="148">
        <v>44.867100000000001</v>
      </c>
      <c r="Q308" s="148"/>
      <c r="R308" s="148"/>
      <c r="S308" s="149"/>
      <c r="U308" s="17"/>
      <c r="V308" s="18"/>
      <c r="W308" s="19"/>
      <c r="X308" s="29"/>
      <c r="Y308" s="24"/>
      <c r="Z308" s="24"/>
      <c r="AA308" s="27"/>
      <c r="AB308" s="114"/>
      <c r="AC308" s="114"/>
      <c r="AD308" s="114"/>
      <c r="AE308" s="114"/>
      <c r="AF308" s="114"/>
      <c r="AG308" s="114"/>
      <c r="AH308" s="114"/>
    </row>
    <row r="309" spans="1:34" ht="12.75">
      <c r="B309" s="36"/>
      <c r="C309" s="29"/>
      <c r="D309" s="32">
        <v>35</v>
      </c>
      <c r="E309" s="134"/>
      <c r="F309" s="134">
        <v>35.663800000000002</v>
      </c>
      <c r="G309" s="134">
        <v>43.343800000000002</v>
      </c>
      <c r="H309" s="134">
        <v>43.224200000000003</v>
      </c>
      <c r="I309" s="134"/>
      <c r="J309" s="134"/>
      <c r="K309" s="135"/>
      <c r="L309" s="29"/>
      <c r="M309" s="148"/>
      <c r="N309" s="148">
        <v>35.658799999999999</v>
      </c>
      <c r="O309" s="148">
        <v>43.330199999999998</v>
      </c>
      <c r="P309" s="148">
        <v>43.205100000000002</v>
      </c>
      <c r="Q309" s="148"/>
      <c r="R309" s="148"/>
      <c r="S309" s="149"/>
      <c r="U309" s="41"/>
      <c r="V309" s="44"/>
      <c r="W309" s="43"/>
      <c r="X309" s="29"/>
      <c r="Y309" s="24"/>
      <c r="Z309" s="24"/>
      <c r="AA309" s="27"/>
      <c r="AB309" s="114"/>
      <c r="AC309" s="114"/>
      <c r="AD309" s="114"/>
      <c r="AE309" s="114"/>
      <c r="AF309" s="114"/>
      <c r="AG309" s="114"/>
      <c r="AH309" s="114"/>
    </row>
    <row r="310" spans="1:34" ht="13.5" thickBot="1">
      <c r="B310" s="36"/>
      <c r="C310" s="51"/>
      <c r="D310" s="69">
        <v>40</v>
      </c>
      <c r="E310" s="137"/>
      <c r="F310" s="137">
        <v>33.540399999999998</v>
      </c>
      <c r="G310" s="137">
        <v>42.168300000000002</v>
      </c>
      <c r="H310" s="137">
        <v>41.927399999999999</v>
      </c>
      <c r="I310" s="137"/>
      <c r="J310" s="137"/>
      <c r="K310" s="138"/>
      <c r="L310" s="29"/>
      <c r="M310" s="151"/>
      <c r="N310" s="151">
        <v>33.542000000000002</v>
      </c>
      <c r="O310" s="151">
        <v>42.178899999999999</v>
      </c>
      <c r="P310" s="151">
        <v>41.929099999999998</v>
      </c>
      <c r="Q310" s="151"/>
      <c r="R310" s="151"/>
      <c r="S310" s="152"/>
      <c r="U310" s="41"/>
      <c r="V310" s="42"/>
      <c r="W310" s="43"/>
      <c r="X310" s="29"/>
      <c r="Y310" s="24"/>
      <c r="Z310" s="24"/>
      <c r="AA310" s="27"/>
      <c r="AB310" s="114"/>
      <c r="AC310" s="114"/>
      <c r="AD310" s="114"/>
      <c r="AE310" s="114"/>
      <c r="AF310" s="114"/>
      <c r="AG310" s="114"/>
      <c r="AH310" s="114"/>
    </row>
    <row r="311" spans="1:34" ht="12.75">
      <c r="B311" s="36"/>
      <c r="C311" s="29" t="s">
        <v>12</v>
      </c>
      <c r="D311" s="32">
        <v>25</v>
      </c>
      <c r="E311" s="134">
        <v>4219.6935999999996</v>
      </c>
      <c r="F311" s="134"/>
      <c r="G311" s="134"/>
      <c r="H311" s="134"/>
      <c r="I311" s="134">
        <v>39770.730000000003</v>
      </c>
      <c r="J311" s="134">
        <v>97.31</v>
      </c>
      <c r="K311" s="135">
        <v>748.61</v>
      </c>
      <c r="L311" s="29"/>
      <c r="M311" s="148">
        <v>4219.7640000000001</v>
      </c>
      <c r="N311" s="148"/>
      <c r="O311" s="148"/>
      <c r="P311" s="148"/>
      <c r="Q311" s="148">
        <v>39979.050000000003</v>
      </c>
      <c r="R311" s="148">
        <v>115.39</v>
      </c>
      <c r="S311" s="149">
        <v>752.13</v>
      </c>
      <c r="U311" s="8"/>
      <c r="V311" s="9"/>
      <c r="W311" s="10"/>
      <c r="X311" s="29"/>
      <c r="Y311" s="59">
        <f>GEOMEAN(Q311:Q314)/GEOMEAN(I311:I314)</f>
        <v>1.0096789509577093</v>
      </c>
      <c r="Z311" s="59">
        <f>GEOMEAN(R311:R314)/GEOMEAN(J311:J314)</f>
        <v>1.043837849660854</v>
      </c>
      <c r="AA311" s="55">
        <f>GEOMEAN(S311:S314)/GEOMEAN(K311:K314)</f>
        <v>1.0155816981906562</v>
      </c>
      <c r="AB311" s="114"/>
      <c r="AC311" s="114"/>
      <c r="AD311" s="114"/>
      <c r="AE311" s="114"/>
      <c r="AF311" s="114"/>
      <c r="AG311" s="114"/>
      <c r="AH311" s="114"/>
    </row>
    <row r="312" spans="1:34" ht="12.75">
      <c r="B312" s="36"/>
      <c r="C312" s="29"/>
      <c r="D312" s="32">
        <v>30</v>
      </c>
      <c r="E312" s="134">
        <v>1453.2488000000001</v>
      </c>
      <c r="F312" s="134"/>
      <c r="G312" s="134"/>
      <c r="H312" s="134"/>
      <c r="I312" s="134">
        <v>30360.78</v>
      </c>
      <c r="J312" s="134">
        <v>103.39</v>
      </c>
      <c r="K312" s="135">
        <v>777.79</v>
      </c>
      <c r="L312" s="29"/>
      <c r="M312" s="148">
        <v>1452.452</v>
      </c>
      <c r="N312" s="148"/>
      <c r="O312" s="148"/>
      <c r="P312" s="148"/>
      <c r="Q312" s="148">
        <v>30524.35</v>
      </c>
      <c r="R312" s="148">
        <v>89.44</v>
      </c>
      <c r="S312" s="149">
        <v>784.33</v>
      </c>
      <c r="U312" s="41"/>
      <c r="V312" s="42"/>
      <c r="W312" s="43"/>
      <c r="X312" s="29"/>
      <c r="Y312" s="24"/>
      <c r="Z312" s="24"/>
      <c r="AA312" s="27"/>
      <c r="AB312" s="114"/>
      <c r="AC312" s="114"/>
      <c r="AD312" s="114"/>
      <c r="AE312" s="114"/>
      <c r="AF312" s="114"/>
      <c r="AG312" s="114"/>
      <c r="AH312" s="114"/>
    </row>
    <row r="313" spans="1:34" ht="12.75">
      <c r="B313" s="36"/>
      <c r="C313" s="29"/>
      <c r="D313" s="32">
        <v>35</v>
      </c>
      <c r="E313" s="134">
        <v>656.19920000000002</v>
      </c>
      <c r="F313" s="134"/>
      <c r="G313" s="134"/>
      <c r="H313" s="134"/>
      <c r="I313" s="134">
        <v>25822.79</v>
      </c>
      <c r="J313" s="134">
        <v>86.99</v>
      </c>
      <c r="K313" s="135">
        <v>768.59</v>
      </c>
      <c r="L313" s="29"/>
      <c r="M313" s="148">
        <v>655.9624</v>
      </c>
      <c r="N313" s="148"/>
      <c r="O313" s="148"/>
      <c r="P313" s="148"/>
      <c r="Q313" s="148">
        <v>26436.35</v>
      </c>
      <c r="R313" s="148">
        <v>99.99</v>
      </c>
      <c r="S313" s="149">
        <v>774.37</v>
      </c>
      <c r="U313" s="17"/>
      <c r="V313" s="18"/>
      <c r="W313" s="19"/>
      <c r="X313" s="29"/>
      <c r="Y313" s="24"/>
      <c r="Z313" s="24"/>
      <c r="AA313" s="27"/>
      <c r="AB313" s="114"/>
      <c r="AC313" s="114"/>
      <c r="AD313" s="114"/>
      <c r="AE313" s="114"/>
      <c r="AF313" s="114"/>
      <c r="AG313" s="114"/>
      <c r="AH313" s="114"/>
    </row>
    <row r="314" spans="1:34" ht="13.5" thickBot="1">
      <c r="B314" s="50"/>
      <c r="C314" s="51"/>
      <c r="D314" s="69">
        <v>40</v>
      </c>
      <c r="E314" s="137">
        <v>330.38479999999998</v>
      </c>
      <c r="F314" s="137"/>
      <c r="G314" s="137"/>
      <c r="H314" s="137"/>
      <c r="I314" s="137">
        <v>23849.68</v>
      </c>
      <c r="J314" s="137">
        <v>84.21</v>
      </c>
      <c r="K314" s="138">
        <v>748.92</v>
      </c>
      <c r="L314" s="29"/>
      <c r="M314" s="151">
        <v>330.6728</v>
      </c>
      <c r="N314" s="151"/>
      <c r="O314" s="151"/>
      <c r="P314" s="151"/>
      <c r="Q314" s="151">
        <v>23956.04</v>
      </c>
      <c r="R314" s="151">
        <v>84.79</v>
      </c>
      <c r="S314" s="152">
        <v>780.49</v>
      </c>
      <c r="U314" s="82"/>
      <c r="V314" s="83"/>
      <c r="W314" s="84"/>
      <c r="X314" s="29"/>
      <c r="Y314" s="47"/>
      <c r="Z314" s="47"/>
      <c r="AA314" s="52"/>
      <c r="AB314" s="114"/>
      <c r="AC314" s="114"/>
      <c r="AD314" s="114"/>
      <c r="AE314" s="114"/>
      <c r="AF314" s="114"/>
      <c r="AG314" s="114"/>
      <c r="AH314" s="114"/>
    </row>
    <row r="315" spans="1:34" ht="12.75">
      <c r="A315" s="20" t="s">
        <v>19</v>
      </c>
      <c r="B315" s="35" t="s">
        <v>56</v>
      </c>
      <c r="C315" s="28" t="s">
        <v>26</v>
      </c>
      <c r="D315" s="31">
        <v>25</v>
      </c>
      <c r="E315" s="130">
        <v>4630.7079999999996</v>
      </c>
      <c r="F315" s="130">
        <v>38.8048</v>
      </c>
      <c r="G315" s="130">
        <v>46.653799999999997</v>
      </c>
      <c r="H315" s="130">
        <v>45.9587</v>
      </c>
      <c r="I315" s="130"/>
      <c r="J315" s="131"/>
      <c r="K315" s="132"/>
      <c r="L315" s="29"/>
      <c r="M315" s="144">
        <v>4630.7079999999996</v>
      </c>
      <c r="N315" s="144">
        <v>38.8048</v>
      </c>
      <c r="O315" s="144">
        <v>46.653799999999997</v>
      </c>
      <c r="P315" s="144">
        <v>45.9587</v>
      </c>
      <c r="Q315" s="144"/>
      <c r="R315" s="145"/>
      <c r="S315" s="146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B315" s="114"/>
      <c r="AC315" s="114"/>
      <c r="AD315" s="114"/>
      <c r="AE315" s="114"/>
      <c r="AF315" s="114"/>
      <c r="AG315" s="114"/>
      <c r="AH315" s="114"/>
    </row>
    <row r="316" spans="1:34" ht="12.75">
      <c r="B316" s="36"/>
      <c r="C316" s="29"/>
      <c r="D316" s="32">
        <v>30</v>
      </c>
      <c r="E316" s="133">
        <v>2006.9952000000001</v>
      </c>
      <c r="F316" s="133">
        <v>35.911999999999999</v>
      </c>
      <c r="G316" s="133">
        <v>45.149700000000003</v>
      </c>
      <c r="H316" s="133">
        <v>44.572000000000003</v>
      </c>
      <c r="I316" s="133"/>
      <c r="J316" s="134"/>
      <c r="K316" s="135"/>
      <c r="L316" s="29"/>
      <c r="M316" s="147">
        <v>2006.9952000000001</v>
      </c>
      <c r="N316" s="147">
        <v>35.911999999999999</v>
      </c>
      <c r="O316" s="147">
        <v>45.149700000000003</v>
      </c>
      <c r="P316" s="147">
        <v>44.572000000000003</v>
      </c>
      <c r="Q316" s="147"/>
      <c r="R316" s="148"/>
      <c r="S316" s="149"/>
      <c r="U316" s="41"/>
      <c r="V316" s="42"/>
      <c r="W316" s="43"/>
      <c r="X316" s="29"/>
      <c r="Y316" s="24"/>
      <c r="Z316" s="24"/>
      <c r="AA316" s="27"/>
      <c r="AB316" s="114"/>
      <c r="AC316" s="114"/>
      <c r="AD316" s="114"/>
      <c r="AE316" s="114"/>
      <c r="AF316" s="114"/>
      <c r="AG316" s="114"/>
      <c r="AH316" s="114"/>
    </row>
    <row r="317" spans="1:34" ht="12.75">
      <c r="B317" s="36"/>
      <c r="C317" s="29"/>
      <c r="D317" s="32">
        <v>35</v>
      </c>
      <c r="E317" s="133">
        <v>917.1232</v>
      </c>
      <c r="F317" s="133">
        <v>33.379800000000003</v>
      </c>
      <c r="G317" s="133">
        <v>43.7883</v>
      </c>
      <c r="H317" s="133">
        <v>43.339700000000001</v>
      </c>
      <c r="I317" s="133"/>
      <c r="J317" s="134"/>
      <c r="K317" s="135"/>
      <c r="L317" s="29"/>
      <c r="M317" s="147">
        <v>917.1232</v>
      </c>
      <c r="N317" s="147">
        <v>33.379800000000003</v>
      </c>
      <c r="O317" s="147">
        <v>43.7883</v>
      </c>
      <c r="P317" s="147">
        <v>43.339700000000001</v>
      </c>
      <c r="Q317" s="147"/>
      <c r="R317" s="148"/>
      <c r="S317" s="149"/>
      <c r="U317" s="41"/>
      <c r="V317" s="42"/>
      <c r="W317" s="43"/>
      <c r="X317" s="29"/>
      <c r="Y317" s="24"/>
      <c r="Z317" s="24"/>
      <c r="AA317" s="27"/>
      <c r="AB317" s="114"/>
      <c r="AC317" s="114"/>
      <c r="AD317" s="114"/>
      <c r="AE317" s="114"/>
      <c r="AF317" s="114"/>
      <c r="AG317" s="114"/>
      <c r="AH317" s="114"/>
    </row>
    <row r="318" spans="1:34" ht="13.5" thickBot="1">
      <c r="B318" s="36"/>
      <c r="C318" s="29"/>
      <c r="D318" s="32">
        <v>40</v>
      </c>
      <c r="E318" s="136">
        <v>425.2296</v>
      </c>
      <c r="F318" s="136">
        <v>31.0777</v>
      </c>
      <c r="G318" s="136">
        <v>42.991799999999998</v>
      </c>
      <c r="H318" s="136">
        <v>42.585000000000001</v>
      </c>
      <c r="I318" s="136"/>
      <c r="J318" s="137"/>
      <c r="K318" s="138"/>
      <c r="L318" s="29"/>
      <c r="M318" s="150">
        <v>425.2296</v>
      </c>
      <c r="N318" s="150">
        <v>31.0777</v>
      </c>
      <c r="O318" s="150">
        <v>42.991799999999998</v>
      </c>
      <c r="P318" s="150">
        <v>42.585000000000001</v>
      </c>
      <c r="Q318" s="150"/>
      <c r="R318" s="151"/>
      <c r="S318" s="152"/>
      <c r="U318" s="41"/>
      <c r="V318" s="42"/>
      <c r="W318" s="43"/>
      <c r="X318" s="29"/>
      <c r="Y318" s="24"/>
      <c r="Z318" s="24"/>
      <c r="AA318" s="27"/>
      <c r="AB318" s="114"/>
      <c r="AC318" s="114"/>
      <c r="AD318" s="114"/>
      <c r="AE318" s="114"/>
      <c r="AF318" s="114"/>
      <c r="AG318" s="114"/>
      <c r="AH318" s="114"/>
    </row>
    <row r="319" spans="1:34" ht="12.75">
      <c r="B319" s="36"/>
      <c r="C319" s="28" t="s">
        <v>27</v>
      </c>
      <c r="D319" s="31">
        <v>25</v>
      </c>
      <c r="E319" s="133">
        <v>909.11199999999997</v>
      </c>
      <c r="F319" s="133">
        <v>37.974499999999999</v>
      </c>
      <c r="G319" s="133">
        <v>46.572899999999997</v>
      </c>
      <c r="H319" s="133">
        <v>45.9756</v>
      </c>
      <c r="I319" s="133"/>
      <c r="J319" s="134"/>
      <c r="K319" s="135"/>
      <c r="L319" s="29"/>
      <c r="M319" s="147">
        <v>906.85519999999997</v>
      </c>
      <c r="N319" s="147">
        <v>37.978999999999999</v>
      </c>
      <c r="O319" s="147">
        <v>46.5745</v>
      </c>
      <c r="P319" s="147">
        <v>45.977200000000003</v>
      </c>
      <c r="Q319" s="147"/>
      <c r="R319" s="148"/>
      <c r="S319" s="149"/>
      <c r="U319" s="8">
        <f>bdrate($E319:$E322,F319:F322,$M319:$M322,N319:N322)</f>
        <v>-4.3194450841907983E-3</v>
      </c>
      <c r="V319" s="9">
        <f>bdrate($E319:$E322,G319:G322,$M319:$M322,O319:O322)</f>
        <v>-3.1830316643626233E-3</v>
      </c>
      <c r="W319" s="10">
        <f>bdrate($E319:$E322,H319:H322,$M319:$M322,P319:P322)</f>
        <v>-3.0131224459249983E-3</v>
      </c>
      <c r="X319" s="29"/>
      <c r="Y319" s="24"/>
      <c r="Z319" s="24"/>
      <c r="AA319" s="27"/>
      <c r="AB319" s="114"/>
      <c r="AC319" s="114"/>
      <c r="AD319" s="114"/>
      <c r="AE319" s="114"/>
      <c r="AF319" s="114"/>
      <c r="AG319" s="114"/>
      <c r="AH319" s="114"/>
    </row>
    <row r="320" spans="1:34" ht="12.75">
      <c r="B320" s="36"/>
      <c r="C320" s="29"/>
      <c r="D320" s="32">
        <v>30</v>
      </c>
      <c r="E320" s="133">
        <v>319.01679999999999</v>
      </c>
      <c r="F320" s="133">
        <v>35.348799999999997</v>
      </c>
      <c r="G320" s="133">
        <v>45.116700000000002</v>
      </c>
      <c r="H320" s="133">
        <v>44.591500000000003</v>
      </c>
      <c r="I320" s="133"/>
      <c r="J320" s="134"/>
      <c r="K320" s="135"/>
      <c r="L320" s="29"/>
      <c r="M320" s="147">
        <v>318.2056</v>
      </c>
      <c r="N320" s="147">
        <v>35.351399999999998</v>
      </c>
      <c r="O320" s="147">
        <v>45.1126</v>
      </c>
      <c r="P320" s="147">
        <v>44.59</v>
      </c>
      <c r="Q320" s="147"/>
      <c r="R320" s="148"/>
      <c r="S320" s="149"/>
      <c r="U320" s="17"/>
      <c r="V320" s="18"/>
      <c r="W320" s="19"/>
      <c r="X320" s="29"/>
      <c r="Y320" s="24"/>
      <c r="Z320" s="24"/>
      <c r="AA320" s="27"/>
      <c r="AB320" s="114"/>
      <c r="AC320" s="114"/>
      <c r="AD320" s="114"/>
      <c r="AE320" s="114"/>
      <c r="AF320" s="114"/>
      <c r="AG320" s="114"/>
      <c r="AH320" s="114"/>
    </row>
    <row r="321" spans="2:34" ht="12.75">
      <c r="B321" s="36"/>
      <c r="C321" s="29"/>
      <c r="D321" s="32">
        <v>35</v>
      </c>
      <c r="E321" s="133">
        <v>136.5264</v>
      </c>
      <c r="F321" s="133">
        <v>32.950499999999998</v>
      </c>
      <c r="G321" s="133">
        <v>43.846899999999998</v>
      </c>
      <c r="H321" s="133">
        <v>43.409300000000002</v>
      </c>
      <c r="I321" s="133"/>
      <c r="J321" s="134"/>
      <c r="K321" s="135"/>
      <c r="L321" s="29"/>
      <c r="M321" s="147">
        <v>135.9744</v>
      </c>
      <c r="N321" s="147">
        <v>32.952199999999998</v>
      </c>
      <c r="O321" s="147">
        <v>43.850299999999997</v>
      </c>
      <c r="P321" s="147">
        <v>43.407400000000003</v>
      </c>
      <c r="Q321" s="147"/>
      <c r="R321" s="148"/>
      <c r="S321" s="149"/>
      <c r="U321" s="41"/>
      <c r="V321" s="44"/>
      <c r="W321" s="43"/>
      <c r="X321" s="29"/>
      <c r="Y321" s="24"/>
      <c r="Z321" s="24"/>
      <c r="AA321" s="27"/>
      <c r="AB321" s="114"/>
      <c r="AC321" s="114"/>
      <c r="AD321" s="114"/>
      <c r="AE321" s="114"/>
      <c r="AF321" s="114"/>
      <c r="AG321" s="114"/>
      <c r="AH321" s="114"/>
    </row>
    <row r="322" spans="2:34" ht="13.5" thickBot="1">
      <c r="B322" s="36"/>
      <c r="C322" s="29"/>
      <c r="D322" s="32">
        <v>40</v>
      </c>
      <c r="E322" s="133">
        <v>63.207999999999998</v>
      </c>
      <c r="F322" s="133">
        <v>30.730899999999998</v>
      </c>
      <c r="G322" s="133">
        <v>43.028399999999998</v>
      </c>
      <c r="H322" s="133">
        <v>42.643599999999999</v>
      </c>
      <c r="I322" s="133"/>
      <c r="J322" s="134"/>
      <c r="K322" s="135"/>
      <c r="L322" s="29"/>
      <c r="M322" s="147">
        <v>62.866399999999999</v>
      </c>
      <c r="N322" s="147">
        <v>30.7331</v>
      </c>
      <c r="O322" s="147">
        <v>43.031700000000001</v>
      </c>
      <c r="P322" s="147">
        <v>42.650399999999998</v>
      </c>
      <c r="Q322" s="147"/>
      <c r="R322" s="148"/>
      <c r="S322" s="149"/>
      <c r="U322" s="41"/>
      <c r="V322" s="42"/>
      <c r="W322" s="43"/>
      <c r="X322" s="29"/>
      <c r="Y322" s="24"/>
      <c r="Z322" s="24"/>
      <c r="AA322" s="27"/>
      <c r="AB322" s="114"/>
      <c r="AC322" s="114"/>
      <c r="AD322" s="114"/>
      <c r="AE322" s="114"/>
      <c r="AF322" s="114"/>
      <c r="AG322" s="114"/>
      <c r="AH322" s="114"/>
    </row>
    <row r="323" spans="2:34" ht="12.75">
      <c r="B323" s="36"/>
      <c r="C323" s="28" t="s">
        <v>28</v>
      </c>
      <c r="D323" s="31">
        <v>25</v>
      </c>
      <c r="E323" s="130">
        <v>863.78560000000004</v>
      </c>
      <c r="F323" s="130">
        <v>38.1404</v>
      </c>
      <c r="G323" s="130">
        <v>46.514699999999998</v>
      </c>
      <c r="H323" s="130">
        <v>45.778599999999997</v>
      </c>
      <c r="I323" s="130"/>
      <c r="J323" s="131"/>
      <c r="K323" s="132"/>
      <c r="L323" s="29"/>
      <c r="M323" s="144">
        <v>862.00160000000005</v>
      </c>
      <c r="N323" s="144">
        <v>38.143700000000003</v>
      </c>
      <c r="O323" s="144">
        <v>46.515099999999997</v>
      </c>
      <c r="P323" s="144">
        <v>45.778799999999997</v>
      </c>
      <c r="Q323" s="144"/>
      <c r="R323" s="145"/>
      <c r="S323" s="146"/>
      <c r="U323" s="8">
        <f>bdrate($E323:$E326,F323:F326,$M323:$M326,N323:N326)</f>
        <v>-4.8193996774154035E-3</v>
      </c>
      <c r="V323" s="9">
        <f>bdrate($E323:$E326,G323:G326,$M323:$M326,O323:O326)</f>
        <v>-4.9642762136641316E-3</v>
      </c>
      <c r="W323" s="10">
        <f>bdrate($E323:$E326,H323:H326,$M323:$M326,P323:P326)</f>
        <v>-3.8212914613583449E-3</v>
      </c>
      <c r="X323" s="29"/>
      <c r="Y323" s="24"/>
      <c r="Z323" s="24"/>
      <c r="AA323" s="27"/>
      <c r="AB323" s="114"/>
      <c r="AC323" s="114"/>
      <c r="AD323" s="114"/>
      <c r="AE323" s="114"/>
      <c r="AF323" s="114"/>
      <c r="AG323" s="114"/>
      <c r="AH323" s="114"/>
    </row>
    <row r="324" spans="2:34" ht="12.75">
      <c r="B324" s="36"/>
      <c r="C324" s="29"/>
      <c r="D324" s="32">
        <v>30</v>
      </c>
      <c r="E324" s="133">
        <v>304.23360000000002</v>
      </c>
      <c r="F324" s="133">
        <v>35.532899999999998</v>
      </c>
      <c r="G324" s="133">
        <v>45.047800000000002</v>
      </c>
      <c r="H324" s="133">
        <v>44.4313</v>
      </c>
      <c r="I324" s="133"/>
      <c r="J324" s="134"/>
      <c r="K324" s="135"/>
      <c r="L324" s="29"/>
      <c r="M324" s="147">
        <v>302.57839999999999</v>
      </c>
      <c r="N324" s="147">
        <v>35.535600000000002</v>
      </c>
      <c r="O324" s="147">
        <v>45.0443</v>
      </c>
      <c r="P324" s="147">
        <v>44.427599999999998</v>
      </c>
      <c r="Q324" s="147"/>
      <c r="R324" s="148"/>
      <c r="S324" s="149"/>
      <c r="U324" s="41"/>
      <c r="V324" s="42"/>
      <c r="W324" s="43"/>
      <c r="X324" s="29"/>
      <c r="Y324" s="24"/>
      <c r="Z324" s="24"/>
      <c r="AA324" s="27"/>
      <c r="AB324" s="114"/>
      <c r="AC324" s="114"/>
      <c r="AD324" s="114"/>
      <c r="AE324" s="114"/>
      <c r="AF324" s="114"/>
      <c r="AG324" s="114"/>
      <c r="AH324" s="114"/>
    </row>
    <row r="325" spans="2:34" ht="12.75">
      <c r="B325" s="36"/>
      <c r="C325" s="29"/>
      <c r="D325" s="32">
        <v>35</v>
      </c>
      <c r="E325" s="133">
        <v>130.99199999999999</v>
      </c>
      <c r="F325" s="133">
        <v>33.142200000000003</v>
      </c>
      <c r="G325" s="133">
        <v>43.758899999999997</v>
      </c>
      <c r="H325" s="133">
        <v>43.259599999999999</v>
      </c>
      <c r="I325" s="133"/>
      <c r="J325" s="134"/>
      <c r="K325" s="135"/>
      <c r="L325" s="29"/>
      <c r="M325" s="147">
        <v>130.41839999999999</v>
      </c>
      <c r="N325" s="147">
        <v>33.142499999999998</v>
      </c>
      <c r="O325" s="147">
        <v>43.763500000000001</v>
      </c>
      <c r="P325" s="147">
        <v>43.262300000000003</v>
      </c>
      <c r="Q325" s="147"/>
      <c r="R325" s="148"/>
      <c r="S325" s="149"/>
      <c r="U325" s="17"/>
      <c r="V325" s="18"/>
      <c r="W325" s="19"/>
      <c r="X325" s="29"/>
      <c r="Y325" s="24"/>
      <c r="Z325" s="24"/>
      <c r="AA325" s="27"/>
      <c r="AB325" s="114"/>
      <c r="AC325" s="114"/>
      <c r="AD325" s="114"/>
      <c r="AE325" s="114"/>
      <c r="AF325" s="114"/>
      <c r="AG325" s="114"/>
      <c r="AH325" s="114"/>
    </row>
    <row r="326" spans="2:34" ht="13.5" thickBot="1">
      <c r="B326" s="36"/>
      <c r="C326" s="51"/>
      <c r="D326" s="69">
        <v>40</v>
      </c>
      <c r="E326" s="136">
        <v>60.885599999999997</v>
      </c>
      <c r="F326" s="136">
        <v>30.9069</v>
      </c>
      <c r="G326" s="136">
        <v>42.943800000000003</v>
      </c>
      <c r="H326" s="136">
        <v>42.502600000000001</v>
      </c>
      <c r="I326" s="136"/>
      <c r="J326" s="137"/>
      <c r="K326" s="138"/>
      <c r="L326" s="29"/>
      <c r="M326" s="150">
        <v>60.797600000000003</v>
      </c>
      <c r="N326" s="150">
        <v>30.907900000000001</v>
      </c>
      <c r="O326" s="150">
        <v>42.951599999999999</v>
      </c>
      <c r="P326" s="150">
        <v>42.503500000000003</v>
      </c>
      <c r="Q326" s="150"/>
      <c r="R326" s="151"/>
      <c r="S326" s="152"/>
      <c r="U326" s="41"/>
      <c r="V326" s="42"/>
      <c r="W326" s="43"/>
      <c r="X326" s="29"/>
      <c r="Y326" s="24"/>
      <c r="Z326" s="24"/>
      <c r="AA326" s="27"/>
      <c r="AB326" s="114"/>
      <c r="AC326" s="114"/>
      <c r="AD326" s="114"/>
      <c r="AE326" s="114"/>
      <c r="AF326" s="114"/>
      <c r="AG326" s="114"/>
      <c r="AH326" s="114"/>
    </row>
    <row r="327" spans="2:34" ht="12.75">
      <c r="B327" s="36"/>
      <c r="C327" s="28" t="s">
        <v>29</v>
      </c>
      <c r="D327" s="31">
        <v>34</v>
      </c>
      <c r="E327" s="130">
        <v>212.9256</v>
      </c>
      <c r="F327" s="130">
        <v>47.883299999999998</v>
      </c>
      <c r="G327" s="130"/>
      <c r="H327" s="130"/>
      <c r="I327" s="130"/>
      <c r="J327" s="131"/>
      <c r="K327" s="132"/>
      <c r="L327" s="29"/>
      <c r="M327" s="144">
        <v>212.9256</v>
      </c>
      <c r="N327" s="144">
        <v>47.883299999999998</v>
      </c>
      <c r="O327" s="144"/>
      <c r="P327" s="144"/>
      <c r="Q327" s="144"/>
      <c r="R327" s="145"/>
      <c r="S327" s="146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B327" s="114"/>
      <c r="AC327" s="114"/>
      <c r="AD327" s="114"/>
      <c r="AE327" s="114"/>
      <c r="AF327" s="114"/>
      <c r="AG327" s="114"/>
      <c r="AH327" s="114"/>
    </row>
    <row r="328" spans="2:34" ht="12.75">
      <c r="B328" s="36"/>
      <c r="C328" s="29"/>
      <c r="D328" s="32">
        <v>39</v>
      </c>
      <c r="E328" s="133">
        <v>96.165599999999998</v>
      </c>
      <c r="F328" s="133">
        <v>43.144599999999997</v>
      </c>
      <c r="G328" s="133"/>
      <c r="H328" s="133"/>
      <c r="I328" s="133"/>
      <c r="J328" s="134"/>
      <c r="K328" s="135"/>
      <c r="L328" s="29"/>
      <c r="M328" s="147">
        <v>96.165599999999998</v>
      </c>
      <c r="N328" s="147">
        <v>43.144599999999997</v>
      </c>
      <c r="O328" s="147"/>
      <c r="P328" s="147"/>
      <c r="Q328" s="147"/>
      <c r="R328" s="148"/>
      <c r="S328" s="149"/>
      <c r="U328" s="41"/>
      <c r="V328" s="42"/>
      <c r="W328" s="43"/>
      <c r="X328" s="29"/>
      <c r="Y328" s="24"/>
      <c r="Z328" s="24"/>
      <c r="AA328" s="27"/>
      <c r="AB328" s="114"/>
      <c r="AC328" s="114"/>
      <c r="AD328" s="114"/>
      <c r="AE328" s="114"/>
      <c r="AF328" s="114"/>
      <c r="AG328" s="114"/>
      <c r="AH328" s="114"/>
    </row>
    <row r="329" spans="2:34" ht="12.75">
      <c r="B329" s="36"/>
      <c r="C329" s="29"/>
      <c r="D329" s="32">
        <v>42</v>
      </c>
      <c r="E329" s="133">
        <v>46.407200000000003</v>
      </c>
      <c r="F329" s="133">
        <v>39.3932</v>
      </c>
      <c r="G329" s="133"/>
      <c r="H329" s="133"/>
      <c r="I329" s="133"/>
      <c r="J329" s="134"/>
      <c r="K329" s="135"/>
      <c r="L329" s="29"/>
      <c r="M329" s="147">
        <v>46.407200000000003</v>
      </c>
      <c r="N329" s="147">
        <v>39.3932</v>
      </c>
      <c r="O329" s="147"/>
      <c r="P329" s="147"/>
      <c r="Q329" s="147"/>
      <c r="R329" s="148"/>
      <c r="S329" s="149"/>
      <c r="U329" s="41"/>
      <c r="V329" s="42"/>
      <c r="W329" s="43"/>
      <c r="X329" s="29"/>
      <c r="Y329" s="24"/>
      <c r="Z329" s="24"/>
      <c r="AA329" s="27"/>
      <c r="AB329" s="114"/>
      <c r="AC329" s="114"/>
      <c r="AD329" s="114"/>
      <c r="AE329" s="114"/>
      <c r="AF329" s="114"/>
      <c r="AG329" s="114"/>
      <c r="AH329" s="114"/>
    </row>
    <row r="330" spans="2:34" ht="13.5" thickBot="1">
      <c r="B330" s="36"/>
      <c r="C330" s="29"/>
      <c r="D330" s="32">
        <v>45</v>
      </c>
      <c r="E330" s="136">
        <v>21.636800000000001</v>
      </c>
      <c r="F330" s="136">
        <v>35.450800000000001</v>
      </c>
      <c r="G330" s="136"/>
      <c r="H330" s="136"/>
      <c r="I330" s="136"/>
      <c r="J330" s="137"/>
      <c r="K330" s="138"/>
      <c r="L330" s="29"/>
      <c r="M330" s="150">
        <v>21.636800000000001</v>
      </c>
      <c r="N330" s="150">
        <v>35.450800000000001</v>
      </c>
      <c r="O330" s="150"/>
      <c r="P330" s="150"/>
      <c r="Q330" s="150"/>
      <c r="R330" s="151"/>
      <c r="S330" s="152"/>
      <c r="U330" s="17"/>
      <c r="V330" s="18"/>
      <c r="W330" s="19"/>
      <c r="X330" s="29"/>
      <c r="Y330" s="59"/>
      <c r="Z330" s="59"/>
      <c r="AA330" s="55"/>
      <c r="AB330" s="114"/>
      <c r="AC330" s="114"/>
      <c r="AD330" s="114"/>
      <c r="AE330" s="114"/>
      <c r="AF330" s="114"/>
      <c r="AG330" s="114"/>
      <c r="AH330" s="114"/>
    </row>
    <row r="331" spans="2:34" ht="12.75">
      <c r="B331" s="36"/>
      <c r="C331" s="28" t="s">
        <v>30</v>
      </c>
      <c r="D331" s="31">
        <v>34</v>
      </c>
      <c r="E331" s="130">
        <v>92.712800000000001</v>
      </c>
      <c r="F331" s="130">
        <v>46.394100000000002</v>
      </c>
      <c r="G331" s="130"/>
      <c r="H331" s="130"/>
      <c r="I331" s="130"/>
      <c r="J331" s="131"/>
      <c r="K331" s="132"/>
      <c r="L331" s="29"/>
      <c r="M331" s="144">
        <v>92.603200000000001</v>
      </c>
      <c r="N331" s="144">
        <v>46.441299999999998</v>
      </c>
      <c r="O331" s="144"/>
      <c r="P331" s="144"/>
      <c r="Q331" s="144"/>
      <c r="R331" s="145"/>
      <c r="S331" s="146"/>
      <c r="U331" s="8">
        <f>bdrate($E331:$E334,F331:F334,$M331:$M334,N331:N334)</f>
        <v>-9.0024431951163386E-5</v>
      </c>
      <c r="V331" s="9"/>
      <c r="W331" s="10"/>
      <c r="X331" s="29"/>
      <c r="Y331" s="24"/>
      <c r="Z331" s="24"/>
      <c r="AA331" s="27"/>
      <c r="AB331" s="114"/>
      <c r="AC331" s="114"/>
      <c r="AD331" s="114"/>
      <c r="AE331" s="114"/>
      <c r="AF331" s="114"/>
      <c r="AG331" s="114"/>
      <c r="AH331" s="114"/>
    </row>
    <row r="332" spans="2:34" ht="12.75">
      <c r="B332" s="36"/>
      <c r="C332" s="29"/>
      <c r="D332" s="32">
        <v>39</v>
      </c>
      <c r="E332" s="133">
        <v>36.952800000000003</v>
      </c>
      <c r="F332" s="133">
        <v>41.982500000000002</v>
      </c>
      <c r="G332" s="133"/>
      <c r="H332" s="133"/>
      <c r="I332" s="133"/>
      <c r="J332" s="134"/>
      <c r="K332" s="135"/>
      <c r="L332" s="29"/>
      <c r="M332" s="147">
        <v>36.829599999999999</v>
      </c>
      <c r="N332" s="147">
        <v>42.003300000000003</v>
      </c>
      <c r="O332" s="147"/>
      <c r="P332" s="147"/>
      <c r="Q332" s="147"/>
      <c r="R332" s="148"/>
      <c r="S332" s="149"/>
      <c r="U332" s="12"/>
      <c r="V332" s="13"/>
      <c r="W332" s="14"/>
      <c r="X332" s="29"/>
      <c r="Y332" s="24"/>
      <c r="Z332" s="24"/>
      <c r="AA332" s="27"/>
      <c r="AB332" s="114"/>
      <c r="AC332" s="114"/>
      <c r="AD332" s="114"/>
      <c r="AE332" s="114"/>
      <c r="AF332" s="114"/>
      <c r="AG332" s="114"/>
      <c r="AH332" s="114"/>
    </row>
    <row r="333" spans="2:34" ht="12.75">
      <c r="B333" s="36"/>
      <c r="C333" s="29"/>
      <c r="D333" s="32">
        <v>42</v>
      </c>
      <c r="E333" s="133">
        <v>18.3232</v>
      </c>
      <c r="F333" s="133">
        <v>38.521299999999997</v>
      </c>
      <c r="G333" s="133"/>
      <c r="H333" s="133"/>
      <c r="I333" s="133"/>
      <c r="J333" s="134"/>
      <c r="K333" s="135"/>
      <c r="L333" s="29"/>
      <c r="M333" s="147">
        <v>18.475999999999999</v>
      </c>
      <c r="N333" s="147">
        <v>38.495699999999999</v>
      </c>
      <c r="O333" s="147"/>
      <c r="P333" s="147"/>
      <c r="Q333" s="147"/>
      <c r="R333" s="148"/>
      <c r="S333" s="149"/>
      <c r="U333" s="12"/>
      <c r="V333" s="13"/>
      <c r="W333" s="14"/>
      <c r="X333" s="29"/>
      <c r="Y333" s="24"/>
      <c r="Z333" s="24"/>
      <c r="AA333" s="27"/>
      <c r="AB333" s="114"/>
      <c r="AC333" s="114"/>
      <c r="AD333" s="114"/>
      <c r="AE333" s="114"/>
      <c r="AF333" s="114"/>
      <c r="AG333" s="114"/>
      <c r="AH333" s="114"/>
    </row>
    <row r="334" spans="2:34" ht="13.5" thickBot="1">
      <c r="B334" s="36"/>
      <c r="C334" s="29"/>
      <c r="D334" s="32">
        <v>45</v>
      </c>
      <c r="E334" s="136">
        <v>9.2216000000000005</v>
      </c>
      <c r="F334" s="136">
        <v>34.880499999999998</v>
      </c>
      <c r="G334" s="136"/>
      <c r="H334" s="136"/>
      <c r="I334" s="136"/>
      <c r="J334" s="137"/>
      <c r="K334" s="138"/>
      <c r="L334" s="29"/>
      <c r="M334" s="150">
        <v>9.2248000000000001</v>
      </c>
      <c r="N334" s="150">
        <v>34.873399999999997</v>
      </c>
      <c r="O334" s="150"/>
      <c r="P334" s="150"/>
      <c r="Q334" s="150"/>
      <c r="R334" s="151"/>
      <c r="S334" s="152"/>
      <c r="U334" s="12"/>
      <c r="V334" s="13"/>
      <c r="W334" s="14"/>
      <c r="X334" s="29"/>
      <c r="Y334" s="24"/>
      <c r="Z334" s="24"/>
      <c r="AA334" s="27"/>
      <c r="AB334" s="114"/>
      <c r="AC334" s="114"/>
      <c r="AD334" s="114"/>
      <c r="AE334" s="114"/>
      <c r="AF334" s="114"/>
      <c r="AG334" s="114"/>
      <c r="AH334" s="114"/>
    </row>
    <row r="335" spans="2:34" ht="12.75">
      <c r="B335" s="36"/>
      <c r="C335" s="28" t="s">
        <v>31</v>
      </c>
      <c r="D335" s="31">
        <v>34</v>
      </c>
      <c r="E335" s="130">
        <v>93.0304</v>
      </c>
      <c r="F335" s="130">
        <v>46.555199999999999</v>
      </c>
      <c r="G335" s="130"/>
      <c r="H335" s="130"/>
      <c r="I335" s="130"/>
      <c r="J335" s="131"/>
      <c r="K335" s="132"/>
      <c r="L335" s="29"/>
      <c r="M335" s="144">
        <v>92.718400000000003</v>
      </c>
      <c r="N335" s="144">
        <v>46.5779</v>
      </c>
      <c r="O335" s="144"/>
      <c r="P335" s="144"/>
      <c r="Q335" s="144"/>
      <c r="R335" s="145"/>
      <c r="S335" s="146"/>
      <c r="U335" s="8">
        <f>bdrate($E335:$E338,F335:F338,$M335:$M338,N335:N338)</f>
        <v>-7.6398685474595718E-3</v>
      </c>
      <c r="V335" s="9"/>
      <c r="W335" s="10"/>
      <c r="X335" s="29"/>
      <c r="Y335" s="24"/>
      <c r="Z335" s="24"/>
      <c r="AA335" s="27"/>
      <c r="AB335" s="114"/>
      <c r="AC335" s="114"/>
      <c r="AD335" s="114"/>
      <c r="AE335" s="114"/>
      <c r="AF335" s="114"/>
      <c r="AG335" s="114"/>
      <c r="AH335" s="114"/>
    </row>
    <row r="336" spans="2:34" ht="12.75">
      <c r="B336" s="36"/>
      <c r="C336" s="29"/>
      <c r="D336" s="32">
        <v>39</v>
      </c>
      <c r="E336" s="133">
        <v>38.471200000000003</v>
      </c>
      <c r="F336" s="133">
        <v>42.171300000000002</v>
      </c>
      <c r="G336" s="133"/>
      <c r="H336" s="133"/>
      <c r="I336" s="133"/>
      <c r="J336" s="134"/>
      <c r="K336" s="135"/>
      <c r="L336" s="29"/>
      <c r="M336" s="147">
        <v>38.268000000000001</v>
      </c>
      <c r="N336" s="147">
        <v>42.197699999999998</v>
      </c>
      <c r="O336" s="147"/>
      <c r="P336" s="147"/>
      <c r="Q336" s="147"/>
      <c r="R336" s="148"/>
      <c r="S336" s="149"/>
      <c r="U336" s="41"/>
      <c r="V336" s="42"/>
      <c r="W336" s="43"/>
      <c r="X336" s="29"/>
      <c r="Y336" s="24"/>
      <c r="Z336" s="24"/>
      <c r="AA336" s="27"/>
      <c r="AB336" s="114"/>
      <c r="AC336" s="114"/>
      <c r="AD336" s="114"/>
      <c r="AE336" s="114"/>
      <c r="AF336" s="114"/>
      <c r="AG336" s="114"/>
      <c r="AH336" s="114"/>
    </row>
    <row r="337" spans="2:34" ht="12.75">
      <c r="B337" s="36"/>
      <c r="C337" s="29"/>
      <c r="D337" s="32">
        <v>42</v>
      </c>
      <c r="E337" s="133">
        <v>19.620799999999999</v>
      </c>
      <c r="F337" s="133">
        <v>38.581400000000002</v>
      </c>
      <c r="G337" s="133"/>
      <c r="H337" s="133"/>
      <c r="I337" s="133"/>
      <c r="J337" s="134"/>
      <c r="K337" s="135"/>
      <c r="L337" s="29"/>
      <c r="M337" s="147">
        <v>19.4968</v>
      </c>
      <c r="N337" s="147">
        <v>38.5715</v>
      </c>
      <c r="O337" s="147"/>
      <c r="P337" s="147"/>
      <c r="Q337" s="147"/>
      <c r="R337" s="148"/>
      <c r="S337" s="149"/>
      <c r="U337" s="41"/>
      <c r="V337" s="42"/>
      <c r="W337" s="43"/>
      <c r="X337" s="29"/>
      <c r="Y337" s="24"/>
      <c r="Z337" s="24"/>
      <c r="AA337" s="27"/>
      <c r="AB337" s="114"/>
      <c r="AC337" s="114"/>
      <c r="AD337" s="114"/>
      <c r="AE337" s="114"/>
      <c r="AF337" s="114"/>
      <c r="AG337" s="114"/>
      <c r="AH337" s="114"/>
    </row>
    <row r="338" spans="2:34" ht="13.5" thickBot="1">
      <c r="B338" s="36"/>
      <c r="C338" s="29"/>
      <c r="D338" s="32">
        <v>45</v>
      </c>
      <c r="E338" s="136">
        <v>10.203200000000001</v>
      </c>
      <c r="F338" s="136">
        <v>35.015099999999997</v>
      </c>
      <c r="G338" s="136"/>
      <c r="H338" s="136"/>
      <c r="I338" s="136"/>
      <c r="J338" s="137"/>
      <c r="K338" s="138"/>
      <c r="L338" s="29"/>
      <c r="M338" s="150">
        <v>10.119199999999999</v>
      </c>
      <c r="N338" s="150">
        <v>35.0062</v>
      </c>
      <c r="O338" s="150"/>
      <c r="P338" s="150"/>
      <c r="Q338" s="150"/>
      <c r="R338" s="151"/>
      <c r="S338" s="152"/>
      <c r="U338" s="41"/>
      <c r="V338" s="42"/>
      <c r="W338" s="43"/>
      <c r="X338" s="29"/>
      <c r="Y338" s="24"/>
      <c r="Z338" s="24"/>
      <c r="AA338" s="27"/>
      <c r="AB338" s="114"/>
      <c r="AC338" s="114"/>
      <c r="AD338" s="114"/>
      <c r="AE338" s="114"/>
      <c r="AF338" s="114"/>
      <c r="AG338" s="114"/>
      <c r="AH338" s="114"/>
    </row>
    <row r="339" spans="2:34" ht="12.75">
      <c r="B339" s="36"/>
      <c r="C339" s="28" t="s">
        <v>47</v>
      </c>
      <c r="D339" s="31">
        <v>25</v>
      </c>
      <c r="E339" s="130"/>
      <c r="F339" s="130">
        <v>38.530900000000003</v>
      </c>
      <c r="G339" s="130">
        <v>46.599800000000002</v>
      </c>
      <c r="H339" s="130">
        <v>45.627899999999997</v>
      </c>
      <c r="I339" s="130"/>
      <c r="J339" s="131"/>
      <c r="K339" s="132"/>
      <c r="L339" s="29"/>
      <c r="M339" s="144"/>
      <c r="N339" s="144">
        <v>38.536000000000001</v>
      </c>
      <c r="O339" s="144">
        <v>46.574599999999997</v>
      </c>
      <c r="P339" s="144">
        <v>45.616100000000003</v>
      </c>
      <c r="Q339" s="144"/>
      <c r="R339" s="145"/>
      <c r="S339" s="146"/>
      <c r="U339" s="8"/>
      <c r="V339" s="9"/>
      <c r="W339" s="10"/>
      <c r="X339" s="29"/>
      <c r="Y339" s="24"/>
      <c r="Z339" s="24"/>
      <c r="AA339" s="27"/>
      <c r="AB339" s="114"/>
      <c r="AC339" s="114"/>
      <c r="AD339" s="114"/>
      <c r="AE339" s="114"/>
      <c r="AF339" s="114"/>
      <c r="AG339" s="114"/>
      <c r="AH339" s="114"/>
    </row>
    <row r="340" spans="2:34" ht="12.75">
      <c r="B340" s="36"/>
      <c r="C340" s="29"/>
      <c r="D340" s="32">
        <v>30</v>
      </c>
      <c r="E340" s="133"/>
      <c r="F340" s="133">
        <v>35.703600000000002</v>
      </c>
      <c r="G340" s="133">
        <v>45.240900000000003</v>
      </c>
      <c r="H340" s="133">
        <v>44.3917</v>
      </c>
      <c r="I340" s="133"/>
      <c r="J340" s="134"/>
      <c r="K340" s="135"/>
      <c r="L340" s="29"/>
      <c r="M340" s="147"/>
      <c r="N340" s="147">
        <v>35.7027</v>
      </c>
      <c r="O340" s="147">
        <v>45.248399999999997</v>
      </c>
      <c r="P340" s="147">
        <v>44.400300000000001</v>
      </c>
      <c r="Q340" s="147"/>
      <c r="R340" s="148"/>
      <c r="S340" s="149"/>
      <c r="U340" s="17"/>
      <c r="V340" s="18"/>
      <c r="W340" s="19"/>
      <c r="X340" s="29"/>
      <c r="Y340" s="24"/>
      <c r="Z340" s="24"/>
      <c r="AA340" s="27"/>
      <c r="AB340" s="114"/>
      <c r="AC340" s="114"/>
      <c r="AD340" s="114"/>
      <c r="AE340" s="114"/>
      <c r="AF340" s="114"/>
      <c r="AG340" s="114"/>
      <c r="AH340" s="114"/>
    </row>
    <row r="341" spans="2:34" ht="12.75">
      <c r="B341" s="36"/>
      <c r="C341" s="29"/>
      <c r="D341" s="32">
        <v>35</v>
      </c>
      <c r="E341" s="133"/>
      <c r="F341" s="133">
        <v>33.176600000000001</v>
      </c>
      <c r="G341" s="133">
        <v>43.994399999999999</v>
      </c>
      <c r="H341" s="133">
        <v>43.420200000000001</v>
      </c>
      <c r="I341" s="133"/>
      <c r="J341" s="134"/>
      <c r="K341" s="135"/>
      <c r="L341" s="29"/>
      <c r="M341" s="147"/>
      <c r="N341" s="147">
        <v>33.179000000000002</v>
      </c>
      <c r="O341" s="147">
        <v>43.995600000000003</v>
      </c>
      <c r="P341" s="147">
        <v>43.433999999999997</v>
      </c>
      <c r="Q341" s="147"/>
      <c r="R341" s="148"/>
      <c r="S341" s="149"/>
      <c r="U341" s="41"/>
      <c r="V341" s="44"/>
      <c r="W341" s="43"/>
      <c r="X341" s="29"/>
      <c r="Y341" s="24"/>
      <c r="Z341" s="24"/>
      <c r="AA341" s="27"/>
      <c r="AB341" s="114"/>
      <c r="AC341" s="114"/>
      <c r="AD341" s="114"/>
      <c r="AE341" s="114"/>
      <c r="AF341" s="114"/>
      <c r="AG341" s="114"/>
      <c r="AH341" s="114"/>
    </row>
    <row r="342" spans="2:34" ht="13.5" thickBot="1">
      <c r="B342" s="36"/>
      <c r="C342" s="51"/>
      <c r="D342" s="69">
        <v>40</v>
      </c>
      <c r="E342" s="136"/>
      <c r="F342" s="136">
        <v>30.8688</v>
      </c>
      <c r="G342" s="136">
        <v>43.306199999999997</v>
      </c>
      <c r="H342" s="136">
        <v>42.761699999999998</v>
      </c>
      <c r="I342" s="136"/>
      <c r="J342" s="137"/>
      <c r="K342" s="138"/>
      <c r="L342" s="29"/>
      <c r="M342" s="150"/>
      <c r="N342" s="150">
        <v>30.8657</v>
      </c>
      <c r="O342" s="150">
        <v>43.272599999999997</v>
      </c>
      <c r="P342" s="150">
        <v>42.756500000000003</v>
      </c>
      <c r="Q342" s="150"/>
      <c r="R342" s="151"/>
      <c r="S342" s="152"/>
      <c r="U342" s="41"/>
      <c r="V342" s="42"/>
      <c r="W342" s="43"/>
      <c r="X342" s="29"/>
      <c r="Y342" s="24"/>
      <c r="Z342" s="24"/>
      <c r="AA342" s="27"/>
      <c r="AB342" s="114"/>
      <c r="AC342" s="114"/>
      <c r="AD342" s="114"/>
      <c r="AE342" s="114"/>
      <c r="AF342" s="114"/>
      <c r="AG342" s="114"/>
      <c r="AH342" s="114"/>
    </row>
    <row r="343" spans="2:34" ht="12.75">
      <c r="B343" s="36"/>
      <c r="C343" s="29" t="s">
        <v>48</v>
      </c>
      <c r="D343" s="32">
        <v>25</v>
      </c>
      <c r="E343" s="130"/>
      <c r="F343" s="130">
        <v>38.932000000000002</v>
      </c>
      <c r="G343" s="130">
        <v>46.951099999999997</v>
      </c>
      <c r="H343" s="130">
        <v>46.010100000000001</v>
      </c>
      <c r="I343" s="130"/>
      <c r="J343" s="131"/>
      <c r="K343" s="132"/>
      <c r="L343" s="29"/>
      <c r="M343" s="144"/>
      <c r="N343" s="144">
        <v>38.937800000000003</v>
      </c>
      <c r="O343" s="144">
        <v>46.940399999999997</v>
      </c>
      <c r="P343" s="144">
        <v>46.008499999999998</v>
      </c>
      <c r="Q343" s="144"/>
      <c r="R343" s="145"/>
      <c r="S343" s="146"/>
      <c r="U343" s="8"/>
      <c r="V343" s="9"/>
      <c r="W343" s="10"/>
      <c r="X343" s="29"/>
      <c r="Y343" s="24"/>
      <c r="Z343" s="24"/>
      <c r="AA343" s="27"/>
      <c r="AB343" s="114"/>
      <c r="AC343" s="114"/>
      <c r="AD343" s="114"/>
      <c r="AE343" s="114"/>
      <c r="AF343" s="114"/>
      <c r="AG343" s="114"/>
      <c r="AH343" s="114"/>
    </row>
    <row r="344" spans="2:34" ht="12.75">
      <c r="B344" s="36"/>
      <c r="C344" s="29"/>
      <c r="D344" s="32">
        <v>30</v>
      </c>
      <c r="E344" s="133"/>
      <c r="F344" s="133">
        <v>35.9756</v>
      </c>
      <c r="G344" s="133">
        <v>45.525399999999998</v>
      </c>
      <c r="H344" s="133">
        <v>44.775399999999998</v>
      </c>
      <c r="I344" s="133"/>
      <c r="J344" s="134"/>
      <c r="K344" s="135"/>
      <c r="L344" s="29"/>
      <c r="M344" s="147"/>
      <c r="N344" s="147">
        <v>35.975000000000001</v>
      </c>
      <c r="O344" s="147">
        <v>45.520699999999998</v>
      </c>
      <c r="P344" s="147">
        <v>44.776400000000002</v>
      </c>
      <c r="Q344" s="147"/>
      <c r="R344" s="148"/>
      <c r="S344" s="149"/>
      <c r="U344" s="41"/>
      <c r="V344" s="42"/>
      <c r="W344" s="43"/>
      <c r="X344" s="29"/>
      <c r="Y344" s="24"/>
      <c r="Z344" s="24"/>
      <c r="AA344" s="27"/>
      <c r="AB344" s="114"/>
      <c r="AC344" s="114"/>
      <c r="AD344" s="114"/>
      <c r="AE344" s="114"/>
      <c r="AF344" s="114"/>
      <c r="AG344" s="114"/>
      <c r="AH344" s="114"/>
    </row>
    <row r="345" spans="2:34" ht="12.75">
      <c r="B345" s="36"/>
      <c r="C345" s="29"/>
      <c r="D345" s="32">
        <v>35</v>
      </c>
      <c r="E345" s="133"/>
      <c r="F345" s="133">
        <v>33.381</v>
      </c>
      <c r="G345" s="133">
        <v>44.210099999999997</v>
      </c>
      <c r="H345" s="133">
        <v>43.692599999999999</v>
      </c>
      <c r="I345" s="133"/>
      <c r="J345" s="134"/>
      <c r="K345" s="135"/>
      <c r="L345" s="29"/>
      <c r="M345" s="147"/>
      <c r="N345" s="147">
        <v>33.377699999999997</v>
      </c>
      <c r="O345" s="147">
        <v>44.2119</v>
      </c>
      <c r="P345" s="147">
        <v>43.693600000000004</v>
      </c>
      <c r="Q345" s="147"/>
      <c r="R345" s="148"/>
      <c r="S345" s="149"/>
      <c r="U345" s="17"/>
      <c r="V345" s="18"/>
      <c r="W345" s="19"/>
      <c r="X345" s="29"/>
      <c r="Y345" s="24"/>
      <c r="Z345" s="24"/>
      <c r="AA345" s="27"/>
      <c r="AB345" s="114"/>
      <c r="AC345" s="114"/>
      <c r="AD345" s="114"/>
      <c r="AE345" s="114"/>
      <c r="AF345" s="114"/>
      <c r="AG345" s="114"/>
      <c r="AH345" s="114"/>
    </row>
    <row r="346" spans="2:34" ht="13.5" thickBot="1">
      <c r="B346" s="36"/>
      <c r="C346" s="51"/>
      <c r="D346" s="69">
        <v>40</v>
      </c>
      <c r="E346" s="136"/>
      <c r="F346" s="136">
        <v>31.006</v>
      </c>
      <c r="G346" s="136">
        <v>43.457099999999997</v>
      </c>
      <c r="H346" s="136">
        <v>42.9878</v>
      </c>
      <c r="I346" s="136"/>
      <c r="J346" s="137"/>
      <c r="K346" s="138"/>
      <c r="L346" s="29"/>
      <c r="M346" s="150"/>
      <c r="N346" s="150">
        <v>31.004999999999999</v>
      </c>
      <c r="O346" s="150">
        <v>43.428899999999999</v>
      </c>
      <c r="P346" s="150">
        <v>42.962000000000003</v>
      </c>
      <c r="Q346" s="150"/>
      <c r="R346" s="151"/>
      <c r="S346" s="152"/>
      <c r="U346" s="41"/>
      <c r="V346" s="42"/>
      <c r="W346" s="43"/>
      <c r="X346" s="29"/>
      <c r="Y346" s="24"/>
      <c r="Z346" s="24"/>
      <c r="AA346" s="27"/>
      <c r="AB346" s="114"/>
      <c r="AC346" s="114"/>
      <c r="AD346" s="114"/>
      <c r="AE346" s="114"/>
      <c r="AF346" s="114"/>
      <c r="AG346" s="114"/>
      <c r="AH346" s="114"/>
    </row>
    <row r="347" spans="2:34" ht="12.75">
      <c r="B347" s="36"/>
      <c r="C347" s="29" t="s">
        <v>49</v>
      </c>
      <c r="D347" s="32">
        <v>25</v>
      </c>
      <c r="E347" s="130"/>
      <c r="F347" s="130">
        <v>39.032800000000002</v>
      </c>
      <c r="G347" s="130">
        <v>47.399799999999999</v>
      </c>
      <c r="H347" s="130">
        <v>46.809600000000003</v>
      </c>
      <c r="I347" s="130"/>
      <c r="J347" s="131"/>
      <c r="K347" s="132"/>
      <c r="L347" s="29"/>
      <c r="M347" s="144"/>
      <c r="N347" s="144">
        <v>39.036200000000001</v>
      </c>
      <c r="O347" s="144">
        <v>47.4</v>
      </c>
      <c r="P347" s="144">
        <v>46.807699999999997</v>
      </c>
      <c r="Q347" s="144"/>
      <c r="R347" s="145"/>
      <c r="S347" s="146"/>
      <c r="U347" s="8"/>
      <c r="V347" s="9"/>
      <c r="W347" s="10"/>
      <c r="X347" s="29"/>
      <c r="Y347" s="24"/>
      <c r="Z347" s="24"/>
      <c r="AA347" s="27"/>
      <c r="AB347" s="114"/>
      <c r="AC347" s="114"/>
      <c r="AD347" s="114"/>
      <c r="AE347" s="114"/>
      <c r="AF347" s="114"/>
      <c r="AG347" s="114"/>
      <c r="AH347" s="114"/>
    </row>
    <row r="348" spans="2:34" ht="12.75">
      <c r="B348" s="36"/>
      <c r="C348" s="29"/>
      <c r="D348" s="32">
        <v>30</v>
      </c>
      <c r="E348" s="133"/>
      <c r="F348" s="133">
        <v>36.0426</v>
      </c>
      <c r="G348" s="133">
        <v>45.825699999999998</v>
      </c>
      <c r="H348" s="133">
        <v>45.292299999999997</v>
      </c>
      <c r="I348" s="133"/>
      <c r="J348" s="134"/>
      <c r="K348" s="135"/>
      <c r="L348" s="29"/>
      <c r="M348" s="147"/>
      <c r="N348" s="147">
        <v>36.041499999999999</v>
      </c>
      <c r="O348" s="147">
        <v>45.823099999999997</v>
      </c>
      <c r="P348" s="147">
        <v>45.290399999999998</v>
      </c>
      <c r="Q348" s="147"/>
      <c r="R348" s="148"/>
      <c r="S348" s="149"/>
      <c r="U348" s="41"/>
      <c r="V348" s="42"/>
      <c r="W348" s="43"/>
      <c r="X348" s="29"/>
      <c r="Y348" s="24"/>
      <c r="Z348" s="24"/>
      <c r="AA348" s="27"/>
      <c r="AB348" s="114"/>
      <c r="AC348" s="114"/>
      <c r="AD348" s="114"/>
      <c r="AE348" s="114"/>
      <c r="AF348" s="114"/>
      <c r="AG348" s="114"/>
      <c r="AH348" s="114"/>
    </row>
    <row r="349" spans="2:34" ht="12.75">
      <c r="B349" s="36"/>
      <c r="C349" s="29"/>
      <c r="D349" s="32">
        <v>35</v>
      </c>
      <c r="E349" s="133"/>
      <c r="F349" s="133">
        <v>33.4285</v>
      </c>
      <c r="G349" s="133">
        <v>44.390099999999997</v>
      </c>
      <c r="H349" s="133">
        <v>43.962600000000002</v>
      </c>
      <c r="I349" s="133"/>
      <c r="J349" s="134"/>
      <c r="K349" s="135"/>
      <c r="L349" s="29"/>
      <c r="M349" s="147"/>
      <c r="N349" s="147">
        <v>33.427500000000002</v>
      </c>
      <c r="O349" s="147">
        <v>44.3887</v>
      </c>
      <c r="P349" s="147">
        <v>43.961199999999998</v>
      </c>
      <c r="Q349" s="147"/>
      <c r="R349" s="148"/>
      <c r="S349" s="149"/>
      <c r="U349" s="41"/>
      <c r="V349" s="42"/>
      <c r="W349" s="43"/>
      <c r="X349" s="29"/>
      <c r="Y349" s="24"/>
      <c r="Z349" s="24"/>
      <c r="AA349" s="27"/>
      <c r="AB349" s="114"/>
      <c r="AC349" s="114"/>
      <c r="AD349" s="114"/>
      <c r="AE349" s="114"/>
      <c r="AF349" s="114"/>
      <c r="AG349" s="114"/>
      <c r="AH349" s="114"/>
    </row>
    <row r="350" spans="2:34" ht="13.5" thickBot="1">
      <c r="B350" s="36"/>
      <c r="C350" s="51"/>
      <c r="D350" s="69">
        <v>40</v>
      </c>
      <c r="E350" s="136"/>
      <c r="F350" s="136">
        <v>31.055199999999999</v>
      </c>
      <c r="G350" s="136">
        <v>43.538600000000002</v>
      </c>
      <c r="H350" s="136">
        <v>43.153700000000001</v>
      </c>
      <c r="I350" s="136"/>
      <c r="J350" s="137"/>
      <c r="K350" s="138"/>
      <c r="L350" s="29"/>
      <c r="M350" s="150"/>
      <c r="N350" s="150">
        <v>31.052800000000001</v>
      </c>
      <c r="O350" s="150">
        <v>43.538699999999999</v>
      </c>
      <c r="P350" s="150">
        <v>43.154499999999999</v>
      </c>
      <c r="Q350" s="150"/>
      <c r="R350" s="151"/>
      <c r="S350" s="152"/>
      <c r="U350" s="17"/>
      <c r="V350" s="18"/>
      <c r="W350" s="19"/>
      <c r="X350" s="29"/>
      <c r="Z350" s="59"/>
      <c r="AA350" s="55"/>
      <c r="AB350" s="114"/>
      <c r="AC350" s="114"/>
      <c r="AD350" s="114"/>
      <c r="AE350" s="114"/>
      <c r="AF350" s="114"/>
      <c r="AG350" s="114"/>
      <c r="AH350" s="114"/>
    </row>
    <row r="351" spans="2:34" ht="12.75">
      <c r="B351" s="36"/>
      <c r="C351" s="29" t="s">
        <v>50</v>
      </c>
      <c r="D351" s="32">
        <v>25</v>
      </c>
      <c r="E351" s="130"/>
      <c r="F351" s="130">
        <v>39.038800000000002</v>
      </c>
      <c r="G351" s="130">
        <v>47.322099999999999</v>
      </c>
      <c r="H351" s="130">
        <v>46.804299999999998</v>
      </c>
      <c r="I351" s="130"/>
      <c r="J351" s="131"/>
      <c r="K351" s="132"/>
      <c r="L351" s="29"/>
      <c r="M351" s="144"/>
      <c r="N351" s="144">
        <v>39.0379</v>
      </c>
      <c r="O351" s="144">
        <v>47.322600000000001</v>
      </c>
      <c r="P351" s="144">
        <v>46.803600000000003</v>
      </c>
      <c r="Q351" s="144"/>
      <c r="R351" s="145"/>
      <c r="S351" s="146"/>
      <c r="U351" s="8"/>
      <c r="V351" s="9"/>
      <c r="W351" s="10"/>
      <c r="X351" s="29"/>
      <c r="Y351" s="24"/>
      <c r="Z351" s="24"/>
      <c r="AA351" s="27"/>
      <c r="AB351" s="114"/>
      <c r="AC351" s="114"/>
      <c r="AD351" s="114"/>
      <c r="AE351" s="114"/>
      <c r="AF351" s="114"/>
      <c r="AG351" s="114"/>
      <c r="AH351" s="114"/>
    </row>
    <row r="352" spans="2:34" ht="12.75">
      <c r="B352" s="36"/>
      <c r="C352" s="29"/>
      <c r="D352" s="32">
        <v>30</v>
      </c>
      <c r="E352" s="133"/>
      <c r="F352" s="133">
        <v>36.051000000000002</v>
      </c>
      <c r="G352" s="133">
        <v>45.743099999999998</v>
      </c>
      <c r="H352" s="133">
        <v>45.268999999999998</v>
      </c>
      <c r="I352" s="133"/>
      <c r="J352" s="134"/>
      <c r="K352" s="135"/>
      <c r="L352" s="29"/>
      <c r="M352" s="147"/>
      <c r="N352" s="147">
        <v>36.0518</v>
      </c>
      <c r="O352" s="147">
        <v>45.743200000000002</v>
      </c>
      <c r="P352" s="147">
        <v>45.267299999999999</v>
      </c>
      <c r="Q352" s="147"/>
      <c r="R352" s="148"/>
      <c r="S352" s="149"/>
      <c r="U352" s="12"/>
      <c r="V352" s="13"/>
      <c r="W352" s="14"/>
      <c r="X352" s="29"/>
      <c r="Y352" s="24"/>
      <c r="Z352" s="24"/>
      <c r="AA352" s="27"/>
      <c r="AB352" s="114"/>
      <c r="AC352" s="114"/>
      <c r="AD352" s="114"/>
      <c r="AE352" s="114"/>
      <c r="AF352" s="114"/>
      <c r="AG352" s="114"/>
      <c r="AH352" s="114"/>
    </row>
    <row r="353" spans="1:34" ht="12.75">
      <c r="B353" s="36"/>
      <c r="C353" s="29"/>
      <c r="D353" s="32">
        <v>35</v>
      </c>
      <c r="E353" s="133"/>
      <c r="F353" s="133">
        <v>33.438600000000001</v>
      </c>
      <c r="G353" s="133">
        <v>44.314399999999999</v>
      </c>
      <c r="H353" s="133">
        <v>43.915500000000002</v>
      </c>
      <c r="I353" s="133"/>
      <c r="J353" s="134"/>
      <c r="K353" s="135"/>
      <c r="L353" s="29"/>
      <c r="M353" s="147"/>
      <c r="N353" s="147">
        <v>33.436900000000001</v>
      </c>
      <c r="O353" s="147">
        <v>44.3155</v>
      </c>
      <c r="P353" s="147">
        <v>43.914700000000003</v>
      </c>
      <c r="Q353" s="147"/>
      <c r="R353" s="148"/>
      <c r="S353" s="149"/>
      <c r="U353" s="12"/>
      <c r="V353" s="13"/>
      <c r="W353" s="14"/>
      <c r="X353" s="29"/>
      <c r="Y353" s="24"/>
      <c r="Z353" s="24"/>
      <c r="AA353" s="27"/>
      <c r="AB353" s="114"/>
      <c r="AC353" s="114"/>
      <c r="AD353" s="114"/>
      <c r="AE353" s="114"/>
      <c r="AF353" s="114"/>
      <c r="AG353" s="114"/>
      <c r="AH353" s="114"/>
    </row>
    <row r="354" spans="1:34" ht="13.5" thickBot="1">
      <c r="B354" s="36"/>
      <c r="C354" s="51"/>
      <c r="D354" s="69">
        <v>40</v>
      </c>
      <c r="E354" s="136"/>
      <c r="F354" s="136">
        <v>31.062799999999999</v>
      </c>
      <c r="G354" s="136">
        <v>43.4711</v>
      </c>
      <c r="H354" s="136">
        <v>43.080800000000004</v>
      </c>
      <c r="I354" s="136"/>
      <c r="J354" s="137"/>
      <c r="K354" s="138"/>
      <c r="L354" s="29"/>
      <c r="M354" s="150"/>
      <c r="N354" s="150">
        <v>31.062100000000001</v>
      </c>
      <c r="O354" s="150">
        <v>43.4741</v>
      </c>
      <c r="P354" s="150">
        <v>43.081400000000002</v>
      </c>
      <c r="Q354" s="150"/>
      <c r="R354" s="151"/>
      <c r="S354" s="152"/>
      <c r="U354" s="12"/>
      <c r="V354" s="13"/>
      <c r="W354" s="14"/>
      <c r="X354" s="29"/>
      <c r="Y354" s="24"/>
      <c r="Z354" s="24"/>
      <c r="AA354" s="27"/>
      <c r="AB354" s="114"/>
      <c r="AC354" s="114"/>
      <c r="AD354" s="114"/>
      <c r="AE354" s="114"/>
      <c r="AF354" s="114"/>
      <c r="AG354" s="114"/>
      <c r="AH354" s="114"/>
    </row>
    <row r="355" spans="1:34" ht="12.75">
      <c r="B355" s="36"/>
      <c r="C355" s="29" t="s">
        <v>51</v>
      </c>
      <c r="D355" s="32">
        <v>25</v>
      </c>
      <c r="E355" s="131"/>
      <c r="F355" s="131">
        <v>38.962499999999999</v>
      </c>
      <c r="G355" s="131">
        <v>46.329700000000003</v>
      </c>
      <c r="H355" s="131">
        <v>46.547699999999999</v>
      </c>
      <c r="I355" s="131"/>
      <c r="J355" s="131"/>
      <c r="K355" s="132"/>
      <c r="L355" s="29"/>
      <c r="M355" s="145"/>
      <c r="N355" s="145">
        <v>38.960799999999999</v>
      </c>
      <c r="O355" s="145">
        <v>46.345100000000002</v>
      </c>
      <c r="P355" s="145">
        <v>46.552100000000003</v>
      </c>
      <c r="Q355" s="145"/>
      <c r="R355" s="145"/>
      <c r="S355" s="146"/>
      <c r="U355" s="8"/>
      <c r="V355" s="9"/>
      <c r="W355" s="10"/>
      <c r="X355" s="29"/>
      <c r="Y355" s="24"/>
      <c r="Z355" s="24"/>
      <c r="AA355" s="27"/>
      <c r="AB355" s="114"/>
      <c r="AC355" s="114"/>
      <c r="AD355" s="114"/>
      <c r="AE355" s="114"/>
      <c r="AF355" s="114"/>
      <c r="AG355" s="114"/>
      <c r="AH355" s="114"/>
    </row>
    <row r="356" spans="1:34" ht="12.75">
      <c r="B356" s="36"/>
      <c r="C356" s="29"/>
      <c r="D356" s="32">
        <v>30</v>
      </c>
      <c r="E356" s="134"/>
      <c r="F356" s="134">
        <v>36.026800000000001</v>
      </c>
      <c r="G356" s="134">
        <v>44.979900000000001</v>
      </c>
      <c r="H356" s="134">
        <v>45.055</v>
      </c>
      <c r="I356" s="134"/>
      <c r="J356" s="134"/>
      <c r="K356" s="135"/>
      <c r="L356" s="29"/>
      <c r="M356" s="148"/>
      <c r="N356" s="148">
        <v>36.031500000000001</v>
      </c>
      <c r="O356" s="148">
        <v>44.984900000000003</v>
      </c>
      <c r="P356" s="148">
        <v>45.041200000000003</v>
      </c>
      <c r="Q356" s="148"/>
      <c r="R356" s="148"/>
      <c r="S356" s="149"/>
      <c r="U356" s="41"/>
      <c r="V356" s="42"/>
      <c r="W356" s="43"/>
      <c r="X356" s="29"/>
      <c r="Y356" s="24"/>
      <c r="Z356" s="24"/>
      <c r="AA356" s="27"/>
      <c r="AB356" s="114"/>
      <c r="AC356" s="114"/>
      <c r="AD356" s="114"/>
      <c r="AE356" s="114"/>
      <c r="AF356" s="114"/>
      <c r="AG356" s="114"/>
      <c r="AH356" s="114"/>
    </row>
    <row r="357" spans="1:34" ht="12.75">
      <c r="B357" s="36"/>
      <c r="C357" s="29"/>
      <c r="D357" s="32">
        <v>35</v>
      </c>
      <c r="E357" s="134"/>
      <c r="F357" s="134">
        <v>33.433100000000003</v>
      </c>
      <c r="G357" s="134">
        <v>43.717599999999997</v>
      </c>
      <c r="H357" s="134">
        <v>43.605600000000003</v>
      </c>
      <c r="I357" s="134"/>
      <c r="J357" s="134"/>
      <c r="K357" s="135"/>
      <c r="L357" s="29"/>
      <c r="M357" s="148"/>
      <c r="N357" s="148">
        <v>33.430300000000003</v>
      </c>
      <c r="O357" s="148">
        <v>43.736600000000003</v>
      </c>
      <c r="P357" s="148">
        <v>43.579300000000003</v>
      </c>
      <c r="Q357" s="148"/>
      <c r="R357" s="148"/>
      <c r="S357" s="149"/>
      <c r="U357" s="41"/>
      <c r="V357" s="42"/>
      <c r="W357" s="43"/>
      <c r="X357" s="29"/>
      <c r="Y357" s="24"/>
      <c r="Z357" s="24"/>
      <c r="AA357" s="27"/>
      <c r="AB357" s="114"/>
      <c r="AC357" s="114"/>
      <c r="AD357" s="114"/>
      <c r="AE357" s="114"/>
      <c r="AF357" s="114"/>
      <c r="AG357" s="114"/>
      <c r="AH357" s="114"/>
    </row>
    <row r="358" spans="1:34" ht="13.5" thickBot="1">
      <c r="B358" s="36"/>
      <c r="C358" s="51"/>
      <c r="D358" s="69">
        <v>40</v>
      </c>
      <c r="E358" s="137"/>
      <c r="F358" s="137">
        <v>31.052499999999998</v>
      </c>
      <c r="G358" s="137">
        <v>42.971499999999999</v>
      </c>
      <c r="H358" s="137">
        <v>42.663400000000003</v>
      </c>
      <c r="I358" s="137"/>
      <c r="J358" s="137"/>
      <c r="K358" s="138"/>
      <c r="L358" s="29"/>
      <c r="M358" s="151"/>
      <c r="N358" s="151">
        <v>31.05</v>
      </c>
      <c r="O358" s="151">
        <v>42.977699999999999</v>
      </c>
      <c r="P358" s="151">
        <v>42.670299999999997</v>
      </c>
      <c r="Q358" s="151"/>
      <c r="R358" s="151"/>
      <c r="S358" s="152"/>
      <c r="U358" s="41"/>
      <c r="V358" s="42"/>
      <c r="W358" s="43"/>
      <c r="X358" s="29"/>
      <c r="Y358" s="24"/>
      <c r="Z358" s="24"/>
      <c r="AA358" s="27"/>
      <c r="AB358" s="114"/>
      <c r="AC358" s="114"/>
      <c r="AD358" s="114"/>
      <c r="AE358" s="114"/>
      <c r="AF358" s="114"/>
      <c r="AG358" s="114"/>
      <c r="AH358" s="114"/>
    </row>
    <row r="359" spans="1:34" ht="12.75">
      <c r="B359" s="36"/>
      <c r="C359" s="29" t="s">
        <v>52</v>
      </c>
      <c r="D359" s="32">
        <v>25</v>
      </c>
      <c r="E359" s="131"/>
      <c r="F359" s="131">
        <v>38.591900000000003</v>
      </c>
      <c r="G359" s="131">
        <v>45.931399999999996</v>
      </c>
      <c r="H359" s="131">
        <v>46.241599999999998</v>
      </c>
      <c r="I359" s="131"/>
      <c r="J359" s="131"/>
      <c r="K359" s="132"/>
      <c r="L359" s="29"/>
      <c r="M359" s="145"/>
      <c r="N359" s="145">
        <v>38.592599999999997</v>
      </c>
      <c r="O359" s="145">
        <v>45.966500000000003</v>
      </c>
      <c r="P359" s="145">
        <v>46.242400000000004</v>
      </c>
      <c r="Q359" s="145"/>
      <c r="R359" s="145"/>
      <c r="S359" s="146"/>
      <c r="U359" s="8"/>
      <c r="V359" s="9"/>
      <c r="W359" s="10"/>
      <c r="X359" s="29"/>
      <c r="Y359" s="24"/>
      <c r="Z359" s="24"/>
      <c r="AA359" s="27"/>
      <c r="AB359" s="114"/>
      <c r="AC359" s="114"/>
      <c r="AD359" s="114"/>
      <c r="AE359" s="114"/>
      <c r="AF359" s="114"/>
      <c r="AG359" s="114"/>
      <c r="AH359" s="114"/>
    </row>
    <row r="360" spans="1:34" ht="12.75">
      <c r="B360" s="36"/>
      <c r="C360" s="29"/>
      <c r="D360" s="32">
        <v>30</v>
      </c>
      <c r="E360" s="134"/>
      <c r="F360" s="134">
        <v>35.808900000000001</v>
      </c>
      <c r="G360" s="134">
        <v>44.646000000000001</v>
      </c>
      <c r="H360" s="134">
        <v>44.801900000000003</v>
      </c>
      <c r="I360" s="134"/>
      <c r="J360" s="134"/>
      <c r="K360" s="135"/>
      <c r="L360" s="29"/>
      <c r="M360" s="148"/>
      <c r="N360" s="148">
        <v>35.814799999999998</v>
      </c>
      <c r="O360" s="148">
        <v>44.667999999999999</v>
      </c>
      <c r="P360" s="148">
        <v>44.798900000000003</v>
      </c>
      <c r="Q360" s="148"/>
      <c r="R360" s="148"/>
      <c r="S360" s="149"/>
      <c r="U360" s="17"/>
      <c r="V360" s="18"/>
      <c r="W360" s="19"/>
      <c r="X360" s="29"/>
      <c r="Y360" s="24"/>
      <c r="Z360" s="24"/>
      <c r="AA360" s="27"/>
      <c r="AB360" s="114"/>
      <c r="AC360" s="114"/>
      <c r="AD360" s="114"/>
      <c r="AE360" s="114"/>
      <c r="AF360" s="114"/>
      <c r="AG360" s="114"/>
      <c r="AH360" s="114"/>
    </row>
    <row r="361" spans="1:34" ht="12.75">
      <c r="B361" s="36"/>
      <c r="C361" s="29"/>
      <c r="D361" s="32">
        <v>35</v>
      </c>
      <c r="E361" s="134"/>
      <c r="F361" s="134">
        <v>33.296599999999998</v>
      </c>
      <c r="G361" s="134">
        <v>43.508200000000002</v>
      </c>
      <c r="H361" s="134">
        <v>43.438000000000002</v>
      </c>
      <c r="I361" s="134"/>
      <c r="J361" s="134"/>
      <c r="K361" s="135"/>
      <c r="L361" s="29"/>
      <c r="M361" s="148"/>
      <c r="N361" s="148">
        <v>33.2941</v>
      </c>
      <c r="O361" s="148">
        <v>43.525799999999997</v>
      </c>
      <c r="P361" s="148">
        <v>43.398499999999999</v>
      </c>
      <c r="Q361" s="148"/>
      <c r="R361" s="148"/>
      <c r="S361" s="149"/>
      <c r="U361" s="41"/>
      <c r="V361" s="44"/>
      <c r="W361" s="43"/>
      <c r="X361" s="29"/>
      <c r="Y361" s="24"/>
      <c r="Z361" s="24"/>
      <c r="AA361" s="27"/>
      <c r="AB361" s="114"/>
      <c r="AC361" s="114"/>
      <c r="AD361" s="114"/>
      <c r="AE361" s="114"/>
      <c r="AF361" s="114"/>
      <c r="AG361" s="114"/>
      <c r="AH361" s="114"/>
    </row>
    <row r="362" spans="1:34" ht="13.5" thickBot="1">
      <c r="B362" s="36"/>
      <c r="C362" s="51"/>
      <c r="D362" s="69">
        <v>40</v>
      </c>
      <c r="E362" s="137"/>
      <c r="F362" s="137">
        <v>30.972799999999999</v>
      </c>
      <c r="G362" s="137">
        <v>42.792999999999999</v>
      </c>
      <c r="H362" s="137">
        <v>42.453400000000002</v>
      </c>
      <c r="I362" s="137"/>
      <c r="J362" s="137"/>
      <c r="K362" s="138"/>
      <c r="L362" s="29"/>
      <c r="M362" s="151"/>
      <c r="N362" s="151">
        <v>30.970300000000002</v>
      </c>
      <c r="O362" s="151">
        <v>42.804400000000001</v>
      </c>
      <c r="P362" s="151">
        <v>42.455100000000002</v>
      </c>
      <c r="Q362" s="151"/>
      <c r="R362" s="151"/>
      <c r="S362" s="152"/>
      <c r="U362" s="41"/>
      <c r="V362" s="42"/>
      <c r="W362" s="43"/>
      <c r="X362" s="29"/>
      <c r="Y362" s="24"/>
      <c r="Z362" s="24"/>
      <c r="AA362" s="27"/>
      <c r="AB362" s="114"/>
      <c r="AC362" s="114"/>
      <c r="AD362" s="114"/>
      <c r="AE362" s="114"/>
      <c r="AF362" s="114"/>
      <c r="AG362" s="114"/>
      <c r="AH362" s="114"/>
    </row>
    <row r="363" spans="1:34" ht="12.75">
      <c r="B363" s="36"/>
      <c r="C363" s="29" t="s">
        <v>12</v>
      </c>
      <c r="D363" s="32">
        <v>25</v>
      </c>
      <c r="E363" s="134">
        <v>6807.1048000000001</v>
      </c>
      <c r="F363" s="134"/>
      <c r="G363" s="134"/>
      <c r="H363" s="134"/>
      <c r="I363" s="134">
        <v>47353.08</v>
      </c>
      <c r="J363" s="134">
        <v>109.87</v>
      </c>
      <c r="K363" s="135">
        <v>764.17</v>
      </c>
      <c r="L363" s="29"/>
      <c r="M363" s="148">
        <v>6802.6423999999997</v>
      </c>
      <c r="N363" s="148"/>
      <c r="O363" s="148"/>
      <c r="P363" s="148"/>
      <c r="Q363" s="148">
        <v>47473.760000000002</v>
      </c>
      <c r="R363" s="148">
        <v>118.42</v>
      </c>
      <c r="S363" s="149">
        <v>759.27</v>
      </c>
      <c r="U363" s="8"/>
      <c r="V363" s="9"/>
      <c r="W363" s="10"/>
      <c r="X363" s="29"/>
      <c r="Y363" s="59">
        <f>GEOMEAN(Q363:Q366)/GEOMEAN(I363:I366)</f>
        <v>1.0007964005486281</v>
      </c>
      <c r="Z363" s="59">
        <f>GEOMEAN(R363:R366)/GEOMEAN(J363:J366)</f>
        <v>1.0846324975445489</v>
      </c>
      <c r="AA363" s="55">
        <f>GEOMEAN(S363:S366)/GEOMEAN(K363:K366)</f>
        <v>0.99423870133698</v>
      </c>
      <c r="AB363" s="114"/>
      <c r="AC363" s="114"/>
      <c r="AD363" s="114"/>
      <c r="AE363" s="114"/>
      <c r="AF363" s="114"/>
      <c r="AG363" s="114"/>
      <c r="AH363" s="114"/>
    </row>
    <row r="364" spans="1:34" ht="12.75">
      <c r="B364" s="36"/>
      <c r="C364" s="29"/>
      <c r="D364" s="32">
        <v>30</v>
      </c>
      <c r="E364" s="134">
        <v>2806.6655999999998</v>
      </c>
      <c r="F364" s="134"/>
      <c r="G364" s="134"/>
      <c r="H364" s="134"/>
      <c r="I364" s="134">
        <v>36316.639999999999</v>
      </c>
      <c r="J364" s="134">
        <v>100.03</v>
      </c>
      <c r="K364" s="135">
        <v>759.21</v>
      </c>
      <c r="L364" s="29"/>
      <c r="M364" s="148">
        <v>2803.8728000000001</v>
      </c>
      <c r="N364" s="148"/>
      <c r="O364" s="148"/>
      <c r="P364" s="148"/>
      <c r="Q364" s="148">
        <v>36457.56</v>
      </c>
      <c r="R364" s="148">
        <v>104.07</v>
      </c>
      <c r="S364" s="149">
        <v>763.3</v>
      </c>
      <c r="U364" s="41"/>
      <c r="V364" s="42"/>
      <c r="W364" s="43"/>
      <c r="X364" s="29"/>
      <c r="Y364" s="24"/>
      <c r="Z364" s="24"/>
      <c r="AA364" s="27"/>
      <c r="AB364" s="114"/>
      <c r="AC364" s="114"/>
      <c r="AD364" s="114"/>
      <c r="AE364" s="114"/>
      <c r="AF364" s="114"/>
      <c r="AG364" s="114"/>
      <c r="AH364" s="114"/>
    </row>
    <row r="365" spans="1:34" ht="12.75">
      <c r="B365" s="36"/>
      <c r="C365" s="29"/>
      <c r="D365" s="32">
        <v>35</v>
      </c>
      <c r="E365" s="134">
        <v>1273.8232</v>
      </c>
      <c r="F365" s="134"/>
      <c r="G365" s="134"/>
      <c r="H365" s="134"/>
      <c r="I365" s="134">
        <v>30332.25</v>
      </c>
      <c r="J365" s="134">
        <v>100.76</v>
      </c>
      <c r="K365" s="135">
        <v>765.07</v>
      </c>
      <c r="L365" s="29"/>
      <c r="M365" s="148">
        <v>1272.7264</v>
      </c>
      <c r="N365" s="148"/>
      <c r="O365" s="148"/>
      <c r="P365" s="148"/>
      <c r="Q365" s="148">
        <v>30263.27</v>
      </c>
      <c r="R365" s="148">
        <v>105.26</v>
      </c>
      <c r="S365" s="149">
        <v>759.97</v>
      </c>
      <c r="U365" s="17"/>
      <c r="V365" s="18"/>
      <c r="W365" s="19"/>
      <c r="X365" s="29"/>
      <c r="Y365" s="24"/>
      <c r="Z365" s="24"/>
      <c r="AA365" s="27"/>
      <c r="AB365" s="114"/>
      <c r="AC365" s="114"/>
      <c r="AD365" s="114"/>
      <c r="AE365" s="114"/>
      <c r="AF365" s="114"/>
      <c r="AG365" s="114"/>
      <c r="AH365" s="114"/>
    </row>
    <row r="366" spans="1:34" ht="13.5" thickBot="1">
      <c r="A366" s="52"/>
      <c r="B366" s="50"/>
      <c r="C366" s="51"/>
      <c r="D366" s="69">
        <v>40</v>
      </c>
      <c r="E366" s="137">
        <v>595.21519999999998</v>
      </c>
      <c r="F366" s="137"/>
      <c r="G366" s="137"/>
      <c r="H366" s="137"/>
      <c r="I366" s="137">
        <v>26762.87</v>
      </c>
      <c r="J366" s="137">
        <v>92.92</v>
      </c>
      <c r="K366" s="138">
        <v>779.88</v>
      </c>
      <c r="L366" s="29"/>
      <c r="M366" s="151">
        <v>594.70479999999998</v>
      </c>
      <c r="N366" s="151"/>
      <c r="O366" s="151"/>
      <c r="P366" s="151"/>
      <c r="Q366" s="151">
        <v>26737.27</v>
      </c>
      <c r="R366" s="151">
        <v>109.78</v>
      </c>
      <c r="S366" s="152">
        <v>767.99</v>
      </c>
      <c r="U366" s="82"/>
      <c r="V366" s="83"/>
      <c r="W366" s="84"/>
      <c r="X366" s="29"/>
      <c r="Y366" s="47"/>
      <c r="Z366" s="47"/>
      <c r="AA366" s="52"/>
      <c r="AB366" s="114"/>
      <c r="AC366" s="114"/>
      <c r="AD366" s="114"/>
      <c r="AE366" s="114"/>
      <c r="AF366" s="114"/>
      <c r="AG366" s="114"/>
      <c r="AH366" s="114"/>
    </row>
    <row r="367" spans="1:34" ht="12.75">
      <c r="A367" s="20" t="s">
        <v>19</v>
      </c>
      <c r="B367" s="35" t="s">
        <v>61</v>
      </c>
      <c r="C367" s="28" t="s">
        <v>26</v>
      </c>
      <c r="D367" s="31">
        <v>25</v>
      </c>
      <c r="E367" s="130">
        <v>4180.3231999999998</v>
      </c>
      <c r="F367" s="130">
        <v>41.485900000000001</v>
      </c>
      <c r="G367" s="130">
        <v>46.598300000000002</v>
      </c>
      <c r="H367" s="130">
        <v>46.046999999999997</v>
      </c>
      <c r="I367" s="130"/>
      <c r="J367" s="131"/>
      <c r="K367" s="132"/>
      <c r="L367" s="29"/>
      <c r="M367" s="144">
        <v>4180.3231999999998</v>
      </c>
      <c r="N367" s="144">
        <v>41.485900000000001</v>
      </c>
      <c r="O367" s="144">
        <v>46.598300000000002</v>
      </c>
      <c r="P367" s="144">
        <v>46.046999999999997</v>
      </c>
      <c r="Q367" s="144"/>
      <c r="R367" s="145"/>
      <c r="S367" s="146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B367" s="114"/>
      <c r="AC367" s="114"/>
      <c r="AD367" s="114"/>
      <c r="AE367" s="114"/>
      <c r="AF367" s="114"/>
      <c r="AG367" s="114"/>
      <c r="AH367" s="114"/>
    </row>
    <row r="368" spans="1:34" ht="12.75">
      <c r="B368" s="36"/>
      <c r="C368" s="29"/>
      <c r="D368" s="32">
        <v>30</v>
      </c>
      <c r="E368" s="133">
        <v>2104.3735999999999</v>
      </c>
      <c r="F368" s="133">
        <v>38.4925</v>
      </c>
      <c r="G368" s="133">
        <v>44.9009</v>
      </c>
      <c r="H368" s="133">
        <v>44.109400000000001</v>
      </c>
      <c r="I368" s="133"/>
      <c r="J368" s="134"/>
      <c r="K368" s="135"/>
      <c r="L368" s="29"/>
      <c r="M368" s="147">
        <v>2104.3735999999999</v>
      </c>
      <c r="N368" s="147">
        <v>38.4925</v>
      </c>
      <c r="O368" s="147">
        <v>44.9009</v>
      </c>
      <c r="P368" s="147">
        <v>44.109400000000001</v>
      </c>
      <c r="Q368" s="147"/>
      <c r="R368" s="148"/>
      <c r="S368" s="149"/>
      <c r="U368" s="41"/>
      <c r="V368" s="42"/>
      <c r="W368" s="43"/>
      <c r="X368" s="29"/>
      <c r="Y368" s="24"/>
      <c r="Z368" s="24"/>
      <c r="AA368" s="27"/>
      <c r="AB368" s="114"/>
      <c r="AC368" s="114"/>
      <c r="AD368" s="114"/>
      <c r="AE368" s="114"/>
      <c r="AF368" s="114"/>
      <c r="AG368" s="114"/>
      <c r="AH368" s="114"/>
    </row>
    <row r="369" spans="2:34" ht="12.75">
      <c r="B369" s="36"/>
      <c r="C369" s="29"/>
      <c r="D369" s="32">
        <v>35</v>
      </c>
      <c r="E369" s="133">
        <v>1035.5175999999999</v>
      </c>
      <c r="F369" s="133">
        <v>35.668199999999999</v>
      </c>
      <c r="G369" s="133">
        <v>43.259900000000002</v>
      </c>
      <c r="H369" s="133">
        <v>42.222999999999999</v>
      </c>
      <c r="I369" s="133"/>
      <c r="J369" s="134"/>
      <c r="K369" s="135"/>
      <c r="L369" s="29"/>
      <c r="M369" s="147">
        <v>1035.5175999999999</v>
      </c>
      <c r="N369" s="147">
        <v>35.668199999999999</v>
      </c>
      <c r="O369" s="147">
        <v>43.259900000000002</v>
      </c>
      <c r="P369" s="147">
        <v>42.222999999999999</v>
      </c>
      <c r="Q369" s="147"/>
      <c r="R369" s="148"/>
      <c r="S369" s="149"/>
      <c r="U369" s="41"/>
      <c r="V369" s="42"/>
      <c r="W369" s="43"/>
      <c r="X369" s="29"/>
      <c r="Y369" s="24"/>
      <c r="Z369" s="24"/>
      <c r="AA369" s="27"/>
      <c r="AB369" s="114"/>
      <c r="AC369" s="114"/>
      <c r="AD369" s="114"/>
      <c r="AE369" s="114"/>
      <c r="AF369" s="114"/>
      <c r="AG369" s="114"/>
      <c r="AH369" s="114"/>
    </row>
    <row r="370" spans="2:34" ht="13.5" thickBot="1">
      <c r="B370" s="36"/>
      <c r="C370" s="29"/>
      <c r="D370" s="32">
        <v>40</v>
      </c>
      <c r="E370" s="136">
        <v>496.5992</v>
      </c>
      <c r="F370" s="136">
        <v>33.197800000000001</v>
      </c>
      <c r="G370" s="136">
        <v>42.278399999999998</v>
      </c>
      <c r="H370" s="136">
        <v>40.967799999999997</v>
      </c>
      <c r="I370" s="136"/>
      <c r="J370" s="137"/>
      <c r="K370" s="138"/>
      <c r="L370" s="29"/>
      <c r="M370" s="150">
        <v>496.5992</v>
      </c>
      <c r="N370" s="150">
        <v>33.197800000000001</v>
      </c>
      <c r="O370" s="150">
        <v>42.278399999999998</v>
      </c>
      <c r="P370" s="150">
        <v>40.967799999999997</v>
      </c>
      <c r="Q370" s="150"/>
      <c r="R370" s="151"/>
      <c r="S370" s="152"/>
      <c r="U370" s="41"/>
      <c r="V370" s="42"/>
      <c r="W370" s="43"/>
      <c r="X370" s="29"/>
      <c r="Y370" s="24"/>
      <c r="Z370" s="24"/>
      <c r="AA370" s="27"/>
      <c r="AB370" s="114"/>
      <c r="AC370" s="114"/>
      <c r="AD370" s="114"/>
      <c r="AE370" s="114"/>
      <c r="AF370" s="114"/>
      <c r="AG370" s="114"/>
      <c r="AH370" s="114"/>
    </row>
    <row r="371" spans="2:34" ht="12.75">
      <c r="B371" s="36"/>
      <c r="C371" s="28" t="s">
        <v>27</v>
      </c>
      <c r="D371" s="31">
        <v>25</v>
      </c>
      <c r="E371" s="133">
        <v>521.87360000000001</v>
      </c>
      <c r="F371" s="133">
        <v>40.918100000000003</v>
      </c>
      <c r="G371" s="133">
        <v>46.504899999999999</v>
      </c>
      <c r="H371" s="133">
        <v>45.794699999999999</v>
      </c>
      <c r="I371" s="133"/>
      <c r="J371" s="134"/>
      <c r="K371" s="135"/>
      <c r="L371" s="29"/>
      <c r="M371" s="147">
        <v>520.36320000000001</v>
      </c>
      <c r="N371" s="147">
        <v>40.921399999999998</v>
      </c>
      <c r="O371" s="147">
        <v>46.507899999999999</v>
      </c>
      <c r="P371" s="147">
        <v>45.795699999999997</v>
      </c>
      <c r="Q371" s="147"/>
      <c r="R371" s="148"/>
      <c r="S371" s="149"/>
      <c r="U371" s="8">
        <f>bdrate($E371:$E374,F371:F374,$M371:$M374,N371:N374)</f>
        <v>-4.7091840999003987E-3</v>
      </c>
      <c r="V371" s="9">
        <f>bdrate($E371:$E374,G371:G374,$M371:$M374,O371:O374)</f>
        <v>-4.8067332977577149E-3</v>
      </c>
      <c r="W371" s="10">
        <f>bdrate($E371:$E374,H371:H374,$M371:$M374,P371:P374)</f>
        <v>-4.6952463618272766E-3</v>
      </c>
      <c r="X371" s="29"/>
      <c r="Y371" s="24"/>
      <c r="Z371" s="24"/>
      <c r="AA371" s="27"/>
      <c r="AB371" s="114"/>
      <c r="AC371" s="114"/>
      <c r="AD371" s="114"/>
      <c r="AE371" s="114"/>
      <c r="AF371" s="114"/>
      <c r="AG371" s="114"/>
      <c r="AH371" s="114"/>
    </row>
    <row r="372" spans="2:34" ht="12.75">
      <c r="B372" s="36"/>
      <c r="C372" s="29"/>
      <c r="D372" s="32">
        <v>30</v>
      </c>
      <c r="E372" s="133">
        <v>217.2088</v>
      </c>
      <c r="F372" s="133">
        <v>38.078200000000002</v>
      </c>
      <c r="G372" s="133">
        <v>44.845599999999997</v>
      </c>
      <c r="H372" s="133">
        <v>43.940399999999997</v>
      </c>
      <c r="I372" s="133"/>
      <c r="J372" s="134"/>
      <c r="K372" s="135"/>
      <c r="L372" s="29"/>
      <c r="M372" s="147">
        <v>216.0976</v>
      </c>
      <c r="N372" s="147">
        <v>38.078299999999999</v>
      </c>
      <c r="O372" s="147">
        <v>44.847000000000001</v>
      </c>
      <c r="P372" s="147">
        <v>43.941899999999997</v>
      </c>
      <c r="Q372" s="147"/>
      <c r="R372" s="148"/>
      <c r="S372" s="149"/>
      <c r="U372" s="17"/>
      <c r="V372" s="18"/>
      <c r="W372" s="19"/>
      <c r="X372" s="29"/>
      <c r="Y372" s="24"/>
      <c r="Z372" s="24"/>
      <c r="AA372" s="27"/>
      <c r="AB372" s="114"/>
      <c r="AC372" s="114"/>
      <c r="AD372" s="114"/>
      <c r="AE372" s="114"/>
      <c r="AF372" s="114"/>
      <c r="AG372" s="114"/>
      <c r="AH372" s="114"/>
    </row>
    <row r="373" spans="2:34" ht="12.75">
      <c r="B373" s="36"/>
      <c r="C373" s="29"/>
      <c r="D373" s="32">
        <v>35</v>
      </c>
      <c r="E373" s="133">
        <v>101.8488</v>
      </c>
      <c r="F373" s="133">
        <v>35.387</v>
      </c>
      <c r="G373" s="133">
        <v>43.255499999999998</v>
      </c>
      <c r="H373" s="133">
        <v>42.161299999999997</v>
      </c>
      <c r="I373" s="133"/>
      <c r="J373" s="134"/>
      <c r="K373" s="135"/>
      <c r="L373" s="29"/>
      <c r="M373" s="147">
        <v>101.42400000000001</v>
      </c>
      <c r="N373" s="147">
        <v>35.388199999999998</v>
      </c>
      <c r="O373" s="147">
        <v>43.254600000000003</v>
      </c>
      <c r="P373" s="147">
        <v>42.161299999999997</v>
      </c>
      <c r="Q373" s="147"/>
      <c r="R373" s="148"/>
      <c r="S373" s="149"/>
      <c r="U373" s="41"/>
      <c r="V373" s="44"/>
      <c r="W373" s="43"/>
      <c r="X373" s="29"/>
      <c r="Y373" s="24"/>
      <c r="Z373" s="24"/>
      <c r="AA373" s="27"/>
      <c r="AB373" s="114"/>
      <c r="AC373" s="114"/>
      <c r="AD373" s="114"/>
      <c r="AE373" s="114"/>
      <c r="AF373" s="114"/>
      <c r="AG373" s="114"/>
      <c r="AH373" s="114"/>
    </row>
    <row r="374" spans="2:34" ht="13.5" thickBot="1">
      <c r="B374" s="36"/>
      <c r="C374" s="29"/>
      <c r="D374" s="32">
        <v>40</v>
      </c>
      <c r="E374" s="133">
        <v>49.5</v>
      </c>
      <c r="F374" s="133">
        <v>32.982700000000001</v>
      </c>
      <c r="G374" s="133">
        <v>42.267800000000001</v>
      </c>
      <c r="H374" s="133">
        <v>40.870600000000003</v>
      </c>
      <c r="I374" s="133"/>
      <c r="J374" s="134"/>
      <c r="K374" s="135"/>
      <c r="L374" s="29"/>
      <c r="M374" s="147">
        <v>49.268000000000001</v>
      </c>
      <c r="N374" s="147">
        <v>32.982599999999998</v>
      </c>
      <c r="O374" s="147">
        <v>42.267200000000003</v>
      </c>
      <c r="P374" s="147">
        <v>40.868699999999997</v>
      </c>
      <c r="Q374" s="147"/>
      <c r="R374" s="148"/>
      <c r="S374" s="149"/>
      <c r="U374" s="41"/>
      <c r="V374" s="42"/>
      <c r="W374" s="43"/>
      <c r="X374" s="29"/>
      <c r="Y374" s="24"/>
      <c r="Z374" s="24"/>
      <c r="AA374" s="27"/>
      <c r="AB374" s="114"/>
      <c r="AC374" s="114"/>
      <c r="AD374" s="114"/>
      <c r="AE374" s="114"/>
      <c r="AF374" s="114"/>
      <c r="AG374" s="114"/>
      <c r="AH374" s="114"/>
    </row>
    <row r="375" spans="2:34" ht="12.75">
      <c r="B375" s="36"/>
      <c r="C375" s="28" t="s">
        <v>28</v>
      </c>
      <c r="D375" s="31">
        <v>25</v>
      </c>
      <c r="E375" s="130">
        <v>526.73519999999996</v>
      </c>
      <c r="F375" s="130">
        <v>40.928400000000003</v>
      </c>
      <c r="G375" s="130">
        <v>46.494999999999997</v>
      </c>
      <c r="H375" s="130">
        <v>45.801900000000003</v>
      </c>
      <c r="I375" s="130"/>
      <c r="J375" s="131"/>
      <c r="K375" s="132"/>
      <c r="L375" s="29"/>
      <c r="M375" s="144">
        <v>524.73599999999999</v>
      </c>
      <c r="N375" s="144">
        <v>40.930700000000002</v>
      </c>
      <c r="O375" s="144">
        <v>46.496699999999997</v>
      </c>
      <c r="P375" s="144">
        <v>45.802399999999999</v>
      </c>
      <c r="Q375" s="144"/>
      <c r="R375" s="145"/>
      <c r="S375" s="146"/>
      <c r="U375" s="8">
        <f>bdrate($E375:$E378,F375:F378,$M375:$M378,N375:N378)</f>
        <v>-4.2839538914716258E-3</v>
      </c>
      <c r="V375" s="9">
        <f>bdrate($E375:$E378,G375:G378,$M375:$M378,O375:O378)</f>
        <v>-4.7675177742305674E-3</v>
      </c>
      <c r="W375" s="10">
        <f>bdrate($E375:$E378,H375:H378,$M375:$M378,P375:P378)</f>
        <v>-3.7394118243047059E-3</v>
      </c>
      <c r="X375" s="29"/>
      <c r="Y375" s="24"/>
      <c r="Z375" s="24"/>
      <c r="AA375" s="27"/>
      <c r="AB375" s="114"/>
      <c r="AC375" s="114"/>
      <c r="AD375" s="114"/>
      <c r="AE375" s="114"/>
      <c r="AF375" s="114"/>
      <c r="AG375" s="114"/>
      <c r="AH375" s="114"/>
    </row>
    <row r="376" spans="2:34" ht="12.75">
      <c r="B376" s="36"/>
      <c r="C376" s="29"/>
      <c r="D376" s="32">
        <v>30</v>
      </c>
      <c r="E376" s="133">
        <v>218.6352</v>
      </c>
      <c r="F376" s="133">
        <v>38.088200000000001</v>
      </c>
      <c r="G376" s="133">
        <v>44.827100000000002</v>
      </c>
      <c r="H376" s="133">
        <v>43.951000000000001</v>
      </c>
      <c r="I376" s="133"/>
      <c r="J376" s="134"/>
      <c r="K376" s="135"/>
      <c r="L376" s="29"/>
      <c r="M376" s="147">
        <v>217.42240000000001</v>
      </c>
      <c r="N376" s="147">
        <v>38.089399999999998</v>
      </c>
      <c r="O376" s="147">
        <v>44.827800000000003</v>
      </c>
      <c r="P376" s="147">
        <v>43.948300000000003</v>
      </c>
      <c r="Q376" s="147"/>
      <c r="R376" s="148"/>
      <c r="S376" s="149"/>
      <c r="U376" s="41"/>
      <c r="V376" s="42"/>
      <c r="W376" s="43"/>
      <c r="X376" s="29"/>
      <c r="Y376" s="24"/>
      <c r="Z376" s="24"/>
      <c r="AA376" s="27"/>
      <c r="AB376" s="114"/>
      <c r="AC376" s="114"/>
      <c r="AD376" s="114"/>
      <c r="AE376" s="114"/>
      <c r="AF376" s="114"/>
      <c r="AG376" s="114"/>
      <c r="AH376" s="114"/>
    </row>
    <row r="377" spans="2:34" ht="12.75">
      <c r="B377" s="36"/>
      <c r="C377" s="29"/>
      <c r="D377" s="32">
        <v>35</v>
      </c>
      <c r="E377" s="133">
        <v>103.6816</v>
      </c>
      <c r="F377" s="133">
        <v>35.401499999999999</v>
      </c>
      <c r="G377" s="133">
        <v>43.245100000000001</v>
      </c>
      <c r="H377" s="133">
        <v>42.169199999999996</v>
      </c>
      <c r="I377" s="133"/>
      <c r="J377" s="134"/>
      <c r="K377" s="135"/>
      <c r="L377" s="29"/>
      <c r="M377" s="147">
        <v>103.38720000000001</v>
      </c>
      <c r="N377" s="147">
        <v>35.402799999999999</v>
      </c>
      <c r="O377" s="147">
        <v>43.2468</v>
      </c>
      <c r="P377" s="147">
        <v>42.170499999999997</v>
      </c>
      <c r="Q377" s="147"/>
      <c r="R377" s="148"/>
      <c r="S377" s="149"/>
      <c r="U377" s="17"/>
      <c r="V377" s="18"/>
      <c r="W377" s="19"/>
      <c r="X377" s="29"/>
      <c r="Y377" s="24"/>
      <c r="Z377" s="24"/>
      <c r="AA377" s="27"/>
      <c r="AB377" s="114"/>
      <c r="AC377" s="114"/>
      <c r="AD377" s="114"/>
      <c r="AE377" s="114"/>
      <c r="AF377" s="114"/>
      <c r="AG377" s="114"/>
      <c r="AH377" s="114"/>
    </row>
    <row r="378" spans="2:34" ht="13.5" thickBot="1">
      <c r="B378" s="36"/>
      <c r="C378" s="51"/>
      <c r="D378" s="69">
        <v>40</v>
      </c>
      <c r="E378" s="136">
        <v>50.876800000000003</v>
      </c>
      <c r="F378" s="136">
        <v>32.988300000000002</v>
      </c>
      <c r="G378" s="136">
        <v>42.235799999999998</v>
      </c>
      <c r="H378" s="136">
        <v>40.872900000000001</v>
      </c>
      <c r="I378" s="136"/>
      <c r="J378" s="137"/>
      <c r="K378" s="138"/>
      <c r="L378" s="29"/>
      <c r="M378" s="150">
        <v>50.795999999999999</v>
      </c>
      <c r="N378" s="150">
        <v>32.988199999999999</v>
      </c>
      <c r="O378" s="150">
        <v>42.236600000000003</v>
      </c>
      <c r="P378" s="150">
        <v>40.872399999999999</v>
      </c>
      <c r="Q378" s="150"/>
      <c r="R378" s="151"/>
      <c r="S378" s="152"/>
      <c r="U378" s="41"/>
      <c r="V378" s="42"/>
      <c r="W378" s="43"/>
      <c r="X378" s="29"/>
      <c r="Y378" s="24"/>
      <c r="Z378" s="24"/>
      <c r="AA378" s="27"/>
      <c r="AB378" s="114"/>
      <c r="AC378" s="114"/>
      <c r="AD378" s="114"/>
      <c r="AE378" s="114"/>
      <c r="AF378" s="114"/>
      <c r="AG378" s="114"/>
      <c r="AH378" s="114"/>
    </row>
    <row r="379" spans="2:34" ht="12.75">
      <c r="B379" s="36"/>
      <c r="C379" s="28" t="s">
        <v>29</v>
      </c>
      <c r="D379" s="31">
        <v>34</v>
      </c>
      <c r="E379" s="130">
        <v>451.94720000000001</v>
      </c>
      <c r="F379" s="130">
        <v>38.834000000000003</v>
      </c>
      <c r="G379" s="130"/>
      <c r="H379" s="130"/>
      <c r="I379" s="130"/>
      <c r="J379" s="131"/>
      <c r="K379" s="132"/>
      <c r="L379" s="29"/>
      <c r="M379" s="144">
        <v>451.94720000000001</v>
      </c>
      <c r="N379" s="144">
        <v>38.834000000000003</v>
      </c>
      <c r="O379" s="144"/>
      <c r="P379" s="144"/>
      <c r="Q379" s="144"/>
      <c r="R379" s="145"/>
      <c r="S379" s="146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114"/>
      <c r="AC379" s="114"/>
      <c r="AD379" s="114"/>
      <c r="AE379" s="114"/>
      <c r="AF379" s="114"/>
      <c r="AG379" s="114"/>
      <c r="AH379" s="114"/>
    </row>
    <row r="380" spans="2:34" ht="12.75">
      <c r="B380" s="36"/>
      <c r="C380" s="29"/>
      <c r="D380" s="32">
        <v>39</v>
      </c>
      <c r="E380" s="133">
        <v>148.71039999999999</v>
      </c>
      <c r="F380" s="133">
        <v>35.707500000000003</v>
      </c>
      <c r="G380" s="133"/>
      <c r="H380" s="133"/>
      <c r="I380" s="133"/>
      <c r="J380" s="134"/>
      <c r="K380" s="135"/>
      <c r="L380" s="29"/>
      <c r="M380" s="147">
        <v>148.71039999999999</v>
      </c>
      <c r="N380" s="147">
        <v>35.707500000000003</v>
      </c>
      <c r="O380" s="147"/>
      <c r="P380" s="147"/>
      <c r="Q380" s="147"/>
      <c r="R380" s="148"/>
      <c r="S380" s="149"/>
      <c r="U380" s="41"/>
      <c r="V380" s="42"/>
      <c r="W380" s="43"/>
      <c r="X380" s="29"/>
      <c r="Y380" s="24"/>
      <c r="Z380" s="24"/>
      <c r="AA380" s="27"/>
      <c r="AB380" s="114"/>
      <c r="AC380" s="114"/>
      <c r="AD380" s="114"/>
      <c r="AE380" s="114"/>
      <c r="AF380" s="114"/>
      <c r="AG380" s="114"/>
      <c r="AH380" s="114"/>
    </row>
    <row r="381" spans="2:34" ht="12.75">
      <c r="B381" s="36"/>
      <c r="C381" s="29"/>
      <c r="D381" s="32">
        <v>42</v>
      </c>
      <c r="E381" s="133">
        <v>55.017600000000002</v>
      </c>
      <c r="F381" s="133">
        <v>33.198700000000002</v>
      </c>
      <c r="G381" s="133"/>
      <c r="H381" s="133"/>
      <c r="I381" s="133"/>
      <c r="J381" s="134"/>
      <c r="K381" s="135"/>
      <c r="L381" s="29"/>
      <c r="M381" s="147">
        <v>55.017600000000002</v>
      </c>
      <c r="N381" s="147">
        <v>33.198700000000002</v>
      </c>
      <c r="O381" s="147"/>
      <c r="P381" s="147"/>
      <c r="Q381" s="147"/>
      <c r="R381" s="148"/>
      <c r="S381" s="149"/>
      <c r="U381" s="41"/>
      <c r="V381" s="42"/>
      <c r="W381" s="43"/>
      <c r="X381" s="29"/>
      <c r="Y381" s="24"/>
      <c r="Z381" s="24"/>
      <c r="AA381" s="27"/>
      <c r="AB381" s="114"/>
      <c r="AC381" s="114"/>
      <c r="AD381" s="114"/>
      <c r="AE381" s="114"/>
      <c r="AF381" s="114"/>
      <c r="AG381" s="114"/>
      <c r="AH381" s="114"/>
    </row>
    <row r="382" spans="2:34" ht="13.5" thickBot="1">
      <c r="B382" s="36"/>
      <c r="C382" s="29"/>
      <c r="D382" s="32">
        <v>45</v>
      </c>
      <c r="E382" s="136">
        <v>22.076000000000001</v>
      </c>
      <c r="F382" s="136">
        <v>30.756</v>
      </c>
      <c r="G382" s="136"/>
      <c r="H382" s="136"/>
      <c r="I382" s="136"/>
      <c r="J382" s="137"/>
      <c r="K382" s="138"/>
      <c r="L382" s="29"/>
      <c r="M382" s="150">
        <v>22.076000000000001</v>
      </c>
      <c r="N382" s="150">
        <v>30.756</v>
      </c>
      <c r="O382" s="150"/>
      <c r="P382" s="150"/>
      <c r="Q382" s="150"/>
      <c r="R382" s="151"/>
      <c r="S382" s="152"/>
      <c r="U382" s="17"/>
      <c r="V382" s="18"/>
      <c r="W382" s="19"/>
      <c r="X382" s="29"/>
      <c r="Y382" s="59"/>
      <c r="Z382" s="59"/>
      <c r="AA382" s="55"/>
      <c r="AB382" s="114"/>
      <c r="AC382" s="114"/>
      <c r="AD382" s="114"/>
      <c r="AE382" s="114"/>
      <c r="AF382" s="114"/>
      <c r="AG382" s="114"/>
      <c r="AH382" s="114"/>
    </row>
    <row r="383" spans="2:34" ht="12.75">
      <c r="B383" s="36"/>
      <c r="C383" s="28" t="s">
        <v>30</v>
      </c>
      <c r="D383" s="31">
        <v>34</v>
      </c>
      <c r="E383" s="130">
        <v>190.55279999999999</v>
      </c>
      <c r="F383" s="130">
        <v>37.848399999999998</v>
      </c>
      <c r="G383" s="130"/>
      <c r="H383" s="130"/>
      <c r="I383" s="130"/>
      <c r="J383" s="131"/>
      <c r="K383" s="132"/>
      <c r="L383" s="29"/>
      <c r="M383" s="144">
        <v>190.74</v>
      </c>
      <c r="N383" s="144">
        <v>37.858699999999999</v>
      </c>
      <c r="O383" s="144"/>
      <c r="P383" s="144"/>
      <c r="Q383" s="144"/>
      <c r="R383" s="145"/>
      <c r="S383" s="146"/>
      <c r="U383" s="8">
        <f>bdrate($E383:$E386,F383:F386,$M383:$M386,N383:N386)</f>
        <v>-8.2058927753546618E-3</v>
      </c>
      <c r="V383" s="9"/>
      <c r="W383" s="10"/>
      <c r="X383" s="29"/>
      <c r="Y383" s="24"/>
      <c r="Z383" s="24"/>
      <c r="AA383" s="27"/>
      <c r="AB383" s="114"/>
      <c r="AC383" s="114"/>
      <c r="AD383" s="114"/>
      <c r="AE383" s="114"/>
      <c r="AF383" s="114"/>
      <c r="AG383" s="114"/>
      <c r="AH383" s="114"/>
    </row>
    <row r="384" spans="2:34" ht="12.75">
      <c r="B384" s="36"/>
      <c r="C384" s="29"/>
      <c r="D384" s="32">
        <v>39</v>
      </c>
      <c r="E384" s="133">
        <v>54.666400000000003</v>
      </c>
      <c r="F384" s="133">
        <v>35.033999999999999</v>
      </c>
      <c r="G384" s="133"/>
      <c r="H384" s="133"/>
      <c r="I384" s="133"/>
      <c r="J384" s="134"/>
      <c r="K384" s="135"/>
      <c r="L384" s="29"/>
      <c r="M384" s="147">
        <v>54.6736</v>
      </c>
      <c r="N384" s="147">
        <v>35.049900000000001</v>
      </c>
      <c r="O384" s="147"/>
      <c r="P384" s="147"/>
      <c r="Q384" s="147"/>
      <c r="R384" s="148"/>
      <c r="S384" s="149"/>
      <c r="U384" s="12"/>
      <c r="V384" s="13"/>
      <c r="W384" s="14"/>
      <c r="X384" s="29"/>
      <c r="Y384" s="24"/>
      <c r="Z384" s="24"/>
      <c r="AA384" s="27"/>
      <c r="AB384" s="114"/>
      <c r="AC384" s="114"/>
      <c r="AD384" s="114"/>
      <c r="AE384" s="114"/>
      <c r="AF384" s="114"/>
      <c r="AG384" s="114"/>
      <c r="AH384" s="114"/>
    </row>
    <row r="385" spans="2:34" ht="12.75">
      <c r="B385" s="36"/>
      <c r="C385" s="29"/>
      <c r="D385" s="32">
        <v>42</v>
      </c>
      <c r="E385" s="133">
        <v>21.671199999999999</v>
      </c>
      <c r="F385" s="133">
        <v>32.731400000000001</v>
      </c>
      <c r="G385" s="133"/>
      <c r="H385" s="133"/>
      <c r="I385" s="133"/>
      <c r="J385" s="134"/>
      <c r="K385" s="135"/>
      <c r="L385" s="29"/>
      <c r="M385" s="147">
        <v>21.413599999999999</v>
      </c>
      <c r="N385" s="147">
        <v>32.731999999999999</v>
      </c>
      <c r="O385" s="147"/>
      <c r="P385" s="147"/>
      <c r="Q385" s="147"/>
      <c r="R385" s="148"/>
      <c r="S385" s="149"/>
      <c r="U385" s="12"/>
      <c r="V385" s="13"/>
      <c r="W385" s="14"/>
      <c r="X385" s="29"/>
      <c r="Y385" s="24"/>
      <c r="Z385" s="24"/>
      <c r="AA385" s="27"/>
      <c r="AB385" s="114"/>
      <c r="AC385" s="114"/>
      <c r="AD385" s="114"/>
      <c r="AE385" s="114"/>
      <c r="AF385" s="114"/>
      <c r="AG385" s="114"/>
      <c r="AH385" s="114"/>
    </row>
    <row r="386" spans="2:34" ht="13.5" thickBot="1">
      <c r="B386" s="36"/>
      <c r="C386" s="29"/>
      <c r="D386" s="32">
        <v>45</v>
      </c>
      <c r="E386" s="136">
        <v>10.2088</v>
      </c>
      <c r="F386" s="136">
        <v>30.464700000000001</v>
      </c>
      <c r="G386" s="136"/>
      <c r="H386" s="136"/>
      <c r="I386" s="136"/>
      <c r="J386" s="137"/>
      <c r="K386" s="138"/>
      <c r="L386" s="29"/>
      <c r="M386" s="150">
        <v>10.118399999999999</v>
      </c>
      <c r="N386" s="150">
        <v>30.462299999999999</v>
      </c>
      <c r="O386" s="150"/>
      <c r="P386" s="150"/>
      <c r="Q386" s="150"/>
      <c r="R386" s="151"/>
      <c r="S386" s="152"/>
      <c r="U386" s="12"/>
      <c r="V386" s="13"/>
      <c r="W386" s="14"/>
      <c r="X386" s="29"/>
      <c r="Y386" s="24"/>
      <c r="Z386" s="24"/>
      <c r="AA386" s="27"/>
      <c r="AB386" s="114"/>
      <c r="AC386" s="114"/>
      <c r="AD386" s="114"/>
      <c r="AE386" s="114"/>
      <c r="AF386" s="114"/>
      <c r="AG386" s="114"/>
      <c r="AH386" s="114"/>
    </row>
    <row r="387" spans="2:34" ht="12.75">
      <c r="B387" s="36"/>
      <c r="C387" s="28" t="s">
        <v>31</v>
      </c>
      <c r="D387" s="31">
        <v>34</v>
      </c>
      <c r="E387" s="130">
        <v>188.55840000000001</v>
      </c>
      <c r="F387" s="130">
        <v>37.619300000000003</v>
      </c>
      <c r="G387" s="130"/>
      <c r="H387" s="130"/>
      <c r="I387" s="130"/>
      <c r="J387" s="131"/>
      <c r="K387" s="132"/>
      <c r="L387" s="29"/>
      <c r="M387" s="144">
        <v>188.0744</v>
      </c>
      <c r="N387" s="144">
        <v>37.6203</v>
      </c>
      <c r="O387" s="144"/>
      <c r="P387" s="144"/>
      <c r="Q387" s="144"/>
      <c r="R387" s="145"/>
      <c r="S387" s="146"/>
      <c r="U387" s="8">
        <f>bdrate($E387:$E390,F387:F390,$M387:$M390,N387:N390)</f>
        <v>-2.4544833093270713E-3</v>
      </c>
      <c r="V387" s="9"/>
      <c r="W387" s="10"/>
      <c r="X387" s="29"/>
      <c r="Y387" s="24"/>
      <c r="Z387" s="24"/>
      <c r="AA387" s="27"/>
      <c r="AB387" s="114"/>
      <c r="AC387" s="114"/>
      <c r="AD387" s="114"/>
      <c r="AE387" s="114"/>
      <c r="AF387" s="114"/>
      <c r="AG387" s="114"/>
      <c r="AH387" s="114"/>
    </row>
    <row r="388" spans="2:34" ht="12.75">
      <c r="B388" s="36"/>
      <c r="C388" s="29"/>
      <c r="D388" s="32">
        <v>39</v>
      </c>
      <c r="E388" s="133">
        <v>54.415199999999999</v>
      </c>
      <c r="F388" s="133">
        <v>34.766100000000002</v>
      </c>
      <c r="G388" s="133"/>
      <c r="H388" s="133"/>
      <c r="I388" s="133"/>
      <c r="J388" s="134"/>
      <c r="K388" s="135"/>
      <c r="L388" s="29"/>
      <c r="M388" s="147">
        <v>54.508800000000001</v>
      </c>
      <c r="N388" s="147">
        <v>34.770400000000002</v>
      </c>
      <c r="O388" s="147"/>
      <c r="P388" s="147"/>
      <c r="Q388" s="147"/>
      <c r="R388" s="148"/>
      <c r="S388" s="149"/>
      <c r="U388" s="41"/>
      <c r="V388" s="42"/>
      <c r="W388" s="43"/>
      <c r="X388" s="29"/>
      <c r="Y388" s="24"/>
      <c r="Z388" s="24"/>
      <c r="AA388" s="27"/>
      <c r="AB388" s="114"/>
      <c r="AC388" s="114"/>
      <c r="AD388" s="114"/>
      <c r="AE388" s="114"/>
      <c r="AF388" s="114"/>
      <c r="AG388" s="114"/>
      <c r="AH388" s="114"/>
    </row>
    <row r="389" spans="2:34" ht="12.75">
      <c r="B389" s="36"/>
      <c r="C389" s="29"/>
      <c r="D389" s="32">
        <v>42</v>
      </c>
      <c r="E389" s="133">
        <v>21.563199999999998</v>
      </c>
      <c r="F389" s="133">
        <v>32.486600000000003</v>
      </c>
      <c r="G389" s="133"/>
      <c r="H389" s="133"/>
      <c r="I389" s="133"/>
      <c r="J389" s="134"/>
      <c r="K389" s="135"/>
      <c r="L389" s="29"/>
      <c r="M389" s="147">
        <v>21.5352</v>
      </c>
      <c r="N389" s="147">
        <v>32.509900000000002</v>
      </c>
      <c r="O389" s="147"/>
      <c r="P389" s="147"/>
      <c r="Q389" s="147"/>
      <c r="R389" s="148"/>
      <c r="S389" s="149"/>
      <c r="U389" s="41"/>
      <c r="V389" s="42"/>
      <c r="W389" s="43"/>
      <c r="X389" s="29"/>
      <c r="Y389" s="24"/>
      <c r="Z389" s="24"/>
      <c r="AA389" s="27"/>
      <c r="AB389" s="114"/>
      <c r="AC389" s="114"/>
      <c r="AD389" s="114"/>
      <c r="AE389" s="114"/>
      <c r="AF389" s="114"/>
      <c r="AG389" s="114"/>
      <c r="AH389" s="114"/>
    </row>
    <row r="390" spans="2:34" ht="13.5" thickBot="1">
      <c r="B390" s="36"/>
      <c r="C390" s="29"/>
      <c r="D390" s="32">
        <v>45</v>
      </c>
      <c r="E390" s="136">
        <v>10.152799999999999</v>
      </c>
      <c r="F390" s="136">
        <v>30.2788</v>
      </c>
      <c r="G390" s="136"/>
      <c r="H390" s="136"/>
      <c r="I390" s="136"/>
      <c r="J390" s="137"/>
      <c r="K390" s="138"/>
      <c r="L390" s="29"/>
      <c r="M390" s="150">
        <v>10.220800000000001</v>
      </c>
      <c r="N390" s="150">
        <v>30.263000000000002</v>
      </c>
      <c r="O390" s="150"/>
      <c r="P390" s="150"/>
      <c r="Q390" s="150"/>
      <c r="R390" s="151"/>
      <c r="S390" s="152"/>
      <c r="U390" s="41"/>
      <c r="V390" s="42"/>
      <c r="W390" s="43"/>
      <c r="X390" s="29"/>
      <c r="Y390" s="24"/>
      <c r="Z390" s="24"/>
      <c r="AA390" s="27"/>
      <c r="AB390" s="114"/>
      <c r="AC390" s="114"/>
      <c r="AD390" s="114"/>
      <c r="AE390" s="114"/>
      <c r="AF390" s="114"/>
      <c r="AG390" s="114"/>
      <c r="AH390" s="114"/>
    </row>
    <row r="391" spans="2:34" ht="12.75">
      <c r="B391" s="36"/>
      <c r="C391" s="28" t="s">
        <v>47</v>
      </c>
      <c r="D391" s="31">
        <v>25</v>
      </c>
      <c r="E391" s="130"/>
      <c r="F391" s="130">
        <v>40.672400000000003</v>
      </c>
      <c r="G391" s="130">
        <v>46.626399999999997</v>
      </c>
      <c r="H391" s="130">
        <v>46.352400000000003</v>
      </c>
      <c r="I391" s="130"/>
      <c r="J391" s="131"/>
      <c r="K391" s="132"/>
      <c r="L391" s="29"/>
      <c r="M391" s="144"/>
      <c r="N391" s="144">
        <v>40.6751</v>
      </c>
      <c r="O391" s="144">
        <v>46.659199999999998</v>
      </c>
      <c r="P391" s="144">
        <v>46.366300000000003</v>
      </c>
      <c r="Q391" s="144"/>
      <c r="R391" s="145"/>
      <c r="S391" s="146"/>
      <c r="U391" s="8"/>
      <c r="V391" s="9"/>
      <c r="W391" s="10"/>
      <c r="X391" s="29"/>
      <c r="Y391" s="24"/>
      <c r="Z391" s="24"/>
      <c r="AA391" s="27"/>
      <c r="AB391" s="114"/>
      <c r="AC391" s="114"/>
      <c r="AD391" s="114"/>
      <c r="AE391" s="114"/>
      <c r="AF391" s="114"/>
      <c r="AG391" s="114"/>
      <c r="AH391" s="114"/>
    </row>
    <row r="392" spans="2:34" ht="12.75">
      <c r="B392" s="36"/>
      <c r="C392" s="29"/>
      <c r="D392" s="32">
        <v>30</v>
      </c>
      <c r="E392" s="133"/>
      <c r="F392" s="133">
        <v>37.912500000000001</v>
      </c>
      <c r="G392" s="133">
        <v>45.074399999999997</v>
      </c>
      <c r="H392" s="133">
        <v>44.515599999999999</v>
      </c>
      <c r="I392" s="133"/>
      <c r="J392" s="134"/>
      <c r="K392" s="135"/>
      <c r="L392" s="29"/>
      <c r="M392" s="147"/>
      <c r="N392" s="147">
        <v>37.911900000000003</v>
      </c>
      <c r="O392" s="147">
        <v>45.073999999999998</v>
      </c>
      <c r="P392" s="147">
        <v>44.513100000000001</v>
      </c>
      <c r="Q392" s="147"/>
      <c r="R392" s="148"/>
      <c r="S392" s="149"/>
      <c r="U392" s="17"/>
      <c r="V392" s="18"/>
      <c r="W392" s="19"/>
      <c r="X392" s="29"/>
      <c r="Y392" s="24"/>
      <c r="Z392" s="24"/>
      <c r="AA392" s="27"/>
      <c r="AB392" s="114"/>
      <c r="AC392" s="114"/>
      <c r="AD392" s="114"/>
      <c r="AE392" s="114"/>
      <c r="AF392" s="114"/>
      <c r="AG392" s="114"/>
      <c r="AH392" s="114"/>
    </row>
    <row r="393" spans="2:34" ht="12.75">
      <c r="B393" s="36"/>
      <c r="C393" s="29"/>
      <c r="D393" s="32">
        <v>35</v>
      </c>
      <c r="E393" s="133"/>
      <c r="F393" s="133">
        <v>35.261299999999999</v>
      </c>
      <c r="G393" s="133">
        <v>43.444400000000002</v>
      </c>
      <c r="H393" s="133">
        <v>42.5852</v>
      </c>
      <c r="I393" s="133"/>
      <c r="J393" s="134"/>
      <c r="K393" s="135"/>
      <c r="L393" s="29"/>
      <c r="M393" s="147"/>
      <c r="N393" s="147">
        <v>35.259599999999999</v>
      </c>
      <c r="O393" s="147">
        <v>43.439500000000002</v>
      </c>
      <c r="P393" s="147">
        <v>42.579799999999999</v>
      </c>
      <c r="Q393" s="147"/>
      <c r="R393" s="148"/>
      <c r="S393" s="149"/>
      <c r="U393" s="41"/>
      <c r="V393" s="44"/>
      <c r="W393" s="43"/>
      <c r="X393" s="29"/>
      <c r="Y393" s="24"/>
      <c r="Z393" s="24"/>
      <c r="AA393" s="27"/>
      <c r="AB393" s="114"/>
      <c r="AC393" s="114"/>
      <c r="AD393" s="114"/>
      <c r="AE393" s="114"/>
      <c r="AF393" s="114"/>
      <c r="AG393" s="114"/>
      <c r="AH393" s="114"/>
    </row>
    <row r="394" spans="2:34" ht="13.5" thickBot="1">
      <c r="B394" s="36"/>
      <c r="C394" s="51"/>
      <c r="D394" s="69">
        <v>40</v>
      </c>
      <c r="E394" s="136"/>
      <c r="F394" s="136">
        <v>32.869900000000001</v>
      </c>
      <c r="G394" s="136">
        <v>42.380499999999998</v>
      </c>
      <c r="H394" s="136">
        <v>41.2059</v>
      </c>
      <c r="I394" s="136"/>
      <c r="J394" s="137"/>
      <c r="K394" s="138"/>
      <c r="L394" s="29"/>
      <c r="M394" s="150"/>
      <c r="N394" s="150">
        <v>32.869500000000002</v>
      </c>
      <c r="O394" s="150">
        <v>42.382599999999996</v>
      </c>
      <c r="P394" s="150">
        <v>41.207999999999998</v>
      </c>
      <c r="Q394" s="150"/>
      <c r="R394" s="151"/>
      <c r="S394" s="152"/>
      <c r="U394" s="41"/>
      <c r="V394" s="42"/>
      <c r="W394" s="43"/>
      <c r="X394" s="29"/>
      <c r="Y394" s="24"/>
      <c r="Z394" s="24"/>
      <c r="AA394" s="27"/>
      <c r="AB394" s="114"/>
      <c r="AC394" s="114"/>
      <c r="AD394" s="114"/>
      <c r="AE394" s="114"/>
      <c r="AF394" s="114"/>
      <c r="AG394" s="114"/>
      <c r="AH394" s="114"/>
    </row>
    <row r="395" spans="2:34" ht="12.75">
      <c r="B395" s="36"/>
      <c r="C395" s="29" t="s">
        <v>48</v>
      </c>
      <c r="D395" s="32">
        <v>25</v>
      </c>
      <c r="E395" s="130"/>
      <c r="F395" s="130">
        <v>40.863700000000001</v>
      </c>
      <c r="G395" s="130">
        <v>47.149700000000003</v>
      </c>
      <c r="H395" s="130">
        <v>46.483800000000002</v>
      </c>
      <c r="I395" s="130"/>
      <c r="J395" s="131"/>
      <c r="K395" s="132"/>
      <c r="L395" s="29"/>
      <c r="M395" s="144"/>
      <c r="N395" s="144">
        <v>40.865000000000002</v>
      </c>
      <c r="O395" s="144">
        <v>47.164099999999998</v>
      </c>
      <c r="P395" s="144">
        <v>46.485300000000002</v>
      </c>
      <c r="Q395" s="144"/>
      <c r="R395" s="145"/>
      <c r="S395" s="146"/>
      <c r="U395" s="8"/>
      <c r="V395" s="9"/>
      <c r="W395" s="10"/>
      <c r="X395" s="29"/>
      <c r="Y395" s="24"/>
      <c r="Z395" s="24"/>
      <c r="AA395" s="27"/>
      <c r="AB395" s="114"/>
      <c r="AC395" s="114"/>
      <c r="AD395" s="114"/>
      <c r="AE395" s="114"/>
      <c r="AF395" s="114"/>
      <c r="AG395" s="114"/>
      <c r="AH395" s="114"/>
    </row>
    <row r="396" spans="2:34" ht="12.75">
      <c r="B396" s="36"/>
      <c r="C396" s="29"/>
      <c r="D396" s="32">
        <v>30</v>
      </c>
      <c r="E396" s="133"/>
      <c r="F396" s="133">
        <v>38.052399999999999</v>
      </c>
      <c r="G396" s="133">
        <v>45.468499999999999</v>
      </c>
      <c r="H396" s="133">
        <v>44.575800000000001</v>
      </c>
      <c r="I396" s="133"/>
      <c r="J396" s="134"/>
      <c r="K396" s="135"/>
      <c r="L396" s="29"/>
      <c r="M396" s="147"/>
      <c r="N396" s="147">
        <v>38.053600000000003</v>
      </c>
      <c r="O396" s="147">
        <v>45.468400000000003</v>
      </c>
      <c r="P396" s="147">
        <v>44.593299999999999</v>
      </c>
      <c r="Q396" s="147"/>
      <c r="R396" s="148"/>
      <c r="S396" s="149"/>
      <c r="U396" s="41"/>
      <c r="V396" s="42"/>
      <c r="W396" s="43"/>
      <c r="X396" s="29"/>
      <c r="Y396" s="24"/>
      <c r="Z396" s="24"/>
      <c r="AA396" s="27"/>
      <c r="AB396" s="114"/>
      <c r="AC396" s="114"/>
      <c r="AD396" s="114"/>
      <c r="AE396" s="114"/>
      <c r="AF396" s="114"/>
      <c r="AG396" s="114"/>
      <c r="AH396" s="114"/>
    </row>
    <row r="397" spans="2:34" ht="12.75">
      <c r="B397" s="36"/>
      <c r="C397" s="29"/>
      <c r="D397" s="32">
        <v>35</v>
      </c>
      <c r="E397" s="133"/>
      <c r="F397" s="133">
        <v>35.346499999999999</v>
      </c>
      <c r="G397" s="133">
        <v>43.699599999999997</v>
      </c>
      <c r="H397" s="133">
        <v>42.660499999999999</v>
      </c>
      <c r="I397" s="133"/>
      <c r="J397" s="134"/>
      <c r="K397" s="135"/>
      <c r="L397" s="29"/>
      <c r="M397" s="147"/>
      <c r="N397" s="147">
        <v>35.344499999999996</v>
      </c>
      <c r="O397" s="147">
        <v>43.694200000000002</v>
      </c>
      <c r="P397" s="147">
        <v>42.662399999999998</v>
      </c>
      <c r="Q397" s="147"/>
      <c r="R397" s="148"/>
      <c r="S397" s="149"/>
      <c r="U397" s="17"/>
      <c r="V397" s="18"/>
      <c r="W397" s="19"/>
      <c r="X397" s="29"/>
      <c r="Y397" s="24"/>
      <c r="Z397" s="24"/>
      <c r="AA397" s="27"/>
      <c r="AB397" s="114"/>
      <c r="AC397" s="114"/>
      <c r="AD397" s="114"/>
      <c r="AE397" s="114"/>
      <c r="AF397" s="114"/>
      <c r="AG397" s="114"/>
      <c r="AH397" s="114"/>
    </row>
    <row r="398" spans="2:34" ht="13.5" thickBot="1">
      <c r="B398" s="36"/>
      <c r="C398" s="51"/>
      <c r="D398" s="69">
        <v>40</v>
      </c>
      <c r="E398" s="136"/>
      <c r="F398" s="136">
        <v>32.915799999999997</v>
      </c>
      <c r="G398" s="136">
        <v>42.482199999999999</v>
      </c>
      <c r="H398" s="136">
        <v>41.2789</v>
      </c>
      <c r="I398" s="136"/>
      <c r="J398" s="137"/>
      <c r="K398" s="138"/>
      <c r="L398" s="29"/>
      <c r="M398" s="150"/>
      <c r="N398" s="150">
        <v>32.915599999999998</v>
      </c>
      <c r="O398" s="150">
        <v>42.499099999999999</v>
      </c>
      <c r="P398" s="150">
        <v>41.288400000000003</v>
      </c>
      <c r="Q398" s="150"/>
      <c r="R398" s="151"/>
      <c r="S398" s="152"/>
      <c r="U398" s="41"/>
      <c r="V398" s="42"/>
      <c r="W398" s="43"/>
      <c r="X398" s="29"/>
      <c r="Y398" s="24"/>
      <c r="Z398" s="24"/>
      <c r="AA398" s="27"/>
      <c r="AB398" s="114"/>
      <c r="AC398" s="114"/>
      <c r="AD398" s="114"/>
      <c r="AE398" s="114"/>
      <c r="AF398" s="114"/>
      <c r="AG398" s="114"/>
      <c r="AH398" s="114"/>
    </row>
    <row r="399" spans="2:34" ht="12.75">
      <c r="B399" s="36"/>
      <c r="C399" s="29" t="s">
        <v>49</v>
      </c>
      <c r="D399" s="32">
        <v>25</v>
      </c>
      <c r="E399" s="130"/>
      <c r="F399" s="130">
        <v>41.078699999999998</v>
      </c>
      <c r="G399" s="130">
        <v>47.630699999999997</v>
      </c>
      <c r="H399" s="130">
        <v>47.219499999999996</v>
      </c>
      <c r="I399" s="130"/>
      <c r="J399" s="131"/>
      <c r="K399" s="132"/>
      <c r="L399" s="29"/>
      <c r="M399" s="144"/>
      <c r="N399" s="144">
        <v>41.08</v>
      </c>
      <c r="O399" s="144">
        <v>47.631799999999998</v>
      </c>
      <c r="P399" s="144">
        <v>47.219000000000001</v>
      </c>
      <c r="Q399" s="144"/>
      <c r="R399" s="145"/>
      <c r="S399" s="146"/>
      <c r="U399" s="8"/>
      <c r="V399" s="9"/>
      <c r="W399" s="10"/>
      <c r="X399" s="29"/>
      <c r="Y399" s="24"/>
      <c r="Z399" s="24"/>
      <c r="AA399" s="27"/>
      <c r="AB399" s="114"/>
      <c r="AC399" s="114"/>
      <c r="AD399" s="114"/>
      <c r="AE399" s="114"/>
      <c r="AF399" s="114"/>
      <c r="AG399" s="114"/>
      <c r="AH399" s="114"/>
    </row>
    <row r="400" spans="2:34" ht="12.75">
      <c r="B400" s="36"/>
      <c r="C400" s="29"/>
      <c r="D400" s="32">
        <v>30</v>
      </c>
      <c r="E400" s="133"/>
      <c r="F400" s="133">
        <v>38.181800000000003</v>
      </c>
      <c r="G400" s="133">
        <v>45.812399999999997</v>
      </c>
      <c r="H400" s="133">
        <v>45.1327</v>
      </c>
      <c r="I400" s="133"/>
      <c r="J400" s="134"/>
      <c r="K400" s="135"/>
      <c r="L400" s="29"/>
      <c r="M400" s="147"/>
      <c r="N400" s="147">
        <v>38.181800000000003</v>
      </c>
      <c r="O400" s="147">
        <v>45.812399999999997</v>
      </c>
      <c r="P400" s="147">
        <v>45.134599999999999</v>
      </c>
      <c r="Q400" s="147"/>
      <c r="R400" s="148"/>
      <c r="S400" s="149"/>
      <c r="U400" s="41"/>
      <c r="V400" s="42"/>
      <c r="W400" s="43"/>
      <c r="X400" s="29"/>
      <c r="Y400" s="24"/>
      <c r="Z400" s="24"/>
      <c r="AA400" s="27"/>
      <c r="AB400" s="114"/>
      <c r="AC400" s="114"/>
      <c r="AD400" s="114"/>
      <c r="AE400" s="114"/>
      <c r="AF400" s="114"/>
      <c r="AG400" s="114"/>
      <c r="AH400" s="114"/>
    </row>
    <row r="401" spans="2:34" ht="12.75">
      <c r="B401" s="36"/>
      <c r="C401" s="29"/>
      <c r="D401" s="32">
        <v>35</v>
      </c>
      <c r="E401" s="133"/>
      <c r="F401" s="133">
        <v>35.435499999999998</v>
      </c>
      <c r="G401" s="133">
        <v>43.986400000000003</v>
      </c>
      <c r="H401" s="133">
        <v>43.051400000000001</v>
      </c>
      <c r="I401" s="133"/>
      <c r="J401" s="134"/>
      <c r="K401" s="135"/>
      <c r="L401" s="29"/>
      <c r="M401" s="147"/>
      <c r="N401" s="147">
        <v>35.434600000000003</v>
      </c>
      <c r="O401" s="147">
        <v>43.983199999999997</v>
      </c>
      <c r="P401" s="147">
        <v>43.052300000000002</v>
      </c>
      <c r="Q401" s="147"/>
      <c r="R401" s="148"/>
      <c r="S401" s="149"/>
      <c r="U401" s="41"/>
      <c r="V401" s="42"/>
      <c r="W401" s="43"/>
      <c r="X401" s="29"/>
      <c r="Y401" s="24"/>
      <c r="Z401" s="24"/>
      <c r="AA401" s="27"/>
      <c r="AB401" s="114"/>
      <c r="AC401" s="114"/>
      <c r="AD401" s="114"/>
      <c r="AE401" s="114"/>
      <c r="AF401" s="114"/>
      <c r="AG401" s="114"/>
      <c r="AH401" s="114"/>
    </row>
    <row r="402" spans="2:34" ht="13.5" thickBot="1">
      <c r="B402" s="36"/>
      <c r="C402" s="51"/>
      <c r="D402" s="69">
        <v>40</v>
      </c>
      <c r="E402" s="136"/>
      <c r="F402" s="136">
        <v>32.986899999999999</v>
      </c>
      <c r="G402" s="136">
        <v>42.737499999999997</v>
      </c>
      <c r="H402" s="136">
        <v>41.603299999999997</v>
      </c>
      <c r="I402" s="136"/>
      <c r="J402" s="137"/>
      <c r="K402" s="138"/>
      <c r="L402" s="29"/>
      <c r="M402" s="150"/>
      <c r="N402" s="150">
        <v>32.987000000000002</v>
      </c>
      <c r="O402" s="150">
        <v>42.735500000000002</v>
      </c>
      <c r="P402" s="150">
        <v>41.601599999999998</v>
      </c>
      <c r="Q402" s="150"/>
      <c r="R402" s="151"/>
      <c r="S402" s="152"/>
      <c r="U402" s="17"/>
      <c r="V402" s="18"/>
      <c r="W402" s="19"/>
      <c r="X402" s="29"/>
      <c r="Z402" s="59"/>
      <c r="AA402" s="55"/>
      <c r="AB402" s="114"/>
      <c r="AC402" s="114"/>
      <c r="AD402" s="114"/>
      <c r="AE402" s="114"/>
      <c r="AF402" s="114"/>
      <c r="AG402" s="114"/>
      <c r="AH402" s="114"/>
    </row>
    <row r="403" spans="2:34" ht="12.75">
      <c r="B403" s="36"/>
      <c r="C403" s="29" t="s">
        <v>50</v>
      </c>
      <c r="D403" s="32">
        <v>25</v>
      </c>
      <c r="E403" s="130"/>
      <c r="F403" s="130">
        <v>41.074800000000003</v>
      </c>
      <c r="G403" s="130">
        <v>47.685499999999998</v>
      </c>
      <c r="H403" s="130">
        <v>47.241</v>
      </c>
      <c r="I403" s="130"/>
      <c r="J403" s="131"/>
      <c r="K403" s="132"/>
      <c r="L403" s="29"/>
      <c r="M403" s="144"/>
      <c r="N403" s="144">
        <v>41.073399999999999</v>
      </c>
      <c r="O403" s="144">
        <v>47.685299999999998</v>
      </c>
      <c r="P403" s="144">
        <v>47.238700000000001</v>
      </c>
      <c r="Q403" s="144"/>
      <c r="R403" s="145"/>
      <c r="S403" s="146"/>
      <c r="U403" s="8"/>
      <c r="V403" s="9"/>
      <c r="W403" s="10"/>
      <c r="X403" s="29"/>
      <c r="Y403" s="24"/>
      <c r="Z403" s="24"/>
      <c r="AA403" s="27"/>
      <c r="AB403" s="114"/>
      <c r="AC403" s="114"/>
      <c r="AD403" s="114"/>
      <c r="AE403" s="114"/>
      <c r="AF403" s="114"/>
      <c r="AG403" s="114"/>
      <c r="AH403" s="114"/>
    </row>
    <row r="404" spans="2:34" ht="12.75">
      <c r="B404" s="36"/>
      <c r="C404" s="29"/>
      <c r="D404" s="32">
        <v>30</v>
      </c>
      <c r="E404" s="133"/>
      <c r="F404" s="133">
        <v>38.1783</v>
      </c>
      <c r="G404" s="133">
        <v>45.878700000000002</v>
      </c>
      <c r="H404" s="133">
        <v>45.160400000000003</v>
      </c>
      <c r="I404" s="133"/>
      <c r="J404" s="134"/>
      <c r="K404" s="135"/>
      <c r="L404" s="29"/>
      <c r="M404" s="147"/>
      <c r="N404" s="147">
        <v>38.180300000000003</v>
      </c>
      <c r="O404" s="147">
        <v>45.877800000000001</v>
      </c>
      <c r="P404" s="147">
        <v>45.159500000000001</v>
      </c>
      <c r="Q404" s="147"/>
      <c r="R404" s="148"/>
      <c r="S404" s="149"/>
      <c r="U404" s="12"/>
      <c r="V404" s="13"/>
      <c r="W404" s="14"/>
      <c r="X404" s="29"/>
      <c r="Y404" s="24"/>
      <c r="Z404" s="24"/>
      <c r="AA404" s="27"/>
      <c r="AB404" s="114"/>
      <c r="AC404" s="114"/>
      <c r="AD404" s="114"/>
      <c r="AE404" s="114"/>
      <c r="AF404" s="114"/>
      <c r="AG404" s="114"/>
      <c r="AH404" s="114"/>
    </row>
    <row r="405" spans="2:34" ht="12.75">
      <c r="B405" s="36"/>
      <c r="C405" s="29"/>
      <c r="D405" s="32">
        <v>35</v>
      </c>
      <c r="E405" s="133"/>
      <c r="F405" s="133">
        <v>35.434399999999997</v>
      </c>
      <c r="G405" s="133">
        <v>44.055</v>
      </c>
      <c r="H405" s="133">
        <v>43.086199999999998</v>
      </c>
      <c r="I405" s="133"/>
      <c r="J405" s="134"/>
      <c r="K405" s="135"/>
      <c r="L405" s="29"/>
      <c r="M405" s="147"/>
      <c r="N405" s="147">
        <v>35.433500000000002</v>
      </c>
      <c r="O405" s="147">
        <v>44.056399999999996</v>
      </c>
      <c r="P405" s="147">
        <v>43.0854</v>
      </c>
      <c r="Q405" s="147"/>
      <c r="R405" s="148"/>
      <c r="S405" s="149"/>
      <c r="U405" s="12"/>
      <c r="V405" s="13"/>
      <c r="W405" s="14"/>
      <c r="X405" s="29"/>
      <c r="Y405" s="24"/>
      <c r="Z405" s="24"/>
      <c r="AA405" s="27"/>
      <c r="AB405" s="114"/>
      <c r="AC405" s="114"/>
      <c r="AD405" s="114"/>
      <c r="AE405" s="114"/>
      <c r="AF405" s="114"/>
      <c r="AG405" s="114"/>
      <c r="AH405" s="114"/>
    </row>
    <row r="406" spans="2:34" ht="13.5" thickBot="1">
      <c r="B406" s="36"/>
      <c r="C406" s="51"/>
      <c r="D406" s="69">
        <v>40</v>
      </c>
      <c r="E406" s="136"/>
      <c r="F406" s="136">
        <v>32.984299999999998</v>
      </c>
      <c r="G406" s="136">
        <v>42.844299999999997</v>
      </c>
      <c r="H406" s="136">
        <v>41.623100000000001</v>
      </c>
      <c r="I406" s="136"/>
      <c r="J406" s="137"/>
      <c r="K406" s="138"/>
      <c r="L406" s="29"/>
      <c r="M406" s="150"/>
      <c r="N406" s="150">
        <v>32.984000000000002</v>
      </c>
      <c r="O406" s="150">
        <v>42.8508</v>
      </c>
      <c r="P406" s="150">
        <v>41.625300000000003</v>
      </c>
      <c r="Q406" s="150"/>
      <c r="R406" s="151"/>
      <c r="S406" s="152"/>
      <c r="U406" s="12"/>
      <c r="V406" s="13"/>
      <c r="W406" s="14"/>
      <c r="X406" s="29"/>
      <c r="Y406" s="24"/>
      <c r="Z406" s="24"/>
      <c r="AA406" s="27"/>
      <c r="AB406" s="114"/>
      <c r="AC406" s="114"/>
      <c r="AD406" s="114"/>
      <c r="AE406" s="114"/>
      <c r="AF406" s="114"/>
      <c r="AG406" s="114"/>
      <c r="AH406" s="114"/>
    </row>
    <row r="407" spans="2:34" ht="12.75">
      <c r="B407" s="36"/>
      <c r="C407" s="29" t="s">
        <v>51</v>
      </c>
      <c r="D407" s="32">
        <v>25</v>
      </c>
      <c r="E407" s="131"/>
      <c r="F407" s="131">
        <v>40.887999999999998</v>
      </c>
      <c r="G407" s="131">
        <v>46.7547</v>
      </c>
      <c r="H407" s="131">
        <v>46.659399999999998</v>
      </c>
      <c r="I407" s="131"/>
      <c r="J407" s="131"/>
      <c r="K407" s="132"/>
      <c r="L407" s="29"/>
      <c r="M407" s="145"/>
      <c r="N407" s="145">
        <v>40.889299999999999</v>
      </c>
      <c r="O407" s="145">
        <v>46.767400000000002</v>
      </c>
      <c r="P407" s="145">
        <v>46.679200000000002</v>
      </c>
      <c r="Q407" s="145"/>
      <c r="R407" s="145"/>
      <c r="S407" s="146"/>
      <c r="U407" s="8"/>
      <c r="V407" s="9"/>
      <c r="W407" s="10"/>
      <c r="X407" s="29"/>
      <c r="Y407" s="24"/>
      <c r="Z407" s="24"/>
      <c r="AA407" s="27"/>
      <c r="AB407" s="114"/>
      <c r="AC407" s="114"/>
      <c r="AD407" s="114"/>
      <c r="AE407" s="114"/>
      <c r="AF407" s="114"/>
      <c r="AG407" s="114"/>
      <c r="AH407" s="114"/>
    </row>
    <row r="408" spans="2:34" ht="12.75">
      <c r="B408" s="36"/>
      <c r="C408" s="29"/>
      <c r="D408" s="32">
        <v>30</v>
      </c>
      <c r="E408" s="134"/>
      <c r="F408" s="134">
        <v>38.056899999999999</v>
      </c>
      <c r="G408" s="134">
        <v>45.244500000000002</v>
      </c>
      <c r="H408" s="134">
        <v>44.728200000000001</v>
      </c>
      <c r="I408" s="134"/>
      <c r="J408" s="134"/>
      <c r="K408" s="135"/>
      <c r="L408" s="29"/>
      <c r="M408" s="148"/>
      <c r="N408" s="148">
        <v>38.0578</v>
      </c>
      <c r="O408" s="148">
        <v>45.225499999999997</v>
      </c>
      <c r="P408" s="148">
        <v>44.724499999999999</v>
      </c>
      <c r="Q408" s="148"/>
      <c r="R408" s="148"/>
      <c r="S408" s="149"/>
      <c r="U408" s="41"/>
      <c r="V408" s="42"/>
      <c r="W408" s="43"/>
      <c r="X408" s="29"/>
      <c r="Y408" s="24"/>
      <c r="Z408" s="24"/>
      <c r="AA408" s="27"/>
      <c r="AB408" s="114"/>
      <c r="AC408" s="114"/>
      <c r="AD408" s="114"/>
      <c r="AE408" s="114"/>
      <c r="AF408" s="114"/>
      <c r="AG408" s="114"/>
      <c r="AH408" s="114"/>
    </row>
    <row r="409" spans="2:34" ht="12.75">
      <c r="B409" s="36"/>
      <c r="C409" s="29"/>
      <c r="D409" s="32">
        <v>35</v>
      </c>
      <c r="E409" s="134"/>
      <c r="F409" s="134">
        <v>35.351300000000002</v>
      </c>
      <c r="G409" s="134">
        <v>43.612299999999998</v>
      </c>
      <c r="H409" s="134">
        <v>42.757899999999999</v>
      </c>
      <c r="I409" s="134"/>
      <c r="J409" s="134"/>
      <c r="K409" s="135"/>
      <c r="L409" s="29"/>
      <c r="M409" s="148"/>
      <c r="N409" s="148">
        <v>35.351599999999998</v>
      </c>
      <c r="O409" s="148">
        <v>43.627000000000002</v>
      </c>
      <c r="P409" s="148">
        <v>42.760199999999998</v>
      </c>
      <c r="Q409" s="148"/>
      <c r="R409" s="148"/>
      <c r="S409" s="149"/>
      <c r="U409" s="41"/>
      <c r="V409" s="42"/>
      <c r="W409" s="43"/>
      <c r="X409" s="29"/>
      <c r="Y409" s="24"/>
      <c r="Z409" s="24"/>
      <c r="AA409" s="27"/>
      <c r="AB409" s="114"/>
      <c r="AC409" s="114"/>
      <c r="AD409" s="114"/>
      <c r="AE409" s="114"/>
      <c r="AF409" s="114"/>
      <c r="AG409" s="114"/>
      <c r="AH409" s="114"/>
    </row>
    <row r="410" spans="2:34" ht="13.5" thickBot="1">
      <c r="B410" s="36"/>
      <c r="C410" s="51"/>
      <c r="D410" s="69">
        <v>40</v>
      </c>
      <c r="E410" s="137"/>
      <c r="F410" s="137">
        <v>32.914400000000001</v>
      </c>
      <c r="G410" s="137">
        <v>42.4786</v>
      </c>
      <c r="H410" s="137">
        <v>41.329500000000003</v>
      </c>
      <c r="I410" s="137"/>
      <c r="J410" s="137"/>
      <c r="K410" s="138"/>
      <c r="L410" s="29"/>
      <c r="M410" s="151"/>
      <c r="N410" s="151">
        <v>32.913699999999999</v>
      </c>
      <c r="O410" s="151">
        <v>42.494199999999999</v>
      </c>
      <c r="P410" s="151">
        <v>41.333799999999997</v>
      </c>
      <c r="Q410" s="151"/>
      <c r="R410" s="151"/>
      <c r="S410" s="152"/>
      <c r="U410" s="41"/>
      <c r="V410" s="42"/>
      <c r="W410" s="43"/>
      <c r="X410" s="29"/>
      <c r="Y410" s="24"/>
      <c r="Z410" s="24"/>
      <c r="AA410" s="27"/>
      <c r="AB410" s="114"/>
      <c r="AC410" s="114"/>
      <c r="AD410" s="114"/>
      <c r="AE410" s="114"/>
      <c r="AF410" s="114"/>
      <c r="AG410" s="114"/>
      <c r="AH410" s="114"/>
    </row>
    <row r="411" spans="2:34" ht="12.75">
      <c r="B411" s="36"/>
      <c r="C411" s="29" t="s">
        <v>52</v>
      </c>
      <c r="D411" s="32">
        <v>25</v>
      </c>
      <c r="E411" s="131"/>
      <c r="F411" s="131">
        <v>40.709099999999999</v>
      </c>
      <c r="G411" s="131">
        <v>46.511299999999999</v>
      </c>
      <c r="H411" s="131">
        <v>46.620800000000003</v>
      </c>
      <c r="I411" s="131"/>
      <c r="J411" s="131"/>
      <c r="K411" s="132"/>
      <c r="L411" s="29"/>
      <c r="M411" s="145"/>
      <c r="N411" s="145">
        <v>40.709800000000001</v>
      </c>
      <c r="O411" s="145">
        <v>46.5364</v>
      </c>
      <c r="P411" s="145">
        <v>46.600200000000001</v>
      </c>
      <c r="Q411" s="145"/>
      <c r="R411" s="145"/>
      <c r="S411" s="146"/>
      <c r="U411" s="8"/>
      <c r="V411" s="9"/>
      <c r="W411" s="10"/>
      <c r="X411" s="29"/>
      <c r="Y411" s="24"/>
      <c r="Z411" s="24"/>
      <c r="AA411" s="27"/>
      <c r="AB411" s="114"/>
      <c r="AC411" s="114"/>
      <c r="AD411" s="114"/>
      <c r="AE411" s="114"/>
      <c r="AF411" s="114"/>
      <c r="AG411" s="114"/>
      <c r="AH411" s="114"/>
    </row>
    <row r="412" spans="2:34" ht="12.75">
      <c r="B412" s="36"/>
      <c r="C412" s="29"/>
      <c r="D412" s="32">
        <v>30</v>
      </c>
      <c r="E412" s="134"/>
      <c r="F412" s="134">
        <v>37.924599999999998</v>
      </c>
      <c r="G412" s="134">
        <v>45.0565</v>
      </c>
      <c r="H412" s="134">
        <v>44.676699999999997</v>
      </c>
      <c r="I412" s="134"/>
      <c r="J412" s="134"/>
      <c r="K412" s="135"/>
      <c r="L412" s="29"/>
      <c r="M412" s="148"/>
      <c r="N412" s="148">
        <v>37.927</v>
      </c>
      <c r="O412" s="148">
        <v>45.061300000000003</v>
      </c>
      <c r="P412" s="148">
        <v>44.671100000000003</v>
      </c>
      <c r="Q412" s="148"/>
      <c r="R412" s="148"/>
      <c r="S412" s="149"/>
      <c r="U412" s="17"/>
      <c r="V412" s="18"/>
      <c r="W412" s="19"/>
      <c r="X412" s="29"/>
      <c r="Y412" s="24"/>
      <c r="Z412" s="24"/>
      <c r="AA412" s="27"/>
      <c r="AB412" s="114"/>
      <c r="AC412" s="114"/>
      <c r="AD412" s="114"/>
      <c r="AE412" s="114"/>
      <c r="AF412" s="114"/>
      <c r="AG412" s="114"/>
      <c r="AH412" s="114"/>
    </row>
    <row r="413" spans="2:34" ht="12.75">
      <c r="B413" s="36"/>
      <c r="C413" s="29"/>
      <c r="D413" s="32">
        <v>35</v>
      </c>
      <c r="E413" s="134"/>
      <c r="F413" s="134">
        <v>35.267299999999999</v>
      </c>
      <c r="G413" s="134">
        <v>43.5032</v>
      </c>
      <c r="H413" s="134">
        <v>42.687800000000003</v>
      </c>
      <c r="I413" s="134"/>
      <c r="J413" s="134"/>
      <c r="K413" s="135"/>
      <c r="L413" s="29"/>
      <c r="M413" s="148"/>
      <c r="N413" s="148">
        <v>35.2684</v>
      </c>
      <c r="O413" s="148">
        <v>43.509799999999998</v>
      </c>
      <c r="P413" s="148">
        <v>42.699800000000003</v>
      </c>
      <c r="Q413" s="148"/>
      <c r="R413" s="148"/>
      <c r="S413" s="149"/>
      <c r="U413" s="41"/>
      <c r="V413" s="44"/>
      <c r="W413" s="43"/>
      <c r="X413" s="29"/>
      <c r="Y413" s="24"/>
      <c r="Z413" s="24"/>
      <c r="AA413" s="27"/>
      <c r="AB413" s="114"/>
      <c r="AC413" s="114"/>
      <c r="AD413" s="114"/>
      <c r="AE413" s="114"/>
      <c r="AF413" s="114"/>
      <c r="AG413" s="114"/>
      <c r="AH413" s="114"/>
    </row>
    <row r="414" spans="2:34" ht="13.5" thickBot="1">
      <c r="B414" s="36"/>
      <c r="C414" s="51"/>
      <c r="D414" s="69">
        <v>40</v>
      </c>
      <c r="E414" s="137"/>
      <c r="F414" s="137">
        <v>32.862299999999998</v>
      </c>
      <c r="G414" s="137">
        <v>42.429699999999997</v>
      </c>
      <c r="H414" s="137">
        <v>41.293100000000003</v>
      </c>
      <c r="I414" s="137"/>
      <c r="J414" s="137"/>
      <c r="K414" s="138"/>
      <c r="L414" s="29"/>
      <c r="M414" s="151"/>
      <c r="N414" s="151">
        <v>32.862099999999998</v>
      </c>
      <c r="O414" s="151">
        <v>42.441400000000002</v>
      </c>
      <c r="P414" s="151">
        <v>41.287700000000001</v>
      </c>
      <c r="Q414" s="151"/>
      <c r="R414" s="151"/>
      <c r="S414" s="152"/>
      <c r="U414" s="41"/>
      <c r="V414" s="42"/>
      <c r="W414" s="43"/>
      <c r="X414" s="29"/>
      <c r="Y414" s="24"/>
      <c r="Z414" s="24"/>
      <c r="AA414" s="27"/>
      <c r="AB414" s="114"/>
      <c r="AC414" s="114"/>
      <c r="AD414" s="114"/>
      <c r="AE414" s="114"/>
      <c r="AF414" s="114"/>
      <c r="AG414" s="114"/>
      <c r="AH414" s="114"/>
    </row>
    <row r="415" spans="2:34" ht="12.75">
      <c r="B415" s="36"/>
      <c r="C415" s="29" t="s">
        <v>12</v>
      </c>
      <c r="D415" s="32">
        <v>25</v>
      </c>
      <c r="E415" s="134">
        <v>6065.7808000000005</v>
      </c>
      <c r="F415" s="134"/>
      <c r="G415" s="134"/>
      <c r="H415" s="134"/>
      <c r="I415" s="134">
        <v>59759.53</v>
      </c>
      <c r="J415" s="134">
        <v>123.48</v>
      </c>
      <c r="K415" s="135">
        <v>890.25</v>
      </c>
      <c r="L415" s="29"/>
      <c r="M415" s="148">
        <v>6061.9744000000001</v>
      </c>
      <c r="N415" s="148"/>
      <c r="O415" s="148"/>
      <c r="P415" s="148"/>
      <c r="Q415" s="148">
        <v>60257.48</v>
      </c>
      <c r="R415" s="148">
        <v>123.28</v>
      </c>
      <c r="S415" s="149">
        <v>882.73</v>
      </c>
      <c r="U415" s="8"/>
      <c r="V415" s="9"/>
      <c r="W415" s="10"/>
      <c r="X415" s="29"/>
      <c r="Y415" s="59">
        <f>GEOMEAN(Q415:Q418)/GEOMEAN(I415:I418)</f>
        <v>1.0009520792273616</v>
      </c>
      <c r="Z415" s="59">
        <f>GEOMEAN(R415:R418)/GEOMEAN(J415:J418)</f>
        <v>1.0348649309906879</v>
      </c>
      <c r="AA415" s="55">
        <f>GEOMEAN(S415:S418)/GEOMEAN(K415:K418)</f>
        <v>0.9989483479395227</v>
      </c>
      <c r="AB415" s="114"/>
      <c r="AC415" s="114"/>
      <c r="AD415" s="114"/>
      <c r="AE415" s="114"/>
      <c r="AF415" s="114"/>
      <c r="AG415" s="114"/>
      <c r="AH415" s="114"/>
    </row>
    <row r="416" spans="2:34" ht="12.75">
      <c r="B416" s="36"/>
      <c r="C416" s="29"/>
      <c r="D416" s="32">
        <v>30</v>
      </c>
      <c r="E416" s="134">
        <v>2803.8</v>
      </c>
      <c r="F416" s="134"/>
      <c r="G416" s="134"/>
      <c r="H416" s="134"/>
      <c r="I416" s="134">
        <v>45347.56</v>
      </c>
      <c r="J416" s="134">
        <v>139.63</v>
      </c>
      <c r="K416" s="135">
        <v>925.73</v>
      </c>
      <c r="L416" s="29"/>
      <c r="M416" s="148">
        <v>2801.5767999999998</v>
      </c>
      <c r="N416" s="148"/>
      <c r="O416" s="148"/>
      <c r="P416" s="148"/>
      <c r="Q416" s="148">
        <v>45436.1</v>
      </c>
      <c r="R416" s="148">
        <v>131.34</v>
      </c>
      <c r="S416" s="149">
        <v>910.01</v>
      </c>
      <c r="U416" s="41"/>
      <c r="V416" s="42"/>
      <c r="W416" s="43"/>
      <c r="X416" s="29"/>
      <c r="Y416" s="24"/>
      <c r="Z416" s="24"/>
      <c r="AA416" s="27"/>
      <c r="AB416" s="114"/>
      <c r="AC416" s="114"/>
      <c r="AD416" s="114"/>
      <c r="AE416" s="114"/>
      <c r="AF416" s="114"/>
      <c r="AG416" s="114"/>
      <c r="AH416" s="114"/>
    </row>
    <row r="417" spans="1:34" ht="12.75">
      <c r="B417" s="36"/>
      <c r="C417" s="29"/>
      <c r="D417" s="32">
        <v>35</v>
      </c>
      <c r="E417" s="134">
        <v>1345.0904</v>
      </c>
      <c r="F417" s="134"/>
      <c r="G417" s="134"/>
      <c r="H417" s="134"/>
      <c r="I417" s="134">
        <v>37035.42</v>
      </c>
      <c r="J417" s="134">
        <v>112.72</v>
      </c>
      <c r="K417" s="135">
        <v>921.23</v>
      </c>
      <c r="L417" s="29"/>
      <c r="M417" s="148">
        <v>1344.0856000000001</v>
      </c>
      <c r="N417" s="148"/>
      <c r="O417" s="148"/>
      <c r="P417" s="148"/>
      <c r="Q417" s="148">
        <v>37146.01</v>
      </c>
      <c r="R417" s="148">
        <v>129.82</v>
      </c>
      <c r="S417" s="149">
        <v>921.93</v>
      </c>
      <c r="U417" s="17"/>
      <c r="V417" s="18"/>
      <c r="W417" s="19"/>
      <c r="X417" s="29"/>
      <c r="Y417" s="24"/>
      <c r="Z417" s="24"/>
      <c r="AA417" s="27"/>
      <c r="AB417" s="114"/>
      <c r="AC417" s="114"/>
      <c r="AD417" s="114"/>
      <c r="AE417" s="114"/>
      <c r="AF417" s="114"/>
      <c r="AG417" s="114"/>
      <c r="AH417" s="114"/>
    </row>
    <row r="418" spans="1:34" ht="13.5" thickBot="1">
      <c r="A418" s="52"/>
      <c r="B418" s="50"/>
      <c r="C418" s="51"/>
      <c r="D418" s="69">
        <v>40</v>
      </c>
      <c r="E418" s="137">
        <v>645.20399999999995</v>
      </c>
      <c r="F418" s="137"/>
      <c r="G418" s="137"/>
      <c r="H418" s="137"/>
      <c r="I418" s="137">
        <v>31638.31</v>
      </c>
      <c r="J418" s="137">
        <v>113.53</v>
      </c>
      <c r="K418" s="138">
        <v>924.43</v>
      </c>
      <c r="L418" s="29"/>
      <c r="M418" s="151">
        <v>644.86879999999996</v>
      </c>
      <c r="N418" s="151"/>
      <c r="O418" s="151"/>
      <c r="P418" s="151"/>
      <c r="Q418" s="151">
        <v>31341.56</v>
      </c>
      <c r="R418" s="151">
        <v>120.39</v>
      </c>
      <c r="S418" s="152">
        <v>943.71</v>
      </c>
      <c r="U418" s="82"/>
      <c r="V418" s="83"/>
      <c r="W418" s="84"/>
      <c r="X418" s="29"/>
      <c r="Y418" s="47"/>
      <c r="Z418" s="47"/>
      <c r="AA418" s="52"/>
      <c r="AB418" s="114"/>
      <c r="AC418" s="114"/>
      <c r="AD418" s="114"/>
      <c r="AE418" s="114"/>
      <c r="AF418" s="114"/>
      <c r="AG418" s="114"/>
      <c r="AH418" s="114"/>
    </row>
    <row r="419" spans="1:34" ht="12.75" thickBot="1">
      <c r="AB419" s="24"/>
      <c r="AC419" s="24"/>
    </row>
    <row r="420" spans="1:34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18172.480325678902</v>
      </c>
      <c r="J420" s="37">
        <f>GEOMEAN(J51:J54,J103:J106,J155:J158)</f>
        <v>46.46086018556182</v>
      </c>
      <c r="K420" s="39">
        <f>GEOMEAN(K51:K54,K103:K106,K155:K158)</f>
        <v>335.39553132301245</v>
      </c>
      <c r="M420" s="35"/>
      <c r="N420" s="22"/>
      <c r="O420" s="22"/>
      <c r="P420" s="22"/>
      <c r="Q420" s="37">
        <f>GEOMEAN(Q51:Q54,Q103:Q106,Q155:Q158)</f>
        <v>18231.582449483569</v>
      </c>
      <c r="R420" s="37">
        <f>GEOMEAN(R51:R54,R103:R106,R155:R158)</f>
        <v>45.496534929281886</v>
      </c>
      <c r="S420" s="39">
        <f>GEOMEAN(S51:S54,S103:S106,S155:S158)</f>
        <v>334.52735185335268</v>
      </c>
      <c r="AB420" s="24"/>
      <c r="AC420" s="24"/>
    </row>
    <row r="421" spans="1:34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29576.380417192908</v>
      </c>
      <c r="J421" s="38">
        <f>GEOMEAN(J207:J210,J259:J262,J311:J314,J363:J366)</f>
        <v>92.535610541159755</v>
      </c>
      <c r="K421" s="40">
        <f>GEOMEAN(K207:K210,K259:K262,K311:K314,K363:K366)</f>
        <v>724.65087696260491</v>
      </c>
      <c r="M421" s="36"/>
      <c r="N421" s="24"/>
      <c r="O421" s="24"/>
      <c r="P421" s="24"/>
      <c r="Q421" s="38">
        <f>GEOMEAN(Q207:Q210,Q259:Q262,Q311:Q314,Q363:Q366)</f>
        <v>29639.494631280624</v>
      </c>
      <c r="R421" s="38">
        <f>GEOMEAN(R207:R210,R259:R262,R311:R314,R363:R366)</f>
        <v>95.571619615844853</v>
      </c>
      <c r="S421" s="40">
        <f>GEOMEAN(S207:S210,S259:S262,S311:S314,S363:S366)</f>
        <v>726.28776418363327</v>
      </c>
      <c r="AB421" s="24"/>
      <c r="AC421" s="24"/>
    </row>
    <row r="422" spans="1:34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24004.29522687698</v>
      </c>
      <c r="J422" s="70">
        <f>GEOMEAN(J51:J54,J103:J106,J155:J158,J207:J210,J259:J262,J311:J314,J363:J366)</f>
        <v>68.876496078153522</v>
      </c>
      <c r="K422" s="71">
        <f>GEOMEAN(K51:K54,K103:K106,K155:K158,K207:K210,K259:K262,K311:K314,K363:K366)</f>
        <v>520.88399699144554</v>
      </c>
      <c r="M422" s="50"/>
      <c r="N422" s="47"/>
      <c r="O422" s="47"/>
      <c r="P422" s="47"/>
      <c r="Q422" s="70">
        <f>GEOMEAN(Q51:Q54,Q103:Q106,Q155:Q158,Q207:Q210,Q259:Q262,Q311:Q314,Q363:Q366)</f>
        <v>24067.02034077944</v>
      </c>
      <c r="R422" s="70">
        <f>GEOMEAN(R51:R54,R103:R106,R155:R158,R207:R210,R259:R262,R311:R314,R363:R366)</f>
        <v>69.531032472111505</v>
      </c>
      <c r="S422" s="71">
        <f>GEOMEAN(S51:S54,S103:S106,S155:S158,S207:S210,S259:S262,S311:S314,S363:S366)</f>
        <v>520.97699220017921</v>
      </c>
      <c r="AB422" s="24"/>
      <c r="AC422" s="24"/>
    </row>
    <row r="423" spans="1:34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1.0032522871256684</v>
      </c>
      <c r="R423" s="45">
        <f t="shared" si="0"/>
        <v>0.97924435207552163</v>
      </c>
      <c r="S423" s="46">
        <f t="shared" si="0"/>
        <v>0.99741147573959876</v>
      </c>
      <c r="AB423" s="24"/>
      <c r="AC423" s="24"/>
    </row>
    <row r="424" spans="1:34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1.0021339397585998</v>
      </c>
      <c r="R424" s="45">
        <f t="shared" si="0"/>
        <v>1.0328090889218771</v>
      </c>
      <c r="S424" s="46">
        <f t="shared" si="0"/>
        <v>1.0022588632306491</v>
      </c>
      <c r="AB424" s="24"/>
      <c r="AC424" s="24"/>
    </row>
    <row r="425" spans="1:34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1.0026130787556815</v>
      </c>
      <c r="R425" s="48">
        <f t="shared" si="0"/>
        <v>1.0095030443072377</v>
      </c>
      <c r="S425" s="49">
        <f t="shared" si="0"/>
        <v>1.0001785334340674</v>
      </c>
      <c r="AB425" s="24"/>
      <c r="AC425" s="24"/>
    </row>
    <row r="426" spans="1:34">
      <c r="AB426" s="24"/>
      <c r="AC426" s="24"/>
    </row>
    <row r="427" spans="1:34" ht="12.75" thickBot="1">
      <c r="A427" s="86" t="s">
        <v>38</v>
      </c>
      <c r="AB427" s="24"/>
      <c r="AC427" s="24"/>
    </row>
    <row r="428" spans="1:34" ht="12.75" thickBot="1">
      <c r="A428" s="7"/>
      <c r="B428" s="85"/>
      <c r="C428" s="7"/>
      <c r="D428" s="28"/>
      <c r="E428" s="141" t="s">
        <v>2</v>
      </c>
      <c r="F428" s="141"/>
      <c r="G428" s="141"/>
      <c r="H428" s="141"/>
      <c r="I428" s="141"/>
      <c r="J428" s="141"/>
      <c r="K428" s="142"/>
      <c r="L428" s="11"/>
      <c r="M428" s="143" t="s">
        <v>3</v>
      </c>
      <c r="N428" s="141"/>
      <c r="O428" s="141"/>
      <c r="P428" s="141"/>
      <c r="Q428" s="141"/>
      <c r="R428" s="141"/>
      <c r="S428" s="142"/>
      <c r="T428" s="34"/>
      <c r="U428" s="143" t="s">
        <v>10</v>
      </c>
      <c r="V428" s="141"/>
      <c r="W428" s="142"/>
      <c r="Y428" s="24"/>
      <c r="Z428" s="24"/>
      <c r="AA428" s="24"/>
      <c r="AB428" s="24"/>
      <c r="AC428" s="24"/>
    </row>
    <row r="429" spans="1:34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4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1148.8800000000001</v>
      </c>
      <c r="F430" s="75">
        <f t="shared" ref="F430:H433" si="1">AVERAGE(F3,F7)</f>
        <v>42.662350000000004</v>
      </c>
      <c r="G430" s="75">
        <f t="shared" si="1"/>
        <v>43.254300000000001</v>
      </c>
      <c r="H430" s="75">
        <f t="shared" si="1"/>
        <v>43.550449999999998</v>
      </c>
      <c r="I430" s="76"/>
      <c r="J430" s="76"/>
      <c r="K430" s="77"/>
      <c r="L430" s="29"/>
      <c r="M430" s="79">
        <f>M3+M7</f>
        <v>1148.7952</v>
      </c>
      <c r="N430" s="75">
        <f t="shared" ref="N430:P433" si="2">AVERAGE(N3,N7)</f>
        <v>42.660600000000002</v>
      </c>
      <c r="O430" s="75">
        <f t="shared" si="2"/>
        <v>43.255499999999998</v>
      </c>
      <c r="P430" s="75">
        <f t="shared" si="2"/>
        <v>43.549750000000003</v>
      </c>
      <c r="Q430" s="76"/>
      <c r="R430" s="76"/>
      <c r="S430" s="77"/>
      <c r="U430" s="8">
        <f>bdrate($E430:$E433,F430:F433,$M430:$M433,N430:N433)</f>
        <v>-1.694250562157551E-4</v>
      </c>
      <c r="V430" s="9">
        <f>bdrate($E430:$E433,G430:G433,$M430:$M433,O430:O433)</f>
        <v>3.6697365509108515E-4</v>
      </c>
      <c r="W430" s="10">
        <f>bdrate($E430:$E433,H430:H433,$M430:$M433,P430:P433)</f>
        <v>2.2010071502265305E-4</v>
      </c>
      <c r="Y430" s="24"/>
      <c r="Z430" s="24"/>
      <c r="AA430" s="24"/>
      <c r="AB430" s="24"/>
      <c r="AC430" s="24"/>
    </row>
    <row r="431" spans="1:34">
      <c r="A431" s="24"/>
      <c r="B431" s="29"/>
      <c r="C431" s="29"/>
      <c r="D431" s="32">
        <v>30</v>
      </c>
      <c r="E431" s="68">
        <f>E4+E8</f>
        <v>604.99440000000004</v>
      </c>
      <c r="F431" s="68">
        <f t="shared" si="1"/>
        <v>40.480649999999997</v>
      </c>
      <c r="G431" s="68">
        <f t="shared" si="1"/>
        <v>41.980900000000005</v>
      </c>
      <c r="H431" s="68">
        <f t="shared" si="1"/>
        <v>41.932599999999994</v>
      </c>
      <c r="I431" s="64"/>
      <c r="J431" s="64"/>
      <c r="K431" s="65"/>
      <c r="L431" s="29"/>
      <c r="M431" s="80">
        <f>M4+M8</f>
        <v>605.20960000000002</v>
      </c>
      <c r="N431" s="68">
        <f t="shared" si="2"/>
        <v>40.481899999999996</v>
      </c>
      <c r="O431" s="68">
        <f t="shared" si="2"/>
        <v>41.978400000000001</v>
      </c>
      <c r="P431" s="68">
        <f t="shared" si="2"/>
        <v>41.931049999999999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34">
      <c r="A432" s="24"/>
      <c r="B432" s="29"/>
      <c r="C432" s="29"/>
      <c r="D432" s="32">
        <v>35</v>
      </c>
      <c r="E432" s="68">
        <f>E5+E9</f>
        <v>342.10799999999995</v>
      </c>
      <c r="F432" s="68">
        <f t="shared" si="1"/>
        <v>37.888800000000003</v>
      </c>
      <c r="G432" s="68">
        <f t="shared" si="1"/>
        <v>40.60275</v>
      </c>
      <c r="H432" s="68">
        <f t="shared" si="1"/>
        <v>40.28425</v>
      </c>
      <c r="I432" s="64"/>
      <c r="J432" s="64"/>
      <c r="K432" s="65"/>
      <c r="L432" s="29"/>
      <c r="M432" s="80">
        <f>M5+M9</f>
        <v>341.73759999999999</v>
      </c>
      <c r="N432" s="68">
        <f t="shared" si="2"/>
        <v>37.887450000000001</v>
      </c>
      <c r="O432" s="68">
        <f t="shared" si="2"/>
        <v>40.601799999999997</v>
      </c>
      <c r="P432" s="68">
        <f t="shared" si="2"/>
        <v>40.280950000000004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201.77119999999999</v>
      </c>
      <c r="F433" s="78">
        <f t="shared" si="1"/>
        <v>35.1145</v>
      </c>
      <c r="G433" s="78">
        <f t="shared" si="1"/>
        <v>39.503900000000002</v>
      </c>
      <c r="H433" s="78">
        <f t="shared" si="1"/>
        <v>39.002099999999999</v>
      </c>
      <c r="I433" s="66"/>
      <c r="J433" s="66"/>
      <c r="K433" s="67"/>
      <c r="L433" s="29"/>
      <c r="M433" s="81">
        <f>M6+M10</f>
        <v>201.83279999999999</v>
      </c>
      <c r="N433" s="78">
        <f t="shared" si="2"/>
        <v>35.11215</v>
      </c>
      <c r="O433" s="78">
        <f t="shared" si="2"/>
        <v>39.502549999999999</v>
      </c>
      <c r="P433" s="78">
        <f t="shared" si="2"/>
        <v>39.008299999999998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1449.0936000000002</v>
      </c>
      <c r="F434" s="75">
        <f t="shared" ref="F434:H437" si="3">AVERAGE(F3,F7,F11)</f>
        <v>42.409233333333333</v>
      </c>
      <c r="G434" s="75">
        <f t="shared" si="3"/>
        <v>43.017566666666674</v>
      </c>
      <c r="H434" s="75">
        <f t="shared" si="3"/>
        <v>43.322166666666668</v>
      </c>
      <c r="I434" s="76"/>
      <c r="J434" s="76"/>
      <c r="K434" s="77"/>
      <c r="L434" s="29"/>
      <c r="M434" s="75">
        <f>M3+M7+M11</f>
        <v>1448.7583999999999</v>
      </c>
      <c r="N434" s="75">
        <f t="shared" ref="N434:P437" si="4">AVERAGE(N3,N7,N11)</f>
        <v>42.407433333333337</v>
      </c>
      <c r="O434" s="75">
        <f t="shared" si="4"/>
        <v>43.018866666666668</v>
      </c>
      <c r="P434" s="75">
        <f t="shared" si="4"/>
        <v>43.320600000000006</v>
      </c>
      <c r="Q434" s="76"/>
      <c r="R434" s="76"/>
      <c r="S434" s="77"/>
      <c r="U434" s="8">
        <f>bdrate($E434:$E437,F434:F437,$M434:$M437,N434:N437)</f>
        <v>-5.842297364377913E-5</v>
      </c>
      <c r="V434" s="9">
        <f>bdrate($E434:$E437,G434:G437,$M434:$M437,O434:O437)</f>
        <v>-6.7106328810961902E-4</v>
      </c>
      <c r="W434" s="10">
        <f>bdrate($E434:$E437,H434:H437,$M434:$M437,P434:P437)</f>
        <v>8.2189071406135739E-4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740.90240000000006</v>
      </c>
      <c r="F435" s="68">
        <f t="shared" si="3"/>
        <v>40.209266666666664</v>
      </c>
      <c r="G435" s="68">
        <f t="shared" si="3"/>
        <v>41.726366666666671</v>
      </c>
      <c r="H435" s="68">
        <f t="shared" si="3"/>
        <v>41.72476666666666</v>
      </c>
      <c r="I435" s="64"/>
      <c r="J435" s="64"/>
      <c r="K435" s="65"/>
      <c r="L435" s="29"/>
      <c r="M435" s="68">
        <f>M4+M8+M12</f>
        <v>741.35599999999999</v>
      </c>
      <c r="N435" s="68">
        <f t="shared" si="4"/>
        <v>40.211533333333328</v>
      </c>
      <c r="O435" s="68">
        <f t="shared" si="4"/>
        <v>41.727733333333333</v>
      </c>
      <c r="P435" s="68">
        <f t="shared" si="4"/>
        <v>41.722466666666669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413.17679999999996</v>
      </c>
      <c r="F436" s="68">
        <f t="shared" si="3"/>
        <v>37.629933333333334</v>
      </c>
      <c r="G436" s="68">
        <f t="shared" si="3"/>
        <v>40.423000000000002</v>
      </c>
      <c r="H436" s="68">
        <f t="shared" si="3"/>
        <v>40.143766666666664</v>
      </c>
      <c r="I436" s="64"/>
      <c r="J436" s="64"/>
      <c r="K436" s="65"/>
      <c r="L436" s="29"/>
      <c r="M436" s="68">
        <f>M5+M9+M13</f>
        <v>413.0376</v>
      </c>
      <c r="N436" s="68">
        <f t="shared" si="4"/>
        <v>37.629600000000003</v>
      </c>
      <c r="O436" s="68">
        <f t="shared" si="4"/>
        <v>40.4255</v>
      </c>
      <c r="P436" s="68">
        <f t="shared" si="4"/>
        <v>40.139800000000001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239.5968</v>
      </c>
      <c r="F437" s="78">
        <f t="shared" si="3"/>
        <v>34.879333333333335</v>
      </c>
      <c r="G437" s="78">
        <f t="shared" si="3"/>
        <v>39.335433333333334</v>
      </c>
      <c r="H437" s="78">
        <f t="shared" si="3"/>
        <v>38.867566666666669</v>
      </c>
      <c r="I437" s="66"/>
      <c r="J437" s="66"/>
      <c r="K437" s="67"/>
      <c r="L437" s="29"/>
      <c r="M437" s="78">
        <f>M6+M10+M14</f>
        <v>239.44559999999998</v>
      </c>
      <c r="N437" s="78">
        <f t="shared" si="4"/>
        <v>34.875733333333336</v>
      </c>
      <c r="O437" s="78">
        <f t="shared" si="4"/>
        <v>39.334133333333334</v>
      </c>
      <c r="P437" s="78">
        <f t="shared" si="4"/>
        <v>38.872399999999999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1351.6048000000001</v>
      </c>
      <c r="F438" s="75">
        <f t="shared" ref="F438:H441" si="5">AVERAGE(F27,F31,F35)</f>
        <v>42.769433333333332</v>
      </c>
      <c r="G438" s="75">
        <f t="shared" si="5"/>
        <v>45.639266666666664</v>
      </c>
      <c r="H438" s="75">
        <f t="shared" si="5"/>
        <v>45.513366666666663</v>
      </c>
      <c r="I438" s="76"/>
      <c r="J438" s="76"/>
      <c r="K438" s="77"/>
      <c r="L438" s="29"/>
      <c r="M438" s="79">
        <f>M3+M7+M15+M19</f>
        <v>1351.7368000000001</v>
      </c>
      <c r="N438" s="75">
        <f t="shared" ref="N438:P441" si="6">AVERAGE(N27,N31,N35)</f>
        <v>42.771566666666672</v>
      </c>
      <c r="O438" s="75">
        <f t="shared" si="6"/>
        <v>45.641333333333336</v>
      </c>
      <c r="P438" s="75">
        <f t="shared" si="6"/>
        <v>45.509033333333328</v>
      </c>
      <c r="Q438" s="76"/>
      <c r="R438" s="76"/>
      <c r="S438" s="77"/>
      <c r="U438" s="8">
        <f>bdrate($E438:$E441,F438:F441,$M438:$M441,N438:N441)</f>
        <v>-5.6286760350865439E-4</v>
      </c>
      <c r="V438" s="9">
        <f>bdrate($E438:$E441,G438:G441,$M438:$M441,O438:O441)</f>
        <v>1.7531058508835073E-4</v>
      </c>
      <c r="W438" s="10">
        <f>bdrate($E438:$E441,H438:H441,$M438:$M441,P438:P441)</f>
        <v>3.1681253570359225E-4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671.96400000000006</v>
      </c>
      <c r="F439" s="68">
        <f t="shared" si="5"/>
        <v>40.552</v>
      </c>
      <c r="G439" s="68">
        <f t="shared" si="5"/>
        <v>43.972666666666669</v>
      </c>
      <c r="H439" s="68">
        <f t="shared" si="5"/>
        <v>43.513200000000005</v>
      </c>
      <c r="I439" s="64"/>
      <c r="J439" s="64"/>
      <c r="K439" s="65"/>
      <c r="L439" s="29"/>
      <c r="M439" s="80">
        <f>M4+M8+M16+M20</f>
        <v>672.32320000000004</v>
      </c>
      <c r="N439" s="68">
        <f t="shared" si="6"/>
        <v>40.552833333333332</v>
      </c>
      <c r="O439" s="68">
        <f t="shared" si="6"/>
        <v>43.968499999999999</v>
      </c>
      <c r="P439" s="68">
        <f t="shared" si="6"/>
        <v>43.510266666666666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371.19279999999992</v>
      </c>
      <c r="F440" s="68">
        <f t="shared" si="5"/>
        <v>38.000300000000003</v>
      </c>
      <c r="G440" s="68">
        <f t="shared" si="5"/>
        <v>42.177366666666664</v>
      </c>
      <c r="H440" s="68">
        <f t="shared" si="5"/>
        <v>41.520200000000003</v>
      </c>
      <c r="I440" s="64"/>
      <c r="J440" s="64"/>
      <c r="K440" s="65"/>
      <c r="L440" s="29"/>
      <c r="M440" s="80">
        <f>M5+M9+M17+M21</f>
        <v>370.79759999999999</v>
      </c>
      <c r="N440" s="68">
        <f t="shared" si="6"/>
        <v>38.003799999999998</v>
      </c>
      <c r="O440" s="68">
        <f t="shared" si="6"/>
        <v>42.180133333333337</v>
      </c>
      <c r="P440" s="68">
        <f t="shared" si="6"/>
        <v>41.519433333333332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216.18239999999997</v>
      </c>
      <c r="F441" s="78">
        <f t="shared" si="5"/>
        <v>35.258666666666663</v>
      </c>
      <c r="G441" s="78">
        <f t="shared" si="5"/>
        <v>40.819400000000002</v>
      </c>
      <c r="H441" s="78">
        <f t="shared" si="5"/>
        <v>40.006633333333333</v>
      </c>
      <c r="I441" s="66"/>
      <c r="J441" s="66"/>
      <c r="K441" s="67"/>
      <c r="L441" s="29"/>
      <c r="M441" s="81">
        <f>M6+M10+M18+M22</f>
        <v>216.12479999999999</v>
      </c>
      <c r="N441" s="78">
        <f t="shared" si="6"/>
        <v>35.251300000000001</v>
      </c>
      <c r="O441" s="78">
        <f t="shared" si="6"/>
        <v>40.814766666666664</v>
      </c>
      <c r="P441" s="78">
        <f t="shared" si="6"/>
        <v>40.012799999999999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1753.7272</v>
      </c>
      <c r="F442" s="75">
        <f t="shared" ref="F442:H445" si="7">AVERAGE(F27,F31,F35,F39,F43,F47)</f>
        <v>42.689566666666671</v>
      </c>
      <c r="G442" s="75">
        <f t="shared" si="7"/>
        <v>45.587766666666674</v>
      </c>
      <c r="H442" s="75">
        <f t="shared" si="7"/>
        <v>45.455800000000004</v>
      </c>
      <c r="I442" s="76"/>
      <c r="J442" s="76"/>
      <c r="K442" s="77"/>
      <c r="L442" s="29"/>
      <c r="M442" s="75">
        <f>M51</f>
        <v>1753.6056000000001</v>
      </c>
      <c r="N442" s="75">
        <f t="shared" ref="N442:P445" si="8">AVERAGE(N27,N31,N35,N39,N43,N47)</f>
        <v>42.68801666666667</v>
      </c>
      <c r="O442" s="75">
        <f t="shared" si="8"/>
        <v>45.592150000000004</v>
      </c>
      <c r="P442" s="75">
        <f t="shared" si="8"/>
        <v>45.451433333333334</v>
      </c>
      <c r="Q442" s="76"/>
      <c r="R442" s="76"/>
      <c r="S442" s="77"/>
      <c r="U442" s="8">
        <f>bdrate($E442:$E445,F442:F445,$M442:$M445,N442:N445)</f>
        <v>-1.2639671163394706E-4</v>
      </c>
      <c r="V442" s="9">
        <f>bdrate($E442:$E445,G442:G445,$M442:$M445,O442:O445)</f>
        <v>-5.4864981150659631E-4</v>
      </c>
      <c r="W442" s="10">
        <f>bdrate($E442:$E445,H442:H445,$M442:$M445,P442:P445)</f>
        <v>1.8194821603749745E-3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844.74400000000003</v>
      </c>
      <c r="F443" s="68">
        <f t="shared" si="7"/>
        <v>40.487150000000007</v>
      </c>
      <c r="G443" s="68">
        <f t="shared" si="7"/>
        <v>43.906000000000006</v>
      </c>
      <c r="H443" s="68">
        <f t="shared" si="7"/>
        <v>43.459533333333333</v>
      </c>
      <c r="I443" s="64"/>
      <c r="J443" s="64"/>
      <c r="K443" s="65"/>
      <c r="L443" s="29"/>
      <c r="M443" s="68">
        <f>M52</f>
        <v>845.38</v>
      </c>
      <c r="N443" s="68">
        <f t="shared" si="8"/>
        <v>40.48778333333334</v>
      </c>
      <c r="O443" s="68">
        <f t="shared" si="8"/>
        <v>43.909983333333336</v>
      </c>
      <c r="P443" s="68">
        <f t="shared" si="8"/>
        <v>43.452916666666674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461.44560000000001</v>
      </c>
      <c r="F444" s="68">
        <f t="shared" si="7"/>
        <v>37.950499999999998</v>
      </c>
      <c r="G444" s="68">
        <f t="shared" si="7"/>
        <v>42.146183333333333</v>
      </c>
      <c r="H444" s="68">
        <f t="shared" si="7"/>
        <v>41.473599999999998</v>
      </c>
      <c r="I444" s="64"/>
      <c r="J444" s="64"/>
      <c r="K444" s="65"/>
      <c r="L444" s="29"/>
      <c r="M444" s="68">
        <f>M53</f>
        <v>461.32639999999998</v>
      </c>
      <c r="N444" s="68">
        <f t="shared" si="8"/>
        <v>37.953383333333335</v>
      </c>
      <c r="O444" s="68">
        <f t="shared" si="8"/>
        <v>42.145516666666666</v>
      </c>
      <c r="P444" s="68">
        <f t="shared" si="8"/>
        <v>41.467633333333332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266.03440000000001</v>
      </c>
      <c r="F445" s="78">
        <f t="shared" si="7"/>
        <v>35.199483333333326</v>
      </c>
      <c r="G445" s="78">
        <f t="shared" si="7"/>
        <v>40.7898</v>
      </c>
      <c r="H445" s="78">
        <f t="shared" si="7"/>
        <v>39.950700000000005</v>
      </c>
      <c r="I445" s="66"/>
      <c r="J445" s="66"/>
      <c r="K445" s="67"/>
      <c r="L445" s="29"/>
      <c r="M445" s="78">
        <f>M54</f>
        <v>265.80560000000003</v>
      </c>
      <c r="N445" s="78">
        <f t="shared" si="8"/>
        <v>35.195300000000003</v>
      </c>
      <c r="O445" s="78">
        <f t="shared" si="8"/>
        <v>40.786666666666669</v>
      </c>
      <c r="P445" s="78">
        <f t="shared" si="8"/>
        <v>39.954333333333331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1351.6048000000001</v>
      </c>
      <c r="F446" s="75">
        <f t="shared" ref="F446:H449" si="10">AVERAGE(F3,F7,F27,F31,F35)</f>
        <v>42.726600000000005</v>
      </c>
      <c r="G446" s="75">
        <f t="shared" si="10"/>
        <v>44.685279999999999</v>
      </c>
      <c r="H446" s="75">
        <f t="shared" si="10"/>
        <v>44.728200000000001</v>
      </c>
      <c r="I446" s="76"/>
      <c r="J446" s="76"/>
      <c r="K446" s="77"/>
      <c r="L446" s="29"/>
      <c r="M446" s="75">
        <f t="shared" ref="M446:M453" si="11">M438</f>
        <v>1351.7368000000001</v>
      </c>
      <c r="N446" s="75">
        <f t="shared" ref="N446:P449" si="12">AVERAGE(N3,N7,N27,N31,N35)</f>
        <v>42.727179999999997</v>
      </c>
      <c r="O446" s="75">
        <f t="shared" si="12"/>
        <v>44.686999999999998</v>
      </c>
      <c r="P446" s="75">
        <f t="shared" si="12"/>
        <v>44.725319999999996</v>
      </c>
      <c r="Q446" s="76"/>
      <c r="R446" s="76"/>
      <c r="S446" s="77"/>
      <c r="U446" s="8">
        <f>bdrate($E446:$E449,F446:F449,$M446:$M449,N446:N449)</f>
        <v>-4.0099167316320905E-4</v>
      </c>
      <c r="V446" s="9">
        <f>bdrate($E446:$E449,G446:G449,$M446:$M449,O446:O449)</f>
        <v>2.6246403458496381E-4</v>
      </c>
      <c r="W446" s="10">
        <f>bdrate($E446:$E449,H446:H449,$M446:$M449,P446:P449)</f>
        <v>3.0870413860473178E-4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671.96400000000006</v>
      </c>
      <c r="F447" s="68">
        <f t="shared" si="10"/>
        <v>40.52346</v>
      </c>
      <c r="G447" s="68">
        <f t="shared" si="10"/>
        <v>43.175960000000011</v>
      </c>
      <c r="H447" s="68">
        <f t="shared" si="10"/>
        <v>42.880960000000002</v>
      </c>
      <c r="I447" s="64"/>
      <c r="J447" s="64"/>
      <c r="K447" s="65"/>
      <c r="L447" s="29"/>
      <c r="M447" s="68">
        <f t="shared" si="11"/>
        <v>672.32320000000004</v>
      </c>
      <c r="N447" s="68">
        <f t="shared" si="12"/>
        <v>40.524459999999998</v>
      </c>
      <c r="O447" s="68">
        <f t="shared" si="12"/>
        <v>43.172460000000001</v>
      </c>
      <c r="P447" s="68">
        <f t="shared" si="12"/>
        <v>42.878579999999999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371.19279999999992</v>
      </c>
      <c r="F448" s="68">
        <f t="shared" si="10"/>
        <v>37.9557</v>
      </c>
      <c r="G448" s="68">
        <f t="shared" si="10"/>
        <v>41.547519999999999</v>
      </c>
      <c r="H448" s="68">
        <f t="shared" si="10"/>
        <v>41.025820000000003</v>
      </c>
      <c r="I448" s="64"/>
      <c r="J448" s="64"/>
      <c r="K448" s="65"/>
      <c r="L448" s="29"/>
      <c r="M448" s="68">
        <f t="shared" si="11"/>
        <v>370.79759999999999</v>
      </c>
      <c r="N448" s="68">
        <f t="shared" si="12"/>
        <v>37.957259999999998</v>
      </c>
      <c r="O448" s="68">
        <f t="shared" si="12"/>
        <v>41.548800000000007</v>
      </c>
      <c r="P448" s="68">
        <f t="shared" si="12"/>
        <v>41.024039999999999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216.18239999999997</v>
      </c>
      <c r="F449" s="78">
        <f t="shared" si="10"/>
        <v>35.201000000000001</v>
      </c>
      <c r="G449" s="78">
        <f t="shared" si="10"/>
        <v>40.293199999999999</v>
      </c>
      <c r="H449" s="78">
        <f t="shared" si="10"/>
        <v>39.604820000000004</v>
      </c>
      <c r="I449" s="66"/>
      <c r="J449" s="66"/>
      <c r="K449" s="67"/>
      <c r="L449" s="29"/>
      <c r="M449" s="78">
        <f t="shared" si="11"/>
        <v>216.12479999999999</v>
      </c>
      <c r="N449" s="78">
        <f t="shared" si="12"/>
        <v>35.195639999999997</v>
      </c>
      <c r="O449" s="78">
        <f t="shared" si="12"/>
        <v>40.289879999999997</v>
      </c>
      <c r="P449" s="78">
        <f t="shared" si="12"/>
        <v>39.611000000000004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1753.7272</v>
      </c>
      <c r="F450" s="75">
        <f t="shared" ref="F450:H453" si="13">AVERAGE(F3,F7,F11,F27,F31,F35,F39,F43,F47)</f>
        <v>42.596122222222228</v>
      </c>
      <c r="G450" s="75">
        <f t="shared" si="13"/>
        <v>44.731033333333329</v>
      </c>
      <c r="H450" s="75">
        <f t="shared" si="13"/>
        <v>44.744588888888892</v>
      </c>
      <c r="I450" s="76"/>
      <c r="J450" s="76"/>
      <c r="K450" s="77"/>
      <c r="L450" s="29"/>
      <c r="M450" s="75">
        <f t="shared" si="11"/>
        <v>1753.6056000000001</v>
      </c>
      <c r="N450" s="75">
        <f t="shared" ref="N450:P453" si="14">AVERAGE(N3,N7,N11,N27,N31,N35,N39,N43,N47)</f>
        <v>42.59448888888889</v>
      </c>
      <c r="O450" s="75">
        <f t="shared" si="14"/>
        <v>44.734388888888894</v>
      </c>
      <c r="P450" s="75">
        <f t="shared" si="14"/>
        <v>44.741155555555558</v>
      </c>
      <c r="Q450" s="76"/>
      <c r="R450" s="76"/>
      <c r="S450" s="77"/>
      <c r="U450" s="8">
        <f>bdrate($E450:$E453,F450:F453,$M450:$M453,N450:N453)</f>
        <v>-8.3034527312286777E-5</v>
      </c>
      <c r="V450" s="9">
        <f>bdrate($E450:$E453,G450:G453,$M450:$M453,O450:O453)</f>
        <v>-5.695019759167641E-4</v>
      </c>
      <c r="W450" s="10">
        <f>bdrate($E450:$E453,H450:H453,$M450:$M453,P450:P453)</f>
        <v>1.568959890714261E-3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844.74400000000003</v>
      </c>
      <c r="F451" s="68">
        <f t="shared" si="13"/>
        <v>40.394522222222221</v>
      </c>
      <c r="G451" s="68">
        <f t="shared" si="13"/>
        <v>43.179455555555556</v>
      </c>
      <c r="H451" s="68">
        <f t="shared" si="13"/>
        <v>42.881277777777775</v>
      </c>
      <c r="I451" s="64"/>
      <c r="J451" s="64"/>
      <c r="K451" s="65"/>
      <c r="L451" s="29"/>
      <c r="M451" s="68">
        <f t="shared" si="11"/>
        <v>845.38</v>
      </c>
      <c r="N451" s="68">
        <f t="shared" si="14"/>
        <v>40.395700000000005</v>
      </c>
      <c r="O451" s="68">
        <f t="shared" si="14"/>
        <v>43.182566666666659</v>
      </c>
      <c r="P451" s="68">
        <f t="shared" si="14"/>
        <v>42.876099999999994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461.44560000000001</v>
      </c>
      <c r="F452" s="68">
        <f t="shared" si="13"/>
        <v>37.843644444444443</v>
      </c>
      <c r="G452" s="68">
        <f t="shared" si="13"/>
        <v>41.571788888888896</v>
      </c>
      <c r="H452" s="68">
        <f t="shared" si="13"/>
        <v>41.030322222222225</v>
      </c>
      <c r="I452" s="64"/>
      <c r="J452" s="64"/>
      <c r="K452" s="65"/>
      <c r="L452" s="29"/>
      <c r="M452" s="68">
        <f t="shared" si="11"/>
        <v>461.32639999999998</v>
      </c>
      <c r="N452" s="68">
        <f t="shared" si="14"/>
        <v>37.845455555555553</v>
      </c>
      <c r="O452" s="68">
        <f t="shared" si="14"/>
        <v>41.572177777777782</v>
      </c>
      <c r="P452" s="68">
        <f t="shared" si="14"/>
        <v>41.025022222222226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266.03440000000001</v>
      </c>
      <c r="F453" s="78">
        <f t="shared" si="13"/>
        <v>35.09276666666667</v>
      </c>
      <c r="G453" s="78">
        <f t="shared" si="13"/>
        <v>40.305011111111121</v>
      </c>
      <c r="H453" s="78">
        <f t="shared" si="13"/>
        <v>39.589655555555552</v>
      </c>
      <c r="I453" s="66"/>
      <c r="J453" s="66"/>
      <c r="K453" s="67"/>
      <c r="L453" s="29"/>
      <c r="M453" s="78">
        <f t="shared" si="11"/>
        <v>265.80560000000003</v>
      </c>
      <c r="N453" s="78">
        <f t="shared" si="14"/>
        <v>35.088777777777779</v>
      </c>
      <c r="O453" s="78">
        <f t="shared" si="14"/>
        <v>40.302488888888895</v>
      </c>
      <c r="P453" s="78">
        <f t="shared" si="14"/>
        <v>39.593688888888892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1120.9456</v>
      </c>
      <c r="F454" s="75">
        <f t="shared" ref="F454:H457" si="15">AVERAGE(F55,F59)</f>
        <v>43.148399999999995</v>
      </c>
      <c r="G454" s="75">
        <f t="shared" si="15"/>
        <v>44.853000000000002</v>
      </c>
      <c r="H454" s="75">
        <f t="shared" si="15"/>
        <v>44.54365</v>
      </c>
      <c r="I454" s="76"/>
      <c r="J454" s="76"/>
      <c r="K454" s="77"/>
      <c r="L454" s="29"/>
      <c r="M454" s="75">
        <f>M55+M59</f>
        <v>1120.5144</v>
      </c>
      <c r="N454" s="75">
        <f t="shared" ref="N454:P457" si="16">AVERAGE(N55,N59)</f>
        <v>43.147400000000005</v>
      </c>
      <c r="O454" s="75">
        <f t="shared" si="16"/>
        <v>44.851150000000004</v>
      </c>
      <c r="P454" s="75">
        <f t="shared" si="16"/>
        <v>44.54345</v>
      </c>
      <c r="Q454" s="76"/>
      <c r="R454" s="76"/>
      <c r="S454" s="77"/>
      <c r="U454" s="8">
        <f>bdrate($E454:$E457,F454:F457,$M454:$M457,N454:N457)</f>
        <v>-3.432708622671532E-4</v>
      </c>
      <c r="V454" s="9">
        <f>bdrate($E454:$E457,G454:G457,$M454:$M457,O454:O457)</f>
        <v>8.9865787933884889E-4</v>
      </c>
      <c r="W454" s="10">
        <f>bdrate($E454:$E457,H454:H457,$M454:$M457,P454:P457)</f>
        <v>8.1623031373423416E-4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573.57360000000006</v>
      </c>
      <c r="F455" s="68">
        <f t="shared" si="15"/>
        <v>40.895150000000001</v>
      </c>
      <c r="G455" s="68">
        <f t="shared" si="15"/>
        <v>43.95955</v>
      </c>
      <c r="H455" s="68">
        <f t="shared" si="15"/>
        <v>43.046900000000001</v>
      </c>
      <c r="I455" s="64"/>
      <c r="J455" s="64"/>
      <c r="K455" s="65"/>
      <c r="L455" s="29"/>
      <c r="M455" s="68">
        <f>M56+M60</f>
        <v>573.60800000000006</v>
      </c>
      <c r="N455" s="68">
        <f t="shared" si="16"/>
        <v>40.896950000000004</v>
      </c>
      <c r="O455" s="68">
        <f t="shared" si="16"/>
        <v>43.960099999999997</v>
      </c>
      <c r="P455" s="68">
        <f t="shared" si="16"/>
        <v>43.044150000000002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320.4504</v>
      </c>
      <c r="F456" s="68">
        <f t="shared" si="15"/>
        <v>38.431699999999999</v>
      </c>
      <c r="G456" s="68">
        <f t="shared" si="15"/>
        <v>42.9741</v>
      </c>
      <c r="H456" s="68">
        <f t="shared" si="15"/>
        <v>41.536450000000002</v>
      </c>
      <c r="I456" s="64"/>
      <c r="J456" s="64"/>
      <c r="K456" s="65"/>
      <c r="L456" s="29"/>
      <c r="M456" s="68">
        <f>M57+M61</f>
        <v>320.5752</v>
      </c>
      <c r="N456" s="68">
        <f t="shared" si="16"/>
        <v>38.434249999999999</v>
      </c>
      <c r="O456" s="68">
        <f t="shared" si="16"/>
        <v>42.972499999999997</v>
      </c>
      <c r="P456" s="68">
        <f t="shared" si="16"/>
        <v>41.534099999999995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188.43680000000001</v>
      </c>
      <c r="F457" s="78">
        <f t="shared" si="15"/>
        <v>35.850149999999999</v>
      </c>
      <c r="G457" s="78">
        <f t="shared" si="15"/>
        <v>42.13035</v>
      </c>
      <c r="H457" s="78">
        <f t="shared" si="15"/>
        <v>40.208799999999997</v>
      </c>
      <c r="I457" s="66"/>
      <c r="J457" s="66"/>
      <c r="K457" s="67"/>
      <c r="L457" s="29"/>
      <c r="M457" s="78">
        <f>M58+M62</f>
        <v>188.42240000000001</v>
      </c>
      <c r="N457" s="78">
        <f t="shared" si="16"/>
        <v>35.854500000000002</v>
      </c>
      <c r="O457" s="78">
        <f t="shared" si="16"/>
        <v>42.125150000000005</v>
      </c>
      <c r="P457" s="78">
        <f t="shared" si="16"/>
        <v>40.210599999999999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1412.7672</v>
      </c>
      <c r="F458" s="75">
        <f t="shared" ref="F458:H461" si="17">AVERAGE(F55,F59,F63)</f>
        <v>42.874499999999991</v>
      </c>
      <c r="G458" s="75">
        <f t="shared" si="17"/>
        <v>44.554733333333331</v>
      </c>
      <c r="H458" s="75">
        <f t="shared" si="17"/>
        <v>44.325866666666663</v>
      </c>
      <c r="I458" s="76"/>
      <c r="J458" s="76"/>
      <c r="K458" s="77"/>
      <c r="L458" s="29"/>
      <c r="M458" s="75">
        <f>M55+M59+M63</f>
        <v>1412.58</v>
      </c>
      <c r="N458" s="75">
        <f t="shared" ref="N458:P461" si="18">AVERAGE(N55,N59,N63)</f>
        <v>42.875</v>
      </c>
      <c r="O458" s="75">
        <f t="shared" si="18"/>
        <v>44.552333333333337</v>
      </c>
      <c r="P458" s="75">
        <f t="shared" si="18"/>
        <v>44.325966666666666</v>
      </c>
      <c r="Q458" s="76"/>
      <c r="R458" s="76"/>
      <c r="S458" s="77"/>
      <c r="U458" s="8">
        <f>bdrate($E458:$E461,F458:F461,$M458:$M461,N458:N461)</f>
        <v>-4.1442012578951637E-4</v>
      </c>
      <c r="V458" s="9">
        <f>bdrate($E458:$E461,G458:G461,$M458:$M461,O458:O461)</f>
        <v>1.4200043247585281E-3</v>
      </c>
      <c r="W458" s="10">
        <f>bdrate($E458:$E461,H458:H461,$M458:$M461,P458:P461)</f>
        <v>1.3437175290582637E-3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702.62480000000005</v>
      </c>
      <c r="F459" s="68">
        <f t="shared" si="17"/>
        <v>40.632666666666665</v>
      </c>
      <c r="G459" s="68">
        <f t="shared" si="17"/>
        <v>43.630266666666671</v>
      </c>
      <c r="H459" s="68">
        <f t="shared" si="17"/>
        <v>42.846366666666675</v>
      </c>
      <c r="I459" s="64"/>
      <c r="J459" s="64"/>
      <c r="K459" s="65"/>
      <c r="L459" s="29"/>
      <c r="M459" s="68">
        <f>M56+M60+M64</f>
        <v>702.74480000000005</v>
      </c>
      <c r="N459" s="68">
        <f t="shared" si="18"/>
        <v>40.634866666666674</v>
      </c>
      <c r="O459" s="68">
        <f t="shared" si="18"/>
        <v>43.630133333333333</v>
      </c>
      <c r="P459" s="68">
        <f t="shared" si="18"/>
        <v>42.842833333333338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387.57760000000002</v>
      </c>
      <c r="F460" s="68">
        <f t="shared" si="17"/>
        <v>38.196400000000004</v>
      </c>
      <c r="G460" s="68">
        <f t="shared" si="17"/>
        <v>42.715899999999998</v>
      </c>
      <c r="H460" s="68">
        <f t="shared" si="17"/>
        <v>41.424833333333332</v>
      </c>
      <c r="I460" s="64"/>
      <c r="J460" s="64"/>
      <c r="K460" s="65"/>
      <c r="L460" s="29"/>
      <c r="M460" s="68">
        <f>M57+M61+M65</f>
        <v>387.87360000000001</v>
      </c>
      <c r="N460" s="68">
        <f t="shared" si="18"/>
        <v>38.201533333333337</v>
      </c>
      <c r="O460" s="68">
        <f t="shared" si="18"/>
        <v>42.713633333333327</v>
      </c>
      <c r="P460" s="68">
        <f t="shared" si="18"/>
        <v>41.422533333333327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224.2568</v>
      </c>
      <c r="F461" s="78">
        <f t="shared" si="17"/>
        <v>35.643166666666666</v>
      </c>
      <c r="G461" s="78">
        <f t="shared" si="17"/>
        <v>41.883299999999998</v>
      </c>
      <c r="H461" s="78">
        <f t="shared" si="17"/>
        <v>40.121933333333331</v>
      </c>
      <c r="I461" s="66"/>
      <c r="J461" s="66"/>
      <c r="K461" s="67"/>
      <c r="L461" s="29"/>
      <c r="M461" s="78">
        <f>M58+M62+M66</f>
        <v>224.37440000000001</v>
      </c>
      <c r="N461" s="78">
        <f t="shared" si="18"/>
        <v>35.648200000000003</v>
      </c>
      <c r="O461" s="78">
        <f t="shared" si="18"/>
        <v>41.880500000000005</v>
      </c>
      <c r="P461" s="78">
        <f t="shared" si="18"/>
        <v>40.121766666666666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1365.6959999999999</v>
      </c>
      <c r="F462" s="75">
        <f t="shared" ref="F462:H465" si="19">AVERAGE(F79,F83,F87)</f>
        <v>43.300900000000006</v>
      </c>
      <c r="G462" s="75">
        <f t="shared" si="19"/>
        <v>47.214666666666666</v>
      </c>
      <c r="H462" s="75">
        <f t="shared" si="19"/>
        <v>46.310699999999997</v>
      </c>
      <c r="I462" s="76"/>
      <c r="J462" s="76"/>
      <c r="K462" s="77"/>
      <c r="L462" s="29"/>
      <c r="M462" s="75">
        <f>M55+M59+M67+M71</f>
        <v>1365.4528</v>
      </c>
      <c r="N462" s="75">
        <f t="shared" ref="N462:P465" si="20">AVERAGE(N79,N83,N87)</f>
        <v>43.306766666666668</v>
      </c>
      <c r="O462" s="75">
        <f t="shared" si="20"/>
        <v>47.216933333333337</v>
      </c>
      <c r="P462" s="75">
        <f t="shared" si="20"/>
        <v>46.309366666666669</v>
      </c>
      <c r="Q462" s="76"/>
      <c r="R462" s="76"/>
      <c r="S462" s="77"/>
      <c r="U462" s="8">
        <f>bdrate($E462:$E465,F462:F465,$M462:$M465,N462:N465)</f>
        <v>1.1418481743881159E-3</v>
      </c>
      <c r="V462" s="9">
        <f>bdrate($E462:$E465,G462:G465,$M462:$M465,O462:O465)</f>
        <v>1.8091480459982989E-3</v>
      </c>
      <c r="W462" s="10">
        <f>bdrate($E462:$E465,H462:H465,$M462:$M465,P462:P465)</f>
        <v>1.2784514573411787E-3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657.42399999999998</v>
      </c>
      <c r="F463" s="68">
        <f t="shared" si="19"/>
        <v>40.993733333333331</v>
      </c>
      <c r="G463" s="68">
        <f t="shared" si="19"/>
        <v>46.035266666666665</v>
      </c>
      <c r="H463" s="68">
        <f t="shared" si="19"/>
        <v>44.538533333333326</v>
      </c>
      <c r="I463" s="64"/>
      <c r="J463" s="64"/>
      <c r="K463" s="65"/>
      <c r="L463" s="29"/>
      <c r="M463" s="68">
        <f>M56+M60+M68+M72</f>
        <v>657.58240000000001</v>
      </c>
      <c r="N463" s="68">
        <f t="shared" si="20"/>
        <v>40.988199999999999</v>
      </c>
      <c r="O463" s="68">
        <f t="shared" si="20"/>
        <v>46.033633333333334</v>
      </c>
      <c r="P463" s="68">
        <f t="shared" si="20"/>
        <v>44.532133333333327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356.43760000000003</v>
      </c>
      <c r="F464" s="68">
        <f t="shared" si="19"/>
        <v>38.544133333333335</v>
      </c>
      <c r="G464" s="68">
        <f t="shared" si="19"/>
        <v>44.769566666666663</v>
      </c>
      <c r="H464" s="68">
        <f t="shared" si="19"/>
        <v>42.807899999999997</v>
      </c>
      <c r="I464" s="64"/>
      <c r="J464" s="64"/>
      <c r="K464" s="65"/>
      <c r="L464" s="29"/>
      <c r="M464" s="68">
        <f>M57+M61+M69+M73</f>
        <v>356.64640000000003</v>
      </c>
      <c r="N464" s="68">
        <f t="shared" si="20"/>
        <v>38.536833333333334</v>
      </c>
      <c r="O464" s="68">
        <f t="shared" si="20"/>
        <v>44.767899999999997</v>
      </c>
      <c r="P464" s="68">
        <f t="shared" si="20"/>
        <v>42.808566666666671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205.68639999999999</v>
      </c>
      <c r="F465" s="78">
        <f t="shared" si="19"/>
        <v>35.978633333333335</v>
      </c>
      <c r="G465" s="78">
        <f t="shared" si="19"/>
        <v>43.780833333333334</v>
      </c>
      <c r="H465" s="78">
        <f t="shared" si="19"/>
        <v>41.306433333333331</v>
      </c>
      <c r="I465" s="66"/>
      <c r="J465" s="66"/>
      <c r="K465" s="67"/>
      <c r="L465" s="29"/>
      <c r="M465" s="78">
        <f>M58+M62+M70+M74</f>
        <v>205.6952</v>
      </c>
      <c r="N465" s="78">
        <f t="shared" si="20"/>
        <v>35.983866666666671</v>
      </c>
      <c r="O465" s="78">
        <f t="shared" si="20"/>
        <v>43.763066666666667</v>
      </c>
      <c r="P465" s="78">
        <f t="shared" si="20"/>
        <v>41.305900000000001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1789.2872</v>
      </c>
      <c r="F466" s="75">
        <f t="shared" ref="F466:H469" si="21">AVERAGE(F79,F83,F87,F91,F95,F99)</f>
        <v>43.181950000000001</v>
      </c>
      <c r="G466" s="75">
        <f t="shared" si="21"/>
        <v>47.054033333333336</v>
      </c>
      <c r="H466" s="75">
        <f t="shared" si="21"/>
        <v>46.313516666666665</v>
      </c>
      <c r="I466" s="76"/>
      <c r="J466" s="76"/>
      <c r="K466" s="77"/>
      <c r="L466" s="29"/>
      <c r="M466" s="75">
        <f>M103</f>
        <v>1789.2696000000001</v>
      </c>
      <c r="N466" s="75">
        <f t="shared" ref="N466:P469" si="22">AVERAGE(N79,N83,N87,N91,N95,N99)</f>
        <v>43.184433333333338</v>
      </c>
      <c r="O466" s="75">
        <f t="shared" si="22"/>
        <v>47.055399999999999</v>
      </c>
      <c r="P466" s="75">
        <f t="shared" si="22"/>
        <v>46.313933333333331</v>
      </c>
      <c r="Q466" s="76"/>
      <c r="R466" s="76"/>
      <c r="S466" s="77"/>
      <c r="U466" s="8">
        <f>bdrate($E466:$E469,F466:F469,$M466:$M469,N466:N469)</f>
        <v>6.1561567286050334E-4</v>
      </c>
      <c r="V466" s="9">
        <f>bdrate($E466:$E469,G466:G469,$M466:$M469,O466:O469)</f>
        <v>4.7854208401987286E-4</v>
      </c>
      <c r="W466" s="10">
        <f>bdrate($E466:$E469,H466:H469,$M466:$M469,P466:P469)</f>
        <v>1.3627498038759622E-3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833.2944</v>
      </c>
      <c r="F467" s="68">
        <f t="shared" si="21"/>
        <v>40.887650000000001</v>
      </c>
      <c r="G467" s="68">
        <f t="shared" si="21"/>
        <v>45.912683333333327</v>
      </c>
      <c r="H467" s="68">
        <f t="shared" si="21"/>
        <v>44.544316666666667</v>
      </c>
      <c r="I467" s="64"/>
      <c r="J467" s="64"/>
      <c r="K467" s="65"/>
      <c r="L467" s="29"/>
      <c r="M467" s="68">
        <f>M104</f>
        <v>833.60400000000004</v>
      </c>
      <c r="N467" s="68">
        <f t="shared" si="22"/>
        <v>40.885133333333336</v>
      </c>
      <c r="O467" s="68">
        <f t="shared" si="22"/>
        <v>45.913433333333337</v>
      </c>
      <c r="P467" s="68">
        <f t="shared" si="22"/>
        <v>44.541133333333335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446.8424</v>
      </c>
      <c r="F468" s="68">
        <f t="shared" si="21"/>
        <v>38.442816666666666</v>
      </c>
      <c r="G468" s="68">
        <f t="shared" si="21"/>
        <v>44.704666666666661</v>
      </c>
      <c r="H468" s="68">
        <f t="shared" si="21"/>
        <v>42.816166666666668</v>
      </c>
      <c r="I468" s="64"/>
      <c r="J468" s="64"/>
      <c r="K468" s="65"/>
      <c r="L468" s="29"/>
      <c r="M468" s="68">
        <f>M105</f>
        <v>447.17840000000001</v>
      </c>
      <c r="N468" s="68">
        <f t="shared" si="22"/>
        <v>38.442149999999998</v>
      </c>
      <c r="O468" s="68">
        <f t="shared" si="22"/>
        <v>44.70556666666667</v>
      </c>
      <c r="P468" s="68">
        <f t="shared" si="22"/>
        <v>42.812616666666663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255.53280000000001</v>
      </c>
      <c r="F469" s="78">
        <f t="shared" si="21"/>
        <v>35.881233333333334</v>
      </c>
      <c r="G469" s="78">
        <f t="shared" si="21"/>
        <v>43.730633333333323</v>
      </c>
      <c r="H469" s="78">
        <f t="shared" si="21"/>
        <v>41.293333333333329</v>
      </c>
      <c r="I469" s="66"/>
      <c r="J469" s="66"/>
      <c r="K469" s="67"/>
      <c r="L469" s="29"/>
      <c r="M469" s="78">
        <f>M106</f>
        <v>255.648</v>
      </c>
      <c r="N469" s="78">
        <f t="shared" si="22"/>
        <v>35.884483333333336</v>
      </c>
      <c r="O469" s="78">
        <f t="shared" si="22"/>
        <v>43.722816666666667</v>
      </c>
      <c r="P469" s="78">
        <f t="shared" si="22"/>
        <v>41.294049999999999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1365.6959999999999</v>
      </c>
      <c r="F470" s="75">
        <f t="shared" ref="F470:H473" si="24">AVERAGE(F55,F59,F79,F83,F87)</f>
        <v>43.239899999999999</v>
      </c>
      <c r="G470" s="75">
        <f t="shared" si="24"/>
        <v>46.27</v>
      </c>
      <c r="H470" s="75">
        <f t="shared" si="24"/>
        <v>45.60387999999999</v>
      </c>
      <c r="I470" s="76"/>
      <c r="J470" s="76"/>
      <c r="K470" s="77"/>
      <c r="L470" s="29"/>
      <c r="M470" s="75">
        <f t="shared" ref="M470:M477" si="25">M462</f>
        <v>1365.4528</v>
      </c>
      <c r="N470" s="75">
        <f t="shared" ref="N470:P473" si="26">AVERAGE(N55,N59,N79,N83,N87)</f>
        <v>43.243020000000001</v>
      </c>
      <c r="O470" s="75">
        <f t="shared" si="26"/>
        <v>46.270620000000008</v>
      </c>
      <c r="P470" s="75">
        <f t="shared" si="26"/>
        <v>45.602999999999994</v>
      </c>
      <c r="Q470" s="76"/>
      <c r="R470" s="76"/>
      <c r="S470" s="77"/>
      <c r="U470" s="8">
        <f>bdrate($E470:$E473,F470:F473,$M470:$M473,N470:N473)</f>
        <v>6.1214045899449232E-4</v>
      </c>
      <c r="V470" s="9">
        <f>bdrate($E470:$E473,G470:G473,$M470:$M473,O470:O473)</f>
        <v>1.568102408463945E-3</v>
      </c>
      <c r="W470" s="10">
        <f>bdrate($E470:$E473,H470:H473,$M470:$M473,P470:P473)</f>
        <v>1.1910064168543233E-3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657.42399999999998</v>
      </c>
      <c r="F471" s="68">
        <f t="shared" si="24"/>
        <v>40.954300000000003</v>
      </c>
      <c r="G471" s="68">
        <f t="shared" si="24"/>
        <v>45.204979999999999</v>
      </c>
      <c r="H471" s="68">
        <f t="shared" si="24"/>
        <v>43.941880000000005</v>
      </c>
      <c r="I471" s="64"/>
      <c r="J471" s="64"/>
      <c r="K471" s="65"/>
      <c r="L471" s="29"/>
      <c r="M471" s="68">
        <f t="shared" si="25"/>
        <v>657.58240000000001</v>
      </c>
      <c r="N471" s="68">
        <f t="shared" si="26"/>
        <v>40.951700000000002</v>
      </c>
      <c r="O471" s="68">
        <f t="shared" si="26"/>
        <v>45.204219999999999</v>
      </c>
      <c r="P471" s="68">
        <f t="shared" si="26"/>
        <v>43.93694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356.43760000000003</v>
      </c>
      <c r="F472" s="68">
        <f t="shared" si="24"/>
        <v>38.499159999999996</v>
      </c>
      <c r="G472" s="68">
        <f t="shared" si="24"/>
        <v>44.051380000000002</v>
      </c>
      <c r="H472" s="68">
        <f t="shared" si="24"/>
        <v>42.299320000000009</v>
      </c>
      <c r="I472" s="64"/>
      <c r="J472" s="64"/>
      <c r="K472" s="65"/>
      <c r="L472" s="29"/>
      <c r="M472" s="68">
        <f t="shared" si="25"/>
        <v>356.64640000000003</v>
      </c>
      <c r="N472" s="68">
        <f t="shared" si="26"/>
        <v>38.495799999999996</v>
      </c>
      <c r="O472" s="68">
        <f t="shared" si="26"/>
        <v>44.04974</v>
      </c>
      <c r="P472" s="68">
        <f t="shared" si="26"/>
        <v>42.298780000000001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205.68639999999999</v>
      </c>
      <c r="F473" s="78">
        <f t="shared" si="24"/>
        <v>35.927239999999998</v>
      </c>
      <c r="G473" s="78">
        <f t="shared" si="24"/>
        <v>43.120640000000002</v>
      </c>
      <c r="H473" s="78">
        <f t="shared" si="24"/>
        <v>40.867379999999997</v>
      </c>
      <c r="I473" s="66"/>
      <c r="J473" s="66"/>
      <c r="K473" s="67"/>
      <c r="L473" s="29"/>
      <c r="M473" s="78">
        <f t="shared" si="25"/>
        <v>205.6952</v>
      </c>
      <c r="N473" s="78">
        <f t="shared" si="26"/>
        <v>35.932120000000005</v>
      </c>
      <c r="O473" s="78">
        <f t="shared" si="26"/>
        <v>43.107900000000001</v>
      </c>
      <c r="P473" s="78">
        <f t="shared" si="26"/>
        <v>40.867779999999996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1789.2872</v>
      </c>
      <c r="F474" s="75">
        <f t="shared" ref="F474:H477" si="27">AVERAGE(F55,F59,F63,F79,F83,F87,F91,F95,F99)</f>
        <v>43.079466666666661</v>
      </c>
      <c r="G474" s="75">
        <f t="shared" si="27"/>
        <v>46.220933333333335</v>
      </c>
      <c r="H474" s="75">
        <f t="shared" si="27"/>
        <v>45.650966666666669</v>
      </c>
      <c r="I474" s="76"/>
      <c r="J474" s="76"/>
      <c r="K474" s="77"/>
      <c r="L474" s="29"/>
      <c r="M474" s="75">
        <f t="shared" si="25"/>
        <v>1789.2696000000001</v>
      </c>
      <c r="N474" s="75">
        <f t="shared" ref="N474:P477" si="28">AVERAGE(N55,N59,N63,N79,N83,N87,N91,N95,N99)</f>
        <v>43.081288888888892</v>
      </c>
      <c r="O474" s="75">
        <f t="shared" si="28"/>
        <v>46.221044444444452</v>
      </c>
      <c r="P474" s="75">
        <f t="shared" si="28"/>
        <v>45.651277777777779</v>
      </c>
      <c r="Q474" s="76"/>
      <c r="R474" s="76"/>
      <c r="S474" s="77"/>
      <c r="U474" s="8">
        <f>bdrate($E474:$E477,F474:F477,$M474:$M477,N474:N477)</f>
        <v>2.8632451893151334E-4</v>
      </c>
      <c r="V474" s="9">
        <f>bdrate($E474:$E477,G474:G477,$M474:$M477,O474:O477)</f>
        <v>7.8524562993509406E-4</v>
      </c>
      <c r="W474" s="10">
        <f>bdrate($E474:$E477,H474:H477,$M474:$M477,P474:P477)</f>
        <v>1.3978050661951347E-3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833.2944</v>
      </c>
      <c r="F475" s="68">
        <f t="shared" si="27"/>
        <v>40.802655555555553</v>
      </c>
      <c r="G475" s="68">
        <f t="shared" si="27"/>
        <v>45.151877777777777</v>
      </c>
      <c r="H475" s="68">
        <f t="shared" si="27"/>
        <v>43.978333333333332</v>
      </c>
      <c r="I475" s="64"/>
      <c r="J475" s="64"/>
      <c r="K475" s="65"/>
      <c r="L475" s="29"/>
      <c r="M475" s="68">
        <f t="shared" si="25"/>
        <v>833.60400000000004</v>
      </c>
      <c r="N475" s="68">
        <f t="shared" si="28"/>
        <v>40.801711111111111</v>
      </c>
      <c r="O475" s="68">
        <f t="shared" si="28"/>
        <v>45.152333333333324</v>
      </c>
      <c r="P475" s="68">
        <f t="shared" si="28"/>
        <v>43.975033333333336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446.8424</v>
      </c>
      <c r="F476" s="68">
        <f t="shared" si="27"/>
        <v>38.360677777777774</v>
      </c>
      <c r="G476" s="68">
        <f t="shared" si="27"/>
        <v>44.041744444444447</v>
      </c>
      <c r="H476" s="68">
        <f t="shared" si="27"/>
        <v>42.352388888888896</v>
      </c>
      <c r="I476" s="64"/>
      <c r="J476" s="64"/>
      <c r="K476" s="65"/>
      <c r="L476" s="29"/>
      <c r="M476" s="68">
        <f t="shared" si="25"/>
        <v>447.17840000000001</v>
      </c>
      <c r="N476" s="68">
        <f t="shared" si="28"/>
        <v>38.361944444444447</v>
      </c>
      <c r="O476" s="68">
        <f t="shared" si="28"/>
        <v>44.041588888888896</v>
      </c>
      <c r="P476" s="68">
        <f t="shared" si="28"/>
        <v>42.349255555555558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255.53280000000001</v>
      </c>
      <c r="F477" s="78">
        <f t="shared" si="27"/>
        <v>35.801877777777776</v>
      </c>
      <c r="G477" s="78">
        <f t="shared" si="27"/>
        <v>43.114855555555557</v>
      </c>
      <c r="H477" s="78">
        <f t="shared" si="27"/>
        <v>40.902866666666668</v>
      </c>
      <c r="I477" s="66"/>
      <c r="J477" s="66"/>
      <c r="K477" s="67"/>
      <c r="L477" s="29"/>
      <c r="M477" s="78">
        <f t="shared" si="25"/>
        <v>255.648</v>
      </c>
      <c r="N477" s="78">
        <f t="shared" si="28"/>
        <v>35.805722222222222</v>
      </c>
      <c r="O477" s="78">
        <f t="shared" si="28"/>
        <v>43.108711111111113</v>
      </c>
      <c r="P477" s="78">
        <f t="shared" si="28"/>
        <v>40.903288888888888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1255.3416</v>
      </c>
      <c r="F478" s="75">
        <f t="shared" ref="F478:H481" si="29">AVERAGE(F107,F111)</f>
        <v>40.831400000000002</v>
      </c>
      <c r="G478" s="75">
        <f t="shared" si="29"/>
        <v>43.553049999999999</v>
      </c>
      <c r="H478" s="75">
        <f t="shared" si="29"/>
        <v>43.639949999999999</v>
      </c>
      <c r="I478" s="76"/>
      <c r="J478" s="76"/>
      <c r="K478" s="77"/>
      <c r="L478" s="29"/>
      <c r="M478" s="79">
        <f>M107+M111</f>
        <v>1254.896</v>
      </c>
      <c r="N478" s="75">
        <f t="shared" ref="N478:P481" si="30">AVERAGE(N107,N111)</f>
        <v>40.829599999999999</v>
      </c>
      <c r="O478" s="75">
        <f t="shared" si="30"/>
        <v>43.552750000000003</v>
      </c>
      <c r="P478" s="75">
        <f t="shared" si="30"/>
        <v>43.641849999999998</v>
      </c>
      <c r="Q478" s="76"/>
      <c r="R478" s="76"/>
      <c r="S478" s="77"/>
      <c r="U478" s="8">
        <f>bdrate($E478:$E481,F478:F481,$M478:$M481,N478:N481)</f>
        <v>3.0825796733080502E-4</v>
      </c>
      <c r="V478" s="9">
        <f>bdrate($E478:$E481,G478:G481,$M478:$M481,O478:O481)</f>
        <v>2.3925717385520073E-5</v>
      </c>
      <c r="W478" s="10">
        <f>bdrate($E478:$E481,H478:H481,$M478:$M481,P478:P481)</f>
        <v>1.5541212023961748E-6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629.476</v>
      </c>
      <c r="F479" s="68">
        <f t="shared" si="29"/>
        <v>38.476050000000001</v>
      </c>
      <c r="G479" s="68">
        <f t="shared" si="29"/>
        <v>41.90645</v>
      </c>
      <c r="H479" s="68">
        <f t="shared" si="29"/>
        <v>41.986149999999995</v>
      </c>
      <c r="I479" s="64"/>
      <c r="J479" s="64"/>
      <c r="K479" s="65"/>
      <c r="L479" s="29"/>
      <c r="M479" s="80">
        <f>M108+M112</f>
        <v>629.56799999999998</v>
      </c>
      <c r="N479" s="68">
        <f t="shared" si="30"/>
        <v>38.475499999999997</v>
      </c>
      <c r="O479" s="68">
        <f t="shared" si="30"/>
        <v>41.909549999999996</v>
      </c>
      <c r="P479" s="68">
        <f t="shared" si="30"/>
        <v>41.9848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339.024</v>
      </c>
      <c r="F480" s="68">
        <f t="shared" si="29"/>
        <v>35.986199999999997</v>
      </c>
      <c r="G480" s="68">
        <f t="shared" si="29"/>
        <v>40.386499999999998</v>
      </c>
      <c r="H480" s="68">
        <f t="shared" si="29"/>
        <v>40.379400000000004</v>
      </c>
      <c r="I480" s="64"/>
      <c r="J480" s="64"/>
      <c r="K480" s="65"/>
      <c r="L480" s="29"/>
      <c r="M480" s="80">
        <f>M109+M113</f>
        <v>339.19200000000001</v>
      </c>
      <c r="N480" s="68">
        <f t="shared" si="30"/>
        <v>35.985849999999999</v>
      </c>
      <c r="O480" s="68">
        <f t="shared" si="30"/>
        <v>40.384500000000003</v>
      </c>
      <c r="P480" s="68">
        <f t="shared" si="30"/>
        <v>40.3797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193.74079999999998</v>
      </c>
      <c r="F481" s="78">
        <f t="shared" si="29"/>
        <v>33.489100000000001</v>
      </c>
      <c r="G481" s="78">
        <f t="shared" si="29"/>
        <v>39.237400000000001</v>
      </c>
      <c r="H481" s="78">
        <f t="shared" si="29"/>
        <v>39.178600000000003</v>
      </c>
      <c r="I481" s="66"/>
      <c r="J481" s="66"/>
      <c r="K481" s="67"/>
      <c r="L481" s="29"/>
      <c r="M481" s="81">
        <f>M110+M114</f>
        <v>193.7784</v>
      </c>
      <c r="N481" s="78">
        <f t="shared" si="30"/>
        <v>33.491799999999998</v>
      </c>
      <c r="O481" s="78">
        <f t="shared" si="30"/>
        <v>39.236000000000004</v>
      </c>
      <c r="P481" s="78">
        <f t="shared" si="30"/>
        <v>39.184199999999997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1603.5136</v>
      </c>
      <c r="F482" s="75">
        <f t="shared" ref="F482:H485" si="31">AVERAGE(F107,F111,F115)</f>
        <v>40.521233333333335</v>
      </c>
      <c r="G482" s="75">
        <f t="shared" si="31"/>
        <v>43.319333333333333</v>
      </c>
      <c r="H482" s="75">
        <f t="shared" si="31"/>
        <v>43.342866666666659</v>
      </c>
      <c r="I482" s="76"/>
      <c r="J482" s="76"/>
      <c r="K482" s="77"/>
      <c r="L482" s="29"/>
      <c r="M482" s="75">
        <f>M107+M111+M115</f>
        <v>1603.2927999999999</v>
      </c>
      <c r="N482" s="75">
        <f t="shared" ref="N482:P485" si="32">AVERAGE(N107,N111,N115)</f>
        <v>40.520733333333332</v>
      </c>
      <c r="O482" s="75">
        <f t="shared" si="32"/>
        <v>43.318199999999997</v>
      </c>
      <c r="P482" s="75">
        <f t="shared" si="32"/>
        <v>43.343833333333329</v>
      </c>
      <c r="Q482" s="76"/>
      <c r="R482" s="76"/>
      <c r="S482" s="77"/>
      <c r="U482" s="8">
        <f>bdrate($E482:$E485,F482:F485,$M482:$M485,N482:N485)</f>
        <v>5.9195908941767073E-5</v>
      </c>
      <c r="V482" s="9">
        <f>bdrate($E482:$E485,G482:G485,$M482:$M485,O482:O485)</f>
        <v>-2.6286555744525764E-4</v>
      </c>
      <c r="W482" s="10">
        <f>bdrate($E482:$E485,H482:H485,$M482:$M485,P482:P485)</f>
        <v>1.989122430301471E-4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779.97759999999994</v>
      </c>
      <c r="F483" s="68">
        <f t="shared" si="31"/>
        <v>38.157433333333337</v>
      </c>
      <c r="G483" s="68">
        <f t="shared" si="31"/>
        <v>41.726966666666669</v>
      </c>
      <c r="H483" s="68">
        <f t="shared" si="31"/>
        <v>41.691899999999997</v>
      </c>
      <c r="I483" s="64"/>
      <c r="J483" s="64"/>
      <c r="K483" s="65"/>
      <c r="L483" s="29"/>
      <c r="M483" s="68">
        <f>M108+M112+M116</f>
        <v>779.69280000000003</v>
      </c>
      <c r="N483" s="68">
        <f t="shared" si="32"/>
        <v>38.156033333333333</v>
      </c>
      <c r="O483" s="68">
        <f t="shared" si="32"/>
        <v>41.727499999999999</v>
      </c>
      <c r="P483" s="68">
        <f t="shared" si="32"/>
        <v>41.689033333333334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414.60399999999998</v>
      </c>
      <c r="F484" s="68">
        <f t="shared" si="31"/>
        <v>35.680833333333332</v>
      </c>
      <c r="G484" s="68">
        <f t="shared" si="31"/>
        <v>40.284433333333332</v>
      </c>
      <c r="H484" s="68">
        <f t="shared" si="31"/>
        <v>40.143366666666672</v>
      </c>
      <c r="I484" s="64"/>
      <c r="J484" s="64"/>
      <c r="K484" s="65"/>
      <c r="L484" s="29"/>
      <c r="M484" s="68">
        <f>M109+M113+M117</f>
        <v>414.40640000000002</v>
      </c>
      <c r="N484" s="68">
        <f t="shared" si="32"/>
        <v>35.678133333333335</v>
      </c>
      <c r="O484" s="68">
        <f t="shared" si="32"/>
        <v>40.284333333333336</v>
      </c>
      <c r="P484" s="68">
        <f t="shared" si="32"/>
        <v>40.141733333333327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233.75759999999997</v>
      </c>
      <c r="F485" s="78">
        <f t="shared" si="31"/>
        <v>33.175866666666671</v>
      </c>
      <c r="G485" s="78">
        <f t="shared" si="31"/>
        <v>39.182899999999997</v>
      </c>
      <c r="H485" s="78">
        <f t="shared" si="31"/>
        <v>38.978733333333338</v>
      </c>
      <c r="I485" s="66"/>
      <c r="J485" s="66"/>
      <c r="K485" s="67"/>
      <c r="L485" s="29"/>
      <c r="M485" s="78">
        <f>M110+M114+M118</f>
        <v>233.7448</v>
      </c>
      <c r="N485" s="78">
        <f t="shared" si="32"/>
        <v>33.176333333333332</v>
      </c>
      <c r="O485" s="78">
        <f t="shared" si="32"/>
        <v>39.181266666666666</v>
      </c>
      <c r="P485" s="78">
        <f t="shared" si="32"/>
        <v>38.9818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1570.0944</v>
      </c>
      <c r="F486" s="75">
        <f t="shared" ref="F486:H489" si="33">AVERAGE(F131,F135,F139)</f>
        <v>40.452400000000004</v>
      </c>
      <c r="G486" s="75">
        <f t="shared" si="33"/>
        <v>45.80866666666666</v>
      </c>
      <c r="H486" s="75">
        <f t="shared" si="33"/>
        <v>45.902466666666669</v>
      </c>
      <c r="I486" s="76"/>
      <c r="J486" s="76"/>
      <c r="K486" s="77"/>
      <c r="L486" s="29"/>
      <c r="M486" s="75">
        <f>M107+M111+M119+M123</f>
        <v>1568.9527999999998</v>
      </c>
      <c r="N486" s="75">
        <f t="shared" ref="N486:P489" si="34">AVERAGE(N131,N135,N139)</f>
        <v>40.453933333333332</v>
      </c>
      <c r="O486" s="75">
        <f t="shared" si="34"/>
        <v>45.806866666666672</v>
      </c>
      <c r="P486" s="75">
        <f t="shared" si="34"/>
        <v>45.904833333333329</v>
      </c>
      <c r="Q486" s="76"/>
      <c r="R486" s="76"/>
      <c r="S486" s="77"/>
      <c r="U486" s="8">
        <f>bdrate($E486:$E489,F486:F489,$M486:$M489,N486:N489)</f>
        <v>2.3228424569787798E-4</v>
      </c>
      <c r="V486" s="9">
        <f>bdrate($E486:$E489,G486:G489,$M486:$M489,O486:O489)</f>
        <v>-2.0399297690654183E-4</v>
      </c>
      <c r="W486" s="10">
        <f>bdrate($E486:$E489,H486:H489,$M486:$M489,P486:P489)</f>
        <v>-1.6792474323679141E-3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738.17759999999998</v>
      </c>
      <c r="F487" s="68">
        <f t="shared" si="33"/>
        <v>38.215566666666668</v>
      </c>
      <c r="G487" s="68">
        <f t="shared" si="33"/>
        <v>43.977666666666664</v>
      </c>
      <c r="H487" s="68">
        <f t="shared" si="33"/>
        <v>44.031433333333332</v>
      </c>
      <c r="I487" s="64"/>
      <c r="J487" s="64"/>
      <c r="K487" s="65"/>
      <c r="L487" s="29"/>
      <c r="M487" s="68">
        <f>M108+M112+M120+M124</f>
        <v>738.07920000000001</v>
      </c>
      <c r="N487" s="68">
        <f t="shared" si="34"/>
        <v>38.210799999999999</v>
      </c>
      <c r="O487" s="68">
        <f t="shared" si="34"/>
        <v>43.983300000000007</v>
      </c>
      <c r="P487" s="68">
        <f t="shared" si="34"/>
        <v>44.034600000000005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384.19279999999998</v>
      </c>
      <c r="F488" s="68">
        <f t="shared" si="33"/>
        <v>35.835000000000001</v>
      </c>
      <c r="G488" s="68">
        <f t="shared" si="33"/>
        <v>42.19383333333333</v>
      </c>
      <c r="H488" s="68">
        <f t="shared" si="33"/>
        <v>42.11396666666667</v>
      </c>
      <c r="I488" s="64"/>
      <c r="J488" s="64"/>
      <c r="K488" s="65"/>
      <c r="L488" s="29"/>
      <c r="M488" s="68">
        <f>M109+M113+M121+M125</f>
        <v>384.3032</v>
      </c>
      <c r="N488" s="68">
        <f t="shared" si="34"/>
        <v>35.836666666666666</v>
      </c>
      <c r="O488" s="68">
        <f t="shared" si="34"/>
        <v>42.189133333333331</v>
      </c>
      <c r="P488" s="68">
        <f t="shared" si="34"/>
        <v>42.119100000000003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214.03279999999998</v>
      </c>
      <c r="F489" s="78">
        <f t="shared" si="33"/>
        <v>33.380266666666664</v>
      </c>
      <c r="G489" s="78">
        <f t="shared" si="33"/>
        <v>40.7575</v>
      </c>
      <c r="H489" s="78">
        <f t="shared" si="33"/>
        <v>40.665833333333332</v>
      </c>
      <c r="I489" s="66"/>
      <c r="J489" s="66"/>
      <c r="K489" s="67"/>
      <c r="L489" s="29"/>
      <c r="M489" s="78">
        <f>M110+M114+M122+M126</f>
        <v>214.00239999999999</v>
      </c>
      <c r="N489" s="78">
        <f t="shared" si="34"/>
        <v>33.380899999999997</v>
      </c>
      <c r="O489" s="78">
        <f t="shared" si="34"/>
        <v>40.756699999999995</v>
      </c>
      <c r="P489" s="78">
        <f t="shared" si="34"/>
        <v>40.673833333333334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2036.0727999999999</v>
      </c>
      <c r="F490" s="75">
        <f t="shared" ref="F490:H493" si="35">AVERAGE(F131,F135,F139,F143,F147,F151)</f>
        <v>40.422349999999994</v>
      </c>
      <c r="G490" s="75">
        <f t="shared" si="35"/>
        <v>45.713999999999999</v>
      </c>
      <c r="H490" s="75">
        <f t="shared" si="35"/>
        <v>45.760033333333332</v>
      </c>
      <c r="I490" s="76"/>
      <c r="J490" s="76"/>
      <c r="K490" s="77"/>
      <c r="L490" s="29"/>
      <c r="M490" s="75">
        <f>M155</f>
        <v>2034.7896000000001</v>
      </c>
      <c r="N490" s="75">
        <f t="shared" ref="N490:P493" si="36">AVERAGE(N131,N135,N139,N143,N147,N151)</f>
        <v>40.422899999999998</v>
      </c>
      <c r="O490" s="75">
        <f t="shared" si="36"/>
        <v>45.711999999999996</v>
      </c>
      <c r="P490" s="75">
        <f t="shared" si="36"/>
        <v>45.758533333333332</v>
      </c>
      <c r="Q490" s="76"/>
      <c r="R490" s="76"/>
      <c r="S490" s="77"/>
      <c r="U490" s="8">
        <f>bdrate($E490:$E493,F490:F493,$M490:$M493,N490:N493)</f>
        <v>-1.0102917674159606E-4</v>
      </c>
      <c r="V490" s="9">
        <f>bdrate($E490:$E493,G490:G493,$M490:$M493,O490:O493)</f>
        <v>-7.5953273388496001E-6</v>
      </c>
      <c r="W490" s="10">
        <f>bdrate($E490:$E493,H490:H493,$M490:$M493,P490:P493)</f>
        <v>-1.4342374534666025E-3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931.1576</v>
      </c>
      <c r="F491" s="68">
        <f t="shared" si="35"/>
        <v>38.137866666666667</v>
      </c>
      <c r="G491" s="68">
        <f t="shared" si="35"/>
        <v>43.907149999999994</v>
      </c>
      <c r="H491" s="68">
        <f t="shared" si="35"/>
        <v>43.856766666666665</v>
      </c>
      <c r="I491" s="64"/>
      <c r="J491" s="64"/>
      <c r="K491" s="65"/>
      <c r="L491" s="29"/>
      <c r="M491" s="68">
        <f>M156</f>
        <v>930.77840000000003</v>
      </c>
      <c r="N491" s="68">
        <f t="shared" si="36"/>
        <v>38.136150000000001</v>
      </c>
      <c r="O491" s="68">
        <f t="shared" si="36"/>
        <v>43.905183333333333</v>
      </c>
      <c r="P491" s="68">
        <f t="shared" si="36"/>
        <v>43.858150000000002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481.21839999999997</v>
      </c>
      <c r="F492" s="68">
        <f t="shared" si="35"/>
        <v>35.730616666666663</v>
      </c>
      <c r="G492" s="68">
        <f t="shared" si="35"/>
        <v>42.119849999999992</v>
      </c>
      <c r="H492" s="68">
        <f t="shared" si="35"/>
        <v>41.914283333333337</v>
      </c>
      <c r="I492" s="64"/>
      <c r="J492" s="64"/>
      <c r="K492" s="65"/>
      <c r="L492" s="29"/>
      <c r="M492" s="68">
        <f>M157</f>
        <v>480.91520000000003</v>
      </c>
      <c r="N492" s="68">
        <f t="shared" si="36"/>
        <v>35.728716666666664</v>
      </c>
      <c r="O492" s="68">
        <f t="shared" si="36"/>
        <v>42.120283333333333</v>
      </c>
      <c r="P492" s="68">
        <f t="shared" si="36"/>
        <v>41.918816666666665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267.44959999999998</v>
      </c>
      <c r="F493" s="78">
        <f t="shared" si="35"/>
        <v>33.254416666666664</v>
      </c>
      <c r="G493" s="78">
        <f t="shared" si="35"/>
        <v>40.709200000000003</v>
      </c>
      <c r="H493" s="78">
        <f t="shared" si="35"/>
        <v>40.475583333333333</v>
      </c>
      <c r="I493" s="66"/>
      <c r="J493" s="66"/>
      <c r="K493" s="67"/>
      <c r="L493" s="29"/>
      <c r="M493" s="78">
        <f>M158</f>
        <v>267.41520000000003</v>
      </c>
      <c r="N493" s="78">
        <f t="shared" si="36"/>
        <v>33.253383333333325</v>
      </c>
      <c r="O493" s="78">
        <f t="shared" si="36"/>
        <v>40.7072</v>
      </c>
      <c r="P493" s="78">
        <f t="shared" si="36"/>
        <v>40.481483333333337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1570.0944</v>
      </c>
      <c r="F494" s="75">
        <f t="shared" ref="F494:H497" si="38">AVERAGE(F107,F111,F131,F135,F139)</f>
        <v>40.603999999999999</v>
      </c>
      <c r="G494" s="75">
        <f t="shared" si="38"/>
        <v>44.906419999999997</v>
      </c>
      <c r="H494" s="75">
        <f t="shared" si="38"/>
        <v>44.997460000000004</v>
      </c>
      <c r="I494" s="76"/>
      <c r="J494" s="76"/>
      <c r="K494" s="77"/>
      <c r="L494" s="29"/>
      <c r="M494" s="75">
        <f t="shared" ref="M494:M501" si="39">M486</f>
        <v>1568.9527999999998</v>
      </c>
      <c r="N494" s="75">
        <f t="shared" ref="N494:P497" si="40">AVERAGE(N107,N111,N131,N135,N139)</f>
        <v>40.604200000000006</v>
      </c>
      <c r="O494" s="75">
        <f t="shared" si="40"/>
        <v>44.90522</v>
      </c>
      <c r="P494" s="75">
        <f t="shared" si="40"/>
        <v>44.999639999999999</v>
      </c>
      <c r="Q494" s="76"/>
      <c r="R494" s="76"/>
      <c r="S494" s="77"/>
      <c r="U494" s="8">
        <f>bdrate($E494:$E497,F494:F497,$M494:$M497,N494:N497)</f>
        <v>1.5783898143006958E-4</v>
      </c>
      <c r="V494" s="9">
        <f>bdrate($E494:$E497,G494:G497,$M494:$M497,O494:O497)</f>
        <v>-2.3096428698021754E-4</v>
      </c>
      <c r="W494" s="10">
        <f>bdrate($E494:$E497,H494:H497,$M494:$M497,P494:P497)</f>
        <v>-1.173954067432037E-3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738.17759999999998</v>
      </c>
      <c r="F495" s="68">
        <f t="shared" si="38"/>
        <v>38.319760000000002</v>
      </c>
      <c r="G495" s="68">
        <f t="shared" si="38"/>
        <v>43.149180000000001</v>
      </c>
      <c r="H495" s="68">
        <f t="shared" si="38"/>
        <v>43.213319999999996</v>
      </c>
      <c r="I495" s="64"/>
      <c r="J495" s="64"/>
      <c r="K495" s="65"/>
      <c r="L495" s="29"/>
      <c r="M495" s="68">
        <f t="shared" si="39"/>
        <v>738.07920000000001</v>
      </c>
      <c r="N495" s="68">
        <f t="shared" si="40"/>
        <v>38.316680000000005</v>
      </c>
      <c r="O495" s="68">
        <f t="shared" si="40"/>
        <v>43.153800000000004</v>
      </c>
      <c r="P495" s="68">
        <f t="shared" si="40"/>
        <v>43.214680000000001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384.19279999999998</v>
      </c>
      <c r="F496" s="68">
        <f t="shared" si="38"/>
        <v>35.895479999999999</v>
      </c>
      <c r="G496" s="68">
        <f t="shared" si="38"/>
        <v>41.470899999999993</v>
      </c>
      <c r="H496" s="68">
        <f t="shared" si="38"/>
        <v>41.420139999999996</v>
      </c>
      <c r="I496" s="64"/>
      <c r="J496" s="64"/>
      <c r="K496" s="65"/>
      <c r="L496" s="29"/>
      <c r="M496" s="68">
        <f t="shared" si="39"/>
        <v>384.3032</v>
      </c>
      <c r="N496" s="68">
        <f t="shared" si="40"/>
        <v>35.896339999999995</v>
      </c>
      <c r="O496" s="68">
        <f t="shared" si="40"/>
        <v>41.467280000000002</v>
      </c>
      <c r="P496" s="68">
        <f t="shared" si="40"/>
        <v>41.423340000000003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214.03279999999998</v>
      </c>
      <c r="F497" s="78">
        <f t="shared" si="38"/>
        <v>33.423799999999993</v>
      </c>
      <c r="G497" s="78">
        <f t="shared" si="38"/>
        <v>40.149459999999998</v>
      </c>
      <c r="H497" s="78">
        <f t="shared" si="38"/>
        <v>40.07094</v>
      </c>
      <c r="I497" s="66"/>
      <c r="J497" s="66"/>
      <c r="K497" s="67"/>
      <c r="L497" s="29"/>
      <c r="M497" s="78">
        <f t="shared" si="39"/>
        <v>214.00239999999999</v>
      </c>
      <c r="N497" s="78">
        <f t="shared" si="40"/>
        <v>33.425259999999994</v>
      </c>
      <c r="O497" s="78">
        <f t="shared" si="40"/>
        <v>40.148420000000002</v>
      </c>
      <c r="P497" s="78">
        <f t="shared" si="40"/>
        <v>40.077980000000004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2036.0727999999999</v>
      </c>
      <c r="F498" s="75">
        <f t="shared" ref="F498:H501" si="41">AVERAGE(F107,F111,F115,F131,F135,F139,F143,F147,F151)</f>
        <v>40.455311111111115</v>
      </c>
      <c r="G498" s="75">
        <f t="shared" si="41"/>
        <v>44.915777777777777</v>
      </c>
      <c r="H498" s="75">
        <f t="shared" si="41"/>
        <v>44.95431111111111</v>
      </c>
      <c r="I498" s="76"/>
      <c r="J498" s="76"/>
      <c r="K498" s="77"/>
      <c r="L498" s="29"/>
      <c r="M498" s="75">
        <f t="shared" si="39"/>
        <v>2034.7896000000001</v>
      </c>
      <c r="N498" s="75">
        <f t="shared" ref="N498:P501" si="42">AVERAGE(N107,N111,N115,N131,N135,N139,N143,N147,N151)</f>
        <v>40.455511111111107</v>
      </c>
      <c r="O498" s="75">
        <f t="shared" si="42"/>
        <v>44.914066666666663</v>
      </c>
      <c r="P498" s="75">
        <f t="shared" si="42"/>
        <v>44.953633333333329</v>
      </c>
      <c r="Q498" s="76"/>
      <c r="R498" s="76"/>
      <c r="S498" s="77"/>
      <c r="U498" s="8">
        <f>bdrate($E498:$E501,F498:F501,$M498:$M501,N498:N501)</f>
        <v>-8.8452920003589952E-5</v>
      </c>
      <c r="V498" s="9">
        <f>bdrate($E498:$E501,G498:G501,$M498:$M501,O498:O501)</f>
        <v>-1.2234197783411727E-4</v>
      </c>
      <c r="W498" s="10">
        <f>bdrate($E498:$E501,H498:H501,$M498:$M501,P498:P501)</f>
        <v>-9.9243646626256954E-4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931.1576</v>
      </c>
      <c r="F499" s="68">
        <f t="shared" si="41"/>
        <v>38.144388888888891</v>
      </c>
      <c r="G499" s="68">
        <f t="shared" si="41"/>
        <v>43.180422222222226</v>
      </c>
      <c r="H499" s="68">
        <f t="shared" si="41"/>
        <v>43.135144444444435</v>
      </c>
      <c r="I499" s="64"/>
      <c r="J499" s="64"/>
      <c r="K499" s="65"/>
      <c r="L499" s="29"/>
      <c r="M499" s="68">
        <f t="shared" si="39"/>
        <v>930.77840000000003</v>
      </c>
      <c r="N499" s="68">
        <f t="shared" si="42"/>
        <v>38.142777777777773</v>
      </c>
      <c r="O499" s="68">
        <f t="shared" si="42"/>
        <v>43.179288888888884</v>
      </c>
      <c r="P499" s="68">
        <f t="shared" si="42"/>
        <v>43.135111111111115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481.21839999999997</v>
      </c>
      <c r="F500" s="68">
        <f t="shared" si="41"/>
        <v>35.714022222222219</v>
      </c>
      <c r="G500" s="68">
        <f t="shared" si="41"/>
        <v>41.508044444444444</v>
      </c>
      <c r="H500" s="68">
        <f t="shared" si="41"/>
        <v>41.323977777777777</v>
      </c>
      <c r="I500" s="64"/>
      <c r="J500" s="64"/>
      <c r="K500" s="65"/>
      <c r="L500" s="29"/>
      <c r="M500" s="68">
        <f t="shared" si="39"/>
        <v>480.91520000000003</v>
      </c>
      <c r="N500" s="68">
        <f t="shared" si="42"/>
        <v>35.711855555555559</v>
      </c>
      <c r="O500" s="68">
        <f t="shared" si="42"/>
        <v>41.508299999999998</v>
      </c>
      <c r="P500" s="68">
        <f t="shared" si="42"/>
        <v>41.326455555555555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267.44959999999998</v>
      </c>
      <c r="F501" s="78">
        <f t="shared" si="41"/>
        <v>33.228233333333336</v>
      </c>
      <c r="G501" s="78">
        <f t="shared" si="41"/>
        <v>40.200433333333336</v>
      </c>
      <c r="H501" s="78">
        <f t="shared" si="41"/>
        <v>39.976633333333332</v>
      </c>
      <c r="I501" s="66"/>
      <c r="J501" s="66"/>
      <c r="K501" s="67"/>
      <c r="L501" s="29"/>
      <c r="M501" s="78">
        <f t="shared" si="39"/>
        <v>267.41520000000003</v>
      </c>
      <c r="N501" s="78">
        <f t="shared" si="42"/>
        <v>33.227699999999999</v>
      </c>
      <c r="O501" s="78">
        <f t="shared" si="42"/>
        <v>40.198555555555551</v>
      </c>
      <c r="P501" s="78">
        <f t="shared" si="42"/>
        <v>39.981588888888886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4238.0007999999998</v>
      </c>
      <c r="F502" s="75">
        <f t="shared" ref="F502:H505" si="43">AVERAGE(F159,F163)</f>
        <v>39.999449999999996</v>
      </c>
      <c r="G502" s="75">
        <f t="shared" si="43"/>
        <v>45.389850000000003</v>
      </c>
      <c r="H502" s="75">
        <f t="shared" si="43"/>
        <v>46.236000000000004</v>
      </c>
      <c r="I502" s="76"/>
      <c r="J502" s="76"/>
      <c r="K502" s="77"/>
      <c r="L502" s="29"/>
      <c r="M502" s="79">
        <f>M159+M163</f>
        <v>4236.4615999999996</v>
      </c>
      <c r="N502" s="75">
        <f t="shared" ref="N502:P505" si="44">AVERAGE(N159,N163)</f>
        <v>40.000599999999999</v>
      </c>
      <c r="O502" s="75">
        <f t="shared" si="44"/>
        <v>45.391199999999998</v>
      </c>
      <c r="P502" s="75">
        <f t="shared" si="44"/>
        <v>46.2363</v>
      </c>
      <c r="Q502" s="76"/>
      <c r="R502" s="76"/>
      <c r="S502" s="77"/>
      <c r="U502" s="8">
        <f>bdrate($E502:$E505,F502:F505,$M502:$M505,N502:N505)</f>
        <v>-6.9896934934010613E-4</v>
      </c>
      <c r="V502" s="9">
        <f>bdrate($E502:$E505,G502:G505,$M502:$M505,O502:O505)</f>
        <v>-8.4397480088460597E-4</v>
      </c>
      <c r="W502" s="10">
        <f>bdrate($E502:$E505,H502:H505,$M502:$M505,P502:P505)</f>
        <v>-8.5016041250796093E-4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1800.2368000000001</v>
      </c>
      <c r="F503" s="68">
        <f t="shared" si="43"/>
        <v>37.644800000000004</v>
      </c>
      <c r="G503" s="68">
        <f t="shared" si="43"/>
        <v>43.597450000000002</v>
      </c>
      <c r="H503" s="68">
        <f t="shared" si="43"/>
        <v>44.433099999999996</v>
      </c>
      <c r="I503" s="64"/>
      <c r="J503" s="64"/>
      <c r="K503" s="65"/>
      <c r="L503" s="29"/>
      <c r="M503" s="80">
        <f>M160+M164</f>
        <v>1799.3464000000001</v>
      </c>
      <c r="N503" s="68">
        <f t="shared" si="44"/>
        <v>37.646000000000001</v>
      </c>
      <c r="O503" s="68">
        <f t="shared" si="44"/>
        <v>43.598500000000001</v>
      </c>
      <c r="P503" s="68">
        <f t="shared" si="44"/>
        <v>44.435050000000004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831.25279999999998</v>
      </c>
      <c r="F504" s="68">
        <f t="shared" si="43"/>
        <v>35.501049999999999</v>
      </c>
      <c r="G504" s="68">
        <f t="shared" si="43"/>
        <v>41.797049999999999</v>
      </c>
      <c r="H504" s="68">
        <f t="shared" si="43"/>
        <v>42.625349999999997</v>
      </c>
      <c r="I504" s="64"/>
      <c r="J504" s="64"/>
      <c r="K504" s="65"/>
      <c r="L504" s="29"/>
      <c r="M504" s="80">
        <f>M161+M165</f>
        <v>831.16719999999998</v>
      </c>
      <c r="N504" s="68">
        <f t="shared" si="44"/>
        <v>35.50215</v>
      </c>
      <c r="O504" s="68">
        <f t="shared" si="44"/>
        <v>41.798349999999999</v>
      </c>
      <c r="P504" s="68">
        <f t="shared" si="44"/>
        <v>42.626249999999999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400.04399999999998</v>
      </c>
      <c r="F505" s="78">
        <f t="shared" si="43"/>
        <v>33.377650000000003</v>
      </c>
      <c r="G505" s="78">
        <f t="shared" si="43"/>
        <v>40.559100000000001</v>
      </c>
      <c r="H505" s="78">
        <f t="shared" si="43"/>
        <v>41.392849999999996</v>
      </c>
      <c r="I505" s="66"/>
      <c r="J505" s="66"/>
      <c r="K505" s="67"/>
      <c r="L505" s="29"/>
      <c r="M505" s="81">
        <f>M162+M166</f>
        <v>400.084</v>
      </c>
      <c r="N505" s="78">
        <f t="shared" si="44"/>
        <v>33.379350000000002</v>
      </c>
      <c r="O505" s="78">
        <f t="shared" si="44"/>
        <v>40.559750000000001</v>
      </c>
      <c r="P505" s="78">
        <f t="shared" si="44"/>
        <v>41.393050000000002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4783.8032000000003</v>
      </c>
      <c r="F506" s="75">
        <f t="shared" ref="F506:H509" si="45">AVERAGE(F159,F163,F167)</f>
        <v>39.902333333333331</v>
      </c>
      <c r="G506" s="75">
        <f t="shared" si="45"/>
        <v>45.352600000000002</v>
      </c>
      <c r="H506" s="75">
        <f t="shared" si="45"/>
        <v>46.202566666666677</v>
      </c>
      <c r="I506" s="76"/>
      <c r="J506" s="76"/>
      <c r="K506" s="77"/>
      <c r="L506" s="29"/>
      <c r="M506" s="75">
        <f>M159+M163+M167</f>
        <v>4779.78</v>
      </c>
      <c r="N506" s="75">
        <f t="shared" ref="N506:P509" si="46">AVERAGE(N159,N163,N167)</f>
        <v>39.9041</v>
      </c>
      <c r="O506" s="75">
        <f t="shared" si="46"/>
        <v>45.354466666666667</v>
      </c>
      <c r="P506" s="75">
        <f t="shared" si="46"/>
        <v>46.203266666666671</v>
      </c>
      <c r="Q506" s="76"/>
      <c r="R506" s="76"/>
      <c r="S506" s="77"/>
      <c r="U506" s="8">
        <f>bdrate($E506:$E509,F506:F509,$M506:$M509,N506:N509)</f>
        <v>-1.220843454429521E-3</v>
      </c>
      <c r="V506" s="9">
        <f>bdrate($E506:$E509,G506:G509,$M506:$M509,O506:O509)</f>
        <v>-1.1852567169041706E-3</v>
      </c>
      <c r="W506" s="10">
        <f>bdrate($E506:$E509,H506:H509,$M506:$M509,P506:P509)</f>
        <v>-1.1366311007054986E-3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1992.5648000000001</v>
      </c>
      <c r="F507" s="68">
        <f t="shared" si="45"/>
        <v>37.572466666666664</v>
      </c>
      <c r="G507" s="68">
        <f t="shared" si="45"/>
        <v>43.573166666666673</v>
      </c>
      <c r="H507" s="68">
        <f t="shared" si="45"/>
        <v>44.412199999999991</v>
      </c>
      <c r="I507" s="64"/>
      <c r="J507" s="64"/>
      <c r="K507" s="65"/>
      <c r="L507" s="29"/>
      <c r="M507" s="68">
        <f>M160+M164+M168</f>
        <v>1990.4296000000002</v>
      </c>
      <c r="N507" s="68">
        <f t="shared" si="46"/>
        <v>37.573933333333336</v>
      </c>
      <c r="O507" s="68">
        <f t="shared" si="46"/>
        <v>43.574000000000005</v>
      </c>
      <c r="P507" s="68">
        <f t="shared" si="46"/>
        <v>44.41343333333333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910.1472</v>
      </c>
      <c r="F508" s="68">
        <f t="shared" si="45"/>
        <v>35.446133333333336</v>
      </c>
      <c r="G508" s="68">
        <f t="shared" si="45"/>
        <v>41.783866666666661</v>
      </c>
      <c r="H508" s="68">
        <f t="shared" si="45"/>
        <v>42.614166666666669</v>
      </c>
      <c r="I508" s="64"/>
      <c r="J508" s="64"/>
      <c r="K508" s="65"/>
      <c r="L508" s="29"/>
      <c r="M508" s="68">
        <f>M161+M165+M169</f>
        <v>909.6472</v>
      </c>
      <c r="N508" s="68">
        <f t="shared" si="46"/>
        <v>35.447333333333333</v>
      </c>
      <c r="O508" s="68">
        <f t="shared" si="46"/>
        <v>41.784399999999998</v>
      </c>
      <c r="P508" s="68">
        <f t="shared" si="46"/>
        <v>42.614899999999999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436.81759999999997</v>
      </c>
      <c r="F509" s="78">
        <f t="shared" si="45"/>
        <v>33.332766666666664</v>
      </c>
      <c r="G509" s="78">
        <f t="shared" si="45"/>
        <v>40.543799999999997</v>
      </c>
      <c r="H509" s="78">
        <f t="shared" si="45"/>
        <v>41.380733333333332</v>
      </c>
      <c r="I509" s="66"/>
      <c r="J509" s="66"/>
      <c r="K509" s="67"/>
      <c r="L509" s="29"/>
      <c r="M509" s="78">
        <f>M162+M166+M170</f>
        <v>436.89359999999999</v>
      </c>
      <c r="N509" s="78">
        <f t="shared" si="46"/>
        <v>33.334266666666672</v>
      </c>
      <c r="O509" s="78">
        <f t="shared" si="46"/>
        <v>40.544533333333334</v>
      </c>
      <c r="P509" s="78">
        <f t="shared" si="46"/>
        <v>41.380166666666668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4626.7240000000002</v>
      </c>
      <c r="F510" s="75">
        <f t="shared" ref="F510:H513" si="47">AVERAGE(F183,F187,F191)</f>
        <v>40.055799999999998</v>
      </c>
      <c r="G510" s="75">
        <f t="shared" si="47"/>
        <v>46.5976</v>
      </c>
      <c r="H510" s="75">
        <f t="shared" si="47"/>
        <v>47.013800000000003</v>
      </c>
      <c r="I510" s="76"/>
      <c r="J510" s="76"/>
      <c r="K510" s="77"/>
      <c r="L510" s="29"/>
      <c r="M510" s="75">
        <f>M159+M163+M171+M175</f>
        <v>4625.0055999999995</v>
      </c>
      <c r="N510" s="75">
        <f t="shared" ref="N510:P513" si="48">AVERAGE(N183,N187,N191)</f>
        <v>40.054733333333331</v>
      </c>
      <c r="O510" s="75">
        <f t="shared" si="48"/>
        <v>46.596499999999999</v>
      </c>
      <c r="P510" s="75">
        <f t="shared" si="48"/>
        <v>47.019533333333335</v>
      </c>
      <c r="Q510" s="76"/>
      <c r="R510" s="76"/>
      <c r="S510" s="77"/>
      <c r="U510" s="8">
        <f>bdrate($E510:$E513,F510:F513,$M510:$M513,N510:N513)</f>
        <v>-4.1749960431836097E-4</v>
      </c>
      <c r="V510" s="9">
        <f>bdrate($E510:$E513,G510:G513,$M510:$M513,O510:O513)</f>
        <v>2.9966391613784893E-3</v>
      </c>
      <c r="W510" s="10">
        <f>bdrate($E510:$E513,H510:H513,$M510:$M513,P510:P513)</f>
        <v>-5.4586870669968146E-3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1927.5104000000001</v>
      </c>
      <c r="F511" s="68">
        <f t="shared" si="47"/>
        <v>37.738466666666667</v>
      </c>
      <c r="G511" s="68">
        <f t="shared" si="47"/>
        <v>44.818666666666665</v>
      </c>
      <c r="H511" s="68">
        <f t="shared" si="47"/>
        <v>45.348099999999995</v>
      </c>
      <c r="I511" s="64"/>
      <c r="J511" s="64"/>
      <c r="K511" s="65"/>
      <c r="L511" s="29"/>
      <c r="M511" s="68">
        <f>M160+M164+M172+M176</f>
        <v>1926.5672000000002</v>
      </c>
      <c r="N511" s="68">
        <f t="shared" si="48"/>
        <v>37.737866666666662</v>
      </c>
      <c r="O511" s="68">
        <f t="shared" si="48"/>
        <v>44.808766666666664</v>
      </c>
      <c r="P511" s="68">
        <f t="shared" si="48"/>
        <v>45.375133333333338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880.68959999999993</v>
      </c>
      <c r="F512" s="68">
        <f t="shared" si="47"/>
        <v>35.597299999999997</v>
      </c>
      <c r="G512" s="68">
        <f t="shared" si="47"/>
        <v>42.88603333333333</v>
      </c>
      <c r="H512" s="68">
        <f t="shared" si="47"/>
        <v>43.54376666666667</v>
      </c>
      <c r="I512" s="64"/>
      <c r="J512" s="64"/>
      <c r="K512" s="65"/>
      <c r="L512" s="29"/>
      <c r="M512" s="68">
        <f>M161+M165+M173+M177</f>
        <v>880.71839999999997</v>
      </c>
      <c r="N512" s="68">
        <f t="shared" si="48"/>
        <v>35.599400000000003</v>
      </c>
      <c r="O512" s="68">
        <f t="shared" si="48"/>
        <v>42.879933333333334</v>
      </c>
      <c r="P512" s="68">
        <f t="shared" si="48"/>
        <v>43.541933333333333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420.9248</v>
      </c>
      <c r="F513" s="78">
        <f t="shared" si="47"/>
        <v>33.470933333333335</v>
      </c>
      <c r="G513" s="78">
        <f t="shared" si="47"/>
        <v>41.502900000000004</v>
      </c>
      <c r="H513" s="78">
        <f t="shared" si="47"/>
        <v>42.235566666666664</v>
      </c>
      <c r="I513" s="66"/>
      <c r="J513" s="66"/>
      <c r="K513" s="67"/>
      <c r="L513" s="29"/>
      <c r="M513" s="78">
        <f>M162+M166+M174+M178</f>
        <v>420.87279999999998</v>
      </c>
      <c r="N513" s="78">
        <f t="shared" si="48"/>
        <v>33.472100000000005</v>
      </c>
      <c r="O513" s="78">
        <f t="shared" si="48"/>
        <v>41.496266666666664</v>
      </c>
      <c r="P513" s="78">
        <f t="shared" si="48"/>
        <v>42.233033333333331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5281.2615999999998</v>
      </c>
      <c r="F514" s="75">
        <f t="shared" ref="F514:H517" si="49">AVERAGE(F183,F187,F191,F195,F199,F203)</f>
        <v>40.051600000000001</v>
      </c>
      <c r="G514" s="75">
        <f t="shared" si="49"/>
        <v>46.560116666666666</v>
      </c>
      <c r="H514" s="75">
        <f t="shared" si="49"/>
        <v>47.068049999999999</v>
      </c>
      <c r="I514" s="76"/>
      <c r="J514" s="76"/>
      <c r="K514" s="77"/>
      <c r="L514" s="29"/>
      <c r="M514" s="75">
        <f>M207</f>
        <v>5276.8424000000005</v>
      </c>
      <c r="N514" s="75">
        <f t="shared" ref="N514:P517" si="50">AVERAGE(N183,N187,N191,N195,N199,N203)</f>
        <v>40.053033333333339</v>
      </c>
      <c r="O514" s="75">
        <f t="shared" si="50"/>
        <v>46.560616666666668</v>
      </c>
      <c r="P514" s="75">
        <f t="shared" si="50"/>
        <v>47.072716666666672</v>
      </c>
      <c r="Q514" s="76"/>
      <c r="R514" s="76"/>
      <c r="S514" s="77"/>
      <c r="U514" s="8">
        <f>bdrate($E514:$E517,F514:F517,$M514:$M517,N514:N517)</f>
        <v>-9.1215955460588471E-4</v>
      </c>
      <c r="V514" s="9">
        <f>bdrate($E514:$E517,G514:G517,$M514:$M517,O514:O517)</f>
        <v>1.7627364035774917E-3</v>
      </c>
      <c r="W514" s="10">
        <f>bdrate($E514:$E517,H514:H517,$M514:$M517,P514:P517)</f>
        <v>-4.2993844170599038E-3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2155.3935999999999</v>
      </c>
      <c r="F515" s="68">
        <f t="shared" si="49"/>
        <v>37.723799999999997</v>
      </c>
      <c r="G515" s="68">
        <f t="shared" si="49"/>
        <v>44.796416666666666</v>
      </c>
      <c r="H515" s="68">
        <f t="shared" si="49"/>
        <v>45.375066666666669</v>
      </c>
      <c r="I515" s="64"/>
      <c r="J515" s="64"/>
      <c r="K515" s="65"/>
      <c r="L515" s="29"/>
      <c r="M515" s="68">
        <f>M208</f>
        <v>2153.1696000000002</v>
      </c>
      <c r="N515" s="68">
        <f t="shared" si="50"/>
        <v>37.722799999999999</v>
      </c>
      <c r="O515" s="68">
        <f t="shared" si="50"/>
        <v>44.785133333333327</v>
      </c>
      <c r="P515" s="68">
        <f t="shared" si="50"/>
        <v>45.391600000000004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977.04960000000005</v>
      </c>
      <c r="F516" s="68">
        <f t="shared" si="49"/>
        <v>35.582683333333328</v>
      </c>
      <c r="G516" s="68">
        <f t="shared" si="49"/>
        <v>42.851533333333329</v>
      </c>
      <c r="H516" s="68">
        <f t="shared" si="49"/>
        <v>43.527733333333337</v>
      </c>
      <c r="I516" s="64"/>
      <c r="J516" s="64"/>
      <c r="K516" s="65"/>
      <c r="L516" s="29"/>
      <c r="M516" s="68">
        <f>M209</f>
        <v>976.53279999999995</v>
      </c>
      <c r="N516" s="68">
        <f t="shared" si="50"/>
        <v>35.584749999999993</v>
      </c>
      <c r="O516" s="68">
        <f t="shared" si="50"/>
        <v>42.850500000000004</v>
      </c>
      <c r="P516" s="68">
        <f t="shared" si="50"/>
        <v>43.529683333333338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468.572</v>
      </c>
      <c r="F517" s="78">
        <f t="shared" si="49"/>
        <v>33.456399999999995</v>
      </c>
      <c r="G517" s="78">
        <f t="shared" si="49"/>
        <v>41.4938</v>
      </c>
      <c r="H517" s="78">
        <f t="shared" si="49"/>
        <v>42.20793333333333</v>
      </c>
      <c r="I517" s="66"/>
      <c r="J517" s="66"/>
      <c r="K517" s="67"/>
      <c r="L517" s="29"/>
      <c r="M517" s="78">
        <f>M210</f>
        <v>468.63679999999999</v>
      </c>
      <c r="N517" s="78">
        <f t="shared" si="50"/>
        <v>33.457250000000002</v>
      </c>
      <c r="O517" s="78">
        <f t="shared" si="50"/>
        <v>41.489533333333334</v>
      </c>
      <c r="P517" s="78">
        <f t="shared" si="50"/>
        <v>42.202666666666666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4626.7240000000002</v>
      </c>
      <c r="F518" s="75">
        <f t="shared" ref="F518:H521" si="52">AVERAGE(F159,F163,F183,F187,F191)</f>
        <v>40.033259999999999</v>
      </c>
      <c r="G518" s="75">
        <f t="shared" si="52"/>
        <v>46.1145</v>
      </c>
      <c r="H518" s="75">
        <f t="shared" si="52"/>
        <v>46.702680000000001</v>
      </c>
      <c r="I518" s="76"/>
      <c r="J518" s="76"/>
      <c r="K518" s="77"/>
      <c r="L518" s="29"/>
      <c r="M518" s="75">
        <f t="shared" ref="M518:M525" si="53">M510</f>
        <v>4625.0055999999995</v>
      </c>
      <c r="N518" s="75">
        <f t="shared" ref="N518:P521" si="54">AVERAGE(N159,N163,N183,N187,N191)</f>
        <v>40.033079999999998</v>
      </c>
      <c r="O518" s="75">
        <f t="shared" si="54"/>
        <v>46.114379999999997</v>
      </c>
      <c r="P518" s="75">
        <f t="shared" si="54"/>
        <v>46.706240000000001</v>
      </c>
      <c r="Q518" s="76"/>
      <c r="R518" s="76"/>
      <c r="S518" s="77"/>
      <c r="U518" s="8">
        <f>bdrate($E518:$E521,F518:F521,$M518:$M521,N518:N521)</f>
        <v>-5.2394559173607469E-4</v>
      </c>
      <c r="V518" s="9">
        <f>bdrate($E518:$E521,G518:G521,$M518:$M521,O518:O521)</f>
        <v>1.5184075253680263E-3</v>
      </c>
      <c r="W518" s="10">
        <f>bdrate($E518:$E521,H518:H521,$M518:$M521,P518:P521)</f>
        <v>-3.6154320837127329E-3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1927.5104000000001</v>
      </c>
      <c r="F519" s="68">
        <f t="shared" si="52"/>
        <v>37.701000000000001</v>
      </c>
      <c r="G519" s="68">
        <f t="shared" si="52"/>
        <v>44.330179999999999</v>
      </c>
      <c r="H519" s="68">
        <f t="shared" si="52"/>
        <v>44.982099999999996</v>
      </c>
      <c r="I519" s="64"/>
      <c r="J519" s="64"/>
      <c r="K519" s="65"/>
      <c r="L519" s="29"/>
      <c r="M519" s="68">
        <f t="shared" si="53"/>
        <v>1926.5672000000002</v>
      </c>
      <c r="N519" s="68">
        <f t="shared" si="54"/>
        <v>37.701119999999996</v>
      </c>
      <c r="O519" s="68">
        <f t="shared" si="54"/>
        <v>44.324660000000002</v>
      </c>
      <c r="P519" s="68">
        <f t="shared" si="54"/>
        <v>44.999099999999999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880.68959999999993</v>
      </c>
      <c r="F520" s="68">
        <f t="shared" si="52"/>
        <v>35.558799999999998</v>
      </c>
      <c r="G520" s="68">
        <f t="shared" si="52"/>
        <v>42.45044</v>
      </c>
      <c r="H520" s="68">
        <f t="shared" si="52"/>
        <v>43.176400000000001</v>
      </c>
      <c r="I520" s="64"/>
      <c r="J520" s="64"/>
      <c r="K520" s="65"/>
      <c r="L520" s="29"/>
      <c r="M520" s="68">
        <f t="shared" si="53"/>
        <v>880.71839999999997</v>
      </c>
      <c r="N520" s="68">
        <f t="shared" si="54"/>
        <v>35.560499999999998</v>
      </c>
      <c r="O520" s="68">
        <f t="shared" si="54"/>
        <v>42.447299999999998</v>
      </c>
      <c r="P520" s="68">
        <f t="shared" si="54"/>
        <v>43.175660000000008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420.9248</v>
      </c>
      <c r="F521" s="78">
        <f t="shared" si="52"/>
        <v>33.433620000000005</v>
      </c>
      <c r="G521" s="78">
        <f t="shared" si="52"/>
        <v>41.12538</v>
      </c>
      <c r="H521" s="78">
        <f t="shared" si="52"/>
        <v>41.898479999999999</v>
      </c>
      <c r="I521" s="66"/>
      <c r="J521" s="66"/>
      <c r="K521" s="67"/>
      <c r="L521" s="29"/>
      <c r="M521" s="78">
        <f t="shared" si="53"/>
        <v>420.87279999999998</v>
      </c>
      <c r="N521" s="78">
        <f t="shared" si="54"/>
        <v>33.434999999999995</v>
      </c>
      <c r="O521" s="78">
        <f t="shared" si="54"/>
        <v>41.121660000000006</v>
      </c>
      <c r="P521" s="78">
        <f t="shared" si="54"/>
        <v>41.897040000000004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5281.2615999999998</v>
      </c>
      <c r="F522" s="75">
        <f t="shared" ref="F522:H525" si="55">AVERAGE(F159,F163,F167,F183,F187,F191,F195,F199,F203)</f>
        <v>40.001844444444444</v>
      </c>
      <c r="G522" s="75">
        <f t="shared" si="55"/>
        <v>46.157611111111109</v>
      </c>
      <c r="H522" s="75">
        <f t="shared" si="55"/>
        <v>46.779555555555561</v>
      </c>
      <c r="I522" s="76"/>
      <c r="J522" s="76"/>
      <c r="K522" s="77"/>
      <c r="L522" s="29"/>
      <c r="M522" s="75">
        <f t="shared" si="53"/>
        <v>5276.8424000000005</v>
      </c>
      <c r="N522" s="75">
        <f t="shared" ref="N522:P525" si="56">AVERAGE(N159,N163,N167,N183,N187,N191,N195,N199,N203)</f>
        <v>40.0033888888889</v>
      </c>
      <c r="O522" s="75">
        <f t="shared" si="56"/>
        <v>46.158566666666658</v>
      </c>
      <c r="P522" s="75">
        <f t="shared" si="56"/>
        <v>46.782900000000005</v>
      </c>
      <c r="Q522" s="76"/>
      <c r="R522" s="76"/>
      <c r="S522" s="77"/>
      <c r="U522" s="8">
        <f>bdrate($E522:$E525,F522:F525,$M522:$M525,N522:N525)</f>
        <v>-1.0105523134440464E-3</v>
      </c>
      <c r="V522" s="9">
        <f>bdrate($E522:$E525,G522:G525,$M522:$M525,O522:O525)</f>
        <v>8.2481071717932508E-4</v>
      </c>
      <c r="W522" s="10">
        <f>bdrate($E522:$E525,H522:H525,$M522:$M525,P522:P525)</f>
        <v>-3.2553907007909499E-3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2155.3935999999999</v>
      </c>
      <c r="F523" s="68">
        <f t="shared" si="55"/>
        <v>37.67335555555556</v>
      </c>
      <c r="G523" s="68">
        <f t="shared" si="55"/>
        <v>44.388666666666666</v>
      </c>
      <c r="H523" s="68">
        <f t="shared" si="55"/>
        <v>45.054111111111105</v>
      </c>
      <c r="I523" s="64"/>
      <c r="J523" s="64"/>
      <c r="K523" s="65"/>
      <c r="L523" s="29"/>
      <c r="M523" s="68">
        <f t="shared" si="53"/>
        <v>2153.1696000000002</v>
      </c>
      <c r="N523" s="68">
        <f t="shared" si="56"/>
        <v>37.673177777777781</v>
      </c>
      <c r="O523" s="68">
        <f t="shared" si="56"/>
        <v>44.381422222222227</v>
      </c>
      <c r="P523" s="68">
        <f t="shared" si="56"/>
        <v>45.065544444444441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977.04960000000005</v>
      </c>
      <c r="F524" s="68">
        <f t="shared" si="55"/>
        <v>35.537166666666664</v>
      </c>
      <c r="G524" s="68">
        <f t="shared" si="55"/>
        <v>42.495644444444444</v>
      </c>
      <c r="H524" s="68">
        <f t="shared" si="55"/>
        <v>43.223211111111112</v>
      </c>
      <c r="I524" s="64"/>
      <c r="J524" s="64"/>
      <c r="K524" s="65"/>
      <c r="L524" s="29"/>
      <c r="M524" s="68">
        <f t="shared" si="53"/>
        <v>976.53279999999995</v>
      </c>
      <c r="N524" s="68">
        <f t="shared" si="56"/>
        <v>35.538944444444439</v>
      </c>
      <c r="O524" s="68">
        <f t="shared" si="56"/>
        <v>42.495133333333335</v>
      </c>
      <c r="P524" s="68">
        <f t="shared" si="56"/>
        <v>43.224755555555561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468.572</v>
      </c>
      <c r="F525" s="78">
        <f t="shared" si="55"/>
        <v>33.415188888888885</v>
      </c>
      <c r="G525" s="78">
        <f t="shared" si="55"/>
        <v>41.17713333333333</v>
      </c>
      <c r="H525" s="78">
        <f t="shared" si="55"/>
        <v>41.932199999999995</v>
      </c>
      <c r="I525" s="66"/>
      <c r="J525" s="66"/>
      <c r="K525" s="67"/>
      <c r="L525" s="29"/>
      <c r="M525" s="78">
        <f t="shared" si="53"/>
        <v>468.63679999999999</v>
      </c>
      <c r="N525" s="78">
        <f t="shared" si="56"/>
        <v>33.416255555555551</v>
      </c>
      <c r="O525" s="78">
        <f t="shared" si="56"/>
        <v>41.174533333333336</v>
      </c>
      <c r="P525" s="78">
        <f t="shared" si="56"/>
        <v>41.9285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1058.5730000000001</v>
      </c>
      <c r="F526" s="75">
        <f t="shared" ref="F526:H529" si="57">AVERAGE(F211,F215)</f>
        <v>41.9739</v>
      </c>
      <c r="G526" s="75">
        <f t="shared" si="57"/>
        <v>48.299599999999998</v>
      </c>
      <c r="H526" s="75">
        <f t="shared" si="57"/>
        <v>47.823700000000002</v>
      </c>
      <c r="I526" s="76"/>
      <c r="J526" s="76"/>
      <c r="K526" s="77"/>
      <c r="L526" s="29"/>
      <c r="M526" s="79">
        <f>M211+M215</f>
        <v>1058.8389999999999</v>
      </c>
      <c r="N526" s="75">
        <f t="shared" ref="N526:P529" si="58">AVERAGE(N211,N215)</f>
        <v>41.973849999999999</v>
      </c>
      <c r="O526" s="75">
        <f t="shared" si="58"/>
        <v>48.303199999999997</v>
      </c>
      <c r="P526" s="75">
        <f t="shared" si="58"/>
        <v>47.823700000000002</v>
      </c>
      <c r="Q526" s="76"/>
      <c r="R526" s="76"/>
      <c r="S526" s="77"/>
      <c r="U526" s="8">
        <f>bdrate($E526:$E529,F526:F529,$M526:$M529,N526:N529)</f>
        <v>-3.7059001693318105E-4</v>
      </c>
      <c r="V526" s="9">
        <f>bdrate($E526:$E529,G526:G529,$M526:$M529,O526:O529)</f>
        <v>-2.3783745723336969E-3</v>
      </c>
      <c r="W526" s="10">
        <f>bdrate($E526:$E529,H526:H529,$M526:$M529,P526:P529)</f>
        <v>-3.6916591980651337E-4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441.31700000000001</v>
      </c>
      <c r="F527" s="68">
        <f t="shared" si="57"/>
        <v>40.990600000000001</v>
      </c>
      <c r="G527" s="68">
        <f t="shared" si="57"/>
        <v>47.2774</v>
      </c>
      <c r="H527" s="68">
        <f t="shared" si="57"/>
        <v>46.942250000000001</v>
      </c>
      <c r="I527" s="64"/>
      <c r="J527" s="64"/>
      <c r="K527" s="65"/>
      <c r="L527" s="29"/>
      <c r="M527" s="80">
        <f>M212+M216</f>
        <v>441.23900000000003</v>
      </c>
      <c r="N527" s="68">
        <f t="shared" si="58"/>
        <v>40.991349999999997</v>
      </c>
      <c r="O527" s="68">
        <f t="shared" si="58"/>
        <v>47.279799999999994</v>
      </c>
      <c r="P527" s="68">
        <f t="shared" si="58"/>
        <v>46.93985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224.84700000000001</v>
      </c>
      <c r="F528" s="68">
        <f t="shared" si="57"/>
        <v>39.582700000000003</v>
      </c>
      <c r="G528" s="68">
        <f t="shared" si="57"/>
        <v>45.969099999999997</v>
      </c>
      <c r="H528" s="68">
        <f t="shared" si="57"/>
        <v>45.738950000000003</v>
      </c>
      <c r="I528" s="64"/>
      <c r="J528" s="64"/>
      <c r="K528" s="65"/>
      <c r="L528" s="29"/>
      <c r="M528" s="80">
        <f>M213+M217</f>
        <v>224.61799999999999</v>
      </c>
      <c r="N528" s="68">
        <f t="shared" si="58"/>
        <v>39.580300000000001</v>
      </c>
      <c r="O528" s="68">
        <f t="shared" si="58"/>
        <v>45.973050000000001</v>
      </c>
      <c r="P528" s="68">
        <f t="shared" si="58"/>
        <v>45.740600000000001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124.212</v>
      </c>
      <c r="F529" s="78">
        <f t="shared" si="57"/>
        <v>37.821150000000003</v>
      </c>
      <c r="G529" s="78">
        <f t="shared" si="57"/>
        <v>44.844700000000003</v>
      </c>
      <c r="H529" s="78">
        <f t="shared" si="57"/>
        <v>44.6312</v>
      </c>
      <c r="I529" s="66"/>
      <c r="J529" s="66"/>
      <c r="K529" s="67"/>
      <c r="L529" s="29"/>
      <c r="M529" s="81">
        <f>M214+M218</f>
        <v>124.19800000000001</v>
      </c>
      <c r="N529" s="78">
        <f t="shared" si="58"/>
        <v>37.8247</v>
      </c>
      <c r="O529" s="78">
        <f t="shared" si="58"/>
        <v>44.846800000000002</v>
      </c>
      <c r="P529" s="78">
        <f t="shared" si="58"/>
        <v>44.63335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1318.145</v>
      </c>
      <c r="F530" s="75">
        <f t="shared" ref="F530:H533" si="59">AVERAGE(F211,F215,F219)</f>
        <v>41.878166666666665</v>
      </c>
      <c r="G530" s="75">
        <f t="shared" si="59"/>
        <v>47.95003333333333</v>
      </c>
      <c r="H530" s="75">
        <f t="shared" si="59"/>
        <v>47.437866666666672</v>
      </c>
      <c r="I530" s="76"/>
      <c r="J530" s="76"/>
      <c r="K530" s="77"/>
      <c r="L530" s="29"/>
      <c r="M530" s="75">
        <f>M211+M215+M219</f>
        <v>1317.789</v>
      </c>
      <c r="N530" s="75">
        <f t="shared" ref="N530:P533" si="60">AVERAGE(N211,N215,N219)</f>
        <v>41.877433333333336</v>
      </c>
      <c r="O530" s="75">
        <f t="shared" si="60"/>
        <v>47.951466666666668</v>
      </c>
      <c r="P530" s="75">
        <f t="shared" si="60"/>
        <v>47.43513333333334</v>
      </c>
      <c r="Q530" s="76"/>
      <c r="R530" s="76"/>
      <c r="S530" s="77"/>
      <c r="U530" s="8">
        <f>bdrate($E530:$E533,F530:F533,$M530:$M533,N530:N533)</f>
        <v>-7.5027222292012308E-4</v>
      </c>
      <c r="V530" s="9">
        <f>bdrate($E530:$E533,G530:G533,$M530:$M533,O530:O533)</f>
        <v>-4.6346960385534874E-4</v>
      </c>
      <c r="W530" s="10">
        <f>bdrate($E530:$E533,H530:H533,$M530:$M533,P530:P533)</f>
        <v>1.6674981342323925E-4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538.62400000000002</v>
      </c>
      <c r="F531" s="68">
        <f t="shared" si="59"/>
        <v>40.909100000000002</v>
      </c>
      <c r="G531" s="68">
        <f t="shared" si="59"/>
        <v>46.955733333333335</v>
      </c>
      <c r="H531" s="68">
        <f t="shared" si="59"/>
        <v>46.470866666666666</v>
      </c>
      <c r="I531" s="64"/>
      <c r="J531" s="64"/>
      <c r="K531" s="65"/>
      <c r="L531" s="29"/>
      <c r="M531" s="68">
        <f>M212+M216+M220</f>
        <v>538.42700000000002</v>
      </c>
      <c r="N531" s="68">
        <f t="shared" si="60"/>
        <v>40.909199999999998</v>
      </c>
      <c r="O531" s="68">
        <f t="shared" si="60"/>
        <v>46.954999999999991</v>
      </c>
      <c r="P531" s="68">
        <f t="shared" si="60"/>
        <v>46.467600000000004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273.22700000000003</v>
      </c>
      <c r="F532" s="68">
        <f t="shared" si="59"/>
        <v>39.519066666666667</v>
      </c>
      <c r="G532" s="68">
        <f t="shared" si="59"/>
        <v>45.766600000000004</v>
      </c>
      <c r="H532" s="68">
        <f t="shared" si="59"/>
        <v>45.353833333333334</v>
      </c>
      <c r="I532" s="64"/>
      <c r="J532" s="64"/>
      <c r="K532" s="65"/>
      <c r="L532" s="29"/>
      <c r="M532" s="68">
        <f>M213+M217+M221</f>
        <v>273.20999999999998</v>
      </c>
      <c r="N532" s="68">
        <f t="shared" si="60"/>
        <v>39.520499999999998</v>
      </c>
      <c r="O532" s="68">
        <f t="shared" si="60"/>
        <v>45.767966666666666</v>
      </c>
      <c r="P532" s="68">
        <f t="shared" si="60"/>
        <v>45.357100000000003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149.93100000000001</v>
      </c>
      <c r="F533" s="78">
        <f t="shared" si="59"/>
        <v>37.767966666666666</v>
      </c>
      <c r="G533" s="78">
        <f t="shared" si="59"/>
        <v>44.702033333333333</v>
      </c>
      <c r="H533" s="78">
        <f t="shared" si="59"/>
        <v>44.247266666666668</v>
      </c>
      <c r="I533" s="66"/>
      <c r="J533" s="66"/>
      <c r="K533" s="67"/>
      <c r="L533" s="29"/>
      <c r="M533" s="78">
        <f>M214+M218+M222</f>
        <v>149.751</v>
      </c>
      <c r="N533" s="78">
        <f t="shared" si="60"/>
        <v>37.771799999999999</v>
      </c>
      <c r="O533" s="78">
        <f t="shared" si="60"/>
        <v>44.699800000000003</v>
      </c>
      <c r="P533" s="78">
        <f t="shared" si="60"/>
        <v>44.246600000000001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1181.6590000000001</v>
      </c>
      <c r="F534" s="75">
        <f t="shared" ref="F534:H537" si="61">AVERAGE(F235,F239,F243)</f>
        <v>43.208166666666671</v>
      </c>
      <c r="G534" s="75">
        <f t="shared" si="61"/>
        <v>48.792233333333336</v>
      </c>
      <c r="H534" s="75">
        <f t="shared" si="61"/>
        <v>48.177900000000001</v>
      </c>
      <c r="I534" s="76"/>
      <c r="J534" s="76"/>
      <c r="K534" s="77"/>
      <c r="L534" s="29"/>
      <c r="M534" s="75">
        <f>M211+M215+M223+M227</f>
        <v>1182.249</v>
      </c>
      <c r="N534" s="75">
        <f t="shared" ref="N534:P537" si="62">AVERAGE(N235,N239,N243)</f>
        <v>43.207433333333334</v>
      </c>
      <c r="O534" s="75">
        <f t="shared" si="62"/>
        <v>48.803800000000003</v>
      </c>
      <c r="P534" s="75">
        <f t="shared" si="62"/>
        <v>48.173000000000002</v>
      </c>
      <c r="Q534" s="76"/>
      <c r="R534" s="76"/>
      <c r="S534" s="77"/>
      <c r="U534" s="8">
        <f>bdrate($E534:$E537,F534:F537,$M534:$M537,N534:N537)</f>
        <v>-8.5740945120482692E-5</v>
      </c>
      <c r="V534" s="9">
        <f>bdrate($E534:$E537,G534:G537,$M534:$M537,O534:O537)</f>
        <v>-5.1710589345939084E-3</v>
      </c>
      <c r="W534" s="10">
        <f>bdrate($E534:$E537,H534:H537,$M534:$M537,P534:P537)</f>
        <v>-1.3925914484655078E-2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490.90100000000001</v>
      </c>
      <c r="F535" s="68">
        <f t="shared" si="61"/>
        <v>42.000466666666668</v>
      </c>
      <c r="G535" s="68">
        <f t="shared" si="61"/>
        <v>47.686233333333327</v>
      </c>
      <c r="H535" s="68">
        <f t="shared" si="61"/>
        <v>47.304333333333325</v>
      </c>
      <c r="I535" s="64"/>
      <c r="J535" s="64"/>
      <c r="K535" s="65"/>
      <c r="L535" s="29"/>
      <c r="M535" s="68">
        <f>M212+M216+M224+M228</f>
        <v>491.00900000000007</v>
      </c>
      <c r="N535" s="68">
        <f t="shared" si="62"/>
        <v>42.002733333333332</v>
      </c>
      <c r="O535" s="68">
        <f t="shared" si="62"/>
        <v>47.693999999999996</v>
      </c>
      <c r="P535" s="68">
        <f t="shared" si="62"/>
        <v>47.325899999999997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249.458</v>
      </c>
      <c r="F536" s="68">
        <f t="shared" si="61"/>
        <v>40.384599999999999</v>
      </c>
      <c r="G536" s="68">
        <f t="shared" si="61"/>
        <v>46.364066666666666</v>
      </c>
      <c r="H536" s="68">
        <f t="shared" si="61"/>
        <v>46.116600000000005</v>
      </c>
      <c r="I536" s="64"/>
      <c r="J536" s="64"/>
      <c r="K536" s="65"/>
      <c r="L536" s="29"/>
      <c r="M536" s="68">
        <f>M213+M217+M225+M229</f>
        <v>249.22</v>
      </c>
      <c r="N536" s="68">
        <f t="shared" si="62"/>
        <v>40.380500000000005</v>
      </c>
      <c r="O536" s="68">
        <f t="shared" si="62"/>
        <v>46.37316666666667</v>
      </c>
      <c r="P536" s="68">
        <f t="shared" si="62"/>
        <v>46.156033333333333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137.79500000000002</v>
      </c>
      <c r="F537" s="78">
        <f t="shared" si="61"/>
        <v>38.428566666666669</v>
      </c>
      <c r="G537" s="78">
        <f t="shared" si="61"/>
        <v>45.271599999999999</v>
      </c>
      <c r="H537" s="78">
        <f t="shared" si="61"/>
        <v>44.963900000000002</v>
      </c>
      <c r="I537" s="66"/>
      <c r="J537" s="66"/>
      <c r="K537" s="67"/>
      <c r="L537" s="29"/>
      <c r="M537" s="78">
        <f>M214+M218+M226+M230</f>
        <v>137.75900000000001</v>
      </c>
      <c r="N537" s="78">
        <f t="shared" si="62"/>
        <v>38.430066666666669</v>
      </c>
      <c r="O537" s="78">
        <f t="shared" si="62"/>
        <v>45.271733333333337</v>
      </c>
      <c r="P537" s="78">
        <f t="shared" si="62"/>
        <v>44.960999999999991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1495.481</v>
      </c>
      <c r="F538" s="75">
        <f t="shared" ref="F538:H541" si="63">AVERAGE(F235,F239,F243,F247,F251,F255)</f>
        <v>43.258000000000003</v>
      </c>
      <c r="G538" s="75">
        <f t="shared" si="63"/>
        <v>48.660299999999999</v>
      </c>
      <c r="H538" s="75">
        <f t="shared" si="63"/>
        <v>48.485633333333332</v>
      </c>
      <c r="I538" s="76"/>
      <c r="J538" s="76"/>
      <c r="K538" s="77"/>
      <c r="L538" s="29"/>
      <c r="M538" s="75">
        <f>M259</f>
        <v>1495.3910000000001</v>
      </c>
      <c r="N538" s="75">
        <f t="shared" ref="N538:P541" si="64">AVERAGE(N235,N239,N243,N247,N251,N255)</f>
        <v>43.256499999999996</v>
      </c>
      <c r="O538" s="75">
        <f t="shared" si="64"/>
        <v>48.658483333333329</v>
      </c>
      <c r="P538" s="75">
        <f t="shared" si="64"/>
        <v>48.478366666666666</v>
      </c>
      <c r="Q538" s="76"/>
      <c r="R538" s="76"/>
      <c r="S538" s="77"/>
      <c r="U538" s="8">
        <f>bdrate($E538:$E541,F538:F541,$M538:$M541,N538:N541)</f>
        <v>7.8740121294940124E-5</v>
      </c>
      <c r="V538" s="9">
        <f>bdrate($E538:$E541,G538:G541,$M538:$M541,O538:O541)</f>
        <v>-3.9060922534139841E-4</v>
      </c>
      <c r="W538" s="10">
        <f>bdrate($E538:$E541,H538:H541,$M538:$M541,P538:P541)</f>
        <v>-4.9281418002184996E-3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611.90099999999995</v>
      </c>
      <c r="F539" s="68">
        <f t="shared" si="63"/>
        <v>42.069983333333333</v>
      </c>
      <c r="G539" s="68">
        <f t="shared" si="63"/>
        <v>47.576549999999997</v>
      </c>
      <c r="H539" s="68">
        <f t="shared" si="63"/>
        <v>47.517483333333331</v>
      </c>
      <c r="I539" s="64"/>
      <c r="J539" s="64"/>
      <c r="K539" s="65"/>
      <c r="L539" s="29"/>
      <c r="M539" s="68">
        <f>M260</f>
        <v>611.95399999999995</v>
      </c>
      <c r="N539" s="68">
        <f t="shared" si="64"/>
        <v>42.069583333333334</v>
      </c>
      <c r="O539" s="68">
        <f t="shared" si="64"/>
        <v>47.576583333333332</v>
      </c>
      <c r="P539" s="68">
        <f t="shared" si="64"/>
        <v>47.519966666666669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311.702</v>
      </c>
      <c r="F540" s="68">
        <f t="shared" si="63"/>
        <v>40.467216666666666</v>
      </c>
      <c r="G540" s="68">
        <f t="shared" si="63"/>
        <v>46.296449999999993</v>
      </c>
      <c r="H540" s="68">
        <f t="shared" si="63"/>
        <v>46.308866666666667</v>
      </c>
      <c r="I540" s="64"/>
      <c r="J540" s="64"/>
      <c r="K540" s="65"/>
      <c r="L540" s="29"/>
      <c r="M540" s="68">
        <f>M261</f>
        <v>311.72199999999998</v>
      </c>
      <c r="N540" s="68">
        <f t="shared" si="64"/>
        <v>40.466116666666672</v>
      </c>
      <c r="O540" s="68">
        <f t="shared" si="64"/>
        <v>46.297799999999995</v>
      </c>
      <c r="P540" s="68">
        <f t="shared" si="64"/>
        <v>46.33658333333333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173.43600000000001</v>
      </c>
      <c r="F541" s="78">
        <f t="shared" si="63"/>
        <v>38.520316666666666</v>
      </c>
      <c r="G541" s="78">
        <f t="shared" si="63"/>
        <v>45.215783333333327</v>
      </c>
      <c r="H541" s="78">
        <f t="shared" si="63"/>
        <v>45.141033333333333</v>
      </c>
      <c r="I541" s="66"/>
      <c r="J541" s="66"/>
      <c r="K541" s="67"/>
      <c r="L541" s="29"/>
      <c r="M541" s="78">
        <f>M262</f>
        <v>173.25399999999999</v>
      </c>
      <c r="N541" s="78">
        <f t="shared" si="64"/>
        <v>38.524799999999999</v>
      </c>
      <c r="O541" s="78">
        <f t="shared" si="64"/>
        <v>45.219783333333339</v>
      </c>
      <c r="P541" s="78">
        <f t="shared" si="64"/>
        <v>45.126633333333331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1181.6590000000001</v>
      </c>
      <c r="F542" s="75">
        <f t="shared" ref="F542:H545" si="66">AVERAGE(F211,F215,F235,F239,F243)</f>
        <v>42.714460000000003</v>
      </c>
      <c r="G542" s="75">
        <f t="shared" si="66"/>
        <v>48.595179999999999</v>
      </c>
      <c r="H542" s="75">
        <f t="shared" si="66"/>
        <v>48.03622</v>
      </c>
      <c r="I542" s="76"/>
      <c r="J542" s="76"/>
      <c r="K542" s="77"/>
      <c r="L542" s="29"/>
      <c r="M542" s="75">
        <f t="shared" ref="M542:M549" si="67">M534</f>
        <v>1182.249</v>
      </c>
      <c r="N542" s="75">
        <f t="shared" ref="N542:P545" si="68">AVERAGE(N211,N215,N235,N239,N243)</f>
        <v>42.713999999999999</v>
      </c>
      <c r="O542" s="75">
        <f t="shared" si="68"/>
        <v>48.603559999999995</v>
      </c>
      <c r="P542" s="75">
        <f t="shared" si="68"/>
        <v>48.033279999999998</v>
      </c>
      <c r="Q542" s="76"/>
      <c r="R542" s="76"/>
      <c r="S542" s="77"/>
      <c r="U542" s="8">
        <f>bdrate($E542:$E545,F542:F545,$M542:$M545,N542:N545)</f>
        <v>-1.3773026965724355E-4</v>
      </c>
      <c r="V542" s="9">
        <f>bdrate($E542:$E545,G542:G545,$M542:$M545,O542:O545)</f>
        <v>-4.0018791999818504E-3</v>
      </c>
      <c r="W542" s="10">
        <f>bdrate($E542:$E545,H542:H545,$M542:$M545,P542:P545)</f>
        <v>-8.447372370089079E-3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490.90100000000001</v>
      </c>
      <c r="F543" s="68">
        <f t="shared" si="66"/>
        <v>41.596520000000005</v>
      </c>
      <c r="G543" s="68">
        <f t="shared" si="66"/>
        <v>47.5227</v>
      </c>
      <c r="H543" s="68">
        <f t="shared" si="66"/>
        <v>47.159500000000001</v>
      </c>
      <c r="I543" s="64"/>
      <c r="J543" s="64"/>
      <c r="K543" s="65"/>
      <c r="L543" s="29"/>
      <c r="M543" s="68">
        <f t="shared" si="67"/>
        <v>491.00900000000007</v>
      </c>
      <c r="N543" s="68">
        <f t="shared" si="68"/>
        <v>41.598179999999999</v>
      </c>
      <c r="O543" s="68">
        <f t="shared" si="68"/>
        <v>47.528319999999994</v>
      </c>
      <c r="P543" s="68">
        <f t="shared" si="68"/>
        <v>47.171480000000003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249.458</v>
      </c>
      <c r="F544" s="68">
        <f t="shared" si="66"/>
        <v>40.063840000000006</v>
      </c>
      <c r="G544" s="68">
        <f t="shared" si="66"/>
        <v>46.20608</v>
      </c>
      <c r="H544" s="68">
        <f t="shared" si="66"/>
        <v>45.965539999999997</v>
      </c>
      <c r="I544" s="64"/>
      <c r="J544" s="64"/>
      <c r="K544" s="65"/>
      <c r="L544" s="29"/>
      <c r="M544" s="68">
        <f t="shared" si="67"/>
        <v>249.22</v>
      </c>
      <c r="N544" s="68">
        <f t="shared" si="68"/>
        <v>40.060420000000001</v>
      </c>
      <c r="O544" s="68">
        <f t="shared" si="68"/>
        <v>46.213120000000004</v>
      </c>
      <c r="P544" s="68">
        <f t="shared" si="68"/>
        <v>45.98986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137.79500000000002</v>
      </c>
      <c r="F545" s="78">
        <f t="shared" si="66"/>
        <v>38.185600000000001</v>
      </c>
      <c r="G545" s="78">
        <f t="shared" si="66"/>
        <v>45.100839999999998</v>
      </c>
      <c r="H545" s="78">
        <f t="shared" si="66"/>
        <v>44.830820000000003</v>
      </c>
      <c r="I545" s="66"/>
      <c r="J545" s="66"/>
      <c r="K545" s="67"/>
      <c r="L545" s="29"/>
      <c r="M545" s="78">
        <f t="shared" si="67"/>
        <v>137.75900000000001</v>
      </c>
      <c r="N545" s="78">
        <f t="shared" si="68"/>
        <v>38.187920000000005</v>
      </c>
      <c r="O545" s="78">
        <f t="shared" si="68"/>
        <v>45.101759999999999</v>
      </c>
      <c r="P545" s="78">
        <f t="shared" si="68"/>
        <v>44.829940000000001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1495.481</v>
      </c>
      <c r="F546" s="75">
        <f t="shared" ref="F546:H549" si="69">AVERAGE(F211,F215,F219,F235,F239,F243,F247,F251,F255)</f>
        <v>42.798055555555557</v>
      </c>
      <c r="G546" s="75">
        <f t="shared" si="69"/>
        <v>48.423544444444445</v>
      </c>
      <c r="H546" s="75">
        <f t="shared" si="69"/>
        <v>48.136377777777781</v>
      </c>
      <c r="I546" s="76"/>
      <c r="J546" s="76"/>
      <c r="K546" s="77"/>
      <c r="L546" s="29"/>
      <c r="M546" s="75">
        <f t="shared" si="67"/>
        <v>1495.3910000000001</v>
      </c>
      <c r="N546" s="75">
        <f t="shared" ref="N546:P549" si="70">AVERAGE(N211,N215,N219,N235,N239,N243,N247,N251,N255)</f>
        <v>42.796811111111111</v>
      </c>
      <c r="O546" s="75">
        <f t="shared" si="70"/>
        <v>48.422811111111109</v>
      </c>
      <c r="P546" s="75">
        <f t="shared" si="70"/>
        <v>48.130622222222229</v>
      </c>
      <c r="Q546" s="76"/>
      <c r="R546" s="76"/>
      <c r="S546" s="77"/>
      <c r="U546" s="8">
        <f>bdrate($E546:$E549,F546:F549,$M546:$M549,N546:N549)</f>
        <v>-9.8360797992858018E-5</v>
      </c>
      <c r="V546" s="9">
        <f>bdrate($E546:$E549,G546:G549,$M546:$M549,O546:O549)</f>
        <v>-3.2968586100223796E-4</v>
      </c>
      <c r="W546" s="10">
        <f>bdrate($E546:$E549,H546:H549,$M546:$M549,P546:P549)</f>
        <v>-3.1957999044976981E-3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611.90099999999995</v>
      </c>
      <c r="F547" s="68">
        <f t="shared" si="69"/>
        <v>41.683022222222213</v>
      </c>
      <c r="G547" s="68">
        <f t="shared" si="69"/>
        <v>47.369611111111112</v>
      </c>
      <c r="H547" s="68">
        <f t="shared" si="69"/>
        <v>47.168611111111112</v>
      </c>
      <c r="I547" s="64"/>
      <c r="J547" s="64"/>
      <c r="K547" s="65"/>
      <c r="L547" s="29"/>
      <c r="M547" s="68">
        <f t="shared" si="67"/>
        <v>611.95399999999995</v>
      </c>
      <c r="N547" s="68">
        <f t="shared" si="70"/>
        <v>41.682788888888894</v>
      </c>
      <c r="O547" s="68">
        <f t="shared" si="70"/>
        <v>47.369388888888892</v>
      </c>
      <c r="P547" s="68">
        <f t="shared" si="70"/>
        <v>47.169177777777783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311.702</v>
      </c>
      <c r="F548" s="68">
        <f t="shared" si="69"/>
        <v>40.151166666666668</v>
      </c>
      <c r="G548" s="68">
        <f t="shared" si="69"/>
        <v>46.119833333333332</v>
      </c>
      <c r="H548" s="68">
        <f t="shared" si="69"/>
        <v>45.990522222222218</v>
      </c>
      <c r="I548" s="64"/>
      <c r="J548" s="64"/>
      <c r="K548" s="65"/>
      <c r="L548" s="29"/>
      <c r="M548" s="68">
        <f t="shared" si="67"/>
        <v>311.72199999999998</v>
      </c>
      <c r="N548" s="68">
        <f t="shared" si="70"/>
        <v>40.150911111111114</v>
      </c>
      <c r="O548" s="68">
        <f t="shared" si="70"/>
        <v>46.121188888888895</v>
      </c>
      <c r="P548" s="68">
        <f t="shared" si="70"/>
        <v>46.010088888888887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173.43600000000001</v>
      </c>
      <c r="F549" s="78">
        <f t="shared" si="69"/>
        <v>38.269533333333335</v>
      </c>
      <c r="G549" s="78">
        <f t="shared" si="69"/>
        <v>45.044533333333334</v>
      </c>
      <c r="H549" s="78">
        <f t="shared" si="69"/>
        <v>44.843111111111114</v>
      </c>
      <c r="I549" s="66"/>
      <c r="J549" s="66"/>
      <c r="K549" s="67"/>
      <c r="L549" s="29"/>
      <c r="M549" s="78">
        <f t="shared" si="67"/>
        <v>173.25399999999999</v>
      </c>
      <c r="N549" s="78">
        <f t="shared" si="70"/>
        <v>38.273800000000001</v>
      </c>
      <c r="O549" s="78">
        <f t="shared" si="70"/>
        <v>45.046455555555553</v>
      </c>
      <c r="P549" s="78">
        <f t="shared" si="70"/>
        <v>44.833288888888887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3141.0480000000002</v>
      </c>
      <c r="F550" s="75">
        <f t="shared" ref="F550:H553" si="71">AVERAGE(F263,F267)</f>
        <v>39.420749999999998</v>
      </c>
      <c r="G550" s="75">
        <f t="shared" si="71"/>
        <v>46.6721</v>
      </c>
      <c r="H550" s="75">
        <f t="shared" si="71"/>
        <v>45.382300000000001</v>
      </c>
      <c r="I550" s="76"/>
      <c r="J550" s="76"/>
      <c r="K550" s="77"/>
      <c r="L550" s="29"/>
      <c r="M550" s="79">
        <f>M263+M267</f>
        <v>3142.0544</v>
      </c>
      <c r="N550" s="75">
        <f t="shared" ref="N550:P553" si="72">AVERAGE(N263,N267)</f>
        <v>39.422150000000002</v>
      </c>
      <c r="O550" s="75">
        <f t="shared" si="72"/>
        <v>46.67315</v>
      </c>
      <c r="P550" s="75">
        <f t="shared" si="72"/>
        <v>45.382800000000003</v>
      </c>
      <c r="Q550" s="76"/>
      <c r="R550" s="76"/>
      <c r="S550" s="77"/>
      <c r="U550" s="8">
        <f>bdrate($E550:$E553,F550:F553,$M550:$M553,N550:N553)</f>
        <v>-2.5454937485180906E-4</v>
      </c>
      <c r="V550" s="9">
        <f>bdrate($E550:$E553,G550:G553,$M550:$M553,O550:O553)</f>
        <v>-2.027527242776106E-4</v>
      </c>
      <c r="W550" s="10">
        <f>bdrate($E550:$E553,H550:H553,$M550:$M553,P550:P553)</f>
        <v>5.6733201330461114E-4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1152.4080000000001</v>
      </c>
      <c r="F551" s="68">
        <f t="shared" si="71"/>
        <v>37.519149999999996</v>
      </c>
      <c r="G551" s="68">
        <f t="shared" si="71"/>
        <v>45.23695</v>
      </c>
      <c r="H551" s="68">
        <f t="shared" si="71"/>
        <v>43.832650000000001</v>
      </c>
      <c r="I551" s="64"/>
      <c r="J551" s="64"/>
      <c r="K551" s="65"/>
      <c r="L551" s="29"/>
      <c r="M551" s="80">
        <f>M264+M268</f>
        <v>1152.0992000000001</v>
      </c>
      <c r="N551" s="68">
        <f t="shared" si="72"/>
        <v>37.518349999999998</v>
      </c>
      <c r="O551" s="68">
        <f t="shared" si="72"/>
        <v>45.236699999999999</v>
      </c>
      <c r="P551" s="68">
        <f t="shared" si="72"/>
        <v>43.828699999999998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537.27279999999996</v>
      </c>
      <c r="F552" s="68">
        <f t="shared" si="71"/>
        <v>35.561099999999996</v>
      </c>
      <c r="G552" s="68">
        <f t="shared" si="71"/>
        <v>43.617400000000004</v>
      </c>
      <c r="H552" s="68">
        <f t="shared" si="71"/>
        <v>42.320899999999995</v>
      </c>
      <c r="I552" s="64"/>
      <c r="J552" s="64"/>
      <c r="K552" s="65"/>
      <c r="L552" s="29"/>
      <c r="M552" s="80">
        <f>M265+M269</f>
        <v>537.14160000000004</v>
      </c>
      <c r="N552" s="68">
        <f t="shared" si="72"/>
        <v>35.561999999999998</v>
      </c>
      <c r="O552" s="68">
        <f t="shared" si="72"/>
        <v>43.617550000000001</v>
      </c>
      <c r="P552" s="68">
        <f t="shared" si="72"/>
        <v>42.322499999999998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275.01599999999996</v>
      </c>
      <c r="F553" s="78">
        <f t="shared" si="71"/>
        <v>33.514099999999999</v>
      </c>
      <c r="G553" s="78">
        <f t="shared" si="71"/>
        <v>42.401949999999999</v>
      </c>
      <c r="H553" s="78">
        <f t="shared" si="71"/>
        <v>41.24615</v>
      </c>
      <c r="I553" s="66"/>
      <c r="J553" s="66"/>
      <c r="K553" s="67"/>
      <c r="L553" s="29"/>
      <c r="M553" s="81">
        <f>M266+M270</f>
        <v>275.05119999999999</v>
      </c>
      <c r="N553" s="78">
        <f t="shared" si="72"/>
        <v>33.514749999999999</v>
      </c>
      <c r="O553" s="78">
        <f t="shared" si="72"/>
        <v>42.401600000000002</v>
      </c>
      <c r="P553" s="78">
        <f t="shared" si="72"/>
        <v>41.244600000000005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3832.3872000000001</v>
      </c>
      <c r="F554" s="75">
        <f t="shared" ref="F554:H557" si="73">AVERAGE(F263,F267,F271)</f>
        <v>39.251433333333331</v>
      </c>
      <c r="G554" s="75">
        <f t="shared" si="73"/>
        <v>46.589166666666664</v>
      </c>
      <c r="H554" s="75">
        <f t="shared" si="73"/>
        <v>45.631933333333336</v>
      </c>
      <c r="I554" s="76"/>
      <c r="J554" s="76"/>
      <c r="K554" s="77"/>
      <c r="L554" s="29"/>
      <c r="M554" s="75">
        <f>M263+M267+M271</f>
        <v>3832.8768</v>
      </c>
      <c r="N554" s="75">
        <f t="shared" ref="N554:P557" si="74">AVERAGE(N263,N267,N271)</f>
        <v>39.252333333333333</v>
      </c>
      <c r="O554" s="75">
        <f t="shared" si="74"/>
        <v>46.591966666666671</v>
      </c>
      <c r="P554" s="75">
        <f t="shared" si="74"/>
        <v>45.633266666666664</v>
      </c>
      <c r="Q554" s="76"/>
      <c r="R554" s="76"/>
      <c r="S554" s="77"/>
      <c r="U554" s="8">
        <f>bdrate($E554:$E557,F554:F557,$M554:$M557,N554:N557)</f>
        <v>-2.4450046324209218E-4</v>
      </c>
      <c r="V554" s="9">
        <f>bdrate($E554:$E557,G554:G557,$M554:$M557,O554:O557)</f>
        <v>-9.2268021112162923E-4</v>
      </c>
      <c r="W554" s="10">
        <f>bdrate($E554:$E557,H554:H557,$M554:$M557,P554:P557)</f>
        <v>-1.2056260800719087E-4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1345.6168000000002</v>
      </c>
      <c r="F555" s="68">
        <f t="shared" si="73"/>
        <v>37.329000000000001</v>
      </c>
      <c r="G555" s="68">
        <f t="shared" si="73"/>
        <v>45.15423333333333</v>
      </c>
      <c r="H555" s="68">
        <f t="shared" si="73"/>
        <v>44.125366666666672</v>
      </c>
      <c r="I555" s="64"/>
      <c r="J555" s="64"/>
      <c r="K555" s="65"/>
      <c r="L555" s="29"/>
      <c r="M555" s="68">
        <f>M264+M268+M272</f>
        <v>1344.7416000000001</v>
      </c>
      <c r="N555" s="68">
        <f t="shared" si="74"/>
        <v>37.328133333333334</v>
      </c>
      <c r="O555" s="68">
        <f t="shared" si="74"/>
        <v>45.154166666666669</v>
      </c>
      <c r="P555" s="68">
        <f t="shared" si="74"/>
        <v>44.124333333333333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611.19439999999997</v>
      </c>
      <c r="F556" s="68">
        <f t="shared" si="73"/>
        <v>35.365333333333332</v>
      </c>
      <c r="G556" s="68">
        <f t="shared" si="73"/>
        <v>43.571100000000001</v>
      </c>
      <c r="H556" s="68">
        <f t="shared" si="73"/>
        <v>42.589333333333329</v>
      </c>
      <c r="I556" s="64"/>
      <c r="J556" s="64"/>
      <c r="K556" s="65"/>
      <c r="L556" s="29"/>
      <c r="M556" s="68">
        <f>M265+M269+M273</f>
        <v>610.87520000000006</v>
      </c>
      <c r="N556" s="68">
        <f t="shared" si="74"/>
        <v>35.364933333333333</v>
      </c>
      <c r="O556" s="68">
        <f t="shared" si="74"/>
        <v>43.572466666666664</v>
      </c>
      <c r="P556" s="68">
        <f t="shared" si="74"/>
        <v>42.589266666666667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306.30159999999995</v>
      </c>
      <c r="F557" s="78">
        <f t="shared" si="73"/>
        <v>33.325499999999998</v>
      </c>
      <c r="G557" s="78">
        <f t="shared" si="73"/>
        <v>42.3705</v>
      </c>
      <c r="H557" s="78">
        <f t="shared" si="73"/>
        <v>41.470599999999997</v>
      </c>
      <c r="I557" s="66"/>
      <c r="J557" s="66"/>
      <c r="K557" s="67"/>
      <c r="L557" s="29"/>
      <c r="M557" s="78">
        <f>M266+M270+M274</f>
        <v>306.48480000000001</v>
      </c>
      <c r="N557" s="78">
        <f t="shared" si="74"/>
        <v>33.3264</v>
      </c>
      <c r="O557" s="78">
        <f t="shared" si="74"/>
        <v>42.3705</v>
      </c>
      <c r="P557" s="78">
        <f t="shared" si="74"/>
        <v>41.468400000000003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3406.0256000000004</v>
      </c>
      <c r="F558" s="75">
        <f t="shared" ref="F558:H561" si="75">AVERAGE(F287,F291,F295)</f>
        <v>40.445700000000002</v>
      </c>
      <c r="G558" s="75">
        <f t="shared" si="75"/>
        <v>47.186866666666667</v>
      </c>
      <c r="H558" s="75">
        <f t="shared" si="75"/>
        <v>46.689300000000003</v>
      </c>
      <c r="I558" s="76"/>
      <c r="J558" s="76"/>
      <c r="K558" s="77"/>
      <c r="L558" s="29"/>
      <c r="M558" s="75">
        <f>M263+M267+M275+M279</f>
        <v>3406.9535999999998</v>
      </c>
      <c r="N558" s="75">
        <f t="shared" ref="N558:P561" si="76">AVERAGE(N287,N291,N295)</f>
        <v>40.447066666666672</v>
      </c>
      <c r="O558" s="75">
        <f t="shared" si="76"/>
        <v>47.213533333333338</v>
      </c>
      <c r="P558" s="75">
        <f t="shared" si="76"/>
        <v>46.712266666666665</v>
      </c>
      <c r="Q558" s="76"/>
      <c r="R558" s="76"/>
      <c r="S558" s="77"/>
      <c r="U558" s="8">
        <f>bdrate($E558:$E561,F558:F561,$M558:$M561,N558:N561)</f>
        <v>-2.2826201915437938E-4</v>
      </c>
      <c r="V558" s="9">
        <f>bdrate($E558:$E561,G558:G561,$M558:$M561,O558:O561)</f>
        <v>-5.6082129016186144E-3</v>
      </c>
      <c r="W558" s="10">
        <f>bdrate($E558:$E561,H558:H561,$M558:$M561,P558:P561)</f>
        <v>2.6069559701913381E-3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1226.7336000000003</v>
      </c>
      <c r="F559" s="68">
        <f t="shared" si="75"/>
        <v>38.253099999999996</v>
      </c>
      <c r="G559" s="68">
        <f t="shared" si="75"/>
        <v>45.608766666666668</v>
      </c>
      <c r="H559" s="68">
        <f t="shared" si="75"/>
        <v>45.031166666666671</v>
      </c>
      <c r="I559" s="64"/>
      <c r="J559" s="64"/>
      <c r="K559" s="65"/>
      <c r="L559" s="29"/>
      <c r="M559" s="68">
        <f>M264+M268+M276+M280</f>
        <v>1226.5848000000001</v>
      </c>
      <c r="N559" s="68">
        <f t="shared" si="76"/>
        <v>38.252400000000002</v>
      </c>
      <c r="O559" s="68">
        <f t="shared" si="76"/>
        <v>45.619333333333337</v>
      </c>
      <c r="P559" s="68">
        <f t="shared" si="76"/>
        <v>45.019066666666667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567.08960000000002</v>
      </c>
      <c r="F560" s="68">
        <f t="shared" si="75"/>
        <v>36.12713333333334</v>
      </c>
      <c r="G560" s="68">
        <f t="shared" si="75"/>
        <v>43.962966666666659</v>
      </c>
      <c r="H560" s="68">
        <f t="shared" si="75"/>
        <v>43.437133333333328</v>
      </c>
      <c r="I560" s="64"/>
      <c r="J560" s="64"/>
      <c r="K560" s="65"/>
      <c r="L560" s="29"/>
      <c r="M560" s="68">
        <f>M265+M269+M277+M281</f>
        <v>566.97200000000009</v>
      </c>
      <c r="N560" s="68">
        <f t="shared" si="76"/>
        <v>36.128233333333334</v>
      </c>
      <c r="O560" s="68">
        <f t="shared" si="76"/>
        <v>43.967533333333336</v>
      </c>
      <c r="P560" s="68">
        <f t="shared" si="76"/>
        <v>43.431233333333331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289.45999999999998</v>
      </c>
      <c r="F561" s="78">
        <f t="shared" si="75"/>
        <v>33.946899999999999</v>
      </c>
      <c r="G561" s="78">
        <f t="shared" si="75"/>
        <v>42.698666666666668</v>
      </c>
      <c r="H561" s="78">
        <f t="shared" si="75"/>
        <v>42.316233333333336</v>
      </c>
      <c r="I561" s="66"/>
      <c r="J561" s="66"/>
      <c r="K561" s="67"/>
      <c r="L561" s="29"/>
      <c r="M561" s="78">
        <f>M266+M270+M278+M282</f>
        <v>289.53120000000001</v>
      </c>
      <c r="N561" s="78">
        <f t="shared" si="76"/>
        <v>33.948366666666665</v>
      </c>
      <c r="O561" s="78">
        <f t="shared" si="76"/>
        <v>42.696433333333339</v>
      </c>
      <c r="P561" s="78">
        <f t="shared" si="76"/>
        <v>42.29846666666667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4219.6935999999996</v>
      </c>
      <c r="F562" s="75">
        <f t="shared" ref="F562:H565" si="77">AVERAGE(F287,F291,F295,F299,F303,F307)</f>
        <v>40.405033333333343</v>
      </c>
      <c r="G562" s="75">
        <f t="shared" si="77"/>
        <v>47.052016666666667</v>
      </c>
      <c r="H562" s="75">
        <f t="shared" si="77"/>
        <v>46.717883333333333</v>
      </c>
      <c r="I562" s="76"/>
      <c r="J562" s="76"/>
      <c r="K562" s="77"/>
      <c r="L562" s="29"/>
      <c r="M562" s="75">
        <f>M311</f>
        <v>4219.7640000000001</v>
      </c>
      <c r="N562" s="75">
        <f t="shared" ref="N562:P565" si="78">AVERAGE(N287,N291,N295,N299,N303,N307)</f>
        <v>40.405833333333334</v>
      </c>
      <c r="O562" s="75">
        <f t="shared" si="78"/>
        <v>47.06303333333333</v>
      </c>
      <c r="P562" s="75">
        <f t="shared" si="78"/>
        <v>46.727766666666668</v>
      </c>
      <c r="Q562" s="76"/>
      <c r="R562" s="76"/>
      <c r="S562" s="77"/>
      <c r="U562" s="8">
        <f>bdrate($E562:$E565,F562:F565,$M562:$M565,N562:N565)</f>
        <v>-7.256531978150349E-5</v>
      </c>
      <c r="V562" s="9">
        <f>bdrate($E562:$E565,G562:G565,$M562:$M565,O562:O565)</f>
        <v>-2.412847620189007E-3</v>
      </c>
      <c r="W562" s="10">
        <f>bdrate($E562:$E565,H562:H565,$M562:$M565,P562:P565)</f>
        <v>1.8025849142366823E-3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1453.2488000000001</v>
      </c>
      <c r="F563" s="68">
        <f t="shared" si="77"/>
        <v>38.187850000000005</v>
      </c>
      <c r="G563" s="68">
        <f t="shared" si="77"/>
        <v>45.52955</v>
      </c>
      <c r="H563" s="68">
        <f t="shared" si="77"/>
        <v>45.090066666666672</v>
      </c>
      <c r="I563" s="64"/>
      <c r="J563" s="64"/>
      <c r="K563" s="65"/>
      <c r="L563" s="29"/>
      <c r="M563" s="68">
        <f>M312</f>
        <v>1452.452</v>
      </c>
      <c r="N563" s="68">
        <f t="shared" si="78"/>
        <v>38.187249999999999</v>
      </c>
      <c r="O563" s="68">
        <f t="shared" si="78"/>
        <v>45.534033333333333</v>
      </c>
      <c r="P563" s="68">
        <f t="shared" si="78"/>
        <v>45.08391666666666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656.19920000000002</v>
      </c>
      <c r="F564" s="68">
        <f t="shared" si="77"/>
        <v>36.052399999999999</v>
      </c>
      <c r="G564" s="68">
        <f t="shared" si="77"/>
        <v>43.846699999999998</v>
      </c>
      <c r="H564" s="68">
        <f t="shared" si="77"/>
        <v>43.4163</v>
      </c>
      <c r="I564" s="64"/>
      <c r="J564" s="64"/>
      <c r="K564" s="65"/>
      <c r="L564" s="29"/>
      <c r="M564" s="68">
        <f>M313</f>
        <v>655.9624</v>
      </c>
      <c r="N564" s="68">
        <f t="shared" si="78"/>
        <v>36.051133333333333</v>
      </c>
      <c r="O564" s="68">
        <f t="shared" si="78"/>
        <v>43.846033333333338</v>
      </c>
      <c r="P564" s="68">
        <f t="shared" si="78"/>
        <v>43.409150000000004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330.38479999999998</v>
      </c>
      <c r="F565" s="78">
        <f t="shared" si="77"/>
        <v>33.866383333333339</v>
      </c>
      <c r="G565" s="78">
        <f t="shared" si="77"/>
        <v>42.584350000000001</v>
      </c>
      <c r="H565" s="78">
        <f t="shared" si="77"/>
        <v>42.202350000000003</v>
      </c>
      <c r="I565" s="66"/>
      <c r="J565" s="66"/>
      <c r="K565" s="67"/>
      <c r="L565" s="29"/>
      <c r="M565" s="78">
        <f>M314</f>
        <v>330.6728</v>
      </c>
      <c r="N565" s="78">
        <f t="shared" si="78"/>
        <v>33.86761666666667</v>
      </c>
      <c r="O565" s="78">
        <f t="shared" si="78"/>
        <v>42.586100000000009</v>
      </c>
      <c r="P565" s="78">
        <f t="shared" si="78"/>
        <v>42.195333333333338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3406.0256000000004</v>
      </c>
      <c r="F566" s="75">
        <f t="shared" ref="F566:H569" si="80">AVERAGE(F263,F267,F287,F291,F295)</f>
        <v>40.035720000000005</v>
      </c>
      <c r="G566" s="75">
        <f t="shared" si="80"/>
        <v>46.980959999999996</v>
      </c>
      <c r="H566" s="75">
        <f t="shared" si="80"/>
        <v>46.166499999999999</v>
      </c>
      <c r="I566" s="76"/>
      <c r="J566" s="76"/>
      <c r="K566" s="77"/>
      <c r="L566" s="29"/>
      <c r="M566" s="75">
        <f t="shared" ref="M566:M573" si="81">M558</f>
        <v>3406.9535999999998</v>
      </c>
      <c r="N566" s="75">
        <f t="shared" ref="N566:P569" si="82">AVERAGE(N263,N267,N287,N291,N295)</f>
        <v>40.037100000000002</v>
      </c>
      <c r="O566" s="75">
        <f t="shared" si="82"/>
        <v>46.99738</v>
      </c>
      <c r="P566" s="75">
        <f t="shared" si="82"/>
        <v>46.180480000000003</v>
      </c>
      <c r="Q566" s="76"/>
      <c r="R566" s="76"/>
      <c r="S566" s="77"/>
      <c r="U566" s="8">
        <f>bdrate($E566:$E569,F566:F569,$M566:$M569,N566:N569)</f>
        <v>-2.0942142535806951E-4</v>
      </c>
      <c r="V566" s="9">
        <f>bdrate($E566:$E569,G566:G569,$M566:$M569,O566:O569)</f>
        <v>-3.4989659070217005E-3</v>
      </c>
      <c r="W566" s="10">
        <f>bdrate($E566:$E569,H566:H569,$M566:$M569,P566:P569)</f>
        <v>1.8439852960119296E-3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1226.7336000000003</v>
      </c>
      <c r="F567" s="68">
        <f t="shared" si="80"/>
        <v>37.959520000000005</v>
      </c>
      <c r="G567" s="68">
        <f t="shared" si="80"/>
        <v>45.460039999999999</v>
      </c>
      <c r="H567" s="68">
        <f t="shared" si="80"/>
        <v>44.551760000000002</v>
      </c>
      <c r="I567" s="64"/>
      <c r="J567" s="64"/>
      <c r="K567" s="65"/>
      <c r="L567" s="29"/>
      <c r="M567" s="68">
        <f t="shared" si="81"/>
        <v>1226.5848000000001</v>
      </c>
      <c r="N567" s="68">
        <f t="shared" si="82"/>
        <v>37.958780000000004</v>
      </c>
      <c r="O567" s="68">
        <f t="shared" si="82"/>
        <v>45.466280000000005</v>
      </c>
      <c r="P567" s="68">
        <f t="shared" si="82"/>
        <v>44.542919999999995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567.08960000000002</v>
      </c>
      <c r="F568" s="68">
        <f t="shared" si="80"/>
        <v>35.90072</v>
      </c>
      <c r="G568" s="68">
        <f t="shared" si="80"/>
        <v>43.824739999999998</v>
      </c>
      <c r="H568" s="68">
        <f t="shared" si="80"/>
        <v>42.990639999999999</v>
      </c>
      <c r="I568" s="64"/>
      <c r="J568" s="64"/>
      <c r="K568" s="65"/>
      <c r="L568" s="29"/>
      <c r="M568" s="68">
        <f t="shared" si="81"/>
        <v>566.97200000000009</v>
      </c>
      <c r="N568" s="68">
        <f t="shared" si="82"/>
        <v>35.901739999999997</v>
      </c>
      <c r="O568" s="68">
        <f t="shared" si="82"/>
        <v>43.827539999999999</v>
      </c>
      <c r="P568" s="68">
        <f t="shared" si="82"/>
        <v>42.987740000000002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289.45999999999998</v>
      </c>
      <c r="F569" s="78">
        <f t="shared" si="80"/>
        <v>33.773780000000002</v>
      </c>
      <c r="G569" s="78">
        <f t="shared" si="80"/>
        <v>42.579979999999999</v>
      </c>
      <c r="H569" s="78">
        <f t="shared" si="80"/>
        <v>41.888199999999998</v>
      </c>
      <c r="I569" s="66"/>
      <c r="J569" s="66"/>
      <c r="K569" s="67"/>
      <c r="L569" s="29"/>
      <c r="M569" s="78">
        <f t="shared" si="81"/>
        <v>289.53120000000001</v>
      </c>
      <c r="N569" s="78">
        <f t="shared" si="82"/>
        <v>33.774919999999995</v>
      </c>
      <c r="O569" s="78">
        <f t="shared" si="82"/>
        <v>42.578500000000005</v>
      </c>
      <c r="P569" s="78">
        <f t="shared" si="82"/>
        <v>41.876920000000005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4219.6935999999996</v>
      </c>
      <c r="F570" s="75">
        <f t="shared" ref="F570:H573" si="83">AVERAGE(F263,F267,F271,F287,F291,F295,F299,F303,F307)</f>
        <v>40.020499999999998</v>
      </c>
      <c r="G570" s="75">
        <f t="shared" si="83"/>
        <v>46.897733333333335</v>
      </c>
      <c r="H570" s="75">
        <f t="shared" si="83"/>
        <v>46.355899999999998</v>
      </c>
      <c r="I570" s="76"/>
      <c r="J570" s="76"/>
      <c r="K570" s="77"/>
      <c r="L570" s="29"/>
      <c r="M570" s="75">
        <f t="shared" si="81"/>
        <v>4219.7640000000001</v>
      </c>
      <c r="N570" s="75">
        <f t="shared" ref="N570:P573" si="84">AVERAGE(N263,N267,N271,N287,N291,N295,N299,N303,N307)</f>
        <v>40.021333333333331</v>
      </c>
      <c r="O570" s="75">
        <f t="shared" si="84"/>
        <v>46.906011111111106</v>
      </c>
      <c r="P570" s="75">
        <f t="shared" si="84"/>
        <v>46.362933333333338</v>
      </c>
      <c r="Q570" s="76"/>
      <c r="R570" s="76"/>
      <c r="S570" s="77"/>
      <c r="U570" s="8">
        <f>bdrate($E570:$E573,F570:F573,$M570:$M573,N570:N573)</f>
        <v>-8.7563913230281898E-5</v>
      </c>
      <c r="V570" s="9">
        <f>bdrate($E570:$E573,G570:G573,$M570:$M573,O570:O573)</f>
        <v>-1.9017742723406172E-3</v>
      </c>
      <c r="W570" s="10">
        <f>bdrate($E570:$E573,H570:H573,$M570:$M573,P570:P573)</f>
        <v>1.2290165636121841E-3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1453.2488000000001</v>
      </c>
      <c r="F571" s="68">
        <f t="shared" si="83"/>
        <v>37.901566666666675</v>
      </c>
      <c r="G571" s="68">
        <f t="shared" si="83"/>
        <v>45.404444444444444</v>
      </c>
      <c r="H571" s="68">
        <f t="shared" si="83"/>
        <v>44.768500000000003</v>
      </c>
      <c r="I571" s="64"/>
      <c r="J571" s="64"/>
      <c r="K571" s="65"/>
      <c r="L571" s="29"/>
      <c r="M571" s="68">
        <f t="shared" si="81"/>
        <v>1452.452</v>
      </c>
      <c r="N571" s="68">
        <f t="shared" si="84"/>
        <v>37.900877777777779</v>
      </c>
      <c r="O571" s="68">
        <f t="shared" si="84"/>
        <v>45.407411111111116</v>
      </c>
      <c r="P571" s="68">
        <f t="shared" si="84"/>
        <v>44.764055555555551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656.19920000000002</v>
      </c>
      <c r="F572" s="68">
        <f t="shared" si="83"/>
        <v>35.823377777777779</v>
      </c>
      <c r="G572" s="68">
        <f t="shared" si="83"/>
        <v>43.75483333333333</v>
      </c>
      <c r="H572" s="68">
        <f t="shared" si="83"/>
        <v>43.140644444444447</v>
      </c>
      <c r="I572" s="64"/>
      <c r="J572" s="64"/>
      <c r="K572" s="65"/>
      <c r="L572" s="29"/>
      <c r="M572" s="68">
        <f t="shared" si="81"/>
        <v>655.9624</v>
      </c>
      <c r="N572" s="68">
        <f t="shared" si="84"/>
        <v>35.822399999999995</v>
      </c>
      <c r="O572" s="68">
        <f t="shared" si="84"/>
        <v>43.754844444444444</v>
      </c>
      <c r="P572" s="68">
        <f t="shared" si="84"/>
        <v>43.135855555555558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330.38479999999998</v>
      </c>
      <c r="F573" s="78">
        <f t="shared" si="83"/>
        <v>33.686088888888882</v>
      </c>
      <c r="G573" s="78">
        <f t="shared" si="83"/>
        <v>42.513066666666674</v>
      </c>
      <c r="H573" s="78">
        <f t="shared" si="83"/>
        <v>41.958433333333325</v>
      </c>
      <c r="I573" s="66"/>
      <c r="J573" s="66"/>
      <c r="K573" s="67"/>
      <c r="L573" s="29"/>
      <c r="M573" s="78">
        <f t="shared" si="81"/>
        <v>330.6728</v>
      </c>
      <c r="N573" s="78">
        <f t="shared" si="84"/>
        <v>33.687211111111111</v>
      </c>
      <c r="O573" s="78">
        <f t="shared" si="84"/>
        <v>42.514233333333337</v>
      </c>
      <c r="P573" s="78">
        <f t="shared" si="84"/>
        <v>41.953022222222224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5539.82</v>
      </c>
      <c r="F574" s="75">
        <f t="shared" ref="F574:H577" si="85">AVERAGE(F315,F319)</f>
        <v>38.389650000000003</v>
      </c>
      <c r="G574" s="75">
        <f t="shared" si="85"/>
        <v>46.613349999999997</v>
      </c>
      <c r="H574" s="75">
        <f t="shared" si="85"/>
        <v>45.967150000000004</v>
      </c>
      <c r="I574" s="76"/>
      <c r="J574" s="76"/>
      <c r="K574" s="77"/>
      <c r="L574" s="29"/>
      <c r="M574" s="79">
        <f>M315+M319</f>
        <v>5537.5631999999996</v>
      </c>
      <c r="N574" s="75">
        <f t="shared" ref="N574:P577" si="86">AVERAGE(N315,N319)</f>
        <v>38.3919</v>
      </c>
      <c r="O574" s="75">
        <f t="shared" si="86"/>
        <v>46.614149999999995</v>
      </c>
      <c r="P574" s="75">
        <f t="shared" si="86"/>
        <v>45.967950000000002</v>
      </c>
      <c r="Q574" s="76"/>
      <c r="R574" s="76"/>
      <c r="S574" s="77"/>
      <c r="U574" s="8">
        <f>bdrate($E574:$E577,F574:F577,$M574:$M577,N574:N577)</f>
        <v>-8.6032612382469509E-4</v>
      </c>
      <c r="V574" s="9">
        <f>bdrate($E574:$E577,G574:G577,$M574:$M577,O574:O577)</f>
        <v>-4.7760318654521683E-4</v>
      </c>
      <c r="W574" s="10">
        <f>bdrate($E574:$E577,H574:H577,$M574:$M577,P574:P577)</f>
        <v>-3.7341801003709651E-4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2326.0120000000002</v>
      </c>
      <c r="F575" s="68">
        <f t="shared" si="85"/>
        <v>35.630399999999995</v>
      </c>
      <c r="G575" s="68">
        <f t="shared" si="85"/>
        <v>45.133200000000002</v>
      </c>
      <c r="H575" s="68">
        <f t="shared" si="85"/>
        <v>44.58175</v>
      </c>
      <c r="I575" s="64"/>
      <c r="J575" s="64"/>
      <c r="K575" s="65"/>
      <c r="L575" s="29"/>
      <c r="M575" s="80">
        <f>M316+M320</f>
        <v>2325.2008000000001</v>
      </c>
      <c r="N575" s="68">
        <f t="shared" si="86"/>
        <v>35.631699999999995</v>
      </c>
      <c r="O575" s="68">
        <f t="shared" si="86"/>
        <v>45.131150000000005</v>
      </c>
      <c r="P575" s="68">
        <f t="shared" si="86"/>
        <v>44.581000000000003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1053.6496</v>
      </c>
      <c r="F576" s="68">
        <f t="shared" si="85"/>
        <v>33.165149999999997</v>
      </c>
      <c r="G576" s="68">
        <f t="shared" si="85"/>
        <v>43.817599999999999</v>
      </c>
      <c r="H576" s="68">
        <f t="shared" si="85"/>
        <v>43.374499999999998</v>
      </c>
      <c r="I576" s="64"/>
      <c r="J576" s="64"/>
      <c r="K576" s="65"/>
      <c r="L576" s="29"/>
      <c r="M576" s="80">
        <f>M317+M321</f>
        <v>1053.0976000000001</v>
      </c>
      <c r="N576" s="68">
        <f t="shared" si="86"/>
        <v>33.165999999999997</v>
      </c>
      <c r="O576" s="68">
        <f t="shared" si="86"/>
        <v>43.819299999999998</v>
      </c>
      <c r="P576" s="68">
        <f t="shared" si="86"/>
        <v>43.373550000000002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488.43759999999997</v>
      </c>
      <c r="F577" s="78">
        <f t="shared" si="85"/>
        <v>30.904299999999999</v>
      </c>
      <c r="G577" s="78">
        <f t="shared" si="85"/>
        <v>43.010099999999994</v>
      </c>
      <c r="H577" s="78">
        <f t="shared" si="85"/>
        <v>42.6143</v>
      </c>
      <c r="I577" s="66"/>
      <c r="J577" s="66"/>
      <c r="K577" s="67"/>
      <c r="L577" s="29"/>
      <c r="M577" s="81">
        <f>M318+M322</f>
        <v>488.096</v>
      </c>
      <c r="N577" s="78">
        <f t="shared" si="86"/>
        <v>30.9054</v>
      </c>
      <c r="O577" s="78">
        <f t="shared" si="86"/>
        <v>43.011749999999999</v>
      </c>
      <c r="P577" s="78">
        <f t="shared" si="86"/>
        <v>42.617699999999999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6403.6055999999999</v>
      </c>
      <c r="F578" s="75">
        <f t="shared" ref="F578:H581" si="87">AVERAGE(F315,F319,F323)</f>
        <v>38.306566666666669</v>
      </c>
      <c r="G578" s="75">
        <f t="shared" si="87"/>
        <v>46.580466666666666</v>
      </c>
      <c r="H578" s="75">
        <f t="shared" si="87"/>
        <v>45.904299999999999</v>
      </c>
      <c r="I578" s="76"/>
      <c r="J578" s="76"/>
      <c r="K578" s="77"/>
      <c r="L578" s="29"/>
      <c r="M578" s="75">
        <f>M315+M319+M323</f>
        <v>6399.5648000000001</v>
      </c>
      <c r="N578" s="75">
        <f t="shared" ref="N578:P581" si="88">AVERAGE(N315,N319,N323)</f>
        <v>38.30916666666667</v>
      </c>
      <c r="O578" s="75">
        <f t="shared" si="88"/>
        <v>46.581133333333327</v>
      </c>
      <c r="P578" s="75">
        <f t="shared" si="88"/>
        <v>45.904899999999998</v>
      </c>
      <c r="Q578" s="76"/>
      <c r="R578" s="76"/>
      <c r="S578" s="77"/>
      <c r="U578" s="8">
        <f>bdrate($E578:$E581,F578:F581,$M578:$M581,N578:N581)</f>
        <v>-1.3518481894277956E-3</v>
      </c>
      <c r="V578" s="9">
        <f>bdrate($E578:$E581,G578:G581,$M578:$M581,O578:O581)</f>
        <v>-1.1627308077082343E-3</v>
      </c>
      <c r="W578" s="10">
        <f>bdrate($E578:$E581,H578:H581,$M578:$M581,P578:P581)</f>
        <v>-7.2133778952754302E-4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2630.2456000000002</v>
      </c>
      <c r="F579" s="68">
        <f t="shared" si="87"/>
        <v>35.597899999999996</v>
      </c>
      <c r="G579" s="68">
        <f t="shared" si="87"/>
        <v>45.104733333333336</v>
      </c>
      <c r="H579" s="68">
        <f t="shared" si="87"/>
        <v>44.531599999999997</v>
      </c>
      <c r="I579" s="64"/>
      <c r="J579" s="64"/>
      <c r="K579" s="65"/>
      <c r="L579" s="29"/>
      <c r="M579" s="68">
        <f>M316+M320+M324</f>
        <v>2627.7791999999999</v>
      </c>
      <c r="N579" s="68">
        <f t="shared" si="88"/>
        <v>35.599666666666664</v>
      </c>
      <c r="O579" s="68">
        <f t="shared" si="88"/>
        <v>45.102200000000003</v>
      </c>
      <c r="P579" s="68">
        <f t="shared" si="88"/>
        <v>44.52986666666667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1184.6415999999999</v>
      </c>
      <c r="F580" s="68">
        <f t="shared" si="87"/>
        <v>33.157499999999999</v>
      </c>
      <c r="G580" s="68">
        <f t="shared" si="87"/>
        <v>43.798033333333329</v>
      </c>
      <c r="H580" s="68">
        <f t="shared" si="87"/>
        <v>43.336199999999998</v>
      </c>
      <c r="I580" s="64"/>
      <c r="J580" s="64"/>
      <c r="K580" s="65"/>
      <c r="L580" s="29"/>
      <c r="M580" s="68">
        <f>M317+M321+M325</f>
        <v>1183.5160000000001</v>
      </c>
      <c r="N580" s="68">
        <f t="shared" si="88"/>
        <v>33.158166666666666</v>
      </c>
      <c r="O580" s="68">
        <f t="shared" si="88"/>
        <v>43.800699999999999</v>
      </c>
      <c r="P580" s="68">
        <f t="shared" si="88"/>
        <v>43.336466666666666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549.32319999999993</v>
      </c>
      <c r="F581" s="78">
        <f t="shared" si="87"/>
        <v>30.905166666666663</v>
      </c>
      <c r="G581" s="78">
        <f t="shared" si="87"/>
        <v>42.988</v>
      </c>
      <c r="H581" s="78">
        <f t="shared" si="87"/>
        <v>42.577066666666667</v>
      </c>
      <c r="I581" s="66"/>
      <c r="J581" s="66"/>
      <c r="K581" s="67"/>
      <c r="L581" s="29"/>
      <c r="M581" s="78">
        <f>M318+M322+M326</f>
        <v>548.89359999999999</v>
      </c>
      <c r="N581" s="78">
        <f t="shared" si="88"/>
        <v>30.906233333333333</v>
      </c>
      <c r="O581" s="78">
        <f t="shared" si="88"/>
        <v>42.991700000000002</v>
      </c>
      <c r="P581" s="78">
        <f t="shared" si="88"/>
        <v>42.579633333333334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5845.4583999999995</v>
      </c>
      <c r="F582" s="75">
        <f t="shared" ref="F582:H585" si="89">AVERAGE(F339,F343,F347)</f>
        <v>38.831899999999997</v>
      </c>
      <c r="G582" s="75">
        <f t="shared" si="89"/>
        <v>46.983566666666661</v>
      </c>
      <c r="H582" s="75">
        <f t="shared" si="89"/>
        <v>46.149200000000008</v>
      </c>
      <c r="I582" s="76"/>
      <c r="J582" s="76"/>
      <c r="K582" s="77"/>
      <c r="L582" s="29"/>
      <c r="M582" s="75">
        <f>M315+M319+M327+M331</f>
        <v>5843.0919999999987</v>
      </c>
      <c r="N582" s="75">
        <f t="shared" ref="N582:P585" si="90">AVERAGE(N339,N343,N347)</f>
        <v>38.836666666666673</v>
      </c>
      <c r="O582" s="75">
        <f t="shared" si="90"/>
        <v>46.971666666666664</v>
      </c>
      <c r="P582" s="75">
        <f t="shared" si="90"/>
        <v>46.144100000000002</v>
      </c>
      <c r="Q582" s="76"/>
      <c r="R582" s="76"/>
      <c r="S582" s="77"/>
      <c r="U582" s="8">
        <f>bdrate($E582:$E585,F582:F585,$M582:$M585,N582:N585)</f>
        <v>-3.4797613057546695E-4</v>
      </c>
      <c r="V582" s="9">
        <f>bdrate($E582:$E585,G582:G585,$M582:$M585,O582:O585)</f>
        <v>2.285940900546457E-3</v>
      </c>
      <c r="W582" s="10">
        <f>bdrate($E582:$E585,H582:H585,$M582:$M585,P582:P585)</f>
        <v>-8.6306628869281532E-4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2459.1304</v>
      </c>
      <c r="F583" s="68">
        <f t="shared" si="89"/>
        <v>35.907266666666665</v>
      </c>
      <c r="G583" s="68">
        <f t="shared" si="89"/>
        <v>45.530666666666662</v>
      </c>
      <c r="H583" s="68">
        <f t="shared" si="89"/>
        <v>44.819800000000008</v>
      </c>
      <c r="I583" s="64"/>
      <c r="J583" s="64"/>
      <c r="K583" s="65"/>
      <c r="L583" s="29"/>
      <c r="M583" s="68">
        <f>M316+M320+M328+M332</f>
        <v>2458.1959999999999</v>
      </c>
      <c r="N583" s="68">
        <f t="shared" si="90"/>
        <v>35.906399999999998</v>
      </c>
      <c r="O583" s="68">
        <f t="shared" si="90"/>
        <v>45.53073333333333</v>
      </c>
      <c r="P583" s="68">
        <f t="shared" si="90"/>
        <v>44.822366666666674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1118.3800000000001</v>
      </c>
      <c r="F584" s="68">
        <f t="shared" si="89"/>
        <v>33.328700000000005</v>
      </c>
      <c r="G584" s="68">
        <f t="shared" si="89"/>
        <v>44.198199999999993</v>
      </c>
      <c r="H584" s="68">
        <f t="shared" si="89"/>
        <v>43.691800000000001</v>
      </c>
      <c r="I584" s="64"/>
      <c r="J584" s="64"/>
      <c r="K584" s="65"/>
      <c r="L584" s="29"/>
      <c r="M584" s="68">
        <f>M317+M321+M329+M333</f>
        <v>1117.9808000000003</v>
      </c>
      <c r="N584" s="68">
        <f t="shared" si="90"/>
        <v>33.328066666666672</v>
      </c>
      <c r="O584" s="68">
        <f t="shared" si="90"/>
        <v>44.198733333333337</v>
      </c>
      <c r="P584" s="68">
        <f t="shared" si="90"/>
        <v>43.696266666666666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519.29599999999994</v>
      </c>
      <c r="F585" s="78">
        <f t="shared" si="89"/>
        <v>30.97666666666667</v>
      </c>
      <c r="G585" s="78">
        <f t="shared" si="89"/>
        <v>43.433966666666663</v>
      </c>
      <c r="H585" s="78">
        <f t="shared" si="89"/>
        <v>42.967733333333335</v>
      </c>
      <c r="I585" s="66"/>
      <c r="J585" s="66"/>
      <c r="K585" s="67"/>
      <c r="L585" s="29"/>
      <c r="M585" s="78">
        <f>M318+M322+M330+M334</f>
        <v>518.95759999999996</v>
      </c>
      <c r="N585" s="78">
        <f t="shared" si="90"/>
        <v>30.974500000000003</v>
      </c>
      <c r="O585" s="78">
        <f t="shared" si="90"/>
        <v>43.413399999999996</v>
      </c>
      <c r="P585" s="78">
        <f t="shared" si="90"/>
        <v>42.957666666666661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6807.1048000000001</v>
      </c>
      <c r="F586" s="75">
        <f t="shared" ref="F586:H589" si="91">AVERAGE(F339,F343,F347,F351,F355,F359)</f>
        <v>38.848150000000004</v>
      </c>
      <c r="G586" s="75">
        <f t="shared" si="91"/>
        <v>46.755650000000003</v>
      </c>
      <c r="H586" s="75">
        <f t="shared" si="91"/>
        <v>46.340200000000003</v>
      </c>
      <c r="I586" s="76"/>
      <c r="J586" s="76"/>
      <c r="K586" s="77"/>
      <c r="L586" s="29"/>
      <c r="M586" s="75">
        <f>M363</f>
        <v>6802.6423999999997</v>
      </c>
      <c r="N586" s="75">
        <f t="shared" ref="N586:P589" si="92">AVERAGE(N339,N343,N347,N351,N355,N359)</f>
        <v>38.850216666666675</v>
      </c>
      <c r="O586" s="75">
        <f t="shared" si="92"/>
        <v>46.758199999999995</v>
      </c>
      <c r="P586" s="75">
        <f t="shared" si="92"/>
        <v>46.3384</v>
      </c>
      <c r="Q586" s="76"/>
      <c r="R586" s="76"/>
      <c r="S586" s="77"/>
      <c r="U586" s="8">
        <f>bdrate($E586:$E589,F586:F589,$M586:$M589,N586:N589)</f>
        <v>-9.2405696885711208E-4</v>
      </c>
      <c r="V586" s="9">
        <f>bdrate($E586:$E589,G586:G589,$M586:$M589,O586:O589)</f>
        <v>-3.3439632615145376E-3</v>
      </c>
      <c r="W586" s="10">
        <f>bdrate($E586:$E589,H586:H589,$M586:$M589,P586:P589)</f>
        <v>2.1585662965037944E-3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2806.6655999999998</v>
      </c>
      <c r="F587" s="68">
        <f t="shared" si="91"/>
        <v>35.934750000000001</v>
      </c>
      <c r="G587" s="68">
        <f t="shared" si="91"/>
        <v>45.326833333333333</v>
      </c>
      <c r="H587" s="68">
        <f t="shared" si="91"/>
        <v>44.930883333333334</v>
      </c>
      <c r="I587" s="64"/>
      <c r="J587" s="64"/>
      <c r="K587" s="65"/>
      <c r="L587" s="29"/>
      <c r="M587" s="68">
        <f>M364</f>
        <v>2803.8728000000001</v>
      </c>
      <c r="N587" s="68">
        <f t="shared" si="92"/>
        <v>35.936216666666667</v>
      </c>
      <c r="O587" s="68">
        <f t="shared" si="92"/>
        <v>45.331383333333328</v>
      </c>
      <c r="P587" s="68">
        <f t="shared" si="92"/>
        <v>44.929083333333345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1273.8232</v>
      </c>
      <c r="F588" s="68">
        <f t="shared" si="91"/>
        <v>33.359066666666671</v>
      </c>
      <c r="G588" s="68">
        <f t="shared" si="91"/>
        <v>44.022466666666666</v>
      </c>
      <c r="H588" s="68">
        <f t="shared" si="91"/>
        <v>43.67241666666667</v>
      </c>
      <c r="I588" s="64"/>
      <c r="J588" s="64"/>
      <c r="K588" s="65"/>
      <c r="L588" s="29"/>
      <c r="M588" s="68">
        <f>M365</f>
        <v>1272.7264</v>
      </c>
      <c r="N588" s="68">
        <f t="shared" si="92"/>
        <v>33.357583333333338</v>
      </c>
      <c r="O588" s="68">
        <f t="shared" si="92"/>
        <v>44.029016666666671</v>
      </c>
      <c r="P588" s="68">
        <f t="shared" si="92"/>
        <v>43.663550000000008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595.21519999999998</v>
      </c>
      <c r="F589" s="78">
        <f t="shared" si="91"/>
        <v>31.003016666666667</v>
      </c>
      <c r="G589" s="78">
        <f t="shared" si="91"/>
        <v>43.256249999999994</v>
      </c>
      <c r="H589" s="78">
        <f t="shared" si="91"/>
        <v>42.850133333333332</v>
      </c>
      <c r="I589" s="66"/>
      <c r="J589" s="66"/>
      <c r="K589" s="67"/>
      <c r="L589" s="29"/>
      <c r="M589" s="78">
        <f>M366</f>
        <v>594.70479999999998</v>
      </c>
      <c r="N589" s="78">
        <f t="shared" si="92"/>
        <v>31.000983333333338</v>
      </c>
      <c r="O589" s="78">
        <f t="shared" si="92"/>
        <v>43.249400000000001</v>
      </c>
      <c r="P589" s="78">
        <f t="shared" si="92"/>
        <v>42.84663333333333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5845.4583999999995</v>
      </c>
      <c r="F590" s="75">
        <f t="shared" ref="F590:H593" si="94">AVERAGE(F315,F319,F339,F343,F347)</f>
        <v>38.655000000000008</v>
      </c>
      <c r="G590" s="75">
        <f t="shared" si="94"/>
        <v>46.835480000000004</v>
      </c>
      <c r="H590" s="75">
        <f t="shared" si="94"/>
        <v>46.076380000000007</v>
      </c>
      <c r="I590" s="76"/>
      <c r="J590" s="76"/>
      <c r="K590" s="77"/>
      <c r="L590" s="29"/>
      <c r="M590" s="75">
        <f t="shared" ref="M590:M597" si="95">M582</f>
        <v>5843.0919999999987</v>
      </c>
      <c r="N590" s="75">
        <f t="shared" ref="N590:P593" si="96">AVERAGE(N315,N319,N339,N343,N347)</f>
        <v>38.658760000000001</v>
      </c>
      <c r="O590" s="75">
        <f t="shared" si="96"/>
        <v>46.828659999999999</v>
      </c>
      <c r="P590" s="75">
        <f t="shared" si="96"/>
        <v>46.073639999999997</v>
      </c>
      <c r="Q590" s="76"/>
      <c r="R590" s="76"/>
      <c r="S590" s="77"/>
      <c r="U590" s="8">
        <f>bdrate($E590:$E593,F590:F593,$M590:$M593,N590:N593)</f>
        <v>-5.2742353947921039E-4</v>
      </c>
      <c r="V590" s="9">
        <f>bdrate($E590:$E593,G590:G593,$M590:$M593,O590:O593)</f>
        <v>1.1992388749637595E-3</v>
      </c>
      <c r="W590" s="10">
        <f>bdrate($E590:$E593,H590:H593,$M590:$M593,P590:P593)</f>
        <v>-6.3639801876769209E-4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2459.1304</v>
      </c>
      <c r="F591" s="68">
        <f t="shared" si="94"/>
        <v>35.796520000000001</v>
      </c>
      <c r="G591" s="68">
        <f t="shared" si="94"/>
        <v>45.371680000000005</v>
      </c>
      <c r="H591" s="68">
        <f t="shared" si="94"/>
        <v>44.724580000000003</v>
      </c>
      <c r="I591" s="64"/>
      <c r="J591" s="64"/>
      <c r="K591" s="65"/>
      <c r="L591" s="29"/>
      <c r="M591" s="68">
        <f t="shared" si="95"/>
        <v>2458.1959999999999</v>
      </c>
      <c r="N591" s="68">
        <f t="shared" si="96"/>
        <v>35.796520000000001</v>
      </c>
      <c r="O591" s="68">
        <f t="shared" si="96"/>
        <v>45.370900000000006</v>
      </c>
      <c r="P591" s="68">
        <f t="shared" si="96"/>
        <v>44.725819999999999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1118.3800000000001</v>
      </c>
      <c r="F592" s="68">
        <f t="shared" si="94"/>
        <v>33.263279999999995</v>
      </c>
      <c r="G592" s="68">
        <f t="shared" si="94"/>
        <v>44.045959999999994</v>
      </c>
      <c r="H592" s="68">
        <f t="shared" si="94"/>
        <v>43.564880000000002</v>
      </c>
      <c r="I592" s="64"/>
      <c r="J592" s="64"/>
      <c r="K592" s="65"/>
      <c r="L592" s="29"/>
      <c r="M592" s="68">
        <f t="shared" si="95"/>
        <v>1117.9808000000003</v>
      </c>
      <c r="N592" s="68">
        <f t="shared" si="96"/>
        <v>33.263240000000003</v>
      </c>
      <c r="O592" s="68">
        <f t="shared" si="96"/>
        <v>44.046959999999999</v>
      </c>
      <c r="P592" s="68">
        <f t="shared" si="96"/>
        <v>43.56718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519.29599999999994</v>
      </c>
      <c r="F593" s="78">
        <f t="shared" si="94"/>
        <v>30.947720000000004</v>
      </c>
      <c r="G593" s="78">
        <f t="shared" si="94"/>
        <v>43.264419999999994</v>
      </c>
      <c r="H593" s="78">
        <f t="shared" si="94"/>
        <v>42.826360000000001</v>
      </c>
      <c r="I593" s="66"/>
      <c r="J593" s="66"/>
      <c r="K593" s="67"/>
      <c r="L593" s="29"/>
      <c r="M593" s="78">
        <f t="shared" si="95"/>
        <v>518.95759999999996</v>
      </c>
      <c r="N593" s="78">
        <f t="shared" si="96"/>
        <v>30.946859999999997</v>
      </c>
      <c r="O593" s="78">
        <f t="shared" si="96"/>
        <v>43.252740000000003</v>
      </c>
      <c r="P593" s="78">
        <f t="shared" si="96"/>
        <v>42.821680000000001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6807.1048000000001</v>
      </c>
      <c r="F594" s="75">
        <f t="shared" ref="F594:H597" si="97">AVERAGE(F315,F319,F323,F339,F343,F347,F351,F355,F359)</f>
        <v>38.667622222222221</v>
      </c>
      <c r="G594" s="75">
        <f t="shared" si="97"/>
        <v>46.69725555555555</v>
      </c>
      <c r="H594" s="75">
        <f t="shared" si="97"/>
        <v>46.194900000000004</v>
      </c>
      <c r="I594" s="76"/>
      <c r="J594" s="76"/>
      <c r="K594" s="77"/>
      <c r="L594" s="29"/>
      <c r="M594" s="75">
        <f t="shared" si="95"/>
        <v>6802.6423999999997</v>
      </c>
      <c r="N594" s="75">
        <f t="shared" ref="N594:P597" si="98">AVERAGE(N315,N319,N323,N339,N343,N347,N351,N355,N359)</f>
        <v>38.669866666666671</v>
      </c>
      <c r="O594" s="75">
        <f t="shared" si="98"/>
        <v>46.699177777777777</v>
      </c>
      <c r="P594" s="75">
        <f t="shared" si="98"/>
        <v>46.193899999999999</v>
      </c>
      <c r="Q594" s="76"/>
      <c r="R594" s="76"/>
      <c r="S594" s="77"/>
      <c r="U594" s="8">
        <f>bdrate($E594:$E597,F594:F597,$M594:$M597,N594:N597)</f>
        <v>-1.061378654520384E-3</v>
      </c>
      <c r="V594" s="9">
        <f>bdrate($E594:$E597,G594:G597,$M594:$M597,O594:O597)</f>
        <v>-2.6063043377027029E-3</v>
      </c>
      <c r="W594" s="10">
        <f>bdrate($E594:$E597,H594:H597,$M594:$M597,P594:P597)</f>
        <v>1.2214513123516291E-3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2806.6655999999998</v>
      </c>
      <c r="F595" s="68">
        <f t="shared" si="97"/>
        <v>35.822466666666656</v>
      </c>
      <c r="G595" s="68">
        <f t="shared" si="97"/>
        <v>45.252800000000008</v>
      </c>
      <c r="H595" s="68">
        <f t="shared" si="97"/>
        <v>44.797788888888888</v>
      </c>
      <c r="I595" s="64"/>
      <c r="J595" s="64"/>
      <c r="K595" s="65"/>
      <c r="L595" s="29"/>
      <c r="M595" s="68">
        <f t="shared" si="95"/>
        <v>2803.8728000000001</v>
      </c>
      <c r="N595" s="68">
        <f t="shared" si="98"/>
        <v>35.824033333333333</v>
      </c>
      <c r="O595" s="68">
        <f t="shared" si="98"/>
        <v>45.254988888888889</v>
      </c>
      <c r="P595" s="68">
        <f t="shared" si="98"/>
        <v>44.796011111111113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1273.8232</v>
      </c>
      <c r="F596" s="68">
        <f t="shared" si="97"/>
        <v>33.291877777777785</v>
      </c>
      <c r="G596" s="68">
        <f t="shared" si="97"/>
        <v>43.947655555555549</v>
      </c>
      <c r="H596" s="68">
        <f t="shared" si="97"/>
        <v>43.560344444444439</v>
      </c>
      <c r="I596" s="64"/>
      <c r="J596" s="64"/>
      <c r="K596" s="65"/>
      <c r="L596" s="29"/>
      <c r="M596" s="68">
        <f t="shared" si="95"/>
        <v>1272.7264</v>
      </c>
      <c r="N596" s="68">
        <f t="shared" si="98"/>
        <v>33.291111111111121</v>
      </c>
      <c r="O596" s="68">
        <f t="shared" si="98"/>
        <v>43.952911111111106</v>
      </c>
      <c r="P596" s="68">
        <f t="shared" si="98"/>
        <v>43.554522222222225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595.21519999999998</v>
      </c>
      <c r="F597" s="78">
        <f t="shared" si="97"/>
        <v>30.970399999999998</v>
      </c>
      <c r="G597" s="78">
        <f t="shared" si="97"/>
        <v>43.166833333333329</v>
      </c>
      <c r="H597" s="78">
        <f t="shared" si="97"/>
        <v>42.75911111111111</v>
      </c>
      <c r="I597" s="66"/>
      <c r="J597" s="66"/>
      <c r="K597" s="67"/>
      <c r="L597" s="29"/>
      <c r="M597" s="78">
        <f t="shared" si="95"/>
        <v>594.70479999999998</v>
      </c>
      <c r="N597" s="78">
        <f t="shared" si="98"/>
        <v>30.9694</v>
      </c>
      <c r="O597" s="78">
        <f t="shared" si="98"/>
        <v>43.163499999999999</v>
      </c>
      <c r="P597" s="78">
        <f t="shared" si="98"/>
        <v>42.757633333333338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4702.1967999999997</v>
      </c>
      <c r="F598" s="75">
        <f t="shared" ref="F598:H601" si="99">AVERAGE(F367,F371)</f>
        <v>41.201999999999998</v>
      </c>
      <c r="G598" s="75">
        <f t="shared" si="99"/>
        <v>46.551600000000001</v>
      </c>
      <c r="H598" s="75">
        <f t="shared" si="99"/>
        <v>45.920850000000002</v>
      </c>
      <c r="I598" s="76"/>
      <c r="J598" s="76"/>
      <c r="K598" s="77"/>
      <c r="L598" s="29"/>
      <c r="M598" s="75">
        <f>M367+M371</f>
        <v>4700.6863999999996</v>
      </c>
      <c r="N598" s="75">
        <f t="shared" ref="N598:P601" si="100">AVERAGE(N367,N371)</f>
        <v>41.203649999999996</v>
      </c>
      <c r="O598" s="75">
        <f t="shared" si="100"/>
        <v>46.553100000000001</v>
      </c>
      <c r="P598" s="75">
        <f t="shared" si="100"/>
        <v>45.921349999999997</v>
      </c>
      <c r="Q598" s="76"/>
      <c r="R598" s="76"/>
      <c r="S598" s="77"/>
      <c r="U598" s="8">
        <f>bdrate($E598:$E601,F598:F601,$M598:$M601,N598:N601)</f>
        <v>-5.2857944608708518E-4</v>
      </c>
      <c r="V598" s="9">
        <f>bdrate($E598:$E601,G598:G601,$M598:$M601,O598:O601)</f>
        <v>-5.4209613547939739E-4</v>
      </c>
      <c r="W598" s="10">
        <f>bdrate($E598:$E601,H598:H601,$M598:$M601,P598:P601)</f>
        <v>-5.0940680576216923E-4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2321.5823999999998</v>
      </c>
      <c r="F599" s="68">
        <f t="shared" si="99"/>
        <v>38.285350000000001</v>
      </c>
      <c r="G599" s="68">
        <f t="shared" si="99"/>
        <v>44.873249999999999</v>
      </c>
      <c r="H599" s="68">
        <f t="shared" si="99"/>
        <v>44.024900000000002</v>
      </c>
      <c r="I599" s="64"/>
      <c r="J599" s="64"/>
      <c r="K599" s="65"/>
      <c r="L599" s="29"/>
      <c r="M599" s="68">
        <f>M368+M372</f>
        <v>2320.4712</v>
      </c>
      <c r="N599" s="68">
        <f t="shared" si="100"/>
        <v>38.285399999999996</v>
      </c>
      <c r="O599" s="68">
        <f t="shared" si="100"/>
        <v>44.873950000000001</v>
      </c>
      <c r="P599" s="68">
        <f t="shared" si="100"/>
        <v>44.025649999999999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1137.3663999999999</v>
      </c>
      <c r="F600" s="68">
        <f t="shared" si="99"/>
        <v>35.5276</v>
      </c>
      <c r="G600" s="68">
        <f t="shared" si="99"/>
        <v>43.2577</v>
      </c>
      <c r="H600" s="68">
        <f t="shared" si="99"/>
        <v>42.192149999999998</v>
      </c>
      <c r="I600" s="64"/>
      <c r="J600" s="64"/>
      <c r="K600" s="65"/>
      <c r="L600" s="29"/>
      <c r="M600" s="68">
        <f>M369+M373</f>
        <v>1136.9415999999999</v>
      </c>
      <c r="N600" s="68">
        <f t="shared" si="100"/>
        <v>35.528199999999998</v>
      </c>
      <c r="O600" s="68">
        <f t="shared" si="100"/>
        <v>43.257249999999999</v>
      </c>
      <c r="P600" s="68">
        <f t="shared" si="100"/>
        <v>42.192149999999998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546.0992</v>
      </c>
      <c r="F601" s="78">
        <f t="shared" si="99"/>
        <v>33.090249999999997</v>
      </c>
      <c r="G601" s="78">
        <f t="shared" si="99"/>
        <v>42.273099999999999</v>
      </c>
      <c r="H601" s="78">
        <f t="shared" si="99"/>
        <v>40.919200000000004</v>
      </c>
      <c r="I601" s="66"/>
      <c r="J601" s="66"/>
      <c r="K601" s="67"/>
      <c r="L601" s="29"/>
      <c r="M601" s="78">
        <f>M370+M374</f>
        <v>545.86720000000003</v>
      </c>
      <c r="N601" s="78">
        <f t="shared" si="100"/>
        <v>33.090199999999996</v>
      </c>
      <c r="O601" s="78">
        <f t="shared" si="100"/>
        <v>42.272800000000004</v>
      </c>
      <c r="P601" s="78">
        <f t="shared" si="100"/>
        <v>40.91825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5228.9319999999998</v>
      </c>
      <c r="F602" s="75">
        <f t="shared" ref="F602:H605" si="101">AVERAGE(F367,F371,F375)</f>
        <v>41.110800000000005</v>
      </c>
      <c r="G602" s="75">
        <f t="shared" si="101"/>
        <v>46.532733333333333</v>
      </c>
      <c r="H602" s="75">
        <f t="shared" si="101"/>
        <v>45.8812</v>
      </c>
      <c r="I602" s="76"/>
      <c r="J602" s="76"/>
      <c r="K602" s="77"/>
      <c r="L602" s="29"/>
      <c r="M602" s="75">
        <f>M367+M371+M375</f>
        <v>5225.4223999999995</v>
      </c>
      <c r="N602" s="75">
        <f t="shared" ref="N602:P605" si="102">AVERAGE(N367,N371,N375)</f>
        <v>41.112666666666662</v>
      </c>
      <c r="O602" s="75">
        <f t="shared" si="102"/>
        <v>46.534300000000002</v>
      </c>
      <c r="P602" s="75">
        <f t="shared" si="102"/>
        <v>45.881699999999995</v>
      </c>
      <c r="Q602" s="76"/>
      <c r="R602" s="76"/>
      <c r="S602" s="77"/>
      <c r="U602" s="8">
        <f>bdrate($E602:$E605,F602:F605,$M602:$M605,N602:N605)</f>
        <v>-9.0655243618698034E-4</v>
      </c>
      <c r="V602" s="9">
        <f>bdrate($E602:$E605,G602:G605,$M602:$M605,O602:O605)</f>
        <v>-1.0303236031748986E-3</v>
      </c>
      <c r="W602" s="10">
        <f>bdrate($E602:$E605,H602:H605,$M602:$M605,P602:P605)</f>
        <v>-7.1454051421004916E-4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2540.2175999999999</v>
      </c>
      <c r="F603" s="68">
        <f t="shared" si="101"/>
        <v>38.219633333333334</v>
      </c>
      <c r="G603" s="68">
        <f t="shared" si="101"/>
        <v>44.857866666666666</v>
      </c>
      <c r="H603" s="68">
        <f t="shared" si="101"/>
        <v>44.000266666666668</v>
      </c>
      <c r="I603" s="64"/>
      <c r="J603" s="64"/>
      <c r="K603" s="65"/>
      <c r="L603" s="29"/>
      <c r="M603" s="68">
        <f>M368+M372+M376</f>
        <v>2537.8935999999999</v>
      </c>
      <c r="N603" s="68">
        <f t="shared" si="102"/>
        <v>38.220066666666661</v>
      </c>
      <c r="O603" s="68">
        <f t="shared" si="102"/>
        <v>44.858566666666668</v>
      </c>
      <c r="P603" s="68">
        <f t="shared" si="102"/>
        <v>43.999866666666662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1241.0479999999998</v>
      </c>
      <c r="F604" s="68">
        <f t="shared" si="101"/>
        <v>35.485566666666664</v>
      </c>
      <c r="G604" s="68">
        <f t="shared" si="101"/>
        <v>43.253500000000003</v>
      </c>
      <c r="H604" s="68">
        <f t="shared" si="101"/>
        <v>42.184499999999993</v>
      </c>
      <c r="I604" s="64"/>
      <c r="J604" s="64"/>
      <c r="K604" s="65"/>
      <c r="L604" s="29"/>
      <c r="M604" s="68">
        <f>M369+M373+M377</f>
        <v>1240.3287999999998</v>
      </c>
      <c r="N604" s="68">
        <f t="shared" si="102"/>
        <v>35.486399999999996</v>
      </c>
      <c r="O604" s="68">
        <f t="shared" si="102"/>
        <v>43.253766666666671</v>
      </c>
      <c r="P604" s="68">
        <f t="shared" si="102"/>
        <v>42.184933333333333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596.976</v>
      </c>
      <c r="F605" s="78">
        <f t="shared" si="101"/>
        <v>33.056266666666666</v>
      </c>
      <c r="G605" s="78">
        <f t="shared" si="101"/>
        <v>42.260666666666665</v>
      </c>
      <c r="H605" s="78">
        <f t="shared" si="101"/>
        <v>40.903766666666669</v>
      </c>
      <c r="I605" s="66"/>
      <c r="J605" s="66"/>
      <c r="K605" s="67"/>
      <c r="L605" s="29"/>
      <c r="M605" s="78">
        <f>M370+M374+M378</f>
        <v>596.66320000000007</v>
      </c>
      <c r="N605" s="78">
        <f t="shared" si="102"/>
        <v>33.056199999999997</v>
      </c>
      <c r="O605" s="78">
        <f t="shared" si="102"/>
        <v>42.260733333333341</v>
      </c>
      <c r="P605" s="78">
        <f t="shared" si="102"/>
        <v>40.902966666666664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5344.6967999999997</v>
      </c>
      <c r="F606" s="75">
        <f t="shared" ref="F606:H609" si="103">AVERAGE(F391,F395,F399)</f>
        <v>40.871600000000001</v>
      </c>
      <c r="G606" s="75">
        <f t="shared" si="103"/>
        <v>47.135600000000004</v>
      </c>
      <c r="H606" s="75">
        <f t="shared" si="103"/>
        <v>46.685233333333336</v>
      </c>
      <c r="I606" s="76"/>
      <c r="J606" s="76"/>
      <c r="K606" s="77"/>
      <c r="L606" s="29"/>
      <c r="M606" s="75">
        <f>M367+M371+M379+M383</f>
        <v>5343.373599999999</v>
      </c>
      <c r="N606" s="75">
        <f t="shared" ref="N606:P609" si="104">AVERAGE(N391,N395,N399)</f>
        <v>40.873366666666662</v>
      </c>
      <c r="O606" s="75">
        <f t="shared" si="104"/>
        <v>47.151699999999998</v>
      </c>
      <c r="P606" s="75">
        <f t="shared" si="104"/>
        <v>46.690200000000004</v>
      </c>
      <c r="Q606" s="76"/>
      <c r="R606" s="76"/>
      <c r="S606" s="77"/>
      <c r="U606" s="8">
        <f>bdrate($E606:$E609,F606:F609,$M606:$M609,N606:N609)</f>
        <v>-3.9155679160451928E-4</v>
      </c>
      <c r="V606" s="9">
        <f>bdrate($E606:$E609,G606:G609,$M606:$M609,O606:O609)</f>
        <v>-1.0221801406595787E-3</v>
      </c>
      <c r="W606" s="10">
        <f>bdrate($E606:$E609,H606:H609,$M606:$M609,P606:P609)</f>
        <v>-1.6831555297773804E-3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2524.9591999999998</v>
      </c>
      <c r="F607" s="68">
        <f t="shared" si="103"/>
        <v>38.048900000000003</v>
      </c>
      <c r="G607" s="68">
        <f t="shared" si="103"/>
        <v>45.451766666666664</v>
      </c>
      <c r="H607" s="68">
        <f t="shared" si="103"/>
        <v>44.741366666666664</v>
      </c>
      <c r="I607" s="64"/>
      <c r="J607" s="64"/>
      <c r="K607" s="65"/>
      <c r="L607" s="29"/>
      <c r="M607" s="68">
        <f>M368+M372+M380+M384</f>
        <v>2523.8552</v>
      </c>
      <c r="N607" s="68">
        <f t="shared" si="104"/>
        <v>38.049100000000003</v>
      </c>
      <c r="O607" s="68">
        <f t="shared" si="104"/>
        <v>45.451600000000006</v>
      </c>
      <c r="P607" s="68">
        <f t="shared" si="104"/>
        <v>44.747000000000007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1214.0551999999998</v>
      </c>
      <c r="F608" s="68">
        <f t="shared" si="103"/>
        <v>35.347766666666665</v>
      </c>
      <c r="G608" s="68">
        <f t="shared" si="103"/>
        <v>43.710133333333339</v>
      </c>
      <c r="H608" s="68">
        <f t="shared" si="103"/>
        <v>42.765700000000002</v>
      </c>
      <c r="I608" s="64"/>
      <c r="J608" s="64"/>
      <c r="K608" s="65"/>
      <c r="L608" s="29"/>
      <c r="M608" s="68">
        <f>M369+M373+M381+M385</f>
        <v>1213.3727999999999</v>
      </c>
      <c r="N608" s="68">
        <f t="shared" si="104"/>
        <v>35.346233333333331</v>
      </c>
      <c r="O608" s="68">
        <f t="shared" si="104"/>
        <v>43.705633333333331</v>
      </c>
      <c r="P608" s="68">
        <f t="shared" si="104"/>
        <v>42.764833333333335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578.38400000000001</v>
      </c>
      <c r="F609" s="78">
        <f t="shared" si="103"/>
        <v>32.924199999999992</v>
      </c>
      <c r="G609" s="78">
        <f t="shared" si="103"/>
        <v>42.533399999999993</v>
      </c>
      <c r="H609" s="78">
        <f t="shared" si="103"/>
        <v>41.362699999999997</v>
      </c>
      <c r="I609" s="66"/>
      <c r="J609" s="66"/>
      <c r="K609" s="67"/>
      <c r="L609" s="29"/>
      <c r="M609" s="78">
        <f>M370+M374+M382+M386</f>
        <v>578.0616</v>
      </c>
      <c r="N609" s="78">
        <f t="shared" si="104"/>
        <v>32.924033333333334</v>
      </c>
      <c r="O609" s="78">
        <f t="shared" si="104"/>
        <v>42.539066666666663</v>
      </c>
      <c r="P609" s="78">
        <f t="shared" si="104"/>
        <v>41.365999999999993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6065.7808000000005</v>
      </c>
      <c r="F610" s="75">
        <f t="shared" ref="F610:H613" si="105">AVERAGE(F391,F395,F399,F403,F407,F411)</f>
        <v>40.881116666666671</v>
      </c>
      <c r="G610" s="75">
        <f t="shared" si="105"/>
        <v>47.059716666666667</v>
      </c>
      <c r="H610" s="75">
        <f t="shared" si="105"/>
        <v>46.762816666666673</v>
      </c>
      <c r="I610" s="76"/>
      <c r="J610" s="76"/>
      <c r="K610" s="77"/>
      <c r="L610" s="29"/>
      <c r="M610" s="75">
        <f>M415</f>
        <v>6061.9744000000001</v>
      </c>
      <c r="N610" s="75">
        <f t="shared" ref="N610:P613" si="106">AVERAGE(N391,N395,N399,N403,N407,N411)</f>
        <v>40.882100000000001</v>
      </c>
      <c r="O610" s="75">
        <f t="shared" si="106"/>
        <v>47.07403333333334</v>
      </c>
      <c r="P610" s="75">
        <f t="shared" si="106"/>
        <v>46.764783333333334</v>
      </c>
      <c r="Q610" s="76"/>
      <c r="R610" s="76"/>
      <c r="S610" s="77"/>
      <c r="U610" s="8">
        <f>bdrate($E610:$E613,F610:F613,$M610:$M613,N610:N613)</f>
        <v>-7.8736267756396305E-4</v>
      </c>
      <c r="V610" s="9">
        <f>bdrate($E610:$E613,G610:G613,$M610:$M613,O610:O613)</f>
        <v>-1.9991900107426686E-3</v>
      </c>
      <c r="W610" s="10">
        <f>bdrate($E610:$E613,H610:H613,$M610:$M613,P610:P613)</f>
        <v>-1.3834370485147351E-3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2803.8</v>
      </c>
      <c r="F611" s="68">
        <f t="shared" si="105"/>
        <v>38.051083333333338</v>
      </c>
      <c r="G611" s="68">
        <f t="shared" si="105"/>
        <v>45.422499999999992</v>
      </c>
      <c r="H611" s="68">
        <f t="shared" si="105"/>
        <v>44.798233333333336</v>
      </c>
      <c r="I611" s="64"/>
      <c r="J611" s="64"/>
      <c r="K611" s="65"/>
      <c r="L611" s="29"/>
      <c r="M611" s="68">
        <f>M416</f>
        <v>2801.5767999999998</v>
      </c>
      <c r="N611" s="68">
        <f t="shared" si="106"/>
        <v>38.052066666666668</v>
      </c>
      <c r="O611" s="68">
        <f t="shared" si="106"/>
        <v>45.419900000000005</v>
      </c>
      <c r="P611" s="68">
        <f t="shared" si="106"/>
        <v>44.799350000000004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1345.0904</v>
      </c>
      <c r="F612" s="68">
        <f t="shared" si="105"/>
        <v>35.349383333333328</v>
      </c>
      <c r="G612" s="68">
        <f t="shared" si="105"/>
        <v>43.716816666666666</v>
      </c>
      <c r="H612" s="68">
        <f t="shared" si="105"/>
        <v>42.804833333333335</v>
      </c>
      <c r="I612" s="64"/>
      <c r="J612" s="64"/>
      <c r="K612" s="65"/>
      <c r="L612" s="29"/>
      <c r="M612" s="68">
        <f>M417</f>
        <v>1344.0856000000001</v>
      </c>
      <c r="N612" s="68">
        <f t="shared" si="106"/>
        <v>35.348700000000001</v>
      </c>
      <c r="O612" s="68">
        <f t="shared" si="106"/>
        <v>43.718349999999994</v>
      </c>
      <c r="P612" s="68">
        <f t="shared" si="106"/>
        <v>42.806649999999998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645.20399999999995</v>
      </c>
      <c r="F613" s="78">
        <f t="shared" si="105"/>
        <v>32.922266666666665</v>
      </c>
      <c r="G613" s="78">
        <f t="shared" si="105"/>
        <v>42.558799999999998</v>
      </c>
      <c r="H613" s="78">
        <f t="shared" si="105"/>
        <v>41.388966666666668</v>
      </c>
      <c r="I613" s="66"/>
      <c r="J613" s="66"/>
      <c r="K613" s="67"/>
      <c r="L613" s="29"/>
      <c r="M613" s="78">
        <f>M418</f>
        <v>644.86879999999996</v>
      </c>
      <c r="N613" s="78">
        <f t="shared" si="106"/>
        <v>32.921983333333337</v>
      </c>
      <c r="O613" s="78">
        <f t="shared" si="106"/>
        <v>42.567266666666661</v>
      </c>
      <c r="P613" s="78">
        <f t="shared" si="106"/>
        <v>41.390799999999999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5344.6967999999997</v>
      </c>
      <c r="F614" s="75">
        <f t="shared" ref="F614:H617" si="108">AVERAGE(F367,F371,F391,F395,F399)</f>
        <v>41.00376</v>
      </c>
      <c r="G614" s="75">
        <f t="shared" si="108"/>
        <v>46.902000000000001</v>
      </c>
      <c r="H614" s="75">
        <f t="shared" si="108"/>
        <v>46.379480000000001</v>
      </c>
      <c r="I614" s="76"/>
      <c r="J614" s="76"/>
      <c r="K614" s="77"/>
      <c r="L614" s="29"/>
      <c r="M614" s="75">
        <f t="shared" ref="M614:M621" si="109">M606</f>
        <v>5343.373599999999</v>
      </c>
      <c r="N614" s="75">
        <f t="shared" ref="N614:P617" si="110">AVERAGE(N367,N371,N391,N395,N399)</f>
        <v>41.005479999999999</v>
      </c>
      <c r="O614" s="75">
        <f t="shared" si="110"/>
        <v>46.912259999999996</v>
      </c>
      <c r="P614" s="75">
        <f t="shared" si="110"/>
        <v>46.382660000000001</v>
      </c>
      <c r="Q614" s="76"/>
      <c r="R614" s="76"/>
      <c r="S614" s="77"/>
      <c r="U614" s="8">
        <f>bdrate($E614:$E617,F614:F617,$M614:$M617,N614:N617)</f>
        <v>-4.7123093401113536E-4</v>
      </c>
      <c r="V614" s="9">
        <f>bdrate($E614:$E617,G614:G617,$M614:$M617,O614:O617)</f>
        <v>-8.5804903210473515E-4</v>
      </c>
      <c r="W614" s="10">
        <f>bdrate($E614:$E617,H614:H617,$M614:$M617,P614:P617)</f>
        <v>-1.2527355980395116E-3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2524.9591999999998</v>
      </c>
      <c r="F615" s="68">
        <f t="shared" si="108"/>
        <v>38.143480000000004</v>
      </c>
      <c r="G615" s="68">
        <f t="shared" si="108"/>
        <v>45.220359999999999</v>
      </c>
      <c r="H615" s="68">
        <f t="shared" si="108"/>
        <v>44.454780000000007</v>
      </c>
      <c r="I615" s="64"/>
      <c r="J615" s="64"/>
      <c r="K615" s="65"/>
      <c r="L615" s="29"/>
      <c r="M615" s="68">
        <f t="shared" si="109"/>
        <v>2523.8552</v>
      </c>
      <c r="N615" s="68">
        <f t="shared" si="110"/>
        <v>38.143619999999999</v>
      </c>
      <c r="O615" s="68">
        <f t="shared" si="110"/>
        <v>45.22054</v>
      </c>
      <c r="P615" s="68">
        <f t="shared" si="110"/>
        <v>44.458460000000002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1214.0551999999998</v>
      </c>
      <c r="F616" s="68">
        <f t="shared" si="108"/>
        <v>35.419699999999992</v>
      </c>
      <c r="G616" s="68">
        <f t="shared" si="108"/>
        <v>43.529160000000005</v>
      </c>
      <c r="H616" s="68">
        <f t="shared" si="108"/>
        <v>42.536279999999998</v>
      </c>
      <c r="I616" s="64"/>
      <c r="J616" s="64"/>
      <c r="K616" s="65"/>
      <c r="L616" s="29"/>
      <c r="M616" s="68">
        <f t="shared" si="109"/>
        <v>1213.3727999999999</v>
      </c>
      <c r="N616" s="68">
        <f t="shared" si="110"/>
        <v>35.419020000000003</v>
      </c>
      <c r="O616" s="68">
        <f t="shared" si="110"/>
        <v>43.52628</v>
      </c>
      <c r="P616" s="68">
        <f t="shared" si="110"/>
        <v>42.535759999999996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578.38400000000001</v>
      </c>
      <c r="F617" s="78">
        <f t="shared" si="108"/>
        <v>32.990619999999993</v>
      </c>
      <c r="G617" s="78">
        <f t="shared" si="108"/>
        <v>42.429279999999991</v>
      </c>
      <c r="H617" s="78">
        <f t="shared" si="108"/>
        <v>41.185299999999998</v>
      </c>
      <c r="I617" s="66"/>
      <c r="J617" s="66"/>
      <c r="K617" s="67"/>
      <c r="L617" s="29"/>
      <c r="M617" s="78">
        <f t="shared" si="109"/>
        <v>578.0616</v>
      </c>
      <c r="N617" s="78">
        <f t="shared" si="110"/>
        <v>32.990499999999997</v>
      </c>
      <c r="O617" s="78">
        <f t="shared" si="110"/>
        <v>42.432560000000002</v>
      </c>
      <c r="P617" s="78">
        <f t="shared" si="110"/>
        <v>41.186899999999994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6065.7808000000005</v>
      </c>
      <c r="F618" s="75">
        <f t="shared" ref="F618:H621" si="111">AVERAGE(F367,F371,F375,F391,F395,F399,F403,F407,F411)</f>
        <v>40.957677777777775</v>
      </c>
      <c r="G618" s="75">
        <f t="shared" si="111"/>
        <v>46.884055555555555</v>
      </c>
      <c r="H618" s="75">
        <f t="shared" si="111"/>
        <v>46.468944444444446</v>
      </c>
      <c r="I618" s="76"/>
      <c r="J618" s="76"/>
      <c r="K618" s="77"/>
      <c r="L618" s="29"/>
      <c r="M618" s="75">
        <f t="shared" si="109"/>
        <v>6061.9744000000001</v>
      </c>
      <c r="N618" s="75">
        <f t="shared" ref="N618:P621" si="112">AVERAGE(N367,N371,N375,N391,N395,N399,N403,N407,N411)</f>
        <v>40.958955555555548</v>
      </c>
      <c r="O618" s="75">
        <f t="shared" si="112"/>
        <v>46.894122222222222</v>
      </c>
      <c r="P618" s="75">
        <f t="shared" si="112"/>
        <v>46.470422222222219</v>
      </c>
      <c r="Q618" s="76"/>
      <c r="R618" s="76"/>
      <c r="S618" s="77"/>
      <c r="U618" s="8">
        <f>bdrate($E618:$E621,F618:F621,$M618:$M621,N618:N621)</f>
        <v>-8.3152005068232171E-4</v>
      </c>
      <c r="V618" s="9">
        <f>bdrate($E618:$E621,G618:G621,$M618:$M621,O618:O621)</f>
        <v>-1.6852063477448276E-3</v>
      </c>
      <c r="W618" s="10">
        <f>bdrate($E618:$E621,H618:H621,$M618:$M621,P618:P621)</f>
        <v>-1.170337348117334E-3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2803.8</v>
      </c>
      <c r="F619" s="68">
        <f t="shared" si="111"/>
        <v>38.107266666666668</v>
      </c>
      <c r="G619" s="68">
        <f t="shared" si="111"/>
        <v>45.234288888888891</v>
      </c>
      <c r="H619" s="68">
        <f t="shared" si="111"/>
        <v>44.532244444444444</v>
      </c>
      <c r="I619" s="64"/>
      <c r="J619" s="64"/>
      <c r="K619" s="65"/>
      <c r="L619" s="29"/>
      <c r="M619" s="68">
        <f t="shared" si="109"/>
        <v>2801.5767999999998</v>
      </c>
      <c r="N619" s="68">
        <f t="shared" si="112"/>
        <v>38.108066666666666</v>
      </c>
      <c r="O619" s="68">
        <f t="shared" si="112"/>
        <v>45.232788888888891</v>
      </c>
      <c r="P619" s="68">
        <f t="shared" si="112"/>
        <v>44.53285555555555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1345.0904</v>
      </c>
      <c r="F620" s="68">
        <f t="shared" si="111"/>
        <v>35.394777777777769</v>
      </c>
      <c r="G620" s="68">
        <f t="shared" si="111"/>
        <v>43.562377777777776</v>
      </c>
      <c r="H620" s="68">
        <f t="shared" si="111"/>
        <v>42.598055555555554</v>
      </c>
      <c r="I620" s="64"/>
      <c r="J620" s="64"/>
      <c r="K620" s="65"/>
      <c r="L620" s="29"/>
      <c r="M620" s="68">
        <f t="shared" si="109"/>
        <v>1344.0856000000001</v>
      </c>
      <c r="N620" s="68">
        <f t="shared" si="112"/>
        <v>35.394599999999997</v>
      </c>
      <c r="O620" s="68">
        <f t="shared" si="112"/>
        <v>43.563488888888884</v>
      </c>
      <c r="P620" s="68">
        <f t="shared" si="112"/>
        <v>42.59941111111111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645.20399999999995</v>
      </c>
      <c r="F621" s="78">
        <f t="shared" si="111"/>
        <v>32.966933333333337</v>
      </c>
      <c r="G621" s="78">
        <f t="shared" si="111"/>
        <v>42.45942222222223</v>
      </c>
      <c r="H621" s="78">
        <f t="shared" si="111"/>
        <v>41.227233333333331</v>
      </c>
      <c r="I621" s="66"/>
      <c r="J621" s="66"/>
      <c r="K621" s="67"/>
      <c r="L621" s="29"/>
      <c r="M621" s="78">
        <f t="shared" si="109"/>
        <v>644.86879999999996</v>
      </c>
      <c r="N621" s="78">
        <f t="shared" si="112"/>
        <v>32.966722222222216</v>
      </c>
      <c r="O621" s="78">
        <f t="shared" si="112"/>
        <v>42.465088888888886</v>
      </c>
      <c r="P621" s="78">
        <f t="shared" si="112"/>
        <v>41.22818888888888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Merkle for JCT-3V</dc:creator>
  <cp:lastModifiedBy>Samsung</cp:lastModifiedBy>
  <dcterms:created xsi:type="dcterms:W3CDTF">2011-06-30T00:09:01Z</dcterms:created>
  <dcterms:modified xsi:type="dcterms:W3CDTF">2014-11-04T00:33:34Z</dcterms:modified>
</cp:coreProperties>
</file>