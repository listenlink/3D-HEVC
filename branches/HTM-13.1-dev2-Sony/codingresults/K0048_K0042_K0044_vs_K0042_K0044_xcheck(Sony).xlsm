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65" yWindow="-60" windowWidth="21645" windowHeight="9075" tabRatio="547"/>
  </bookViews>
  <sheets>
    <sheet name="summary (auto)" sheetId="23" r:id="rId1"/>
    <sheet name="experimental data" sheetId="21" r:id="rId2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E609" i="21" l="1"/>
  <c r="E617" i="21"/>
  <c r="E608" i="21"/>
  <c r="E616" i="21"/>
  <c r="E607" i="21"/>
  <c r="E615" i="21"/>
  <c r="E606" i="21"/>
  <c r="E614" i="21"/>
  <c r="F606" i="21"/>
  <c r="F607" i="21"/>
  <c r="F608" i="21"/>
  <c r="F609" i="21"/>
  <c r="M606" i="21"/>
  <c r="M614" i="21"/>
  <c r="M607" i="21"/>
  <c r="M615" i="21"/>
  <c r="M608" i="21"/>
  <c r="M616" i="21"/>
  <c r="M609" i="21"/>
  <c r="M617" i="21"/>
  <c r="N606" i="21"/>
  <c r="N607" i="21"/>
  <c r="N608" i="21"/>
  <c r="N609" i="21"/>
  <c r="F598" i="21"/>
  <c r="F599" i="21"/>
  <c r="F600" i="21"/>
  <c r="F601" i="21"/>
  <c r="N598" i="21"/>
  <c r="N599" i="21"/>
  <c r="N600" i="21"/>
  <c r="N601" i="21"/>
  <c r="E601" i="21"/>
  <c r="E600" i="21"/>
  <c r="E599" i="21"/>
  <c r="E598" i="21"/>
  <c r="M598" i="21"/>
  <c r="M599" i="21"/>
  <c r="M600" i="21"/>
  <c r="M601" i="21"/>
  <c r="E585" i="21"/>
  <c r="E593" i="21"/>
  <c r="E584" i="21"/>
  <c r="E592" i="21"/>
  <c r="E583" i="21"/>
  <c r="E591" i="21"/>
  <c r="E582" i="21"/>
  <c r="E590" i="21"/>
  <c r="F582" i="21"/>
  <c r="F583" i="21"/>
  <c r="F584" i="21"/>
  <c r="F585" i="21"/>
  <c r="M582" i="21"/>
  <c r="M583" i="21"/>
  <c r="M584" i="21"/>
  <c r="M592" i="21"/>
  <c r="M585" i="21"/>
  <c r="M593" i="21"/>
  <c r="N582" i="21"/>
  <c r="N583" i="21"/>
  <c r="N584" i="21"/>
  <c r="N585" i="21"/>
  <c r="F574" i="21"/>
  <c r="F575" i="21"/>
  <c r="F576" i="21"/>
  <c r="F577" i="21"/>
  <c r="M590" i="21"/>
  <c r="M591" i="21"/>
  <c r="N574" i="21"/>
  <c r="N575" i="21"/>
  <c r="N576" i="21"/>
  <c r="N577" i="21"/>
  <c r="E577" i="21"/>
  <c r="E576" i="21"/>
  <c r="E575" i="21"/>
  <c r="E574" i="21"/>
  <c r="M574" i="21"/>
  <c r="M575" i="21"/>
  <c r="M576" i="21"/>
  <c r="M577" i="21"/>
  <c r="B27" i="23"/>
  <c r="E561" i="21"/>
  <c r="E569" i="21"/>
  <c r="E560" i="21"/>
  <c r="E568" i="21"/>
  <c r="E559" i="21"/>
  <c r="E567" i="21"/>
  <c r="E558" i="21"/>
  <c r="E566" i="21"/>
  <c r="F558" i="21"/>
  <c r="F559" i="21"/>
  <c r="F560" i="21"/>
  <c r="F561" i="21"/>
  <c r="M558" i="21"/>
  <c r="M566" i="21"/>
  <c r="M559" i="21"/>
  <c r="M567" i="21"/>
  <c r="M560" i="21"/>
  <c r="M568" i="21"/>
  <c r="M561" i="21"/>
  <c r="M569" i="21"/>
  <c r="N558" i="21"/>
  <c r="N559" i="21"/>
  <c r="N560" i="21"/>
  <c r="N561" i="21"/>
  <c r="F550" i="21"/>
  <c r="F551" i="21"/>
  <c r="F552" i="21"/>
  <c r="F553" i="21"/>
  <c r="N550" i="21"/>
  <c r="N551" i="21"/>
  <c r="N552" i="21"/>
  <c r="N553" i="21"/>
  <c r="E553" i="21"/>
  <c r="E552" i="21"/>
  <c r="E551" i="21"/>
  <c r="E550" i="21"/>
  <c r="M550" i="21"/>
  <c r="M551" i="21"/>
  <c r="M552" i="21"/>
  <c r="M553" i="21"/>
  <c r="B26" i="23"/>
  <c r="E537" i="21"/>
  <c r="E545" i="21"/>
  <c r="E536" i="21"/>
  <c r="E544" i="21"/>
  <c r="E535" i="21"/>
  <c r="E543" i="21"/>
  <c r="E534" i="21"/>
  <c r="E542" i="21"/>
  <c r="F534" i="21"/>
  <c r="F535" i="21"/>
  <c r="F536" i="21"/>
  <c r="F537" i="21"/>
  <c r="M534" i="21"/>
  <c r="M542" i="21"/>
  <c r="M535" i="21"/>
  <c r="M543" i="21"/>
  <c r="M536" i="21"/>
  <c r="M544" i="21"/>
  <c r="M537" i="21"/>
  <c r="M545" i="21"/>
  <c r="N534" i="21"/>
  <c r="N535" i="21"/>
  <c r="N536" i="21"/>
  <c r="N537" i="21"/>
  <c r="F526" i="21"/>
  <c r="F527" i="21"/>
  <c r="F528" i="21"/>
  <c r="F529" i="21"/>
  <c r="N526" i="21"/>
  <c r="N527" i="21"/>
  <c r="N528" i="21"/>
  <c r="N529" i="21"/>
  <c r="E529" i="21"/>
  <c r="E528" i="21"/>
  <c r="E527" i="21"/>
  <c r="E526" i="21"/>
  <c r="M526" i="21"/>
  <c r="M527" i="21"/>
  <c r="M528" i="21"/>
  <c r="M529" i="21"/>
  <c r="B25" i="23"/>
  <c r="E513" i="21"/>
  <c r="E521" i="21"/>
  <c r="E512" i="21"/>
  <c r="E520" i="21"/>
  <c r="E511" i="21"/>
  <c r="E519" i="21"/>
  <c r="E510" i="21"/>
  <c r="E518" i="21"/>
  <c r="F510" i="21"/>
  <c r="F511" i="21"/>
  <c r="F512" i="21"/>
  <c r="F513" i="21"/>
  <c r="M510" i="21"/>
  <c r="M518" i="21"/>
  <c r="M511" i="21"/>
  <c r="M519" i="21"/>
  <c r="M512" i="21"/>
  <c r="M520" i="21"/>
  <c r="M513" i="21"/>
  <c r="M521" i="21"/>
  <c r="N510" i="21"/>
  <c r="N511" i="21"/>
  <c r="N512" i="21"/>
  <c r="N513" i="21"/>
  <c r="F502" i="21"/>
  <c r="F503" i="21"/>
  <c r="F504" i="21"/>
  <c r="F505" i="21"/>
  <c r="N502" i="21"/>
  <c r="N503" i="21"/>
  <c r="N504" i="21"/>
  <c r="N505" i="21"/>
  <c r="E505" i="21"/>
  <c r="E504" i="21"/>
  <c r="E503" i="21"/>
  <c r="E502" i="21"/>
  <c r="M502" i="21"/>
  <c r="M503" i="21"/>
  <c r="M504" i="21"/>
  <c r="M505" i="21"/>
  <c r="B24" i="23"/>
  <c r="E489" i="21"/>
  <c r="E497" i="21"/>
  <c r="E488" i="21"/>
  <c r="E496" i="21"/>
  <c r="E487" i="21"/>
  <c r="E495" i="21"/>
  <c r="E486" i="21"/>
  <c r="E494" i="21"/>
  <c r="F486" i="21"/>
  <c r="F487" i="21"/>
  <c r="F488" i="21"/>
  <c r="F489" i="21"/>
  <c r="M486" i="21"/>
  <c r="M494" i="21"/>
  <c r="M487" i="21"/>
  <c r="M495" i="21"/>
  <c r="M488" i="21"/>
  <c r="M496" i="21"/>
  <c r="M489" i="21"/>
  <c r="M497" i="21"/>
  <c r="N486" i="21"/>
  <c r="N487" i="21"/>
  <c r="N488" i="21"/>
  <c r="N489" i="21"/>
  <c r="F478" i="21"/>
  <c r="F479" i="21"/>
  <c r="F480" i="21"/>
  <c r="F481" i="21"/>
  <c r="N478" i="21"/>
  <c r="N479" i="21"/>
  <c r="N480" i="21"/>
  <c r="N481" i="21"/>
  <c r="E481" i="21"/>
  <c r="E480" i="21"/>
  <c r="E479" i="21"/>
  <c r="E478" i="21"/>
  <c r="M478" i="21"/>
  <c r="M479" i="21"/>
  <c r="M480" i="21"/>
  <c r="M481" i="21"/>
  <c r="B23" i="23"/>
  <c r="E465" i="21"/>
  <c r="E473" i="21"/>
  <c r="E464" i="21"/>
  <c r="E472" i="21"/>
  <c r="E463" i="21"/>
  <c r="E471" i="21"/>
  <c r="E462" i="21"/>
  <c r="E470" i="21"/>
  <c r="F462" i="21"/>
  <c r="F463" i="21"/>
  <c r="F464" i="21"/>
  <c r="F465" i="21"/>
  <c r="M462" i="21"/>
  <c r="M470" i="21"/>
  <c r="M463" i="21"/>
  <c r="M471" i="21"/>
  <c r="M464" i="21"/>
  <c r="M472" i="21"/>
  <c r="M465" i="21"/>
  <c r="M473" i="21"/>
  <c r="N462" i="21"/>
  <c r="N463" i="21"/>
  <c r="N464" i="21"/>
  <c r="N465" i="21"/>
  <c r="F454" i="21"/>
  <c r="F455" i="21"/>
  <c r="F456" i="21"/>
  <c r="F457" i="21"/>
  <c r="N454" i="21"/>
  <c r="N455" i="21"/>
  <c r="N456" i="21"/>
  <c r="N457" i="21"/>
  <c r="E457" i="21"/>
  <c r="E456" i="21"/>
  <c r="E455" i="21"/>
  <c r="E454" i="21"/>
  <c r="M454" i="21"/>
  <c r="M455" i="21"/>
  <c r="M456" i="21"/>
  <c r="M457" i="21"/>
  <c r="B22" i="23"/>
  <c r="E441" i="21"/>
  <c r="E449" i="21"/>
  <c r="E440" i="21"/>
  <c r="E448" i="21"/>
  <c r="E439" i="21"/>
  <c r="E447" i="21"/>
  <c r="E438" i="21"/>
  <c r="E446" i="21"/>
  <c r="F438" i="21"/>
  <c r="F439" i="21"/>
  <c r="F440" i="21"/>
  <c r="F441" i="21"/>
  <c r="M438" i="21"/>
  <c r="M439" i="21"/>
  <c r="M440" i="21"/>
  <c r="M448" i="21"/>
  <c r="M441" i="21"/>
  <c r="M449" i="21"/>
  <c r="N438" i="21"/>
  <c r="N439" i="21"/>
  <c r="N440" i="21"/>
  <c r="N441" i="21"/>
  <c r="F430" i="21"/>
  <c r="F431" i="21"/>
  <c r="F432" i="21"/>
  <c r="F433" i="21"/>
  <c r="M446" i="21"/>
  <c r="M447" i="21"/>
  <c r="N430" i="21"/>
  <c r="N431" i="21"/>
  <c r="N432" i="21"/>
  <c r="N433" i="21"/>
  <c r="E433" i="21"/>
  <c r="E432" i="21"/>
  <c r="E431" i="21"/>
  <c r="E430" i="21"/>
  <c r="M430" i="21"/>
  <c r="M431" i="21"/>
  <c r="M432" i="21"/>
  <c r="M433" i="21"/>
  <c r="B21" i="23"/>
  <c r="AA415" i="21"/>
  <c r="K12" i="23"/>
  <c r="Z415" i="21"/>
  <c r="J12" i="23"/>
  <c r="Y415" i="21"/>
  <c r="I12" i="23"/>
  <c r="E613" i="21"/>
  <c r="E621" i="21"/>
  <c r="E612" i="21"/>
  <c r="E620" i="21"/>
  <c r="E611" i="21"/>
  <c r="E619" i="21"/>
  <c r="E610" i="21"/>
  <c r="E618" i="21"/>
  <c r="F610" i="21"/>
  <c r="F611" i="21"/>
  <c r="F612" i="21"/>
  <c r="F613" i="21"/>
  <c r="M610" i="21"/>
  <c r="M618" i="21"/>
  <c r="M611" i="21"/>
  <c r="M619" i="21"/>
  <c r="M612" i="21"/>
  <c r="M620" i="21"/>
  <c r="M613" i="21"/>
  <c r="M621" i="21"/>
  <c r="N610" i="21"/>
  <c r="N611" i="21"/>
  <c r="N612" i="21"/>
  <c r="N613" i="21"/>
  <c r="F602" i="21"/>
  <c r="F603" i="21"/>
  <c r="F604" i="21"/>
  <c r="F605" i="21"/>
  <c r="N602" i="21"/>
  <c r="N603" i="21"/>
  <c r="N604" i="21"/>
  <c r="N605" i="21"/>
  <c r="E605" i="21"/>
  <c r="E604" i="21"/>
  <c r="E603" i="21"/>
  <c r="E602" i="21"/>
  <c r="M602" i="21"/>
  <c r="M603" i="21"/>
  <c r="M604" i="21"/>
  <c r="M605" i="21"/>
  <c r="AA363" i="21"/>
  <c r="K11" i="23"/>
  <c r="Z363" i="21"/>
  <c r="J11" i="23"/>
  <c r="Y363" i="21"/>
  <c r="I11" i="23"/>
  <c r="E589" i="21"/>
  <c r="E597" i="21"/>
  <c r="E588" i="21"/>
  <c r="E596" i="21"/>
  <c r="E587" i="21"/>
  <c r="E595" i="21"/>
  <c r="E586" i="21"/>
  <c r="E594" i="21"/>
  <c r="F586" i="21"/>
  <c r="F587" i="21"/>
  <c r="F588" i="21"/>
  <c r="F589" i="21"/>
  <c r="M586" i="21"/>
  <c r="M594" i="21"/>
  <c r="M587" i="21"/>
  <c r="M595" i="21"/>
  <c r="M588" i="21"/>
  <c r="M596" i="21"/>
  <c r="M589" i="21"/>
  <c r="M597" i="21"/>
  <c r="N586" i="21"/>
  <c r="N587" i="21"/>
  <c r="N588" i="21"/>
  <c r="N589" i="21"/>
  <c r="F578" i="21"/>
  <c r="F579" i="21"/>
  <c r="F580" i="21"/>
  <c r="F581" i="21"/>
  <c r="N578" i="21"/>
  <c r="N579" i="21"/>
  <c r="N580" i="21"/>
  <c r="N581" i="21"/>
  <c r="E581" i="21"/>
  <c r="E580" i="21"/>
  <c r="E579" i="21"/>
  <c r="E578" i="21"/>
  <c r="M578" i="21"/>
  <c r="M579" i="21"/>
  <c r="M580" i="21"/>
  <c r="M581" i="21"/>
  <c r="B11" i="23"/>
  <c r="AA311" i="21"/>
  <c r="K10" i="23"/>
  <c r="Z311" i="21"/>
  <c r="J10" i="23"/>
  <c r="Y311" i="21"/>
  <c r="I10" i="23"/>
  <c r="E565" i="21"/>
  <c r="E573" i="21"/>
  <c r="E564" i="21"/>
  <c r="E572" i="21"/>
  <c r="E563" i="21"/>
  <c r="E571" i="21"/>
  <c r="E562" i="21"/>
  <c r="E570" i="21"/>
  <c r="F562" i="21"/>
  <c r="F563" i="21"/>
  <c r="F564" i="21"/>
  <c r="F565" i="21"/>
  <c r="M562" i="21"/>
  <c r="M570" i="21"/>
  <c r="M563" i="21"/>
  <c r="M571" i="21"/>
  <c r="M564" i="21"/>
  <c r="M572" i="21"/>
  <c r="M565" i="21"/>
  <c r="M573" i="21"/>
  <c r="N562" i="21"/>
  <c r="N563" i="21"/>
  <c r="N564" i="21"/>
  <c r="N565" i="21"/>
  <c r="F554" i="21"/>
  <c r="F555" i="21"/>
  <c r="F556" i="21"/>
  <c r="F557" i="21"/>
  <c r="N554" i="21"/>
  <c r="N555" i="21"/>
  <c r="N556" i="21"/>
  <c r="N557" i="21"/>
  <c r="E557" i="21"/>
  <c r="E556" i="21"/>
  <c r="E555" i="21"/>
  <c r="E554" i="21"/>
  <c r="M554" i="21"/>
  <c r="M555" i="21"/>
  <c r="M556" i="21"/>
  <c r="M557" i="21"/>
  <c r="B10" i="23"/>
  <c r="AA259" i="21"/>
  <c r="K9" i="23"/>
  <c r="Z259" i="21"/>
  <c r="J9" i="23"/>
  <c r="Y259" i="21"/>
  <c r="I9" i="23"/>
  <c r="E541" i="21"/>
  <c r="E549" i="21"/>
  <c r="E540" i="21"/>
  <c r="E548" i="21"/>
  <c r="E539" i="21"/>
  <c r="E547" i="21"/>
  <c r="E538" i="21"/>
  <c r="E546" i="21"/>
  <c r="F538" i="21"/>
  <c r="F539" i="21"/>
  <c r="F540" i="21"/>
  <c r="F541" i="21"/>
  <c r="M538" i="21"/>
  <c r="M546" i="21"/>
  <c r="M539" i="21"/>
  <c r="M547" i="21"/>
  <c r="M540" i="21"/>
  <c r="M548" i="21"/>
  <c r="M541" i="21"/>
  <c r="N538" i="21"/>
  <c r="N539" i="21"/>
  <c r="N540" i="21"/>
  <c r="N541" i="21"/>
  <c r="F530" i="21"/>
  <c r="F531" i="21"/>
  <c r="F532" i="21"/>
  <c r="F533" i="21"/>
  <c r="M549" i="21"/>
  <c r="N530" i="21"/>
  <c r="N531" i="21"/>
  <c r="N532" i="21"/>
  <c r="N533" i="21"/>
  <c r="E533" i="21"/>
  <c r="E532" i="21"/>
  <c r="E531" i="21"/>
  <c r="E530" i="21"/>
  <c r="M530" i="21"/>
  <c r="M531" i="21"/>
  <c r="M532" i="21"/>
  <c r="M533" i="21"/>
  <c r="B9" i="23"/>
  <c r="AA207" i="21"/>
  <c r="K8" i="23"/>
  <c r="Z207" i="21"/>
  <c r="J8" i="23"/>
  <c r="Y207" i="21"/>
  <c r="I8" i="23"/>
  <c r="E517" i="21"/>
  <c r="E525" i="21"/>
  <c r="E516" i="21"/>
  <c r="E524" i="21"/>
  <c r="E515" i="21"/>
  <c r="E523" i="21"/>
  <c r="E514" i="21"/>
  <c r="E522" i="21"/>
  <c r="F514" i="21"/>
  <c r="F515" i="21"/>
  <c r="F516" i="21"/>
  <c r="F517" i="21"/>
  <c r="M514" i="21"/>
  <c r="M522" i="21"/>
  <c r="M515" i="21"/>
  <c r="M523" i="21"/>
  <c r="M516" i="21"/>
  <c r="M517" i="21"/>
  <c r="N514" i="21"/>
  <c r="N515" i="21"/>
  <c r="N516" i="21"/>
  <c r="N517" i="21"/>
  <c r="F506" i="21"/>
  <c r="F507" i="21"/>
  <c r="F508" i="21"/>
  <c r="F509" i="21"/>
  <c r="M524" i="21"/>
  <c r="M525" i="21"/>
  <c r="N506" i="21"/>
  <c r="N507" i="21"/>
  <c r="N508" i="21"/>
  <c r="N509" i="21"/>
  <c r="E509" i="21"/>
  <c r="E508" i="21"/>
  <c r="E507" i="21"/>
  <c r="E506" i="21"/>
  <c r="M506" i="21"/>
  <c r="M507" i="21"/>
  <c r="M508" i="21"/>
  <c r="M509" i="21"/>
  <c r="B8" i="23"/>
  <c r="AA155" i="21"/>
  <c r="K7" i="23"/>
  <c r="Z155" i="21"/>
  <c r="J7" i="23"/>
  <c r="Y155" i="21"/>
  <c r="I7" i="23"/>
  <c r="E493" i="21"/>
  <c r="E501" i="21"/>
  <c r="E492" i="21"/>
  <c r="E500" i="21"/>
  <c r="E491" i="21"/>
  <c r="E499" i="21"/>
  <c r="E490" i="21"/>
  <c r="E498" i="21"/>
  <c r="F490" i="21"/>
  <c r="F491" i="21"/>
  <c r="F492" i="21"/>
  <c r="F493" i="21"/>
  <c r="M490" i="21"/>
  <c r="M498" i="21"/>
  <c r="M491" i="21"/>
  <c r="M499" i="21"/>
  <c r="M492" i="21"/>
  <c r="M500" i="21"/>
  <c r="M493" i="21"/>
  <c r="M501" i="21"/>
  <c r="N490" i="21"/>
  <c r="N491" i="21"/>
  <c r="N492" i="21"/>
  <c r="N493" i="21"/>
  <c r="F482" i="21"/>
  <c r="F483" i="21"/>
  <c r="F484" i="21"/>
  <c r="F485" i="21"/>
  <c r="N482" i="21"/>
  <c r="N483" i="21"/>
  <c r="N484" i="21"/>
  <c r="N485" i="21"/>
  <c r="E485" i="21"/>
  <c r="E484" i="21"/>
  <c r="E483" i="21"/>
  <c r="E482" i="21"/>
  <c r="M482" i="21"/>
  <c r="M483" i="21"/>
  <c r="M484" i="21"/>
  <c r="M485" i="21"/>
  <c r="B7" i="23"/>
  <c r="AA103" i="21"/>
  <c r="K6" i="23"/>
  <c r="Z103" i="21"/>
  <c r="J6" i="23"/>
  <c r="Y103" i="21"/>
  <c r="I6" i="23"/>
  <c r="E469" i="21"/>
  <c r="E477" i="21"/>
  <c r="E468" i="21"/>
  <c r="E476" i="21"/>
  <c r="E467" i="21"/>
  <c r="E475" i="21"/>
  <c r="E466" i="21"/>
  <c r="E474" i="21"/>
  <c r="F466" i="21"/>
  <c r="F467" i="21"/>
  <c r="F468" i="21"/>
  <c r="F469" i="21"/>
  <c r="M466" i="21"/>
  <c r="M467" i="21"/>
  <c r="M468" i="21"/>
  <c r="M469" i="21"/>
  <c r="M477" i="21"/>
  <c r="N466" i="21"/>
  <c r="N467" i="21"/>
  <c r="N468" i="21"/>
  <c r="N469" i="21"/>
  <c r="F458" i="21"/>
  <c r="F459" i="21"/>
  <c r="F460" i="21"/>
  <c r="F461" i="21"/>
  <c r="M474" i="21"/>
  <c r="M475" i="21"/>
  <c r="M476" i="21"/>
  <c r="N458" i="21"/>
  <c r="N459" i="21"/>
  <c r="N460" i="21"/>
  <c r="N461" i="21"/>
  <c r="E461" i="21"/>
  <c r="E460" i="21"/>
  <c r="E459" i="21"/>
  <c r="E458" i="21"/>
  <c r="M458" i="21"/>
  <c r="M459" i="21"/>
  <c r="M460" i="21"/>
  <c r="M461" i="21"/>
  <c r="B6" i="23"/>
  <c r="AA51" i="21"/>
  <c r="K5" i="23"/>
  <c r="Z51" i="21"/>
  <c r="J5" i="23"/>
  <c r="Y51" i="21"/>
  <c r="I5" i="23"/>
  <c r="E445" i="21"/>
  <c r="E453" i="21"/>
  <c r="E444" i="21"/>
  <c r="E452" i="21"/>
  <c r="E443" i="21"/>
  <c r="E451" i="21"/>
  <c r="E442" i="21"/>
  <c r="E450" i="21"/>
  <c r="F442" i="21"/>
  <c r="F443" i="21"/>
  <c r="F444" i="21"/>
  <c r="F445" i="21"/>
  <c r="M442" i="21"/>
  <c r="M443" i="21"/>
  <c r="M444" i="21"/>
  <c r="M445" i="21"/>
  <c r="M453" i="21"/>
  <c r="N442" i="21"/>
  <c r="N443" i="21"/>
  <c r="N444" i="21"/>
  <c r="N445" i="21"/>
  <c r="F434" i="21"/>
  <c r="F435" i="21"/>
  <c r="F436" i="21"/>
  <c r="F437" i="21"/>
  <c r="M450" i="21"/>
  <c r="M451" i="21"/>
  <c r="M452" i="21"/>
  <c r="N434" i="21"/>
  <c r="N435" i="21"/>
  <c r="N436" i="21"/>
  <c r="N437" i="21"/>
  <c r="E437" i="21"/>
  <c r="E436" i="21"/>
  <c r="E435" i="21"/>
  <c r="E434" i="21"/>
  <c r="M434" i="21"/>
  <c r="M435" i="21"/>
  <c r="M436" i="21"/>
  <c r="M437" i="21"/>
  <c r="B5" i="23"/>
  <c r="AD3" i="21"/>
  <c r="AD420" i="21" a="1"/>
  <c r="AD4" i="21"/>
  <c r="AD5" i="21"/>
  <c r="AD6" i="21"/>
  <c r="AD7" i="21"/>
  <c r="AD8" i="21"/>
  <c r="AD9" i="21"/>
  <c r="AD10" i="21"/>
  <c r="AD11" i="21"/>
  <c r="AD12" i="21"/>
  <c r="AD13" i="21"/>
  <c r="AD14" i="21"/>
  <c r="AD15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D29" i="21"/>
  <c r="AD30" i="21"/>
  <c r="AD31" i="21"/>
  <c r="AD32" i="21"/>
  <c r="AD33" i="21"/>
  <c r="AD34" i="21"/>
  <c r="AD35" i="21"/>
  <c r="AD36" i="21"/>
  <c r="AD37" i="21"/>
  <c r="AD38" i="21"/>
  <c r="AD39" i="21"/>
  <c r="AD40" i="21"/>
  <c r="AD41" i="21"/>
  <c r="AD42" i="21"/>
  <c r="AD43" i="21"/>
  <c r="AD44" i="21"/>
  <c r="AD45" i="21"/>
  <c r="AD46" i="21"/>
  <c r="AD47" i="21"/>
  <c r="AD48" i="21"/>
  <c r="AD49" i="21"/>
  <c r="AD50" i="21"/>
  <c r="AD55" i="21"/>
  <c r="AD56" i="21"/>
  <c r="AD57" i="21"/>
  <c r="AD58" i="21"/>
  <c r="AD59" i="21"/>
  <c r="AD60" i="21"/>
  <c r="AD61" i="21"/>
  <c r="AD62" i="21"/>
  <c r="AD63" i="21"/>
  <c r="AD64" i="21"/>
  <c r="AD65" i="21"/>
  <c r="AD66" i="21"/>
  <c r="AD67" i="21"/>
  <c r="AD68" i="21"/>
  <c r="AD69" i="21"/>
  <c r="AD70" i="21"/>
  <c r="AD71" i="21"/>
  <c r="AD72" i="21"/>
  <c r="AD73" i="21"/>
  <c r="AD74" i="21"/>
  <c r="AD75" i="21"/>
  <c r="AD76" i="21"/>
  <c r="AD77" i="21"/>
  <c r="AD78" i="21"/>
  <c r="AD79" i="21"/>
  <c r="AD80" i="21"/>
  <c r="AD81" i="21"/>
  <c r="AD82" i="21"/>
  <c r="AD83" i="21"/>
  <c r="AD84" i="21"/>
  <c r="AD85" i="21"/>
  <c r="AD86" i="21"/>
  <c r="AD87" i="21"/>
  <c r="AD88" i="21"/>
  <c r="AD89" i="21"/>
  <c r="AD90" i="21"/>
  <c r="AD91" i="21"/>
  <c r="AD92" i="21"/>
  <c r="AD93" i="21"/>
  <c r="AD94" i="21"/>
  <c r="AD95" i="21"/>
  <c r="AD96" i="21"/>
  <c r="AD97" i="21"/>
  <c r="AD98" i="21"/>
  <c r="AD99" i="21"/>
  <c r="AD100" i="21"/>
  <c r="AD101" i="21"/>
  <c r="AD102" i="21"/>
  <c r="AD107" i="21"/>
  <c r="AD108" i="21"/>
  <c r="AD109" i="21"/>
  <c r="AD110" i="21"/>
  <c r="AD111" i="21"/>
  <c r="AD112" i="21"/>
  <c r="AD113" i="21"/>
  <c r="AD114" i="21"/>
  <c r="AD115" i="21"/>
  <c r="AD116" i="21"/>
  <c r="AD117" i="21"/>
  <c r="AD118" i="21"/>
  <c r="AD119" i="21"/>
  <c r="AD120" i="21"/>
  <c r="AD121" i="21"/>
  <c r="AD122" i="21"/>
  <c r="AD123" i="21"/>
  <c r="AD124" i="21"/>
  <c r="AD125" i="21"/>
  <c r="AD126" i="21"/>
  <c r="AD127" i="21"/>
  <c r="AD128" i="21"/>
  <c r="AD129" i="21"/>
  <c r="AD130" i="21"/>
  <c r="AD131" i="21"/>
  <c r="AD132" i="21"/>
  <c r="AD133" i="21"/>
  <c r="AD134" i="21"/>
  <c r="AD135" i="21"/>
  <c r="AD136" i="21"/>
  <c r="AD137" i="21"/>
  <c r="AD138" i="21"/>
  <c r="AD139" i="21"/>
  <c r="AD140" i="21"/>
  <c r="AD141" i="21"/>
  <c r="AD142" i="21"/>
  <c r="AD143" i="21"/>
  <c r="AD144" i="21"/>
  <c r="AD145" i="21"/>
  <c r="AD146" i="21"/>
  <c r="AD147" i="21"/>
  <c r="AD148" i="21"/>
  <c r="AD149" i="21"/>
  <c r="AD150" i="21"/>
  <c r="AD151" i="21"/>
  <c r="AD152" i="21"/>
  <c r="AD153" i="21"/>
  <c r="AD154" i="21"/>
  <c r="AD159" i="21"/>
  <c r="AD160" i="21"/>
  <c r="AD161" i="21"/>
  <c r="AD162" i="21"/>
  <c r="AD163" i="21"/>
  <c r="AD164" i="21"/>
  <c r="AD165" i="21"/>
  <c r="AD166" i="21"/>
  <c r="AD167" i="21"/>
  <c r="AD168" i="21"/>
  <c r="AD169" i="21"/>
  <c r="AD170" i="21"/>
  <c r="AD171" i="21"/>
  <c r="AD172" i="21"/>
  <c r="AD173" i="21"/>
  <c r="AD174" i="21"/>
  <c r="AD175" i="21"/>
  <c r="AD176" i="21"/>
  <c r="AD177" i="21"/>
  <c r="AD178" i="21"/>
  <c r="AD179" i="21"/>
  <c r="AD180" i="21"/>
  <c r="AD181" i="21"/>
  <c r="AD182" i="21"/>
  <c r="AD183" i="21"/>
  <c r="AD184" i="21"/>
  <c r="AD185" i="21"/>
  <c r="AD186" i="21"/>
  <c r="AD187" i="21"/>
  <c r="AD188" i="21"/>
  <c r="AD189" i="21"/>
  <c r="AD190" i="21"/>
  <c r="AD191" i="21"/>
  <c r="AD192" i="21"/>
  <c r="AD193" i="21"/>
  <c r="AD194" i="21"/>
  <c r="AD195" i="21"/>
  <c r="AD196" i="21"/>
  <c r="AD197" i="21"/>
  <c r="AD198" i="21"/>
  <c r="AD199" i="21"/>
  <c r="AD200" i="21"/>
  <c r="AD201" i="21"/>
  <c r="AD202" i="21"/>
  <c r="AD203" i="21"/>
  <c r="AD204" i="21"/>
  <c r="AD205" i="21"/>
  <c r="AD206" i="21"/>
  <c r="AD211" i="21"/>
  <c r="AD212" i="21"/>
  <c r="AD213" i="21"/>
  <c r="AD214" i="21"/>
  <c r="AD215" i="21"/>
  <c r="AD216" i="21"/>
  <c r="AD217" i="21"/>
  <c r="AD218" i="21"/>
  <c r="AD219" i="21"/>
  <c r="AD220" i="21"/>
  <c r="AD221" i="21"/>
  <c r="AD222" i="21"/>
  <c r="AD223" i="21"/>
  <c r="AD224" i="21"/>
  <c r="AD225" i="21"/>
  <c r="AD226" i="21"/>
  <c r="AD227" i="21"/>
  <c r="AD228" i="21"/>
  <c r="AD229" i="21"/>
  <c r="AD230" i="21"/>
  <c r="AD231" i="21"/>
  <c r="AD232" i="21"/>
  <c r="AD233" i="21"/>
  <c r="AD234" i="21"/>
  <c r="AD235" i="21"/>
  <c r="AD236" i="21"/>
  <c r="AD237" i="21"/>
  <c r="AD238" i="21"/>
  <c r="AD239" i="21"/>
  <c r="AD240" i="21"/>
  <c r="AD241" i="21"/>
  <c r="AD242" i="21"/>
  <c r="AD243" i="21"/>
  <c r="AD244" i="21"/>
  <c r="AD245" i="21"/>
  <c r="AD246" i="21"/>
  <c r="AD247" i="21"/>
  <c r="AD248" i="21"/>
  <c r="AD249" i="21"/>
  <c r="AD250" i="21"/>
  <c r="AD251" i="21"/>
  <c r="AD252" i="21"/>
  <c r="AD253" i="21"/>
  <c r="AD254" i="21"/>
  <c r="AD255" i="21"/>
  <c r="AD256" i="21"/>
  <c r="AD257" i="21"/>
  <c r="AD258" i="21"/>
  <c r="AD263" i="21"/>
  <c r="AD264" i="21"/>
  <c r="AD265" i="21"/>
  <c r="AD266" i="21"/>
  <c r="AD267" i="21"/>
  <c r="AD268" i="21"/>
  <c r="AD269" i="21"/>
  <c r="AD270" i="21"/>
  <c r="AD271" i="21"/>
  <c r="AD272" i="21"/>
  <c r="AD273" i="21"/>
  <c r="AD274" i="21"/>
  <c r="AD275" i="21"/>
  <c r="AD276" i="21"/>
  <c r="AD277" i="21"/>
  <c r="AD278" i="21"/>
  <c r="AD279" i="21"/>
  <c r="AD280" i="21"/>
  <c r="AD281" i="21"/>
  <c r="AD282" i="21"/>
  <c r="AD283" i="21"/>
  <c r="AD284" i="21"/>
  <c r="AD285" i="21"/>
  <c r="AD286" i="21"/>
  <c r="AD287" i="21"/>
  <c r="AD288" i="21"/>
  <c r="AD289" i="21"/>
  <c r="AD290" i="21"/>
  <c r="AD291" i="21"/>
  <c r="AD292" i="21"/>
  <c r="AD293" i="21"/>
  <c r="AD294" i="21"/>
  <c r="AD295" i="21"/>
  <c r="AD296" i="21"/>
  <c r="AD297" i="21"/>
  <c r="AD298" i="21"/>
  <c r="AD299" i="21"/>
  <c r="AD300" i="21"/>
  <c r="AD301" i="21"/>
  <c r="AD302" i="21"/>
  <c r="AD303" i="21"/>
  <c r="AD304" i="21"/>
  <c r="AD305" i="21"/>
  <c r="AD306" i="21"/>
  <c r="AD307" i="21"/>
  <c r="AD308" i="21"/>
  <c r="AD309" i="21"/>
  <c r="AD310" i="21"/>
  <c r="AD315" i="21"/>
  <c r="AD316" i="21"/>
  <c r="AD317" i="21"/>
  <c r="AD318" i="21"/>
  <c r="AD319" i="21"/>
  <c r="AD320" i="21"/>
  <c r="AD321" i="21"/>
  <c r="AD322" i="21"/>
  <c r="AD323" i="21"/>
  <c r="AD324" i="21"/>
  <c r="AD325" i="21"/>
  <c r="AD326" i="21"/>
  <c r="AD327" i="21"/>
  <c r="AD328" i="21"/>
  <c r="AD329" i="21"/>
  <c r="AD330" i="21"/>
  <c r="AD331" i="21"/>
  <c r="AD332" i="21"/>
  <c r="AD333" i="21"/>
  <c r="AD334" i="21"/>
  <c r="AD335" i="21"/>
  <c r="AD336" i="21"/>
  <c r="AD337" i="21"/>
  <c r="AD338" i="21"/>
  <c r="AD339" i="21"/>
  <c r="AD340" i="21"/>
  <c r="AD341" i="21"/>
  <c r="AD342" i="21"/>
  <c r="AD343" i="21"/>
  <c r="AD344" i="21"/>
  <c r="AD345" i="21"/>
  <c r="AD346" i="21"/>
  <c r="AD347" i="21"/>
  <c r="AD348" i="21"/>
  <c r="AD349" i="21"/>
  <c r="AD350" i="21"/>
  <c r="AD351" i="21"/>
  <c r="AD352" i="21"/>
  <c r="AD353" i="21"/>
  <c r="AD354" i="21"/>
  <c r="AD355" i="21"/>
  <c r="AD356" i="21"/>
  <c r="AD357" i="21"/>
  <c r="AD358" i="21"/>
  <c r="AD359" i="21"/>
  <c r="AD360" i="21"/>
  <c r="AD361" i="21"/>
  <c r="AD362" i="21"/>
  <c r="AD367" i="21"/>
  <c r="AD368" i="21"/>
  <c r="AD369" i="21"/>
  <c r="AD370" i="21"/>
  <c r="AD371" i="21"/>
  <c r="AD372" i="21"/>
  <c r="AD373" i="21"/>
  <c r="AD374" i="21"/>
  <c r="AD375" i="21"/>
  <c r="AD376" i="21"/>
  <c r="AD377" i="21"/>
  <c r="AD378" i="21"/>
  <c r="AD379" i="21"/>
  <c r="AD380" i="21"/>
  <c r="AD381" i="21"/>
  <c r="AD382" i="21"/>
  <c r="AD383" i="21"/>
  <c r="AD384" i="21"/>
  <c r="AD385" i="21"/>
  <c r="AD386" i="21"/>
  <c r="AD387" i="21"/>
  <c r="AD388" i="21"/>
  <c r="AD389" i="21"/>
  <c r="AD390" i="21"/>
  <c r="AD391" i="21"/>
  <c r="AD392" i="21"/>
  <c r="AD393" i="21"/>
  <c r="AD394" i="21"/>
  <c r="AD395" i="21"/>
  <c r="AD396" i="21"/>
  <c r="AD397" i="21"/>
  <c r="AD398" i="21"/>
  <c r="AD399" i="21"/>
  <c r="AD400" i="21"/>
  <c r="AD401" i="21"/>
  <c r="AD402" i="21"/>
  <c r="AD403" i="21"/>
  <c r="AD404" i="21"/>
  <c r="AD405" i="21"/>
  <c r="AD406" i="21"/>
  <c r="AD407" i="21"/>
  <c r="AD408" i="21"/>
  <c r="AD409" i="21"/>
  <c r="AD410" i="21"/>
  <c r="AD411" i="21"/>
  <c r="AD412" i="21"/>
  <c r="AD413" i="21"/>
  <c r="AD414" i="21"/>
  <c r="AE3" i="21"/>
  <c r="AE420" i="21" a="1"/>
  <c r="AE4" i="21"/>
  <c r="AE5" i="21"/>
  <c r="AE6" i="21"/>
  <c r="AE7" i="21"/>
  <c r="AE8" i="21"/>
  <c r="AE9" i="21"/>
  <c r="AE10" i="21"/>
  <c r="AE11" i="21"/>
  <c r="AE12" i="21"/>
  <c r="AE13" i="21"/>
  <c r="AE14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E102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9" i="21"/>
  <c r="AE160" i="21"/>
  <c r="AE161" i="21"/>
  <c r="AE162" i="21"/>
  <c r="AE163" i="21"/>
  <c r="AE164" i="21"/>
  <c r="AE165" i="21"/>
  <c r="AE166" i="21"/>
  <c r="AE167" i="21"/>
  <c r="AE168" i="21"/>
  <c r="AE169" i="21"/>
  <c r="AE170" i="21"/>
  <c r="AE183" i="21"/>
  <c r="AE184" i="21"/>
  <c r="AE185" i="21"/>
  <c r="AE186" i="21"/>
  <c r="AE187" i="21"/>
  <c r="AE188" i="21"/>
  <c r="AE189" i="21"/>
  <c r="AE190" i="21"/>
  <c r="AE191" i="21"/>
  <c r="AE192" i="21"/>
  <c r="AE193" i="21"/>
  <c r="AE194" i="21"/>
  <c r="AE195" i="21"/>
  <c r="AE196" i="21"/>
  <c r="AE197" i="21"/>
  <c r="AE198" i="21"/>
  <c r="AE199" i="21"/>
  <c r="AE200" i="21"/>
  <c r="AE201" i="21"/>
  <c r="AE202" i="21"/>
  <c r="AE203" i="21"/>
  <c r="AE204" i="21"/>
  <c r="AE205" i="21"/>
  <c r="AE206" i="21"/>
  <c r="AE211" i="21"/>
  <c r="AE212" i="21"/>
  <c r="AE213" i="21"/>
  <c r="AE214" i="21"/>
  <c r="AE215" i="21"/>
  <c r="AE216" i="21"/>
  <c r="AE217" i="21"/>
  <c r="AE218" i="21"/>
  <c r="AE219" i="21"/>
  <c r="AE220" i="21"/>
  <c r="AE221" i="21"/>
  <c r="AE222" i="21"/>
  <c r="AE235" i="21"/>
  <c r="AE236" i="21"/>
  <c r="AE237" i="21"/>
  <c r="AE238" i="21"/>
  <c r="AE239" i="21"/>
  <c r="AE240" i="21"/>
  <c r="AE241" i="21"/>
  <c r="AE242" i="21"/>
  <c r="AE243" i="21"/>
  <c r="AE244" i="21"/>
  <c r="AE245" i="21"/>
  <c r="AE246" i="21"/>
  <c r="AE247" i="21"/>
  <c r="AE248" i="21"/>
  <c r="AE249" i="21"/>
  <c r="AE250" i="21"/>
  <c r="AE251" i="21"/>
  <c r="AE252" i="21"/>
  <c r="AE253" i="21"/>
  <c r="AE254" i="21"/>
  <c r="AE255" i="21"/>
  <c r="AE256" i="21"/>
  <c r="AE257" i="21"/>
  <c r="AE258" i="21"/>
  <c r="AE263" i="21"/>
  <c r="AE264" i="21"/>
  <c r="AE265" i="21"/>
  <c r="AE266" i="21"/>
  <c r="AE267" i="21"/>
  <c r="AE268" i="21"/>
  <c r="AE269" i="21"/>
  <c r="AE270" i="21"/>
  <c r="AE271" i="21"/>
  <c r="AE272" i="21"/>
  <c r="AE273" i="21"/>
  <c r="AE274" i="21"/>
  <c r="AE287" i="21"/>
  <c r="AE288" i="21"/>
  <c r="AE289" i="21"/>
  <c r="AE290" i="21"/>
  <c r="AE291" i="21"/>
  <c r="AE292" i="21"/>
  <c r="AE293" i="21"/>
  <c r="AE294" i="21"/>
  <c r="AE295" i="21"/>
  <c r="AE296" i="21"/>
  <c r="AE297" i="21"/>
  <c r="AE298" i="21"/>
  <c r="AE299" i="21"/>
  <c r="AE300" i="21"/>
  <c r="AE301" i="21"/>
  <c r="AE302" i="21"/>
  <c r="AE303" i="21"/>
  <c r="AE304" i="21"/>
  <c r="AE305" i="21"/>
  <c r="AE306" i="21"/>
  <c r="AE307" i="21"/>
  <c r="AE308" i="21"/>
  <c r="AE309" i="21"/>
  <c r="AE310" i="21"/>
  <c r="AE315" i="21"/>
  <c r="AE316" i="21"/>
  <c r="AE317" i="21"/>
  <c r="AE318" i="21"/>
  <c r="AE319" i="21"/>
  <c r="AE320" i="21"/>
  <c r="AE321" i="21"/>
  <c r="AE322" i="21"/>
  <c r="AE323" i="21"/>
  <c r="AE324" i="21"/>
  <c r="AE325" i="21"/>
  <c r="AE326" i="21"/>
  <c r="AE339" i="21"/>
  <c r="AE340" i="21"/>
  <c r="AE341" i="21"/>
  <c r="AE342" i="21"/>
  <c r="AE343" i="21"/>
  <c r="AE344" i="21"/>
  <c r="AE345" i="21"/>
  <c r="AE346" i="21"/>
  <c r="AE347" i="21"/>
  <c r="AE348" i="21"/>
  <c r="AE349" i="21"/>
  <c r="AE350" i="21"/>
  <c r="AE351" i="21"/>
  <c r="AE352" i="21"/>
  <c r="AE353" i="21"/>
  <c r="AE354" i="21"/>
  <c r="AE355" i="21"/>
  <c r="AE356" i="21"/>
  <c r="AE357" i="21"/>
  <c r="AE358" i="21"/>
  <c r="AE359" i="21"/>
  <c r="AE360" i="21"/>
  <c r="AE361" i="21"/>
  <c r="AE362" i="21"/>
  <c r="AE367" i="21"/>
  <c r="AE368" i="21"/>
  <c r="AE369" i="21"/>
  <c r="AE370" i="21"/>
  <c r="AE371" i="21"/>
  <c r="AE372" i="21"/>
  <c r="AE373" i="21"/>
  <c r="AE374" i="21"/>
  <c r="AE375" i="21"/>
  <c r="AE376" i="21"/>
  <c r="AE377" i="21"/>
  <c r="AE378" i="21"/>
  <c r="AE391" i="21"/>
  <c r="AE392" i="21"/>
  <c r="AE393" i="21"/>
  <c r="AE394" i="21"/>
  <c r="AE395" i="21"/>
  <c r="AE396" i="21"/>
  <c r="AE397" i="21"/>
  <c r="AE398" i="21"/>
  <c r="AE399" i="21"/>
  <c r="AE400" i="21"/>
  <c r="AE401" i="21"/>
  <c r="AE402" i="21"/>
  <c r="AE403" i="21"/>
  <c r="AE404" i="21"/>
  <c r="AE405" i="21"/>
  <c r="AE406" i="21"/>
  <c r="AE407" i="21"/>
  <c r="AE408" i="21"/>
  <c r="AE409" i="21"/>
  <c r="AE410" i="21"/>
  <c r="AE411" i="21"/>
  <c r="AE412" i="21"/>
  <c r="AE413" i="21"/>
  <c r="AE414" i="21"/>
  <c r="AF3" i="21"/>
  <c r="AF420" i="21" a="1"/>
  <c r="AF4" i="21"/>
  <c r="AF5" i="21"/>
  <c r="AF6" i="21"/>
  <c r="AF7" i="21"/>
  <c r="AF8" i="21"/>
  <c r="AF9" i="21"/>
  <c r="AF10" i="21"/>
  <c r="AF11" i="21"/>
  <c r="AF12" i="21"/>
  <c r="AF13" i="21"/>
  <c r="AF14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79" i="21"/>
  <c r="AF80" i="21"/>
  <c r="AF81" i="21"/>
  <c r="AF82" i="21"/>
  <c r="AF83" i="21"/>
  <c r="AF84" i="21"/>
  <c r="AF85" i="21"/>
  <c r="AF86" i="21"/>
  <c r="AF87" i="21"/>
  <c r="AF88" i="21"/>
  <c r="AF89" i="21"/>
  <c r="AF90" i="21"/>
  <c r="AF91" i="21"/>
  <c r="AF92" i="21"/>
  <c r="AF93" i="21"/>
  <c r="AF94" i="21"/>
  <c r="AF95" i="21"/>
  <c r="AF96" i="21"/>
  <c r="AF97" i="21"/>
  <c r="AF98" i="21"/>
  <c r="AF99" i="21"/>
  <c r="AF100" i="21"/>
  <c r="AF101" i="21"/>
  <c r="AF102" i="21"/>
  <c r="AF107" i="21"/>
  <c r="AF108" i="21"/>
  <c r="AF109" i="21"/>
  <c r="AF110" i="21"/>
  <c r="AF111" i="21"/>
  <c r="AF112" i="21"/>
  <c r="AF113" i="21"/>
  <c r="AF114" i="21"/>
  <c r="AF115" i="21"/>
  <c r="AF116" i="21"/>
  <c r="AF117" i="21"/>
  <c r="AF118" i="21"/>
  <c r="AF131" i="21"/>
  <c r="AF132" i="21"/>
  <c r="AF133" i="21"/>
  <c r="AF134" i="21"/>
  <c r="AF135" i="21"/>
  <c r="AF136" i="21"/>
  <c r="AF137" i="21"/>
  <c r="AF138" i="21"/>
  <c r="AF139" i="21"/>
  <c r="AF140" i="21"/>
  <c r="AF141" i="21"/>
  <c r="AF142" i="21"/>
  <c r="AF143" i="21"/>
  <c r="AF144" i="21"/>
  <c r="AF145" i="21"/>
  <c r="AF146" i="21"/>
  <c r="AF147" i="21"/>
  <c r="AF148" i="21"/>
  <c r="AF149" i="21"/>
  <c r="AF150" i="21"/>
  <c r="AF151" i="21"/>
  <c r="AF152" i="21"/>
  <c r="AF153" i="21"/>
  <c r="AF154" i="21"/>
  <c r="AF159" i="21"/>
  <c r="AF160" i="21"/>
  <c r="AF161" i="21"/>
  <c r="AF162" i="21"/>
  <c r="AF163" i="21"/>
  <c r="AF164" i="21"/>
  <c r="AF165" i="21"/>
  <c r="AF166" i="21"/>
  <c r="AF167" i="21"/>
  <c r="AF168" i="21"/>
  <c r="AF169" i="21"/>
  <c r="AF170" i="21"/>
  <c r="AF183" i="21"/>
  <c r="AF184" i="21"/>
  <c r="AF185" i="21"/>
  <c r="AF186" i="21"/>
  <c r="AF187" i="21"/>
  <c r="AF188" i="21"/>
  <c r="AF189" i="21"/>
  <c r="AF190" i="21"/>
  <c r="AF191" i="21"/>
  <c r="AF192" i="21"/>
  <c r="AF193" i="21"/>
  <c r="AF194" i="21"/>
  <c r="AF195" i="21"/>
  <c r="AF196" i="21"/>
  <c r="AF197" i="21"/>
  <c r="AF198" i="21"/>
  <c r="AF199" i="21"/>
  <c r="AF200" i="21"/>
  <c r="AF201" i="21"/>
  <c r="AF202" i="21"/>
  <c r="AF203" i="21"/>
  <c r="AF204" i="21"/>
  <c r="AF205" i="21"/>
  <c r="AF206" i="21"/>
  <c r="AF211" i="21"/>
  <c r="AF212" i="21"/>
  <c r="AF213" i="21"/>
  <c r="AF214" i="21"/>
  <c r="AF215" i="21"/>
  <c r="AF216" i="21"/>
  <c r="AF217" i="21"/>
  <c r="AF218" i="21"/>
  <c r="AF219" i="21"/>
  <c r="AF220" i="21"/>
  <c r="AF221" i="21"/>
  <c r="AF222" i="21"/>
  <c r="AF235" i="21"/>
  <c r="AF236" i="21"/>
  <c r="AF237" i="21"/>
  <c r="AF238" i="21"/>
  <c r="AF239" i="21"/>
  <c r="AF240" i="21"/>
  <c r="AF241" i="21"/>
  <c r="AF242" i="21"/>
  <c r="AF243" i="21"/>
  <c r="AF244" i="21"/>
  <c r="AF245" i="21"/>
  <c r="AF246" i="21"/>
  <c r="AF247" i="21"/>
  <c r="AF248" i="21"/>
  <c r="AF249" i="21"/>
  <c r="AF250" i="21"/>
  <c r="AF251" i="21"/>
  <c r="AF252" i="21"/>
  <c r="AF253" i="21"/>
  <c r="AF254" i="21"/>
  <c r="AF255" i="21"/>
  <c r="AF256" i="21"/>
  <c r="AF257" i="21"/>
  <c r="AF258" i="21"/>
  <c r="AF263" i="21"/>
  <c r="AF264" i="21"/>
  <c r="AF265" i="21"/>
  <c r="AF266" i="21"/>
  <c r="AF267" i="21"/>
  <c r="AF268" i="21"/>
  <c r="AF269" i="21"/>
  <c r="AF270" i="21"/>
  <c r="AF271" i="21"/>
  <c r="AF272" i="21"/>
  <c r="AF273" i="21"/>
  <c r="AF274" i="21"/>
  <c r="AF287" i="21"/>
  <c r="AF288" i="21"/>
  <c r="AF289" i="21"/>
  <c r="AF290" i="21"/>
  <c r="AF291" i="21"/>
  <c r="AF292" i="21"/>
  <c r="AF293" i="21"/>
  <c r="AF294" i="21"/>
  <c r="AF295" i="21"/>
  <c r="AF296" i="21"/>
  <c r="AF297" i="21"/>
  <c r="AF298" i="21"/>
  <c r="AF299" i="21"/>
  <c r="AF300" i="21"/>
  <c r="AF301" i="21"/>
  <c r="AF302" i="21"/>
  <c r="AF303" i="21"/>
  <c r="AF304" i="21"/>
  <c r="AF305" i="21"/>
  <c r="AF306" i="21"/>
  <c r="AF307" i="21"/>
  <c r="AF308" i="21"/>
  <c r="AF309" i="21"/>
  <c r="AF310" i="21"/>
  <c r="AF315" i="21"/>
  <c r="AF316" i="21"/>
  <c r="AF317" i="21"/>
  <c r="AF318" i="21"/>
  <c r="AF319" i="21"/>
  <c r="AF320" i="21"/>
  <c r="AF321" i="21"/>
  <c r="AF322" i="21"/>
  <c r="AF323" i="21"/>
  <c r="AF324" i="21"/>
  <c r="AF325" i="21"/>
  <c r="AF326" i="21"/>
  <c r="AF339" i="21"/>
  <c r="AF340" i="21"/>
  <c r="AF341" i="21"/>
  <c r="AF342" i="21"/>
  <c r="AF343" i="21"/>
  <c r="AF344" i="21"/>
  <c r="AF345" i="21"/>
  <c r="AF346" i="21"/>
  <c r="AF347" i="21"/>
  <c r="AF348" i="21"/>
  <c r="AF349" i="21"/>
  <c r="AF350" i="21"/>
  <c r="AF351" i="21"/>
  <c r="AF352" i="21"/>
  <c r="AF353" i="21"/>
  <c r="AF354" i="21"/>
  <c r="AF355" i="21"/>
  <c r="AF356" i="21"/>
  <c r="AF357" i="21"/>
  <c r="AF358" i="21"/>
  <c r="AF359" i="21"/>
  <c r="AF360" i="21"/>
  <c r="AF361" i="21"/>
  <c r="AF362" i="21"/>
  <c r="AF367" i="21"/>
  <c r="AF368" i="21"/>
  <c r="AF369" i="21"/>
  <c r="AF370" i="21"/>
  <c r="AF371" i="21"/>
  <c r="AF372" i="21"/>
  <c r="AF373" i="21"/>
  <c r="AF374" i="21"/>
  <c r="AF375" i="21"/>
  <c r="AF376" i="21"/>
  <c r="AF377" i="21"/>
  <c r="AF378" i="21"/>
  <c r="AF391" i="21"/>
  <c r="AF392" i="21"/>
  <c r="AF393" i="21"/>
  <c r="AF394" i="21"/>
  <c r="AF395" i="21"/>
  <c r="AF396" i="21"/>
  <c r="AF397" i="21"/>
  <c r="AF398" i="21"/>
  <c r="AF399" i="21"/>
  <c r="AF400" i="21"/>
  <c r="AF401" i="21"/>
  <c r="AF402" i="21"/>
  <c r="AF403" i="21"/>
  <c r="AF404" i="21"/>
  <c r="AF405" i="21"/>
  <c r="AF406" i="21"/>
  <c r="AF407" i="21"/>
  <c r="AF408" i="21"/>
  <c r="AF409" i="21"/>
  <c r="AF410" i="21"/>
  <c r="AF411" i="21"/>
  <c r="AF412" i="21"/>
  <c r="AF413" i="21"/>
  <c r="AF414" i="21"/>
  <c r="AG51" i="21"/>
  <c r="AG420" i="21" a="1"/>
  <c r="AG52" i="21"/>
  <c r="AG53" i="21"/>
  <c r="AG54" i="21"/>
  <c r="AG103" i="21"/>
  <c r="AG104" i="21"/>
  <c r="AG105" i="21"/>
  <c r="AG106" i="21"/>
  <c r="AG155" i="21"/>
  <c r="AG156" i="21"/>
  <c r="AG157" i="21"/>
  <c r="AG158" i="21"/>
  <c r="AG207" i="21"/>
  <c r="AG208" i="21"/>
  <c r="AG209" i="21"/>
  <c r="AG210" i="21"/>
  <c r="AG259" i="21"/>
  <c r="AG260" i="21"/>
  <c r="AG261" i="21"/>
  <c r="AG262" i="21"/>
  <c r="AG311" i="21"/>
  <c r="AG312" i="21"/>
  <c r="AG313" i="21"/>
  <c r="AG314" i="21"/>
  <c r="AG363" i="21"/>
  <c r="AG364" i="21"/>
  <c r="AG365" i="21"/>
  <c r="AG366" i="21"/>
  <c r="AG415" i="21"/>
  <c r="AG416" i="21"/>
  <c r="AG417" i="21"/>
  <c r="AG418" i="21"/>
  <c r="AH51" i="21"/>
  <c r="AH420" i="21" a="1"/>
  <c r="AH52" i="21"/>
  <c r="AH53" i="21"/>
  <c r="AH54" i="21"/>
  <c r="AH103" i="21"/>
  <c r="AH104" i="21"/>
  <c r="AH105" i="21"/>
  <c r="AH106" i="21"/>
  <c r="AH155" i="21"/>
  <c r="AH156" i="21"/>
  <c r="AH157" i="21"/>
  <c r="AH158" i="21"/>
  <c r="AH207" i="21"/>
  <c r="AH208" i="21"/>
  <c r="AH209" i="21"/>
  <c r="AH210" i="21"/>
  <c r="AH259" i="21"/>
  <c r="AH260" i="21"/>
  <c r="AH261" i="21"/>
  <c r="AH262" i="21"/>
  <c r="AH311" i="21"/>
  <c r="AH312" i="21"/>
  <c r="AH313" i="21"/>
  <c r="AH314" i="21"/>
  <c r="AH363" i="21"/>
  <c r="AH364" i="21"/>
  <c r="AH365" i="21"/>
  <c r="AH366" i="21"/>
  <c r="AH415" i="21"/>
  <c r="AH416" i="21"/>
  <c r="AH417" i="21"/>
  <c r="AH418" i="21"/>
  <c r="AI51" i="21"/>
  <c r="AI52" i="21"/>
  <c r="AI53" i="21"/>
  <c r="AI54" i="21"/>
  <c r="AI103" i="21"/>
  <c r="AI104" i="21"/>
  <c r="AI105" i="21"/>
  <c r="AI106" i="21"/>
  <c r="AI155" i="21"/>
  <c r="AI156" i="21"/>
  <c r="AI157" i="21"/>
  <c r="AI158" i="21"/>
  <c r="AI207" i="21"/>
  <c r="AI208" i="21"/>
  <c r="AI209" i="21"/>
  <c r="AI210" i="21"/>
  <c r="AI259" i="21"/>
  <c r="AI260" i="21"/>
  <c r="AI261" i="21"/>
  <c r="AI262" i="21"/>
  <c r="AI311" i="21"/>
  <c r="AI312" i="21"/>
  <c r="AI313" i="21"/>
  <c r="AI314" i="21"/>
  <c r="AI363" i="21"/>
  <c r="AI364" i="21"/>
  <c r="AI365" i="21"/>
  <c r="AI366" i="21"/>
  <c r="AI415" i="21"/>
  <c r="AI416" i="21"/>
  <c r="AI417" i="21"/>
  <c r="AI418" i="21"/>
  <c r="AI420" i="21" a="1"/>
  <c r="AC3" i="21"/>
  <c r="AC420" i="21" a="1"/>
  <c r="AC4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51" i="21"/>
  <c r="AC52" i="21"/>
  <c r="AC53" i="21"/>
  <c r="AC54" i="21"/>
  <c r="AC55" i="21"/>
  <c r="AC56" i="21"/>
  <c r="AC57" i="21"/>
  <c r="AC58" i="21"/>
  <c r="AC59" i="21"/>
  <c r="AC60" i="21"/>
  <c r="AC61" i="21"/>
  <c r="AC62" i="21"/>
  <c r="AC63" i="21"/>
  <c r="AC64" i="21"/>
  <c r="AC65" i="21"/>
  <c r="AC66" i="21"/>
  <c r="AC67" i="21"/>
  <c r="AC68" i="21"/>
  <c r="AC69" i="21"/>
  <c r="AC70" i="21"/>
  <c r="AC71" i="21"/>
  <c r="AC72" i="21"/>
  <c r="AC73" i="21"/>
  <c r="AC74" i="21"/>
  <c r="AC75" i="21"/>
  <c r="AC76" i="21"/>
  <c r="AC77" i="21"/>
  <c r="AC78" i="21"/>
  <c r="AC103" i="21"/>
  <c r="AC104" i="21"/>
  <c r="AC105" i="21"/>
  <c r="AC106" i="21"/>
  <c r="AC107" i="21"/>
  <c r="AC108" i="21"/>
  <c r="AC109" i="21"/>
  <c r="AC110" i="21"/>
  <c r="AC111" i="21"/>
  <c r="AC112" i="21"/>
  <c r="AC113" i="21"/>
  <c r="AC114" i="21"/>
  <c r="AC115" i="21"/>
  <c r="AC116" i="21"/>
  <c r="AC117" i="21"/>
  <c r="AC118" i="21"/>
  <c r="AC119" i="21"/>
  <c r="AC120" i="21"/>
  <c r="AC121" i="21"/>
  <c r="AC122" i="21"/>
  <c r="AC123" i="21"/>
  <c r="AC124" i="21"/>
  <c r="AC125" i="21"/>
  <c r="AC126" i="21"/>
  <c r="AC127" i="21"/>
  <c r="AC128" i="21"/>
  <c r="AC129" i="21"/>
  <c r="AC130" i="21"/>
  <c r="AC155" i="21"/>
  <c r="AC156" i="21"/>
  <c r="AC157" i="21"/>
  <c r="AC158" i="21"/>
  <c r="AC159" i="21"/>
  <c r="AC160" i="21"/>
  <c r="AC161" i="21"/>
  <c r="AC162" i="21"/>
  <c r="AC163" i="21"/>
  <c r="AC164" i="21"/>
  <c r="AC165" i="21"/>
  <c r="AC166" i="21"/>
  <c r="AC167" i="21"/>
  <c r="AC168" i="21"/>
  <c r="AC169" i="21"/>
  <c r="AC170" i="21"/>
  <c r="AC171" i="21"/>
  <c r="AC172" i="21"/>
  <c r="AC173" i="21"/>
  <c r="AC174" i="21"/>
  <c r="AC175" i="21"/>
  <c r="AC176" i="21"/>
  <c r="AC177" i="21"/>
  <c r="AC178" i="21"/>
  <c r="AC179" i="21"/>
  <c r="AC180" i="21"/>
  <c r="AC181" i="21"/>
  <c r="AC182" i="21"/>
  <c r="AC207" i="21"/>
  <c r="AC208" i="21"/>
  <c r="AC209" i="21"/>
  <c r="AC210" i="21"/>
  <c r="AC211" i="21"/>
  <c r="AC212" i="21"/>
  <c r="AC213" i="21"/>
  <c r="AC214" i="21"/>
  <c r="AC215" i="21"/>
  <c r="AC216" i="21"/>
  <c r="AC217" i="21"/>
  <c r="AC218" i="21"/>
  <c r="AC219" i="21"/>
  <c r="AC220" i="21"/>
  <c r="AC221" i="21"/>
  <c r="AC222" i="21"/>
  <c r="AC223" i="21"/>
  <c r="AC224" i="21"/>
  <c r="AC225" i="21"/>
  <c r="AC226" i="21"/>
  <c r="AC227" i="21"/>
  <c r="AC228" i="21"/>
  <c r="AC229" i="21"/>
  <c r="AC230" i="21"/>
  <c r="AC231" i="21"/>
  <c r="AC232" i="21"/>
  <c r="AC233" i="21"/>
  <c r="AC234" i="21"/>
  <c r="AC259" i="21"/>
  <c r="AC260" i="21"/>
  <c r="AC261" i="21"/>
  <c r="AC262" i="21"/>
  <c r="AC263" i="21"/>
  <c r="AC264" i="21"/>
  <c r="AC265" i="21"/>
  <c r="AC266" i="21"/>
  <c r="AC267" i="21"/>
  <c r="AC268" i="21"/>
  <c r="AC269" i="21"/>
  <c r="AC270" i="21"/>
  <c r="AC271" i="21"/>
  <c r="AC272" i="21"/>
  <c r="AC273" i="21"/>
  <c r="AC274" i="21"/>
  <c r="AC275" i="21"/>
  <c r="AC276" i="21"/>
  <c r="AC277" i="21"/>
  <c r="AC278" i="21"/>
  <c r="AC279" i="21"/>
  <c r="AC280" i="21"/>
  <c r="AC281" i="21"/>
  <c r="AC282" i="21"/>
  <c r="AC283" i="21"/>
  <c r="AC284" i="21"/>
  <c r="AC285" i="21"/>
  <c r="AC286" i="21"/>
  <c r="AC311" i="21"/>
  <c r="AC312" i="21"/>
  <c r="AC313" i="21"/>
  <c r="AC314" i="21"/>
  <c r="AC315" i="21"/>
  <c r="AC316" i="21"/>
  <c r="AC317" i="21"/>
  <c r="AC318" i="21"/>
  <c r="AC319" i="21"/>
  <c r="AC320" i="21"/>
  <c r="AC321" i="21"/>
  <c r="AC322" i="21"/>
  <c r="AC323" i="21"/>
  <c r="AC324" i="21"/>
  <c r="AC325" i="21"/>
  <c r="AC326" i="21"/>
  <c r="AC327" i="21"/>
  <c r="AC328" i="21"/>
  <c r="AC329" i="21"/>
  <c r="AC330" i="21"/>
  <c r="AC331" i="21"/>
  <c r="AC332" i="21"/>
  <c r="AC333" i="21"/>
  <c r="AC334" i="21"/>
  <c r="AC335" i="21"/>
  <c r="AC336" i="21"/>
  <c r="AC337" i="21"/>
  <c r="AC338" i="21"/>
  <c r="AC363" i="21"/>
  <c r="AC364" i="21"/>
  <c r="AC365" i="21"/>
  <c r="AC366" i="21"/>
  <c r="AC367" i="21"/>
  <c r="AC368" i="21"/>
  <c r="AC369" i="21"/>
  <c r="AC370" i="21"/>
  <c r="AC371" i="21"/>
  <c r="AC372" i="21"/>
  <c r="AC373" i="21"/>
  <c r="AC374" i="21"/>
  <c r="AC375" i="21"/>
  <c r="AC376" i="21"/>
  <c r="AC377" i="21"/>
  <c r="AC378" i="21"/>
  <c r="AC379" i="21"/>
  <c r="AC380" i="21"/>
  <c r="AC381" i="21"/>
  <c r="AC382" i="21"/>
  <c r="AC383" i="21"/>
  <c r="AC384" i="21"/>
  <c r="AC385" i="21"/>
  <c r="AC386" i="21"/>
  <c r="AC387" i="21"/>
  <c r="AC388" i="21"/>
  <c r="AC389" i="21"/>
  <c r="AC390" i="21"/>
  <c r="AC415" i="21"/>
  <c r="AC416" i="21"/>
  <c r="AC417" i="21"/>
  <c r="AC418" i="21"/>
  <c r="B598" i="21"/>
  <c r="B28" i="23"/>
  <c r="P621" i="21"/>
  <c r="O621" i="21"/>
  <c r="N621" i="21"/>
  <c r="P620" i="21"/>
  <c r="O620" i="21"/>
  <c r="N620" i="21"/>
  <c r="P619" i="21"/>
  <c r="O619" i="21"/>
  <c r="N619" i="21"/>
  <c r="P618" i="21"/>
  <c r="O618" i="21"/>
  <c r="N618" i="21"/>
  <c r="P617" i="21"/>
  <c r="O617" i="21"/>
  <c r="N617" i="21"/>
  <c r="P616" i="21"/>
  <c r="O616" i="21"/>
  <c r="N616" i="21"/>
  <c r="P615" i="21"/>
  <c r="O615" i="21"/>
  <c r="N615" i="21"/>
  <c r="P614" i="21"/>
  <c r="O614" i="21"/>
  <c r="N614" i="21"/>
  <c r="F619" i="21"/>
  <c r="G619" i="21"/>
  <c r="H619" i="21"/>
  <c r="F620" i="21"/>
  <c r="G620" i="21"/>
  <c r="H620" i="21"/>
  <c r="F621" i="21"/>
  <c r="G621" i="21"/>
  <c r="H621" i="21"/>
  <c r="G618" i="21"/>
  <c r="H618" i="21"/>
  <c r="F618" i="21"/>
  <c r="F615" i="21"/>
  <c r="G615" i="21"/>
  <c r="H615" i="21"/>
  <c r="F616" i="21"/>
  <c r="G616" i="21"/>
  <c r="H616" i="21"/>
  <c r="F617" i="21"/>
  <c r="G617" i="21"/>
  <c r="H617" i="21"/>
  <c r="G614" i="21"/>
  <c r="H614" i="21"/>
  <c r="F614" i="21"/>
  <c r="P613" i="21"/>
  <c r="O613" i="21"/>
  <c r="P612" i="21"/>
  <c r="O612" i="21"/>
  <c r="P611" i="21"/>
  <c r="O611" i="21"/>
  <c r="P610" i="21"/>
  <c r="O610" i="21"/>
  <c r="G611" i="21"/>
  <c r="H611" i="21"/>
  <c r="G612" i="21"/>
  <c r="H612" i="21"/>
  <c r="G613" i="21"/>
  <c r="H613" i="21"/>
  <c r="G610" i="21"/>
  <c r="H610" i="21"/>
  <c r="P609" i="21"/>
  <c r="O609" i="21"/>
  <c r="P608" i="21"/>
  <c r="O608" i="21"/>
  <c r="P607" i="21"/>
  <c r="O607" i="21"/>
  <c r="P606" i="21"/>
  <c r="O606" i="21"/>
  <c r="G607" i="21"/>
  <c r="H607" i="21"/>
  <c r="G608" i="21"/>
  <c r="H608" i="21"/>
  <c r="G609" i="21"/>
  <c r="H609" i="21"/>
  <c r="G606" i="21"/>
  <c r="H606" i="21"/>
  <c r="P605" i="21"/>
  <c r="O605" i="21"/>
  <c r="P604" i="21"/>
  <c r="O604" i="21"/>
  <c r="P603" i="21"/>
  <c r="O603" i="21"/>
  <c r="P602" i="21"/>
  <c r="O602" i="21"/>
  <c r="G603" i="21"/>
  <c r="H603" i="21"/>
  <c r="G604" i="21"/>
  <c r="H604" i="21"/>
  <c r="G605" i="21"/>
  <c r="H605" i="21"/>
  <c r="G602" i="21"/>
  <c r="H602" i="21"/>
  <c r="P601" i="21"/>
  <c r="O601" i="21"/>
  <c r="P600" i="21"/>
  <c r="O600" i="21"/>
  <c r="P599" i="21"/>
  <c r="O599" i="21"/>
  <c r="P598" i="21"/>
  <c r="O598" i="21"/>
  <c r="G599" i="21"/>
  <c r="H599" i="21"/>
  <c r="G600" i="21"/>
  <c r="H600" i="21"/>
  <c r="G601" i="21"/>
  <c r="H601" i="21"/>
  <c r="G598" i="21"/>
  <c r="H598" i="21"/>
  <c r="F446" i="21"/>
  <c r="P597" i="21"/>
  <c r="O597" i="21"/>
  <c r="N597" i="21"/>
  <c r="H597" i="21"/>
  <c r="G597" i="21"/>
  <c r="F597" i="21"/>
  <c r="P596" i="21"/>
  <c r="O596" i="21"/>
  <c r="N596" i="21"/>
  <c r="H596" i="21"/>
  <c r="G596" i="21"/>
  <c r="F596" i="21"/>
  <c r="P595" i="21"/>
  <c r="O595" i="21"/>
  <c r="N595" i="21"/>
  <c r="H595" i="21"/>
  <c r="G595" i="21"/>
  <c r="F595" i="21"/>
  <c r="P594" i="21"/>
  <c r="O594" i="21"/>
  <c r="N594" i="21"/>
  <c r="H594" i="21"/>
  <c r="G594" i="21"/>
  <c r="F594" i="21"/>
  <c r="P593" i="21"/>
  <c r="O593" i="21"/>
  <c r="N593" i="21"/>
  <c r="H593" i="21"/>
  <c r="G593" i="21"/>
  <c r="F593" i="21"/>
  <c r="P592" i="21"/>
  <c r="O592" i="21"/>
  <c r="N592" i="21"/>
  <c r="H592" i="21"/>
  <c r="G592" i="21"/>
  <c r="F592" i="21"/>
  <c r="P591" i="21"/>
  <c r="O591" i="21"/>
  <c r="N591" i="21"/>
  <c r="H591" i="21"/>
  <c r="G591" i="21"/>
  <c r="F591" i="21"/>
  <c r="P590" i="21"/>
  <c r="O590" i="21"/>
  <c r="N590" i="21"/>
  <c r="H590" i="21"/>
  <c r="G590" i="21"/>
  <c r="F590" i="21"/>
  <c r="P589" i="21"/>
  <c r="O589" i="21"/>
  <c r="H589" i="21"/>
  <c r="G589" i="21"/>
  <c r="P588" i="21"/>
  <c r="O588" i="21"/>
  <c r="H588" i="21"/>
  <c r="G588" i="21"/>
  <c r="P587" i="21"/>
  <c r="O587" i="21"/>
  <c r="H587" i="21"/>
  <c r="G587" i="21"/>
  <c r="P586" i="21"/>
  <c r="O586" i="21"/>
  <c r="H586" i="21"/>
  <c r="G586" i="21"/>
  <c r="P585" i="21"/>
  <c r="O585" i="21"/>
  <c r="H585" i="21"/>
  <c r="G585" i="21"/>
  <c r="P584" i="21"/>
  <c r="O584" i="21"/>
  <c r="H584" i="21"/>
  <c r="G584" i="21"/>
  <c r="P583" i="21"/>
  <c r="O583" i="21"/>
  <c r="H583" i="21"/>
  <c r="G583" i="21"/>
  <c r="P582" i="21"/>
  <c r="O582" i="21"/>
  <c r="H582" i="21"/>
  <c r="G582" i="21"/>
  <c r="P581" i="21"/>
  <c r="O581" i="21"/>
  <c r="H581" i="21"/>
  <c r="G581" i="21"/>
  <c r="P580" i="21"/>
  <c r="O580" i="21"/>
  <c r="H580" i="21"/>
  <c r="G580" i="21"/>
  <c r="P579" i="21"/>
  <c r="O579" i="21"/>
  <c r="H579" i="21"/>
  <c r="G579" i="21"/>
  <c r="P578" i="21"/>
  <c r="O578" i="21"/>
  <c r="H578" i="21"/>
  <c r="G578" i="21"/>
  <c r="P577" i="21"/>
  <c r="O577" i="21"/>
  <c r="H577" i="21"/>
  <c r="G577" i="21"/>
  <c r="P576" i="21"/>
  <c r="O576" i="21"/>
  <c r="H576" i="21"/>
  <c r="G576" i="21"/>
  <c r="P575" i="21"/>
  <c r="O575" i="21"/>
  <c r="H575" i="21"/>
  <c r="G575" i="21"/>
  <c r="P574" i="21"/>
  <c r="O574" i="21"/>
  <c r="H574" i="21"/>
  <c r="G574" i="21"/>
  <c r="B574" i="21"/>
  <c r="P573" i="21"/>
  <c r="O573" i="21"/>
  <c r="N573" i="21"/>
  <c r="H573" i="21"/>
  <c r="G573" i="21"/>
  <c r="F573" i="21"/>
  <c r="P572" i="21"/>
  <c r="O572" i="21"/>
  <c r="N572" i="21"/>
  <c r="H572" i="21"/>
  <c r="G572" i="21"/>
  <c r="F572" i="21"/>
  <c r="P571" i="21"/>
  <c r="O571" i="21"/>
  <c r="N571" i="21"/>
  <c r="H571" i="21"/>
  <c r="G571" i="21"/>
  <c r="F571" i="21"/>
  <c r="P570" i="21"/>
  <c r="O570" i="21"/>
  <c r="N570" i="21"/>
  <c r="H570" i="21"/>
  <c r="G570" i="21"/>
  <c r="F570" i="21"/>
  <c r="P569" i="21"/>
  <c r="O569" i="21"/>
  <c r="N569" i="21"/>
  <c r="H569" i="21"/>
  <c r="G569" i="21"/>
  <c r="F569" i="21"/>
  <c r="P568" i="21"/>
  <c r="O568" i="21"/>
  <c r="N568" i="21"/>
  <c r="H568" i="21"/>
  <c r="G568" i="21"/>
  <c r="F568" i="21"/>
  <c r="P567" i="21"/>
  <c r="O567" i="21"/>
  <c r="N567" i="21"/>
  <c r="H567" i="21"/>
  <c r="G567" i="21"/>
  <c r="F567" i="21"/>
  <c r="P566" i="21"/>
  <c r="O566" i="21"/>
  <c r="N566" i="21"/>
  <c r="H566" i="21"/>
  <c r="G566" i="21"/>
  <c r="F566" i="21"/>
  <c r="P565" i="21"/>
  <c r="O565" i="21"/>
  <c r="H565" i="21"/>
  <c r="G565" i="21"/>
  <c r="P564" i="21"/>
  <c r="O564" i="21"/>
  <c r="H564" i="21"/>
  <c r="G564" i="21"/>
  <c r="P563" i="21"/>
  <c r="O563" i="21"/>
  <c r="H563" i="21"/>
  <c r="G563" i="21"/>
  <c r="P562" i="21"/>
  <c r="O562" i="21"/>
  <c r="H562" i="21"/>
  <c r="G562" i="21"/>
  <c r="P561" i="21"/>
  <c r="O561" i="21"/>
  <c r="H561" i="21"/>
  <c r="G561" i="21"/>
  <c r="P560" i="21"/>
  <c r="O560" i="21"/>
  <c r="H560" i="21"/>
  <c r="G560" i="21"/>
  <c r="P559" i="21"/>
  <c r="O559" i="21"/>
  <c r="H559" i="21"/>
  <c r="G559" i="21"/>
  <c r="P558" i="21"/>
  <c r="O558" i="21"/>
  <c r="H558" i="21"/>
  <c r="G558" i="21"/>
  <c r="P557" i="21"/>
  <c r="O557" i="21"/>
  <c r="H557" i="21"/>
  <c r="G557" i="21"/>
  <c r="P556" i="21"/>
  <c r="O556" i="21"/>
  <c r="H556" i="21"/>
  <c r="G556" i="21"/>
  <c r="P555" i="21"/>
  <c r="O555" i="21"/>
  <c r="H555" i="21"/>
  <c r="G555" i="21"/>
  <c r="P554" i="21"/>
  <c r="O554" i="21"/>
  <c r="H554" i="21"/>
  <c r="G554" i="21"/>
  <c r="P553" i="21"/>
  <c r="O553" i="21"/>
  <c r="H553" i="21"/>
  <c r="G553" i="21"/>
  <c r="P552" i="21"/>
  <c r="O552" i="21"/>
  <c r="H552" i="21"/>
  <c r="G552" i="21"/>
  <c r="P551" i="21"/>
  <c r="O551" i="21"/>
  <c r="H551" i="21"/>
  <c r="G551" i="21"/>
  <c r="P550" i="21"/>
  <c r="O550" i="21"/>
  <c r="H550" i="21"/>
  <c r="G550" i="21"/>
  <c r="B550" i="21"/>
  <c r="P549" i="21"/>
  <c r="O549" i="21"/>
  <c r="N549" i="21"/>
  <c r="H549" i="21"/>
  <c r="G549" i="21"/>
  <c r="F549" i="21"/>
  <c r="P548" i="21"/>
  <c r="O548" i="21"/>
  <c r="N548" i="21"/>
  <c r="H548" i="21"/>
  <c r="G548" i="21"/>
  <c r="F548" i="21"/>
  <c r="P547" i="21"/>
  <c r="O547" i="21"/>
  <c r="N547" i="21"/>
  <c r="H547" i="21"/>
  <c r="G547" i="21"/>
  <c r="F547" i="21"/>
  <c r="P546" i="21"/>
  <c r="O546" i="21"/>
  <c r="N546" i="21"/>
  <c r="H546" i="21"/>
  <c r="G546" i="21"/>
  <c r="F546" i="21"/>
  <c r="P545" i="21"/>
  <c r="O545" i="21"/>
  <c r="N545" i="21"/>
  <c r="H545" i="21"/>
  <c r="G545" i="21"/>
  <c r="F545" i="21"/>
  <c r="P544" i="21"/>
  <c r="O544" i="21"/>
  <c r="N544" i="21"/>
  <c r="H544" i="21"/>
  <c r="G544" i="21"/>
  <c r="F544" i="21"/>
  <c r="P543" i="21"/>
  <c r="O543" i="21"/>
  <c r="N543" i="21"/>
  <c r="H543" i="21"/>
  <c r="G543" i="21"/>
  <c r="F543" i="21"/>
  <c r="P542" i="21"/>
  <c r="O542" i="21"/>
  <c r="N542" i="21"/>
  <c r="H542" i="21"/>
  <c r="G542" i="21"/>
  <c r="F542" i="21"/>
  <c r="P541" i="21"/>
  <c r="O541" i="21"/>
  <c r="H541" i="21"/>
  <c r="G541" i="21"/>
  <c r="P540" i="21"/>
  <c r="O540" i="21"/>
  <c r="H540" i="21"/>
  <c r="G540" i="21"/>
  <c r="P539" i="21"/>
  <c r="O539" i="21"/>
  <c r="H539" i="21"/>
  <c r="G539" i="21"/>
  <c r="P538" i="21"/>
  <c r="O538" i="21"/>
  <c r="H538" i="21"/>
  <c r="G538" i="21"/>
  <c r="P537" i="21"/>
  <c r="O537" i="21"/>
  <c r="H537" i="21"/>
  <c r="G537" i="21"/>
  <c r="P536" i="21"/>
  <c r="O536" i="21"/>
  <c r="H536" i="21"/>
  <c r="G536" i="21"/>
  <c r="P535" i="21"/>
  <c r="O535" i="21"/>
  <c r="H535" i="21"/>
  <c r="G535" i="21"/>
  <c r="P534" i="21"/>
  <c r="O534" i="21"/>
  <c r="H534" i="21"/>
  <c r="G534" i="21"/>
  <c r="P533" i="21"/>
  <c r="O533" i="21"/>
  <c r="H533" i="21"/>
  <c r="G533" i="21"/>
  <c r="P532" i="21"/>
  <c r="O532" i="21"/>
  <c r="H532" i="21"/>
  <c r="G532" i="21"/>
  <c r="P531" i="21"/>
  <c r="O531" i="21"/>
  <c r="H531" i="21"/>
  <c r="G531" i="21"/>
  <c r="P530" i="21"/>
  <c r="O530" i="21"/>
  <c r="H530" i="21"/>
  <c r="G530" i="21"/>
  <c r="P529" i="21"/>
  <c r="O529" i="21"/>
  <c r="H529" i="21"/>
  <c r="G529" i="21"/>
  <c r="P528" i="21"/>
  <c r="O528" i="21"/>
  <c r="H528" i="21"/>
  <c r="G528" i="21"/>
  <c r="P527" i="21"/>
  <c r="O527" i="21"/>
  <c r="H527" i="21"/>
  <c r="G527" i="21"/>
  <c r="P526" i="21"/>
  <c r="O526" i="21"/>
  <c r="H526" i="21"/>
  <c r="G526" i="21"/>
  <c r="B526" i="21"/>
  <c r="P525" i="21"/>
  <c r="O525" i="21"/>
  <c r="N525" i="21"/>
  <c r="H525" i="21"/>
  <c r="G525" i="21"/>
  <c r="F525" i="21"/>
  <c r="P524" i="21"/>
  <c r="O524" i="21"/>
  <c r="N524" i="21"/>
  <c r="H524" i="21"/>
  <c r="G524" i="21"/>
  <c r="F524" i="21"/>
  <c r="P523" i="21"/>
  <c r="O523" i="21"/>
  <c r="N523" i="21"/>
  <c r="H523" i="21"/>
  <c r="G523" i="21"/>
  <c r="F523" i="21"/>
  <c r="P522" i="21"/>
  <c r="O522" i="21"/>
  <c r="N522" i="21"/>
  <c r="H522" i="21"/>
  <c r="G522" i="21"/>
  <c r="F522" i="21"/>
  <c r="P521" i="21"/>
  <c r="O521" i="21"/>
  <c r="N521" i="21"/>
  <c r="H521" i="21"/>
  <c r="G521" i="21"/>
  <c r="F521" i="21"/>
  <c r="P520" i="21"/>
  <c r="O520" i="21"/>
  <c r="N520" i="21"/>
  <c r="H520" i="21"/>
  <c r="G520" i="21"/>
  <c r="F520" i="21"/>
  <c r="P519" i="21"/>
  <c r="O519" i="21"/>
  <c r="N519" i="21"/>
  <c r="H519" i="21"/>
  <c r="G519" i="21"/>
  <c r="F519" i="21"/>
  <c r="P518" i="21"/>
  <c r="O518" i="21"/>
  <c r="N518" i="21"/>
  <c r="H518" i="21"/>
  <c r="G518" i="21"/>
  <c r="F518" i="21"/>
  <c r="P517" i="21"/>
  <c r="O517" i="21"/>
  <c r="H517" i="21"/>
  <c r="G517" i="21"/>
  <c r="P516" i="21"/>
  <c r="O516" i="21"/>
  <c r="H516" i="21"/>
  <c r="G516" i="21"/>
  <c r="P515" i="21"/>
  <c r="O515" i="21"/>
  <c r="H515" i="21"/>
  <c r="G515" i="21"/>
  <c r="P514" i="21"/>
  <c r="O514" i="21"/>
  <c r="H514" i="21"/>
  <c r="G514" i="21"/>
  <c r="P513" i="21"/>
  <c r="O513" i="21"/>
  <c r="H513" i="21"/>
  <c r="G513" i="21"/>
  <c r="P512" i="21"/>
  <c r="O512" i="21"/>
  <c r="H512" i="21"/>
  <c r="G512" i="21"/>
  <c r="P511" i="21"/>
  <c r="O511" i="21"/>
  <c r="H511" i="21"/>
  <c r="G511" i="21"/>
  <c r="P510" i="21"/>
  <c r="O510" i="21"/>
  <c r="H510" i="21"/>
  <c r="G510" i="21"/>
  <c r="P509" i="21"/>
  <c r="O509" i="21"/>
  <c r="H509" i="21"/>
  <c r="G509" i="21"/>
  <c r="P508" i="21"/>
  <c r="O508" i="21"/>
  <c r="H508" i="21"/>
  <c r="G508" i="21"/>
  <c r="P507" i="21"/>
  <c r="O507" i="21"/>
  <c r="H507" i="21"/>
  <c r="G507" i="21"/>
  <c r="P506" i="21"/>
  <c r="O506" i="21"/>
  <c r="H506" i="21"/>
  <c r="G506" i="21"/>
  <c r="P505" i="21"/>
  <c r="O505" i="21"/>
  <c r="H505" i="21"/>
  <c r="G505" i="21"/>
  <c r="P504" i="21"/>
  <c r="O504" i="21"/>
  <c r="H504" i="21"/>
  <c r="G504" i="21"/>
  <c r="P503" i="21"/>
  <c r="O503" i="21"/>
  <c r="H503" i="21"/>
  <c r="G503" i="21"/>
  <c r="P502" i="21"/>
  <c r="O502" i="21"/>
  <c r="H502" i="21"/>
  <c r="G502" i="21"/>
  <c r="B502" i="21"/>
  <c r="P501" i="21"/>
  <c r="O501" i="21"/>
  <c r="N501" i="21"/>
  <c r="H501" i="21"/>
  <c r="G501" i="21"/>
  <c r="F501" i="21"/>
  <c r="P500" i="21"/>
  <c r="O500" i="21"/>
  <c r="N500" i="21"/>
  <c r="H500" i="21"/>
  <c r="G500" i="21"/>
  <c r="F500" i="21"/>
  <c r="P499" i="21"/>
  <c r="O499" i="21"/>
  <c r="N499" i="21"/>
  <c r="H499" i="21"/>
  <c r="G499" i="21"/>
  <c r="F499" i="21"/>
  <c r="P498" i="21"/>
  <c r="O498" i="21"/>
  <c r="N498" i="21"/>
  <c r="H498" i="21"/>
  <c r="G498" i="21"/>
  <c r="F498" i="21"/>
  <c r="P497" i="21"/>
  <c r="O497" i="21"/>
  <c r="N497" i="21"/>
  <c r="H497" i="21"/>
  <c r="G497" i="21"/>
  <c r="F497" i="21"/>
  <c r="P496" i="21"/>
  <c r="O496" i="21"/>
  <c r="N496" i="21"/>
  <c r="H496" i="21"/>
  <c r="G496" i="21"/>
  <c r="F496" i="21"/>
  <c r="P495" i="21"/>
  <c r="O495" i="21"/>
  <c r="N495" i="21"/>
  <c r="H495" i="21"/>
  <c r="G495" i="21"/>
  <c r="F495" i="21"/>
  <c r="P494" i="21"/>
  <c r="O494" i="21"/>
  <c r="N494" i="21"/>
  <c r="H494" i="21"/>
  <c r="G494" i="21"/>
  <c r="F494" i="21"/>
  <c r="P493" i="21"/>
  <c r="O493" i="21"/>
  <c r="H493" i="21"/>
  <c r="G493" i="21"/>
  <c r="P492" i="21"/>
  <c r="O492" i="21"/>
  <c r="H492" i="21"/>
  <c r="G492" i="21"/>
  <c r="P491" i="21"/>
  <c r="O491" i="21"/>
  <c r="H491" i="21"/>
  <c r="G491" i="21"/>
  <c r="P490" i="21"/>
  <c r="O490" i="21"/>
  <c r="H490" i="21"/>
  <c r="G490" i="21"/>
  <c r="P489" i="21"/>
  <c r="O489" i="21"/>
  <c r="H489" i="21"/>
  <c r="G489" i="21"/>
  <c r="P488" i="21"/>
  <c r="O488" i="21"/>
  <c r="H488" i="21"/>
  <c r="G488" i="21"/>
  <c r="P487" i="21"/>
  <c r="O487" i="21"/>
  <c r="H487" i="21"/>
  <c r="G487" i="21"/>
  <c r="P486" i="21"/>
  <c r="O486" i="21"/>
  <c r="H486" i="21"/>
  <c r="G486" i="21"/>
  <c r="P485" i="21"/>
  <c r="O485" i="21"/>
  <c r="H485" i="21"/>
  <c r="G485" i="21"/>
  <c r="P484" i="21"/>
  <c r="O484" i="21"/>
  <c r="H484" i="21"/>
  <c r="G484" i="21"/>
  <c r="P483" i="21"/>
  <c r="O483" i="21"/>
  <c r="H483" i="21"/>
  <c r="G483" i="21"/>
  <c r="P482" i="21"/>
  <c r="O482" i="21"/>
  <c r="H482" i="21"/>
  <c r="G482" i="21"/>
  <c r="P481" i="21"/>
  <c r="O481" i="21"/>
  <c r="H481" i="21"/>
  <c r="G481" i="21"/>
  <c r="P480" i="21"/>
  <c r="O480" i="21"/>
  <c r="H480" i="21"/>
  <c r="G480" i="21"/>
  <c r="P479" i="21"/>
  <c r="O479" i="21"/>
  <c r="H479" i="21"/>
  <c r="G479" i="21"/>
  <c r="P478" i="21"/>
  <c r="O478" i="21"/>
  <c r="H478" i="21"/>
  <c r="G478" i="21"/>
  <c r="B478" i="21"/>
  <c r="P477" i="21"/>
  <c r="O477" i="21"/>
  <c r="N477" i="21"/>
  <c r="H477" i="21"/>
  <c r="G477" i="21"/>
  <c r="F477" i="21"/>
  <c r="P476" i="21"/>
  <c r="O476" i="21"/>
  <c r="N476" i="21"/>
  <c r="H476" i="21"/>
  <c r="G476" i="21"/>
  <c r="F476" i="21"/>
  <c r="P475" i="21"/>
  <c r="O475" i="21"/>
  <c r="N475" i="21"/>
  <c r="H475" i="21"/>
  <c r="G475" i="21"/>
  <c r="F475" i="21"/>
  <c r="P474" i="21"/>
  <c r="O474" i="21"/>
  <c r="N474" i="21"/>
  <c r="H474" i="21"/>
  <c r="G474" i="21"/>
  <c r="F474" i="21"/>
  <c r="P473" i="21"/>
  <c r="O473" i="21"/>
  <c r="N473" i="21"/>
  <c r="H473" i="21"/>
  <c r="G473" i="21"/>
  <c r="F473" i="21"/>
  <c r="P472" i="21"/>
  <c r="O472" i="21"/>
  <c r="N472" i="21"/>
  <c r="H472" i="21"/>
  <c r="G472" i="21"/>
  <c r="F472" i="21"/>
  <c r="P471" i="21"/>
  <c r="O471" i="21"/>
  <c r="N471" i="21"/>
  <c r="H471" i="21"/>
  <c r="G471" i="21"/>
  <c r="F471" i="21"/>
  <c r="P470" i="21"/>
  <c r="O470" i="21"/>
  <c r="N470" i="21"/>
  <c r="H470" i="21"/>
  <c r="G470" i="21"/>
  <c r="F470" i="21"/>
  <c r="P469" i="21"/>
  <c r="O469" i="21"/>
  <c r="H469" i="21"/>
  <c r="G469" i="21"/>
  <c r="P468" i="21"/>
  <c r="O468" i="21"/>
  <c r="H468" i="21"/>
  <c r="G468" i="21"/>
  <c r="P467" i="21"/>
  <c r="O467" i="21"/>
  <c r="H467" i="21"/>
  <c r="G467" i="21"/>
  <c r="P466" i="21"/>
  <c r="O466" i="21"/>
  <c r="H466" i="21"/>
  <c r="G466" i="21"/>
  <c r="P465" i="21"/>
  <c r="O465" i="21"/>
  <c r="H465" i="21"/>
  <c r="G465" i="21"/>
  <c r="P464" i="21"/>
  <c r="O464" i="21"/>
  <c r="H464" i="21"/>
  <c r="G464" i="21"/>
  <c r="P463" i="21"/>
  <c r="O463" i="21"/>
  <c r="H463" i="21"/>
  <c r="G463" i="21"/>
  <c r="P462" i="21"/>
  <c r="O462" i="21"/>
  <c r="H462" i="21"/>
  <c r="G462" i="21"/>
  <c r="P461" i="21"/>
  <c r="O461" i="21"/>
  <c r="H461" i="21"/>
  <c r="G461" i="21"/>
  <c r="P460" i="21"/>
  <c r="O460" i="21"/>
  <c r="H460" i="21"/>
  <c r="G460" i="21"/>
  <c r="P459" i="21"/>
  <c r="O459" i="21"/>
  <c r="H459" i="21"/>
  <c r="G459" i="21"/>
  <c r="P458" i="21"/>
  <c r="O458" i="21"/>
  <c r="H458" i="21"/>
  <c r="G458" i="21"/>
  <c r="P457" i="21"/>
  <c r="O457" i="21"/>
  <c r="H457" i="21"/>
  <c r="G457" i="21"/>
  <c r="P456" i="21"/>
  <c r="O456" i="21"/>
  <c r="H456" i="21"/>
  <c r="G456" i="21"/>
  <c r="P455" i="21"/>
  <c r="O455" i="21"/>
  <c r="H455" i="21"/>
  <c r="G455" i="21"/>
  <c r="P454" i="21"/>
  <c r="O454" i="21"/>
  <c r="H454" i="21"/>
  <c r="G454" i="21"/>
  <c r="B454" i="21"/>
  <c r="B430" i="21"/>
  <c r="P453" i="21"/>
  <c r="O453" i="21"/>
  <c r="N453" i="21"/>
  <c r="P452" i="21"/>
  <c r="O452" i="21"/>
  <c r="N452" i="21"/>
  <c r="P451" i="21"/>
  <c r="O451" i="21"/>
  <c r="N451" i="21"/>
  <c r="P450" i="21"/>
  <c r="O450" i="21"/>
  <c r="N450" i="21"/>
  <c r="P449" i="21"/>
  <c r="O449" i="21"/>
  <c r="N449" i="21"/>
  <c r="P448" i="21"/>
  <c r="O448" i="21"/>
  <c r="N448" i="21"/>
  <c r="P447" i="21"/>
  <c r="O447" i="21"/>
  <c r="N447" i="21"/>
  <c r="P446" i="21"/>
  <c r="O446" i="21"/>
  <c r="N446" i="21"/>
  <c r="H453" i="21"/>
  <c r="G453" i="21"/>
  <c r="F453" i="21"/>
  <c r="H452" i="21"/>
  <c r="G452" i="21"/>
  <c r="F452" i="21"/>
  <c r="H451" i="21"/>
  <c r="G451" i="21"/>
  <c r="F451" i="21"/>
  <c r="H449" i="21"/>
  <c r="G449" i="21"/>
  <c r="F449" i="21"/>
  <c r="H448" i="21"/>
  <c r="G448" i="21"/>
  <c r="F448" i="21"/>
  <c r="H447" i="21"/>
  <c r="G447" i="21"/>
  <c r="F447" i="21"/>
  <c r="H446" i="21"/>
  <c r="G446" i="21"/>
  <c r="H450" i="21"/>
  <c r="G450" i="21"/>
  <c r="F450" i="21"/>
  <c r="P445" i="21"/>
  <c r="O445" i="21"/>
  <c r="P444" i="21"/>
  <c r="O444" i="21"/>
  <c r="P443" i="21"/>
  <c r="O443" i="21"/>
  <c r="P442" i="21"/>
  <c r="O442" i="21"/>
  <c r="H445" i="21"/>
  <c r="G445" i="21"/>
  <c r="H444" i="21"/>
  <c r="G444" i="21"/>
  <c r="H443" i="21"/>
  <c r="G443" i="21"/>
  <c r="H442" i="21"/>
  <c r="G442" i="21"/>
  <c r="P441" i="21"/>
  <c r="O441" i="21"/>
  <c r="P440" i="21"/>
  <c r="O440" i="21"/>
  <c r="P439" i="21"/>
  <c r="O439" i="21"/>
  <c r="P438" i="21"/>
  <c r="O438" i="21"/>
  <c r="H441" i="21"/>
  <c r="G441" i="21"/>
  <c r="H440" i="21"/>
  <c r="G440" i="21"/>
  <c r="H439" i="21"/>
  <c r="G439" i="21"/>
  <c r="H438" i="21"/>
  <c r="G438" i="21"/>
  <c r="P437" i="21"/>
  <c r="O437" i="21"/>
  <c r="P436" i="21"/>
  <c r="O436" i="21"/>
  <c r="P435" i="21"/>
  <c r="O435" i="21"/>
  <c r="P434" i="21"/>
  <c r="O434" i="21"/>
  <c r="H437" i="21"/>
  <c r="G437" i="21"/>
  <c r="H436" i="21"/>
  <c r="G436" i="21"/>
  <c r="H435" i="21"/>
  <c r="G435" i="21"/>
  <c r="H434" i="21"/>
  <c r="G434" i="21"/>
  <c r="P433" i="21"/>
  <c r="O433" i="21"/>
  <c r="P432" i="21"/>
  <c r="O432" i="21"/>
  <c r="P431" i="21"/>
  <c r="O431" i="21"/>
  <c r="P430" i="21"/>
  <c r="O430" i="21"/>
  <c r="H433" i="21"/>
  <c r="G433" i="21"/>
  <c r="H432" i="21"/>
  <c r="G432" i="21"/>
  <c r="H431" i="21"/>
  <c r="G431" i="21"/>
  <c r="H430" i="21"/>
  <c r="G430" i="21"/>
  <c r="S422" i="21"/>
  <c r="K422" i="21"/>
  <c r="R422" i="21"/>
  <c r="Q422" i="21"/>
  <c r="S421" i="21"/>
  <c r="R421" i="21"/>
  <c r="J421" i="21"/>
  <c r="Q421" i="21"/>
  <c r="S420" i="21"/>
  <c r="R420" i="21"/>
  <c r="Q420" i="21"/>
  <c r="K421" i="21"/>
  <c r="K420" i="21"/>
  <c r="J422" i="21"/>
  <c r="J420" i="21"/>
  <c r="I422" i="21"/>
  <c r="I421" i="21"/>
  <c r="I420" i="21"/>
  <c r="V371" i="21"/>
  <c r="U319" i="21"/>
  <c r="W267" i="21"/>
  <c r="V215" i="21"/>
  <c r="U163" i="21"/>
  <c r="W111" i="21"/>
  <c r="U59" i="21"/>
  <c r="U7" i="21"/>
  <c r="W375" i="21"/>
  <c r="V323" i="21"/>
  <c r="W271" i="21"/>
  <c r="V219" i="21"/>
  <c r="V167" i="21"/>
  <c r="W115" i="21"/>
  <c r="U63" i="21"/>
  <c r="U11" i="21"/>
  <c r="W371" i="21"/>
  <c r="V319" i="21"/>
  <c r="U267" i="21"/>
  <c r="U215" i="21"/>
  <c r="W163" i="21"/>
  <c r="U111" i="21"/>
  <c r="W59" i="21"/>
  <c r="V7" i="21"/>
  <c r="U371" i="21"/>
  <c r="W319" i="21"/>
  <c r="V267" i="21"/>
  <c r="W215" i="21"/>
  <c r="V111" i="21"/>
  <c r="V546" i="21"/>
  <c r="V474" i="21"/>
  <c r="W594" i="21"/>
  <c r="W522" i="21"/>
  <c r="W450" i="21"/>
  <c r="G11" i="23"/>
  <c r="G7" i="23"/>
  <c r="U618" i="21"/>
  <c r="U546" i="21"/>
  <c r="U498" i="21"/>
  <c r="G5" i="23"/>
  <c r="V502" i="21"/>
  <c r="V3" i="21"/>
  <c r="V566" i="21"/>
  <c r="V454" i="21"/>
  <c r="V574" i="21"/>
  <c r="F25" i="23"/>
  <c r="W578" i="21"/>
  <c r="W494" i="21"/>
  <c r="W518" i="21"/>
  <c r="U602" i="21"/>
  <c r="U510" i="21"/>
  <c r="U438" i="21"/>
  <c r="W582" i="21"/>
  <c r="F23" i="23"/>
  <c r="W315" i="21"/>
  <c r="W159" i="21"/>
  <c r="W3" i="21"/>
  <c r="V602" i="21"/>
  <c r="U590" i="21"/>
  <c r="F26" i="23"/>
  <c r="W530" i="21"/>
  <c r="V518" i="21"/>
  <c r="U482" i="21"/>
  <c r="V470" i="21"/>
  <c r="U3" i="21"/>
  <c r="W606" i="21"/>
  <c r="V582" i="21"/>
  <c r="U558" i="21"/>
  <c r="U534" i="21"/>
  <c r="U159" i="21"/>
  <c r="W478" i="21"/>
  <c r="U470" i="21"/>
  <c r="W446" i="21"/>
  <c r="V598" i="21"/>
  <c r="U574" i="21"/>
  <c r="W566" i="21"/>
  <c r="V530" i="21"/>
  <c r="U518" i="21"/>
  <c r="W107" i="21"/>
  <c r="V462" i="21"/>
  <c r="V430" i="21"/>
  <c r="V606" i="21"/>
  <c r="F27" i="23"/>
  <c r="U550" i="21"/>
  <c r="W542" i="21"/>
  <c r="W510" i="21"/>
  <c r="U486" i="21"/>
  <c r="U454" i="21"/>
  <c r="W434" i="21"/>
  <c r="V315" i="21"/>
  <c r="V263" i="21"/>
  <c r="W502" i="21"/>
  <c r="V107" i="21"/>
  <c r="W438" i="21"/>
  <c r="U614" i="21"/>
  <c r="V558" i="21"/>
  <c r="V534" i="21"/>
  <c r="V482" i="21"/>
  <c r="V438" i="21"/>
  <c r="F28" i="23"/>
  <c r="U566" i="21"/>
  <c r="F24" i="23"/>
  <c r="V434" i="21"/>
  <c r="V578" i="21"/>
  <c r="W211" i="21"/>
  <c r="W486" i="21"/>
  <c r="W55" i="21"/>
  <c r="V510" i="21"/>
  <c r="U494" i="21"/>
  <c r="W550" i="21"/>
  <c r="U598" i="21"/>
  <c r="V550" i="21"/>
  <c r="V458" i="21"/>
  <c r="U263" i="21"/>
  <c r="U462" i="21"/>
  <c r="U554" i="21"/>
  <c r="F21" i="23"/>
  <c r="W470" i="21"/>
  <c r="W602" i="21"/>
  <c r="W526" i="21"/>
  <c r="U458" i="21"/>
  <c r="U578" i="21"/>
  <c r="V506" i="21"/>
  <c r="W454" i="21"/>
  <c r="W574" i="21"/>
  <c r="U526" i="21"/>
  <c r="W482" i="21"/>
  <c r="W458" i="21"/>
  <c r="W598" i="21"/>
  <c r="V554" i="21"/>
  <c r="W506" i="21"/>
  <c r="U434" i="21"/>
  <c r="U315" i="21"/>
  <c r="W614" i="21"/>
  <c r="U446" i="21"/>
  <c r="W462" i="21"/>
  <c r="V55" i="21"/>
  <c r="V590" i="21"/>
  <c r="U502" i="21"/>
  <c r="V542" i="21"/>
  <c r="V610" i="21"/>
  <c r="V586" i="21"/>
  <c r="V562" i="21"/>
  <c r="V538" i="21"/>
  <c r="V514" i="21"/>
  <c r="V490" i="21"/>
  <c r="V466" i="21"/>
  <c r="V442" i="21"/>
  <c r="W610" i="21"/>
  <c r="W586" i="21"/>
  <c r="W562" i="21"/>
  <c r="W538" i="21"/>
  <c r="W514" i="21"/>
  <c r="W490" i="21"/>
  <c r="W466" i="21"/>
  <c r="W442" i="21"/>
  <c r="U387" i="21"/>
  <c r="U335" i="21"/>
  <c r="U283" i="21"/>
  <c r="U231" i="21"/>
  <c r="U179" i="21"/>
  <c r="U127" i="21"/>
  <c r="U75" i="21"/>
  <c r="U23" i="21"/>
  <c r="U610" i="21"/>
  <c r="U586" i="21"/>
  <c r="U562" i="21"/>
  <c r="U538" i="21"/>
  <c r="U514" i="21"/>
  <c r="U490" i="21"/>
  <c r="U466" i="21"/>
  <c r="U442" i="21"/>
  <c r="V618" i="21"/>
  <c r="V570" i="21"/>
  <c r="V522" i="21"/>
  <c r="V450" i="21"/>
  <c r="W570" i="21"/>
  <c r="W474" i="21"/>
  <c r="U570" i="21"/>
  <c r="U522" i="21"/>
  <c r="U474" i="21"/>
  <c r="U594" i="21"/>
  <c r="G8" i="23"/>
  <c r="V614" i="21"/>
  <c r="W554" i="21"/>
  <c r="V494" i="21"/>
  <c r="W590" i="21"/>
  <c r="V486" i="21"/>
  <c r="W558" i="21"/>
  <c r="U430" i="21"/>
  <c r="U506" i="21"/>
  <c r="U379" i="21"/>
  <c r="U327" i="21"/>
  <c r="U275" i="21"/>
  <c r="U223" i="21"/>
  <c r="U171" i="21"/>
  <c r="U119" i="21"/>
  <c r="U67" i="21"/>
  <c r="U15" i="21"/>
  <c r="U383" i="21"/>
  <c r="U331" i="21"/>
  <c r="U279" i="21"/>
  <c r="U227" i="21"/>
  <c r="U175" i="21"/>
  <c r="U123" i="21"/>
  <c r="U71" i="21"/>
  <c r="U19" i="21"/>
  <c r="V375" i="21"/>
  <c r="U323" i="21"/>
  <c r="U271" i="21"/>
  <c r="U219" i="21"/>
  <c r="U167" i="21"/>
  <c r="U115" i="21"/>
  <c r="V63" i="21"/>
  <c r="W11" i="21"/>
  <c r="U375" i="21"/>
  <c r="W323" i="21"/>
  <c r="V271" i="21"/>
  <c r="W219" i="21"/>
  <c r="W167" i="21"/>
  <c r="V115" i="21"/>
  <c r="W63" i="21"/>
  <c r="V11" i="21"/>
  <c r="V163" i="21"/>
  <c r="V59" i="21"/>
  <c r="W7" i="21"/>
  <c r="V594" i="21"/>
  <c r="V498" i="21"/>
  <c r="W618" i="21"/>
  <c r="W546" i="21"/>
  <c r="W498" i="21"/>
  <c r="G12" i="23"/>
  <c r="G9" i="23"/>
  <c r="U450" i="21"/>
  <c r="G10" i="23"/>
  <c r="G6" i="23"/>
  <c r="V211" i="21"/>
  <c r="F22" i="23"/>
  <c r="U542" i="21"/>
  <c r="W367" i="21"/>
  <c r="V159" i="21"/>
  <c r="U606" i="21"/>
  <c r="U211" i="21"/>
  <c r="W430" i="21"/>
  <c r="U582" i="21"/>
  <c r="W534" i="21"/>
  <c r="V478" i="21"/>
  <c r="V446" i="21"/>
  <c r="U530" i="21"/>
  <c r="U107" i="21"/>
  <c r="V367" i="21"/>
  <c r="V526" i="21"/>
  <c r="U55" i="21"/>
  <c r="U367" i="21"/>
  <c r="W263" i="21"/>
  <c r="U478" i="21"/>
  <c r="B12" i="23"/>
  <c r="I14" i="23"/>
  <c r="J14" i="23"/>
  <c r="K14" i="23"/>
  <c r="R424" i="21"/>
  <c r="Q424" i="21"/>
  <c r="S424" i="21"/>
  <c r="S423" i="21"/>
  <c r="R423" i="21"/>
  <c r="S425" i="21"/>
  <c r="R425" i="21"/>
  <c r="Q425" i="21"/>
  <c r="Q423" i="21"/>
  <c r="AH420" i="21"/>
  <c r="AG420" i="21"/>
  <c r="AI420" i="21"/>
  <c r="AF420" i="21"/>
  <c r="AD420" i="21"/>
  <c r="AC420" i="21"/>
  <c r="AE420" i="21"/>
  <c r="G15" i="23"/>
  <c r="G13" i="23"/>
  <c r="G14" i="23"/>
  <c r="F29" i="23"/>
  <c r="F31" i="23"/>
  <c r="G22" i="23"/>
  <c r="G24" i="23"/>
  <c r="G26" i="23"/>
  <c r="G28" i="23"/>
  <c r="F5" i="23"/>
  <c r="F6" i="23"/>
  <c r="F7" i="23"/>
  <c r="F8" i="23"/>
  <c r="F9" i="23"/>
  <c r="F10" i="23"/>
  <c r="F11" i="23"/>
  <c r="F12" i="23"/>
  <c r="C21" i="23"/>
  <c r="C5" i="23"/>
  <c r="E21" i="23"/>
  <c r="D22" i="23"/>
  <c r="D6" i="23"/>
  <c r="C23" i="23"/>
  <c r="C7" i="23"/>
  <c r="E23" i="23"/>
  <c r="D24" i="23"/>
  <c r="D8" i="23"/>
  <c r="C25" i="23"/>
  <c r="C9" i="23"/>
  <c r="E25" i="23"/>
  <c r="D26" i="23"/>
  <c r="D10" i="23"/>
  <c r="C27" i="23"/>
  <c r="C11" i="23"/>
  <c r="E27" i="23"/>
  <c r="D28" i="23"/>
  <c r="D12" i="23"/>
  <c r="H5" i="23"/>
  <c r="H6" i="23"/>
  <c r="H7" i="23"/>
  <c r="H8" i="23"/>
  <c r="H9" i="23"/>
  <c r="H10" i="23"/>
  <c r="H11" i="23"/>
  <c r="H12" i="23"/>
  <c r="G21" i="23"/>
  <c r="G23" i="23"/>
  <c r="F30" i="23"/>
  <c r="G25" i="23"/>
  <c r="G27" i="23"/>
  <c r="E5" i="23"/>
  <c r="E6" i="23"/>
  <c r="E7" i="23"/>
  <c r="E8" i="23"/>
  <c r="E9" i="23"/>
  <c r="E10" i="23"/>
  <c r="E11" i="23"/>
  <c r="E12" i="23"/>
  <c r="D5" i="23"/>
  <c r="D21" i="23"/>
  <c r="C6" i="23"/>
  <c r="C22" i="23"/>
  <c r="E22" i="23"/>
  <c r="D7" i="23"/>
  <c r="D23" i="23"/>
  <c r="C8" i="23"/>
  <c r="C24" i="23"/>
  <c r="E24" i="23"/>
  <c r="D9" i="23"/>
  <c r="D25" i="23"/>
  <c r="C10" i="23"/>
  <c r="C26" i="23"/>
  <c r="E26" i="23"/>
  <c r="D11" i="23"/>
  <c r="D27" i="23"/>
  <c r="C12" i="23"/>
  <c r="C28" i="23"/>
  <c r="E28" i="23"/>
  <c r="I13" i="23"/>
  <c r="I15" i="23"/>
  <c r="K15" i="23"/>
  <c r="K13" i="23"/>
  <c r="J13" i="23"/>
  <c r="J15" i="23"/>
  <c r="H14" i="23"/>
  <c r="G30" i="23"/>
  <c r="E14" i="23"/>
  <c r="D14" i="23"/>
  <c r="D30" i="23"/>
  <c r="C30" i="23"/>
  <c r="E30" i="23"/>
  <c r="F14" i="23"/>
  <c r="C14" i="23"/>
  <c r="AB420" i="21"/>
  <c r="G29" i="23"/>
  <c r="G31" i="23"/>
  <c r="H15" i="23"/>
  <c r="H13" i="23"/>
  <c r="C29" i="23"/>
  <c r="C31" i="23"/>
  <c r="F13" i="23"/>
  <c r="F15" i="23"/>
  <c r="D15" i="23"/>
  <c r="D13" i="23"/>
  <c r="E13" i="23"/>
  <c r="E15" i="23"/>
  <c r="C15" i="23"/>
  <c r="C13" i="23"/>
  <c r="D31" i="23"/>
  <c r="D29" i="23"/>
  <c r="E31" i="23"/>
  <c r="E29" i="23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<sst xmlns="http://schemas.openxmlformats.org/spreadsheetml/2006/main" count="255" uniqueCount="64">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</sst>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0"/>
  </numFmts>
  <fonts count="13">
    <font>
      <sz val="12"/>
      <color theme="1"/>
      <name val="Calibri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Cambria"/>
      <family val="1"/>
      <scheme val="major"/>
    </font>
    <font>
      <b/>
      <sz val="10"/>
      <color indexed="8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6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64" fontId="1" fillId="0" borderId="4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64" fontId="1" fillId="0" borderId="9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65" fontId="5" fillId="2" borderId="5" xfId="0" applyNumberFormat="1" applyFont="1" applyFill="1" applyBorder="1"/>
    <xf numFmtId="165" fontId="5" fillId="2" borderId="0" xfId="0" applyNumberFormat="1" applyFont="1" applyFill="1" applyBorder="1"/>
    <xf numFmtId="164" fontId="5" fillId="0" borderId="0" xfId="0" applyNumberFormat="1" applyFont="1" applyBorder="1"/>
    <xf numFmtId="164" fontId="5" fillId="0" borderId="10" xfId="0" applyNumberFormat="1" applyFont="1" applyBorder="1"/>
    <xf numFmtId="0" fontId="5" fillId="0" borderId="12" xfId="0" applyFont="1" applyBorder="1"/>
    <xf numFmtId="164" fontId="5" fillId="0" borderId="12" xfId="0" applyNumberFormat="1" applyFont="1" applyBorder="1"/>
    <xf numFmtId="164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64" fontId="5" fillId="0" borderId="9" xfId="0" applyNumberFormat="1" applyFont="1" applyBorder="1" applyAlignment="1">
      <alignment horizontal="center"/>
    </xf>
    <xf numFmtId="164" fontId="5" fillId="0" borderId="10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64" fontId="5" fillId="0" borderId="7" xfId="0" applyNumberFormat="1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14" xfId="0" applyNumberFormat="1" applyFont="1" applyBorder="1" applyAlignment="1">
      <alignment horizontal="center"/>
    </xf>
    <xf numFmtId="164" fontId="5" fillId="0" borderId="12" xfId="0" applyNumberFormat="1" applyFont="1" applyBorder="1" applyAlignment="1">
      <alignment horizontal="center"/>
    </xf>
    <xf numFmtId="164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65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65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64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65" fontId="5" fillId="0" borderId="12" xfId="0" applyNumberFormat="1" applyFont="1" applyFill="1" applyBorder="1"/>
    <xf numFmtId="165" fontId="5" fillId="0" borderId="4" xfId="0" applyNumberFormat="1" applyFont="1" applyFill="1" applyBorder="1"/>
    <xf numFmtId="165" fontId="5" fillId="0" borderId="9" xfId="0" applyNumberFormat="1" applyFont="1" applyFill="1" applyBorder="1"/>
    <xf numFmtId="165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64" fontId="1" fillId="0" borderId="14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64" fontId="9" fillId="0" borderId="1" xfId="0" applyNumberFormat="1" applyFont="1" applyBorder="1" applyAlignment="1">
      <alignment horizontal="center"/>
    </xf>
    <xf numFmtId="164" fontId="9" fillId="0" borderId="2" xfId="0" applyNumberFormat="1" applyFont="1" applyBorder="1" applyAlignment="1">
      <alignment horizontal="center"/>
    </xf>
    <xf numFmtId="164" fontId="9" fillId="0" borderId="3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164" fontId="8" fillId="0" borderId="12" xfId="0" applyNumberFormat="1" applyFont="1" applyBorder="1" applyAlignment="1">
      <alignment horizontal="center"/>
    </xf>
    <xf numFmtId="164" fontId="8" fillId="0" borderId="13" xfId="0" applyNumberFormat="1" applyFont="1" applyBorder="1" applyAlignment="1">
      <alignment horizontal="center"/>
    </xf>
    <xf numFmtId="0" fontId="10" fillId="0" borderId="0" xfId="0" applyFont="1"/>
    <xf numFmtId="164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64" fontId="5" fillId="0" borderId="15" xfId="0" applyNumberFormat="1" applyFont="1" applyBorder="1" applyAlignment="1">
      <alignment horizontal="center"/>
    </xf>
    <xf numFmtId="164" fontId="5" fillId="0" borderId="16" xfId="0" applyNumberFormat="1" applyFont="1" applyBorder="1" applyAlignment="1">
      <alignment horizontal="center"/>
    </xf>
    <xf numFmtId="164" fontId="5" fillId="0" borderId="17" xfId="0" applyNumberFormat="1" applyFont="1" applyBorder="1" applyAlignment="1">
      <alignment horizontal="center"/>
    </xf>
    <xf numFmtId="164" fontId="8" fillId="0" borderId="17" xfId="0" applyNumberFormat="1" applyFont="1" applyBorder="1" applyAlignment="1">
      <alignment horizontal="center"/>
    </xf>
    <xf numFmtId="164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967"/>
  <sheetViews>
    <sheetView tabSelected="1" zoomScale="85" zoomScaleNormal="85" workbookViewId="0">
      <selection activeCell="F2" sqref="F2"/>
    </sheetView>
  </sheetViews>
  <sheetFormatPr defaultColWidth="8.875" defaultRowHeight="15.7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6.25">
      <c r="B2" s="101" t="s">
        <v>45</v>
      </c>
      <c r="N2"/>
      <c r="O2"/>
      <c r="P2"/>
      <c r="Q2"/>
      <c r="R2"/>
      <c r="S2"/>
      <c r="T2"/>
    </row>
    <row r="3" spans="1:20" ht="16.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0</v>
      </c>
      <c r="E5" s="10">
        <f>'experimental data'!U11</f>
        <v>-2.1223323334063071E-4</v>
      </c>
      <c r="F5" s="118">
        <f>'experimental data'!U434</f>
        <v>-2.3452102723808821E-5</v>
      </c>
      <c r="G5" s="119">
        <f>bdrate('experimental data'!E450:E453,'experimental data'!F434:F437,'experimental data'!M450:M453,'experimental data'!N434:N437)</f>
        <v>-1.6180637354423766E-5</v>
      </c>
      <c r="H5" s="120" t="e">
        <f>'experimental data'!U442</f>
        <v>#VALUE!</v>
      </c>
      <c r="I5" s="59">
        <f>'experimental data'!Y51</f>
        <v>0.80535204018950213</v>
      </c>
      <c r="J5" s="105">
        <f>'experimental data'!Z51</f>
        <v>1.1443327875765692</v>
      </c>
      <c r="K5" s="60">
        <f>'experimental data'!AA51</f>
        <v>0.9762114647137814</v>
      </c>
      <c r="L5" s="90"/>
      <c r="M5" s="61"/>
      <c r="N5" s="61"/>
      <c r="O5"/>
      <c r="P5"/>
      <c r="Q5"/>
      <c r="R5"/>
      <c r="S5"/>
      <c r="T5"/>
    </row>
    <row r="6" spans="1:20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0</v>
      </c>
      <c r="E6" s="19">
        <f>'experimental data'!U63</f>
        <v>-5.1468932445808413E-4</v>
      </c>
      <c r="F6" s="121">
        <f>'experimental data'!U458</f>
        <v>-8.1405037819393122E-5</v>
      </c>
      <c r="G6" s="122">
        <f>bdrate('experimental data'!E474:E477,'experimental data'!F458:F461,'experimental data'!M474:M477,'experimental data'!N458:N461)</f>
        <v>-1.3413031955933352E-4</v>
      </c>
      <c r="H6" s="123" t="e">
        <f>'experimental data'!U466</f>
        <v>#VALUE!</v>
      </c>
      <c r="I6" s="61">
        <f>'experimental data'!Y103</f>
        <v>0.86637625023558396</v>
      </c>
      <c r="J6" s="106">
        <f>'experimental data'!Z103</f>
        <v>1.0301473310471876</v>
      </c>
      <c r="K6" s="57">
        <f>'experimental data'!AA103</f>
        <v>1.0284931279015723</v>
      </c>
      <c r="L6" s="90"/>
      <c r="M6" s="61"/>
      <c r="N6" s="61"/>
      <c r="O6"/>
      <c r="P6"/>
      <c r="Q6"/>
      <c r="R6"/>
      <c r="S6"/>
      <c r="T6"/>
    </row>
    <row r="7" spans="1:20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0</v>
      </c>
      <c r="E7" s="19">
        <f>'experimental data'!U115</f>
        <v>-5.8653970211042239E-4</v>
      </c>
      <c r="F7" s="121">
        <f>'experimental data'!U482</f>
        <v>-8.9723447566969483E-5</v>
      </c>
      <c r="G7" s="122">
        <f>bdrate('experimental data'!E498:E501,'experimental data'!F482:F485,'experimental data'!M498:M501,'experimental data'!N482:N485)</f>
        <v>-9.929113194917516E-5</v>
      </c>
      <c r="H7" s="123" t="e">
        <f>'experimental data'!U490</f>
        <v>#VALUE!</v>
      </c>
      <c r="I7" s="61">
        <f>'experimental data'!Y155</f>
        <v>0.93015251310975566</v>
      </c>
      <c r="J7" s="106">
        <f>'experimental data'!Z155</f>
        <v>0.97034617305241888</v>
      </c>
      <c r="K7" s="57">
        <f>'experimental data'!AA155</f>
        <v>0.88099309366753087</v>
      </c>
      <c r="L7" s="90"/>
      <c r="M7" s="61"/>
      <c r="N7" s="61"/>
      <c r="O7"/>
      <c r="P7"/>
      <c r="Q7"/>
      <c r="R7"/>
      <c r="S7"/>
      <c r="T7"/>
    </row>
    <row r="8" spans="1:20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0</v>
      </c>
      <c r="E8" s="19">
        <f>'experimental data'!U167</f>
        <v>1.3838417486500276E-4</v>
      </c>
      <c r="F8" s="121">
        <f>'experimental data'!U506</f>
        <v>-1.8975051191416625E-6</v>
      </c>
      <c r="G8" s="122">
        <f>bdrate('experimental data'!E522:E525,'experimental data'!F506:F509,'experimental data'!M522:M525,'experimental data'!N506:N509)</f>
        <v>-3.5882415804322498E-5</v>
      </c>
      <c r="H8" s="123" t="e">
        <f>'experimental data'!U514</f>
        <v>#VALUE!</v>
      </c>
      <c r="I8" s="61">
        <f>'experimental data'!Y207</f>
        <v>1.0054107112469628</v>
      </c>
      <c r="J8" s="106" t="e">
        <f>'experimental data'!Z207</f>
        <v>#NUM!</v>
      </c>
      <c r="K8" s="57" t="e">
        <f>'experimental data'!AA207</f>
        <v>#NUM!</v>
      </c>
      <c r="L8" s="90"/>
      <c r="M8" s="61"/>
      <c r="N8" s="61"/>
      <c r="O8"/>
      <c r="P8"/>
      <c r="Q8"/>
      <c r="R8"/>
      <c r="S8"/>
      <c r="T8"/>
    </row>
    <row r="9" spans="1:20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0</v>
      </c>
      <c r="E9" s="19">
        <f>'experimental data'!U219</f>
        <v>-3.0663510624262535E-4</v>
      </c>
      <c r="F9" s="121">
        <f>'experimental data'!U530</f>
        <v>-8.0472676905807283E-5</v>
      </c>
      <c r="G9" s="122">
        <f>bdrate('experimental data'!E546:E549,'experimental data'!F530:F533,'experimental data'!M546:M549,'experimental data'!N530:N533)</f>
        <v>-7.9095951041718848E-5</v>
      </c>
      <c r="H9" s="123" t="e">
        <f>'experimental data'!U538</f>
        <v>#VALUE!</v>
      </c>
      <c r="I9" s="61">
        <f>'experimental data'!Y259</f>
        <v>0.83057632614171317</v>
      </c>
      <c r="J9" s="106">
        <f>'experimental data'!Z259</f>
        <v>0.82267537946669711</v>
      </c>
      <c r="K9" s="57" t="e">
        <f>'experimental data'!AA259</f>
        <v>#NUM!</v>
      </c>
      <c r="L9" s="90"/>
      <c r="M9" s="61"/>
      <c r="N9" s="61"/>
      <c r="O9"/>
      <c r="P9"/>
      <c r="Q9"/>
      <c r="R9"/>
      <c r="S9"/>
      <c r="T9"/>
    </row>
    <row r="10" spans="1:20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0</v>
      </c>
      <c r="E10" s="19">
        <f>'experimental data'!U271</f>
        <v>-6.081752301736465E-4</v>
      </c>
      <c r="F10" s="121">
        <f>'experimental data'!U554</f>
        <v>-2.3797629080335447E-5</v>
      </c>
      <c r="G10" s="122">
        <f>bdrate('experimental data'!E570:E573,'experimental data'!F554:F557,'experimental data'!M570:M573,'experimental data'!N554:N557)</f>
        <v>1.4395560423929865E-5</v>
      </c>
      <c r="H10" s="123" t="e">
        <f>'experimental data'!U562</f>
        <v>#VALUE!</v>
      </c>
      <c r="I10" s="61">
        <f>'experimental data'!Y311</f>
        <v>0.79450848183067913</v>
      </c>
      <c r="J10" s="106">
        <f>'experimental data'!Z311</f>
        <v>1.2170581840752515</v>
      </c>
      <c r="K10" s="57" t="e">
        <f>'experimental data'!AA311</f>
        <v>#NUM!</v>
      </c>
      <c r="L10" s="90"/>
      <c r="M10" s="61"/>
      <c r="N10" s="61"/>
      <c r="O10"/>
      <c r="P10"/>
      <c r="Q10"/>
      <c r="R10"/>
      <c r="S10"/>
      <c r="T10"/>
    </row>
    <row r="11" spans="1:20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0</v>
      </c>
      <c r="E11" s="19">
        <f>'experimental data'!U323</f>
        <v>-2.2983291903699854E-4</v>
      </c>
      <c r="F11" s="121">
        <f>'experimental data'!U578</f>
        <v>-1.6038533866780114E-5</v>
      </c>
      <c r="G11" s="122">
        <f>bdrate('experimental data'!E594:E597,'experimental data'!F578:F581,'experimental data'!M594:M597,'experimental data'!N578:N581)</f>
        <v>-2.3658140468896249E-6</v>
      </c>
      <c r="H11" s="123" t="e">
        <f>'experimental data'!U586</f>
        <v>#VALUE!</v>
      </c>
      <c r="I11" s="61">
        <f>'experimental data'!Y363</f>
        <v>0.717452374248573</v>
      </c>
      <c r="J11" s="106" t="e">
        <f>'experimental data'!Z363</f>
        <v>#NUM!</v>
      </c>
      <c r="K11" s="57" t="e">
        <f>'experimental data'!AA363</f>
        <v>#NUM!</v>
      </c>
      <c r="L11" s="90"/>
      <c r="M11" s="61"/>
      <c r="N11" s="61"/>
      <c r="O11"/>
      <c r="P11"/>
      <c r="Q11"/>
      <c r="R11"/>
      <c r="S11"/>
      <c r="T11"/>
    </row>
    <row r="12" spans="1:20" ht="16.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0</v>
      </c>
      <c r="E12" s="92">
        <f>'experimental data'!U375</f>
        <v>-8.4080889934379233E-4</v>
      </c>
      <c r="F12" s="124">
        <f>'experimental data'!U602</f>
        <v>-3.9681501298072241E-5</v>
      </c>
      <c r="G12" s="125">
        <f>bdrate('experimental data'!E618:E621,'experimental data'!F602:F605,'experimental data'!M618:M621,'experimental data'!N602:N605)</f>
        <v>-1.2689842102786564E-5</v>
      </c>
      <c r="H12" s="126" t="e">
        <f>'experimental data'!U610</f>
        <v>#VALUE!</v>
      </c>
      <c r="I12" s="63">
        <f>'experimental data'!Y415</f>
        <v>0.7522581738118046</v>
      </c>
      <c r="J12" s="107" t="e">
        <f>'experimental data'!Z415</f>
        <v>#NUM!</v>
      </c>
      <c r="K12" s="64" t="e">
        <f>'experimental data'!AA415</f>
        <v>#NUM!</v>
      </c>
      <c r="N12"/>
      <c r="O12"/>
      <c r="P12"/>
      <c r="Q12"/>
      <c r="R12"/>
      <c r="S12"/>
      <c r="T12"/>
    </row>
    <row r="13" spans="1:20">
      <c r="A13" s="90"/>
      <c r="B13" s="35" t="s">
        <v>18</v>
      </c>
      <c r="C13" s="8">
        <f t="shared" ref="C13:K13" si="0">AVERAGE(C5:C7)</f>
        <v>0</v>
      </c>
      <c r="D13" s="9">
        <f t="shared" si="0"/>
        <v>0</v>
      </c>
      <c r="E13" s="10">
        <f t="shared" si="0"/>
        <v>-4.3782075330304576E-4</v>
      </c>
      <c r="F13" s="118">
        <f t="shared" si="0"/>
        <v>-6.4860196036723813E-5</v>
      </c>
      <c r="G13" s="119">
        <f t="shared" si="0"/>
        <v>-8.3200696287644149E-5</v>
      </c>
      <c r="H13" s="120" t="e">
        <f t="shared" si="0"/>
        <v>#VALUE!</v>
      </c>
      <c r="I13" s="58">
        <f t="shared" si="0"/>
        <v>0.86729360117828058</v>
      </c>
      <c r="J13" s="105">
        <f t="shared" si="0"/>
        <v>1.0482754305587252</v>
      </c>
      <c r="K13" s="60">
        <f t="shared" si="0"/>
        <v>0.96189922876096146</v>
      </c>
      <c r="L13" s="90"/>
      <c r="M13" s="61"/>
      <c r="N13" s="61"/>
      <c r="O13"/>
      <c r="P13"/>
      <c r="Q13"/>
      <c r="R13"/>
      <c r="S13"/>
      <c r="T13"/>
    </row>
    <row r="14" spans="1:20" ht="16.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0</v>
      </c>
      <c r="E14" s="19">
        <f t="shared" si="1"/>
        <v>-3.6941359598641199E-4</v>
      </c>
      <c r="F14" s="124">
        <f t="shared" si="1"/>
        <v>-3.2377569254027351E-5</v>
      </c>
      <c r="G14" s="125">
        <f t="shared" si="1"/>
        <v>-2.3127692514357535E-5</v>
      </c>
      <c r="H14" s="126" t="e">
        <f t="shared" si="1"/>
        <v>#VALUE!</v>
      </c>
      <c r="I14" s="62">
        <f t="shared" si="1"/>
        <v>0.8200412134559466</v>
      </c>
      <c r="J14" s="107" t="e">
        <f t="shared" si="1"/>
        <v>#NUM!</v>
      </c>
      <c r="K14" s="64" t="e">
        <f t="shared" si="1"/>
        <v>#NUM!</v>
      </c>
      <c r="L14" s="90"/>
      <c r="M14" s="61"/>
      <c r="N14" s="61"/>
      <c r="O14"/>
      <c r="P14"/>
      <c r="Q14"/>
      <c r="R14"/>
      <c r="S14"/>
      <c r="T14"/>
    </row>
    <row r="15" spans="1:20" ht="16.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0</v>
      </c>
      <c r="E15" s="96">
        <f t="shared" si="2"/>
        <v>-3.9506627998014965E-4</v>
      </c>
      <c r="F15" s="127">
        <f t="shared" si="2"/>
        <v>-4.4558554297538522E-5</v>
      </c>
      <c r="G15" s="128">
        <f t="shared" si="2"/>
        <v>-4.5655068929340015E-5</v>
      </c>
      <c r="H15" s="129" t="e">
        <f t="shared" si="2"/>
        <v>#VALUE!</v>
      </c>
      <c r="I15" s="99">
        <f>AVERAGE(I5:I12)</f>
        <v>0.83776085885182183</v>
      </c>
      <c r="J15" s="108" t="e">
        <f t="shared" si="2"/>
        <v>#NUM!</v>
      </c>
      <c r="K15" s="100" t="e">
        <f t="shared" si="2"/>
        <v>#NUM!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6.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0</v>
      </c>
      <c r="G21" s="10" t="e">
        <f>'experimental data'!U438</f>
        <v>#VALUE!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0</v>
      </c>
      <c r="G22" s="19" t="e">
        <f>'experimental data'!U462</f>
        <v>#VALUE!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0</v>
      </c>
      <c r="G23" s="19" t="e">
        <f>'experimental data'!U486</f>
        <v>#VALUE!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0</v>
      </c>
      <c r="G24" s="19" t="e">
        <f>'experimental data'!U510</f>
        <v>#VALUE!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0</v>
      </c>
      <c r="G25" s="19" t="e">
        <f>'experimental data'!U534</f>
        <v>#VALUE!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0</v>
      </c>
      <c r="G26" s="19" t="e">
        <f>'experimental data'!U558</f>
        <v>#VALUE!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0</v>
      </c>
      <c r="G27" s="19" t="e">
        <f>'experimental data'!U582</f>
        <v>#VALUE!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6.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0</v>
      </c>
      <c r="G28" s="92" t="e">
        <f>'experimental data'!U606</f>
        <v>#VALUE!</v>
      </c>
      <c r="H28" s="18"/>
      <c r="I28" s="61"/>
      <c r="J28" s="61"/>
      <c r="K28" s="61"/>
      <c r="L28" s="90"/>
      <c r="M28" s="90"/>
    </row>
    <row r="29" spans="1:20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0</v>
      </c>
      <c r="G29" s="10" t="e">
        <f>AVERAGE(G21:G23)</f>
        <v>#VALUE!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6.5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0</v>
      </c>
      <c r="G30" s="92" t="e">
        <f>AVERAGE(G24:G28)</f>
        <v>#VALUE!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6.5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7">
        <f>AVERAGE(E21:E28)</f>
        <v>0</v>
      </c>
      <c r="F31" s="109">
        <f>AVERAGE(F21:F28)</f>
        <v>0</v>
      </c>
      <c r="G31" s="98" t="e">
        <f>AVERAGE(G21:G28)</f>
        <v>#VALUE!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818"/>
  <sheetViews>
    <sheetView topLeftCell="B408" zoomScaleNormal="100" workbookViewId="0">
      <selection activeCell="G408" sqref="G408"/>
    </sheetView>
  </sheetViews>
  <sheetFormatPr defaultRowHeight="12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45">
        <v>878.15440000000001</v>
      </c>
      <c r="N3" s="45">
        <v>43.095199999999998</v>
      </c>
      <c r="O3" s="45">
        <v>43.402000000000001</v>
      </c>
      <c r="P3" s="45">
        <v>43.971200000000003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46">
        <v>481.56639999999999</v>
      </c>
      <c r="N4" s="46">
        <v>41.045999999999999</v>
      </c>
      <c r="O4" s="46">
        <v>42.140300000000003</v>
      </c>
      <c r="P4" s="46">
        <v>42.332299999999996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46">
        <v>277.18239999999997</v>
      </c>
      <c r="N5" s="46">
        <v>38.456600000000002</v>
      </c>
      <c r="O5" s="46">
        <v>40.6462</v>
      </c>
      <c r="P5" s="46">
        <v>40.521599999999999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46">
        <v>167.7</v>
      </c>
      <c r="N6" s="46">
        <v>35.633899999999997</v>
      </c>
      <c r="O6" s="46">
        <v>39.5593</v>
      </c>
      <c r="P6" s="46">
        <v>39.209499999999998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>
      <c r="A7" s="27"/>
      <c r="B7" s="36"/>
      <c r="C7" s="28" t="s">
        <v>27</v>
      </c>
      <c r="D7" s="31">
        <v>25</v>
      </c>
      <c r="E7" s="45">
        <v>270.52960000000002</v>
      </c>
      <c r="F7" s="45">
        <v>42.226999999999997</v>
      </c>
      <c r="G7" s="45">
        <v>43.104599999999998</v>
      </c>
      <c r="H7" s="45">
        <v>43.122900000000001</v>
      </c>
      <c r="I7" s="79"/>
      <c r="J7" s="79"/>
      <c r="K7" s="80"/>
      <c r="L7" s="29"/>
      <c r="M7" s="45">
        <v>270.52960000000002</v>
      </c>
      <c r="N7" s="45">
        <v>42.226999999999997</v>
      </c>
      <c r="O7" s="45">
        <v>43.104599999999998</v>
      </c>
      <c r="P7" s="45">
        <v>43.122900000000001</v>
      </c>
      <c r="Q7" s="79"/>
      <c r="R7" s="79"/>
      <c r="S7" s="80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9"/>
      <c r="AH7" s="79"/>
      <c r="AI7" s="80"/>
    </row>
    <row r="8" spans="1:35">
      <c r="A8" s="27"/>
      <c r="B8" s="36"/>
      <c r="C8" s="29"/>
      <c r="D8" s="32">
        <v>30</v>
      </c>
      <c r="E8" s="46">
        <v>123.48399999999999</v>
      </c>
      <c r="F8" s="46">
        <v>39.917999999999999</v>
      </c>
      <c r="G8" s="46">
        <v>41.825600000000001</v>
      </c>
      <c r="H8" s="46">
        <v>41.527099999999997</v>
      </c>
      <c r="I8" s="66"/>
      <c r="J8" s="66"/>
      <c r="K8" s="67"/>
      <c r="L8" s="29"/>
      <c r="M8" s="46">
        <v>123.48399999999999</v>
      </c>
      <c r="N8" s="46">
        <v>39.917999999999999</v>
      </c>
      <c r="O8" s="46">
        <v>41.825600000000001</v>
      </c>
      <c r="P8" s="46">
        <v>41.527099999999997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>
      <c r="A9" s="27"/>
      <c r="B9" s="36"/>
      <c r="C9" s="29"/>
      <c r="D9" s="32">
        <v>35</v>
      </c>
      <c r="E9" s="46">
        <v>64.619200000000006</v>
      </c>
      <c r="F9" s="46">
        <v>37.316600000000001</v>
      </c>
      <c r="G9" s="46">
        <v>40.5533</v>
      </c>
      <c r="H9" s="46">
        <v>40.0398</v>
      </c>
      <c r="I9" s="66"/>
      <c r="J9" s="66"/>
      <c r="K9" s="67"/>
      <c r="L9" s="29"/>
      <c r="M9" s="46">
        <v>64.619200000000006</v>
      </c>
      <c r="N9" s="46">
        <v>37.316600000000001</v>
      </c>
      <c r="O9" s="46">
        <v>40.5533</v>
      </c>
      <c r="P9" s="46">
        <v>40.0398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33.915999999999997</v>
      </c>
      <c r="F10" s="46">
        <v>34.585900000000002</v>
      </c>
      <c r="G10" s="46">
        <v>39.4572</v>
      </c>
      <c r="H10" s="46">
        <v>38.796700000000001</v>
      </c>
      <c r="I10" s="66"/>
      <c r="J10" s="66"/>
      <c r="K10" s="67"/>
      <c r="L10" s="29"/>
      <c r="M10" s="46">
        <v>33.915999999999997</v>
      </c>
      <c r="N10" s="46">
        <v>34.585900000000002</v>
      </c>
      <c r="O10" s="46">
        <v>39.4572</v>
      </c>
      <c r="P10" s="46">
        <v>38.796700000000001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>
      <c r="A11" s="27"/>
      <c r="B11" s="36"/>
      <c r="C11" s="28" t="s">
        <v>28</v>
      </c>
      <c r="D11" s="31">
        <v>25</v>
      </c>
      <c r="E11" s="45">
        <v>299.9984</v>
      </c>
      <c r="F11" s="45">
        <v>41.905500000000004</v>
      </c>
      <c r="G11" s="45">
        <v>42.545400000000001</v>
      </c>
      <c r="H11" s="45">
        <v>42.863199999999999</v>
      </c>
      <c r="I11" s="79"/>
      <c r="J11" s="79"/>
      <c r="K11" s="80"/>
      <c r="L11" s="29"/>
      <c r="M11" s="45">
        <v>300.02719999999999</v>
      </c>
      <c r="N11" s="45">
        <v>41.905500000000004</v>
      </c>
      <c r="O11" s="45">
        <v>42.546599999999998</v>
      </c>
      <c r="P11" s="45">
        <v>42.862699999999997</v>
      </c>
      <c r="Q11" s="79"/>
      <c r="R11" s="79"/>
      <c r="S11" s="80"/>
      <c r="U11" s="8">
        <f>bdrate($E11:$E14,F11:F14,$M11:$M14,N11:N14)</f>
        <v>-2.1223323334063071E-4</v>
      </c>
      <c r="V11" s="9">
        <f>bdrate($E11:$E14,G11:G14,$M11:$M14,O11:O14)</f>
        <v>-2.7631833319141652E-4</v>
      </c>
      <c r="W11" s="10">
        <f>bdrate($E11:$E14,H11:H14,$M11:$M14,P11:P14)</f>
        <v>-2.4264752094049769E-4</v>
      </c>
      <c r="X11" s="29"/>
      <c r="Y11" s="24"/>
      <c r="Z11" s="24"/>
      <c r="AA11" s="27"/>
      <c r="AC11" s="45">
        <f t="shared" si="0"/>
        <v>-2.8799999999989723E-2</v>
      </c>
      <c r="AD11" s="45">
        <f t="shared" si="0"/>
        <v>0</v>
      </c>
      <c r="AE11" s="45">
        <f t="shared" si="0"/>
        <v>-1.1999999999972033E-3</v>
      </c>
      <c r="AF11" s="45">
        <f t="shared" si="0"/>
        <v>5.0000000000238742E-4</v>
      </c>
      <c r="AG11" s="79"/>
      <c r="AH11" s="79"/>
      <c r="AI11" s="80"/>
    </row>
    <row r="12" spans="1:35">
      <c r="A12" s="27"/>
      <c r="B12" s="36"/>
      <c r="C12" s="29"/>
      <c r="D12" s="32">
        <v>30</v>
      </c>
      <c r="E12" s="46">
        <v>136.03280000000001</v>
      </c>
      <c r="F12" s="46">
        <v>39.671599999999998</v>
      </c>
      <c r="G12" s="46">
        <v>41.219299999999997</v>
      </c>
      <c r="H12" s="46">
        <v>41.305999999999997</v>
      </c>
      <c r="I12" s="66"/>
      <c r="J12" s="66"/>
      <c r="K12" s="67"/>
      <c r="L12" s="29"/>
      <c r="M12" s="46">
        <v>136.08240000000001</v>
      </c>
      <c r="N12" s="46">
        <v>39.6721</v>
      </c>
      <c r="O12" s="46">
        <v>41.219700000000003</v>
      </c>
      <c r="P12" s="46">
        <v>41.307000000000002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-4.959999999999809E-2</v>
      </c>
      <c r="AD12" s="46">
        <f t="shared" si="0"/>
        <v>-5.0000000000238742E-4</v>
      </c>
      <c r="AE12" s="46">
        <f t="shared" si="0"/>
        <v>-4.000000000061732E-4</v>
      </c>
      <c r="AF12" s="46">
        <f t="shared" si="0"/>
        <v>-1.0000000000047748E-3</v>
      </c>
      <c r="AG12" s="66"/>
      <c r="AH12" s="66"/>
      <c r="AI12" s="67"/>
    </row>
    <row r="13" spans="1:35">
      <c r="A13" s="27"/>
      <c r="B13" s="36"/>
      <c r="C13" s="29"/>
      <c r="D13" s="32">
        <v>35</v>
      </c>
      <c r="E13" s="46">
        <v>70.877600000000001</v>
      </c>
      <c r="F13" s="46">
        <v>37.109200000000001</v>
      </c>
      <c r="G13" s="46">
        <v>40.065600000000003</v>
      </c>
      <c r="H13" s="46">
        <v>39.853299999999997</v>
      </c>
      <c r="I13" s="66"/>
      <c r="J13" s="66"/>
      <c r="K13" s="67"/>
      <c r="L13" s="29"/>
      <c r="M13" s="46">
        <v>70.847200000000001</v>
      </c>
      <c r="N13" s="46">
        <v>37.108499999999999</v>
      </c>
      <c r="O13" s="46">
        <v>40.066200000000002</v>
      </c>
      <c r="P13" s="46">
        <v>39.853200000000001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3.0400000000000205E-2</v>
      </c>
      <c r="AD13" s="46">
        <f t="shared" si="0"/>
        <v>7.0000000000192131E-4</v>
      </c>
      <c r="AE13" s="46">
        <f t="shared" si="0"/>
        <v>-5.9999999999860165E-4</v>
      </c>
      <c r="AF13" s="46">
        <f t="shared" si="0"/>
        <v>9.9999999996214228E-5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37.768000000000001</v>
      </c>
      <c r="F14" s="72">
        <v>34.403199999999998</v>
      </c>
      <c r="G14" s="72">
        <v>38.996499999999997</v>
      </c>
      <c r="H14" s="72">
        <v>38.6008</v>
      </c>
      <c r="I14" s="68"/>
      <c r="J14" s="68"/>
      <c r="K14" s="69"/>
      <c r="L14" s="29"/>
      <c r="M14" s="72">
        <v>37.698399999999999</v>
      </c>
      <c r="N14" s="72">
        <v>34.401200000000003</v>
      </c>
      <c r="O14" s="72">
        <v>38.993099999999998</v>
      </c>
      <c r="P14" s="72">
        <v>38.599400000000003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6.9600000000001216E-2</v>
      </c>
      <c r="AD14" s="72">
        <f t="shared" si="0"/>
        <v>1.9999999999953388E-3</v>
      </c>
      <c r="AE14" s="72">
        <f t="shared" si="0"/>
        <v>3.3999999999991815E-3</v>
      </c>
      <c r="AF14" s="72">
        <f t="shared" si="0"/>
        <v>1.3999999999967372E-3</v>
      </c>
      <c r="AG14" s="68"/>
      <c r="AH14" s="68"/>
      <c r="AI14" s="69"/>
    </row>
    <row r="15" spans="1:35">
      <c r="A15" s="27"/>
      <c r="B15" s="36"/>
      <c r="C15" s="28" t="s">
        <v>29</v>
      </c>
      <c r="D15" s="31">
        <v>34</v>
      </c>
      <c r="E15" s="45">
        <v>116.4736</v>
      </c>
      <c r="F15" s="45">
        <v>39.600299999999997</v>
      </c>
      <c r="G15" s="78"/>
      <c r="H15" s="78"/>
      <c r="I15" s="79"/>
      <c r="J15" s="79"/>
      <c r="K15" s="80"/>
      <c r="L15" s="29"/>
      <c r="M15" s="45">
        <v>116.4736</v>
      </c>
      <c r="N15" s="45">
        <v>39.600299999999997</v>
      </c>
      <c r="O15" s="78">
        <v>99.99</v>
      </c>
      <c r="P15" s="78">
        <v>99.99</v>
      </c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C15" s="45">
        <f t="shared" si="0"/>
        <v>0</v>
      </c>
      <c r="AD15" s="45">
        <f t="shared" si="0"/>
        <v>0</v>
      </c>
      <c r="AE15" s="78"/>
      <c r="AF15" s="78"/>
      <c r="AG15" s="79"/>
      <c r="AH15" s="79"/>
      <c r="AI15" s="80"/>
    </row>
    <row r="16" spans="1:35">
      <c r="A16" s="27"/>
      <c r="B16" s="36"/>
      <c r="C16" s="29"/>
      <c r="D16" s="32">
        <v>39</v>
      </c>
      <c r="E16" s="46">
        <v>38.771999999999998</v>
      </c>
      <c r="F16" s="46">
        <v>36.4666</v>
      </c>
      <c r="G16" s="70"/>
      <c r="H16" s="70"/>
      <c r="I16" s="66"/>
      <c r="J16" s="66"/>
      <c r="K16" s="67"/>
      <c r="L16" s="29"/>
      <c r="M16" s="46">
        <v>38.771999999999998</v>
      </c>
      <c r="N16" s="46">
        <v>36.4666</v>
      </c>
      <c r="O16" s="70">
        <v>99.99</v>
      </c>
      <c r="P16" s="70">
        <v>99.99</v>
      </c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</v>
      </c>
      <c r="AD16" s="46">
        <f t="shared" si="0"/>
        <v>0</v>
      </c>
      <c r="AE16" s="70"/>
      <c r="AF16" s="70"/>
      <c r="AG16" s="66"/>
      <c r="AH16" s="66"/>
      <c r="AI16" s="67"/>
    </row>
    <row r="17" spans="1:35">
      <c r="A17" s="27"/>
      <c r="B17" s="36"/>
      <c r="C17" s="29"/>
      <c r="D17" s="32">
        <v>42</v>
      </c>
      <c r="E17" s="46">
        <v>16.918399999999998</v>
      </c>
      <c r="F17" s="46">
        <v>33.997399999999999</v>
      </c>
      <c r="G17" s="70"/>
      <c r="H17" s="70"/>
      <c r="I17" s="66"/>
      <c r="J17" s="66"/>
      <c r="K17" s="67"/>
      <c r="L17" s="29"/>
      <c r="M17" s="46">
        <v>16.918399999999998</v>
      </c>
      <c r="N17" s="46">
        <v>33.997399999999999</v>
      </c>
      <c r="O17" s="70">
        <v>99.99</v>
      </c>
      <c r="P17" s="70">
        <v>99.99</v>
      </c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0</v>
      </c>
      <c r="AD17" s="46">
        <f t="shared" si="0"/>
        <v>0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8.4575999999999993</v>
      </c>
      <c r="F18" s="46">
        <v>31.508600000000001</v>
      </c>
      <c r="G18" s="70"/>
      <c r="H18" s="70"/>
      <c r="I18" s="66"/>
      <c r="J18" s="66"/>
      <c r="K18" s="67"/>
      <c r="L18" s="29"/>
      <c r="M18" s="46">
        <v>8.4575999999999993</v>
      </c>
      <c r="N18" s="46">
        <v>31.508600000000001</v>
      </c>
      <c r="O18" s="70">
        <v>99.99</v>
      </c>
      <c r="P18" s="70">
        <v>99.99</v>
      </c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>
      <c r="A19" s="27"/>
      <c r="B19" s="36"/>
      <c r="C19" s="28" t="s">
        <v>30</v>
      </c>
      <c r="D19" s="31">
        <v>34</v>
      </c>
      <c r="E19" s="45">
        <v>85.991200000000006</v>
      </c>
      <c r="F19" s="45">
        <v>37.436700000000002</v>
      </c>
      <c r="G19" s="78"/>
      <c r="H19" s="78"/>
      <c r="I19" s="79"/>
      <c r="J19" s="79"/>
      <c r="K19" s="80"/>
      <c r="L19" s="29"/>
      <c r="M19" s="45">
        <v>85.991200000000006</v>
      </c>
      <c r="N19" s="45">
        <v>37.436700000000002</v>
      </c>
      <c r="O19" s="78">
        <v>99.99</v>
      </c>
      <c r="P19" s="78">
        <v>99.99</v>
      </c>
      <c r="Q19" s="79"/>
      <c r="R19" s="79"/>
      <c r="S19" s="80"/>
      <c r="U19" s="8">
        <f>bdrate($E19:$E22,F19:F22,$M19:$M22,N19:N22)</f>
        <v>0</v>
      </c>
      <c r="V19" s="9"/>
      <c r="W19" s="10"/>
      <c r="X19" s="29"/>
      <c r="Y19" s="24"/>
      <c r="Z19" s="24"/>
      <c r="AA19" s="27"/>
      <c r="AC19" s="45">
        <f t="shared" si="0"/>
        <v>0</v>
      </c>
      <c r="AD19" s="45">
        <f t="shared" si="0"/>
        <v>0</v>
      </c>
      <c r="AE19" s="78"/>
      <c r="AF19" s="78"/>
      <c r="AG19" s="79"/>
      <c r="AH19" s="79"/>
      <c r="AI19" s="80"/>
    </row>
    <row r="20" spans="1:35">
      <c r="A20" s="27"/>
      <c r="B20" s="36"/>
      <c r="C20" s="29"/>
      <c r="D20" s="32">
        <v>39</v>
      </c>
      <c r="E20" s="46">
        <v>28.014399999999998</v>
      </c>
      <c r="F20" s="46">
        <v>34.426499999999997</v>
      </c>
      <c r="G20" s="70"/>
      <c r="H20" s="70"/>
      <c r="I20" s="66"/>
      <c r="J20" s="66"/>
      <c r="K20" s="67"/>
      <c r="L20" s="29"/>
      <c r="M20" s="46">
        <v>28.014399999999998</v>
      </c>
      <c r="N20" s="46">
        <v>34.426499999999997</v>
      </c>
      <c r="O20" s="70">
        <v>99.99</v>
      </c>
      <c r="P20" s="70">
        <v>99.99</v>
      </c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</v>
      </c>
      <c r="AD20" s="46">
        <f t="shared" si="0"/>
        <v>0</v>
      </c>
      <c r="AE20" s="70"/>
      <c r="AF20" s="70"/>
      <c r="AG20" s="66"/>
      <c r="AH20" s="66"/>
      <c r="AI20" s="67"/>
    </row>
    <row r="21" spans="1:35">
      <c r="A21" s="27"/>
      <c r="B21" s="36"/>
      <c r="C21" s="29"/>
      <c r="D21" s="32">
        <v>42</v>
      </c>
      <c r="E21" s="46">
        <v>11.9664</v>
      </c>
      <c r="F21" s="46">
        <v>31.984400000000001</v>
      </c>
      <c r="G21" s="70"/>
      <c r="H21" s="70"/>
      <c r="I21" s="66"/>
      <c r="J21" s="66"/>
      <c r="K21" s="67"/>
      <c r="L21" s="29"/>
      <c r="M21" s="46">
        <v>11.9664</v>
      </c>
      <c r="N21" s="46">
        <v>31.984400000000001</v>
      </c>
      <c r="O21" s="70">
        <v>99.99</v>
      </c>
      <c r="P21" s="70">
        <v>99.99</v>
      </c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0</v>
      </c>
      <c r="AD21" s="46">
        <f t="shared" si="0"/>
        <v>0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5.7679999999999998</v>
      </c>
      <c r="F22" s="46">
        <v>29.264099999999999</v>
      </c>
      <c r="G22" s="70"/>
      <c r="H22" s="70"/>
      <c r="I22" s="66"/>
      <c r="J22" s="66"/>
      <c r="K22" s="67"/>
      <c r="L22" s="29"/>
      <c r="M22" s="46">
        <v>5.7679999999999998</v>
      </c>
      <c r="N22" s="46">
        <v>29.264099999999999</v>
      </c>
      <c r="O22" s="70">
        <v>99.99</v>
      </c>
      <c r="P22" s="70">
        <v>99.99</v>
      </c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0</v>
      </c>
      <c r="AD22" s="46">
        <f t="shared" si="0"/>
        <v>0</v>
      </c>
      <c r="AE22" s="70"/>
      <c r="AF22" s="70"/>
      <c r="AG22" s="66"/>
      <c r="AH22" s="66"/>
      <c r="AI22" s="67"/>
    </row>
    <row r="23" spans="1:35">
      <c r="A23" s="27"/>
      <c r="B23" s="36"/>
      <c r="C23" s="28" t="s">
        <v>31</v>
      </c>
      <c r="D23" s="31">
        <v>34</v>
      </c>
      <c r="E23" s="45">
        <v>96.191999999999993</v>
      </c>
      <c r="F23" s="45">
        <v>36.779600000000002</v>
      </c>
      <c r="G23" s="78"/>
      <c r="H23" s="78"/>
      <c r="I23" s="79"/>
      <c r="J23" s="79"/>
      <c r="K23" s="80"/>
      <c r="L23" s="29"/>
      <c r="M23" s="45">
        <v>95.964799999999997</v>
      </c>
      <c r="N23" s="45">
        <v>36.783499999999997</v>
      </c>
      <c r="O23" s="78">
        <v>99.99</v>
      </c>
      <c r="P23" s="78">
        <v>99.99</v>
      </c>
      <c r="Q23" s="79"/>
      <c r="R23" s="79"/>
      <c r="S23" s="80"/>
      <c r="U23" s="8">
        <f>bdrate($E23:$E26,F23:F26,$M23:$M26,N23:N26)</f>
        <v>1.5092141986403629E-3</v>
      </c>
      <c r="V23" s="9"/>
      <c r="W23" s="10"/>
      <c r="X23" s="29"/>
      <c r="Y23" s="24"/>
      <c r="Z23" s="24"/>
      <c r="AA23" s="27"/>
      <c r="AC23" s="45">
        <f t="shared" si="0"/>
        <v>0.22719999999999629</v>
      </c>
      <c r="AD23" s="45">
        <f t="shared" si="0"/>
        <v>-3.8999999999944635E-3</v>
      </c>
      <c r="AE23" s="78"/>
      <c r="AF23" s="78"/>
      <c r="AG23" s="79"/>
      <c r="AH23" s="79"/>
      <c r="AI23" s="80"/>
    </row>
    <row r="24" spans="1:35">
      <c r="A24" s="27"/>
      <c r="B24" s="36"/>
      <c r="C24" s="29"/>
      <c r="D24" s="32">
        <v>39</v>
      </c>
      <c r="E24" s="46">
        <v>31.0352</v>
      </c>
      <c r="F24" s="46">
        <v>33.613300000000002</v>
      </c>
      <c r="G24" s="70"/>
      <c r="H24" s="70"/>
      <c r="I24" s="66"/>
      <c r="J24" s="66"/>
      <c r="K24" s="67"/>
      <c r="L24" s="29"/>
      <c r="M24" s="46">
        <v>30.997599999999998</v>
      </c>
      <c r="N24" s="46">
        <v>33.602899999999998</v>
      </c>
      <c r="O24" s="70">
        <v>99.99</v>
      </c>
      <c r="P24" s="70">
        <v>99.99</v>
      </c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3.7600000000001188E-2</v>
      </c>
      <c r="AD24" s="46">
        <f t="shared" si="0"/>
        <v>1.0400000000004184E-2</v>
      </c>
      <c r="AE24" s="70"/>
      <c r="AF24" s="70"/>
      <c r="AG24" s="66"/>
      <c r="AH24" s="66"/>
      <c r="AI24" s="67"/>
    </row>
    <row r="25" spans="1:35">
      <c r="A25" s="27"/>
      <c r="B25" s="36"/>
      <c r="C25" s="29"/>
      <c r="D25" s="32">
        <v>42</v>
      </c>
      <c r="E25" s="46">
        <v>13.3192</v>
      </c>
      <c r="F25" s="46">
        <v>31.066199999999998</v>
      </c>
      <c r="G25" s="70"/>
      <c r="H25" s="70"/>
      <c r="I25" s="66"/>
      <c r="J25" s="66"/>
      <c r="K25" s="67"/>
      <c r="L25" s="29"/>
      <c r="M25" s="46">
        <v>13.361599999999999</v>
      </c>
      <c r="N25" s="46">
        <v>31.0642</v>
      </c>
      <c r="O25" s="70">
        <v>99.99</v>
      </c>
      <c r="P25" s="70">
        <v>99.99</v>
      </c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-4.2399999999998883E-2</v>
      </c>
      <c r="AD25" s="46">
        <f t="shared" si="0"/>
        <v>1.9999999999988916E-3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6.3192000000000004</v>
      </c>
      <c r="F26" s="46">
        <v>27.9435</v>
      </c>
      <c r="G26" s="70"/>
      <c r="H26" s="70"/>
      <c r="I26" s="66"/>
      <c r="J26" s="66"/>
      <c r="K26" s="67"/>
      <c r="L26" s="29"/>
      <c r="M26" s="46">
        <v>6.3095999999999997</v>
      </c>
      <c r="N26" s="46">
        <v>27.942699999999999</v>
      </c>
      <c r="O26" s="70">
        <v>99.99</v>
      </c>
      <c r="P26" s="70">
        <v>99.99</v>
      </c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9.6000000000007191E-3</v>
      </c>
      <c r="AD26" s="46">
        <f t="shared" si="0"/>
        <v>8.0000000000168825E-4</v>
      </c>
      <c r="AE26" s="46"/>
      <c r="AF26" s="46"/>
      <c r="AG26" s="66"/>
      <c r="AH26" s="66"/>
      <c r="AI26" s="67"/>
    </row>
    <row r="27" spans="1:35">
      <c r="A27" s="27"/>
      <c r="B27" s="36"/>
      <c r="C27" s="28" t="s">
        <v>47</v>
      </c>
      <c r="D27" s="31">
        <v>25</v>
      </c>
      <c r="E27" s="78"/>
      <c r="F27" s="45">
        <v>42.3249</v>
      </c>
      <c r="G27" s="45">
        <v>45.365400000000001</v>
      </c>
      <c r="H27" s="45">
        <v>45.064500000000002</v>
      </c>
      <c r="I27" s="79"/>
      <c r="J27" s="79"/>
      <c r="K27" s="80"/>
      <c r="L27" s="29"/>
      <c r="M27" s="78"/>
      <c r="N27" s="45"/>
      <c r="O27" s="45"/>
      <c r="P27" s="45"/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42.3249</v>
      </c>
      <c r="AE27" s="45">
        <f>G27 -O27</f>
        <v>45.365400000000001</v>
      </c>
      <c r="AF27" s="45">
        <f>H27 -P27</f>
        <v>45.064500000000002</v>
      </c>
      <c r="AG27" s="79"/>
      <c r="AH27" s="79"/>
      <c r="AI27" s="80"/>
    </row>
    <row r="28" spans="1:35">
      <c r="A28" s="27"/>
      <c r="B28" s="36"/>
      <c r="C28" s="29"/>
      <c r="D28" s="32">
        <v>30</v>
      </c>
      <c r="E28" s="70"/>
      <c r="F28" s="46">
        <v>40.120399999999997</v>
      </c>
      <c r="G28" s="46">
        <v>43.7318</v>
      </c>
      <c r="H28" s="46">
        <v>43.114600000000003</v>
      </c>
      <c r="I28" s="66"/>
      <c r="J28" s="66"/>
      <c r="K28" s="67"/>
      <c r="L28" s="29"/>
      <c r="M28" s="70"/>
      <c r="N28" s="46"/>
      <c r="O28" s="46"/>
      <c r="P28" s="46"/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40.120399999999997</v>
      </c>
      <c r="AE28" s="46">
        <f t="shared" si="1"/>
        <v>43.7318</v>
      </c>
      <c r="AF28" s="46">
        <f t="shared" si="1"/>
        <v>43.114600000000003</v>
      </c>
      <c r="AG28" s="66"/>
      <c r="AH28" s="66"/>
      <c r="AI28" s="67"/>
    </row>
    <row r="29" spans="1:35">
      <c r="A29" s="27"/>
      <c r="B29" s="36"/>
      <c r="C29" s="29"/>
      <c r="D29" s="32">
        <v>35</v>
      </c>
      <c r="E29" s="70"/>
      <c r="F29" s="46">
        <v>37.6295</v>
      </c>
      <c r="G29" s="46">
        <v>42.061</v>
      </c>
      <c r="H29" s="46">
        <v>41.2761</v>
      </c>
      <c r="I29" s="66"/>
      <c r="J29" s="66"/>
      <c r="K29" s="67"/>
      <c r="L29" s="29"/>
      <c r="M29" s="70"/>
      <c r="N29" s="46"/>
      <c r="O29" s="46"/>
      <c r="P29" s="46"/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37.6295</v>
      </c>
      <c r="AE29" s="46">
        <f t="shared" si="1"/>
        <v>42.061</v>
      </c>
      <c r="AF29" s="46">
        <f t="shared" si="1"/>
        <v>41.2761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34.927</v>
      </c>
      <c r="G30" s="72">
        <v>40.714300000000001</v>
      </c>
      <c r="H30" s="72">
        <v>39.822699999999998</v>
      </c>
      <c r="I30" s="68"/>
      <c r="J30" s="68"/>
      <c r="K30" s="69"/>
      <c r="L30" s="29"/>
      <c r="M30" s="81"/>
      <c r="N30" s="72"/>
      <c r="O30" s="72"/>
      <c r="P30" s="72"/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34.927</v>
      </c>
      <c r="AE30" s="72">
        <f t="shared" si="1"/>
        <v>40.714300000000001</v>
      </c>
      <c r="AF30" s="72">
        <f t="shared" si="1"/>
        <v>39.822699999999998</v>
      </c>
      <c r="AG30" s="68"/>
      <c r="AH30" s="68"/>
      <c r="AI30" s="69"/>
    </row>
    <row r="31" spans="1:35">
      <c r="A31" s="27"/>
      <c r="B31" s="36"/>
      <c r="C31" s="29" t="s">
        <v>48</v>
      </c>
      <c r="D31" s="32">
        <v>25</v>
      </c>
      <c r="E31" s="70"/>
      <c r="F31" s="45">
        <v>42.924399999999999</v>
      </c>
      <c r="G31" s="45">
        <v>45.9681</v>
      </c>
      <c r="H31" s="45">
        <v>45.759700000000002</v>
      </c>
      <c r="I31" s="66"/>
      <c r="J31" s="66"/>
      <c r="K31" s="67"/>
      <c r="L31" s="29"/>
      <c r="M31" s="70"/>
      <c r="N31" s="45"/>
      <c r="O31" s="45"/>
      <c r="P31" s="45"/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42.924399999999999</v>
      </c>
      <c r="AE31" s="45">
        <f t="shared" si="1"/>
        <v>45.9681</v>
      </c>
      <c r="AF31" s="45">
        <f t="shared" si="1"/>
        <v>45.759700000000002</v>
      </c>
      <c r="AG31" s="66"/>
      <c r="AH31" s="66"/>
      <c r="AI31" s="67"/>
    </row>
    <row r="32" spans="1:35">
      <c r="A32" s="27"/>
      <c r="B32" s="36"/>
      <c r="C32" s="29"/>
      <c r="D32" s="32">
        <v>30</v>
      </c>
      <c r="E32" s="70"/>
      <c r="F32" s="46">
        <v>40.640999999999998</v>
      </c>
      <c r="G32" s="46">
        <v>44.220500000000001</v>
      </c>
      <c r="H32" s="46">
        <v>43.681199999999997</v>
      </c>
      <c r="I32" s="66"/>
      <c r="J32" s="66"/>
      <c r="K32" s="67"/>
      <c r="L32" s="29"/>
      <c r="M32" s="70"/>
      <c r="N32" s="46"/>
      <c r="O32" s="46"/>
      <c r="P32" s="46"/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40.640999999999998</v>
      </c>
      <c r="AE32" s="46">
        <f t="shared" si="1"/>
        <v>44.220500000000001</v>
      </c>
      <c r="AF32" s="46">
        <f t="shared" si="1"/>
        <v>43.681199999999997</v>
      </c>
      <c r="AG32" s="66"/>
      <c r="AH32" s="66"/>
      <c r="AI32" s="67"/>
    </row>
    <row r="33" spans="1:35">
      <c r="A33" s="27"/>
      <c r="B33" s="36"/>
      <c r="C33" s="29"/>
      <c r="D33" s="32">
        <v>35</v>
      </c>
      <c r="E33" s="70"/>
      <c r="F33" s="46">
        <v>38.0548</v>
      </c>
      <c r="G33" s="46">
        <v>42.360500000000002</v>
      </c>
      <c r="H33" s="46">
        <v>41.640500000000003</v>
      </c>
      <c r="I33" s="66"/>
      <c r="J33" s="66"/>
      <c r="K33" s="67"/>
      <c r="L33" s="29"/>
      <c r="M33" s="70"/>
      <c r="N33" s="46"/>
      <c r="O33" s="46"/>
      <c r="P33" s="46"/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38.0548</v>
      </c>
      <c r="AE33" s="46">
        <f t="shared" si="1"/>
        <v>42.360500000000002</v>
      </c>
      <c r="AF33" s="46">
        <f t="shared" si="1"/>
        <v>41.640500000000003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35.271500000000003</v>
      </c>
      <c r="G34" s="72">
        <v>40.942399999999999</v>
      </c>
      <c r="H34" s="72">
        <v>40.094099999999997</v>
      </c>
      <c r="I34" s="68"/>
      <c r="J34" s="68"/>
      <c r="K34" s="69"/>
      <c r="L34" s="29"/>
      <c r="M34" s="81"/>
      <c r="N34" s="46"/>
      <c r="O34" s="72"/>
      <c r="P34" s="72"/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35.271500000000003</v>
      </c>
      <c r="AE34" s="46">
        <f t="shared" si="1"/>
        <v>40.942399999999999</v>
      </c>
      <c r="AF34" s="46">
        <f t="shared" si="1"/>
        <v>40.094099999999997</v>
      </c>
      <c r="AG34" s="68"/>
      <c r="AH34" s="68"/>
      <c r="AI34" s="69"/>
    </row>
    <row r="35" spans="1:35">
      <c r="A35" s="27"/>
      <c r="B35" s="36"/>
      <c r="C35" s="29" t="s">
        <v>49</v>
      </c>
      <c r="D35" s="32">
        <v>25</v>
      </c>
      <c r="E35" s="70"/>
      <c r="F35" s="45">
        <v>43.064300000000003</v>
      </c>
      <c r="G35" s="45">
        <v>45.582799999999999</v>
      </c>
      <c r="H35" s="45">
        <v>45.699800000000003</v>
      </c>
      <c r="I35" s="66"/>
      <c r="J35" s="66"/>
      <c r="K35" s="67"/>
      <c r="L35" s="29"/>
      <c r="M35" s="70"/>
      <c r="N35" s="45"/>
      <c r="O35" s="45"/>
      <c r="P35" s="45"/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43.064300000000003</v>
      </c>
      <c r="AE35" s="45">
        <f t="shared" si="1"/>
        <v>45.582799999999999</v>
      </c>
      <c r="AF35" s="45">
        <f t="shared" si="1"/>
        <v>45.699800000000003</v>
      </c>
      <c r="AG35" s="66"/>
      <c r="AH35" s="66"/>
      <c r="AI35" s="67"/>
    </row>
    <row r="36" spans="1:35">
      <c r="A36" s="27"/>
      <c r="B36" s="36"/>
      <c r="C36" s="29"/>
      <c r="D36" s="32">
        <v>30</v>
      </c>
      <c r="E36" s="70"/>
      <c r="F36" s="46">
        <v>40.909500000000001</v>
      </c>
      <c r="G36" s="46">
        <v>43.966099999999997</v>
      </c>
      <c r="H36" s="46">
        <v>43.710799999999999</v>
      </c>
      <c r="I36" s="66"/>
      <c r="J36" s="66"/>
      <c r="K36" s="67"/>
      <c r="L36" s="29"/>
      <c r="M36" s="70"/>
      <c r="N36" s="46"/>
      <c r="O36" s="46"/>
      <c r="P36" s="46"/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40.909500000000001</v>
      </c>
      <c r="AE36" s="46">
        <f t="shared" si="1"/>
        <v>43.966099999999997</v>
      </c>
      <c r="AF36" s="46">
        <f t="shared" si="1"/>
        <v>43.710799999999999</v>
      </c>
      <c r="AG36" s="66"/>
      <c r="AH36" s="66"/>
      <c r="AI36" s="67"/>
    </row>
    <row r="37" spans="1:35">
      <c r="A37" s="27"/>
      <c r="B37" s="36"/>
      <c r="C37" s="29"/>
      <c r="D37" s="32">
        <v>35</v>
      </c>
      <c r="E37" s="70"/>
      <c r="F37" s="46">
        <v>38.349800000000002</v>
      </c>
      <c r="G37" s="46">
        <v>42.125599999999999</v>
      </c>
      <c r="H37" s="46">
        <v>41.634</v>
      </c>
      <c r="I37" s="66"/>
      <c r="J37" s="66"/>
      <c r="K37" s="67"/>
      <c r="L37" s="29"/>
      <c r="M37" s="70"/>
      <c r="N37" s="46"/>
      <c r="O37" s="46"/>
      <c r="P37" s="46"/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38.349800000000002</v>
      </c>
      <c r="AE37" s="46">
        <f t="shared" si="1"/>
        <v>42.125599999999999</v>
      </c>
      <c r="AF37" s="46">
        <f t="shared" si="1"/>
        <v>41.634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35.540199999999999</v>
      </c>
      <c r="G38" s="72">
        <v>40.799500000000002</v>
      </c>
      <c r="H38" s="72">
        <v>40.099699999999999</v>
      </c>
      <c r="I38" s="68"/>
      <c r="J38" s="68"/>
      <c r="K38" s="69"/>
      <c r="L38" s="29"/>
      <c r="M38" s="81"/>
      <c r="N38" s="46"/>
      <c r="O38" s="72"/>
      <c r="P38" s="72"/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35.540199999999999</v>
      </c>
      <c r="AE38" s="46">
        <f t="shared" si="1"/>
        <v>40.799500000000002</v>
      </c>
      <c r="AF38" s="46">
        <f t="shared" si="1"/>
        <v>40.099699999999999</v>
      </c>
      <c r="AG38" s="68"/>
      <c r="AH38" s="68"/>
      <c r="AI38" s="69"/>
    </row>
    <row r="39" spans="1:35">
      <c r="A39" s="27"/>
      <c r="B39" s="36"/>
      <c r="C39" s="29" t="s">
        <v>50</v>
      </c>
      <c r="D39" s="32">
        <v>25</v>
      </c>
      <c r="E39" s="70"/>
      <c r="F39" s="45">
        <v>42.953200000000002</v>
      </c>
      <c r="G39" s="45">
        <v>45.592599999999997</v>
      </c>
      <c r="H39" s="45">
        <v>45.674100000000003</v>
      </c>
      <c r="I39" s="66"/>
      <c r="J39" s="66"/>
      <c r="K39" s="67"/>
      <c r="L39" s="29"/>
      <c r="M39" s="70"/>
      <c r="N39" s="45"/>
      <c r="O39" s="45"/>
      <c r="P39" s="45"/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42.953200000000002</v>
      </c>
      <c r="AE39" s="45">
        <f t="shared" si="1"/>
        <v>45.592599999999997</v>
      </c>
      <c r="AF39" s="45">
        <f t="shared" si="1"/>
        <v>45.674100000000003</v>
      </c>
      <c r="AG39" s="66"/>
      <c r="AH39" s="66"/>
      <c r="AI39" s="67"/>
    </row>
    <row r="40" spans="1:35">
      <c r="A40" s="27"/>
      <c r="B40" s="36"/>
      <c r="C40" s="29"/>
      <c r="D40" s="32">
        <v>30</v>
      </c>
      <c r="E40" s="70"/>
      <c r="F40" s="46">
        <v>40.802599999999998</v>
      </c>
      <c r="G40" s="46">
        <v>43.963799999999999</v>
      </c>
      <c r="H40" s="46">
        <v>43.688800000000001</v>
      </c>
      <c r="I40" s="66"/>
      <c r="J40" s="66"/>
      <c r="K40" s="67"/>
      <c r="L40" s="29"/>
      <c r="M40" s="70"/>
      <c r="N40" s="46"/>
      <c r="O40" s="46"/>
      <c r="P40" s="46"/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40.802599999999998</v>
      </c>
      <c r="AE40" s="46">
        <f t="shared" si="1"/>
        <v>43.963799999999999</v>
      </c>
      <c r="AF40" s="46">
        <f t="shared" si="1"/>
        <v>43.688800000000001</v>
      </c>
      <c r="AG40" s="66"/>
      <c r="AH40" s="66"/>
      <c r="AI40" s="67"/>
    </row>
    <row r="41" spans="1:35">
      <c r="A41" s="27"/>
      <c r="B41" s="36"/>
      <c r="C41" s="29"/>
      <c r="D41" s="32">
        <v>35</v>
      </c>
      <c r="E41" s="70"/>
      <c r="F41" s="46">
        <v>38.246899999999997</v>
      </c>
      <c r="G41" s="46">
        <v>42.133200000000002</v>
      </c>
      <c r="H41" s="46">
        <v>41.614800000000002</v>
      </c>
      <c r="I41" s="66"/>
      <c r="J41" s="66"/>
      <c r="K41" s="67"/>
      <c r="L41" s="29"/>
      <c r="M41" s="70"/>
      <c r="N41" s="46"/>
      <c r="O41" s="46"/>
      <c r="P41" s="46"/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38.246899999999997</v>
      </c>
      <c r="AE41" s="46">
        <f t="shared" si="1"/>
        <v>42.133200000000002</v>
      </c>
      <c r="AF41" s="46">
        <f t="shared" si="1"/>
        <v>41.614800000000002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35.4405</v>
      </c>
      <c r="G42" s="72">
        <v>40.803899999999999</v>
      </c>
      <c r="H42" s="72">
        <v>40.077800000000003</v>
      </c>
      <c r="I42" s="68"/>
      <c r="J42" s="68"/>
      <c r="K42" s="69"/>
      <c r="L42" s="29"/>
      <c r="M42" s="81"/>
      <c r="N42" s="46"/>
      <c r="O42" s="72"/>
      <c r="P42" s="72"/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35.4405</v>
      </c>
      <c r="AE42" s="46">
        <f t="shared" si="1"/>
        <v>40.803899999999999</v>
      </c>
      <c r="AF42" s="46">
        <f t="shared" si="1"/>
        <v>40.077800000000003</v>
      </c>
      <c r="AG42" s="68"/>
      <c r="AH42" s="68"/>
      <c r="AI42" s="69"/>
    </row>
    <row r="43" spans="1:35">
      <c r="A43" s="27"/>
      <c r="B43" s="36"/>
      <c r="C43" s="29" t="s">
        <v>51</v>
      </c>
      <c r="D43" s="32">
        <v>25</v>
      </c>
      <c r="E43" s="70"/>
      <c r="F43" s="45">
        <v>42.762300000000003</v>
      </c>
      <c r="G43" s="45">
        <v>45.893599999999999</v>
      </c>
      <c r="H43" s="45">
        <v>45.656799999999997</v>
      </c>
      <c r="I43" s="66"/>
      <c r="J43" s="66"/>
      <c r="K43" s="67"/>
      <c r="L43" s="29"/>
      <c r="M43" s="70"/>
      <c r="N43" s="45"/>
      <c r="O43" s="45"/>
      <c r="P43" s="45"/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42.762300000000003</v>
      </c>
      <c r="AE43" s="45">
        <f t="shared" si="2"/>
        <v>45.893599999999999</v>
      </c>
      <c r="AF43" s="45">
        <f t="shared" si="2"/>
        <v>45.656799999999997</v>
      </c>
      <c r="AG43" s="66"/>
      <c r="AH43" s="66"/>
      <c r="AI43" s="67"/>
    </row>
    <row r="44" spans="1:35">
      <c r="A44" s="27"/>
      <c r="B44" s="36"/>
      <c r="C44" s="29"/>
      <c r="D44" s="32">
        <v>30</v>
      </c>
      <c r="E44" s="70"/>
      <c r="F44" s="46">
        <v>40.504399999999997</v>
      </c>
      <c r="G44" s="46">
        <v>44.1402</v>
      </c>
      <c r="H44" s="46">
        <v>43.577800000000003</v>
      </c>
      <c r="I44" s="66"/>
      <c r="J44" s="66"/>
      <c r="K44" s="67"/>
      <c r="L44" s="29"/>
      <c r="M44" s="70"/>
      <c r="N44" s="46"/>
      <c r="O44" s="46"/>
      <c r="P44" s="46"/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40.504399999999997</v>
      </c>
      <c r="AE44" s="46">
        <f t="shared" si="2"/>
        <v>44.1402</v>
      </c>
      <c r="AF44" s="46">
        <f t="shared" si="2"/>
        <v>43.577800000000003</v>
      </c>
      <c r="AG44" s="66"/>
      <c r="AH44" s="66"/>
      <c r="AI44" s="67"/>
    </row>
    <row r="45" spans="1:35">
      <c r="A45" s="27"/>
      <c r="B45" s="36"/>
      <c r="C45" s="29"/>
      <c r="D45" s="32">
        <v>35</v>
      </c>
      <c r="E45" s="70"/>
      <c r="F45" s="46">
        <v>37.9512</v>
      </c>
      <c r="G45" s="46">
        <v>42.305199999999999</v>
      </c>
      <c r="H45" s="46">
        <v>41.534199999999998</v>
      </c>
      <c r="I45" s="66"/>
      <c r="J45" s="66"/>
      <c r="K45" s="67"/>
      <c r="L45" s="29"/>
      <c r="M45" s="70"/>
      <c r="N45" s="46"/>
      <c r="O45" s="46"/>
      <c r="P45" s="46"/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37.9512</v>
      </c>
      <c r="AE45" s="46">
        <f t="shared" si="2"/>
        <v>42.305199999999999</v>
      </c>
      <c r="AF45" s="46">
        <f t="shared" si="2"/>
        <v>41.534199999999998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35.1646</v>
      </c>
      <c r="G46" s="72">
        <v>40.915799999999997</v>
      </c>
      <c r="H46" s="72">
        <v>39.964799999999997</v>
      </c>
      <c r="I46" s="68"/>
      <c r="J46" s="68"/>
      <c r="K46" s="69"/>
      <c r="L46" s="29"/>
      <c r="M46" s="81"/>
      <c r="N46" s="72"/>
      <c r="O46" s="72"/>
      <c r="P46" s="72"/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35.1646</v>
      </c>
      <c r="AE46" s="72">
        <f t="shared" si="2"/>
        <v>40.915799999999997</v>
      </c>
      <c r="AF46" s="72">
        <f t="shared" si="2"/>
        <v>39.964799999999997</v>
      </c>
      <c r="AG46" s="68"/>
      <c r="AH46" s="68"/>
      <c r="AI46" s="69"/>
    </row>
    <row r="47" spans="1:35">
      <c r="A47" s="27"/>
      <c r="B47" s="36"/>
      <c r="C47" s="29" t="s">
        <v>52</v>
      </c>
      <c r="D47" s="32">
        <v>25</v>
      </c>
      <c r="E47" s="70"/>
      <c r="F47" s="45">
        <v>42.099299999999999</v>
      </c>
      <c r="G47" s="45">
        <v>45.137700000000002</v>
      </c>
      <c r="H47" s="45">
        <v>44.884599999999999</v>
      </c>
      <c r="I47" s="66"/>
      <c r="J47" s="66"/>
      <c r="K47" s="67"/>
      <c r="L47" s="29"/>
      <c r="M47" s="70"/>
      <c r="N47" s="45"/>
      <c r="O47" s="45"/>
      <c r="P47" s="45"/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42.099299999999999</v>
      </c>
      <c r="AE47" s="45">
        <f t="shared" si="2"/>
        <v>45.137700000000002</v>
      </c>
      <c r="AF47" s="45">
        <f t="shared" si="2"/>
        <v>44.884599999999999</v>
      </c>
      <c r="AG47" s="45"/>
      <c r="AH47" s="66"/>
      <c r="AI47" s="67"/>
    </row>
    <row r="48" spans="1:35">
      <c r="A48" s="27"/>
      <c r="B48" s="36"/>
      <c r="C48" s="29"/>
      <c r="D48" s="32">
        <v>30</v>
      </c>
      <c r="E48" s="70"/>
      <c r="F48" s="46">
        <v>39.968899999999998</v>
      </c>
      <c r="G48" s="46">
        <v>43.474899999999998</v>
      </c>
      <c r="H48" s="46">
        <v>42.946599999999997</v>
      </c>
      <c r="I48" s="66"/>
      <c r="J48" s="66"/>
      <c r="K48" s="67"/>
      <c r="L48" s="29"/>
      <c r="M48" s="70"/>
      <c r="N48" s="46"/>
      <c r="O48" s="46"/>
      <c r="P48" s="46"/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39.968899999999998</v>
      </c>
      <c r="AE48" s="46">
        <f t="shared" si="2"/>
        <v>43.474899999999998</v>
      </c>
      <c r="AF48" s="46">
        <f t="shared" si="2"/>
        <v>42.946599999999997</v>
      </c>
      <c r="AG48" s="66"/>
      <c r="AH48" s="66"/>
      <c r="AI48" s="67"/>
    </row>
    <row r="49" spans="1:35">
      <c r="A49" s="27"/>
      <c r="B49" s="36"/>
      <c r="C49" s="29"/>
      <c r="D49" s="32">
        <v>35</v>
      </c>
      <c r="E49" s="70"/>
      <c r="F49" s="46">
        <v>37.494999999999997</v>
      </c>
      <c r="G49" s="46">
        <v>41.857500000000002</v>
      </c>
      <c r="H49" s="46">
        <v>41.101599999999998</v>
      </c>
      <c r="I49" s="66"/>
      <c r="J49" s="66"/>
      <c r="K49" s="67"/>
      <c r="L49" s="29"/>
      <c r="M49" s="70"/>
      <c r="N49" s="46"/>
      <c r="O49" s="46"/>
      <c r="P49" s="46"/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37.494999999999997</v>
      </c>
      <c r="AE49" s="46">
        <f t="shared" si="2"/>
        <v>41.857500000000002</v>
      </c>
      <c r="AF49" s="46">
        <f t="shared" si="2"/>
        <v>41.101599999999998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34.801099999999998</v>
      </c>
      <c r="G50" s="72">
        <v>40.572000000000003</v>
      </c>
      <c r="H50" s="72">
        <v>39.631</v>
      </c>
      <c r="I50" s="68"/>
      <c r="J50" s="68"/>
      <c r="K50" s="69"/>
      <c r="L50" s="29"/>
      <c r="M50" s="81"/>
      <c r="N50" s="72"/>
      <c r="O50" s="72"/>
      <c r="P50" s="72"/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34.801099999999998</v>
      </c>
      <c r="AE50" s="72">
        <f t="shared" si="2"/>
        <v>40.572000000000003</v>
      </c>
      <c r="AF50" s="72">
        <f t="shared" si="2"/>
        <v>39.631</v>
      </c>
      <c r="AG50" s="68"/>
      <c r="AH50" s="68"/>
      <c r="AI50" s="69"/>
    </row>
    <row r="51" spans="1:35">
      <c r="A51" s="27"/>
      <c r="B51" s="36"/>
      <c r="C51" s="29" t="s">
        <v>12</v>
      </c>
      <c r="D51" s="32">
        <v>25</v>
      </c>
      <c r="E51" s="45">
        <v>1753.1296</v>
      </c>
      <c r="F51" s="70"/>
      <c r="G51" s="70"/>
      <c r="H51" s="70"/>
      <c r="I51" s="45">
        <v>26326.86</v>
      </c>
      <c r="J51" s="45">
        <v>50.27</v>
      </c>
      <c r="K51" s="45">
        <v>334.86</v>
      </c>
      <c r="L51" s="29"/>
      <c r="M51" s="45">
        <v>1752.9312</v>
      </c>
      <c r="N51" s="70"/>
      <c r="O51" s="70"/>
      <c r="P51" s="70"/>
      <c r="Q51" s="45">
        <v>20317.04</v>
      </c>
      <c r="R51" s="45">
        <v>54.42</v>
      </c>
      <c r="S51" s="45">
        <v>350.32</v>
      </c>
      <c r="U51" s="8"/>
      <c r="V51" s="9"/>
      <c r="W51" s="10"/>
      <c r="X51" s="29"/>
      <c r="Y51" s="61">
        <f>GEOMEAN(Q51:Q54)/GEOMEAN(I51:I54)</f>
        <v>0.80535204018950213</v>
      </c>
      <c r="Z51" s="61">
        <f>GEOMEAN(R51:R54)/GEOMEAN(J51:J54)</f>
        <v>1.1443327875765692</v>
      </c>
      <c r="AA51" s="57">
        <f>GEOMEAN(S51:S54)/GEOMEAN(K51:K54)</f>
        <v>0.9762114647137814</v>
      </c>
      <c r="AC51" s="45">
        <f>E51 -M51</f>
        <v>0.19839999999999236</v>
      </c>
      <c r="AD51" s="70"/>
      <c r="AE51" s="70"/>
      <c r="AF51" s="70"/>
      <c r="AG51" s="45">
        <f t="shared" ref="AG51:AI54" si="3">I51 -Q51</f>
        <v>6009.82</v>
      </c>
      <c r="AH51" s="45">
        <f t="shared" si="3"/>
        <v>-4.1499999999999986</v>
      </c>
      <c r="AI51" s="45">
        <f t="shared" si="3"/>
        <v>-15.45999999999998</v>
      </c>
    </row>
    <row r="52" spans="1:35">
      <c r="A52" s="27"/>
      <c r="B52" s="36"/>
      <c r="C52" s="29"/>
      <c r="D52" s="32">
        <v>30</v>
      </c>
      <c r="E52" s="46">
        <v>844.6952</v>
      </c>
      <c r="F52" s="70"/>
      <c r="G52" s="70"/>
      <c r="H52" s="70"/>
      <c r="I52" s="46">
        <v>20320.36</v>
      </c>
      <c r="J52" s="46">
        <v>45.47</v>
      </c>
      <c r="K52" s="46">
        <v>333.8</v>
      </c>
      <c r="L52" s="29"/>
      <c r="M52" s="46">
        <v>844.70719999999994</v>
      </c>
      <c r="N52" s="70"/>
      <c r="O52" s="70"/>
      <c r="P52" s="70"/>
      <c r="Q52" s="46">
        <v>14073.09</v>
      </c>
      <c r="R52" s="46">
        <v>49.96</v>
      </c>
      <c r="S52" s="46">
        <v>364.97</v>
      </c>
      <c r="U52" s="41"/>
      <c r="V52" s="42"/>
      <c r="W52" s="43"/>
      <c r="X52" s="29"/>
      <c r="Y52" s="24"/>
      <c r="Z52" s="24"/>
      <c r="AA52" s="27"/>
      <c r="AC52" s="46">
        <f>E52 -M52</f>
        <v>-1.1999999999943611E-2</v>
      </c>
      <c r="AD52" s="70"/>
      <c r="AE52" s="70"/>
      <c r="AF52" s="70"/>
      <c r="AG52" s="46">
        <f t="shared" si="3"/>
        <v>6247.27</v>
      </c>
      <c r="AH52" s="46">
        <f t="shared" si="3"/>
        <v>-4.490000000000002</v>
      </c>
      <c r="AI52" s="46">
        <f t="shared" si="3"/>
        <v>-31.170000000000016</v>
      </c>
    </row>
    <row r="53" spans="1:35">
      <c r="A53" s="27"/>
      <c r="B53" s="36"/>
      <c r="C53" s="29"/>
      <c r="D53" s="32">
        <v>35</v>
      </c>
      <c r="E53" s="46">
        <v>460.67360000000002</v>
      </c>
      <c r="F53" s="70"/>
      <c r="G53" s="70"/>
      <c r="H53" s="70"/>
      <c r="I53" s="46">
        <v>17202.990000000002</v>
      </c>
      <c r="J53" s="46">
        <v>43.54</v>
      </c>
      <c r="K53" s="46">
        <v>334.85</v>
      </c>
      <c r="L53" s="29"/>
      <c r="M53" s="46">
        <v>460.68560000000002</v>
      </c>
      <c r="N53" s="70"/>
      <c r="O53" s="70"/>
      <c r="P53" s="70"/>
      <c r="Q53" s="46">
        <v>17585.7</v>
      </c>
      <c r="R53" s="46">
        <v>83.9</v>
      </c>
      <c r="S53" s="46">
        <v>361.11</v>
      </c>
      <c r="U53" s="17"/>
      <c r="V53" s="18"/>
      <c r="W53" s="19"/>
      <c r="X53" s="29"/>
      <c r="Y53" s="24"/>
      <c r="Z53" s="24"/>
      <c r="AA53" s="27"/>
      <c r="AC53" s="46">
        <f>E53 -M53</f>
        <v>-1.2000000000000455E-2</v>
      </c>
      <c r="AD53" s="70"/>
      <c r="AE53" s="70"/>
      <c r="AF53" s="70"/>
      <c r="AG53" s="46">
        <f t="shared" si="3"/>
        <v>-382.70999999999913</v>
      </c>
      <c r="AH53" s="46">
        <f t="shared" si="3"/>
        <v>-40.360000000000007</v>
      </c>
      <c r="AI53" s="46">
        <f t="shared" si="3"/>
        <v>-26.259999999999991</v>
      </c>
    </row>
    <row r="54" spans="1:35" ht="12.75" thickBot="1">
      <c r="A54" s="27"/>
      <c r="B54" s="52"/>
      <c r="C54" s="53"/>
      <c r="D54" s="71">
        <v>40</v>
      </c>
      <c r="E54" s="72">
        <v>265.7192</v>
      </c>
      <c r="F54" s="81"/>
      <c r="G54" s="81"/>
      <c r="H54" s="81"/>
      <c r="I54" s="72">
        <v>14990.97</v>
      </c>
      <c r="J54" s="72">
        <v>39.19</v>
      </c>
      <c r="K54" s="72">
        <v>335.71</v>
      </c>
      <c r="L54" s="29"/>
      <c r="M54" s="72">
        <v>265.64</v>
      </c>
      <c r="N54" s="81"/>
      <c r="O54" s="81"/>
      <c r="P54" s="81"/>
      <c r="Q54" s="72">
        <v>11542.44</v>
      </c>
      <c r="R54" s="72">
        <v>29.32</v>
      </c>
      <c r="S54" s="72">
        <v>247.16</v>
      </c>
      <c r="U54" s="85"/>
      <c r="V54" s="86"/>
      <c r="W54" s="87"/>
      <c r="X54" s="29"/>
      <c r="Y54" s="49"/>
      <c r="Z54" s="49"/>
      <c r="AA54" s="54"/>
      <c r="AC54" s="72">
        <f>E54 -M54</f>
        <v>7.920000000001437E-2</v>
      </c>
      <c r="AD54" s="81"/>
      <c r="AE54" s="81"/>
      <c r="AF54" s="81"/>
      <c r="AG54" s="72">
        <f t="shared" si="3"/>
        <v>3448.5299999999988</v>
      </c>
      <c r="AH54" s="72">
        <f t="shared" si="3"/>
        <v>9.8699999999999974</v>
      </c>
      <c r="AI54" s="72">
        <f t="shared" si="3"/>
        <v>88.549999999999983</v>
      </c>
    </row>
    <row r="55" spans="1:35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45">
        <v>846.76080000000002</v>
      </c>
      <c r="N55" s="45">
        <v>43.604900000000001</v>
      </c>
      <c r="O55" s="45">
        <v>44.955800000000004</v>
      </c>
      <c r="P55" s="45">
        <v>44.934399999999997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46">
        <v>450.83120000000002</v>
      </c>
      <c r="N56" s="46">
        <v>41.431699999999999</v>
      </c>
      <c r="O56" s="46">
        <v>44.111400000000003</v>
      </c>
      <c r="P56" s="46">
        <v>43.4435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46">
        <v>256.22320000000002</v>
      </c>
      <c r="N57" s="46">
        <v>38.945</v>
      </c>
      <c r="O57" s="46">
        <v>43.065899999999999</v>
      </c>
      <c r="P57" s="46">
        <v>41.777799999999999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46">
        <v>153.95920000000001</v>
      </c>
      <c r="N58" s="46">
        <v>36.328800000000001</v>
      </c>
      <c r="O58" s="46">
        <v>42.261400000000002</v>
      </c>
      <c r="P58" s="46">
        <v>40.440199999999997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>
      <c r="A59" s="27"/>
      <c r="B59" s="36"/>
      <c r="C59" s="28" t="s">
        <v>27</v>
      </c>
      <c r="D59" s="31">
        <v>25</v>
      </c>
      <c r="E59" s="45">
        <v>273.98559999999998</v>
      </c>
      <c r="F59" s="45">
        <v>42.688899999999997</v>
      </c>
      <c r="G59" s="45">
        <v>44.749400000000001</v>
      </c>
      <c r="H59" s="45">
        <v>44.149299999999997</v>
      </c>
      <c r="I59" s="79"/>
      <c r="J59" s="79"/>
      <c r="K59" s="80"/>
      <c r="L59" s="29"/>
      <c r="M59" s="45">
        <v>273.98559999999998</v>
      </c>
      <c r="N59" s="45">
        <v>42.688899999999997</v>
      </c>
      <c r="O59" s="45">
        <v>44.749400000000001</v>
      </c>
      <c r="P59" s="45">
        <v>44.149299999999997</v>
      </c>
      <c r="Q59" s="79"/>
      <c r="R59" s="79"/>
      <c r="S59" s="80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9"/>
      <c r="AH59" s="79"/>
      <c r="AI59" s="80"/>
    </row>
    <row r="60" spans="1:35">
      <c r="A60" s="27"/>
      <c r="B60" s="36"/>
      <c r="C60" s="29"/>
      <c r="D60" s="32">
        <v>30</v>
      </c>
      <c r="E60" s="46">
        <v>123.11839999999999</v>
      </c>
      <c r="F60" s="46">
        <v>40.360599999999998</v>
      </c>
      <c r="G60" s="46">
        <v>43.810200000000002</v>
      </c>
      <c r="H60" s="46">
        <v>42.649299999999997</v>
      </c>
      <c r="I60" s="66"/>
      <c r="J60" s="66"/>
      <c r="K60" s="67"/>
      <c r="L60" s="29"/>
      <c r="M60" s="46">
        <v>123.11839999999999</v>
      </c>
      <c r="N60" s="46">
        <v>40.360599999999998</v>
      </c>
      <c r="O60" s="46">
        <v>43.810200000000002</v>
      </c>
      <c r="P60" s="46">
        <v>42.649299999999997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>
      <c r="A61" s="27"/>
      <c r="B61" s="36"/>
      <c r="C61" s="29"/>
      <c r="D61" s="32">
        <v>35</v>
      </c>
      <c r="E61" s="46">
        <v>64.328800000000001</v>
      </c>
      <c r="F61" s="46">
        <v>37.9236</v>
      </c>
      <c r="G61" s="46">
        <v>42.868099999999998</v>
      </c>
      <c r="H61" s="46">
        <v>41.300400000000003</v>
      </c>
      <c r="I61" s="66"/>
      <c r="J61" s="66"/>
      <c r="K61" s="67"/>
      <c r="L61" s="29"/>
      <c r="M61" s="46">
        <v>64.328800000000001</v>
      </c>
      <c r="N61" s="46">
        <v>37.9236</v>
      </c>
      <c r="O61" s="46">
        <v>42.868099999999998</v>
      </c>
      <c r="P61" s="46">
        <v>41.300400000000003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34.485599999999998</v>
      </c>
      <c r="F62" s="46">
        <v>35.371099999999998</v>
      </c>
      <c r="G62" s="46">
        <v>41.987299999999998</v>
      </c>
      <c r="H62" s="46">
        <v>39.990699999999997</v>
      </c>
      <c r="I62" s="66"/>
      <c r="J62" s="66"/>
      <c r="K62" s="67"/>
      <c r="L62" s="29"/>
      <c r="M62" s="46">
        <v>34.485599999999998</v>
      </c>
      <c r="N62" s="46">
        <v>35.371099999999998</v>
      </c>
      <c r="O62" s="46">
        <v>41.987299999999998</v>
      </c>
      <c r="P62" s="46">
        <v>39.990699999999997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>
      <c r="A63" s="27"/>
      <c r="B63" s="36"/>
      <c r="C63" s="28" t="s">
        <v>28</v>
      </c>
      <c r="D63" s="31">
        <v>25</v>
      </c>
      <c r="E63" s="45">
        <v>291.59440000000001</v>
      </c>
      <c r="F63" s="45">
        <v>42.325699999999998</v>
      </c>
      <c r="G63" s="45">
        <v>43.954700000000003</v>
      </c>
      <c r="H63" s="45">
        <v>43.890300000000003</v>
      </c>
      <c r="I63" s="79"/>
      <c r="J63" s="79"/>
      <c r="K63" s="80"/>
      <c r="L63" s="29"/>
      <c r="M63" s="45">
        <v>291.70159999999998</v>
      </c>
      <c r="N63" s="45">
        <v>42.326599999999999</v>
      </c>
      <c r="O63" s="45">
        <v>43.954599999999999</v>
      </c>
      <c r="P63" s="45">
        <v>43.891599999999997</v>
      </c>
      <c r="Q63" s="79"/>
      <c r="R63" s="79"/>
      <c r="S63" s="80"/>
      <c r="U63" s="8">
        <f>bdrate($E63:$E66,F63:F66,$M63:$M66,N63:N66)</f>
        <v>-5.1468932445808413E-4</v>
      </c>
      <c r="V63" s="9">
        <f>bdrate($E63:$E66,G63:G66,$M63:$M66,O63:O66)</f>
        <v>-8.376866356601953E-4</v>
      </c>
      <c r="W63" s="10">
        <f>bdrate($E63:$E66,H63:H66,$M63:$M66,P63:P66)</f>
        <v>-4.8272528346648969E-4</v>
      </c>
      <c r="X63" s="29"/>
      <c r="Y63" s="24"/>
      <c r="Z63" s="24"/>
      <c r="AA63" s="27"/>
      <c r="AC63" s="45">
        <f t="shared" si="5"/>
        <v>-0.10719999999997754</v>
      </c>
      <c r="AD63" s="45">
        <f t="shared" si="4"/>
        <v>-9.0000000000145519E-4</v>
      </c>
      <c r="AE63" s="45">
        <f t="shared" si="4"/>
        <v>1.0000000000331966E-4</v>
      </c>
      <c r="AF63" s="45">
        <f t="shared" si="4"/>
        <v>-1.2999999999934175E-3</v>
      </c>
      <c r="AG63" s="79"/>
      <c r="AH63" s="79"/>
      <c r="AI63" s="80"/>
    </row>
    <row r="64" spans="1:35">
      <c r="A64" s="27"/>
      <c r="B64" s="36"/>
      <c r="C64" s="29"/>
      <c r="D64" s="32">
        <v>30</v>
      </c>
      <c r="E64" s="46">
        <v>129.3312</v>
      </c>
      <c r="F64" s="46">
        <v>40.1111</v>
      </c>
      <c r="G64" s="46">
        <v>42.980899999999998</v>
      </c>
      <c r="H64" s="46">
        <v>42.445500000000003</v>
      </c>
      <c r="I64" s="66"/>
      <c r="J64" s="66"/>
      <c r="K64" s="67"/>
      <c r="L64" s="29"/>
      <c r="M64" s="46">
        <v>129.30879999999999</v>
      </c>
      <c r="N64" s="46">
        <v>40.110599999999998</v>
      </c>
      <c r="O64" s="46">
        <v>42.980600000000003</v>
      </c>
      <c r="P64" s="46">
        <v>42.445500000000003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2.2400000000004638E-2</v>
      </c>
      <c r="AD64" s="46">
        <f t="shared" si="4"/>
        <v>5.0000000000238742E-4</v>
      </c>
      <c r="AE64" s="46">
        <f t="shared" si="4"/>
        <v>2.9999999999574811E-4</v>
      </c>
      <c r="AF64" s="46">
        <f t="shared" si="4"/>
        <v>0</v>
      </c>
      <c r="AG64" s="66"/>
      <c r="AH64" s="66"/>
      <c r="AI64" s="67"/>
    </row>
    <row r="65" spans="1:35">
      <c r="A65" s="27"/>
      <c r="B65" s="36"/>
      <c r="C65" s="29"/>
      <c r="D65" s="32">
        <v>35</v>
      </c>
      <c r="E65" s="46">
        <v>67.217600000000004</v>
      </c>
      <c r="F65" s="46">
        <v>37.7348</v>
      </c>
      <c r="G65" s="46">
        <v>42.206600000000002</v>
      </c>
      <c r="H65" s="46">
        <v>41.2</v>
      </c>
      <c r="I65" s="66"/>
      <c r="J65" s="66"/>
      <c r="K65" s="67"/>
      <c r="L65" s="29"/>
      <c r="M65" s="46">
        <v>67.134399999999999</v>
      </c>
      <c r="N65" s="46">
        <v>37.734699999999997</v>
      </c>
      <c r="O65" s="46">
        <v>42.2074</v>
      </c>
      <c r="P65" s="46">
        <v>41.199300000000001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8.3200000000005048E-2</v>
      </c>
      <c r="AD65" s="46">
        <f t="shared" si="4"/>
        <v>1.0000000000331966E-4</v>
      </c>
      <c r="AE65" s="46">
        <f t="shared" si="4"/>
        <v>-7.9999999999813554E-4</v>
      </c>
      <c r="AF65" s="46">
        <f t="shared" si="4"/>
        <v>7.0000000000192131E-4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35.821599999999997</v>
      </c>
      <c r="F66" s="72">
        <v>35.237699999999997</v>
      </c>
      <c r="G66" s="72">
        <v>41.371200000000002</v>
      </c>
      <c r="H66" s="72">
        <v>39.947099999999999</v>
      </c>
      <c r="I66" s="68"/>
      <c r="J66" s="68"/>
      <c r="K66" s="69"/>
      <c r="L66" s="29"/>
      <c r="M66" s="72">
        <v>35.8048</v>
      </c>
      <c r="N66" s="72">
        <v>35.236699999999999</v>
      </c>
      <c r="O66" s="72">
        <v>41.374000000000002</v>
      </c>
      <c r="P66" s="72">
        <v>39.947099999999999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1.6799999999996373E-2</v>
      </c>
      <c r="AD66" s="72">
        <f t="shared" si="4"/>
        <v>9.9999999999766942E-4</v>
      </c>
      <c r="AE66" s="72">
        <f t="shared" si="4"/>
        <v>-2.8000000000005798E-3</v>
      </c>
      <c r="AF66" s="72">
        <f t="shared" si="4"/>
        <v>0</v>
      </c>
      <c r="AG66" s="68"/>
      <c r="AH66" s="68"/>
      <c r="AI66" s="69"/>
    </row>
    <row r="67" spans="1:35">
      <c r="A67" s="27"/>
      <c r="B67" s="36"/>
      <c r="C67" s="28" t="s">
        <v>29</v>
      </c>
      <c r="D67" s="31">
        <v>34</v>
      </c>
      <c r="E67" s="45">
        <v>136.2544</v>
      </c>
      <c r="F67" s="45">
        <v>39.186799999999998</v>
      </c>
      <c r="G67" s="78"/>
      <c r="H67" s="78"/>
      <c r="I67" s="79"/>
      <c r="J67" s="79"/>
      <c r="K67" s="80"/>
      <c r="L67" s="29"/>
      <c r="M67" s="45">
        <v>136.2544</v>
      </c>
      <c r="N67" s="45">
        <v>39.186799999999998</v>
      </c>
      <c r="O67" s="78">
        <v>99.99</v>
      </c>
      <c r="P67" s="78">
        <v>99.99</v>
      </c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C67" s="45">
        <f t="shared" si="5"/>
        <v>0</v>
      </c>
      <c r="AD67" s="45">
        <f t="shared" si="4"/>
        <v>0</v>
      </c>
      <c r="AE67" s="78"/>
      <c r="AF67" s="78"/>
      <c r="AG67" s="79"/>
      <c r="AH67" s="79"/>
      <c r="AI67" s="80"/>
    </row>
    <row r="68" spans="1:35">
      <c r="A68" s="27"/>
      <c r="B68" s="36"/>
      <c r="C68" s="29"/>
      <c r="D68" s="32">
        <v>39</v>
      </c>
      <c r="E68" s="46">
        <v>47.791200000000003</v>
      </c>
      <c r="F68" s="46">
        <v>35.172199999999997</v>
      </c>
      <c r="G68" s="70"/>
      <c r="H68" s="70"/>
      <c r="I68" s="66"/>
      <c r="J68" s="66"/>
      <c r="K68" s="67"/>
      <c r="L68" s="29"/>
      <c r="M68" s="46">
        <v>47.791200000000003</v>
      </c>
      <c r="N68" s="46">
        <v>35.172199999999997</v>
      </c>
      <c r="O68" s="70">
        <v>99.99</v>
      </c>
      <c r="P68" s="70">
        <v>99.99</v>
      </c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</v>
      </c>
      <c r="AD68" s="46">
        <f t="shared" si="4"/>
        <v>0</v>
      </c>
      <c r="AE68" s="70"/>
      <c r="AF68" s="70"/>
      <c r="AG68" s="66"/>
      <c r="AH68" s="66"/>
      <c r="AI68" s="67"/>
    </row>
    <row r="69" spans="1:35">
      <c r="A69" s="27"/>
      <c r="B69" s="36"/>
      <c r="C69" s="29"/>
      <c r="D69" s="32">
        <v>42</v>
      </c>
      <c r="E69" s="46">
        <v>20.532</v>
      </c>
      <c r="F69" s="46">
        <v>32.239699999999999</v>
      </c>
      <c r="G69" s="70"/>
      <c r="H69" s="70"/>
      <c r="I69" s="66"/>
      <c r="J69" s="66"/>
      <c r="K69" s="67"/>
      <c r="L69" s="29"/>
      <c r="M69" s="46">
        <v>20.532</v>
      </c>
      <c r="N69" s="46">
        <v>32.239699999999999</v>
      </c>
      <c r="O69" s="70">
        <v>99.99</v>
      </c>
      <c r="P69" s="70">
        <v>99.99</v>
      </c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</v>
      </c>
      <c r="AD69" s="46">
        <f t="shared" si="4"/>
        <v>0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9.8455999999999992</v>
      </c>
      <c r="F70" s="46">
        <v>29.7242</v>
      </c>
      <c r="G70" s="70"/>
      <c r="H70" s="70"/>
      <c r="I70" s="66"/>
      <c r="J70" s="66"/>
      <c r="K70" s="67"/>
      <c r="L70" s="29"/>
      <c r="M70" s="46">
        <v>9.8455999999999992</v>
      </c>
      <c r="N70" s="46">
        <v>29.7242</v>
      </c>
      <c r="O70" s="70">
        <v>99.99</v>
      </c>
      <c r="P70" s="70">
        <v>99.99</v>
      </c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>
      <c r="A71" s="27"/>
      <c r="B71" s="36"/>
      <c r="C71" s="28" t="s">
        <v>30</v>
      </c>
      <c r="D71" s="31">
        <v>34</v>
      </c>
      <c r="E71" s="45">
        <v>107.8464</v>
      </c>
      <c r="F71" s="45">
        <v>36.156100000000002</v>
      </c>
      <c r="G71" s="78"/>
      <c r="H71" s="78"/>
      <c r="I71" s="79"/>
      <c r="J71" s="79"/>
      <c r="K71" s="80"/>
      <c r="L71" s="29"/>
      <c r="M71" s="45">
        <v>107.8464</v>
      </c>
      <c r="N71" s="45">
        <v>36.156100000000002</v>
      </c>
      <c r="O71" s="78">
        <v>99.99</v>
      </c>
      <c r="P71" s="78">
        <v>99.99</v>
      </c>
      <c r="Q71" s="79"/>
      <c r="R71" s="79"/>
      <c r="S71" s="80"/>
      <c r="U71" s="8">
        <f>bdrate($E71:$E74,F71:F74,$M71:$M74,N71:N74)</f>
        <v>0</v>
      </c>
      <c r="V71" s="9"/>
      <c r="W71" s="10"/>
      <c r="X71" s="29"/>
      <c r="Y71" s="24"/>
      <c r="Z71" s="24"/>
      <c r="AA71" s="27"/>
      <c r="AC71" s="45">
        <f t="shared" si="5"/>
        <v>0</v>
      </c>
      <c r="AD71" s="45">
        <f t="shared" si="4"/>
        <v>0</v>
      </c>
      <c r="AE71" s="78"/>
      <c r="AF71" s="78"/>
      <c r="AG71" s="79"/>
      <c r="AH71" s="79"/>
      <c r="AI71" s="80"/>
    </row>
    <row r="72" spans="1:35">
      <c r="A72" s="27"/>
      <c r="B72" s="36"/>
      <c r="C72" s="29"/>
      <c r="D72" s="32">
        <v>39</v>
      </c>
      <c r="E72" s="46">
        <v>35.779200000000003</v>
      </c>
      <c r="F72" s="46">
        <v>32.207500000000003</v>
      </c>
      <c r="G72" s="70"/>
      <c r="H72" s="70"/>
      <c r="I72" s="66"/>
      <c r="J72" s="66"/>
      <c r="K72" s="67"/>
      <c r="L72" s="29"/>
      <c r="M72" s="46">
        <v>35.779200000000003</v>
      </c>
      <c r="N72" s="46">
        <v>32.207500000000003</v>
      </c>
      <c r="O72" s="70">
        <v>99.99</v>
      </c>
      <c r="P72" s="70">
        <v>99.99</v>
      </c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0</v>
      </c>
      <c r="AD72" s="46">
        <f t="shared" si="4"/>
        <v>0</v>
      </c>
      <c r="AE72" s="70"/>
      <c r="AF72" s="70"/>
      <c r="AG72" s="66"/>
      <c r="AH72" s="66"/>
      <c r="AI72" s="67"/>
    </row>
    <row r="73" spans="1:35">
      <c r="A73" s="27"/>
      <c r="B73" s="36"/>
      <c r="C73" s="29"/>
      <c r="D73" s="32">
        <v>42</v>
      </c>
      <c r="E73" s="46">
        <v>15.409599999999999</v>
      </c>
      <c r="F73" s="46">
        <v>29.548200000000001</v>
      </c>
      <c r="G73" s="70"/>
      <c r="H73" s="70"/>
      <c r="I73" s="66"/>
      <c r="J73" s="66"/>
      <c r="K73" s="67"/>
      <c r="L73" s="29"/>
      <c r="M73" s="46">
        <v>15.409599999999999</v>
      </c>
      <c r="N73" s="46">
        <v>29.548200000000001</v>
      </c>
      <c r="O73" s="70">
        <v>99.99</v>
      </c>
      <c r="P73" s="70">
        <v>99.99</v>
      </c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0</v>
      </c>
      <c r="AD73" s="46">
        <f t="shared" si="4"/>
        <v>0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7.2656000000000001</v>
      </c>
      <c r="F74" s="46">
        <v>26.911899999999999</v>
      </c>
      <c r="G74" s="70"/>
      <c r="H74" s="70"/>
      <c r="I74" s="66"/>
      <c r="J74" s="66"/>
      <c r="K74" s="67"/>
      <c r="L74" s="29"/>
      <c r="M74" s="46">
        <v>7.2656000000000001</v>
      </c>
      <c r="N74" s="46">
        <v>26.911899999999999</v>
      </c>
      <c r="O74" s="70">
        <v>99.99</v>
      </c>
      <c r="P74" s="70">
        <v>99.99</v>
      </c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</v>
      </c>
      <c r="AD74" s="46">
        <f t="shared" si="4"/>
        <v>0</v>
      </c>
      <c r="AE74" s="70"/>
      <c r="AF74" s="70"/>
      <c r="AG74" s="66"/>
      <c r="AH74" s="66"/>
      <c r="AI74" s="67"/>
    </row>
    <row r="75" spans="1:35">
      <c r="A75" s="27"/>
      <c r="B75" s="36"/>
      <c r="C75" s="28" t="s">
        <v>31</v>
      </c>
      <c r="D75" s="31">
        <v>34</v>
      </c>
      <c r="E75" s="45">
        <v>125.68640000000001</v>
      </c>
      <c r="F75" s="45">
        <v>35.317300000000003</v>
      </c>
      <c r="G75" s="78"/>
      <c r="H75" s="78"/>
      <c r="I75" s="79"/>
      <c r="J75" s="79"/>
      <c r="K75" s="80"/>
      <c r="L75" s="29"/>
      <c r="M75" s="45">
        <v>125.3432</v>
      </c>
      <c r="N75" s="45">
        <v>35.308199999999999</v>
      </c>
      <c r="O75" s="78">
        <v>99.99</v>
      </c>
      <c r="P75" s="78">
        <v>99.99</v>
      </c>
      <c r="Q75" s="79"/>
      <c r="R75" s="79"/>
      <c r="S75" s="80"/>
      <c r="U75" s="8">
        <f>bdrate($E75:$E78,F75:F78,$M75:$M78,N75:N78)</f>
        <v>-7.315980249779086E-4</v>
      </c>
      <c r="V75" s="9"/>
      <c r="W75" s="10"/>
      <c r="X75" s="29"/>
      <c r="Y75" s="24"/>
      <c r="Z75" s="24"/>
      <c r="AA75" s="27"/>
      <c r="AC75" s="45">
        <f t="shared" si="5"/>
        <v>0.34320000000001016</v>
      </c>
      <c r="AD75" s="45">
        <f t="shared" si="4"/>
        <v>9.1000000000036607E-3</v>
      </c>
      <c r="AE75" s="78"/>
      <c r="AF75" s="78"/>
      <c r="AG75" s="79"/>
      <c r="AH75" s="79"/>
      <c r="AI75" s="80"/>
    </row>
    <row r="76" spans="1:35">
      <c r="A76" s="27"/>
      <c r="B76" s="36"/>
      <c r="C76" s="29"/>
      <c r="D76" s="32">
        <v>39</v>
      </c>
      <c r="E76" s="46">
        <v>41.197600000000001</v>
      </c>
      <c r="F76" s="46">
        <v>31.478400000000001</v>
      </c>
      <c r="G76" s="70"/>
      <c r="H76" s="70"/>
      <c r="I76" s="66"/>
      <c r="J76" s="66"/>
      <c r="K76" s="67"/>
      <c r="L76" s="29"/>
      <c r="M76" s="46">
        <v>41.192</v>
      </c>
      <c r="N76" s="46">
        <v>31.477599999999999</v>
      </c>
      <c r="O76" s="70">
        <v>99.99</v>
      </c>
      <c r="P76" s="70">
        <v>99.99</v>
      </c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5.6000000000011596E-3</v>
      </c>
      <c r="AD76" s="46">
        <f t="shared" si="4"/>
        <v>8.0000000000168825E-4</v>
      </c>
      <c r="AE76" s="70"/>
      <c r="AF76" s="70"/>
      <c r="AG76" s="66"/>
      <c r="AH76" s="66"/>
      <c r="AI76" s="67"/>
    </row>
    <row r="77" spans="1:35">
      <c r="A77" s="27"/>
      <c r="B77" s="36"/>
      <c r="C77" s="29"/>
      <c r="D77" s="32">
        <v>42</v>
      </c>
      <c r="E77" s="46">
        <v>17.244</v>
      </c>
      <c r="F77" s="46">
        <v>28.772300000000001</v>
      </c>
      <c r="G77" s="70"/>
      <c r="H77" s="70"/>
      <c r="I77" s="66"/>
      <c r="J77" s="66"/>
      <c r="K77" s="67"/>
      <c r="L77" s="29"/>
      <c r="M77" s="46">
        <v>17.1968</v>
      </c>
      <c r="N77" s="46">
        <v>28.772600000000001</v>
      </c>
      <c r="O77" s="70">
        <v>99.99</v>
      </c>
      <c r="P77" s="70">
        <v>99.99</v>
      </c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4.7200000000000131E-2</v>
      </c>
      <c r="AD77" s="46">
        <f t="shared" si="4"/>
        <v>-2.9999999999930083E-4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8.2015999999999991</v>
      </c>
      <c r="F78" s="46">
        <v>26.187200000000001</v>
      </c>
      <c r="G78" s="70"/>
      <c r="H78" s="70"/>
      <c r="I78" s="66"/>
      <c r="J78" s="66"/>
      <c r="K78" s="67"/>
      <c r="L78" s="29"/>
      <c r="M78" s="46">
        <v>8.2040000000000006</v>
      </c>
      <c r="N78" s="46">
        <v>26.184899999999999</v>
      </c>
      <c r="O78" s="70">
        <v>99.99</v>
      </c>
      <c r="P78" s="70">
        <v>99.99</v>
      </c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-2.400000000001512E-3</v>
      </c>
      <c r="AD78" s="46">
        <f t="shared" si="4"/>
        <v>2.3000000000017451E-3</v>
      </c>
      <c r="AE78" s="46"/>
      <c r="AF78" s="46"/>
      <c r="AG78" s="66"/>
      <c r="AH78" s="66"/>
      <c r="AI78" s="67"/>
    </row>
    <row r="79" spans="1:35">
      <c r="A79" s="27"/>
      <c r="B79" s="36"/>
      <c r="C79" s="28" t="s">
        <v>47</v>
      </c>
      <c r="D79" s="31">
        <v>25</v>
      </c>
      <c r="E79" s="78"/>
      <c r="F79" s="45">
        <v>42.764200000000002</v>
      </c>
      <c r="G79" s="45">
        <v>46.9908</v>
      </c>
      <c r="H79" s="45">
        <v>45.778599999999997</v>
      </c>
      <c r="I79" s="79"/>
      <c r="J79" s="79"/>
      <c r="K79" s="80"/>
      <c r="L79" s="29"/>
      <c r="M79" s="78"/>
      <c r="N79" s="45"/>
      <c r="O79" s="45"/>
      <c r="P79" s="45"/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42.764200000000002</v>
      </c>
      <c r="AE79" s="45">
        <f t="shared" si="4"/>
        <v>46.9908</v>
      </c>
      <c r="AF79" s="45">
        <f t="shared" si="4"/>
        <v>45.778599999999997</v>
      </c>
      <c r="AG79" s="79"/>
      <c r="AH79" s="79"/>
      <c r="AI79" s="80"/>
    </row>
    <row r="80" spans="1:35">
      <c r="A80" s="27"/>
      <c r="B80" s="36"/>
      <c r="C80" s="29"/>
      <c r="D80" s="32">
        <v>30</v>
      </c>
      <c r="E80" s="70"/>
      <c r="F80" s="46">
        <v>40.5291</v>
      </c>
      <c r="G80" s="46">
        <v>45.821599999999997</v>
      </c>
      <c r="H80" s="46">
        <v>44.030999999999999</v>
      </c>
      <c r="I80" s="66"/>
      <c r="J80" s="66"/>
      <c r="K80" s="67"/>
      <c r="L80" s="29"/>
      <c r="M80" s="70"/>
      <c r="N80" s="46"/>
      <c r="O80" s="46"/>
      <c r="P80" s="46"/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40.5291</v>
      </c>
      <c r="AE80" s="46">
        <f t="shared" si="4"/>
        <v>45.821599999999997</v>
      </c>
      <c r="AF80" s="46">
        <f t="shared" si="4"/>
        <v>44.030999999999999</v>
      </c>
      <c r="AG80" s="66"/>
      <c r="AH80" s="66"/>
      <c r="AI80" s="67"/>
    </row>
    <row r="81" spans="1:35">
      <c r="A81" s="27"/>
      <c r="B81" s="36"/>
      <c r="C81" s="29"/>
      <c r="D81" s="32">
        <v>35</v>
      </c>
      <c r="E81" s="70"/>
      <c r="F81" s="46">
        <v>38.181600000000003</v>
      </c>
      <c r="G81" s="46">
        <v>44.596800000000002</v>
      </c>
      <c r="H81" s="46">
        <v>42.487499999999997</v>
      </c>
      <c r="I81" s="66"/>
      <c r="J81" s="66"/>
      <c r="K81" s="67"/>
      <c r="L81" s="29"/>
      <c r="M81" s="70"/>
      <c r="N81" s="46"/>
      <c r="O81" s="46"/>
      <c r="P81" s="46"/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38.181600000000003</v>
      </c>
      <c r="AE81" s="46">
        <f t="shared" si="4"/>
        <v>44.596800000000002</v>
      </c>
      <c r="AF81" s="46">
        <f t="shared" si="4"/>
        <v>42.487499999999997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35.694400000000002</v>
      </c>
      <c r="G82" s="72">
        <v>43.636400000000002</v>
      </c>
      <c r="H82" s="72">
        <v>41.042000000000002</v>
      </c>
      <c r="I82" s="68"/>
      <c r="J82" s="68"/>
      <c r="K82" s="69"/>
      <c r="L82" s="29"/>
      <c r="M82" s="81"/>
      <c r="N82" s="72"/>
      <c r="O82" s="72"/>
      <c r="P82" s="72"/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35.694400000000002</v>
      </c>
      <c r="AE82" s="72">
        <f t="shared" si="4"/>
        <v>43.636400000000002</v>
      </c>
      <c r="AF82" s="72">
        <f t="shared" si="4"/>
        <v>41.042000000000002</v>
      </c>
      <c r="AG82" s="68"/>
      <c r="AH82" s="68"/>
      <c r="AI82" s="69"/>
    </row>
    <row r="83" spans="1:35">
      <c r="A83" s="27"/>
      <c r="B83" s="36"/>
      <c r="C83" s="29" t="s">
        <v>48</v>
      </c>
      <c r="D83" s="32">
        <v>25</v>
      </c>
      <c r="E83" s="70"/>
      <c r="F83" s="45">
        <v>43.473599999999998</v>
      </c>
      <c r="G83" s="45">
        <v>47.595599999999997</v>
      </c>
      <c r="H83" s="45">
        <v>46.609299999999998</v>
      </c>
      <c r="I83" s="66"/>
      <c r="J83" s="66"/>
      <c r="K83" s="67"/>
      <c r="L83" s="29"/>
      <c r="M83" s="70"/>
      <c r="N83" s="45"/>
      <c r="O83" s="45"/>
      <c r="P83" s="45"/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43.473599999999998</v>
      </c>
      <c r="AE83" s="45">
        <f t="shared" si="4"/>
        <v>47.595599999999997</v>
      </c>
      <c r="AF83" s="45">
        <f t="shared" si="4"/>
        <v>46.609299999999998</v>
      </c>
      <c r="AG83" s="66"/>
      <c r="AH83" s="66"/>
      <c r="AI83" s="67"/>
    </row>
    <row r="84" spans="1:35">
      <c r="A84" s="27"/>
      <c r="B84" s="36"/>
      <c r="C84" s="29"/>
      <c r="D84" s="32">
        <v>30</v>
      </c>
      <c r="E84" s="70"/>
      <c r="F84" s="46">
        <v>41.087499999999999</v>
      </c>
      <c r="G84" s="46">
        <v>46.330199999999998</v>
      </c>
      <c r="H84" s="46">
        <v>44.764099999999999</v>
      </c>
      <c r="I84" s="66"/>
      <c r="J84" s="66"/>
      <c r="K84" s="67"/>
      <c r="L84" s="29"/>
      <c r="M84" s="70"/>
      <c r="N84" s="46"/>
      <c r="O84" s="46"/>
      <c r="P84" s="46"/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41.087499999999999</v>
      </c>
      <c r="AE84" s="46">
        <f t="shared" si="4"/>
        <v>46.330199999999998</v>
      </c>
      <c r="AF84" s="46">
        <f t="shared" si="4"/>
        <v>44.764099999999999</v>
      </c>
      <c r="AG84" s="66"/>
      <c r="AH84" s="66"/>
      <c r="AI84" s="67"/>
    </row>
    <row r="85" spans="1:35">
      <c r="A85" s="27"/>
      <c r="B85" s="36"/>
      <c r="C85" s="29"/>
      <c r="D85" s="32">
        <v>35</v>
      </c>
      <c r="E85" s="70"/>
      <c r="F85" s="46">
        <v>38.608800000000002</v>
      </c>
      <c r="G85" s="46">
        <v>44.954099999999997</v>
      </c>
      <c r="H85" s="46">
        <v>42.984200000000001</v>
      </c>
      <c r="I85" s="66"/>
      <c r="J85" s="66"/>
      <c r="K85" s="67"/>
      <c r="L85" s="29"/>
      <c r="M85" s="70"/>
      <c r="N85" s="46"/>
      <c r="O85" s="46"/>
      <c r="P85" s="46"/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38.608800000000002</v>
      </c>
      <c r="AE85" s="46">
        <f t="shared" si="4"/>
        <v>44.954099999999997</v>
      </c>
      <c r="AF85" s="46">
        <f t="shared" si="4"/>
        <v>42.984200000000001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36.015799999999999</v>
      </c>
      <c r="G86" s="72">
        <v>43.904000000000003</v>
      </c>
      <c r="H86" s="72">
        <v>41.4452</v>
      </c>
      <c r="I86" s="68"/>
      <c r="J86" s="68"/>
      <c r="K86" s="69"/>
      <c r="L86" s="29"/>
      <c r="M86" s="81"/>
      <c r="N86" s="46"/>
      <c r="O86" s="72"/>
      <c r="P86" s="72"/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36.015799999999999</v>
      </c>
      <c r="AE86" s="46">
        <f t="shared" si="4"/>
        <v>43.904000000000003</v>
      </c>
      <c r="AF86" s="46">
        <f t="shared" si="4"/>
        <v>41.4452</v>
      </c>
      <c r="AG86" s="68"/>
      <c r="AH86" s="68"/>
      <c r="AI86" s="69"/>
    </row>
    <row r="87" spans="1:35">
      <c r="A87" s="27"/>
      <c r="B87" s="36"/>
      <c r="C87" s="29" t="s">
        <v>49</v>
      </c>
      <c r="D87" s="32">
        <v>25</v>
      </c>
      <c r="E87" s="70"/>
      <c r="F87" s="45">
        <v>43.646099999999997</v>
      </c>
      <c r="G87" s="45">
        <v>47.049700000000001</v>
      </c>
      <c r="H87" s="45">
        <v>46.538600000000002</v>
      </c>
      <c r="I87" s="66"/>
      <c r="J87" s="66"/>
      <c r="K87" s="67"/>
      <c r="L87" s="29"/>
      <c r="M87" s="70"/>
      <c r="N87" s="45"/>
      <c r="O87" s="45"/>
      <c r="P87" s="45"/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43.646099999999997</v>
      </c>
      <c r="AE87" s="45">
        <f t="shared" si="4"/>
        <v>47.049700000000001</v>
      </c>
      <c r="AF87" s="45">
        <f t="shared" si="4"/>
        <v>46.538600000000002</v>
      </c>
      <c r="AG87" s="66"/>
      <c r="AH87" s="66"/>
      <c r="AI87" s="67"/>
    </row>
    <row r="88" spans="1:35">
      <c r="A88" s="27"/>
      <c r="B88" s="36"/>
      <c r="C88" s="29"/>
      <c r="D88" s="32">
        <v>30</v>
      </c>
      <c r="E88" s="70"/>
      <c r="F88" s="46">
        <v>41.355200000000004</v>
      </c>
      <c r="G88" s="46">
        <v>46.000300000000003</v>
      </c>
      <c r="H88" s="46">
        <v>44.802999999999997</v>
      </c>
      <c r="I88" s="66"/>
      <c r="J88" s="66"/>
      <c r="K88" s="67"/>
      <c r="L88" s="29"/>
      <c r="M88" s="70"/>
      <c r="N88" s="46"/>
      <c r="O88" s="46"/>
      <c r="P88" s="46"/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41.355200000000004</v>
      </c>
      <c r="AE88" s="46">
        <f t="shared" si="4"/>
        <v>46.000300000000003</v>
      </c>
      <c r="AF88" s="46">
        <f t="shared" si="4"/>
        <v>44.802999999999997</v>
      </c>
      <c r="AG88" s="66"/>
      <c r="AH88" s="66"/>
      <c r="AI88" s="67"/>
    </row>
    <row r="89" spans="1:35">
      <c r="A89" s="27"/>
      <c r="B89" s="36"/>
      <c r="C89" s="29"/>
      <c r="D89" s="32">
        <v>35</v>
      </c>
      <c r="E89" s="70"/>
      <c r="F89" s="46">
        <v>38.860700000000001</v>
      </c>
      <c r="G89" s="46">
        <v>44.715400000000002</v>
      </c>
      <c r="H89" s="46">
        <v>42.967100000000002</v>
      </c>
      <c r="I89" s="66"/>
      <c r="J89" s="66"/>
      <c r="K89" s="67"/>
      <c r="L89" s="29"/>
      <c r="M89" s="70"/>
      <c r="N89" s="46"/>
      <c r="O89" s="46"/>
      <c r="P89" s="46"/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38.860700000000001</v>
      </c>
      <c r="AE89" s="46">
        <f t="shared" si="4"/>
        <v>44.715400000000002</v>
      </c>
      <c r="AF89" s="46">
        <f t="shared" si="4"/>
        <v>42.967100000000002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36.246299999999998</v>
      </c>
      <c r="G90" s="72">
        <v>43.767400000000002</v>
      </c>
      <c r="H90" s="72">
        <v>41.450400000000002</v>
      </c>
      <c r="I90" s="68"/>
      <c r="J90" s="68"/>
      <c r="K90" s="69"/>
      <c r="L90" s="29"/>
      <c r="M90" s="81"/>
      <c r="N90" s="46"/>
      <c r="O90" s="72"/>
      <c r="P90" s="72"/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36.246299999999998</v>
      </c>
      <c r="AE90" s="46">
        <f t="shared" si="4"/>
        <v>43.767400000000002</v>
      </c>
      <c r="AF90" s="46">
        <f t="shared" si="4"/>
        <v>41.450400000000002</v>
      </c>
      <c r="AG90" s="68"/>
      <c r="AH90" s="68"/>
      <c r="AI90" s="69"/>
    </row>
    <row r="91" spans="1:35">
      <c r="A91" s="27"/>
      <c r="B91" s="36"/>
      <c r="C91" s="29" t="s">
        <v>50</v>
      </c>
      <c r="D91" s="32">
        <v>25</v>
      </c>
      <c r="E91" s="70"/>
      <c r="F91" s="45">
        <v>43.478000000000002</v>
      </c>
      <c r="G91" s="45">
        <v>47.0383</v>
      </c>
      <c r="H91" s="45">
        <v>46.5991</v>
      </c>
      <c r="I91" s="66"/>
      <c r="J91" s="66"/>
      <c r="K91" s="67"/>
      <c r="L91" s="29"/>
      <c r="M91" s="70"/>
      <c r="N91" s="45"/>
      <c r="O91" s="45"/>
      <c r="P91" s="45"/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43.478000000000002</v>
      </c>
      <c r="AE91" s="45">
        <f t="shared" si="4"/>
        <v>47.0383</v>
      </c>
      <c r="AF91" s="45">
        <f t="shared" si="4"/>
        <v>46.5991</v>
      </c>
      <c r="AG91" s="66"/>
      <c r="AH91" s="66"/>
      <c r="AI91" s="67"/>
    </row>
    <row r="92" spans="1:35">
      <c r="A92" s="27"/>
      <c r="B92" s="36"/>
      <c r="C92" s="29"/>
      <c r="D92" s="32">
        <v>30</v>
      </c>
      <c r="E92" s="70"/>
      <c r="F92" s="46">
        <v>41.1907</v>
      </c>
      <c r="G92" s="46">
        <v>46.0227</v>
      </c>
      <c r="H92" s="46">
        <v>44.852699999999999</v>
      </c>
      <c r="I92" s="66"/>
      <c r="J92" s="66"/>
      <c r="K92" s="67"/>
      <c r="L92" s="29"/>
      <c r="M92" s="70"/>
      <c r="N92" s="46"/>
      <c r="O92" s="46"/>
      <c r="P92" s="46"/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41.1907</v>
      </c>
      <c r="AE92" s="46">
        <f t="shared" si="4"/>
        <v>46.0227</v>
      </c>
      <c r="AF92" s="46">
        <f t="shared" si="4"/>
        <v>44.852699999999999</v>
      </c>
      <c r="AG92" s="66"/>
      <c r="AH92" s="66"/>
      <c r="AI92" s="67"/>
    </row>
    <row r="93" spans="1:35">
      <c r="A93" s="27"/>
      <c r="B93" s="36"/>
      <c r="C93" s="29"/>
      <c r="D93" s="32">
        <v>35</v>
      </c>
      <c r="E93" s="70"/>
      <c r="F93" s="46">
        <v>38.706899999999997</v>
      </c>
      <c r="G93" s="46">
        <v>44.770099999999999</v>
      </c>
      <c r="H93" s="46">
        <v>42.982999999999997</v>
      </c>
      <c r="I93" s="66"/>
      <c r="J93" s="66"/>
      <c r="K93" s="67"/>
      <c r="L93" s="29"/>
      <c r="M93" s="70"/>
      <c r="N93" s="46"/>
      <c r="O93" s="46"/>
      <c r="P93" s="46"/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38.706899999999997</v>
      </c>
      <c r="AE93" s="46">
        <f t="shared" si="4"/>
        <v>44.770099999999999</v>
      </c>
      <c r="AF93" s="46">
        <f t="shared" si="4"/>
        <v>42.982999999999997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36.101999999999997</v>
      </c>
      <c r="G94" s="72">
        <v>43.794699999999999</v>
      </c>
      <c r="H94" s="72">
        <v>41.435899999999997</v>
      </c>
      <c r="I94" s="68"/>
      <c r="J94" s="68"/>
      <c r="K94" s="69"/>
      <c r="L94" s="29"/>
      <c r="M94" s="81"/>
      <c r="N94" s="46"/>
      <c r="O94" s="72"/>
      <c r="P94" s="72"/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36.101999999999997</v>
      </c>
      <c r="AE94" s="46">
        <f t="shared" si="4"/>
        <v>43.794699999999999</v>
      </c>
      <c r="AF94" s="46">
        <f t="shared" si="4"/>
        <v>41.435899999999997</v>
      </c>
      <c r="AG94" s="68"/>
      <c r="AH94" s="68"/>
      <c r="AI94" s="69"/>
    </row>
    <row r="95" spans="1:35">
      <c r="A95" s="27"/>
      <c r="B95" s="36"/>
      <c r="C95" s="29" t="s">
        <v>51</v>
      </c>
      <c r="D95" s="32">
        <v>25</v>
      </c>
      <c r="E95" s="70"/>
      <c r="F95" s="45">
        <v>43.212200000000003</v>
      </c>
      <c r="G95" s="45">
        <v>47.302300000000002</v>
      </c>
      <c r="H95" s="45">
        <v>46.604100000000003</v>
      </c>
      <c r="I95" s="66"/>
      <c r="J95" s="66"/>
      <c r="K95" s="67"/>
      <c r="L95" s="29"/>
      <c r="M95" s="70"/>
      <c r="N95" s="45"/>
      <c r="O95" s="45"/>
      <c r="P95" s="45"/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43.212200000000003</v>
      </c>
      <c r="AE95" s="45">
        <f t="shared" si="4"/>
        <v>47.302300000000002</v>
      </c>
      <c r="AF95" s="45">
        <f t="shared" si="4"/>
        <v>46.604100000000003</v>
      </c>
      <c r="AG95" s="66"/>
      <c r="AH95" s="66"/>
      <c r="AI95" s="67"/>
    </row>
    <row r="96" spans="1:35">
      <c r="A96" s="27"/>
      <c r="B96" s="36"/>
      <c r="C96" s="29"/>
      <c r="D96" s="32">
        <v>30</v>
      </c>
      <c r="E96" s="70"/>
      <c r="F96" s="46">
        <v>40.857199999999999</v>
      </c>
      <c r="G96" s="46">
        <v>46.152500000000003</v>
      </c>
      <c r="H96" s="46">
        <v>44.764800000000001</v>
      </c>
      <c r="I96" s="66"/>
      <c r="J96" s="66"/>
      <c r="K96" s="67"/>
      <c r="L96" s="29"/>
      <c r="M96" s="70"/>
      <c r="N96" s="46"/>
      <c r="O96" s="46"/>
      <c r="P96" s="46"/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40.857199999999999</v>
      </c>
      <c r="AE96" s="46">
        <f t="shared" si="4"/>
        <v>46.152500000000003</v>
      </c>
      <c r="AF96" s="46">
        <f t="shared" si="4"/>
        <v>44.764800000000001</v>
      </c>
      <c r="AG96" s="66"/>
      <c r="AH96" s="66"/>
      <c r="AI96" s="67"/>
    </row>
    <row r="97" spans="1:35">
      <c r="A97" s="27"/>
      <c r="B97" s="36"/>
      <c r="C97" s="29"/>
      <c r="D97" s="32">
        <v>35</v>
      </c>
      <c r="E97" s="70"/>
      <c r="F97" s="46">
        <v>38.378700000000002</v>
      </c>
      <c r="G97" s="46">
        <v>44.940399999999997</v>
      </c>
      <c r="H97" s="46">
        <v>42.988300000000002</v>
      </c>
      <c r="I97" s="66"/>
      <c r="J97" s="66"/>
      <c r="K97" s="67"/>
      <c r="L97" s="29"/>
      <c r="M97" s="70"/>
      <c r="N97" s="46"/>
      <c r="O97" s="46"/>
      <c r="P97" s="46"/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38.378700000000002</v>
      </c>
      <c r="AE97" s="46">
        <f t="shared" si="4"/>
        <v>44.940399999999997</v>
      </c>
      <c r="AF97" s="46">
        <f t="shared" si="4"/>
        <v>42.988300000000002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35.808500000000002</v>
      </c>
      <c r="G98" s="72">
        <v>43.903399999999998</v>
      </c>
      <c r="H98" s="72">
        <v>41.405799999999999</v>
      </c>
      <c r="I98" s="68"/>
      <c r="J98" s="68"/>
      <c r="K98" s="69"/>
      <c r="L98" s="29"/>
      <c r="M98" s="81"/>
      <c r="N98" s="72"/>
      <c r="O98" s="72"/>
      <c r="P98" s="72"/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35.808500000000002</v>
      </c>
      <c r="AE98" s="72">
        <f t="shared" si="4"/>
        <v>43.903399999999998</v>
      </c>
      <c r="AF98" s="72">
        <f t="shared" si="4"/>
        <v>41.405799999999999</v>
      </c>
      <c r="AG98" s="68"/>
      <c r="AH98" s="68"/>
      <c r="AI98" s="69"/>
    </row>
    <row r="99" spans="1:35">
      <c r="A99" s="27"/>
      <c r="B99" s="36"/>
      <c r="C99" s="29" t="s">
        <v>52</v>
      </c>
      <c r="D99" s="32">
        <v>25</v>
      </c>
      <c r="E99" s="70"/>
      <c r="F99" s="45">
        <v>42.4621</v>
      </c>
      <c r="G99" s="45">
        <v>46.352600000000002</v>
      </c>
      <c r="H99" s="45">
        <v>45.756399999999999</v>
      </c>
      <c r="I99" s="66"/>
      <c r="J99" s="66"/>
      <c r="K99" s="67"/>
      <c r="L99" s="29"/>
      <c r="M99" s="70"/>
      <c r="N99" s="45"/>
      <c r="O99" s="45"/>
      <c r="P99" s="45"/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42.4621</v>
      </c>
      <c r="AE99" s="45">
        <f t="shared" si="4"/>
        <v>46.352600000000002</v>
      </c>
      <c r="AF99" s="45">
        <f t="shared" si="4"/>
        <v>45.756399999999999</v>
      </c>
      <c r="AG99" s="45"/>
      <c r="AH99" s="66"/>
      <c r="AI99" s="67"/>
    </row>
    <row r="100" spans="1:35">
      <c r="A100" s="27"/>
      <c r="B100" s="36"/>
      <c r="C100" s="29"/>
      <c r="D100" s="32">
        <v>30</v>
      </c>
      <c r="E100" s="70"/>
      <c r="F100" s="46">
        <v>40.2744</v>
      </c>
      <c r="G100" s="46">
        <v>45.233400000000003</v>
      </c>
      <c r="H100" s="46">
        <v>44.025199999999998</v>
      </c>
      <c r="I100" s="66"/>
      <c r="J100" s="66"/>
      <c r="K100" s="67"/>
      <c r="L100" s="29"/>
      <c r="M100" s="70"/>
      <c r="N100" s="46"/>
      <c r="O100" s="46"/>
      <c r="P100" s="46"/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40.2744</v>
      </c>
      <c r="AE100" s="46">
        <f t="shared" si="4"/>
        <v>45.233400000000003</v>
      </c>
      <c r="AF100" s="46">
        <f t="shared" si="4"/>
        <v>44.025199999999998</v>
      </c>
      <c r="AG100" s="66"/>
      <c r="AH100" s="66"/>
      <c r="AI100" s="67"/>
    </row>
    <row r="101" spans="1:35">
      <c r="A101" s="27"/>
      <c r="B101" s="36"/>
      <c r="C101" s="29"/>
      <c r="D101" s="32">
        <v>35</v>
      </c>
      <c r="E101" s="70"/>
      <c r="F101" s="46">
        <v>37.940199999999997</v>
      </c>
      <c r="G101" s="46">
        <v>44.235100000000003</v>
      </c>
      <c r="H101" s="46">
        <v>42.486499999999999</v>
      </c>
      <c r="I101" s="66"/>
      <c r="J101" s="66"/>
      <c r="K101" s="67"/>
      <c r="L101" s="29"/>
      <c r="M101" s="70"/>
      <c r="N101" s="46"/>
      <c r="O101" s="46"/>
      <c r="P101" s="46"/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37.940199999999997</v>
      </c>
      <c r="AE101" s="46">
        <f t="shared" si="4"/>
        <v>44.235100000000003</v>
      </c>
      <c r="AF101" s="46">
        <f t="shared" si="4"/>
        <v>42.486499999999999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35.460599999999999</v>
      </c>
      <c r="G102" s="72">
        <v>43.330300000000001</v>
      </c>
      <c r="H102" s="72">
        <v>41.006300000000003</v>
      </c>
      <c r="I102" s="68"/>
      <c r="J102" s="68"/>
      <c r="K102" s="69"/>
      <c r="L102" s="29"/>
      <c r="M102" s="81"/>
      <c r="N102" s="72"/>
      <c r="O102" s="72"/>
      <c r="P102" s="72"/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35.460599999999999</v>
      </c>
      <c r="AE102" s="72">
        <f t="shared" si="4"/>
        <v>43.330300000000001</v>
      </c>
      <c r="AF102" s="72">
        <f t="shared" si="4"/>
        <v>41.006300000000003</v>
      </c>
      <c r="AG102" s="68"/>
      <c r="AH102" s="68"/>
      <c r="AI102" s="69"/>
    </row>
    <row r="103" spans="1:35">
      <c r="A103" s="27"/>
      <c r="B103" s="36"/>
      <c r="C103" s="29" t="s">
        <v>12</v>
      </c>
      <c r="D103" s="32">
        <v>25</v>
      </c>
      <c r="E103" s="45">
        <v>1787.9184</v>
      </c>
      <c r="F103" s="70"/>
      <c r="G103" s="70"/>
      <c r="H103" s="70"/>
      <c r="I103" s="45">
        <v>29779.77</v>
      </c>
      <c r="J103" s="45">
        <v>49.33</v>
      </c>
      <c r="K103" s="45">
        <v>333.22</v>
      </c>
      <c r="L103" s="29"/>
      <c r="M103" s="45">
        <v>1787.6823999999999</v>
      </c>
      <c r="N103" s="70"/>
      <c r="O103" s="70"/>
      <c r="P103" s="70"/>
      <c r="Q103" s="45">
        <v>30362.32</v>
      </c>
      <c r="R103" s="45">
        <v>51.08</v>
      </c>
      <c r="S103" s="45">
        <v>268.42</v>
      </c>
      <c r="U103" s="8"/>
      <c r="V103" s="9"/>
      <c r="W103" s="10"/>
      <c r="X103" s="29"/>
      <c r="Y103" s="61">
        <f>GEOMEAN(Q103:Q106)/GEOMEAN(I103:I106)</f>
        <v>0.86637625023558396</v>
      </c>
      <c r="Z103" s="61">
        <f>GEOMEAN(R103:R106)/GEOMEAN(J103:J106)</f>
        <v>1.0301473310471876</v>
      </c>
      <c r="AA103" s="57">
        <f>GEOMEAN(S103:S106)/GEOMEAN(K103:K106)</f>
        <v>1.0284931279015723</v>
      </c>
      <c r="AC103" s="45">
        <f>E103 -M103</f>
        <v>0.23600000000010368</v>
      </c>
      <c r="AD103" s="70"/>
      <c r="AE103" s="70"/>
      <c r="AF103" s="70"/>
      <c r="AG103" s="45">
        <f t="shared" ref="AG103:AI106" si="6">I103 -Q103</f>
        <v>-582.54999999999927</v>
      </c>
      <c r="AH103" s="45">
        <f t="shared" si="6"/>
        <v>-1.75</v>
      </c>
      <c r="AI103" s="45">
        <f t="shared" si="6"/>
        <v>64.800000000000011</v>
      </c>
    </row>
    <row r="104" spans="1:35">
      <c r="A104" s="27"/>
      <c r="B104" s="36"/>
      <c r="C104" s="29"/>
      <c r="D104" s="32">
        <v>30</v>
      </c>
      <c r="E104" s="46">
        <v>833.83920000000001</v>
      </c>
      <c r="F104" s="70"/>
      <c r="G104" s="70"/>
      <c r="H104" s="70"/>
      <c r="I104" s="46">
        <v>23061.5</v>
      </c>
      <c r="J104" s="46">
        <v>44.85</v>
      </c>
      <c r="K104" s="46">
        <v>333.6</v>
      </c>
      <c r="L104" s="29"/>
      <c r="M104" s="46">
        <v>833.81119999999999</v>
      </c>
      <c r="N104" s="70"/>
      <c r="O104" s="70"/>
      <c r="P104" s="70"/>
      <c r="Q104" s="46">
        <v>23787.21</v>
      </c>
      <c r="R104" s="46">
        <v>38.68</v>
      </c>
      <c r="S104" s="46">
        <v>312.05</v>
      </c>
      <c r="U104" s="41"/>
      <c r="V104" s="42"/>
      <c r="W104" s="43"/>
      <c r="X104" s="29"/>
      <c r="Y104" s="24"/>
      <c r="Z104" s="24"/>
      <c r="AA104" s="27"/>
      <c r="AC104" s="46">
        <f>E104 -M104</f>
        <v>2.8000000000020009E-2</v>
      </c>
      <c r="AD104" s="70"/>
      <c r="AE104" s="70"/>
      <c r="AF104" s="70"/>
      <c r="AG104" s="46">
        <f t="shared" si="6"/>
        <v>-725.70999999999913</v>
      </c>
      <c r="AH104" s="46">
        <f t="shared" si="6"/>
        <v>6.1700000000000017</v>
      </c>
      <c r="AI104" s="46">
        <f t="shared" si="6"/>
        <v>21.550000000000011</v>
      </c>
    </row>
    <row r="105" spans="1:35">
      <c r="A105" s="27"/>
      <c r="B105" s="36"/>
      <c r="C105" s="29"/>
      <c r="D105" s="32">
        <v>35</v>
      </c>
      <c r="E105" s="46">
        <v>446.74560000000002</v>
      </c>
      <c r="F105" s="70"/>
      <c r="G105" s="70"/>
      <c r="H105" s="70"/>
      <c r="I105" s="46">
        <v>19429.07</v>
      </c>
      <c r="J105" s="46">
        <v>41.33</v>
      </c>
      <c r="K105" s="46">
        <v>332.31</v>
      </c>
      <c r="L105" s="29"/>
      <c r="M105" s="46">
        <v>446.61520000000002</v>
      </c>
      <c r="N105" s="70"/>
      <c r="O105" s="70"/>
      <c r="P105" s="70"/>
      <c r="Q105" s="46">
        <v>13538.01</v>
      </c>
      <c r="R105" s="46">
        <v>47.53</v>
      </c>
      <c r="S105" s="46">
        <v>459.84</v>
      </c>
      <c r="U105" s="17"/>
      <c r="V105" s="18"/>
      <c r="W105" s="19"/>
      <c r="X105" s="29"/>
      <c r="Y105" s="24"/>
      <c r="Z105" s="24"/>
      <c r="AA105" s="27"/>
      <c r="AC105" s="46">
        <f>E105 -M105</f>
        <v>0.13040000000000873</v>
      </c>
      <c r="AD105" s="70"/>
      <c r="AE105" s="70"/>
      <c r="AF105" s="70"/>
      <c r="AG105" s="46">
        <f t="shared" si="6"/>
        <v>5891.0599999999995</v>
      </c>
      <c r="AH105" s="46">
        <f t="shared" si="6"/>
        <v>-6.2000000000000028</v>
      </c>
      <c r="AI105" s="46">
        <f t="shared" si="6"/>
        <v>-127.52999999999997</v>
      </c>
    </row>
    <row r="106" spans="1:35" ht="12.75" thickBot="1">
      <c r="A106" s="27"/>
      <c r="B106" s="52"/>
      <c r="C106" s="53"/>
      <c r="D106" s="71">
        <v>40</v>
      </c>
      <c r="E106" s="72">
        <v>255.36959999999999</v>
      </c>
      <c r="F106" s="81"/>
      <c r="G106" s="81"/>
      <c r="H106" s="81"/>
      <c r="I106" s="72">
        <v>16713.82</v>
      </c>
      <c r="J106" s="72">
        <v>40.08</v>
      </c>
      <c r="K106" s="72">
        <v>335.34</v>
      </c>
      <c r="L106" s="29"/>
      <c r="M106" s="72">
        <v>255.3552</v>
      </c>
      <c r="N106" s="81"/>
      <c r="O106" s="81"/>
      <c r="P106" s="81"/>
      <c r="Q106" s="72">
        <v>12850.78</v>
      </c>
      <c r="R106" s="72">
        <v>43.95</v>
      </c>
      <c r="S106" s="72">
        <v>359.87</v>
      </c>
      <c r="U106" s="85"/>
      <c r="V106" s="86"/>
      <c r="W106" s="87"/>
      <c r="X106" s="29"/>
      <c r="Y106" s="49"/>
      <c r="Z106" s="49"/>
      <c r="AA106" s="54"/>
      <c r="AC106" s="72">
        <f>E106 -M106</f>
        <v>1.4399999999994861E-2</v>
      </c>
      <c r="AD106" s="81"/>
      <c r="AE106" s="81"/>
      <c r="AF106" s="81"/>
      <c r="AG106" s="72">
        <f t="shared" si="6"/>
        <v>3863.0399999999991</v>
      </c>
      <c r="AH106" s="72">
        <f t="shared" si="6"/>
        <v>-3.8700000000000045</v>
      </c>
      <c r="AI106" s="72">
        <f t="shared" si="6"/>
        <v>-24.53000000000003</v>
      </c>
    </row>
    <row r="107" spans="1:35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45">
        <v>949.88480000000004</v>
      </c>
      <c r="N107" s="45">
        <v>41.355600000000003</v>
      </c>
      <c r="O107" s="45">
        <v>44.1509</v>
      </c>
      <c r="P107" s="45">
        <v>44.212299999999999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46">
        <v>499.77760000000001</v>
      </c>
      <c r="N108" s="46">
        <v>38.9893</v>
      </c>
      <c r="O108" s="46">
        <v>42.521000000000001</v>
      </c>
      <c r="P108" s="46">
        <v>42.537199999999999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46">
        <v>275.01679999999999</v>
      </c>
      <c r="N109" s="46">
        <v>36.447499999999998</v>
      </c>
      <c r="O109" s="46">
        <v>40.752600000000001</v>
      </c>
      <c r="P109" s="46">
        <v>40.702300000000001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46">
        <v>159.2824</v>
      </c>
      <c r="N110" s="46">
        <v>33.871200000000002</v>
      </c>
      <c r="O110" s="46">
        <v>39.508099999999999</v>
      </c>
      <c r="P110" s="46">
        <v>39.403799999999997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>
      <c r="A111" s="27"/>
      <c r="B111" s="36"/>
      <c r="C111" s="28" t="s">
        <v>27</v>
      </c>
      <c r="D111" s="31">
        <v>25</v>
      </c>
      <c r="E111" s="45">
        <v>304.59280000000001</v>
      </c>
      <c r="F111" s="45">
        <v>40.302300000000002</v>
      </c>
      <c r="G111" s="45">
        <v>42.948</v>
      </c>
      <c r="H111" s="45">
        <v>43.0627</v>
      </c>
      <c r="I111" s="79"/>
      <c r="J111" s="79"/>
      <c r="K111" s="80"/>
      <c r="L111" s="29"/>
      <c r="M111" s="45">
        <v>304.59280000000001</v>
      </c>
      <c r="N111" s="45">
        <v>40.302300000000002</v>
      </c>
      <c r="O111" s="45">
        <v>42.948</v>
      </c>
      <c r="P111" s="45">
        <v>43.0627</v>
      </c>
      <c r="Q111" s="79"/>
      <c r="R111" s="79"/>
      <c r="S111" s="80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9"/>
      <c r="AH111" s="79"/>
      <c r="AI111" s="80"/>
    </row>
    <row r="112" spans="1:35">
      <c r="A112" s="27"/>
      <c r="B112" s="36"/>
      <c r="C112" s="29"/>
      <c r="D112" s="32">
        <v>30</v>
      </c>
      <c r="E112" s="46">
        <v>129.34399999999999</v>
      </c>
      <c r="F112" s="46">
        <v>37.9604</v>
      </c>
      <c r="G112" s="46">
        <v>41.2836</v>
      </c>
      <c r="H112" s="46">
        <v>41.433700000000002</v>
      </c>
      <c r="I112" s="66"/>
      <c r="J112" s="66"/>
      <c r="K112" s="67"/>
      <c r="L112" s="29"/>
      <c r="M112" s="46">
        <v>129.34399999999999</v>
      </c>
      <c r="N112" s="46">
        <v>37.9604</v>
      </c>
      <c r="O112" s="46">
        <v>41.2836</v>
      </c>
      <c r="P112" s="46">
        <v>41.433700000000002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>
      <c r="A113" s="27"/>
      <c r="B113" s="36"/>
      <c r="C113" s="29"/>
      <c r="D113" s="32">
        <v>35</v>
      </c>
      <c r="E113" s="46">
        <v>64.328000000000003</v>
      </c>
      <c r="F113" s="46">
        <v>35.526000000000003</v>
      </c>
      <c r="G113" s="46">
        <v>40.023600000000002</v>
      </c>
      <c r="H113" s="46">
        <v>40.054900000000004</v>
      </c>
      <c r="I113" s="66"/>
      <c r="J113" s="66"/>
      <c r="K113" s="67"/>
      <c r="L113" s="29"/>
      <c r="M113" s="46">
        <v>64.328000000000003</v>
      </c>
      <c r="N113" s="46">
        <v>35.526000000000003</v>
      </c>
      <c r="O113" s="46">
        <v>40.023600000000002</v>
      </c>
      <c r="P113" s="46">
        <v>40.054900000000004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34.366399999999999</v>
      </c>
      <c r="F114" s="46">
        <v>33.104599999999998</v>
      </c>
      <c r="G114" s="46">
        <v>38.960299999999997</v>
      </c>
      <c r="H114" s="46">
        <v>38.9602</v>
      </c>
      <c r="I114" s="66"/>
      <c r="J114" s="66"/>
      <c r="K114" s="67"/>
      <c r="L114" s="29"/>
      <c r="M114" s="46">
        <v>34.366399999999999</v>
      </c>
      <c r="N114" s="46">
        <v>33.104599999999998</v>
      </c>
      <c r="O114" s="46">
        <v>38.960299999999997</v>
      </c>
      <c r="P114" s="46">
        <v>38.9602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>
      <c r="A115" s="27"/>
      <c r="B115" s="36"/>
      <c r="C115" s="28" t="s">
        <v>28</v>
      </c>
      <c r="D115" s="31">
        <v>25</v>
      </c>
      <c r="E115" s="45">
        <v>347.84399999999999</v>
      </c>
      <c r="F115" s="45">
        <v>39.9011</v>
      </c>
      <c r="G115" s="45">
        <v>42.846400000000003</v>
      </c>
      <c r="H115" s="45">
        <v>42.749200000000002</v>
      </c>
      <c r="I115" s="79"/>
      <c r="J115" s="79"/>
      <c r="K115" s="80"/>
      <c r="L115" s="29"/>
      <c r="M115" s="45">
        <v>348.21839999999997</v>
      </c>
      <c r="N115" s="45">
        <v>39.901600000000002</v>
      </c>
      <c r="O115" s="45">
        <v>42.845100000000002</v>
      </c>
      <c r="P115" s="45">
        <v>42.748899999999999</v>
      </c>
      <c r="Q115" s="79"/>
      <c r="R115" s="79"/>
      <c r="S115" s="80"/>
      <c r="U115" s="8">
        <f>bdrate($E115:$E118,F115:F118,$M115:$M118,N115:N118)</f>
        <v>-5.8653970211042239E-4</v>
      </c>
      <c r="V115" s="9">
        <f>bdrate($E115:$E118,G115:G118,$M115:$M118,O115:O118)</f>
        <v>-1.3788392393987436E-4</v>
      </c>
      <c r="W115" s="10">
        <f>bdrate($E115:$E118,H115:H118,$M115:$M118,P115:P118)</f>
        <v>-3.9222490012535971E-4</v>
      </c>
      <c r="X115" s="29"/>
      <c r="Y115" s="24"/>
      <c r="Z115" s="24"/>
      <c r="AA115" s="27"/>
      <c r="AC115" s="45">
        <f t="shared" si="8"/>
        <v>-0.37439999999998008</v>
      </c>
      <c r="AD115" s="45">
        <f t="shared" si="7"/>
        <v>-5.0000000000238742E-4</v>
      </c>
      <c r="AE115" s="45">
        <f t="shared" si="7"/>
        <v>1.300000000000523E-3</v>
      </c>
      <c r="AF115" s="45">
        <f t="shared" si="7"/>
        <v>3.0000000000285354E-4</v>
      </c>
      <c r="AG115" s="79"/>
      <c r="AH115" s="79"/>
      <c r="AI115" s="80"/>
    </row>
    <row r="116" spans="1:35">
      <c r="A116" s="27"/>
      <c r="B116" s="36"/>
      <c r="C116" s="29"/>
      <c r="D116" s="32">
        <v>30</v>
      </c>
      <c r="E116" s="46">
        <v>150.29759999999999</v>
      </c>
      <c r="F116" s="46">
        <v>37.516199999999998</v>
      </c>
      <c r="G116" s="46">
        <v>41.3626</v>
      </c>
      <c r="H116" s="46">
        <v>41.0991</v>
      </c>
      <c r="I116" s="66"/>
      <c r="J116" s="66"/>
      <c r="K116" s="67"/>
      <c r="L116" s="29"/>
      <c r="M116" s="46">
        <v>150.28800000000001</v>
      </c>
      <c r="N116" s="46">
        <v>37.5169</v>
      </c>
      <c r="O116" s="46">
        <v>41.362499999999997</v>
      </c>
      <c r="P116" s="46">
        <v>41.097999999999999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9.5999999999776264E-3</v>
      </c>
      <c r="AD116" s="46">
        <f t="shared" si="7"/>
        <v>-7.0000000000192131E-4</v>
      </c>
      <c r="AE116" s="46">
        <f t="shared" si="7"/>
        <v>1.0000000000331966E-4</v>
      </c>
      <c r="AF116" s="46">
        <f t="shared" si="7"/>
        <v>1.1000000000009891E-3</v>
      </c>
      <c r="AG116" s="66"/>
      <c r="AH116" s="66"/>
      <c r="AI116" s="67"/>
    </row>
    <row r="117" spans="1:35">
      <c r="A117" s="27"/>
      <c r="B117" s="36"/>
      <c r="C117" s="29"/>
      <c r="D117" s="32">
        <v>35</v>
      </c>
      <c r="E117" s="46">
        <v>75.435199999999995</v>
      </c>
      <c r="F117" s="46">
        <v>35.063099999999999</v>
      </c>
      <c r="G117" s="46">
        <v>40.088799999999999</v>
      </c>
      <c r="H117" s="46">
        <v>39.666800000000002</v>
      </c>
      <c r="I117" s="66"/>
      <c r="J117" s="66"/>
      <c r="K117" s="67"/>
      <c r="L117" s="29"/>
      <c r="M117" s="46">
        <v>75.329599999999999</v>
      </c>
      <c r="N117" s="46">
        <v>35.0625</v>
      </c>
      <c r="O117" s="46">
        <v>40.088099999999997</v>
      </c>
      <c r="P117" s="46">
        <v>39.668700000000001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0.10559999999999548</v>
      </c>
      <c r="AD117" s="46">
        <f t="shared" si="7"/>
        <v>5.9999999999860165E-4</v>
      </c>
      <c r="AE117" s="46">
        <f t="shared" si="7"/>
        <v>7.0000000000192131E-4</v>
      </c>
      <c r="AF117" s="46">
        <f t="shared" si="7"/>
        <v>-1.8999999999991246E-3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40.08</v>
      </c>
      <c r="F118" s="72">
        <v>32.557000000000002</v>
      </c>
      <c r="G118" s="72">
        <v>39.0792</v>
      </c>
      <c r="H118" s="72">
        <v>38.578800000000001</v>
      </c>
      <c r="I118" s="68"/>
      <c r="J118" s="68"/>
      <c r="K118" s="69"/>
      <c r="L118" s="29"/>
      <c r="M118" s="72">
        <v>40.006399999999999</v>
      </c>
      <c r="N118" s="72">
        <v>32.552999999999997</v>
      </c>
      <c r="O118" s="72">
        <v>39.0779</v>
      </c>
      <c r="P118" s="72">
        <v>38.5764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7.3599999999999E-2</v>
      </c>
      <c r="AD118" s="72">
        <f t="shared" si="7"/>
        <v>4.0000000000048885E-3</v>
      </c>
      <c r="AE118" s="72">
        <f t="shared" si="7"/>
        <v>1.300000000000523E-3</v>
      </c>
      <c r="AF118" s="72">
        <f t="shared" si="7"/>
        <v>2.400000000001512E-3</v>
      </c>
      <c r="AG118" s="68"/>
      <c r="AH118" s="68"/>
      <c r="AI118" s="69"/>
    </row>
    <row r="119" spans="1:35">
      <c r="A119" s="27"/>
      <c r="B119" s="36"/>
      <c r="C119" s="28" t="s">
        <v>29</v>
      </c>
      <c r="D119" s="31">
        <v>34</v>
      </c>
      <c r="E119" s="45">
        <v>190.27680000000001</v>
      </c>
      <c r="F119" s="45">
        <v>38.363399999999999</v>
      </c>
      <c r="G119" s="78"/>
      <c r="H119" s="78"/>
      <c r="I119" s="79"/>
      <c r="J119" s="79"/>
      <c r="K119" s="80"/>
      <c r="L119" s="29"/>
      <c r="M119" s="45">
        <v>190.27680000000001</v>
      </c>
      <c r="N119" s="45">
        <v>38.363399999999999</v>
      </c>
      <c r="O119" s="78">
        <v>99.99</v>
      </c>
      <c r="P119" s="78">
        <v>99.99</v>
      </c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C119" s="45">
        <f t="shared" si="8"/>
        <v>0</v>
      </c>
      <c r="AD119" s="45">
        <f t="shared" si="7"/>
        <v>0</v>
      </c>
      <c r="AE119" s="78"/>
      <c r="AF119" s="78"/>
      <c r="AG119" s="79"/>
      <c r="AH119" s="79"/>
      <c r="AI119" s="80"/>
    </row>
    <row r="120" spans="1:35">
      <c r="A120" s="27"/>
      <c r="B120" s="36"/>
      <c r="C120" s="29"/>
      <c r="D120" s="32">
        <v>39</v>
      </c>
      <c r="E120" s="46">
        <v>64.342399999999998</v>
      </c>
      <c r="F120" s="46">
        <v>35.0914</v>
      </c>
      <c r="G120" s="70"/>
      <c r="H120" s="70"/>
      <c r="I120" s="66"/>
      <c r="J120" s="66"/>
      <c r="K120" s="67"/>
      <c r="L120" s="29"/>
      <c r="M120" s="46">
        <v>64.342399999999998</v>
      </c>
      <c r="N120" s="46">
        <v>35.0914</v>
      </c>
      <c r="O120" s="70">
        <v>99.99</v>
      </c>
      <c r="P120" s="70">
        <v>99.99</v>
      </c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0</v>
      </c>
      <c r="AD120" s="46">
        <f t="shared" si="7"/>
        <v>0</v>
      </c>
      <c r="AE120" s="70"/>
      <c r="AF120" s="70"/>
      <c r="AG120" s="66"/>
      <c r="AH120" s="66"/>
      <c r="AI120" s="67"/>
    </row>
    <row r="121" spans="1:35">
      <c r="A121" s="27"/>
      <c r="B121" s="36"/>
      <c r="C121" s="29"/>
      <c r="D121" s="32">
        <v>42</v>
      </c>
      <c r="E121" s="46">
        <v>26.1464</v>
      </c>
      <c r="F121" s="46">
        <v>32.433999999999997</v>
      </c>
      <c r="G121" s="70"/>
      <c r="H121" s="70"/>
      <c r="I121" s="66"/>
      <c r="J121" s="66"/>
      <c r="K121" s="67"/>
      <c r="L121" s="29"/>
      <c r="M121" s="46">
        <v>26.1464</v>
      </c>
      <c r="N121" s="46">
        <v>32.433999999999997</v>
      </c>
      <c r="O121" s="70">
        <v>99.99</v>
      </c>
      <c r="P121" s="70">
        <v>99.99</v>
      </c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</v>
      </c>
      <c r="AD121" s="46">
        <f t="shared" si="7"/>
        <v>0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11.687200000000001</v>
      </c>
      <c r="F122" s="46">
        <v>29.535699999999999</v>
      </c>
      <c r="G122" s="70"/>
      <c r="H122" s="70"/>
      <c r="I122" s="66"/>
      <c r="J122" s="66"/>
      <c r="K122" s="67"/>
      <c r="L122" s="29"/>
      <c r="M122" s="46">
        <v>11.687200000000001</v>
      </c>
      <c r="N122" s="46">
        <v>29.535699999999999</v>
      </c>
      <c r="O122" s="70">
        <v>99.99</v>
      </c>
      <c r="P122" s="70">
        <v>99.99</v>
      </c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>
      <c r="A123" s="27"/>
      <c r="B123" s="36"/>
      <c r="C123" s="28" t="s">
        <v>30</v>
      </c>
      <c r="D123" s="31">
        <v>34</v>
      </c>
      <c r="E123" s="45">
        <v>123.4152</v>
      </c>
      <c r="F123" s="45">
        <v>37.207900000000002</v>
      </c>
      <c r="G123" s="78"/>
      <c r="H123" s="78"/>
      <c r="I123" s="79"/>
      <c r="J123" s="79"/>
      <c r="K123" s="80"/>
      <c r="L123" s="29"/>
      <c r="M123" s="45">
        <v>123.4152</v>
      </c>
      <c r="N123" s="45">
        <v>37.207900000000002</v>
      </c>
      <c r="O123" s="78">
        <v>99.99</v>
      </c>
      <c r="P123" s="78">
        <v>99.99</v>
      </c>
      <c r="Q123" s="79"/>
      <c r="R123" s="79"/>
      <c r="S123" s="80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  <c r="AC123" s="45">
        <f t="shared" si="8"/>
        <v>0</v>
      </c>
      <c r="AD123" s="45">
        <f t="shared" si="7"/>
        <v>0</v>
      </c>
      <c r="AE123" s="78"/>
      <c r="AF123" s="78"/>
      <c r="AG123" s="79"/>
      <c r="AH123" s="79"/>
      <c r="AI123" s="80"/>
    </row>
    <row r="124" spans="1:35">
      <c r="A124" s="27"/>
      <c r="B124" s="36"/>
      <c r="C124" s="29"/>
      <c r="D124" s="32">
        <v>39</v>
      </c>
      <c r="E124" s="46">
        <v>44.0456</v>
      </c>
      <c r="F124" s="46">
        <v>34.194800000000001</v>
      </c>
      <c r="G124" s="70"/>
      <c r="H124" s="70"/>
      <c r="I124" s="66"/>
      <c r="J124" s="66"/>
      <c r="K124" s="67"/>
      <c r="L124" s="29"/>
      <c r="M124" s="46">
        <v>44.0456</v>
      </c>
      <c r="N124" s="46">
        <v>34.194800000000001</v>
      </c>
      <c r="O124" s="70">
        <v>99.99</v>
      </c>
      <c r="P124" s="70">
        <v>99.99</v>
      </c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0</v>
      </c>
      <c r="AD124" s="46">
        <f t="shared" si="7"/>
        <v>0</v>
      </c>
      <c r="AE124" s="70"/>
      <c r="AF124" s="70"/>
      <c r="AG124" s="66"/>
      <c r="AH124" s="66"/>
      <c r="AI124" s="67"/>
    </row>
    <row r="125" spans="1:35">
      <c r="A125" s="27"/>
      <c r="B125" s="36"/>
      <c r="C125" s="29"/>
      <c r="D125" s="32">
        <v>42</v>
      </c>
      <c r="E125" s="46">
        <v>18.816800000000001</v>
      </c>
      <c r="F125" s="46">
        <v>31.539000000000001</v>
      </c>
      <c r="G125" s="70"/>
      <c r="H125" s="70"/>
      <c r="I125" s="66"/>
      <c r="J125" s="66"/>
      <c r="K125" s="67"/>
      <c r="L125" s="29"/>
      <c r="M125" s="46">
        <v>18.816800000000001</v>
      </c>
      <c r="N125" s="46">
        <v>31.539000000000001</v>
      </c>
      <c r="O125" s="70">
        <v>99.99</v>
      </c>
      <c r="P125" s="70">
        <v>99.99</v>
      </c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0</v>
      </c>
      <c r="AD125" s="46">
        <f t="shared" si="7"/>
        <v>0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8.516</v>
      </c>
      <c r="F126" s="46">
        <v>28.312799999999999</v>
      </c>
      <c r="G126" s="70"/>
      <c r="H126" s="70"/>
      <c r="I126" s="66"/>
      <c r="J126" s="66"/>
      <c r="K126" s="67"/>
      <c r="L126" s="29"/>
      <c r="M126" s="46">
        <v>8.516</v>
      </c>
      <c r="N126" s="46">
        <v>28.312799999999999</v>
      </c>
      <c r="O126" s="70">
        <v>99.99</v>
      </c>
      <c r="P126" s="70">
        <v>99.99</v>
      </c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</v>
      </c>
      <c r="AD126" s="46">
        <f t="shared" si="7"/>
        <v>0</v>
      </c>
      <c r="AE126" s="70"/>
      <c r="AF126" s="70"/>
      <c r="AG126" s="66"/>
      <c r="AH126" s="66"/>
      <c r="AI126" s="67"/>
    </row>
    <row r="127" spans="1:35">
      <c r="A127" s="27"/>
      <c r="B127" s="36"/>
      <c r="C127" s="28" t="s">
        <v>31</v>
      </c>
      <c r="D127" s="31">
        <v>34</v>
      </c>
      <c r="E127" s="45">
        <v>111.89919999999999</v>
      </c>
      <c r="F127" s="45">
        <v>37.146299999999997</v>
      </c>
      <c r="G127" s="78"/>
      <c r="H127" s="78"/>
      <c r="I127" s="79"/>
      <c r="J127" s="79"/>
      <c r="K127" s="80"/>
      <c r="L127" s="29"/>
      <c r="M127" s="45">
        <v>111.63039999999999</v>
      </c>
      <c r="N127" s="45">
        <v>37.138800000000003</v>
      </c>
      <c r="O127" s="78">
        <v>99.99</v>
      </c>
      <c r="P127" s="78">
        <v>99.99</v>
      </c>
      <c r="Q127" s="79"/>
      <c r="R127" s="79"/>
      <c r="S127" s="80"/>
      <c r="U127" s="8">
        <f>bdrate($E127:$E130,F127:F130,$M127:$M130,N127:N130)</f>
        <v>-6.7765202302594307E-4</v>
      </c>
      <c r="V127" s="9"/>
      <c r="W127" s="10"/>
      <c r="X127" s="29"/>
      <c r="Y127" s="24"/>
      <c r="Z127" s="24"/>
      <c r="AA127" s="27"/>
      <c r="AC127" s="45">
        <f t="shared" si="8"/>
        <v>0.26879999999999882</v>
      </c>
      <c r="AD127" s="45">
        <f t="shared" si="7"/>
        <v>7.4999999999931788E-3</v>
      </c>
      <c r="AE127" s="78"/>
      <c r="AF127" s="78"/>
      <c r="AG127" s="79"/>
      <c r="AH127" s="79"/>
      <c r="AI127" s="80"/>
    </row>
    <row r="128" spans="1:35">
      <c r="A128" s="27"/>
      <c r="B128" s="36"/>
      <c r="C128" s="29"/>
      <c r="D128" s="32">
        <v>39</v>
      </c>
      <c r="E128" s="46">
        <v>36.6464</v>
      </c>
      <c r="F128" s="46">
        <v>34.109099999999998</v>
      </c>
      <c r="G128" s="70"/>
      <c r="H128" s="70"/>
      <c r="I128" s="66"/>
      <c r="J128" s="66"/>
      <c r="K128" s="67"/>
      <c r="L128" s="29"/>
      <c r="M128" s="46">
        <v>36.648800000000001</v>
      </c>
      <c r="N128" s="46">
        <v>34.117699999999999</v>
      </c>
      <c r="O128" s="70">
        <v>99.99</v>
      </c>
      <c r="P128" s="70">
        <v>99.99</v>
      </c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-2.400000000001512E-3</v>
      </c>
      <c r="AD128" s="46">
        <f t="shared" si="7"/>
        <v>-8.6000000000012733E-3</v>
      </c>
      <c r="AE128" s="70"/>
      <c r="AF128" s="70"/>
      <c r="AG128" s="66"/>
      <c r="AH128" s="66"/>
      <c r="AI128" s="67"/>
    </row>
    <row r="129" spans="1:35">
      <c r="A129" s="27"/>
      <c r="B129" s="36"/>
      <c r="C129" s="29"/>
      <c r="D129" s="32">
        <v>42</v>
      </c>
      <c r="E129" s="46">
        <v>15.620799999999999</v>
      </c>
      <c r="F129" s="46">
        <v>31.6326</v>
      </c>
      <c r="G129" s="70"/>
      <c r="H129" s="70"/>
      <c r="I129" s="66"/>
      <c r="J129" s="66"/>
      <c r="K129" s="67"/>
      <c r="L129" s="29"/>
      <c r="M129" s="46">
        <v>15.6112</v>
      </c>
      <c r="N129" s="46">
        <v>31.627099999999999</v>
      </c>
      <c r="O129" s="70">
        <v>99.99</v>
      </c>
      <c r="P129" s="70">
        <v>99.99</v>
      </c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9.5999999999989427E-3</v>
      </c>
      <c r="AD129" s="46">
        <f t="shared" si="7"/>
        <v>5.5000000000013927E-3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7.6744000000000003</v>
      </c>
      <c r="F130" s="46">
        <v>28.965900000000001</v>
      </c>
      <c r="G130" s="70"/>
      <c r="H130" s="70"/>
      <c r="I130" s="66"/>
      <c r="J130" s="66"/>
      <c r="K130" s="67"/>
      <c r="L130" s="29"/>
      <c r="M130" s="46">
        <v>7.6760000000000002</v>
      </c>
      <c r="N130" s="46">
        <v>28.964300000000001</v>
      </c>
      <c r="O130" s="70">
        <v>99.99</v>
      </c>
      <c r="P130" s="70">
        <v>99.99</v>
      </c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-1.5999999999998238E-3</v>
      </c>
      <c r="AD130" s="46">
        <f t="shared" si="7"/>
        <v>1.5999999999998238E-3</v>
      </c>
      <c r="AE130" s="46"/>
      <c r="AF130" s="46"/>
      <c r="AG130" s="66"/>
      <c r="AH130" s="66"/>
      <c r="AI130" s="67"/>
    </row>
    <row r="131" spans="1:35">
      <c r="A131" s="27"/>
      <c r="B131" s="36"/>
      <c r="C131" s="28" t="s">
        <v>47</v>
      </c>
      <c r="D131" s="31">
        <v>25</v>
      </c>
      <c r="E131" s="78"/>
      <c r="F131" s="45">
        <v>39.926900000000003</v>
      </c>
      <c r="G131" s="45">
        <v>45.255200000000002</v>
      </c>
      <c r="H131" s="45">
        <v>45.438800000000001</v>
      </c>
      <c r="I131" s="79"/>
      <c r="J131" s="79"/>
      <c r="K131" s="80"/>
      <c r="L131" s="29"/>
      <c r="M131" s="78"/>
      <c r="N131" s="45"/>
      <c r="O131" s="45"/>
      <c r="P131" s="45"/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39.926900000000003</v>
      </c>
      <c r="AE131" s="45">
        <f t="shared" si="7"/>
        <v>45.255200000000002</v>
      </c>
      <c r="AF131" s="45">
        <f t="shared" si="7"/>
        <v>45.438800000000001</v>
      </c>
      <c r="AG131" s="79"/>
      <c r="AH131" s="79"/>
      <c r="AI131" s="80"/>
    </row>
    <row r="132" spans="1:35">
      <c r="A132" s="27"/>
      <c r="B132" s="36"/>
      <c r="C132" s="29"/>
      <c r="D132" s="32">
        <v>30</v>
      </c>
      <c r="E132" s="70"/>
      <c r="F132" s="46">
        <v>37.776800000000001</v>
      </c>
      <c r="G132" s="46">
        <v>43.447899999999997</v>
      </c>
      <c r="H132" s="46">
        <v>43.624499999999998</v>
      </c>
      <c r="I132" s="66"/>
      <c r="J132" s="66"/>
      <c r="K132" s="67"/>
      <c r="L132" s="29"/>
      <c r="M132" s="70"/>
      <c r="N132" s="46"/>
      <c r="O132" s="46"/>
      <c r="P132" s="46"/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37.776800000000001</v>
      </c>
      <c r="AE132" s="46">
        <f t="shared" si="7"/>
        <v>43.447899999999997</v>
      </c>
      <c r="AF132" s="46">
        <f t="shared" si="7"/>
        <v>43.624499999999998</v>
      </c>
      <c r="AG132" s="66"/>
      <c r="AH132" s="66"/>
      <c r="AI132" s="67"/>
    </row>
    <row r="133" spans="1:35">
      <c r="A133" s="27"/>
      <c r="B133" s="36"/>
      <c r="C133" s="29"/>
      <c r="D133" s="32">
        <v>35</v>
      </c>
      <c r="E133" s="70"/>
      <c r="F133" s="46">
        <v>35.503500000000003</v>
      </c>
      <c r="G133" s="46">
        <v>41.881399999999999</v>
      </c>
      <c r="H133" s="46">
        <v>41.897399999999998</v>
      </c>
      <c r="I133" s="66"/>
      <c r="J133" s="66"/>
      <c r="K133" s="67"/>
      <c r="L133" s="29"/>
      <c r="M133" s="70"/>
      <c r="N133" s="46"/>
      <c r="O133" s="46"/>
      <c r="P133" s="46"/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35.503500000000003</v>
      </c>
      <c r="AE133" s="46">
        <f t="shared" si="7"/>
        <v>41.881399999999999</v>
      </c>
      <c r="AF133" s="46">
        <f t="shared" si="7"/>
        <v>41.897399999999998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33.126300000000001</v>
      </c>
      <c r="G134" s="72">
        <v>40.521000000000001</v>
      </c>
      <c r="H134" s="72">
        <v>40.541600000000003</v>
      </c>
      <c r="I134" s="68"/>
      <c r="J134" s="68"/>
      <c r="K134" s="69"/>
      <c r="L134" s="29"/>
      <c r="M134" s="81"/>
      <c r="N134" s="72"/>
      <c r="O134" s="72"/>
      <c r="P134" s="72"/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33.126300000000001</v>
      </c>
      <c r="AE134" s="72">
        <f t="shared" si="7"/>
        <v>40.521000000000001</v>
      </c>
      <c r="AF134" s="72">
        <f t="shared" si="7"/>
        <v>40.541600000000003</v>
      </c>
      <c r="AG134" s="68"/>
      <c r="AH134" s="68"/>
      <c r="AI134" s="69"/>
    </row>
    <row r="135" spans="1:35">
      <c r="A135" s="27"/>
      <c r="B135" s="36"/>
      <c r="C135" s="29" t="s">
        <v>48</v>
      </c>
      <c r="D135" s="32">
        <v>25</v>
      </c>
      <c r="E135" s="70"/>
      <c r="F135" s="45">
        <v>40.463700000000003</v>
      </c>
      <c r="G135" s="45">
        <v>46.120199999999997</v>
      </c>
      <c r="H135" s="45">
        <v>46.163499999999999</v>
      </c>
      <c r="I135" s="66"/>
      <c r="J135" s="66"/>
      <c r="K135" s="67"/>
      <c r="L135" s="29"/>
      <c r="M135" s="70"/>
      <c r="N135" s="45"/>
      <c r="O135" s="45"/>
      <c r="P135" s="45"/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40.463700000000003</v>
      </c>
      <c r="AE135" s="45">
        <f t="shared" si="7"/>
        <v>46.120199999999997</v>
      </c>
      <c r="AF135" s="45">
        <f t="shared" si="7"/>
        <v>46.163499999999999</v>
      </c>
      <c r="AG135" s="66"/>
      <c r="AH135" s="66"/>
      <c r="AI135" s="67"/>
    </row>
    <row r="136" spans="1:35">
      <c r="A136" s="27"/>
      <c r="B136" s="36"/>
      <c r="C136" s="29"/>
      <c r="D136" s="32">
        <v>30</v>
      </c>
      <c r="E136" s="70"/>
      <c r="F136" s="46">
        <v>38.191299999999998</v>
      </c>
      <c r="G136" s="46">
        <v>44.221200000000003</v>
      </c>
      <c r="H136" s="46">
        <v>44.233499999999999</v>
      </c>
      <c r="I136" s="66"/>
      <c r="J136" s="66"/>
      <c r="K136" s="67"/>
      <c r="L136" s="29"/>
      <c r="M136" s="70"/>
      <c r="N136" s="46"/>
      <c r="O136" s="46"/>
      <c r="P136" s="46"/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38.191299999999998</v>
      </c>
      <c r="AE136" s="46">
        <f t="shared" si="7"/>
        <v>44.221200000000003</v>
      </c>
      <c r="AF136" s="46">
        <f t="shared" si="7"/>
        <v>44.233499999999999</v>
      </c>
      <c r="AG136" s="66"/>
      <c r="AH136" s="66"/>
      <c r="AI136" s="67"/>
    </row>
    <row r="137" spans="1:35">
      <c r="A137" s="27"/>
      <c r="B137" s="36"/>
      <c r="C137" s="29"/>
      <c r="D137" s="32">
        <v>35</v>
      </c>
      <c r="E137" s="70"/>
      <c r="F137" s="46">
        <v>35.8035</v>
      </c>
      <c r="G137" s="46">
        <v>42.396000000000001</v>
      </c>
      <c r="H137" s="46">
        <v>42.263399999999997</v>
      </c>
      <c r="I137" s="66"/>
      <c r="J137" s="66"/>
      <c r="K137" s="67"/>
      <c r="L137" s="29"/>
      <c r="M137" s="70"/>
      <c r="N137" s="46"/>
      <c r="O137" s="46"/>
      <c r="P137" s="46"/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35.8035</v>
      </c>
      <c r="AE137" s="46">
        <f t="shared" si="7"/>
        <v>42.396000000000001</v>
      </c>
      <c r="AF137" s="46">
        <f t="shared" si="7"/>
        <v>42.263399999999997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33.341700000000003</v>
      </c>
      <c r="G138" s="72">
        <v>40.892299999999999</v>
      </c>
      <c r="H138" s="72">
        <v>40.7729</v>
      </c>
      <c r="I138" s="68"/>
      <c r="J138" s="68"/>
      <c r="K138" s="69"/>
      <c r="L138" s="29"/>
      <c r="M138" s="81"/>
      <c r="N138" s="46"/>
      <c r="O138" s="72"/>
      <c r="P138" s="72"/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33.341700000000003</v>
      </c>
      <c r="AE138" s="46">
        <f t="shared" si="7"/>
        <v>40.892299999999999</v>
      </c>
      <c r="AF138" s="46">
        <f t="shared" si="7"/>
        <v>40.7729</v>
      </c>
      <c r="AG138" s="68"/>
      <c r="AH138" s="68"/>
      <c r="AI138" s="69"/>
    </row>
    <row r="139" spans="1:35">
      <c r="A139" s="27"/>
      <c r="B139" s="36"/>
      <c r="C139" s="29" t="s">
        <v>49</v>
      </c>
      <c r="D139" s="32">
        <v>25</v>
      </c>
      <c r="E139" s="70"/>
      <c r="F139" s="45">
        <v>40.949800000000003</v>
      </c>
      <c r="G139" s="45">
        <v>46.029600000000002</v>
      </c>
      <c r="H139" s="45">
        <v>46.091799999999999</v>
      </c>
      <c r="I139" s="66"/>
      <c r="J139" s="66"/>
      <c r="K139" s="67"/>
      <c r="L139" s="29"/>
      <c r="M139" s="70"/>
      <c r="N139" s="45"/>
      <c r="O139" s="45"/>
      <c r="P139" s="45"/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40.949800000000003</v>
      </c>
      <c r="AE139" s="45">
        <f t="shared" si="7"/>
        <v>46.029600000000002</v>
      </c>
      <c r="AF139" s="45">
        <f t="shared" si="7"/>
        <v>46.091799999999999</v>
      </c>
      <c r="AG139" s="66"/>
      <c r="AH139" s="66"/>
      <c r="AI139" s="67"/>
    </row>
    <row r="140" spans="1:35">
      <c r="A140" s="27"/>
      <c r="B140" s="36"/>
      <c r="C140" s="29"/>
      <c r="D140" s="32">
        <v>30</v>
      </c>
      <c r="E140" s="70"/>
      <c r="F140" s="46">
        <v>38.660600000000002</v>
      </c>
      <c r="G140" s="46">
        <v>44.2562</v>
      </c>
      <c r="H140" s="46">
        <v>44.231000000000002</v>
      </c>
      <c r="I140" s="66"/>
      <c r="J140" s="66"/>
      <c r="K140" s="67"/>
      <c r="L140" s="29"/>
      <c r="M140" s="70"/>
      <c r="N140" s="46"/>
      <c r="O140" s="46"/>
      <c r="P140" s="46"/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38.660600000000002</v>
      </c>
      <c r="AE140" s="46">
        <f t="shared" si="7"/>
        <v>44.2562</v>
      </c>
      <c r="AF140" s="46">
        <f t="shared" si="7"/>
        <v>44.231000000000002</v>
      </c>
      <c r="AG140" s="66"/>
      <c r="AH140" s="66"/>
      <c r="AI140" s="67"/>
    </row>
    <row r="141" spans="1:35">
      <c r="A141" s="27"/>
      <c r="B141" s="36"/>
      <c r="C141" s="29"/>
      <c r="D141" s="32">
        <v>35</v>
      </c>
      <c r="E141" s="70"/>
      <c r="F141" s="46">
        <v>36.200099999999999</v>
      </c>
      <c r="G141" s="46">
        <v>42.3217</v>
      </c>
      <c r="H141" s="46">
        <v>42.192799999999998</v>
      </c>
      <c r="I141" s="66"/>
      <c r="J141" s="66"/>
      <c r="K141" s="67"/>
      <c r="L141" s="29"/>
      <c r="M141" s="70"/>
      <c r="N141" s="46"/>
      <c r="O141" s="46"/>
      <c r="P141" s="46"/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36.200099999999999</v>
      </c>
      <c r="AE141" s="46">
        <f t="shared" si="7"/>
        <v>42.3217</v>
      </c>
      <c r="AF141" s="46">
        <f t="shared" si="7"/>
        <v>42.192799999999998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33.680599999999998</v>
      </c>
      <c r="G142" s="72">
        <v>40.850900000000003</v>
      </c>
      <c r="H142" s="72">
        <v>40.703600000000002</v>
      </c>
      <c r="I142" s="68"/>
      <c r="J142" s="68"/>
      <c r="K142" s="69"/>
      <c r="L142" s="29"/>
      <c r="M142" s="81"/>
      <c r="N142" s="46"/>
      <c r="O142" s="72"/>
      <c r="P142" s="72"/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33.680599999999998</v>
      </c>
      <c r="AE142" s="46">
        <f t="shared" si="7"/>
        <v>40.850900000000003</v>
      </c>
      <c r="AF142" s="46">
        <f t="shared" si="7"/>
        <v>40.703600000000002</v>
      </c>
      <c r="AG142" s="68"/>
      <c r="AH142" s="68"/>
      <c r="AI142" s="69"/>
    </row>
    <row r="143" spans="1:35">
      <c r="A143" s="27"/>
      <c r="B143" s="36"/>
      <c r="C143" s="29" t="s">
        <v>50</v>
      </c>
      <c r="D143" s="32">
        <v>25</v>
      </c>
      <c r="E143" s="70"/>
      <c r="F143" s="45">
        <v>40.913800000000002</v>
      </c>
      <c r="G143" s="45">
        <v>45.866700000000002</v>
      </c>
      <c r="H143" s="45">
        <v>45.940600000000003</v>
      </c>
      <c r="I143" s="66"/>
      <c r="J143" s="66"/>
      <c r="K143" s="67"/>
      <c r="L143" s="29"/>
      <c r="M143" s="70"/>
      <c r="N143" s="45"/>
      <c r="O143" s="45"/>
      <c r="P143" s="45"/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40.913800000000002</v>
      </c>
      <c r="AE143" s="45">
        <f t="shared" si="7"/>
        <v>45.866700000000002</v>
      </c>
      <c r="AF143" s="45">
        <f t="shared" si="7"/>
        <v>45.940600000000003</v>
      </c>
      <c r="AG143" s="66"/>
      <c r="AH143" s="66"/>
      <c r="AI143" s="67"/>
    </row>
    <row r="144" spans="1:35">
      <c r="B144" s="36"/>
      <c r="C144" s="29"/>
      <c r="D144" s="32">
        <v>30</v>
      </c>
      <c r="E144" s="70"/>
      <c r="F144" s="46">
        <v>38.583599999999997</v>
      </c>
      <c r="G144" s="46">
        <v>44.066299999999998</v>
      </c>
      <c r="H144" s="46">
        <v>44.045699999999997</v>
      </c>
      <c r="I144" s="66"/>
      <c r="J144" s="66"/>
      <c r="K144" s="67"/>
      <c r="L144" s="29"/>
      <c r="M144" s="70"/>
      <c r="N144" s="46"/>
      <c r="O144" s="46"/>
      <c r="P144" s="46"/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38.583599999999997</v>
      </c>
      <c r="AE144" s="46">
        <f t="shared" si="7"/>
        <v>44.066299999999998</v>
      </c>
      <c r="AF144" s="46">
        <f t="shared" si="7"/>
        <v>44.045699999999997</v>
      </c>
      <c r="AG144" s="66"/>
      <c r="AH144" s="66"/>
      <c r="AI144" s="67"/>
    </row>
    <row r="145" spans="1:35">
      <c r="B145" s="36"/>
      <c r="C145" s="29"/>
      <c r="D145" s="32">
        <v>35</v>
      </c>
      <c r="E145" s="70"/>
      <c r="F145" s="46">
        <v>36.117199999999997</v>
      </c>
      <c r="G145" s="46">
        <v>42.144500000000001</v>
      </c>
      <c r="H145" s="46">
        <v>41.973599999999998</v>
      </c>
      <c r="I145" s="66"/>
      <c r="J145" s="66"/>
      <c r="K145" s="67"/>
      <c r="L145" s="29"/>
      <c r="M145" s="70"/>
      <c r="N145" s="46"/>
      <c r="O145" s="46"/>
      <c r="P145" s="46"/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36.117199999999997</v>
      </c>
      <c r="AE145" s="46">
        <f t="shared" si="7"/>
        <v>42.144500000000001</v>
      </c>
      <c r="AF145" s="46">
        <f t="shared" si="7"/>
        <v>41.973599999999998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33.602400000000003</v>
      </c>
      <c r="G146" s="72">
        <v>40.709299999999999</v>
      </c>
      <c r="H146" s="72">
        <v>40.502499999999998</v>
      </c>
      <c r="I146" s="68"/>
      <c r="J146" s="68"/>
      <c r="K146" s="69"/>
      <c r="L146" s="29"/>
      <c r="M146" s="81"/>
      <c r="N146" s="46"/>
      <c r="O146" s="72"/>
      <c r="P146" s="72"/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33.602400000000003</v>
      </c>
      <c r="AE146" s="46">
        <f t="shared" si="7"/>
        <v>40.709299999999999</v>
      </c>
      <c r="AF146" s="46">
        <f t="shared" si="7"/>
        <v>40.502499999999998</v>
      </c>
      <c r="AG146" s="68"/>
      <c r="AH146" s="68"/>
      <c r="AI146" s="69"/>
    </row>
    <row r="147" spans="1:35">
      <c r="B147" s="36"/>
      <c r="C147" s="29" t="s">
        <v>51</v>
      </c>
      <c r="D147" s="32">
        <v>25</v>
      </c>
      <c r="E147" s="70"/>
      <c r="F147" s="45">
        <v>40.2971</v>
      </c>
      <c r="G147" s="45">
        <v>45.892800000000001</v>
      </c>
      <c r="H147" s="45">
        <v>45.858899999999998</v>
      </c>
      <c r="I147" s="66"/>
      <c r="J147" s="66"/>
      <c r="K147" s="67"/>
      <c r="L147" s="29"/>
      <c r="M147" s="70"/>
      <c r="N147" s="45"/>
      <c r="O147" s="45"/>
      <c r="P147" s="45"/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40.2971</v>
      </c>
      <c r="AE147" s="45">
        <f t="shared" si="7"/>
        <v>45.892800000000001</v>
      </c>
      <c r="AF147" s="45">
        <f t="shared" si="7"/>
        <v>45.858899999999998</v>
      </c>
      <c r="AG147" s="66"/>
      <c r="AH147" s="66"/>
      <c r="AI147" s="67"/>
    </row>
    <row r="148" spans="1:35">
      <c r="B148" s="36"/>
      <c r="C148" s="29"/>
      <c r="D148" s="32">
        <v>30</v>
      </c>
      <c r="E148" s="70"/>
      <c r="F148" s="46">
        <v>37.968800000000002</v>
      </c>
      <c r="G148" s="46">
        <v>44.056800000000003</v>
      </c>
      <c r="H148" s="46">
        <v>43.882300000000001</v>
      </c>
      <c r="I148" s="66"/>
      <c r="J148" s="66"/>
      <c r="K148" s="67"/>
      <c r="L148" s="29"/>
      <c r="M148" s="70"/>
      <c r="N148" s="46"/>
      <c r="O148" s="46"/>
      <c r="P148" s="46"/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37.968800000000002</v>
      </c>
      <c r="AE148" s="46">
        <f t="shared" si="7"/>
        <v>44.056800000000003</v>
      </c>
      <c r="AF148" s="46">
        <f t="shared" si="7"/>
        <v>43.882300000000001</v>
      </c>
      <c r="AG148" s="66"/>
      <c r="AH148" s="66"/>
      <c r="AI148" s="67"/>
    </row>
    <row r="149" spans="1:35">
      <c r="B149" s="36"/>
      <c r="C149" s="29"/>
      <c r="D149" s="32">
        <v>35</v>
      </c>
      <c r="E149" s="70"/>
      <c r="F149" s="46">
        <v>35.564599999999999</v>
      </c>
      <c r="G149" s="46">
        <v>42.221600000000002</v>
      </c>
      <c r="H149" s="46">
        <v>41.854999999999997</v>
      </c>
      <c r="I149" s="66"/>
      <c r="J149" s="66"/>
      <c r="K149" s="67"/>
      <c r="L149" s="29"/>
      <c r="M149" s="70"/>
      <c r="N149" s="46"/>
      <c r="O149" s="46"/>
      <c r="P149" s="46"/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35.564599999999999</v>
      </c>
      <c r="AE149" s="46">
        <f t="shared" si="7"/>
        <v>42.221600000000002</v>
      </c>
      <c r="AF149" s="46">
        <f t="shared" si="7"/>
        <v>41.854999999999997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33.069099999999999</v>
      </c>
      <c r="G150" s="72">
        <v>40.788699999999999</v>
      </c>
      <c r="H150" s="72">
        <v>40.396900000000002</v>
      </c>
      <c r="I150" s="68"/>
      <c r="J150" s="68"/>
      <c r="K150" s="69"/>
      <c r="L150" s="29"/>
      <c r="M150" s="81"/>
      <c r="N150" s="72"/>
      <c r="O150" s="72"/>
      <c r="P150" s="72"/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33.069099999999999</v>
      </c>
      <c r="AE150" s="72">
        <f t="shared" si="7"/>
        <v>40.788699999999999</v>
      </c>
      <c r="AF150" s="72">
        <f t="shared" si="7"/>
        <v>40.396900000000002</v>
      </c>
      <c r="AG150" s="68"/>
      <c r="AH150" s="68"/>
      <c r="AI150" s="69"/>
    </row>
    <row r="151" spans="1:35">
      <c r="B151" s="36"/>
      <c r="C151" s="29" t="s">
        <v>52</v>
      </c>
      <c r="D151" s="32">
        <v>25</v>
      </c>
      <c r="E151" s="70"/>
      <c r="F151" s="45">
        <v>39.939300000000003</v>
      </c>
      <c r="G151" s="45">
        <v>45.0732</v>
      </c>
      <c r="H151" s="45">
        <v>45.041499999999999</v>
      </c>
      <c r="I151" s="66"/>
      <c r="J151" s="66"/>
      <c r="K151" s="67"/>
      <c r="L151" s="29"/>
      <c r="M151" s="70"/>
      <c r="N151" s="45"/>
      <c r="O151" s="45"/>
      <c r="P151" s="45"/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39.939300000000003</v>
      </c>
      <c r="AE151" s="45">
        <f t="shared" si="7"/>
        <v>45.0732</v>
      </c>
      <c r="AF151" s="45">
        <f t="shared" si="7"/>
        <v>45.041499999999999</v>
      </c>
      <c r="AG151" s="45"/>
      <c r="AH151" s="66"/>
      <c r="AI151" s="67"/>
    </row>
    <row r="152" spans="1:35">
      <c r="B152" s="36"/>
      <c r="C152" s="29"/>
      <c r="D152" s="32">
        <v>30</v>
      </c>
      <c r="E152" s="70"/>
      <c r="F152" s="46">
        <v>37.614100000000001</v>
      </c>
      <c r="G152" s="46">
        <v>43.374099999999999</v>
      </c>
      <c r="H152" s="46">
        <v>43.142099999999999</v>
      </c>
      <c r="I152" s="66"/>
      <c r="J152" s="66"/>
      <c r="K152" s="67"/>
      <c r="L152" s="29"/>
      <c r="M152" s="70"/>
      <c r="N152" s="46"/>
      <c r="O152" s="46"/>
      <c r="P152" s="46"/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37.614100000000001</v>
      </c>
      <c r="AE152" s="46">
        <f t="shared" si="7"/>
        <v>43.374099999999999</v>
      </c>
      <c r="AF152" s="46">
        <f t="shared" si="7"/>
        <v>43.142099999999999</v>
      </c>
      <c r="AG152" s="66"/>
      <c r="AH152" s="66"/>
      <c r="AI152" s="67"/>
    </row>
    <row r="153" spans="1:35">
      <c r="B153" s="36"/>
      <c r="C153" s="29"/>
      <c r="D153" s="32">
        <v>35</v>
      </c>
      <c r="E153" s="70"/>
      <c r="F153" s="46">
        <v>35.190899999999999</v>
      </c>
      <c r="G153" s="46">
        <v>41.784300000000002</v>
      </c>
      <c r="H153" s="46">
        <v>41.333199999999998</v>
      </c>
      <c r="I153" s="66"/>
      <c r="J153" s="66"/>
      <c r="K153" s="67"/>
      <c r="L153" s="29"/>
      <c r="M153" s="70"/>
      <c r="N153" s="46"/>
      <c r="O153" s="46"/>
      <c r="P153" s="46"/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35.190899999999999</v>
      </c>
      <c r="AE153" s="46">
        <f t="shared" si="7"/>
        <v>41.784300000000002</v>
      </c>
      <c r="AF153" s="46">
        <f t="shared" si="7"/>
        <v>41.333199999999998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32.69</v>
      </c>
      <c r="G154" s="72">
        <v>40.491799999999998</v>
      </c>
      <c r="H154" s="72">
        <v>39.991399999999999</v>
      </c>
      <c r="I154" s="68"/>
      <c r="J154" s="68"/>
      <c r="K154" s="69"/>
      <c r="L154" s="29"/>
      <c r="M154" s="81"/>
      <c r="N154" s="72"/>
      <c r="O154" s="72"/>
      <c r="P154" s="72"/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32.69</v>
      </c>
      <c r="AE154" s="72">
        <f t="shared" si="7"/>
        <v>40.491799999999998</v>
      </c>
      <c r="AF154" s="72">
        <f t="shared" si="7"/>
        <v>39.991399999999999</v>
      </c>
      <c r="AG154" s="68"/>
      <c r="AH154" s="68"/>
      <c r="AI154" s="69"/>
    </row>
    <row r="155" spans="1:35">
      <c r="B155" s="36"/>
      <c r="C155" s="29" t="s">
        <v>12</v>
      </c>
      <c r="D155" s="32">
        <v>25</v>
      </c>
      <c r="E155" s="45">
        <v>2033.7031999999999</v>
      </c>
      <c r="F155" s="70"/>
      <c r="G155" s="70"/>
      <c r="H155" s="70"/>
      <c r="I155" s="45">
        <v>23905.86</v>
      </c>
      <c r="J155" s="45">
        <v>44.05</v>
      </c>
      <c r="K155" s="45">
        <v>335.04</v>
      </c>
      <c r="L155" s="29"/>
      <c r="M155" s="45">
        <v>2033.8088</v>
      </c>
      <c r="N155" s="70"/>
      <c r="O155" s="70"/>
      <c r="P155" s="70"/>
      <c r="Q155" s="45">
        <v>16435.07</v>
      </c>
      <c r="R155" s="45">
        <v>50.16</v>
      </c>
      <c r="S155" s="45">
        <v>251.73</v>
      </c>
      <c r="T155" s="24"/>
      <c r="U155" s="8"/>
      <c r="V155" s="9"/>
      <c r="W155" s="10"/>
      <c r="X155" s="29"/>
      <c r="Y155" s="61">
        <f>GEOMEAN(Q155:Q158)/GEOMEAN(I155:I158)</f>
        <v>0.93015251310975566</v>
      </c>
      <c r="Z155" s="61">
        <f>GEOMEAN(R155:R158)/GEOMEAN(J155:J158)</f>
        <v>0.97034617305241888</v>
      </c>
      <c r="AA155" s="57">
        <f>GEOMEAN(S155:S158)/GEOMEAN(K155:K158)</f>
        <v>0.88099309366753087</v>
      </c>
      <c r="AB155" s="24"/>
      <c r="AC155" s="45">
        <f>E155 -M155</f>
        <v>-0.10560000000009495</v>
      </c>
      <c r="AD155" s="70"/>
      <c r="AE155" s="70"/>
      <c r="AF155" s="70"/>
      <c r="AG155" s="45">
        <f t="shared" ref="AG155:AI158" si="9">I155 -Q155</f>
        <v>7470.7900000000009</v>
      </c>
      <c r="AH155" s="45">
        <f t="shared" si="9"/>
        <v>-6.1099999999999994</v>
      </c>
      <c r="AI155" s="45">
        <f t="shared" si="9"/>
        <v>83.310000000000031</v>
      </c>
    </row>
    <row r="156" spans="1:35">
      <c r="B156" s="36"/>
      <c r="C156" s="29"/>
      <c r="D156" s="32">
        <v>30</v>
      </c>
      <c r="E156" s="46">
        <v>930.24400000000003</v>
      </c>
      <c r="F156" s="70"/>
      <c r="G156" s="70"/>
      <c r="H156" s="70"/>
      <c r="I156" s="46">
        <v>19167.77</v>
      </c>
      <c r="J156" s="46">
        <v>40.98</v>
      </c>
      <c r="K156" s="46">
        <v>333.38</v>
      </c>
      <c r="L156" s="29"/>
      <c r="M156" s="46">
        <v>930.23680000000002</v>
      </c>
      <c r="N156" s="70"/>
      <c r="O156" s="70"/>
      <c r="P156" s="70"/>
      <c r="Q156" s="46">
        <v>19700.68</v>
      </c>
      <c r="R156" s="46">
        <v>46.64</v>
      </c>
      <c r="S156" s="46">
        <v>314.72000000000003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7.2000000000116415E-3</v>
      </c>
      <c r="AD156" s="70"/>
      <c r="AE156" s="70"/>
      <c r="AF156" s="70"/>
      <c r="AG156" s="46">
        <f t="shared" si="9"/>
        <v>-532.90999999999985</v>
      </c>
      <c r="AH156" s="46">
        <f t="shared" si="9"/>
        <v>-5.6600000000000037</v>
      </c>
      <c r="AI156" s="46">
        <f t="shared" si="9"/>
        <v>18.659999999999968</v>
      </c>
    </row>
    <row r="157" spans="1:35">
      <c r="B157" s="36"/>
      <c r="C157" s="29"/>
      <c r="D157" s="32">
        <v>35</v>
      </c>
      <c r="E157" s="46">
        <v>481.15440000000001</v>
      </c>
      <c r="F157" s="70"/>
      <c r="G157" s="70"/>
      <c r="H157" s="70"/>
      <c r="I157" s="46">
        <v>16765.28</v>
      </c>
      <c r="J157" s="46">
        <v>38.53</v>
      </c>
      <c r="K157" s="46">
        <v>332.18</v>
      </c>
      <c r="L157" s="29"/>
      <c r="M157" s="46">
        <v>481.03919999999999</v>
      </c>
      <c r="N157" s="70"/>
      <c r="O157" s="70"/>
      <c r="P157" s="70"/>
      <c r="Q157" s="46">
        <v>17194</v>
      </c>
      <c r="R157" s="46">
        <v>34.380000000000003</v>
      </c>
      <c r="S157" s="46">
        <v>381.15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0.11520000000001573</v>
      </c>
      <c r="AD157" s="70"/>
      <c r="AE157" s="70"/>
      <c r="AF157" s="70"/>
      <c r="AG157" s="46">
        <f t="shared" si="9"/>
        <v>-428.72000000000116</v>
      </c>
      <c r="AH157" s="46">
        <f t="shared" si="9"/>
        <v>4.1499999999999986</v>
      </c>
      <c r="AI157" s="46">
        <f t="shared" si="9"/>
        <v>-48.96999999999997</v>
      </c>
    </row>
    <row r="158" spans="1:35" ht="12.75" thickBot="1">
      <c r="B158" s="52"/>
      <c r="C158" s="53"/>
      <c r="D158" s="71">
        <v>40</v>
      </c>
      <c r="E158" s="72">
        <v>267.39679999999998</v>
      </c>
      <c r="F158" s="81"/>
      <c r="G158" s="81"/>
      <c r="H158" s="81"/>
      <c r="I158" s="72">
        <v>14839.35</v>
      </c>
      <c r="J158" s="72">
        <v>38.869999999999997</v>
      </c>
      <c r="K158" s="72">
        <v>334.17</v>
      </c>
      <c r="L158" s="29"/>
      <c r="M158" s="72">
        <v>267.32479999999998</v>
      </c>
      <c r="N158" s="81"/>
      <c r="O158" s="81"/>
      <c r="P158" s="81"/>
      <c r="Q158" s="72">
        <v>15328.11</v>
      </c>
      <c r="R158" s="72">
        <v>29.8</v>
      </c>
      <c r="S158" s="72">
        <v>247.35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7.2000000000002728E-2</v>
      </c>
      <c r="AD158" s="81"/>
      <c r="AE158" s="81"/>
      <c r="AF158" s="81"/>
      <c r="AG158" s="72">
        <f t="shared" si="9"/>
        <v>-488.76000000000022</v>
      </c>
      <c r="AH158" s="72">
        <f t="shared" si="9"/>
        <v>9.0699999999999967</v>
      </c>
      <c r="AI158" s="72">
        <f t="shared" si="9"/>
        <v>86.820000000000022</v>
      </c>
    </row>
    <row r="159" spans="1:35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45">
        <v>3712.6183999999998</v>
      </c>
      <c r="N159" s="45">
        <v>40.253799999999998</v>
      </c>
      <c r="O159" s="45">
        <v>45.457700000000003</v>
      </c>
      <c r="P159" s="45">
        <v>46.298400000000001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46">
        <v>1616.4760000000001</v>
      </c>
      <c r="N160" s="46">
        <v>37.82</v>
      </c>
      <c r="O160" s="46">
        <v>43.627600000000001</v>
      </c>
      <c r="P160" s="46">
        <v>44.459200000000003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46">
        <v>756.49919999999997</v>
      </c>
      <c r="N161" s="46">
        <v>35.621600000000001</v>
      </c>
      <c r="O161" s="46">
        <v>41.799100000000003</v>
      </c>
      <c r="P161" s="46">
        <v>42.621600000000001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46">
        <v>365.29599999999999</v>
      </c>
      <c r="N162" s="46">
        <v>33.462400000000002</v>
      </c>
      <c r="O162" s="46">
        <v>40.561100000000003</v>
      </c>
      <c r="P162" s="46">
        <v>41.389400000000002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>
      <c r="B163" s="36"/>
      <c r="C163" s="28" t="s">
        <v>27</v>
      </c>
      <c r="D163" s="31">
        <v>25</v>
      </c>
      <c r="E163" s="45">
        <v>523.21280000000002</v>
      </c>
      <c r="F163" s="45">
        <v>39.746299999999998</v>
      </c>
      <c r="G163" s="45">
        <v>45.324100000000001</v>
      </c>
      <c r="H163" s="45">
        <v>46.174599999999998</v>
      </c>
      <c r="I163" s="79"/>
      <c r="J163" s="79"/>
      <c r="K163" s="80"/>
      <c r="L163" s="29"/>
      <c r="M163" s="45">
        <v>523.21280000000002</v>
      </c>
      <c r="N163" s="45">
        <v>39.746299999999998</v>
      </c>
      <c r="O163" s="45">
        <v>45.324100000000001</v>
      </c>
      <c r="P163" s="45">
        <v>46.174599999999998</v>
      </c>
      <c r="Q163" s="79"/>
      <c r="R163" s="79"/>
      <c r="S163" s="80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>
      <c r="A164" s="24"/>
      <c r="B164" s="36"/>
      <c r="C164" s="29"/>
      <c r="D164" s="32">
        <v>30</v>
      </c>
      <c r="E164" s="46">
        <v>183.00319999999999</v>
      </c>
      <c r="F164" s="46">
        <v>37.4711</v>
      </c>
      <c r="G164" s="46">
        <v>43.5672</v>
      </c>
      <c r="H164" s="46">
        <v>44.409599999999998</v>
      </c>
      <c r="I164" s="66"/>
      <c r="J164" s="66"/>
      <c r="K164" s="67"/>
      <c r="L164" s="29"/>
      <c r="M164" s="46">
        <v>183.00319999999999</v>
      </c>
      <c r="N164" s="46">
        <v>37.4711</v>
      </c>
      <c r="O164" s="46">
        <v>43.5672</v>
      </c>
      <c r="P164" s="46">
        <v>44.409599999999998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>
      <c r="B165" s="36"/>
      <c r="C165" s="29"/>
      <c r="D165" s="32">
        <v>35</v>
      </c>
      <c r="E165" s="46">
        <v>74.273600000000002</v>
      </c>
      <c r="F165" s="46">
        <v>35.381500000000003</v>
      </c>
      <c r="G165" s="46">
        <v>41.798999999999999</v>
      </c>
      <c r="H165" s="46">
        <v>42.6312</v>
      </c>
      <c r="I165" s="66"/>
      <c r="J165" s="66"/>
      <c r="K165" s="67"/>
      <c r="L165" s="29"/>
      <c r="M165" s="46">
        <v>74.273600000000002</v>
      </c>
      <c r="N165" s="46">
        <v>35.381500000000003</v>
      </c>
      <c r="O165" s="46">
        <v>41.798999999999999</v>
      </c>
      <c r="P165" s="46">
        <v>42.6312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34.501600000000003</v>
      </c>
      <c r="F166" s="46">
        <v>33.294499999999999</v>
      </c>
      <c r="G166" s="46">
        <v>40.556699999999999</v>
      </c>
      <c r="H166" s="46">
        <v>41.396299999999997</v>
      </c>
      <c r="I166" s="66"/>
      <c r="J166" s="66"/>
      <c r="K166" s="67"/>
      <c r="L166" s="29"/>
      <c r="M166" s="46">
        <v>34.501600000000003</v>
      </c>
      <c r="N166" s="46">
        <v>33.294499999999999</v>
      </c>
      <c r="O166" s="46">
        <v>40.556699999999999</v>
      </c>
      <c r="P166" s="46">
        <v>41.396299999999997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>
      <c r="B167" s="36"/>
      <c r="C167" s="28" t="s">
        <v>28</v>
      </c>
      <c r="D167" s="31">
        <v>25</v>
      </c>
      <c r="E167" s="45">
        <v>543.8904</v>
      </c>
      <c r="F167" s="45">
        <v>39.711199999999998</v>
      </c>
      <c r="G167" s="45">
        <v>45.281300000000002</v>
      </c>
      <c r="H167" s="45">
        <v>46.137799999999999</v>
      </c>
      <c r="I167" s="79"/>
      <c r="J167" s="79"/>
      <c r="K167" s="80"/>
      <c r="L167" s="29"/>
      <c r="M167" s="45">
        <v>543.74159999999995</v>
      </c>
      <c r="N167" s="45">
        <v>39.710999999999999</v>
      </c>
      <c r="O167" s="45">
        <v>45.281199999999998</v>
      </c>
      <c r="P167" s="45">
        <v>46.1372</v>
      </c>
      <c r="Q167" s="79"/>
      <c r="R167" s="79"/>
      <c r="S167" s="80"/>
      <c r="T167" s="65"/>
      <c r="U167" s="8">
        <f>bdrate($E167:$E170,F167:F170,$M167:$M170,N167:N170)</f>
        <v>1.3838417486500276E-4</v>
      </c>
      <c r="V167" s="9">
        <f>bdrate($E167:$E170,G167:G170,$M167:$M170,O167:O170)</f>
        <v>3.0680659435500246E-4</v>
      </c>
      <c r="W167" s="10">
        <f>bdrate($E167:$E170,H167:H170,$M167:$M170,P167:P170)</f>
        <v>5.0220381026511163E-4</v>
      </c>
      <c r="X167" s="29"/>
      <c r="Y167" s="24"/>
      <c r="Z167" s="24"/>
      <c r="AA167" s="27"/>
      <c r="AB167" s="24"/>
      <c r="AC167" s="45">
        <f t="shared" si="11"/>
        <v>0.14880000000005111</v>
      </c>
      <c r="AD167" s="45">
        <f t="shared" si="10"/>
        <v>1.9999999999953388E-4</v>
      </c>
      <c r="AE167" s="45">
        <f t="shared" si="10"/>
        <v>1.0000000000331966E-4</v>
      </c>
      <c r="AF167" s="45">
        <f t="shared" si="10"/>
        <v>5.9999999999860165E-4</v>
      </c>
      <c r="AG167" s="79"/>
      <c r="AH167" s="79"/>
      <c r="AI167" s="80"/>
    </row>
    <row r="168" spans="1:35">
      <c r="B168" s="36"/>
      <c r="C168" s="29"/>
      <c r="D168" s="32">
        <v>30</v>
      </c>
      <c r="E168" s="46">
        <v>191.43440000000001</v>
      </c>
      <c r="F168" s="46">
        <v>37.429200000000002</v>
      </c>
      <c r="G168" s="46">
        <v>43.525700000000001</v>
      </c>
      <c r="H168" s="46">
        <v>44.370399999999997</v>
      </c>
      <c r="I168" s="66"/>
      <c r="J168" s="66"/>
      <c r="K168" s="67"/>
      <c r="L168" s="29"/>
      <c r="M168" s="46">
        <v>191.41839999999999</v>
      </c>
      <c r="N168" s="46">
        <v>37.429400000000001</v>
      </c>
      <c r="O168" s="46">
        <v>43.525599999999997</v>
      </c>
      <c r="P168" s="46">
        <v>44.369900000000001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1.6000000000019554E-2</v>
      </c>
      <c r="AD168" s="46">
        <f t="shared" si="10"/>
        <v>-1.9999999999953388E-4</v>
      </c>
      <c r="AE168" s="46">
        <f t="shared" si="10"/>
        <v>1.0000000000331966E-4</v>
      </c>
      <c r="AF168" s="46">
        <f t="shared" si="10"/>
        <v>4.99999999995282E-4</v>
      </c>
      <c r="AG168" s="66"/>
      <c r="AH168" s="66"/>
      <c r="AI168" s="67"/>
    </row>
    <row r="169" spans="1:35">
      <c r="B169" s="36"/>
      <c r="C169" s="29"/>
      <c r="D169" s="32">
        <v>35</v>
      </c>
      <c r="E169" s="46">
        <v>78.431200000000004</v>
      </c>
      <c r="F169" s="46">
        <v>35.337699999999998</v>
      </c>
      <c r="G169" s="46">
        <v>41.756999999999998</v>
      </c>
      <c r="H169" s="46">
        <v>42.592399999999998</v>
      </c>
      <c r="I169" s="66"/>
      <c r="J169" s="66"/>
      <c r="K169" s="67"/>
      <c r="L169" s="29"/>
      <c r="M169" s="46">
        <v>78.500799999999998</v>
      </c>
      <c r="N169" s="46">
        <v>35.338000000000001</v>
      </c>
      <c r="O169" s="46">
        <v>41.756700000000002</v>
      </c>
      <c r="P169" s="46">
        <v>42.591999999999999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-6.9599999999994111E-2</v>
      </c>
      <c r="AD169" s="46">
        <f t="shared" si="10"/>
        <v>-3.0000000000285354E-4</v>
      </c>
      <c r="AE169" s="46">
        <f t="shared" si="10"/>
        <v>2.9999999999574811E-4</v>
      </c>
      <c r="AF169" s="46">
        <f t="shared" si="10"/>
        <v>3.9999999999906777E-4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36.738399999999999</v>
      </c>
      <c r="F170" s="72">
        <v>33.243499999999997</v>
      </c>
      <c r="G170" s="72">
        <v>40.514499999999998</v>
      </c>
      <c r="H170" s="72">
        <v>41.356400000000001</v>
      </c>
      <c r="I170" s="68"/>
      <c r="J170" s="68"/>
      <c r="K170" s="69"/>
      <c r="L170" s="29"/>
      <c r="M170" s="72">
        <v>36.723199999999999</v>
      </c>
      <c r="N170" s="72">
        <v>33.243400000000001</v>
      </c>
      <c r="O170" s="72">
        <v>40.514000000000003</v>
      </c>
      <c r="P170" s="72">
        <v>41.355200000000004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1.5200000000000102E-2</v>
      </c>
      <c r="AD170" s="72">
        <f t="shared" si="10"/>
        <v>9.9999999996214228E-5</v>
      </c>
      <c r="AE170" s="72">
        <f t="shared" si="10"/>
        <v>4.99999999995282E-4</v>
      </c>
      <c r="AF170" s="72">
        <f t="shared" si="10"/>
        <v>1.1999999999972033E-3</v>
      </c>
      <c r="AG170" s="68"/>
      <c r="AH170" s="68"/>
      <c r="AI170" s="69"/>
    </row>
    <row r="171" spans="1:35">
      <c r="B171" s="36"/>
      <c r="C171" s="28" t="s">
        <v>29</v>
      </c>
      <c r="D171" s="31">
        <v>34</v>
      </c>
      <c r="E171" s="45">
        <v>288.34399999999999</v>
      </c>
      <c r="F171" s="45">
        <v>43.217599999999997</v>
      </c>
      <c r="G171" s="78"/>
      <c r="H171" s="78"/>
      <c r="I171" s="79"/>
      <c r="J171" s="79"/>
      <c r="K171" s="80"/>
      <c r="L171" s="29"/>
      <c r="M171" s="45">
        <v>288.34399999999999</v>
      </c>
      <c r="N171" s="45">
        <v>43.217599999999997</v>
      </c>
      <c r="O171" s="78">
        <v>99.99</v>
      </c>
      <c r="P171" s="78">
        <v>99.99</v>
      </c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  <c r="AC171" s="45">
        <f t="shared" si="11"/>
        <v>0</v>
      </c>
      <c r="AD171" s="45">
        <f t="shared" si="10"/>
        <v>0</v>
      </c>
      <c r="AE171" s="78"/>
      <c r="AF171" s="78"/>
      <c r="AG171" s="79"/>
      <c r="AH171" s="79"/>
      <c r="AI171" s="80"/>
    </row>
    <row r="172" spans="1:35">
      <c r="B172" s="36"/>
      <c r="C172" s="29"/>
      <c r="D172" s="32">
        <v>39</v>
      </c>
      <c r="E172" s="46">
        <v>97.664000000000001</v>
      </c>
      <c r="F172" s="46">
        <v>38.842100000000002</v>
      </c>
      <c r="G172" s="70"/>
      <c r="H172" s="70"/>
      <c r="I172" s="66"/>
      <c r="J172" s="66"/>
      <c r="K172" s="67"/>
      <c r="L172" s="29"/>
      <c r="M172" s="46">
        <v>97.664000000000001</v>
      </c>
      <c r="N172" s="46">
        <v>38.842100000000002</v>
      </c>
      <c r="O172" s="70">
        <v>99.99</v>
      </c>
      <c r="P172" s="70">
        <v>99.99</v>
      </c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</v>
      </c>
      <c r="AD172" s="46">
        <f t="shared" si="10"/>
        <v>0</v>
      </c>
      <c r="AE172" s="70"/>
      <c r="AF172" s="70"/>
      <c r="AG172" s="66"/>
      <c r="AH172" s="66"/>
      <c r="AI172" s="67"/>
    </row>
    <row r="173" spans="1:35">
      <c r="B173" s="36"/>
      <c r="C173" s="29"/>
      <c r="D173" s="32">
        <v>42</v>
      </c>
      <c r="E173" s="46">
        <v>37.169600000000003</v>
      </c>
      <c r="F173" s="46">
        <v>35.0182</v>
      </c>
      <c r="G173" s="70"/>
      <c r="H173" s="70"/>
      <c r="I173" s="66"/>
      <c r="J173" s="66"/>
      <c r="K173" s="67"/>
      <c r="L173" s="29"/>
      <c r="M173" s="46">
        <v>37.169600000000003</v>
      </c>
      <c r="N173" s="46">
        <v>35.0182</v>
      </c>
      <c r="O173" s="70">
        <v>99.99</v>
      </c>
      <c r="P173" s="70">
        <v>99.99</v>
      </c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</v>
      </c>
      <c r="AD173" s="46">
        <f t="shared" si="10"/>
        <v>0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14.864000000000001</v>
      </c>
      <c r="F174" s="46">
        <v>31.5227</v>
      </c>
      <c r="G174" s="70"/>
      <c r="H174" s="70"/>
      <c r="I174" s="66"/>
      <c r="J174" s="66"/>
      <c r="K174" s="67"/>
      <c r="L174" s="29"/>
      <c r="M174" s="46">
        <v>14.864000000000001</v>
      </c>
      <c r="N174" s="46">
        <v>31.5227</v>
      </c>
      <c r="O174" s="70">
        <v>99.99</v>
      </c>
      <c r="P174" s="70">
        <v>99.99</v>
      </c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0</v>
      </c>
      <c r="AE174" s="70"/>
      <c r="AF174" s="70"/>
      <c r="AG174" s="66"/>
      <c r="AH174" s="66"/>
      <c r="AI174" s="67"/>
    </row>
    <row r="175" spans="1:35">
      <c r="B175" s="36"/>
      <c r="C175" s="28" t="s">
        <v>30</v>
      </c>
      <c r="D175" s="31">
        <v>34</v>
      </c>
      <c r="E175" s="45">
        <v>99.961600000000004</v>
      </c>
      <c r="F175" s="45">
        <v>42.352400000000003</v>
      </c>
      <c r="G175" s="78"/>
      <c r="H175" s="78"/>
      <c r="I175" s="79"/>
      <c r="J175" s="79"/>
      <c r="K175" s="80"/>
      <c r="L175" s="29"/>
      <c r="M175" s="45">
        <v>99.961600000000004</v>
      </c>
      <c r="N175" s="45">
        <v>42.352400000000003</v>
      </c>
      <c r="O175" s="78">
        <v>99.99</v>
      </c>
      <c r="P175" s="78">
        <v>99.99</v>
      </c>
      <c r="Q175" s="79"/>
      <c r="R175" s="79"/>
      <c r="S175" s="80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  <c r="AC175" s="45">
        <f t="shared" si="11"/>
        <v>0</v>
      </c>
      <c r="AD175" s="45">
        <f t="shared" si="10"/>
        <v>0</v>
      </c>
      <c r="AE175" s="78"/>
      <c r="AF175" s="78"/>
      <c r="AG175" s="79"/>
      <c r="AH175" s="79"/>
      <c r="AI175" s="80"/>
    </row>
    <row r="176" spans="1:35">
      <c r="B176" s="36"/>
      <c r="C176" s="29"/>
      <c r="D176" s="32">
        <v>39</v>
      </c>
      <c r="E176" s="46">
        <v>28.956800000000001</v>
      </c>
      <c r="F176" s="46">
        <v>38.104399999999998</v>
      </c>
      <c r="G176" s="70"/>
      <c r="H176" s="70"/>
      <c r="I176" s="66"/>
      <c r="J176" s="66"/>
      <c r="K176" s="67"/>
      <c r="L176" s="29"/>
      <c r="M176" s="46">
        <v>28.956800000000001</v>
      </c>
      <c r="N176" s="46">
        <v>38.104399999999998</v>
      </c>
      <c r="O176" s="70">
        <v>99.99</v>
      </c>
      <c r="P176" s="70">
        <v>99.99</v>
      </c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</v>
      </c>
      <c r="AD176" s="46">
        <f t="shared" si="10"/>
        <v>0</v>
      </c>
      <c r="AE176" s="70"/>
      <c r="AF176" s="70"/>
      <c r="AG176" s="66"/>
      <c r="AH176" s="66"/>
      <c r="AI176" s="67"/>
    </row>
    <row r="177" spans="2:35">
      <c r="B177" s="36"/>
      <c r="C177" s="29"/>
      <c r="D177" s="32">
        <v>42</v>
      </c>
      <c r="E177" s="46">
        <v>11.944000000000001</v>
      </c>
      <c r="F177" s="46">
        <v>34.405999999999999</v>
      </c>
      <c r="G177" s="70"/>
      <c r="H177" s="70"/>
      <c r="I177" s="66"/>
      <c r="J177" s="66"/>
      <c r="K177" s="67"/>
      <c r="L177" s="29"/>
      <c r="M177" s="46">
        <v>11.944000000000001</v>
      </c>
      <c r="N177" s="46">
        <v>34.405999999999999</v>
      </c>
      <c r="O177" s="70">
        <v>99.99</v>
      </c>
      <c r="P177" s="70">
        <v>99.99</v>
      </c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0</v>
      </c>
      <c r="AD177" s="46">
        <f t="shared" si="10"/>
        <v>0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6.0023999999999997</v>
      </c>
      <c r="F178" s="46">
        <v>30.803100000000001</v>
      </c>
      <c r="G178" s="70"/>
      <c r="H178" s="70"/>
      <c r="I178" s="66"/>
      <c r="J178" s="66"/>
      <c r="K178" s="67"/>
      <c r="L178" s="29"/>
      <c r="M178" s="46">
        <v>6.0023999999999997</v>
      </c>
      <c r="N178" s="46">
        <v>30.803100000000001</v>
      </c>
      <c r="O178" s="70">
        <v>99.99</v>
      </c>
      <c r="P178" s="70">
        <v>99.99</v>
      </c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0</v>
      </c>
      <c r="AD178" s="46">
        <f t="shared" si="10"/>
        <v>0</v>
      </c>
      <c r="AE178" s="70"/>
      <c r="AF178" s="70"/>
      <c r="AG178" s="66"/>
      <c r="AH178" s="66"/>
      <c r="AI178" s="67"/>
    </row>
    <row r="179" spans="2:35">
      <c r="B179" s="36"/>
      <c r="C179" s="28" t="s">
        <v>31</v>
      </c>
      <c r="D179" s="31">
        <v>34</v>
      </c>
      <c r="E179" s="45">
        <v>103.664</v>
      </c>
      <c r="F179" s="45">
        <v>42.279400000000003</v>
      </c>
      <c r="G179" s="78"/>
      <c r="H179" s="78"/>
      <c r="I179" s="79"/>
      <c r="J179" s="79"/>
      <c r="K179" s="80"/>
      <c r="L179" s="29"/>
      <c r="M179" s="45">
        <v>103.7568</v>
      </c>
      <c r="N179" s="45">
        <v>42.284399999999998</v>
      </c>
      <c r="O179" s="78">
        <v>99.99</v>
      </c>
      <c r="P179" s="78">
        <v>99.99</v>
      </c>
      <c r="Q179" s="79"/>
      <c r="R179" s="79"/>
      <c r="S179" s="80"/>
      <c r="T179" s="24"/>
      <c r="U179" s="8">
        <f>bdrate($E179:$E182,F179:F182,$M179:$M182,N179:N182)</f>
        <v>-2.2480542999546715E-3</v>
      </c>
      <c r="V179" s="9"/>
      <c r="W179" s="10"/>
      <c r="X179" s="29"/>
      <c r="Y179" s="24"/>
      <c r="Z179" s="24"/>
      <c r="AA179" s="27"/>
      <c r="AB179" s="24"/>
      <c r="AC179" s="45">
        <f t="shared" si="11"/>
        <v>-9.2799999999996885E-2</v>
      </c>
      <c r="AD179" s="45">
        <f t="shared" si="10"/>
        <v>-4.9999999999954525E-3</v>
      </c>
      <c r="AE179" s="78"/>
      <c r="AF179" s="78"/>
      <c r="AG179" s="79"/>
      <c r="AH179" s="79"/>
      <c r="AI179" s="80"/>
    </row>
    <row r="180" spans="2:35">
      <c r="B180" s="36"/>
      <c r="C180" s="29"/>
      <c r="D180" s="32">
        <v>39</v>
      </c>
      <c r="E180" s="46">
        <v>30.575199999999999</v>
      </c>
      <c r="F180" s="46">
        <v>38.071800000000003</v>
      </c>
      <c r="G180" s="70"/>
      <c r="H180" s="70"/>
      <c r="I180" s="66"/>
      <c r="J180" s="66"/>
      <c r="K180" s="67"/>
      <c r="L180" s="29"/>
      <c r="M180" s="46">
        <v>30.605599999999999</v>
      </c>
      <c r="N180" s="46">
        <v>38.0745</v>
      </c>
      <c r="O180" s="70">
        <v>99.99</v>
      </c>
      <c r="P180" s="70">
        <v>99.99</v>
      </c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-3.0400000000000205E-2</v>
      </c>
      <c r="AD180" s="46">
        <f t="shared" si="10"/>
        <v>-2.6999999999972601E-3</v>
      </c>
      <c r="AE180" s="70"/>
      <c r="AF180" s="70"/>
      <c r="AG180" s="66"/>
      <c r="AH180" s="66"/>
      <c r="AI180" s="67"/>
    </row>
    <row r="181" spans="2:35">
      <c r="B181" s="36"/>
      <c r="C181" s="29"/>
      <c r="D181" s="32">
        <v>42</v>
      </c>
      <c r="E181" s="46">
        <v>12.44</v>
      </c>
      <c r="F181" s="46">
        <v>34.4405</v>
      </c>
      <c r="G181" s="70"/>
      <c r="H181" s="70"/>
      <c r="I181" s="66"/>
      <c r="J181" s="66"/>
      <c r="K181" s="67"/>
      <c r="L181" s="29"/>
      <c r="M181" s="46">
        <v>12.356</v>
      </c>
      <c r="N181" s="46">
        <v>34.434899999999999</v>
      </c>
      <c r="O181" s="70">
        <v>99.99</v>
      </c>
      <c r="P181" s="70">
        <v>99.99</v>
      </c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8.3999999999999631E-2</v>
      </c>
      <c r="AD181" s="46">
        <f t="shared" si="10"/>
        <v>5.6000000000011596E-3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6.0839999999999996</v>
      </c>
      <c r="F182" s="46">
        <v>30.969200000000001</v>
      </c>
      <c r="G182" s="70"/>
      <c r="H182" s="70"/>
      <c r="I182" s="66"/>
      <c r="J182" s="66"/>
      <c r="K182" s="67"/>
      <c r="L182" s="29"/>
      <c r="M182" s="46">
        <v>6.0448000000000004</v>
      </c>
      <c r="N182" s="46">
        <v>30.9529</v>
      </c>
      <c r="O182" s="70">
        <v>99.99</v>
      </c>
      <c r="P182" s="70">
        <v>99.99</v>
      </c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3.9199999999999235E-2</v>
      </c>
      <c r="AD182" s="46">
        <f t="shared" si="10"/>
        <v>1.6300000000001091E-2</v>
      </c>
      <c r="AE182" s="46"/>
      <c r="AF182" s="46"/>
      <c r="AG182" s="66"/>
      <c r="AH182" s="66"/>
      <c r="AI182" s="67"/>
    </row>
    <row r="183" spans="2:35">
      <c r="B183" s="36"/>
      <c r="C183" s="28" t="s">
        <v>47</v>
      </c>
      <c r="D183" s="31">
        <v>25</v>
      </c>
      <c r="E183" s="78"/>
      <c r="F183" s="45">
        <v>39.851199999999999</v>
      </c>
      <c r="G183" s="45">
        <v>46.5122</v>
      </c>
      <c r="H183" s="45">
        <v>46.484000000000002</v>
      </c>
      <c r="I183" s="79"/>
      <c r="J183" s="79"/>
      <c r="K183" s="80"/>
      <c r="L183" s="29"/>
      <c r="M183" s="78"/>
      <c r="N183" s="45"/>
      <c r="O183" s="45"/>
      <c r="P183" s="45"/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39.851199999999999</v>
      </c>
      <c r="AE183" s="45">
        <f t="shared" si="10"/>
        <v>46.5122</v>
      </c>
      <c r="AF183" s="45">
        <f t="shared" si="10"/>
        <v>46.484000000000002</v>
      </c>
      <c r="AG183" s="79"/>
      <c r="AH183" s="79"/>
      <c r="AI183" s="80"/>
    </row>
    <row r="184" spans="2:35">
      <c r="B184" s="36"/>
      <c r="C184" s="29"/>
      <c r="D184" s="32">
        <v>30</v>
      </c>
      <c r="E184" s="70"/>
      <c r="F184" s="46">
        <v>37.591099999999997</v>
      </c>
      <c r="G184" s="46">
        <v>44.745699999999999</v>
      </c>
      <c r="H184" s="46">
        <v>45.0244</v>
      </c>
      <c r="I184" s="66"/>
      <c r="J184" s="66"/>
      <c r="K184" s="67"/>
      <c r="L184" s="29"/>
      <c r="M184" s="70"/>
      <c r="N184" s="46"/>
      <c r="O184" s="46"/>
      <c r="P184" s="46"/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37.591099999999997</v>
      </c>
      <c r="AE184" s="46">
        <f t="shared" si="10"/>
        <v>44.745699999999999</v>
      </c>
      <c r="AF184" s="46">
        <f t="shared" si="10"/>
        <v>45.0244</v>
      </c>
      <c r="AG184" s="66"/>
      <c r="AH184" s="66"/>
      <c r="AI184" s="67"/>
    </row>
    <row r="185" spans="2:35">
      <c r="B185" s="36"/>
      <c r="C185" s="29"/>
      <c r="D185" s="32">
        <v>35</v>
      </c>
      <c r="E185" s="70"/>
      <c r="F185" s="46">
        <v>35.503300000000003</v>
      </c>
      <c r="G185" s="46">
        <v>42.784199999999998</v>
      </c>
      <c r="H185" s="46">
        <v>43.370100000000001</v>
      </c>
      <c r="I185" s="66"/>
      <c r="J185" s="66"/>
      <c r="K185" s="67"/>
      <c r="L185" s="29"/>
      <c r="M185" s="70"/>
      <c r="N185" s="46"/>
      <c r="O185" s="46"/>
      <c r="P185" s="46"/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35.503300000000003</v>
      </c>
      <c r="AE185" s="46">
        <f t="shared" si="10"/>
        <v>42.784199999999998</v>
      </c>
      <c r="AF185" s="46">
        <f t="shared" si="10"/>
        <v>43.370100000000001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33.411900000000003</v>
      </c>
      <c r="G186" s="72">
        <v>41.403500000000001</v>
      </c>
      <c r="H186" s="72">
        <v>42.098199999999999</v>
      </c>
      <c r="I186" s="68"/>
      <c r="J186" s="68"/>
      <c r="K186" s="69"/>
      <c r="L186" s="29"/>
      <c r="M186" s="81"/>
      <c r="N186" s="72"/>
      <c r="O186" s="72"/>
      <c r="P186" s="72"/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33.411900000000003</v>
      </c>
      <c r="AE186" s="72">
        <f t="shared" si="10"/>
        <v>41.403500000000001</v>
      </c>
      <c r="AF186" s="72">
        <f t="shared" si="10"/>
        <v>42.098199999999999</v>
      </c>
      <c r="AG186" s="68"/>
      <c r="AH186" s="68"/>
      <c r="AI186" s="69"/>
    </row>
    <row r="187" spans="2:35">
      <c r="B187" s="36"/>
      <c r="C187" s="29" t="s">
        <v>48</v>
      </c>
      <c r="D187" s="32">
        <v>25</v>
      </c>
      <c r="E187" s="70"/>
      <c r="F187" s="45">
        <v>40.031100000000002</v>
      </c>
      <c r="G187" s="45">
        <v>46.3155</v>
      </c>
      <c r="H187" s="45">
        <v>46.765300000000003</v>
      </c>
      <c r="I187" s="66"/>
      <c r="J187" s="66"/>
      <c r="K187" s="67"/>
      <c r="L187" s="29"/>
      <c r="M187" s="70"/>
      <c r="N187" s="45"/>
      <c r="O187" s="45"/>
      <c r="P187" s="45"/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40.031100000000002</v>
      </c>
      <c r="AE187" s="45">
        <f t="shared" si="10"/>
        <v>46.3155</v>
      </c>
      <c r="AF187" s="45">
        <f t="shared" si="10"/>
        <v>46.765300000000003</v>
      </c>
      <c r="AG187" s="66"/>
      <c r="AH187" s="66"/>
      <c r="AI187" s="67"/>
    </row>
    <row r="188" spans="2:35">
      <c r="B188" s="36"/>
      <c r="C188" s="29"/>
      <c r="D188" s="32">
        <v>30</v>
      </c>
      <c r="E188" s="70"/>
      <c r="F188" s="46">
        <v>37.743099999999998</v>
      </c>
      <c r="G188" s="46">
        <v>44.666899999999998</v>
      </c>
      <c r="H188" s="46">
        <v>45.193800000000003</v>
      </c>
      <c r="I188" s="66"/>
      <c r="J188" s="66"/>
      <c r="K188" s="67"/>
      <c r="L188" s="29"/>
      <c r="M188" s="70"/>
      <c r="N188" s="46"/>
      <c r="O188" s="46"/>
      <c r="P188" s="46"/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37.743099999999998</v>
      </c>
      <c r="AE188" s="46">
        <f t="shared" si="10"/>
        <v>44.666899999999998</v>
      </c>
      <c r="AF188" s="46">
        <f t="shared" si="10"/>
        <v>45.193800000000003</v>
      </c>
      <c r="AG188" s="66"/>
      <c r="AH188" s="66"/>
      <c r="AI188" s="67"/>
    </row>
    <row r="189" spans="2:35">
      <c r="B189" s="36"/>
      <c r="C189" s="29"/>
      <c r="D189" s="32">
        <v>35</v>
      </c>
      <c r="E189" s="70"/>
      <c r="F189" s="46">
        <v>35.607399999999998</v>
      </c>
      <c r="G189" s="46">
        <v>42.816499999999998</v>
      </c>
      <c r="H189" s="46">
        <v>43.4373</v>
      </c>
      <c r="I189" s="66"/>
      <c r="J189" s="66"/>
      <c r="K189" s="67"/>
      <c r="L189" s="29"/>
      <c r="M189" s="70"/>
      <c r="N189" s="46"/>
      <c r="O189" s="46"/>
      <c r="P189" s="46"/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35.607399999999998</v>
      </c>
      <c r="AE189" s="46">
        <f t="shared" si="10"/>
        <v>42.816499999999998</v>
      </c>
      <c r="AF189" s="46">
        <f t="shared" si="10"/>
        <v>43.4373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33.480800000000002</v>
      </c>
      <c r="G190" s="72">
        <v>41.494799999999998</v>
      </c>
      <c r="H190" s="72">
        <v>42.170099999999998</v>
      </c>
      <c r="I190" s="68"/>
      <c r="J190" s="68"/>
      <c r="K190" s="69"/>
      <c r="L190" s="29"/>
      <c r="M190" s="81"/>
      <c r="N190" s="46"/>
      <c r="O190" s="72"/>
      <c r="P190" s="72"/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33.480800000000002</v>
      </c>
      <c r="AE190" s="46">
        <f t="shared" si="10"/>
        <v>41.494799999999998</v>
      </c>
      <c r="AF190" s="46">
        <f t="shared" si="10"/>
        <v>42.170099999999998</v>
      </c>
      <c r="AG190" s="68"/>
      <c r="AH190" s="68"/>
      <c r="AI190" s="69"/>
    </row>
    <row r="191" spans="2:35">
      <c r="B191" s="36"/>
      <c r="C191" s="29" t="s">
        <v>49</v>
      </c>
      <c r="D191" s="32">
        <v>25</v>
      </c>
      <c r="E191" s="70"/>
      <c r="F191" s="45">
        <v>40.285899999999998</v>
      </c>
      <c r="G191" s="45">
        <v>46.962000000000003</v>
      </c>
      <c r="H191" s="45">
        <v>47.795299999999997</v>
      </c>
      <c r="I191" s="66"/>
      <c r="J191" s="66"/>
      <c r="K191" s="67"/>
      <c r="L191" s="29"/>
      <c r="M191" s="70"/>
      <c r="N191" s="45"/>
      <c r="O191" s="45"/>
      <c r="P191" s="45"/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40.285899999999998</v>
      </c>
      <c r="AE191" s="45">
        <f t="shared" si="10"/>
        <v>46.962000000000003</v>
      </c>
      <c r="AF191" s="45">
        <f t="shared" si="10"/>
        <v>47.795299999999997</v>
      </c>
      <c r="AG191" s="66"/>
      <c r="AH191" s="66"/>
      <c r="AI191" s="67"/>
    </row>
    <row r="192" spans="2:35">
      <c r="B192" s="36"/>
      <c r="C192" s="29"/>
      <c r="D192" s="32">
        <v>30</v>
      </c>
      <c r="E192" s="70"/>
      <c r="F192" s="46">
        <v>37.874000000000002</v>
      </c>
      <c r="G192" s="46">
        <v>45.049300000000002</v>
      </c>
      <c r="H192" s="46">
        <v>45.866100000000003</v>
      </c>
      <c r="I192" s="66"/>
      <c r="J192" s="66"/>
      <c r="K192" s="67"/>
      <c r="L192" s="29"/>
      <c r="M192" s="70"/>
      <c r="N192" s="46"/>
      <c r="O192" s="46"/>
      <c r="P192" s="46"/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37.874000000000002</v>
      </c>
      <c r="AE192" s="46">
        <f t="shared" si="10"/>
        <v>45.049300000000002</v>
      </c>
      <c r="AF192" s="46">
        <f t="shared" si="10"/>
        <v>45.866100000000003</v>
      </c>
      <c r="AG192" s="66"/>
      <c r="AH192" s="66"/>
      <c r="AI192" s="67"/>
    </row>
    <row r="193" spans="2:35">
      <c r="B193" s="36"/>
      <c r="C193" s="29"/>
      <c r="D193" s="32">
        <v>35</v>
      </c>
      <c r="E193" s="70"/>
      <c r="F193" s="46">
        <v>35.674900000000001</v>
      </c>
      <c r="G193" s="46">
        <v>43.036099999999998</v>
      </c>
      <c r="H193" s="46">
        <v>43.827199999999998</v>
      </c>
      <c r="I193" s="66"/>
      <c r="J193" s="66"/>
      <c r="K193" s="67"/>
      <c r="L193" s="29"/>
      <c r="M193" s="70"/>
      <c r="N193" s="46"/>
      <c r="O193" s="46"/>
      <c r="P193" s="46"/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35.674900000000001</v>
      </c>
      <c r="AE193" s="46">
        <f t="shared" si="10"/>
        <v>43.036099999999998</v>
      </c>
      <c r="AF193" s="46">
        <f t="shared" si="10"/>
        <v>43.827199999999998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33.513800000000003</v>
      </c>
      <c r="G194" s="72">
        <v>41.656599999999997</v>
      </c>
      <c r="H194" s="72">
        <v>42.438400000000001</v>
      </c>
      <c r="I194" s="68"/>
      <c r="J194" s="68"/>
      <c r="K194" s="69"/>
      <c r="L194" s="29"/>
      <c r="M194" s="81"/>
      <c r="N194" s="46"/>
      <c r="O194" s="72"/>
      <c r="P194" s="72"/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33.513800000000003</v>
      </c>
      <c r="AE194" s="46">
        <f t="shared" si="10"/>
        <v>41.656599999999997</v>
      </c>
      <c r="AF194" s="46">
        <f t="shared" si="10"/>
        <v>42.438400000000001</v>
      </c>
      <c r="AG194" s="68"/>
      <c r="AH194" s="68"/>
      <c r="AI194" s="69"/>
    </row>
    <row r="195" spans="2:35">
      <c r="B195" s="36"/>
      <c r="C195" s="29" t="s">
        <v>50</v>
      </c>
      <c r="D195" s="32">
        <v>25</v>
      </c>
      <c r="E195" s="70"/>
      <c r="F195" s="45">
        <v>40.260899999999999</v>
      </c>
      <c r="G195" s="45">
        <v>46.961300000000001</v>
      </c>
      <c r="H195" s="45">
        <v>47.786200000000001</v>
      </c>
      <c r="I195" s="66"/>
      <c r="J195" s="66"/>
      <c r="K195" s="67"/>
      <c r="L195" s="29"/>
      <c r="M195" s="70"/>
      <c r="N195" s="45"/>
      <c r="O195" s="45"/>
      <c r="P195" s="45"/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40.260899999999999</v>
      </c>
      <c r="AE195" s="45">
        <f t="shared" si="10"/>
        <v>46.961300000000001</v>
      </c>
      <c r="AF195" s="45">
        <f t="shared" si="10"/>
        <v>47.786200000000001</v>
      </c>
      <c r="AG195" s="66"/>
      <c r="AH195" s="66"/>
      <c r="AI195" s="67"/>
    </row>
    <row r="196" spans="2:35">
      <c r="B196" s="36"/>
      <c r="C196" s="29"/>
      <c r="D196" s="32">
        <v>30</v>
      </c>
      <c r="E196" s="70"/>
      <c r="F196" s="46">
        <v>37.859000000000002</v>
      </c>
      <c r="G196" s="46">
        <v>45.049399999999999</v>
      </c>
      <c r="H196" s="46">
        <v>45.852699999999999</v>
      </c>
      <c r="I196" s="66"/>
      <c r="J196" s="66"/>
      <c r="K196" s="67"/>
      <c r="L196" s="29"/>
      <c r="M196" s="70"/>
      <c r="N196" s="46"/>
      <c r="O196" s="46"/>
      <c r="P196" s="46"/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37.859000000000002</v>
      </c>
      <c r="AE196" s="46">
        <f t="shared" si="10"/>
        <v>45.049399999999999</v>
      </c>
      <c r="AF196" s="46">
        <f t="shared" si="10"/>
        <v>45.852699999999999</v>
      </c>
      <c r="AG196" s="66"/>
      <c r="AH196" s="66"/>
      <c r="AI196" s="67"/>
    </row>
    <row r="197" spans="2:35">
      <c r="B197" s="36"/>
      <c r="C197" s="29"/>
      <c r="D197" s="32">
        <v>35</v>
      </c>
      <c r="E197" s="70"/>
      <c r="F197" s="46">
        <v>35.667099999999998</v>
      </c>
      <c r="G197" s="46">
        <v>43.030799999999999</v>
      </c>
      <c r="H197" s="46">
        <v>43.812100000000001</v>
      </c>
      <c r="I197" s="66"/>
      <c r="J197" s="66"/>
      <c r="K197" s="67"/>
      <c r="L197" s="29"/>
      <c r="M197" s="70"/>
      <c r="N197" s="46"/>
      <c r="O197" s="46"/>
      <c r="P197" s="46"/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35.667099999999998</v>
      </c>
      <c r="AE197" s="46">
        <f t="shared" si="10"/>
        <v>43.030799999999999</v>
      </c>
      <c r="AF197" s="46">
        <f t="shared" si="10"/>
        <v>43.812100000000001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33.5092</v>
      </c>
      <c r="G198" s="72">
        <v>41.651499999999999</v>
      </c>
      <c r="H198" s="72">
        <v>42.420200000000001</v>
      </c>
      <c r="I198" s="68"/>
      <c r="J198" s="68"/>
      <c r="K198" s="69"/>
      <c r="L198" s="29"/>
      <c r="M198" s="81"/>
      <c r="N198" s="46"/>
      <c r="O198" s="72"/>
      <c r="P198" s="72"/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33.5092</v>
      </c>
      <c r="AE198" s="46">
        <f t="shared" si="10"/>
        <v>41.651499999999999</v>
      </c>
      <c r="AF198" s="46">
        <f t="shared" si="10"/>
        <v>42.420200000000001</v>
      </c>
      <c r="AG198" s="68"/>
      <c r="AH198" s="68"/>
      <c r="AI198" s="69"/>
    </row>
    <row r="199" spans="2:35">
      <c r="B199" s="36"/>
      <c r="C199" s="29" t="s">
        <v>51</v>
      </c>
      <c r="D199" s="32">
        <v>25</v>
      </c>
      <c r="E199" s="70"/>
      <c r="F199" s="45">
        <v>40.040599999999998</v>
      </c>
      <c r="G199" s="45">
        <v>46.277200000000001</v>
      </c>
      <c r="H199" s="45">
        <v>47.014400000000002</v>
      </c>
      <c r="I199" s="66"/>
      <c r="J199" s="66"/>
      <c r="K199" s="67"/>
      <c r="L199" s="29"/>
      <c r="M199" s="70"/>
      <c r="N199" s="45"/>
      <c r="O199" s="45"/>
      <c r="P199" s="45"/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40.040599999999998</v>
      </c>
      <c r="AE199" s="45">
        <f t="shared" si="10"/>
        <v>46.277200000000001</v>
      </c>
      <c r="AF199" s="45">
        <f t="shared" si="10"/>
        <v>47.014400000000002</v>
      </c>
      <c r="AG199" s="66"/>
      <c r="AH199" s="66"/>
      <c r="AI199" s="67"/>
    </row>
    <row r="200" spans="2:35">
      <c r="B200" s="36"/>
      <c r="C200" s="29"/>
      <c r="D200" s="32">
        <v>30</v>
      </c>
      <c r="E200" s="70"/>
      <c r="F200" s="46">
        <v>37.726199999999999</v>
      </c>
      <c r="G200" s="46">
        <v>44.642499999999998</v>
      </c>
      <c r="H200" s="46">
        <v>45.310699999999997</v>
      </c>
      <c r="I200" s="66"/>
      <c r="J200" s="66"/>
      <c r="K200" s="67"/>
      <c r="L200" s="29"/>
      <c r="M200" s="70"/>
      <c r="N200" s="46"/>
      <c r="O200" s="46"/>
      <c r="P200" s="46"/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37.726199999999999</v>
      </c>
      <c r="AE200" s="46">
        <f t="shared" si="10"/>
        <v>44.642499999999998</v>
      </c>
      <c r="AF200" s="46">
        <f t="shared" si="10"/>
        <v>45.310699999999997</v>
      </c>
      <c r="AG200" s="66"/>
      <c r="AH200" s="66"/>
      <c r="AI200" s="67"/>
    </row>
    <row r="201" spans="2:35">
      <c r="B201" s="36"/>
      <c r="C201" s="29"/>
      <c r="D201" s="32">
        <v>35</v>
      </c>
      <c r="E201" s="70"/>
      <c r="F201" s="46">
        <v>35.588799999999999</v>
      </c>
      <c r="G201" s="46">
        <v>42.772100000000002</v>
      </c>
      <c r="H201" s="46">
        <v>43.451000000000001</v>
      </c>
      <c r="I201" s="66"/>
      <c r="J201" s="66"/>
      <c r="K201" s="67"/>
      <c r="L201" s="29"/>
      <c r="M201" s="70"/>
      <c r="N201" s="46"/>
      <c r="O201" s="46"/>
      <c r="P201" s="46"/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35.588799999999999</v>
      </c>
      <c r="AE201" s="46">
        <f t="shared" si="10"/>
        <v>42.772100000000002</v>
      </c>
      <c r="AF201" s="46">
        <f t="shared" si="10"/>
        <v>43.451000000000001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33.455800000000004</v>
      </c>
      <c r="G202" s="72">
        <v>41.449100000000001</v>
      </c>
      <c r="H202" s="72">
        <v>42.1417</v>
      </c>
      <c r="I202" s="68"/>
      <c r="J202" s="68"/>
      <c r="K202" s="69"/>
      <c r="L202" s="29"/>
      <c r="M202" s="81"/>
      <c r="N202" s="72"/>
      <c r="O202" s="72"/>
      <c r="P202" s="72"/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33.455800000000004</v>
      </c>
      <c r="AE202" s="72">
        <f t="shared" si="10"/>
        <v>41.449100000000001</v>
      </c>
      <c r="AF202" s="72">
        <f t="shared" si="10"/>
        <v>42.1417</v>
      </c>
      <c r="AG202" s="68"/>
      <c r="AH202" s="68"/>
      <c r="AI202" s="69"/>
    </row>
    <row r="203" spans="2:35">
      <c r="B203" s="36"/>
      <c r="C203" s="29" t="s">
        <v>52</v>
      </c>
      <c r="D203" s="32">
        <v>25</v>
      </c>
      <c r="E203" s="70"/>
      <c r="F203" s="45">
        <v>39.835599999999999</v>
      </c>
      <c r="G203" s="45">
        <v>46.335900000000002</v>
      </c>
      <c r="H203" s="45">
        <v>46.590299999999999</v>
      </c>
      <c r="I203" s="66"/>
      <c r="J203" s="66"/>
      <c r="K203" s="67"/>
      <c r="L203" s="29"/>
      <c r="M203" s="70"/>
      <c r="N203" s="45"/>
      <c r="O203" s="45"/>
      <c r="P203" s="45"/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39.835599999999999</v>
      </c>
      <c r="AE203" s="45">
        <f t="shared" si="10"/>
        <v>46.335900000000002</v>
      </c>
      <c r="AF203" s="45">
        <f t="shared" si="10"/>
        <v>46.590299999999999</v>
      </c>
      <c r="AG203" s="45"/>
      <c r="AH203" s="66"/>
      <c r="AI203" s="67"/>
    </row>
    <row r="204" spans="2:35">
      <c r="B204" s="36"/>
      <c r="C204" s="29"/>
      <c r="D204" s="32">
        <v>30</v>
      </c>
      <c r="E204" s="70"/>
      <c r="F204" s="46">
        <v>37.555700000000002</v>
      </c>
      <c r="G204" s="46">
        <v>44.619599999999998</v>
      </c>
      <c r="H204" s="46">
        <v>45.070099999999996</v>
      </c>
      <c r="I204" s="66"/>
      <c r="J204" s="66"/>
      <c r="K204" s="67"/>
      <c r="L204" s="29"/>
      <c r="M204" s="70"/>
      <c r="N204" s="46"/>
      <c r="O204" s="46"/>
      <c r="P204" s="46"/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37.555700000000002</v>
      </c>
      <c r="AE204" s="46">
        <f t="shared" si="10"/>
        <v>44.619599999999998</v>
      </c>
      <c r="AF204" s="46">
        <f t="shared" si="10"/>
        <v>45.070099999999996</v>
      </c>
      <c r="AG204" s="66"/>
      <c r="AH204" s="66"/>
      <c r="AI204" s="67"/>
    </row>
    <row r="205" spans="2:35">
      <c r="B205" s="36"/>
      <c r="C205" s="29"/>
      <c r="D205" s="32">
        <v>35</v>
      </c>
      <c r="E205" s="70"/>
      <c r="F205" s="46">
        <v>35.457999999999998</v>
      </c>
      <c r="G205" s="46">
        <v>42.694200000000002</v>
      </c>
      <c r="H205" s="46">
        <v>43.2682</v>
      </c>
      <c r="I205" s="66"/>
      <c r="J205" s="66"/>
      <c r="K205" s="67"/>
      <c r="L205" s="29"/>
      <c r="M205" s="70"/>
      <c r="N205" s="46"/>
      <c r="O205" s="46"/>
      <c r="P205" s="46"/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35.457999999999998</v>
      </c>
      <c r="AE205" s="46">
        <f t="shared" si="10"/>
        <v>42.694200000000002</v>
      </c>
      <c r="AF205" s="46">
        <f t="shared" si="10"/>
        <v>43.2682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33.3581</v>
      </c>
      <c r="G206" s="72">
        <v>41.347299999999997</v>
      </c>
      <c r="H206" s="72">
        <v>42.001100000000001</v>
      </c>
      <c r="I206" s="68"/>
      <c r="J206" s="68"/>
      <c r="K206" s="69"/>
      <c r="L206" s="29"/>
      <c r="M206" s="81"/>
      <c r="N206" s="72"/>
      <c r="O206" s="72"/>
      <c r="P206" s="72"/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33.3581</v>
      </c>
      <c r="AE206" s="72">
        <f t="shared" si="10"/>
        <v>41.347299999999997</v>
      </c>
      <c r="AF206" s="72">
        <f t="shared" si="10"/>
        <v>42.001100000000001</v>
      </c>
      <c r="AG206" s="68"/>
      <c r="AH206" s="68"/>
      <c r="AI206" s="69"/>
    </row>
    <row r="207" spans="2:35">
      <c r="B207" s="36"/>
      <c r="C207" s="29" t="s">
        <v>12</v>
      </c>
      <c r="D207" s="32">
        <v>25</v>
      </c>
      <c r="E207" s="45">
        <v>5276.5216</v>
      </c>
      <c r="F207" s="70"/>
      <c r="G207" s="70"/>
      <c r="H207" s="70"/>
      <c r="I207" s="45">
        <v>60346.78</v>
      </c>
      <c r="J207" s="45">
        <v>100.97</v>
      </c>
      <c r="K207" s="45">
        <v>727.56</v>
      </c>
      <c r="L207" s="29"/>
      <c r="M207" s="45">
        <v>5276.4656000000004</v>
      </c>
      <c r="N207" s="70"/>
      <c r="O207" s="70"/>
      <c r="P207" s="70"/>
      <c r="Q207" s="45">
        <v>71635.34</v>
      </c>
      <c r="R207" s="45"/>
      <c r="S207" s="45"/>
      <c r="U207" s="8"/>
      <c r="V207" s="9"/>
      <c r="W207" s="10"/>
      <c r="X207" s="29"/>
      <c r="Y207" s="61">
        <f>GEOMEAN(Q207:Q210)/GEOMEAN(I207:I210)</f>
        <v>1.0054107112469628</v>
      </c>
      <c r="Z207" s="61" t="e">
        <f>GEOMEAN(R207:R210)/GEOMEAN(J207:J210)</f>
        <v>#NUM!</v>
      </c>
      <c r="AA207" s="57" t="e">
        <f>GEOMEAN(S207:S210)/GEOMEAN(K207:K210)</f>
        <v>#NUM!</v>
      </c>
      <c r="AC207" s="45">
        <f>E207 -M207</f>
        <v>5.599999999958527E-2</v>
      </c>
      <c r="AD207" s="70"/>
      <c r="AE207" s="70"/>
      <c r="AF207" s="70"/>
      <c r="AG207" s="45">
        <f t="shared" ref="AG207:AI210" si="12">I207 -Q207</f>
        <v>-11288.559999999998</v>
      </c>
      <c r="AH207" s="45">
        <f t="shared" si="12"/>
        <v>100.97</v>
      </c>
      <c r="AI207" s="45">
        <f t="shared" si="12"/>
        <v>727.56</v>
      </c>
    </row>
    <row r="208" spans="2:35">
      <c r="B208" s="36"/>
      <c r="C208" s="29"/>
      <c r="D208" s="32">
        <v>30</v>
      </c>
      <c r="E208" s="46">
        <v>2152.94</v>
      </c>
      <c r="F208" s="70"/>
      <c r="G208" s="70"/>
      <c r="H208" s="70"/>
      <c r="I208" s="46">
        <v>43804.19</v>
      </c>
      <c r="J208" s="46">
        <v>90.37</v>
      </c>
      <c r="K208" s="46">
        <v>728.16</v>
      </c>
      <c r="L208" s="29"/>
      <c r="M208" s="46">
        <v>2152.9544000000001</v>
      </c>
      <c r="N208" s="70"/>
      <c r="O208" s="70"/>
      <c r="P208" s="70"/>
      <c r="Q208" s="46">
        <v>43162.71</v>
      </c>
      <c r="R208" s="46"/>
      <c r="S208" s="46"/>
      <c r="U208" s="41"/>
      <c r="V208" s="42"/>
      <c r="W208" s="43"/>
      <c r="X208" s="29"/>
      <c r="Y208" s="24"/>
      <c r="Z208" s="24"/>
      <c r="AA208" s="27"/>
      <c r="AC208" s="46">
        <f>E208 -M208</f>
        <v>-1.4400000000023283E-2</v>
      </c>
      <c r="AD208" s="70"/>
      <c r="AE208" s="70"/>
      <c r="AF208" s="70"/>
      <c r="AG208" s="46">
        <f t="shared" si="12"/>
        <v>641.4800000000032</v>
      </c>
      <c r="AH208" s="46">
        <f t="shared" si="12"/>
        <v>90.37</v>
      </c>
      <c r="AI208" s="46">
        <f t="shared" si="12"/>
        <v>728.16</v>
      </c>
    </row>
    <row r="209" spans="1:35">
      <c r="B209" s="36"/>
      <c r="C209" s="29"/>
      <c r="D209" s="32">
        <v>35</v>
      </c>
      <c r="E209" s="46">
        <v>975.58799999999997</v>
      </c>
      <c r="F209" s="70"/>
      <c r="G209" s="70"/>
      <c r="H209" s="70"/>
      <c r="I209" s="46">
        <v>35307.360000000001</v>
      </c>
      <c r="J209" s="46">
        <v>85.72</v>
      </c>
      <c r="K209" s="46">
        <v>728.24</v>
      </c>
      <c r="L209" s="29"/>
      <c r="M209" s="46">
        <v>975.57360000000006</v>
      </c>
      <c r="N209" s="70"/>
      <c r="O209" s="70"/>
      <c r="P209" s="70"/>
      <c r="Q209" s="46">
        <v>30183.89</v>
      </c>
      <c r="R209" s="46"/>
      <c r="S209" s="46"/>
      <c r="U209" s="17"/>
      <c r="V209" s="18"/>
      <c r="W209" s="19"/>
      <c r="X209" s="29"/>
      <c r="Y209" s="24"/>
      <c r="Z209" s="24"/>
      <c r="AA209" s="27"/>
      <c r="AC209" s="46">
        <f>E209 -M209</f>
        <v>1.4399999999909596E-2</v>
      </c>
      <c r="AD209" s="70"/>
      <c r="AE209" s="70"/>
      <c r="AF209" s="70"/>
      <c r="AG209" s="46">
        <f t="shared" si="12"/>
        <v>5123.4700000000012</v>
      </c>
      <c r="AH209" s="46">
        <f t="shared" si="12"/>
        <v>85.72</v>
      </c>
      <c r="AI209" s="46">
        <f t="shared" si="12"/>
        <v>728.24</v>
      </c>
    </row>
    <row r="210" spans="1:35" ht="12.75" thickBot="1">
      <c r="B210" s="52"/>
      <c r="C210" s="53"/>
      <c r="D210" s="71">
        <v>40</v>
      </c>
      <c r="E210" s="72">
        <v>468.3168</v>
      </c>
      <c r="F210" s="81"/>
      <c r="G210" s="81"/>
      <c r="H210" s="81"/>
      <c r="I210" s="72">
        <v>29808.400000000001</v>
      </c>
      <c r="J210" s="72">
        <v>84.6</v>
      </c>
      <c r="K210" s="72">
        <v>731.71</v>
      </c>
      <c r="L210" s="29"/>
      <c r="M210" s="72">
        <v>468.26240000000001</v>
      </c>
      <c r="N210" s="81"/>
      <c r="O210" s="81"/>
      <c r="P210" s="81"/>
      <c r="Q210" s="72">
        <v>30460.46</v>
      </c>
      <c r="R210" s="72"/>
      <c r="S210" s="72"/>
      <c r="U210" s="85"/>
      <c r="V210" s="86"/>
      <c r="W210" s="87"/>
      <c r="X210" s="29"/>
      <c r="Y210" s="49"/>
      <c r="Z210" s="49"/>
      <c r="AA210" s="54"/>
      <c r="AC210" s="72">
        <f>E210 -M210</f>
        <v>5.4399999999986903E-2</v>
      </c>
      <c r="AD210" s="81"/>
      <c r="AE210" s="81"/>
      <c r="AF210" s="81"/>
      <c r="AG210" s="72">
        <f t="shared" si="12"/>
        <v>-652.05999999999767</v>
      </c>
      <c r="AH210" s="72">
        <f t="shared" si="12"/>
        <v>84.6</v>
      </c>
      <c r="AI210" s="72">
        <f t="shared" si="12"/>
        <v>731.71</v>
      </c>
    </row>
    <row r="211" spans="1:35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45">
        <v>809.72</v>
      </c>
      <c r="N211" s="45">
        <v>42.115600000000001</v>
      </c>
      <c r="O211" s="45">
        <v>48.426699999999997</v>
      </c>
      <c r="P211" s="45">
        <v>48.135399999999997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46">
        <v>345.29300000000001</v>
      </c>
      <c r="N212" s="46">
        <v>41.150300000000001</v>
      </c>
      <c r="O212" s="46">
        <v>47.470199999999998</v>
      </c>
      <c r="P212" s="46">
        <v>47.2913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46">
        <v>177.04900000000001</v>
      </c>
      <c r="N213" s="46">
        <v>39.7547</v>
      </c>
      <c r="O213" s="46">
        <v>46.049300000000002</v>
      </c>
      <c r="P213" s="46">
        <v>45.935699999999997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46">
        <v>98.628</v>
      </c>
      <c r="N214" s="46">
        <v>38.012099999999997</v>
      </c>
      <c r="O214" s="46">
        <v>44.870800000000003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>
      <c r="B215" s="36"/>
      <c r="C215" s="28" t="s">
        <v>27</v>
      </c>
      <c r="D215" s="31">
        <v>25</v>
      </c>
      <c r="E215" s="45">
        <v>249.48099999999999</v>
      </c>
      <c r="F215" s="45">
        <v>41.830500000000001</v>
      </c>
      <c r="G215" s="45">
        <v>48.182200000000002</v>
      </c>
      <c r="H215" s="45">
        <v>47.509700000000002</v>
      </c>
      <c r="I215" s="79"/>
      <c r="J215" s="79"/>
      <c r="K215" s="80"/>
      <c r="L215" s="29"/>
      <c r="M215" s="45">
        <v>249.48099999999999</v>
      </c>
      <c r="N215" s="45">
        <v>41.830500000000001</v>
      </c>
      <c r="O215" s="45">
        <v>48.182200000000002</v>
      </c>
      <c r="P215" s="45">
        <v>47.509700000000002</v>
      </c>
      <c r="Q215" s="79"/>
      <c r="R215" s="79"/>
      <c r="S215" s="80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9"/>
      <c r="AH215" s="79"/>
      <c r="AI215" s="80"/>
    </row>
    <row r="216" spans="1:35">
      <c r="B216" s="36"/>
      <c r="C216" s="29"/>
      <c r="D216" s="32">
        <v>30</v>
      </c>
      <c r="E216" s="46">
        <v>96.007999999999996</v>
      </c>
      <c r="F216" s="46">
        <v>40.835099999999997</v>
      </c>
      <c r="G216" s="46">
        <v>47.067799999999998</v>
      </c>
      <c r="H216" s="46">
        <v>46.582999999999998</v>
      </c>
      <c r="I216" s="66"/>
      <c r="J216" s="66"/>
      <c r="K216" s="67"/>
      <c r="L216" s="29"/>
      <c r="M216" s="46">
        <v>96.007999999999996</v>
      </c>
      <c r="N216" s="46">
        <v>40.835099999999997</v>
      </c>
      <c r="O216" s="46">
        <v>47.067799999999998</v>
      </c>
      <c r="P216" s="46">
        <v>46.582999999999998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>
      <c r="B217" s="36"/>
      <c r="C217" s="29"/>
      <c r="D217" s="32">
        <v>35</v>
      </c>
      <c r="E217" s="46">
        <v>47.743000000000002</v>
      </c>
      <c r="F217" s="46">
        <v>39.408299999999997</v>
      </c>
      <c r="G217" s="46">
        <v>45.893900000000002</v>
      </c>
      <c r="H217" s="46">
        <v>45.542400000000001</v>
      </c>
      <c r="I217" s="66"/>
      <c r="J217" s="66"/>
      <c r="K217" s="67"/>
      <c r="L217" s="29"/>
      <c r="M217" s="46">
        <v>47.743000000000002</v>
      </c>
      <c r="N217" s="46">
        <v>39.408299999999997</v>
      </c>
      <c r="O217" s="46">
        <v>45.893900000000002</v>
      </c>
      <c r="P217" s="46">
        <v>45.542400000000001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25.530999999999999</v>
      </c>
      <c r="F218" s="46">
        <v>37.634399999999999</v>
      </c>
      <c r="G218" s="46">
        <v>44.811799999999998</v>
      </c>
      <c r="H218" s="46">
        <v>44.483699999999999</v>
      </c>
      <c r="I218" s="66"/>
      <c r="J218" s="66"/>
      <c r="K218" s="67"/>
      <c r="L218" s="29"/>
      <c r="M218" s="46">
        <v>25.530999999999999</v>
      </c>
      <c r="N218" s="46">
        <v>37.634399999999999</v>
      </c>
      <c r="O218" s="46">
        <v>44.811799999999998</v>
      </c>
      <c r="P218" s="46">
        <v>44.483699999999999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>
      <c r="B219" s="36"/>
      <c r="C219" s="28" t="s">
        <v>28</v>
      </c>
      <c r="D219" s="31">
        <v>25</v>
      </c>
      <c r="E219" s="45">
        <v>259.96800000000002</v>
      </c>
      <c r="F219" s="45">
        <v>41.685499999999998</v>
      </c>
      <c r="G219" s="45">
        <v>47.256999999999998</v>
      </c>
      <c r="H219" s="45">
        <v>46.659100000000002</v>
      </c>
      <c r="I219" s="79"/>
      <c r="J219" s="79"/>
      <c r="K219" s="80"/>
      <c r="L219" s="29"/>
      <c r="M219" s="45">
        <v>260.02999999999997</v>
      </c>
      <c r="N219" s="45">
        <v>41.686199999999999</v>
      </c>
      <c r="O219" s="45">
        <v>47.256500000000003</v>
      </c>
      <c r="P219" s="45">
        <v>46.658999999999999</v>
      </c>
      <c r="Q219" s="79"/>
      <c r="R219" s="79"/>
      <c r="S219" s="80"/>
      <c r="U219" s="8">
        <f>bdrate($E219:$E222,F219:F222,$M219:$M222,N219:N222)</f>
        <v>-3.0663510624262535E-4</v>
      </c>
      <c r="V219" s="9">
        <f>bdrate($E219:$E222,G219:G222,$M219:$M222,O219:O222)</f>
        <v>2.3246372779883728E-4</v>
      </c>
      <c r="W219" s="10">
        <f>bdrate($E219:$E222,H219:H222,$M219:$M222,P219:P222)</f>
        <v>-2.8580500807651177E-4</v>
      </c>
      <c r="X219" s="29"/>
      <c r="Y219" s="24"/>
      <c r="Z219" s="24"/>
      <c r="AA219" s="27"/>
      <c r="AC219" s="45">
        <f t="shared" si="14"/>
        <v>-6.199999999995498E-2</v>
      </c>
      <c r="AD219" s="45">
        <f t="shared" si="13"/>
        <v>-7.0000000000192131E-4</v>
      </c>
      <c r="AE219" s="45">
        <f t="shared" si="13"/>
        <v>4.99999999995282E-4</v>
      </c>
      <c r="AF219" s="45">
        <f t="shared" si="13"/>
        <v>1.0000000000331966E-4</v>
      </c>
      <c r="AG219" s="79"/>
      <c r="AH219" s="79"/>
      <c r="AI219" s="80"/>
    </row>
    <row r="220" spans="1:35">
      <c r="B220" s="36"/>
      <c r="C220" s="29"/>
      <c r="D220" s="32">
        <v>30</v>
      </c>
      <c r="E220" s="46">
        <v>97.188000000000002</v>
      </c>
      <c r="F220" s="46">
        <v>40.747100000000003</v>
      </c>
      <c r="G220" s="46">
        <v>46.313200000000002</v>
      </c>
      <c r="H220" s="46">
        <v>45.525100000000002</v>
      </c>
      <c r="I220" s="66"/>
      <c r="J220" s="66"/>
      <c r="K220" s="67"/>
      <c r="L220" s="29"/>
      <c r="M220" s="46">
        <v>97.161000000000001</v>
      </c>
      <c r="N220" s="46">
        <v>40.747399999999999</v>
      </c>
      <c r="O220" s="46">
        <v>46.3127</v>
      </c>
      <c r="P220" s="46">
        <v>45.526000000000003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2.7000000000001023E-2</v>
      </c>
      <c r="AD220" s="46">
        <f t="shared" si="13"/>
        <v>-2.9999999999574811E-4</v>
      </c>
      <c r="AE220" s="46">
        <f t="shared" si="13"/>
        <v>5.0000000000238742E-4</v>
      </c>
      <c r="AF220" s="46">
        <f t="shared" si="13"/>
        <v>-9.0000000000145519E-4</v>
      </c>
      <c r="AG220" s="66"/>
      <c r="AH220" s="66"/>
      <c r="AI220" s="67"/>
    </row>
    <row r="221" spans="1:35">
      <c r="B221" s="36"/>
      <c r="C221" s="29"/>
      <c r="D221" s="32">
        <v>35</v>
      </c>
      <c r="E221" s="46">
        <v>48.55</v>
      </c>
      <c r="F221" s="46">
        <v>39.398699999999998</v>
      </c>
      <c r="G221" s="46">
        <v>45.375999999999998</v>
      </c>
      <c r="H221" s="46">
        <v>44.594799999999999</v>
      </c>
      <c r="I221" s="66"/>
      <c r="J221" s="66"/>
      <c r="K221" s="67"/>
      <c r="L221" s="29"/>
      <c r="M221" s="46">
        <v>48.546999999999997</v>
      </c>
      <c r="N221" s="46">
        <v>39.399000000000001</v>
      </c>
      <c r="O221" s="46">
        <v>45.375599999999999</v>
      </c>
      <c r="P221" s="46">
        <v>44.594499999999996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3.0000000000001137E-3</v>
      </c>
      <c r="AD221" s="46">
        <f t="shared" si="13"/>
        <v>-3.0000000000285354E-4</v>
      </c>
      <c r="AE221" s="46">
        <f t="shared" si="13"/>
        <v>3.9999999999906777E-4</v>
      </c>
      <c r="AF221" s="46">
        <f t="shared" si="13"/>
        <v>3.0000000000285354E-4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25.529</v>
      </c>
      <c r="F222" s="72">
        <v>37.661999999999999</v>
      </c>
      <c r="G222" s="72">
        <v>44.383600000000001</v>
      </c>
      <c r="H222" s="72">
        <v>43.465499999999999</v>
      </c>
      <c r="I222" s="68"/>
      <c r="J222" s="68"/>
      <c r="K222" s="69"/>
      <c r="L222" s="29"/>
      <c r="M222" s="72">
        <v>25.527000000000001</v>
      </c>
      <c r="N222" s="72">
        <v>37.662100000000002</v>
      </c>
      <c r="O222" s="72">
        <v>44.383600000000001</v>
      </c>
      <c r="P222" s="72">
        <v>43.465499999999999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1.9999999999988916E-3</v>
      </c>
      <c r="AD222" s="72">
        <f t="shared" si="13"/>
        <v>-1.0000000000331966E-4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>
      <c r="B223" s="36"/>
      <c r="C223" s="28" t="s">
        <v>29</v>
      </c>
      <c r="D223" s="31">
        <v>34</v>
      </c>
      <c r="E223" s="45">
        <v>72.602000000000004</v>
      </c>
      <c r="F223" s="45">
        <v>46.149900000000002</v>
      </c>
      <c r="G223" s="78"/>
      <c r="H223" s="78"/>
      <c r="I223" s="79"/>
      <c r="J223" s="79"/>
      <c r="K223" s="80"/>
      <c r="L223" s="29"/>
      <c r="M223" s="45">
        <v>72.602000000000004</v>
      </c>
      <c r="N223" s="45">
        <v>46.149900000000002</v>
      </c>
      <c r="O223" s="78">
        <v>99.99</v>
      </c>
      <c r="P223" s="78">
        <v>99.99</v>
      </c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C223" s="45">
        <f t="shared" si="14"/>
        <v>0</v>
      </c>
      <c r="AD223" s="45">
        <f t="shared" si="13"/>
        <v>0</v>
      </c>
      <c r="AE223" s="78"/>
      <c r="AF223" s="78"/>
      <c r="AG223" s="79"/>
      <c r="AH223" s="79"/>
      <c r="AI223" s="80"/>
    </row>
    <row r="224" spans="1:35">
      <c r="B224" s="36"/>
      <c r="C224" s="29"/>
      <c r="D224" s="32">
        <v>39</v>
      </c>
      <c r="E224" s="46">
        <v>29.949000000000002</v>
      </c>
      <c r="F224" s="46">
        <v>42.734200000000001</v>
      </c>
      <c r="G224" s="70"/>
      <c r="H224" s="70"/>
      <c r="I224" s="66"/>
      <c r="J224" s="66"/>
      <c r="K224" s="67"/>
      <c r="L224" s="29"/>
      <c r="M224" s="46">
        <v>29.949000000000002</v>
      </c>
      <c r="N224" s="46">
        <v>42.734200000000001</v>
      </c>
      <c r="O224" s="70">
        <v>99.99</v>
      </c>
      <c r="P224" s="70">
        <v>99.99</v>
      </c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0</v>
      </c>
      <c r="AD224" s="46">
        <f t="shared" si="13"/>
        <v>0</v>
      </c>
      <c r="AE224" s="70"/>
      <c r="AF224" s="70"/>
      <c r="AG224" s="66"/>
      <c r="AH224" s="66"/>
      <c r="AI224" s="67"/>
    </row>
    <row r="225" spans="2:35">
      <c r="B225" s="36"/>
      <c r="C225" s="29"/>
      <c r="D225" s="32">
        <v>42</v>
      </c>
      <c r="E225" s="46">
        <v>15.054</v>
      </c>
      <c r="F225" s="46">
        <v>40.079799999999999</v>
      </c>
      <c r="G225" s="70"/>
      <c r="H225" s="70"/>
      <c r="I225" s="66"/>
      <c r="J225" s="66"/>
      <c r="K225" s="67"/>
      <c r="L225" s="29"/>
      <c r="M225" s="46">
        <v>15.054</v>
      </c>
      <c r="N225" s="46">
        <v>40.079799999999999</v>
      </c>
      <c r="O225" s="70">
        <v>99.99</v>
      </c>
      <c r="P225" s="70">
        <v>99.99</v>
      </c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8.42</v>
      </c>
      <c r="F226" s="46">
        <v>36.880699999999997</v>
      </c>
      <c r="G226" s="70"/>
      <c r="H226" s="70"/>
      <c r="I226" s="66"/>
      <c r="J226" s="66"/>
      <c r="K226" s="67"/>
      <c r="L226" s="29"/>
      <c r="M226" s="46">
        <v>8.42</v>
      </c>
      <c r="N226" s="46">
        <v>36.880699999999997</v>
      </c>
      <c r="O226" s="70">
        <v>99.99</v>
      </c>
      <c r="P226" s="70">
        <v>99.99</v>
      </c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>
      <c r="B227" s="36"/>
      <c r="C227" s="28" t="s">
        <v>30</v>
      </c>
      <c r="D227" s="31">
        <v>34</v>
      </c>
      <c r="E227" s="45">
        <v>50.046999999999997</v>
      </c>
      <c r="F227" s="45">
        <v>44.720199999999998</v>
      </c>
      <c r="G227" s="78"/>
      <c r="H227" s="78"/>
      <c r="I227" s="79"/>
      <c r="J227" s="79"/>
      <c r="K227" s="80"/>
      <c r="L227" s="29"/>
      <c r="M227" s="45">
        <v>50.046999999999997</v>
      </c>
      <c r="N227" s="45">
        <v>44.720199999999998</v>
      </c>
      <c r="O227" s="78">
        <v>99.99</v>
      </c>
      <c r="P227" s="78">
        <v>99.99</v>
      </c>
      <c r="Q227" s="79"/>
      <c r="R227" s="79"/>
      <c r="S227" s="80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  <c r="AC227" s="45">
        <f t="shared" si="14"/>
        <v>0</v>
      </c>
      <c r="AD227" s="45">
        <f t="shared" si="13"/>
        <v>0</v>
      </c>
      <c r="AE227" s="78"/>
      <c r="AF227" s="78"/>
      <c r="AG227" s="79"/>
      <c r="AH227" s="79"/>
      <c r="AI227" s="80"/>
    </row>
    <row r="228" spans="2:35">
      <c r="B228" s="36"/>
      <c r="C228" s="29"/>
      <c r="D228" s="32">
        <v>39</v>
      </c>
      <c r="E228" s="46">
        <v>19.477</v>
      </c>
      <c r="F228" s="46">
        <v>41.495399999999997</v>
      </c>
      <c r="G228" s="70"/>
      <c r="H228" s="70"/>
      <c r="I228" s="66"/>
      <c r="J228" s="66"/>
      <c r="K228" s="67"/>
      <c r="L228" s="29"/>
      <c r="M228" s="46">
        <v>19.477</v>
      </c>
      <c r="N228" s="46">
        <v>41.495399999999997</v>
      </c>
      <c r="O228" s="70">
        <v>99.99</v>
      </c>
      <c r="P228" s="70">
        <v>99.99</v>
      </c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</v>
      </c>
      <c r="AD228" s="46">
        <f t="shared" si="13"/>
        <v>0</v>
      </c>
      <c r="AE228" s="70"/>
      <c r="AF228" s="70"/>
      <c r="AG228" s="66"/>
      <c r="AH228" s="66"/>
      <c r="AI228" s="67"/>
    </row>
    <row r="229" spans="2:35">
      <c r="B229" s="36"/>
      <c r="C229" s="29"/>
      <c r="D229" s="32">
        <v>42</v>
      </c>
      <c r="E229" s="46">
        <v>9.5510000000000002</v>
      </c>
      <c r="F229" s="46">
        <v>38.486800000000002</v>
      </c>
      <c r="G229" s="70"/>
      <c r="H229" s="70"/>
      <c r="I229" s="66"/>
      <c r="J229" s="66"/>
      <c r="K229" s="67"/>
      <c r="L229" s="29"/>
      <c r="M229" s="46">
        <v>9.5510000000000002</v>
      </c>
      <c r="N229" s="46">
        <v>38.486800000000002</v>
      </c>
      <c r="O229" s="70">
        <v>99.99</v>
      </c>
      <c r="P229" s="70">
        <v>99.99</v>
      </c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0</v>
      </c>
      <c r="AD229" s="46">
        <f t="shared" si="13"/>
        <v>0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5.28</v>
      </c>
      <c r="F230" s="46">
        <v>35.285600000000002</v>
      </c>
      <c r="G230" s="70"/>
      <c r="H230" s="70"/>
      <c r="I230" s="66"/>
      <c r="J230" s="66"/>
      <c r="K230" s="67"/>
      <c r="L230" s="29"/>
      <c r="M230" s="46">
        <v>5.28</v>
      </c>
      <c r="N230" s="46">
        <v>35.285600000000002</v>
      </c>
      <c r="O230" s="70">
        <v>99.99</v>
      </c>
      <c r="P230" s="70">
        <v>99.99</v>
      </c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0</v>
      </c>
      <c r="AD230" s="46">
        <f t="shared" si="13"/>
        <v>0</v>
      </c>
      <c r="AE230" s="70"/>
      <c r="AF230" s="70"/>
      <c r="AG230" s="66"/>
      <c r="AH230" s="66"/>
      <c r="AI230" s="67"/>
    </row>
    <row r="231" spans="2:35">
      <c r="B231" s="36"/>
      <c r="C231" s="28" t="s">
        <v>31</v>
      </c>
      <c r="D231" s="31">
        <v>34</v>
      </c>
      <c r="E231" s="45">
        <v>49.024999999999999</v>
      </c>
      <c r="F231" s="45">
        <v>44.4846</v>
      </c>
      <c r="G231" s="78"/>
      <c r="H231" s="78"/>
      <c r="I231" s="79"/>
      <c r="J231" s="79"/>
      <c r="K231" s="80"/>
      <c r="L231" s="29"/>
      <c r="M231" s="45">
        <v>48.764000000000003</v>
      </c>
      <c r="N231" s="45">
        <v>44.474699999999999</v>
      </c>
      <c r="O231" s="78">
        <v>99.99</v>
      </c>
      <c r="P231" s="78">
        <v>99.99</v>
      </c>
      <c r="Q231" s="79"/>
      <c r="R231" s="79"/>
      <c r="S231" s="80"/>
      <c r="U231" s="8">
        <f>bdrate($E231:$E234,F231:F234,$M231:$M234,N231:N234)</f>
        <v>1.8799345855580185E-4</v>
      </c>
      <c r="V231" s="9"/>
      <c r="W231" s="10"/>
      <c r="X231" s="29"/>
      <c r="Y231" s="24"/>
      <c r="Z231" s="24"/>
      <c r="AA231" s="27"/>
      <c r="AC231" s="45">
        <f t="shared" si="14"/>
        <v>0.26099999999999568</v>
      </c>
      <c r="AD231" s="45">
        <f t="shared" si="13"/>
        <v>9.9000000000017963E-3</v>
      </c>
      <c r="AE231" s="78"/>
      <c r="AF231" s="78"/>
      <c r="AG231" s="79"/>
      <c r="AH231" s="79"/>
      <c r="AI231" s="80"/>
    </row>
    <row r="232" spans="2:35">
      <c r="B232" s="36"/>
      <c r="C232" s="29"/>
      <c r="D232" s="32">
        <v>39</v>
      </c>
      <c r="E232" s="46">
        <v>18.760999999999999</v>
      </c>
      <c r="F232" s="46">
        <v>41.442399999999999</v>
      </c>
      <c r="G232" s="70"/>
      <c r="H232" s="70"/>
      <c r="I232" s="66"/>
      <c r="J232" s="66"/>
      <c r="K232" s="67"/>
      <c r="L232" s="29"/>
      <c r="M232" s="46">
        <v>18.812999999999999</v>
      </c>
      <c r="N232" s="46">
        <v>41.447200000000002</v>
      </c>
      <c r="O232" s="70">
        <v>99.99</v>
      </c>
      <c r="P232" s="70">
        <v>99.99</v>
      </c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-5.1999999999999602E-2</v>
      </c>
      <c r="AD232" s="46">
        <f t="shared" si="13"/>
        <v>-4.8000000000030241E-3</v>
      </c>
      <c r="AE232" s="70"/>
      <c r="AF232" s="70"/>
      <c r="AG232" s="66"/>
      <c r="AH232" s="66"/>
      <c r="AI232" s="67"/>
    </row>
    <row r="233" spans="2:35">
      <c r="B233" s="36"/>
      <c r="C233" s="29"/>
      <c r="D233" s="32">
        <v>42</v>
      </c>
      <c r="E233" s="46">
        <v>9.1240000000000006</v>
      </c>
      <c r="F233" s="46">
        <v>38.739699999999999</v>
      </c>
      <c r="G233" s="70"/>
      <c r="H233" s="70"/>
      <c r="I233" s="66"/>
      <c r="J233" s="66"/>
      <c r="K233" s="67"/>
      <c r="L233" s="29"/>
      <c r="M233" s="46">
        <v>9.1170000000000009</v>
      </c>
      <c r="N233" s="46">
        <v>38.737499999999997</v>
      </c>
      <c r="O233" s="70">
        <v>99.99</v>
      </c>
      <c r="P233" s="70">
        <v>99.99</v>
      </c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6.9999999999996732E-3</v>
      </c>
      <c r="AD233" s="46">
        <f t="shared" si="13"/>
        <v>2.2000000000019782E-3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5.1139999999999999</v>
      </c>
      <c r="F234" s="46">
        <v>35.960799999999999</v>
      </c>
      <c r="G234" s="70"/>
      <c r="H234" s="70"/>
      <c r="I234" s="66"/>
      <c r="J234" s="66"/>
      <c r="K234" s="67"/>
      <c r="L234" s="29"/>
      <c r="M234" s="46">
        <v>5.1139999999999999</v>
      </c>
      <c r="N234" s="46">
        <v>35.9604</v>
      </c>
      <c r="O234" s="70">
        <v>99.99</v>
      </c>
      <c r="P234" s="70">
        <v>99.99</v>
      </c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0</v>
      </c>
      <c r="AD234" s="46">
        <f t="shared" si="13"/>
        <v>3.9999999999906777E-4</v>
      </c>
      <c r="AE234" s="46"/>
      <c r="AF234" s="46"/>
      <c r="AG234" s="66"/>
      <c r="AH234" s="66"/>
      <c r="AI234" s="67"/>
    </row>
    <row r="235" spans="2:35">
      <c r="B235" s="36"/>
      <c r="C235" s="28" t="s">
        <v>47</v>
      </c>
      <c r="D235" s="31">
        <v>25</v>
      </c>
      <c r="E235" s="78"/>
      <c r="F235" s="45">
        <v>42.871299999999998</v>
      </c>
      <c r="G235" s="45">
        <v>48.144100000000002</v>
      </c>
      <c r="H235" s="45">
        <v>47.230800000000002</v>
      </c>
      <c r="I235" s="79"/>
      <c r="J235" s="79"/>
      <c r="K235" s="80"/>
      <c r="L235" s="29"/>
      <c r="M235" s="78"/>
      <c r="N235" s="45"/>
      <c r="O235" s="45"/>
      <c r="P235" s="45"/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42.871299999999998</v>
      </c>
      <c r="AE235" s="45">
        <f t="shared" si="13"/>
        <v>48.144100000000002</v>
      </c>
      <c r="AF235" s="45">
        <f t="shared" si="13"/>
        <v>47.230800000000002</v>
      </c>
      <c r="AG235" s="79"/>
      <c r="AH235" s="79"/>
      <c r="AI235" s="80"/>
    </row>
    <row r="236" spans="2:35">
      <c r="B236" s="36"/>
      <c r="C236" s="29"/>
      <c r="D236" s="32">
        <v>30</v>
      </c>
      <c r="E236" s="70"/>
      <c r="F236" s="46">
        <v>41.712699999999998</v>
      </c>
      <c r="G236" s="46">
        <v>46.975900000000003</v>
      </c>
      <c r="H236" s="46">
        <v>46.536499999999997</v>
      </c>
      <c r="I236" s="66"/>
      <c r="J236" s="66"/>
      <c r="K236" s="67"/>
      <c r="L236" s="29"/>
      <c r="M236" s="70"/>
      <c r="N236" s="46"/>
      <c r="O236" s="46"/>
      <c r="P236" s="46"/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41.712699999999998</v>
      </c>
      <c r="AE236" s="46">
        <f t="shared" si="13"/>
        <v>46.975900000000003</v>
      </c>
      <c r="AF236" s="46">
        <f t="shared" si="13"/>
        <v>46.536499999999997</v>
      </c>
      <c r="AG236" s="66"/>
      <c r="AH236" s="66"/>
      <c r="AI236" s="67"/>
    </row>
    <row r="237" spans="2:35">
      <c r="B237" s="36"/>
      <c r="C237" s="29"/>
      <c r="D237" s="32">
        <v>35</v>
      </c>
      <c r="E237" s="70"/>
      <c r="F237" s="46">
        <v>40.125500000000002</v>
      </c>
      <c r="G237" s="46">
        <v>45.803899999999999</v>
      </c>
      <c r="H237" s="46">
        <v>45.523499999999999</v>
      </c>
      <c r="I237" s="66"/>
      <c r="J237" s="66"/>
      <c r="K237" s="67"/>
      <c r="L237" s="29"/>
      <c r="M237" s="70"/>
      <c r="N237" s="46"/>
      <c r="O237" s="46"/>
      <c r="P237" s="46"/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40.125500000000002</v>
      </c>
      <c r="AE237" s="46">
        <f t="shared" si="13"/>
        <v>45.803899999999999</v>
      </c>
      <c r="AF237" s="46">
        <f t="shared" si="13"/>
        <v>45.523499999999999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38.200000000000003</v>
      </c>
      <c r="G238" s="72">
        <v>44.885300000000001</v>
      </c>
      <c r="H238" s="72">
        <v>44.461500000000001</v>
      </c>
      <c r="I238" s="68"/>
      <c r="J238" s="68"/>
      <c r="K238" s="69"/>
      <c r="L238" s="29"/>
      <c r="M238" s="81"/>
      <c r="N238" s="72"/>
      <c r="O238" s="72"/>
      <c r="P238" s="72"/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38.200000000000003</v>
      </c>
      <c r="AE238" s="72">
        <f t="shared" si="13"/>
        <v>44.885300000000001</v>
      </c>
      <c r="AF238" s="72">
        <f t="shared" si="13"/>
        <v>44.461500000000001</v>
      </c>
      <c r="AG238" s="68"/>
      <c r="AH238" s="68"/>
      <c r="AI238" s="69"/>
    </row>
    <row r="239" spans="2:35">
      <c r="B239" s="36"/>
      <c r="C239" s="29" t="s">
        <v>48</v>
      </c>
      <c r="D239" s="32">
        <v>25</v>
      </c>
      <c r="E239" s="70"/>
      <c r="F239" s="45">
        <v>43.601799999999997</v>
      </c>
      <c r="G239" s="45">
        <v>49.051099999999998</v>
      </c>
      <c r="H239" s="45">
        <v>48.439799999999998</v>
      </c>
      <c r="I239" s="66"/>
      <c r="J239" s="66"/>
      <c r="K239" s="67"/>
      <c r="L239" s="29"/>
      <c r="M239" s="70"/>
      <c r="N239" s="45"/>
      <c r="O239" s="45"/>
      <c r="P239" s="45"/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43.601799999999997</v>
      </c>
      <c r="AE239" s="45">
        <f t="shared" si="13"/>
        <v>49.051099999999998</v>
      </c>
      <c r="AF239" s="45">
        <f t="shared" si="13"/>
        <v>48.439799999999998</v>
      </c>
      <c r="AG239" s="66"/>
      <c r="AH239" s="66"/>
      <c r="AI239" s="67"/>
    </row>
    <row r="240" spans="2:35">
      <c r="B240" s="36"/>
      <c r="C240" s="29"/>
      <c r="D240" s="32">
        <v>30</v>
      </c>
      <c r="E240" s="70"/>
      <c r="F240" s="46">
        <v>42.298499999999997</v>
      </c>
      <c r="G240" s="46">
        <v>47.841999999999999</v>
      </c>
      <c r="H240" s="46">
        <v>47.5154</v>
      </c>
      <c r="I240" s="66"/>
      <c r="J240" s="66"/>
      <c r="K240" s="67"/>
      <c r="L240" s="29"/>
      <c r="M240" s="70"/>
      <c r="N240" s="46"/>
      <c r="O240" s="46"/>
      <c r="P240" s="46"/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42.298499999999997</v>
      </c>
      <c r="AE240" s="46">
        <f t="shared" si="13"/>
        <v>47.841999999999999</v>
      </c>
      <c r="AF240" s="46">
        <f t="shared" si="13"/>
        <v>47.5154</v>
      </c>
      <c r="AG240" s="66"/>
      <c r="AH240" s="66"/>
      <c r="AI240" s="67"/>
    </row>
    <row r="241" spans="2:35">
      <c r="B241" s="36"/>
      <c r="C241" s="29"/>
      <c r="D241" s="32">
        <v>35</v>
      </c>
      <c r="E241" s="70"/>
      <c r="F241" s="46">
        <v>40.5886</v>
      </c>
      <c r="G241" s="46">
        <v>46.498100000000001</v>
      </c>
      <c r="H241" s="46">
        <v>46.228400000000001</v>
      </c>
      <c r="I241" s="66"/>
      <c r="J241" s="66"/>
      <c r="K241" s="67"/>
      <c r="L241" s="29"/>
      <c r="M241" s="70"/>
      <c r="N241" s="46"/>
      <c r="O241" s="46"/>
      <c r="P241" s="46"/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40.5886</v>
      </c>
      <c r="AE241" s="46">
        <f t="shared" si="13"/>
        <v>46.498100000000001</v>
      </c>
      <c r="AF241" s="46">
        <f t="shared" si="13"/>
        <v>46.228400000000001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38.563800000000001</v>
      </c>
      <c r="G242" s="72">
        <v>45.365900000000003</v>
      </c>
      <c r="H242" s="72">
        <v>45.021099999999997</v>
      </c>
      <c r="I242" s="68"/>
      <c r="J242" s="68"/>
      <c r="K242" s="69"/>
      <c r="L242" s="29"/>
      <c r="M242" s="81"/>
      <c r="N242" s="46"/>
      <c r="O242" s="72"/>
      <c r="P242" s="72"/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38.563800000000001</v>
      </c>
      <c r="AE242" s="46">
        <f t="shared" si="13"/>
        <v>45.365900000000003</v>
      </c>
      <c r="AF242" s="46">
        <f t="shared" si="13"/>
        <v>45.021099999999997</v>
      </c>
      <c r="AG242" s="68"/>
      <c r="AH242" s="68"/>
      <c r="AI242" s="69"/>
    </row>
    <row r="243" spans="2:35">
      <c r="B243" s="36"/>
      <c r="C243" s="29" t="s">
        <v>49</v>
      </c>
      <c r="D243" s="32">
        <v>25</v>
      </c>
      <c r="E243" s="70"/>
      <c r="F243" s="45">
        <v>43.150100000000002</v>
      </c>
      <c r="G243" s="45">
        <v>49.243499999999997</v>
      </c>
      <c r="H243" s="45">
        <v>48.775100000000002</v>
      </c>
      <c r="I243" s="66"/>
      <c r="J243" s="66"/>
      <c r="K243" s="67"/>
      <c r="L243" s="29"/>
      <c r="M243" s="70"/>
      <c r="N243" s="45"/>
      <c r="O243" s="45"/>
      <c r="P243" s="45"/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43.150100000000002</v>
      </c>
      <c r="AE243" s="45">
        <f t="shared" si="13"/>
        <v>49.243499999999997</v>
      </c>
      <c r="AF243" s="45">
        <f t="shared" si="13"/>
        <v>48.775100000000002</v>
      </c>
      <c r="AG243" s="66"/>
      <c r="AH243" s="66"/>
      <c r="AI243" s="67"/>
    </row>
    <row r="244" spans="2:35">
      <c r="B244" s="36"/>
      <c r="C244" s="29"/>
      <c r="D244" s="32">
        <v>30</v>
      </c>
      <c r="E244" s="70"/>
      <c r="F244" s="46">
        <v>41.995899999999999</v>
      </c>
      <c r="G244" s="46">
        <v>48.224800000000002</v>
      </c>
      <c r="H244" s="46">
        <v>47.913400000000003</v>
      </c>
      <c r="I244" s="66"/>
      <c r="J244" s="66"/>
      <c r="K244" s="67"/>
      <c r="L244" s="29"/>
      <c r="M244" s="70"/>
      <c r="N244" s="46"/>
      <c r="O244" s="46"/>
      <c r="P244" s="46"/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41.995899999999999</v>
      </c>
      <c r="AE244" s="46">
        <f t="shared" si="13"/>
        <v>48.224800000000002</v>
      </c>
      <c r="AF244" s="46">
        <f t="shared" si="13"/>
        <v>47.913400000000003</v>
      </c>
      <c r="AG244" s="66"/>
      <c r="AH244" s="66"/>
      <c r="AI244" s="67"/>
    </row>
    <row r="245" spans="2:35">
      <c r="B245" s="36"/>
      <c r="C245" s="29"/>
      <c r="D245" s="32">
        <v>35</v>
      </c>
      <c r="E245" s="70"/>
      <c r="F245" s="46">
        <v>40.429000000000002</v>
      </c>
      <c r="G245" s="46">
        <v>46.760199999999998</v>
      </c>
      <c r="H245" s="46">
        <v>46.591999999999999</v>
      </c>
      <c r="I245" s="66"/>
      <c r="J245" s="66"/>
      <c r="K245" s="67"/>
      <c r="L245" s="29"/>
      <c r="M245" s="70"/>
      <c r="N245" s="46"/>
      <c r="O245" s="46"/>
      <c r="P245" s="46"/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40.429000000000002</v>
      </c>
      <c r="AE245" s="46">
        <f t="shared" si="13"/>
        <v>46.760199999999998</v>
      </c>
      <c r="AF245" s="46">
        <f t="shared" si="13"/>
        <v>46.591999999999999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38.514499999999998</v>
      </c>
      <c r="G246" s="72">
        <v>45.577300000000001</v>
      </c>
      <c r="H246" s="72">
        <v>45.430300000000003</v>
      </c>
      <c r="I246" s="68"/>
      <c r="J246" s="68"/>
      <c r="K246" s="69"/>
      <c r="L246" s="29"/>
      <c r="M246" s="81"/>
      <c r="N246" s="46"/>
      <c r="O246" s="72"/>
      <c r="P246" s="72"/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38.514499999999998</v>
      </c>
      <c r="AE246" s="46">
        <f t="shared" si="13"/>
        <v>45.577300000000001</v>
      </c>
      <c r="AF246" s="46">
        <f t="shared" si="13"/>
        <v>45.430300000000003</v>
      </c>
      <c r="AG246" s="68"/>
      <c r="AH246" s="68"/>
      <c r="AI246" s="69"/>
    </row>
    <row r="247" spans="2:35">
      <c r="B247" s="36"/>
      <c r="C247" s="29" t="s">
        <v>50</v>
      </c>
      <c r="D247" s="32">
        <v>25</v>
      </c>
      <c r="E247" s="70"/>
      <c r="F247" s="45">
        <v>43.2545</v>
      </c>
      <c r="G247" s="45">
        <v>49.116199999999999</v>
      </c>
      <c r="H247" s="45">
        <v>49.017699999999998</v>
      </c>
      <c r="I247" s="66"/>
      <c r="J247" s="66"/>
      <c r="K247" s="67"/>
      <c r="L247" s="29"/>
      <c r="M247" s="70"/>
      <c r="N247" s="45"/>
      <c r="O247" s="45"/>
      <c r="P247" s="45"/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43.2545</v>
      </c>
      <c r="AE247" s="45">
        <f t="shared" si="13"/>
        <v>49.116199999999999</v>
      </c>
      <c r="AF247" s="45">
        <f t="shared" si="13"/>
        <v>49.017699999999998</v>
      </c>
      <c r="AG247" s="66"/>
      <c r="AH247" s="66"/>
      <c r="AI247" s="67"/>
    </row>
    <row r="248" spans="2:35">
      <c r="B248" s="36"/>
      <c r="C248" s="29"/>
      <c r="D248" s="32">
        <v>30</v>
      </c>
      <c r="E248" s="70"/>
      <c r="F248" s="46">
        <v>42.1083</v>
      </c>
      <c r="G248" s="46">
        <v>48.145099999999999</v>
      </c>
      <c r="H248" s="46">
        <v>48.116300000000003</v>
      </c>
      <c r="I248" s="66"/>
      <c r="J248" s="66"/>
      <c r="K248" s="67"/>
      <c r="L248" s="29"/>
      <c r="M248" s="70"/>
      <c r="N248" s="46"/>
      <c r="O248" s="46"/>
      <c r="P248" s="46"/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42.1083</v>
      </c>
      <c r="AE248" s="46">
        <f t="shared" si="13"/>
        <v>48.145099999999999</v>
      </c>
      <c r="AF248" s="46">
        <f t="shared" si="13"/>
        <v>48.116300000000003</v>
      </c>
      <c r="AG248" s="66"/>
      <c r="AH248" s="66"/>
      <c r="AI248" s="67"/>
    </row>
    <row r="249" spans="2:35">
      <c r="B249" s="36"/>
      <c r="C249" s="29"/>
      <c r="D249" s="32">
        <v>35</v>
      </c>
      <c r="E249" s="70"/>
      <c r="F249" s="46">
        <v>40.532600000000002</v>
      </c>
      <c r="G249" s="46">
        <v>46.748800000000003</v>
      </c>
      <c r="H249" s="46">
        <v>46.761600000000001</v>
      </c>
      <c r="I249" s="66"/>
      <c r="J249" s="66"/>
      <c r="K249" s="67"/>
      <c r="L249" s="29"/>
      <c r="M249" s="70"/>
      <c r="N249" s="46"/>
      <c r="O249" s="46"/>
      <c r="P249" s="46"/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40.532600000000002</v>
      </c>
      <c r="AE249" s="46">
        <f t="shared" si="13"/>
        <v>46.748800000000003</v>
      </c>
      <c r="AF249" s="46">
        <f t="shared" si="13"/>
        <v>46.761600000000001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38.595500000000001</v>
      </c>
      <c r="G250" s="72">
        <v>45.614899999999999</v>
      </c>
      <c r="H250" s="72">
        <v>45.555599999999998</v>
      </c>
      <c r="I250" s="68"/>
      <c r="J250" s="68"/>
      <c r="K250" s="69"/>
      <c r="L250" s="29"/>
      <c r="M250" s="81"/>
      <c r="N250" s="46"/>
      <c r="O250" s="72"/>
      <c r="P250" s="72"/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38.595500000000001</v>
      </c>
      <c r="AE250" s="46">
        <f t="shared" si="13"/>
        <v>45.614899999999999</v>
      </c>
      <c r="AF250" s="46">
        <f t="shared" si="13"/>
        <v>45.555599999999998</v>
      </c>
      <c r="AG250" s="68"/>
      <c r="AH250" s="68"/>
      <c r="AI250" s="69"/>
    </row>
    <row r="251" spans="2:35">
      <c r="B251" s="36"/>
      <c r="C251" s="29" t="s">
        <v>51</v>
      </c>
      <c r="D251" s="32">
        <v>25</v>
      </c>
      <c r="E251" s="70"/>
      <c r="F251" s="45">
        <v>43.735799999999998</v>
      </c>
      <c r="G251" s="45">
        <v>48.833300000000001</v>
      </c>
      <c r="H251" s="45">
        <v>49.1952</v>
      </c>
      <c r="I251" s="66"/>
      <c r="J251" s="66"/>
      <c r="K251" s="67"/>
      <c r="L251" s="29"/>
      <c r="M251" s="70"/>
      <c r="N251" s="45"/>
      <c r="O251" s="45"/>
      <c r="P251" s="45"/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43.735799999999998</v>
      </c>
      <c r="AE251" s="45">
        <f t="shared" si="13"/>
        <v>48.833300000000001</v>
      </c>
      <c r="AF251" s="45">
        <f t="shared" si="13"/>
        <v>49.1952</v>
      </c>
      <c r="AG251" s="66"/>
      <c r="AH251" s="66"/>
      <c r="AI251" s="67"/>
    </row>
    <row r="252" spans="2:35">
      <c r="B252" s="36"/>
      <c r="C252" s="29"/>
      <c r="D252" s="32">
        <v>30</v>
      </c>
      <c r="E252" s="70"/>
      <c r="F252" s="46">
        <v>42.467599999999997</v>
      </c>
      <c r="G252" s="46">
        <v>47.646599999999999</v>
      </c>
      <c r="H252" s="46">
        <v>48.027299999999997</v>
      </c>
      <c r="I252" s="66"/>
      <c r="J252" s="66"/>
      <c r="K252" s="67"/>
      <c r="L252" s="29"/>
      <c r="M252" s="70"/>
      <c r="N252" s="46"/>
      <c r="O252" s="46"/>
      <c r="P252" s="46"/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42.467599999999997</v>
      </c>
      <c r="AE252" s="46">
        <f t="shared" si="13"/>
        <v>47.646599999999999</v>
      </c>
      <c r="AF252" s="46">
        <f t="shared" si="13"/>
        <v>48.027299999999997</v>
      </c>
      <c r="AG252" s="66"/>
      <c r="AH252" s="66"/>
      <c r="AI252" s="67"/>
    </row>
    <row r="253" spans="2:35">
      <c r="B253" s="36"/>
      <c r="C253" s="29"/>
      <c r="D253" s="32">
        <v>35</v>
      </c>
      <c r="E253" s="70"/>
      <c r="F253" s="46">
        <v>40.810899999999997</v>
      </c>
      <c r="G253" s="46">
        <v>46.373399999999997</v>
      </c>
      <c r="H253" s="46">
        <v>46.768000000000001</v>
      </c>
      <c r="I253" s="66"/>
      <c r="J253" s="66"/>
      <c r="K253" s="67"/>
      <c r="L253" s="29"/>
      <c r="M253" s="70"/>
      <c r="N253" s="46"/>
      <c r="O253" s="46"/>
      <c r="P253" s="46"/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40.810899999999997</v>
      </c>
      <c r="AE253" s="46">
        <f t="shared" si="13"/>
        <v>46.373399999999997</v>
      </c>
      <c r="AF253" s="46">
        <f t="shared" si="13"/>
        <v>46.768000000000001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38.802799999999998</v>
      </c>
      <c r="G254" s="72">
        <v>45.2181</v>
      </c>
      <c r="H254" s="72">
        <v>45.458300000000001</v>
      </c>
      <c r="I254" s="68"/>
      <c r="J254" s="68"/>
      <c r="K254" s="69"/>
      <c r="L254" s="29"/>
      <c r="M254" s="81"/>
      <c r="N254" s="72"/>
      <c r="O254" s="72"/>
      <c r="P254" s="72"/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38.802799999999998</v>
      </c>
      <c r="AE254" s="72">
        <f t="shared" si="13"/>
        <v>45.2181</v>
      </c>
      <c r="AF254" s="72">
        <f t="shared" si="13"/>
        <v>45.458300000000001</v>
      </c>
      <c r="AG254" s="68"/>
      <c r="AH254" s="68"/>
      <c r="AI254" s="69"/>
    </row>
    <row r="255" spans="2:35">
      <c r="B255" s="36"/>
      <c r="C255" s="29" t="s">
        <v>52</v>
      </c>
      <c r="D255" s="32">
        <v>25</v>
      </c>
      <c r="E255" s="70"/>
      <c r="F255" s="45">
        <v>42.9255</v>
      </c>
      <c r="G255" s="45">
        <v>47.610999999999997</v>
      </c>
      <c r="H255" s="45">
        <v>48.141599999999997</v>
      </c>
      <c r="I255" s="66"/>
      <c r="J255" s="66"/>
      <c r="K255" s="67"/>
      <c r="L255" s="29"/>
      <c r="M255" s="70"/>
      <c r="N255" s="45"/>
      <c r="O255" s="45"/>
      <c r="P255" s="45"/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42.9255</v>
      </c>
      <c r="AE255" s="45">
        <f t="shared" si="13"/>
        <v>47.610999999999997</v>
      </c>
      <c r="AF255" s="45">
        <f t="shared" si="13"/>
        <v>48.141599999999997</v>
      </c>
      <c r="AG255" s="45"/>
      <c r="AH255" s="66"/>
      <c r="AI255" s="67"/>
    </row>
    <row r="256" spans="2:35">
      <c r="B256" s="36"/>
      <c r="C256" s="29"/>
      <c r="D256" s="32">
        <v>30</v>
      </c>
      <c r="E256" s="70"/>
      <c r="F256" s="46">
        <v>41.8217</v>
      </c>
      <c r="G256" s="46">
        <v>46.575600000000001</v>
      </c>
      <c r="H256" s="46">
        <v>47.032800000000002</v>
      </c>
      <c r="I256" s="66"/>
      <c r="J256" s="66"/>
      <c r="K256" s="67"/>
      <c r="L256" s="29"/>
      <c r="M256" s="70"/>
      <c r="N256" s="46"/>
      <c r="O256" s="46"/>
      <c r="P256" s="46"/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41.8217</v>
      </c>
      <c r="AE256" s="46">
        <f t="shared" si="13"/>
        <v>46.575600000000001</v>
      </c>
      <c r="AF256" s="46">
        <f t="shared" si="13"/>
        <v>47.032800000000002</v>
      </c>
      <c r="AG256" s="66"/>
      <c r="AH256" s="66"/>
      <c r="AI256" s="67"/>
    </row>
    <row r="257" spans="1:35">
      <c r="B257" s="36"/>
      <c r="C257" s="29"/>
      <c r="D257" s="32">
        <v>35</v>
      </c>
      <c r="E257" s="70"/>
      <c r="F257" s="46">
        <v>40.302500000000002</v>
      </c>
      <c r="G257" s="46">
        <v>45.614699999999999</v>
      </c>
      <c r="H257" s="46">
        <v>46.058</v>
      </c>
      <c r="I257" s="66"/>
      <c r="J257" s="66"/>
      <c r="K257" s="67"/>
      <c r="L257" s="29"/>
      <c r="M257" s="70"/>
      <c r="N257" s="46"/>
      <c r="O257" s="46"/>
      <c r="P257" s="46"/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40.302500000000002</v>
      </c>
      <c r="AE257" s="46">
        <f t="shared" si="13"/>
        <v>45.614699999999999</v>
      </c>
      <c r="AF257" s="46">
        <f t="shared" si="13"/>
        <v>46.058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38.438600000000001</v>
      </c>
      <c r="G258" s="72">
        <v>44.665399999999998</v>
      </c>
      <c r="H258" s="72">
        <v>44.851799999999997</v>
      </c>
      <c r="I258" s="68"/>
      <c r="J258" s="68"/>
      <c r="K258" s="69"/>
      <c r="L258" s="29"/>
      <c r="M258" s="81"/>
      <c r="N258" s="72"/>
      <c r="O258" s="72"/>
      <c r="P258" s="72"/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38.438600000000001</v>
      </c>
      <c r="AE258" s="72">
        <f t="shared" si="13"/>
        <v>44.665399999999998</v>
      </c>
      <c r="AF258" s="72">
        <f t="shared" si="13"/>
        <v>44.851799999999997</v>
      </c>
      <c r="AG258" s="68"/>
      <c r="AH258" s="68"/>
      <c r="AI258" s="69"/>
    </row>
    <row r="259" spans="1:35">
      <c r="B259" s="36"/>
      <c r="C259" s="29" t="s">
        <v>12</v>
      </c>
      <c r="D259" s="32">
        <v>25</v>
      </c>
      <c r="E259" s="45">
        <v>1495.681</v>
      </c>
      <c r="F259" s="70"/>
      <c r="G259" s="70"/>
      <c r="H259" s="70"/>
      <c r="I259" s="45">
        <v>27884.73</v>
      </c>
      <c r="J259" s="45">
        <v>72.89</v>
      </c>
      <c r="K259" s="45">
        <v>589.92999999999995</v>
      </c>
      <c r="L259" s="29"/>
      <c r="M259" s="45">
        <v>1495.482</v>
      </c>
      <c r="N259" s="70"/>
      <c r="O259" s="70"/>
      <c r="P259" s="70"/>
      <c r="Q259" s="45">
        <v>21472.91</v>
      </c>
      <c r="R259" s="45">
        <v>55.67</v>
      </c>
      <c r="S259" s="45"/>
      <c r="U259" s="8"/>
      <c r="V259" s="9"/>
      <c r="W259" s="10"/>
      <c r="X259" s="29"/>
      <c r="Y259" s="61">
        <f>GEOMEAN(Q259:Q262)/GEOMEAN(I259:I262)</f>
        <v>0.83057632614171317</v>
      </c>
      <c r="Z259" s="61">
        <f>GEOMEAN(R259:R262)/GEOMEAN(J259:J262)</f>
        <v>0.82267537946669711</v>
      </c>
      <c r="AA259" s="57" t="e">
        <f>GEOMEAN(S259:S262)/GEOMEAN(K259:K262)</f>
        <v>#NUM!</v>
      </c>
      <c r="AC259" s="45">
        <f>E259 -M259</f>
        <v>0.19900000000006912</v>
      </c>
      <c r="AD259" s="70"/>
      <c r="AE259" s="70"/>
      <c r="AF259" s="70"/>
      <c r="AG259" s="45">
        <f t="shared" ref="AG259:AI262" si="15">I259 -Q259</f>
        <v>6411.82</v>
      </c>
      <c r="AH259" s="45">
        <f t="shared" si="15"/>
        <v>17.22</v>
      </c>
      <c r="AI259" s="45">
        <f t="shared" si="15"/>
        <v>589.92999999999995</v>
      </c>
    </row>
    <row r="260" spans="1:35">
      <c r="B260" s="36"/>
      <c r="C260" s="29"/>
      <c r="D260" s="32">
        <v>30</v>
      </c>
      <c r="E260" s="46">
        <v>611.51400000000001</v>
      </c>
      <c r="F260" s="70"/>
      <c r="G260" s="70"/>
      <c r="H260" s="70"/>
      <c r="I260" s="46">
        <v>22140.05</v>
      </c>
      <c r="J260" s="46">
        <v>69.89</v>
      </c>
      <c r="K260" s="46">
        <v>582.92999999999995</v>
      </c>
      <c r="L260" s="29"/>
      <c r="M260" s="46">
        <v>611.53899999999999</v>
      </c>
      <c r="N260" s="70"/>
      <c r="O260" s="70"/>
      <c r="P260" s="70"/>
      <c r="Q260" s="46">
        <v>26274.27</v>
      </c>
      <c r="R260" s="46">
        <v>49.8</v>
      </c>
      <c r="S260" s="46"/>
      <c r="U260" s="41"/>
      <c r="V260" s="42"/>
      <c r="W260" s="43"/>
      <c r="X260" s="29"/>
      <c r="Y260" s="24"/>
      <c r="Z260" s="24"/>
      <c r="AA260" s="27"/>
      <c r="AC260" s="46">
        <f>E260 -M260</f>
        <v>-2.4999999999977263E-2</v>
      </c>
      <c r="AD260" s="70"/>
      <c r="AE260" s="70"/>
      <c r="AF260" s="70"/>
      <c r="AG260" s="46">
        <f t="shared" si="15"/>
        <v>-4134.2200000000012</v>
      </c>
      <c r="AH260" s="46">
        <f t="shared" si="15"/>
        <v>20.090000000000003</v>
      </c>
      <c r="AI260" s="46">
        <f t="shared" si="15"/>
        <v>582.92999999999995</v>
      </c>
    </row>
    <row r="261" spans="1:35">
      <c r="B261" s="36"/>
      <c r="C261" s="29"/>
      <c r="D261" s="32">
        <v>35</v>
      </c>
      <c r="E261" s="46">
        <v>311.90899999999999</v>
      </c>
      <c r="F261" s="70"/>
      <c r="G261" s="70"/>
      <c r="H261" s="70"/>
      <c r="I261" s="46">
        <v>19598.849999999999</v>
      </c>
      <c r="J261" s="46">
        <v>66.37</v>
      </c>
      <c r="K261" s="46">
        <v>585.54</v>
      </c>
      <c r="L261" s="29"/>
      <c r="M261" s="46">
        <v>311.899</v>
      </c>
      <c r="N261" s="70"/>
      <c r="O261" s="70"/>
      <c r="P261" s="70"/>
      <c r="Q261" s="46">
        <v>13416.85</v>
      </c>
      <c r="R261" s="46">
        <v>73</v>
      </c>
      <c r="S261" s="46"/>
      <c r="U261" s="17"/>
      <c r="V261" s="18"/>
      <c r="W261" s="19"/>
      <c r="X261" s="29"/>
      <c r="Y261" s="24"/>
      <c r="Z261" s="24"/>
      <c r="AA261" s="27"/>
      <c r="AC261" s="46">
        <f>E261 -M261</f>
        <v>9.9999999999909051E-3</v>
      </c>
      <c r="AD261" s="70"/>
      <c r="AE261" s="70"/>
      <c r="AF261" s="70"/>
      <c r="AG261" s="46">
        <f t="shared" si="15"/>
        <v>6181.9999999999982</v>
      </c>
      <c r="AH261" s="46">
        <f t="shared" si="15"/>
        <v>-6.6299999999999955</v>
      </c>
      <c r="AI261" s="46">
        <f t="shared" si="15"/>
        <v>585.54</v>
      </c>
    </row>
    <row r="262" spans="1:35" ht="12.75" thickBot="1">
      <c r="B262" s="52"/>
      <c r="C262" s="53"/>
      <c r="D262" s="71">
        <v>40</v>
      </c>
      <c r="E262" s="72">
        <v>173.34</v>
      </c>
      <c r="F262" s="81"/>
      <c r="G262" s="81"/>
      <c r="H262" s="81"/>
      <c r="I262" s="72">
        <v>18032.099999999999</v>
      </c>
      <c r="J262" s="72">
        <v>65.47</v>
      </c>
      <c r="K262" s="72">
        <v>581.91</v>
      </c>
      <c r="L262" s="29"/>
      <c r="M262" s="72">
        <v>173.33799999999999</v>
      </c>
      <c r="N262" s="81"/>
      <c r="O262" s="81"/>
      <c r="P262" s="81"/>
      <c r="Q262" s="72">
        <v>13717.28</v>
      </c>
      <c r="R262" s="72">
        <v>50.1</v>
      </c>
      <c r="S262" s="72"/>
      <c r="U262" s="85"/>
      <c r="V262" s="86"/>
      <c r="W262" s="87"/>
      <c r="X262" s="29"/>
      <c r="Y262" s="49"/>
      <c r="Z262" s="49"/>
      <c r="AA262" s="54"/>
      <c r="AC262" s="72">
        <f>E262 -M262</f>
        <v>2.0000000000095497E-3</v>
      </c>
      <c r="AD262" s="81"/>
      <c r="AE262" s="81"/>
      <c r="AF262" s="81"/>
      <c r="AG262" s="72">
        <f t="shared" si="15"/>
        <v>4314.8199999999979</v>
      </c>
      <c r="AH262" s="72">
        <f t="shared" si="15"/>
        <v>15.369999999999997</v>
      </c>
      <c r="AI262" s="72">
        <f t="shared" si="15"/>
        <v>581.91</v>
      </c>
    </row>
    <row r="263" spans="1:35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45">
        <v>2440.5952000000002</v>
      </c>
      <c r="N263" s="45">
        <v>39.861800000000002</v>
      </c>
      <c r="O263" s="45">
        <v>46.748800000000003</v>
      </c>
      <c r="P263" s="45">
        <v>46.033200000000001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46">
        <v>956.43600000000004</v>
      </c>
      <c r="N264" s="46">
        <v>37.902799999999999</v>
      </c>
      <c r="O264" s="46">
        <v>45.311</v>
      </c>
      <c r="P264" s="46">
        <v>44.550199999999997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46">
        <v>461.7792</v>
      </c>
      <c r="N265" s="46">
        <v>35.882399999999997</v>
      </c>
      <c r="O265" s="46">
        <v>43.554200000000002</v>
      </c>
      <c r="P265" s="46">
        <v>42.8249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46">
        <v>241.52879999999999</v>
      </c>
      <c r="N266" s="46">
        <v>33.765900000000002</v>
      </c>
      <c r="O266" s="46">
        <v>42.314300000000003</v>
      </c>
      <c r="P266" s="46">
        <v>41.622700000000002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>
      <c r="B267" s="36"/>
      <c r="C267" s="28" t="s">
        <v>27</v>
      </c>
      <c r="D267" s="31">
        <v>25</v>
      </c>
      <c r="E267" s="45">
        <v>701.13040000000001</v>
      </c>
      <c r="F267" s="45">
        <v>38.984099999999998</v>
      </c>
      <c r="G267" s="45">
        <v>46.601999999999997</v>
      </c>
      <c r="H267" s="45">
        <v>44.730600000000003</v>
      </c>
      <c r="I267" s="79"/>
      <c r="J267" s="79"/>
      <c r="K267" s="80"/>
      <c r="L267" s="29"/>
      <c r="M267" s="45">
        <v>701.13040000000001</v>
      </c>
      <c r="N267" s="45">
        <v>38.984099999999998</v>
      </c>
      <c r="O267" s="45">
        <v>46.601999999999997</v>
      </c>
      <c r="P267" s="45">
        <v>44.730600000000003</v>
      </c>
      <c r="Q267" s="79"/>
      <c r="R267" s="79"/>
      <c r="S267" s="80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9"/>
      <c r="AH267" s="79"/>
      <c r="AI267" s="80"/>
    </row>
    <row r="268" spans="1:35">
      <c r="B268" s="36"/>
      <c r="C268" s="29"/>
      <c r="D268" s="32">
        <v>30</v>
      </c>
      <c r="E268" s="46">
        <v>195.4248</v>
      </c>
      <c r="F268" s="46">
        <v>37.133499999999998</v>
      </c>
      <c r="G268" s="46">
        <v>45.169400000000003</v>
      </c>
      <c r="H268" s="46">
        <v>43.107999999999997</v>
      </c>
      <c r="I268" s="66"/>
      <c r="J268" s="66"/>
      <c r="K268" s="67"/>
      <c r="L268" s="29"/>
      <c r="M268" s="46">
        <v>195.4248</v>
      </c>
      <c r="N268" s="46">
        <v>37.133499999999998</v>
      </c>
      <c r="O268" s="46">
        <v>45.169400000000003</v>
      </c>
      <c r="P268" s="46">
        <v>43.107999999999997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>
      <c r="B269" s="36"/>
      <c r="C269" s="29"/>
      <c r="D269" s="32">
        <v>35</v>
      </c>
      <c r="E269" s="46">
        <v>75.428799999999995</v>
      </c>
      <c r="F269" s="46">
        <v>35.241799999999998</v>
      </c>
      <c r="G269" s="46">
        <v>43.675199999999997</v>
      </c>
      <c r="H269" s="46">
        <v>41.816299999999998</v>
      </c>
      <c r="I269" s="66"/>
      <c r="J269" s="66"/>
      <c r="K269" s="67"/>
      <c r="L269" s="29"/>
      <c r="M269" s="46">
        <v>75.428799999999995</v>
      </c>
      <c r="N269" s="46">
        <v>35.241799999999998</v>
      </c>
      <c r="O269" s="46">
        <v>43.675199999999997</v>
      </c>
      <c r="P269" s="46">
        <v>41.816299999999998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33.488799999999998</v>
      </c>
      <c r="F270" s="46">
        <v>33.2624</v>
      </c>
      <c r="G270" s="46">
        <v>42.4923</v>
      </c>
      <c r="H270" s="46">
        <v>40.863100000000003</v>
      </c>
      <c r="I270" s="66"/>
      <c r="J270" s="66"/>
      <c r="K270" s="67"/>
      <c r="L270" s="29"/>
      <c r="M270" s="46">
        <v>33.488799999999998</v>
      </c>
      <c r="N270" s="46">
        <v>33.2624</v>
      </c>
      <c r="O270" s="46">
        <v>42.4923</v>
      </c>
      <c r="P270" s="46">
        <v>40.863100000000003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>
      <c r="B271" s="36"/>
      <c r="C271" s="28" t="s">
        <v>28</v>
      </c>
      <c r="D271" s="31">
        <v>25</v>
      </c>
      <c r="E271" s="45">
        <v>690.59199999999998</v>
      </c>
      <c r="F271" s="45">
        <v>38.9129</v>
      </c>
      <c r="G271" s="45">
        <v>46.431699999999999</v>
      </c>
      <c r="H271" s="45">
        <v>46.133200000000002</v>
      </c>
      <c r="I271" s="79"/>
      <c r="J271" s="79"/>
      <c r="K271" s="80"/>
      <c r="L271" s="29"/>
      <c r="M271" s="45">
        <v>690.47839999999997</v>
      </c>
      <c r="N271" s="45">
        <v>38.9129</v>
      </c>
      <c r="O271" s="45">
        <v>46.431699999999999</v>
      </c>
      <c r="P271" s="45">
        <v>46.131799999999998</v>
      </c>
      <c r="Q271" s="79"/>
      <c r="R271" s="79"/>
      <c r="S271" s="80"/>
      <c r="U271" s="8">
        <f>bdrate($E271:$E274,F271:F274,$M271:$M274,N271:N274)</f>
        <v>-6.081752301736465E-4</v>
      </c>
      <c r="V271" s="9">
        <f>bdrate($E271:$E274,G271:G274,$M271:$M274,O271:O274)</f>
        <v>-3.9080430254767595E-4</v>
      </c>
      <c r="W271" s="10">
        <f>bdrate($E271:$E274,H271:H274,$M271:$M274,P271:P274)</f>
        <v>-7.0007825214712938E-7</v>
      </c>
      <c r="X271" s="29"/>
      <c r="Y271" s="24"/>
      <c r="Z271" s="24"/>
      <c r="AA271" s="27"/>
      <c r="AC271" s="45">
        <f t="shared" si="17"/>
        <v>0.11360000000001946</v>
      </c>
      <c r="AD271" s="45">
        <f t="shared" si="16"/>
        <v>0</v>
      </c>
      <c r="AE271" s="45">
        <f t="shared" si="16"/>
        <v>0</v>
      </c>
      <c r="AF271" s="45">
        <f t="shared" si="16"/>
        <v>1.4000000000038426E-3</v>
      </c>
      <c r="AG271" s="79"/>
      <c r="AH271" s="79"/>
      <c r="AI271" s="80"/>
    </row>
    <row r="272" spans="1:35">
      <c r="B272" s="36"/>
      <c r="C272" s="29"/>
      <c r="D272" s="32">
        <v>30</v>
      </c>
      <c r="E272" s="46">
        <v>193.14240000000001</v>
      </c>
      <c r="F272" s="46">
        <v>36.9495</v>
      </c>
      <c r="G272" s="46">
        <v>44.986699999999999</v>
      </c>
      <c r="H272" s="46">
        <v>44.713200000000001</v>
      </c>
      <c r="I272" s="66"/>
      <c r="J272" s="66"/>
      <c r="K272" s="67"/>
      <c r="L272" s="29"/>
      <c r="M272" s="46">
        <v>192.9768</v>
      </c>
      <c r="N272" s="46">
        <v>36.948500000000003</v>
      </c>
      <c r="O272" s="46">
        <v>44.9876</v>
      </c>
      <c r="P272" s="46">
        <v>44.714500000000001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0.16560000000001196</v>
      </c>
      <c r="AD272" s="46">
        <f t="shared" si="16"/>
        <v>9.9999999999766942E-4</v>
      </c>
      <c r="AE272" s="46">
        <f t="shared" si="16"/>
        <v>-9.0000000000145519E-4</v>
      </c>
      <c r="AF272" s="46">
        <f t="shared" si="16"/>
        <v>-1.300000000000523E-3</v>
      </c>
      <c r="AG272" s="66"/>
      <c r="AH272" s="66"/>
      <c r="AI272" s="67"/>
    </row>
    <row r="273" spans="2:35">
      <c r="B273" s="36"/>
      <c r="C273" s="29"/>
      <c r="D273" s="32">
        <v>35</v>
      </c>
      <c r="E273" s="46">
        <v>73.900800000000004</v>
      </c>
      <c r="F273" s="46">
        <v>34.972900000000003</v>
      </c>
      <c r="G273" s="46">
        <v>43.476999999999997</v>
      </c>
      <c r="H273" s="46">
        <v>43.130899999999997</v>
      </c>
      <c r="I273" s="66"/>
      <c r="J273" s="66"/>
      <c r="K273" s="67"/>
      <c r="L273" s="29"/>
      <c r="M273" s="46">
        <v>73.764799999999994</v>
      </c>
      <c r="N273" s="46">
        <v>34.971800000000002</v>
      </c>
      <c r="O273" s="46">
        <v>43.473300000000002</v>
      </c>
      <c r="P273" s="46">
        <v>43.125799999999998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0.13600000000000989</v>
      </c>
      <c r="AD273" s="46">
        <f t="shared" si="16"/>
        <v>1.1000000000009891E-3</v>
      </c>
      <c r="AE273" s="46">
        <f t="shared" si="16"/>
        <v>3.6999999999949296E-3</v>
      </c>
      <c r="AF273" s="46">
        <f t="shared" si="16"/>
        <v>5.0999999999987722E-3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31.2104</v>
      </c>
      <c r="F274" s="72">
        <v>32.9467</v>
      </c>
      <c r="G274" s="72">
        <v>42.308399999999999</v>
      </c>
      <c r="H274" s="72">
        <v>41.921700000000001</v>
      </c>
      <c r="I274" s="68"/>
      <c r="J274" s="68"/>
      <c r="K274" s="69"/>
      <c r="L274" s="29"/>
      <c r="M274" s="72">
        <v>31.220800000000001</v>
      </c>
      <c r="N274" s="72">
        <v>32.946899999999999</v>
      </c>
      <c r="O274" s="72">
        <v>42.308399999999999</v>
      </c>
      <c r="P274" s="72">
        <v>41.921500000000002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-1.0400000000000631E-2</v>
      </c>
      <c r="AD274" s="72">
        <f t="shared" si="16"/>
        <v>-1.9999999999953388E-4</v>
      </c>
      <c r="AE274" s="72">
        <f t="shared" si="16"/>
        <v>0</v>
      </c>
      <c r="AF274" s="72">
        <f t="shared" si="16"/>
        <v>1.9999999999953388E-4</v>
      </c>
      <c r="AG274" s="68"/>
      <c r="AH274" s="68"/>
      <c r="AI274" s="69"/>
    </row>
    <row r="275" spans="2:35">
      <c r="B275" s="36"/>
      <c r="C275" s="28" t="s">
        <v>29</v>
      </c>
      <c r="D275" s="31">
        <v>34</v>
      </c>
      <c r="E275" s="45">
        <v>164.2704</v>
      </c>
      <c r="F275" s="45">
        <v>43.911700000000003</v>
      </c>
      <c r="G275" s="78"/>
      <c r="H275" s="78"/>
      <c r="I275" s="79"/>
      <c r="J275" s="79"/>
      <c r="K275" s="80"/>
      <c r="L275" s="29"/>
      <c r="M275" s="45">
        <v>164.2704</v>
      </c>
      <c r="N275" s="45">
        <v>43.911700000000003</v>
      </c>
      <c r="O275" s="78">
        <v>99.99</v>
      </c>
      <c r="P275" s="78">
        <v>99.99</v>
      </c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C275" s="45">
        <f t="shared" si="17"/>
        <v>0</v>
      </c>
      <c r="AD275" s="45">
        <f t="shared" si="16"/>
        <v>0</v>
      </c>
      <c r="AE275" s="78"/>
      <c r="AF275" s="78"/>
      <c r="AG275" s="79"/>
      <c r="AH275" s="79"/>
      <c r="AI275" s="80"/>
    </row>
    <row r="276" spans="2:35">
      <c r="B276" s="36"/>
      <c r="C276" s="29"/>
      <c r="D276" s="32">
        <v>39</v>
      </c>
      <c r="E276" s="46">
        <v>49.601599999999998</v>
      </c>
      <c r="F276" s="46">
        <v>40.816000000000003</v>
      </c>
      <c r="G276" s="70"/>
      <c r="H276" s="70"/>
      <c r="I276" s="66"/>
      <c r="J276" s="66"/>
      <c r="K276" s="67"/>
      <c r="L276" s="29"/>
      <c r="M276" s="46">
        <v>49.601599999999998</v>
      </c>
      <c r="N276" s="46">
        <v>40.816000000000003</v>
      </c>
      <c r="O276" s="70">
        <v>99.99</v>
      </c>
      <c r="P276" s="70">
        <v>99.99</v>
      </c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0</v>
      </c>
      <c r="AD276" s="46">
        <f t="shared" si="16"/>
        <v>0</v>
      </c>
      <c r="AE276" s="70"/>
      <c r="AF276" s="70"/>
      <c r="AG276" s="66"/>
      <c r="AH276" s="66"/>
      <c r="AI276" s="67"/>
    </row>
    <row r="277" spans="2:35">
      <c r="B277" s="36"/>
      <c r="C277" s="29"/>
      <c r="D277" s="32">
        <v>42</v>
      </c>
      <c r="E277" s="46">
        <v>20.396000000000001</v>
      </c>
      <c r="F277" s="46">
        <v>37.339799999999997</v>
      </c>
      <c r="G277" s="70"/>
      <c r="H277" s="70"/>
      <c r="I277" s="66"/>
      <c r="J277" s="66"/>
      <c r="K277" s="67"/>
      <c r="L277" s="29"/>
      <c r="M277" s="46">
        <v>20.396000000000001</v>
      </c>
      <c r="N277" s="46">
        <v>37.339799999999997</v>
      </c>
      <c r="O277" s="70">
        <v>99.99</v>
      </c>
      <c r="P277" s="70">
        <v>99.99</v>
      </c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0</v>
      </c>
      <c r="AD277" s="46">
        <f t="shared" si="16"/>
        <v>0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9.7103999999999999</v>
      </c>
      <c r="F278" s="46">
        <v>33.8964</v>
      </c>
      <c r="G278" s="70"/>
      <c r="H278" s="70"/>
      <c r="I278" s="66"/>
      <c r="J278" s="66"/>
      <c r="K278" s="67"/>
      <c r="L278" s="29"/>
      <c r="M278" s="46">
        <v>9.7103999999999999</v>
      </c>
      <c r="N278" s="46">
        <v>33.8964</v>
      </c>
      <c r="O278" s="70">
        <v>99.99</v>
      </c>
      <c r="P278" s="70">
        <v>99.99</v>
      </c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>
      <c r="B279" s="36"/>
      <c r="C279" s="28" t="s">
        <v>30</v>
      </c>
      <c r="D279" s="31">
        <v>34</v>
      </c>
      <c r="E279" s="45">
        <v>100.7632</v>
      </c>
      <c r="F279" s="45">
        <v>42.311900000000001</v>
      </c>
      <c r="G279" s="78"/>
      <c r="H279" s="78"/>
      <c r="I279" s="79"/>
      <c r="J279" s="79"/>
      <c r="K279" s="80"/>
      <c r="L279" s="29"/>
      <c r="M279" s="45">
        <v>100.7632</v>
      </c>
      <c r="N279" s="45">
        <v>42.311900000000001</v>
      </c>
      <c r="O279" s="78">
        <v>99.99</v>
      </c>
      <c r="P279" s="78">
        <v>99.99</v>
      </c>
      <c r="Q279" s="79"/>
      <c r="R279" s="79"/>
      <c r="S279" s="80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  <c r="AC279" s="45">
        <f t="shared" si="17"/>
        <v>0</v>
      </c>
      <c r="AD279" s="45">
        <f t="shared" si="16"/>
        <v>0</v>
      </c>
      <c r="AE279" s="78"/>
      <c r="AF279" s="78"/>
      <c r="AG279" s="79"/>
      <c r="AH279" s="79"/>
      <c r="AI279" s="80"/>
    </row>
    <row r="280" spans="2:35">
      <c r="B280" s="36"/>
      <c r="C280" s="29"/>
      <c r="D280" s="32">
        <v>39</v>
      </c>
      <c r="E280" s="46">
        <v>24.456</v>
      </c>
      <c r="F280" s="46">
        <v>39.4983</v>
      </c>
      <c r="G280" s="70"/>
      <c r="H280" s="70"/>
      <c r="I280" s="66"/>
      <c r="J280" s="66"/>
      <c r="K280" s="67"/>
      <c r="L280" s="29"/>
      <c r="M280" s="46">
        <v>24.456</v>
      </c>
      <c r="N280" s="46">
        <v>39.4983</v>
      </c>
      <c r="O280" s="70">
        <v>99.99</v>
      </c>
      <c r="P280" s="70">
        <v>99.99</v>
      </c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0</v>
      </c>
      <c r="AD280" s="46">
        <f t="shared" si="16"/>
        <v>0</v>
      </c>
      <c r="AE280" s="70"/>
      <c r="AF280" s="70"/>
      <c r="AG280" s="66"/>
      <c r="AH280" s="66"/>
      <c r="AI280" s="67"/>
    </row>
    <row r="281" spans="2:35">
      <c r="B281" s="36"/>
      <c r="C281" s="29"/>
      <c r="D281" s="32">
        <v>42</v>
      </c>
      <c r="E281" s="46">
        <v>9.3352000000000004</v>
      </c>
      <c r="F281" s="46">
        <v>36.4011</v>
      </c>
      <c r="G281" s="70"/>
      <c r="H281" s="70"/>
      <c r="I281" s="66"/>
      <c r="J281" s="66"/>
      <c r="K281" s="67"/>
      <c r="L281" s="29"/>
      <c r="M281" s="46">
        <v>9.3352000000000004</v>
      </c>
      <c r="N281" s="46">
        <v>36.4011</v>
      </c>
      <c r="O281" s="70">
        <v>99.99</v>
      </c>
      <c r="P281" s="70">
        <v>99.99</v>
      </c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0</v>
      </c>
      <c r="AD281" s="46">
        <f t="shared" si="16"/>
        <v>0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4.8015999999999996</v>
      </c>
      <c r="F282" s="46">
        <v>33.448500000000003</v>
      </c>
      <c r="G282" s="70"/>
      <c r="H282" s="70"/>
      <c r="I282" s="66"/>
      <c r="J282" s="66"/>
      <c r="K282" s="67"/>
      <c r="L282" s="29"/>
      <c r="M282" s="46">
        <v>4.8015999999999996</v>
      </c>
      <c r="N282" s="46">
        <v>33.448500000000003</v>
      </c>
      <c r="O282" s="70">
        <v>99.99</v>
      </c>
      <c r="P282" s="70">
        <v>99.99</v>
      </c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0</v>
      </c>
      <c r="AD282" s="46">
        <f t="shared" si="16"/>
        <v>0</v>
      </c>
      <c r="AE282" s="70"/>
      <c r="AF282" s="70"/>
      <c r="AG282" s="66"/>
      <c r="AH282" s="66"/>
      <c r="AI282" s="67"/>
    </row>
    <row r="283" spans="2:35">
      <c r="B283" s="36"/>
      <c r="C283" s="28" t="s">
        <v>31</v>
      </c>
      <c r="D283" s="31">
        <v>34</v>
      </c>
      <c r="E283" s="45">
        <v>117.4072</v>
      </c>
      <c r="F283" s="45">
        <v>41.7699</v>
      </c>
      <c r="G283" s="78"/>
      <c r="H283" s="78"/>
      <c r="I283" s="79"/>
      <c r="J283" s="79"/>
      <c r="K283" s="80"/>
      <c r="L283" s="29"/>
      <c r="M283" s="45">
        <v>117.2944</v>
      </c>
      <c r="N283" s="45">
        <v>41.78</v>
      </c>
      <c r="O283" s="78">
        <v>99.99</v>
      </c>
      <c r="P283" s="78">
        <v>99.99</v>
      </c>
      <c r="Q283" s="79"/>
      <c r="R283" s="79"/>
      <c r="S283" s="80"/>
      <c r="U283" s="8">
        <f>bdrate($E283:$E286,F283:F286,$M283:$M286,N283:N286)</f>
        <v>2.1783005380915377E-4</v>
      </c>
      <c r="V283" s="9"/>
      <c r="W283" s="10"/>
      <c r="X283" s="29"/>
      <c r="Y283" s="24"/>
      <c r="Z283" s="24"/>
      <c r="AA283" s="27"/>
      <c r="AC283" s="45">
        <f t="shared" si="17"/>
        <v>0.11280000000000712</v>
      </c>
      <c r="AD283" s="45">
        <f t="shared" si="16"/>
        <v>-1.010000000000133E-2</v>
      </c>
      <c r="AE283" s="78"/>
      <c r="AF283" s="78"/>
      <c r="AG283" s="79"/>
      <c r="AH283" s="79"/>
      <c r="AI283" s="80"/>
    </row>
    <row r="284" spans="2:35">
      <c r="B284" s="36"/>
      <c r="C284" s="29"/>
      <c r="D284" s="32">
        <v>39</v>
      </c>
      <c r="E284" s="46">
        <v>28.224799999999998</v>
      </c>
      <c r="F284" s="46">
        <v>39.007899999999999</v>
      </c>
      <c r="G284" s="70"/>
      <c r="H284" s="70"/>
      <c r="I284" s="66"/>
      <c r="J284" s="66"/>
      <c r="K284" s="67"/>
      <c r="L284" s="29"/>
      <c r="M284" s="46">
        <v>28.152799999999999</v>
      </c>
      <c r="N284" s="46">
        <v>39.018599999999999</v>
      </c>
      <c r="O284" s="70">
        <v>99.99</v>
      </c>
      <c r="P284" s="70">
        <v>99.99</v>
      </c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7.1999999999999176E-2</v>
      </c>
      <c r="AD284" s="46">
        <f t="shared" si="16"/>
        <v>-1.0699999999999932E-2</v>
      </c>
      <c r="AE284" s="70"/>
      <c r="AF284" s="70"/>
      <c r="AG284" s="66"/>
      <c r="AH284" s="66"/>
      <c r="AI284" s="67"/>
    </row>
    <row r="285" spans="2:35">
      <c r="B285" s="36"/>
      <c r="C285" s="29"/>
      <c r="D285" s="32">
        <v>42</v>
      </c>
      <c r="E285" s="46">
        <v>10.3416</v>
      </c>
      <c r="F285" s="46">
        <v>36.088000000000001</v>
      </c>
      <c r="G285" s="70"/>
      <c r="H285" s="70"/>
      <c r="I285" s="66"/>
      <c r="J285" s="66"/>
      <c r="K285" s="67"/>
      <c r="L285" s="29"/>
      <c r="M285" s="46">
        <v>10.428000000000001</v>
      </c>
      <c r="N285" s="46">
        <v>36.084000000000003</v>
      </c>
      <c r="O285" s="70">
        <v>99.99</v>
      </c>
      <c r="P285" s="70">
        <v>99.99</v>
      </c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-8.6400000000001143E-2</v>
      </c>
      <c r="AD285" s="46">
        <f t="shared" si="16"/>
        <v>3.9999999999977831E-3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4.8632</v>
      </c>
      <c r="F286" s="46">
        <v>33.082500000000003</v>
      </c>
      <c r="G286" s="70"/>
      <c r="H286" s="70"/>
      <c r="I286" s="66"/>
      <c r="J286" s="66"/>
      <c r="K286" s="67"/>
      <c r="L286" s="29"/>
      <c r="M286" s="46">
        <v>4.8608000000000002</v>
      </c>
      <c r="N286" s="46">
        <v>33.083100000000002</v>
      </c>
      <c r="O286" s="70">
        <v>99.99</v>
      </c>
      <c r="P286" s="70">
        <v>99.99</v>
      </c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2.3999999999997357E-3</v>
      </c>
      <c r="AD286" s="46">
        <f t="shared" si="16"/>
        <v>-5.9999999999860165E-4</v>
      </c>
      <c r="AE286" s="46"/>
      <c r="AF286" s="46"/>
      <c r="AG286" s="66"/>
      <c r="AH286" s="66"/>
      <c r="AI286" s="67"/>
    </row>
    <row r="287" spans="2:35">
      <c r="B287" s="36"/>
      <c r="C287" s="28" t="s">
        <v>47</v>
      </c>
      <c r="D287" s="31">
        <v>25</v>
      </c>
      <c r="E287" s="78"/>
      <c r="F287" s="45">
        <v>40.001600000000003</v>
      </c>
      <c r="G287" s="45">
        <v>46.646999999999998</v>
      </c>
      <c r="H287" s="45">
        <v>45.956299999999999</v>
      </c>
      <c r="I287" s="79"/>
      <c r="J287" s="79"/>
      <c r="K287" s="80"/>
      <c r="L287" s="29"/>
      <c r="M287" s="78"/>
      <c r="N287" s="45"/>
      <c r="O287" s="45"/>
      <c r="P287" s="45"/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40.001600000000003</v>
      </c>
      <c r="AE287" s="45">
        <f t="shared" si="16"/>
        <v>46.646999999999998</v>
      </c>
      <c r="AF287" s="45">
        <f t="shared" si="16"/>
        <v>45.956299999999999</v>
      </c>
      <c r="AG287" s="79"/>
      <c r="AH287" s="79"/>
      <c r="AI287" s="80"/>
    </row>
    <row r="288" spans="2:35">
      <c r="B288" s="36"/>
      <c r="C288" s="29"/>
      <c r="D288" s="32">
        <v>30</v>
      </c>
      <c r="E288" s="70"/>
      <c r="F288" s="46">
        <v>37.926699999999997</v>
      </c>
      <c r="G288" s="46">
        <v>45.117100000000001</v>
      </c>
      <c r="H288" s="46">
        <v>44.337299999999999</v>
      </c>
      <c r="I288" s="66"/>
      <c r="J288" s="66"/>
      <c r="K288" s="67"/>
      <c r="L288" s="29"/>
      <c r="M288" s="70"/>
      <c r="N288" s="46"/>
      <c r="O288" s="46"/>
      <c r="P288" s="46"/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37.926699999999997</v>
      </c>
      <c r="AE288" s="46">
        <f t="shared" si="16"/>
        <v>45.117100000000001</v>
      </c>
      <c r="AF288" s="46">
        <f t="shared" si="16"/>
        <v>44.337299999999999</v>
      </c>
      <c r="AG288" s="66"/>
      <c r="AH288" s="66"/>
      <c r="AI288" s="67"/>
    </row>
    <row r="289" spans="2:35">
      <c r="B289" s="36"/>
      <c r="C289" s="29"/>
      <c r="D289" s="32">
        <v>35</v>
      </c>
      <c r="E289" s="70"/>
      <c r="F289" s="46">
        <v>35.8842</v>
      </c>
      <c r="G289" s="46">
        <v>43.656399999999998</v>
      </c>
      <c r="H289" s="46">
        <v>43.007899999999999</v>
      </c>
      <c r="I289" s="66"/>
      <c r="J289" s="66"/>
      <c r="K289" s="67"/>
      <c r="L289" s="29"/>
      <c r="M289" s="70"/>
      <c r="N289" s="46"/>
      <c r="O289" s="46"/>
      <c r="P289" s="46"/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35.8842</v>
      </c>
      <c r="AE289" s="46">
        <f t="shared" si="16"/>
        <v>43.656399999999998</v>
      </c>
      <c r="AF289" s="46">
        <f t="shared" si="16"/>
        <v>43.007899999999999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33.772199999999998</v>
      </c>
      <c r="G290" s="72">
        <v>42.4968</v>
      </c>
      <c r="H290" s="72">
        <v>41.995600000000003</v>
      </c>
      <c r="I290" s="68"/>
      <c r="J290" s="68"/>
      <c r="K290" s="69"/>
      <c r="L290" s="29"/>
      <c r="M290" s="81"/>
      <c r="N290" s="72"/>
      <c r="O290" s="72"/>
      <c r="P290" s="72"/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33.772199999999998</v>
      </c>
      <c r="AE290" s="72">
        <f t="shared" si="16"/>
        <v>42.4968</v>
      </c>
      <c r="AF290" s="72">
        <f t="shared" si="16"/>
        <v>41.995600000000003</v>
      </c>
      <c r="AG290" s="68"/>
      <c r="AH290" s="68"/>
      <c r="AI290" s="69"/>
    </row>
    <row r="291" spans="2:35">
      <c r="B291" s="36"/>
      <c r="C291" s="29" t="s">
        <v>48</v>
      </c>
      <c r="D291" s="32">
        <v>25</v>
      </c>
      <c r="E291" s="70"/>
      <c r="F291" s="45">
        <v>40.708199999999998</v>
      </c>
      <c r="G291" s="45">
        <v>47.357100000000003</v>
      </c>
      <c r="H291" s="45">
        <v>46.8459</v>
      </c>
      <c r="I291" s="66"/>
      <c r="J291" s="66"/>
      <c r="K291" s="67"/>
      <c r="L291" s="29"/>
      <c r="M291" s="70"/>
      <c r="N291" s="45"/>
      <c r="O291" s="45"/>
      <c r="P291" s="45"/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40.708199999999998</v>
      </c>
      <c r="AE291" s="45">
        <f t="shared" si="16"/>
        <v>47.357100000000003</v>
      </c>
      <c r="AF291" s="45">
        <f t="shared" si="16"/>
        <v>46.8459</v>
      </c>
      <c r="AG291" s="66"/>
      <c r="AH291" s="66"/>
      <c r="AI291" s="67"/>
    </row>
    <row r="292" spans="2:35">
      <c r="B292" s="36"/>
      <c r="C292" s="29"/>
      <c r="D292" s="32">
        <v>30</v>
      </c>
      <c r="E292" s="70"/>
      <c r="F292" s="46">
        <v>38.418100000000003</v>
      </c>
      <c r="G292" s="46">
        <v>45.676000000000002</v>
      </c>
      <c r="H292" s="46">
        <v>45.130699999999997</v>
      </c>
      <c r="I292" s="66"/>
      <c r="J292" s="66"/>
      <c r="K292" s="67"/>
      <c r="L292" s="29"/>
      <c r="M292" s="70"/>
      <c r="N292" s="46"/>
      <c r="O292" s="46"/>
      <c r="P292" s="46"/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38.418100000000003</v>
      </c>
      <c r="AE292" s="46">
        <f t="shared" si="16"/>
        <v>45.676000000000002</v>
      </c>
      <c r="AF292" s="46">
        <f t="shared" si="16"/>
        <v>45.130699999999997</v>
      </c>
      <c r="AG292" s="66"/>
      <c r="AH292" s="66"/>
      <c r="AI292" s="67"/>
    </row>
    <row r="293" spans="2:35">
      <c r="B293" s="36"/>
      <c r="C293" s="29"/>
      <c r="D293" s="32">
        <v>35</v>
      </c>
      <c r="E293" s="70"/>
      <c r="F293" s="46">
        <v>36.247599999999998</v>
      </c>
      <c r="G293" s="46">
        <v>43.999499999999998</v>
      </c>
      <c r="H293" s="46">
        <v>43.552100000000003</v>
      </c>
      <c r="I293" s="66"/>
      <c r="J293" s="66"/>
      <c r="K293" s="67"/>
      <c r="L293" s="29"/>
      <c r="M293" s="70"/>
      <c r="N293" s="46"/>
      <c r="O293" s="46"/>
      <c r="P293" s="46"/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36.247599999999998</v>
      </c>
      <c r="AE293" s="46">
        <f t="shared" si="16"/>
        <v>43.999499999999998</v>
      </c>
      <c r="AF293" s="46">
        <f t="shared" si="16"/>
        <v>43.552100000000003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34.033200000000001</v>
      </c>
      <c r="G294" s="72">
        <v>42.716999999999999</v>
      </c>
      <c r="H294" s="72">
        <v>42.373100000000001</v>
      </c>
      <c r="I294" s="68"/>
      <c r="J294" s="68"/>
      <c r="K294" s="69"/>
      <c r="L294" s="29"/>
      <c r="M294" s="81"/>
      <c r="N294" s="46"/>
      <c r="O294" s="72"/>
      <c r="P294" s="72"/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34.033200000000001</v>
      </c>
      <c r="AE294" s="46">
        <f t="shared" si="16"/>
        <v>42.716999999999999</v>
      </c>
      <c r="AF294" s="46">
        <f t="shared" si="16"/>
        <v>42.373100000000001</v>
      </c>
      <c r="AG294" s="68"/>
      <c r="AH294" s="68"/>
      <c r="AI294" s="69"/>
    </row>
    <row r="295" spans="2:35">
      <c r="B295" s="36"/>
      <c r="C295" s="29" t="s">
        <v>49</v>
      </c>
      <c r="D295" s="32">
        <v>25</v>
      </c>
      <c r="E295" s="70"/>
      <c r="F295" s="45">
        <v>40.6175</v>
      </c>
      <c r="G295" s="45">
        <v>47.564599999999999</v>
      </c>
      <c r="H295" s="45">
        <v>47.193399999999997</v>
      </c>
      <c r="I295" s="66"/>
      <c r="J295" s="66"/>
      <c r="K295" s="67"/>
      <c r="L295" s="29"/>
      <c r="M295" s="70"/>
      <c r="N295" s="45"/>
      <c r="O295" s="45"/>
      <c r="P295" s="45"/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40.6175</v>
      </c>
      <c r="AE295" s="45">
        <f t="shared" si="16"/>
        <v>47.564599999999999</v>
      </c>
      <c r="AF295" s="45">
        <f t="shared" si="16"/>
        <v>47.193399999999997</v>
      </c>
      <c r="AG295" s="66"/>
      <c r="AH295" s="66"/>
      <c r="AI295" s="67"/>
    </row>
    <row r="296" spans="2:35">
      <c r="B296" s="36"/>
      <c r="C296" s="29"/>
      <c r="D296" s="32">
        <v>30</v>
      </c>
      <c r="E296" s="70"/>
      <c r="F296" s="46">
        <v>38.408900000000003</v>
      </c>
      <c r="G296" s="46">
        <v>46.015099999999997</v>
      </c>
      <c r="H296" s="46">
        <v>45.584000000000003</v>
      </c>
      <c r="I296" s="66"/>
      <c r="J296" s="66"/>
      <c r="K296" s="67"/>
      <c r="L296" s="29"/>
      <c r="M296" s="70"/>
      <c r="N296" s="46"/>
      <c r="O296" s="46"/>
      <c r="P296" s="46"/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38.408900000000003</v>
      </c>
      <c r="AE296" s="46">
        <f t="shared" si="16"/>
        <v>46.015099999999997</v>
      </c>
      <c r="AF296" s="46">
        <f t="shared" si="16"/>
        <v>45.584000000000003</v>
      </c>
      <c r="AG296" s="66"/>
      <c r="AH296" s="66"/>
      <c r="AI296" s="67"/>
    </row>
    <row r="297" spans="2:35">
      <c r="B297" s="36"/>
      <c r="C297" s="29"/>
      <c r="D297" s="32">
        <v>35</v>
      </c>
      <c r="E297" s="70"/>
      <c r="F297" s="46">
        <v>36.249699999999997</v>
      </c>
      <c r="G297" s="46">
        <v>44.1858</v>
      </c>
      <c r="H297" s="46">
        <v>43.784799999999997</v>
      </c>
      <c r="I297" s="66"/>
      <c r="J297" s="66"/>
      <c r="K297" s="67"/>
      <c r="L297" s="29"/>
      <c r="M297" s="70"/>
      <c r="N297" s="46"/>
      <c r="O297" s="46"/>
      <c r="P297" s="46"/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36.249699999999997</v>
      </c>
      <c r="AE297" s="46">
        <f t="shared" si="16"/>
        <v>44.1858</v>
      </c>
      <c r="AF297" s="46">
        <f t="shared" si="16"/>
        <v>43.784799999999997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34.034500000000001</v>
      </c>
      <c r="G298" s="72">
        <v>42.875100000000003</v>
      </c>
      <c r="H298" s="72">
        <v>42.537599999999998</v>
      </c>
      <c r="I298" s="68"/>
      <c r="J298" s="68"/>
      <c r="K298" s="69"/>
      <c r="L298" s="29"/>
      <c r="M298" s="81"/>
      <c r="N298" s="46"/>
      <c r="O298" s="72"/>
      <c r="P298" s="72"/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34.034500000000001</v>
      </c>
      <c r="AE298" s="46">
        <f t="shared" si="16"/>
        <v>42.875100000000003</v>
      </c>
      <c r="AF298" s="46">
        <f t="shared" si="16"/>
        <v>42.537599999999998</v>
      </c>
      <c r="AG298" s="68"/>
      <c r="AH298" s="68"/>
      <c r="AI298" s="69"/>
    </row>
    <row r="299" spans="2:35">
      <c r="B299" s="36"/>
      <c r="C299" s="29" t="s">
        <v>50</v>
      </c>
      <c r="D299" s="32">
        <v>25</v>
      </c>
      <c r="E299" s="70"/>
      <c r="F299" s="45">
        <v>40.570300000000003</v>
      </c>
      <c r="G299" s="45">
        <v>47.486600000000003</v>
      </c>
      <c r="H299" s="45">
        <v>47.014499999999998</v>
      </c>
      <c r="I299" s="66"/>
      <c r="J299" s="66"/>
      <c r="K299" s="67"/>
      <c r="L299" s="29"/>
      <c r="M299" s="70"/>
      <c r="N299" s="45"/>
      <c r="O299" s="45"/>
      <c r="P299" s="45"/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40.570300000000003</v>
      </c>
      <c r="AE299" s="45">
        <f t="shared" si="16"/>
        <v>47.486600000000003</v>
      </c>
      <c r="AF299" s="45">
        <f t="shared" si="16"/>
        <v>47.014499999999998</v>
      </c>
      <c r="AG299" s="66"/>
      <c r="AH299" s="66"/>
      <c r="AI299" s="67"/>
    </row>
    <row r="300" spans="2:35">
      <c r="B300" s="36"/>
      <c r="C300" s="29"/>
      <c r="D300" s="32">
        <v>30</v>
      </c>
      <c r="E300" s="70"/>
      <c r="F300" s="46">
        <v>38.352699999999999</v>
      </c>
      <c r="G300" s="46">
        <v>45.930199999999999</v>
      </c>
      <c r="H300" s="46">
        <v>45.381599999999999</v>
      </c>
      <c r="I300" s="66"/>
      <c r="J300" s="66"/>
      <c r="K300" s="67"/>
      <c r="L300" s="29"/>
      <c r="M300" s="70"/>
      <c r="N300" s="46"/>
      <c r="O300" s="46"/>
      <c r="P300" s="46"/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38.352699999999999</v>
      </c>
      <c r="AE300" s="46">
        <f t="shared" si="16"/>
        <v>45.930199999999999</v>
      </c>
      <c r="AF300" s="46">
        <f t="shared" si="16"/>
        <v>45.381599999999999</v>
      </c>
      <c r="AG300" s="66"/>
      <c r="AH300" s="66"/>
      <c r="AI300" s="67"/>
    </row>
    <row r="301" spans="2:35">
      <c r="B301" s="36"/>
      <c r="C301" s="29"/>
      <c r="D301" s="32">
        <v>35</v>
      </c>
      <c r="E301" s="70"/>
      <c r="F301" s="46">
        <v>36.185699999999997</v>
      </c>
      <c r="G301" s="46">
        <v>44.085599999999999</v>
      </c>
      <c r="H301" s="46">
        <v>43.5565</v>
      </c>
      <c r="I301" s="66"/>
      <c r="J301" s="66"/>
      <c r="K301" s="67"/>
      <c r="L301" s="29"/>
      <c r="M301" s="70"/>
      <c r="N301" s="46"/>
      <c r="O301" s="46"/>
      <c r="P301" s="46"/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36.185699999999997</v>
      </c>
      <c r="AE301" s="46">
        <f t="shared" si="16"/>
        <v>44.085599999999999</v>
      </c>
      <c r="AF301" s="46">
        <f t="shared" si="16"/>
        <v>43.5565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33.959099999999999</v>
      </c>
      <c r="G302" s="72">
        <v>42.748199999999997</v>
      </c>
      <c r="H302" s="72">
        <v>42.276800000000001</v>
      </c>
      <c r="I302" s="68"/>
      <c r="J302" s="68"/>
      <c r="K302" s="69"/>
      <c r="L302" s="29"/>
      <c r="M302" s="81"/>
      <c r="N302" s="46"/>
      <c r="O302" s="72"/>
      <c r="P302" s="72"/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33.959099999999999</v>
      </c>
      <c r="AE302" s="46">
        <f t="shared" si="16"/>
        <v>42.748199999999997</v>
      </c>
      <c r="AF302" s="46">
        <f t="shared" si="16"/>
        <v>42.276800000000001</v>
      </c>
      <c r="AG302" s="68"/>
      <c r="AH302" s="68"/>
      <c r="AI302" s="69"/>
    </row>
    <row r="303" spans="2:35">
      <c r="B303" s="36"/>
      <c r="C303" s="29" t="s">
        <v>51</v>
      </c>
      <c r="D303" s="32">
        <v>25</v>
      </c>
      <c r="E303" s="70"/>
      <c r="F303" s="45">
        <v>40.605499999999999</v>
      </c>
      <c r="G303" s="45">
        <v>47.044400000000003</v>
      </c>
      <c r="H303" s="45">
        <v>46.813499999999998</v>
      </c>
      <c r="I303" s="66"/>
      <c r="J303" s="66"/>
      <c r="K303" s="67"/>
      <c r="L303" s="29"/>
      <c r="M303" s="70"/>
      <c r="N303" s="45"/>
      <c r="O303" s="45"/>
      <c r="P303" s="45"/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40.605499999999999</v>
      </c>
      <c r="AE303" s="45">
        <f t="shared" si="16"/>
        <v>47.044400000000003</v>
      </c>
      <c r="AF303" s="45">
        <f t="shared" si="16"/>
        <v>46.813499999999998</v>
      </c>
      <c r="AG303" s="66"/>
      <c r="AH303" s="66"/>
      <c r="AI303" s="67"/>
    </row>
    <row r="304" spans="2:35">
      <c r="B304" s="36"/>
      <c r="C304" s="29"/>
      <c r="D304" s="32">
        <v>30</v>
      </c>
      <c r="E304" s="70"/>
      <c r="F304" s="46">
        <v>38.274500000000003</v>
      </c>
      <c r="G304" s="46">
        <v>45.532400000000003</v>
      </c>
      <c r="H304" s="46">
        <v>45.198300000000003</v>
      </c>
      <c r="I304" s="66"/>
      <c r="J304" s="66"/>
      <c r="K304" s="67"/>
      <c r="L304" s="29"/>
      <c r="M304" s="70"/>
      <c r="N304" s="46"/>
      <c r="O304" s="46"/>
      <c r="P304" s="46"/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38.274500000000003</v>
      </c>
      <c r="AE304" s="46">
        <f t="shared" si="16"/>
        <v>45.532400000000003</v>
      </c>
      <c r="AF304" s="46">
        <f t="shared" si="16"/>
        <v>45.198300000000003</v>
      </c>
      <c r="AG304" s="66"/>
      <c r="AH304" s="66"/>
      <c r="AI304" s="67"/>
    </row>
    <row r="305" spans="1:35">
      <c r="B305" s="36"/>
      <c r="C305" s="29"/>
      <c r="D305" s="32">
        <v>35</v>
      </c>
      <c r="E305" s="70"/>
      <c r="F305" s="46">
        <v>36.078899999999997</v>
      </c>
      <c r="G305" s="46">
        <v>43.763300000000001</v>
      </c>
      <c r="H305" s="46">
        <v>43.416499999999999</v>
      </c>
      <c r="I305" s="66"/>
      <c r="J305" s="66"/>
      <c r="K305" s="67"/>
      <c r="L305" s="29"/>
      <c r="M305" s="70"/>
      <c r="N305" s="46"/>
      <c r="O305" s="46"/>
      <c r="P305" s="46"/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36.078899999999997</v>
      </c>
      <c r="AE305" s="46">
        <f t="shared" si="16"/>
        <v>43.763300000000001</v>
      </c>
      <c r="AF305" s="46">
        <f t="shared" si="16"/>
        <v>43.416499999999999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33.852899999999998</v>
      </c>
      <c r="G306" s="72">
        <v>42.472900000000003</v>
      </c>
      <c r="H306" s="72">
        <v>42.068100000000001</v>
      </c>
      <c r="I306" s="68"/>
      <c r="J306" s="68"/>
      <c r="K306" s="69"/>
      <c r="L306" s="29"/>
      <c r="M306" s="81"/>
      <c r="N306" s="72"/>
      <c r="O306" s="72"/>
      <c r="P306" s="72"/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33.852899999999998</v>
      </c>
      <c r="AE306" s="72">
        <f t="shared" si="16"/>
        <v>42.472900000000003</v>
      </c>
      <c r="AF306" s="72">
        <f t="shared" si="16"/>
        <v>42.068100000000001</v>
      </c>
      <c r="AG306" s="68"/>
      <c r="AH306" s="68"/>
      <c r="AI306" s="69"/>
    </row>
    <row r="307" spans="1:35">
      <c r="B307" s="36"/>
      <c r="C307" s="29" t="s">
        <v>52</v>
      </c>
      <c r="D307" s="32">
        <v>25</v>
      </c>
      <c r="E307" s="70"/>
      <c r="F307" s="45">
        <v>39.905200000000001</v>
      </c>
      <c r="G307" s="45">
        <v>46.219799999999999</v>
      </c>
      <c r="H307" s="45">
        <v>46.398800000000001</v>
      </c>
      <c r="I307" s="66"/>
      <c r="J307" s="66"/>
      <c r="K307" s="67"/>
      <c r="L307" s="29"/>
      <c r="M307" s="70"/>
      <c r="N307" s="45"/>
      <c r="O307" s="45"/>
      <c r="P307" s="45"/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39.905200000000001</v>
      </c>
      <c r="AE307" s="45">
        <f t="shared" si="16"/>
        <v>46.219799999999999</v>
      </c>
      <c r="AF307" s="45">
        <f t="shared" si="16"/>
        <v>46.398800000000001</v>
      </c>
      <c r="AG307" s="45"/>
      <c r="AH307" s="66"/>
      <c r="AI307" s="67"/>
    </row>
    <row r="308" spans="1:35">
      <c r="B308" s="36"/>
      <c r="C308" s="29"/>
      <c r="D308" s="32">
        <v>30</v>
      </c>
      <c r="E308" s="70"/>
      <c r="F308" s="46">
        <v>37.744599999999998</v>
      </c>
      <c r="G308" s="46">
        <v>44.904800000000002</v>
      </c>
      <c r="H308" s="46">
        <v>44.878599999999999</v>
      </c>
      <c r="I308" s="66"/>
      <c r="J308" s="66"/>
      <c r="K308" s="67"/>
      <c r="L308" s="29"/>
      <c r="M308" s="70"/>
      <c r="N308" s="46"/>
      <c r="O308" s="46"/>
      <c r="P308" s="46"/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37.744599999999998</v>
      </c>
      <c r="AE308" s="46">
        <f t="shared" si="16"/>
        <v>44.904800000000002</v>
      </c>
      <c r="AF308" s="46">
        <f t="shared" si="16"/>
        <v>44.878599999999999</v>
      </c>
      <c r="AG308" s="66"/>
      <c r="AH308" s="66"/>
      <c r="AI308" s="67"/>
    </row>
    <row r="309" spans="1:35">
      <c r="B309" s="36"/>
      <c r="C309" s="29"/>
      <c r="D309" s="32">
        <v>35</v>
      </c>
      <c r="E309" s="70"/>
      <c r="F309" s="46">
        <v>35.6616</v>
      </c>
      <c r="G309" s="46">
        <v>43.339799999999997</v>
      </c>
      <c r="H309" s="46">
        <v>43.221600000000002</v>
      </c>
      <c r="I309" s="66"/>
      <c r="J309" s="66"/>
      <c r="K309" s="67"/>
      <c r="L309" s="29"/>
      <c r="M309" s="70"/>
      <c r="N309" s="46"/>
      <c r="O309" s="46"/>
      <c r="P309" s="46"/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35.6616</v>
      </c>
      <c r="AE309" s="46">
        <f t="shared" si="16"/>
        <v>43.339799999999997</v>
      </c>
      <c r="AF309" s="46">
        <f t="shared" si="16"/>
        <v>43.221600000000002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33.5364</v>
      </c>
      <c r="G310" s="72">
        <v>42.151899999999998</v>
      </c>
      <c r="H310" s="72">
        <v>41.942999999999998</v>
      </c>
      <c r="I310" s="68"/>
      <c r="J310" s="68"/>
      <c r="K310" s="69"/>
      <c r="L310" s="29"/>
      <c r="M310" s="81"/>
      <c r="N310" s="72"/>
      <c r="O310" s="72"/>
      <c r="P310" s="72"/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33.5364</v>
      </c>
      <c r="AE310" s="72">
        <f t="shared" si="16"/>
        <v>42.151899999999998</v>
      </c>
      <c r="AF310" s="72">
        <f t="shared" si="16"/>
        <v>41.942999999999998</v>
      </c>
      <c r="AG310" s="68"/>
      <c r="AH310" s="68"/>
      <c r="AI310" s="69"/>
    </row>
    <row r="311" spans="1:35">
      <c r="B311" s="36"/>
      <c r="C311" s="29" t="s">
        <v>12</v>
      </c>
      <c r="D311" s="32">
        <v>25</v>
      </c>
      <c r="E311" s="45">
        <v>4219.5888000000004</v>
      </c>
      <c r="F311" s="70"/>
      <c r="G311" s="70"/>
      <c r="H311" s="70"/>
      <c r="I311" s="45">
        <v>41998.2</v>
      </c>
      <c r="J311" s="45">
        <v>91.15</v>
      </c>
      <c r="K311" s="45">
        <v>729.91</v>
      </c>
      <c r="L311" s="29"/>
      <c r="M311" s="45">
        <v>4219.3624</v>
      </c>
      <c r="N311" s="70"/>
      <c r="O311" s="70"/>
      <c r="P311" s="70"/>
      <c r="Q311" s="45">
        <v>32741.52</v>
      </c>
      <c r="R311" s="45">
        <v>104.11</v>
      </c>
      <c r="S311" s="45"/>
      <c r="U311" s="8"/>
      <c r="V311" s="9"/>
      <c r="W311" s="10"/>
      <c r="X311" s="29"/>
      <c r="Y311" s="61">
        <f>GEOMEAN(Q311:Q314)/GEOMEAN(I311:I314)</f>
        <v>0.79450848183067913</v>
      </c>
      <c r="Z311" s="61">
        <f>GEOMEAN(R311:R314)/GEOMEAN(J311:J314)</f>
        <v>1.2170581840752515</v>
      </c>
      <c r="AA311" s="57" t="e">
        <f>GEOMEAN(S311:S314)/GEOMEAN(K311:K314)</f>
        <v>#NUM!</v>
      </c>
      <c r="AC311" s="45">
        <f>E311 -M311</f>
        <v>0.22640000000046712</v>
      </c>
      <c r="AD311" s="70"/>
      <c r="AE311" s="70"/>
      <c r="AF311" s="70"/>
      <c r="AG311" s="45">
        <f t="shared" ref="AG311:AI314" si="18">I311 -Q311</f>
        <v>9256.6799999999967</v>
      </c>
      <c r="AH311" s="45">
        <f t="shared" si="18"/>
        <v>-12.959999999999994</v>
      </c>
      <c r="AI311" s="45">
        <f t="shared" si="18"/>
        <v>729.91</v>
      </c>
    </row>
    <row r="312" spans="1:35">
      <c r="B312" s="36"/>
      <c r="C312" s="29"/>
      <c r="D312" s="32">
        <v>30</v>
      </c>
      <c r="E312" s="46">
        <v>1452.116</v>
      </c>
      <c r="F312" s="70"/>
      <c r="G312" s="70"/>
      <c r="H312" s="70"/>
      <c r="I312" s="46">
        <v>32273.360000000001</v>
      </c>
      <c r="J312" s="46">
        <v>81.81</v>
      </c>
      <c r="K312" s="46">
        <v>723.36</v>
      </c>
      <c r="L312" s="29"/>
      <c r="M312" s="46">
        <v>1451.8784000000001</v>
      </c>
      <c r="N312" s="70"/>
      <c r="O312" s="70"/>
      <c r="P312" s="70"/>
      <c r="Q312" s="46">
        <v>27919.7</v>
      </c>
      <c r="R312" s="46">
        <v>64.87</v>
      </c>
      <c r="S312" s="46"/>
      <c r="U312" s="41"/>
      <c r="V312" s="42"/>
      <c r="W312" s="43"/>
      <c r="X312" s="29"/>
      <c r="Y312" s="24"/>
      <c r="Z312" s="24"/>
      <c r="AA312" s="27"/>
      <c r="AC312" s="46">
        <f>E312 -M312</f>
        <v>0.23759999999992942</v>
      </c>
      <c r="AD312" s="70"/>
      <c r="AE312" s="70"/>
      <c r="AF312" s="70"/>
      <c r="AG312" s="46">
        <f t="shared" si="18"/>
        <v>4353.66</v>
      </c>
      <c r="AH312" s="46">
        <f t="shared" si="18"/>
        <v>16.939999999999998</v>
      </c>
      <c r="AI312" s="46">
        <f t="shared" si="18"/>
        <v>723.36</v>
      </c>
    </row>
    <row r="313" spans="1:35">
      <c r="B313" s="36"/>
      <c r="C313" s="29"/>
      <c r="D313" s="32">
        <v>35</v>
      </c>
      <c r="E313" s="46">
        <v>656.01199999999994</v>
      </c>
      <c r="F313" s="70"/>
      <c r="G313" s="70"/>
      <c r="H313" s="70"/>
      <c r="I313" s="46">
        <v>28149.360000000001</v>
      </c>
      <c r="J313" s="46">
        <v>80.5</v>
      </c>
      <c r="K313" s="46">
        <v>736.69</v>
      </c>
      <c r="L313" s="29"/>
      <c r="M313" s="46">
        <v>655.9624</v>
      </c>
      <c r="N313" s="70"/>
      <c r="O313" s="70"/>
      <c r="P313" s="70"/>
      <c r="Q313" s="46">
        <v>21708.66</v>
      </c>
      <c r="R313" s="46">
        <v>94.25</v>
      </c>
      <c r="S313" s="46"/>
      <c r="U313" s="17"/>
      <c r="V313" s="18"/>
      <c r="W313" s="19"/>
      <c r="X313" s="29"/>
      <c r="Y313" s="24"/>
      <c r="Z313" s="24"/>
      <c r="AA313" s="27"/>
      <c r="AC313" s="46">
        <f>E313 -M313</f>
        <v>4.9599999999941247E-2</v>
      </c>
      <c r="AD313" s="70"/>
      <c r="AE313" s="70"/>
      <c r="AF313" s="70"/>
      <c r="AG313" s="46">
        <f t="shared" si="18"/>
        <v>6440.7000000000007</v>
      </c>
      <c r="AH313" s="46">
        <f t="shared" si="18"/>
        <v>-13.75</v>
      </c>
      <c r="AI313" s="46">
        <f t="shared" si="18"/>
        <v>736.69</v>
      </c>
    </row>
    <row r="314" spans="1:35" ht="12.75" thickBot="1">
      <c r="B314" s="52"/>
      <c r="C314" s="53"/>
      <c r="D314" s="71">
        <v>40</v>
      </c>
      <c r="E314" s="72">
        <v>330.43360000000001</v>
      </c>
      <c r="F314" s="81"/>
      <c r="G314" s="81"/>
      <c r="H314" s="81"/>
      <c r="I314" s="72">
        <v>25348.07</v>
      </c>
      <c r="J314" s="72">
        <v>78.12</v>
      </c>
      <c r="K314" s="72">
        <v>722.84</v>
      </c>
      <c r="L314" s="29"/>
      <c r="M314" s="72">
        <v>330.44159999999999</v>
      </c>
      <c r="N314" s="81"/>
      <c r="O314" s="81"/>
      <c r="P314" s="81"/>
      <c r="Q314" s="72">
        <v>19419.580000000002</v>
      </c>
      <c r="R314" s="72">
        <v>161.63999999999999</v>
      </c>
      <c r="S314" s="72"/>
      <c r="U314" s="85"/>
      <c r="V314" s="86"/>
      <c r="W314" s="87"/>
      <c r="X314" s="29"/>
      <c r="Y314" s="49"/>
      <c r="Z314" s="49"/>
      <c r="AA314" s="54"/>
      <c r="AC314" s="72">
        <f>E314 -M314</f>
        <v>-7.9999999999813554E-3</v>
      </c>
      <c r="AD314" s="81"/>
      <c r="AE314" s="81"/>
      <c r="AF314" s="81"/>
      <c r="AG314" s="72">
        <f t="shared" si="18"/>
        <v>5928.489999999998</v>
      </c>
      <c r="AH314" s="72">
        <f t="shared" si="18"/>
        <v>-83.519999999999982</v>
      </c>
      <c r="AI314" s="72">
        <f t="shared" si="18"/>
        <v>722.84</v>
      </c>
    </row>
    <row r="315" spans="1:35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45">
        <v>4630.7079999999996</v>
      </c>
      <c r="N315" s="45">
        <v>38.8048</v>
      </c>
      <c r="O315" s="45">
        <v>46.653799999999997</v>
      </c>
      <c r="P315" s="45">
        <v>45.9587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46">
        <v>2006.9952000000001</v>
      </c>
      <c r="N316" s="46">
        <v>35.911999999999999</v>
      </c>
      <c r="O316" s="46">
        <v>45.149700000000003</v>
      </c>
      <c r="P316" s="46">
        <v>44.572000000000003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46">
        <v>917.1232</v>
      </c>
      <c r="N317" s="46">
        <v>33.379800000000003</v>
      </c>
      <c r="O317" s="46">
        <v>43.7883</v>
      </c>
      <c r="P317" s="46">
        <v>43.339700000000001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46">
        <v>425.2296</v>
      </c>
      <c r="N318" s="46">
        <v>31.0777</v>
      </c>
      <c r="O318" s="46">
        <v>42.991799999999998</v>
      </c>
      <c r="P318" s="46">
        <v>42.585000000000001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>
      <c r="B319" s="36"/>
      <c r="C319" s="28" t="s">
        <v>27</v>
      </c>
      <c r="D319" s="31">
        <v>25</v>
      </c>
      <c r="E319" s="45">
        <v>907.18799999999999</v>
      </c>
      <c r="F319" s="45">
        <v>37.978400000000001</v>
      </c>
      <c r="G319" s="45">
        <v>46.576999999999998</v>
      </c>
      <c r="H319" s="45">
        <v>45.973599999999998</v>
      </c>
      <c r="I319" s="79"/>
      <c r="J319" s="79"/>
      <c r="K319" s="80"/>
      <c r="L319" s="29"/>
      <c r="M319" s="45">
        <v>907.18799999999999</v>
      </c>
      <c r="N319" s="45">
        <v>37.978400000000001</v>
      </c>
      <c r="O319" s="45">
        <v>46.576999999999998</v>
      </c>
      <c r="P319" s="45">
        <v>45.973599999999998</v>
      </c>
      <c r="Q319" s="79"/>
      <c r="R319" s="79"/>
      <c r="S319" s="80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9"/>
      <c r="AH319" s="79"/>
      <c r="AI319" s="80"/>
    </row>
    <row r="320" spans="1:35">
      <c r="B320" s="36"/>
      <c r="C320" s="29"/>
      <c r="D320" s="32">
        <v>30</v>
      </c>
      <c r="E320" s="46">
        <v>317.97280000000001</v>
      </c>
      <c r="F320" s="46">
        <v>35.3504</v>
      </c>
      <c r="G320" s="46">
        <v>45.112200000000001</v>
      </c>
      <c r="H320" s="46">
        <v>44.586599999999997</v>
      </c>
      <c r="I320" s="66"/>
      <c r="J320" s="66"/>
      <c r="K320" s="67"/>
      <c r="L320" s="29"/>
      <c r="M320" s="46">
        <v>317.97280000000001</v>
      </c>
      <c r="N320" s="46">
        <v>35.3504</v>
      </c>
      <c r="O320" s="46">
        <v>45.112200000000001</v>
      </c>
      <c r="P320" s="46">
        <v>44.586599999999997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>
      <c r="B321" s="36"/>
      <c r="C321" s="29"/>
      <c r="D321" s="32">
        <v>35</v>
      </c>
      <c r="E321" s="46">
        <v>135.92240000000001</v>
      </c>
      <c r="F321" s="46">
        <v>32.954300000000003</v>
      </c>
      <c r="G321" s="46">
        <v>43.849200000000003</v>
      </c>
      <c r="H321" s="46">
        <v>43.413800000000002</v>
      </c>
      <c r="I321" s="66"/>
      <c r="J321" s="66"/>
      <c r="K321" s="67"/>
      <c r="L321" s="29"/>
      <c r="M321" s="46">
        <v>135.92240000000001</v>
      </c>
      <c r="N321" s="46">
        <v>32.954300000000003</v>
      </c>
      <c r="O321" s="46">
        <v>43.849200000000003</v>
      </c>
      <c r="P321" s="46">
        <v>43.413800000000002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62.8048</v>
      </c>
      <c r="F322" s="46">
        <v>30.732099999999999</v>
      </c>
      <c r="G322" s="46">
        <v>43.034599999999998</v>
      </c>
      <c r="H322" s="46">
        <v>42.65</v>
      </c>
      <c r="I322" s="66"/>
      <c r="J322" s="66"/>
      <c r="K322" s="67"/>
      <c r="L322" s="29"/>
      <c r="M322" s="46">
        <v>62.8048</v>
      </c>
      <c r="N322" s="46">
        <v>30.732099999999999</v>
      </c>
      <c r="O322" s="46">
        <v>43.034599999999998</v>
      </c>
      <c r="P322" s="46">
        <v>42.65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>
      <c r="B323" s="36"/>
      <c r="C323" s="28" t="s">
        <v>28</v>
      </c>
      <c r="D323" s="31">
        <v>25</v>
      </c>
      <c r="E323" s="45">
        <v>862.33759999999995</v>
      </c>
      <c r="F323" s="45">
        <v>38.143999999999998</v>
      </c>
      <c r="G323" s="45">
        <v>46.515999999999998</v>
      </c>
      <c r="H323" s="45">
        <v>45.777799999999999</v>
      </c>
      <c r="I323" s="79"/>
      <c r="J323" s="79"/>
      <c r="K323" s="80"/>
      <c r="L323" s="29"/>
      <c r="M323" s="45">
        <v>862.25599999999997</v>
      </c>
      <c r="N323" s="45">
        <v>38.144199999999998</v>
      </c>
      <c r="O323" s="45">
        <v>46.517800000000001</v>
      </c>
      <c r="P323" s="45">
        <v>45.778100000000002</v>
      </c>
      <c r="Q323" s="79"/>
      <c r="R323" s="79"/>
      <c r="S323" s="80"/>
      <c r="U323" s="8">
        <f>bdrate($E323:$E326,F323:F326,$M323:$M326,N323:N326)</f>
        <v>-2.2983291903699854E-4</v>
      </c>
      <c r="V323" s="9">
        <f>bdrate($E323:$E326,G323:G326,$M323:$M326,O323:O326)</f>
        <v>-6.2461445739692145E-4</v>
      </c>
      <c r="W323" s="10">
        <f>bdrate($E323:$E326,H323:H326,$M323:$M326,P323:P326)</f>
        <v>-2.5536393701908189E-4</v>
      </c>
      <c r="X323" s="29"/>
      <c r="Y323" s="24"/>
      <c r="Z323" s="24"/>
      <c r="AA323" s="27"/>
      <c r="AC323" s="45">
        <f t="shared" si="20"/>
        <v>8.1599999999980355E-2</v>
      </c>
      <c r="AD323" s="45">
        <f t="shared" si="19"/>
        <v>-1.9999999999953388E-4</v>
      </c>
      <c r="AE323" s="45">
        <f t="shared" si="19"/>
        <v>-1.8000000000029104E-3</v>
      </c>
      <c r="AF323" s="45">
        <f t="shared" si="19"/>
        <v>-3.0000000000285354E-4</v>
      </c>
      <c r="AG323" s="79"/>
      <c r="AH323" s="79"/>
      <c r="AI323" s="80"/>
    </row>
    <row r="324" spans="2:35">
      <c r="B324" s="36"/>
      <c r="C324" s="29"/>
      <c r="D324" s="32">
        <v>30</v>
      </c>
      <c r="E324" s="46">
        <v>304.01280000000003</v>
      </c>
      <c r="F324" s="46">
        <v>35.5351</v>
      </c>
      <c r="G324" s="46">
        <v>45.045200000000001</v>
      </c>
      <c r="H324" s="46">
        <v>44.43</v>
      </c>
      <c r="I324" s="66"/>
      <c r="J324" s="66"/>
      <c r="K324" s="67"/>
      <c r="L324" s="29"/>
      <c r="M324" s="46">
        <v>303.80560000000003</v>
      </c>
      <c r="N324" s="46">
        <v>35.534799999999997</v>
      </c>
      <c r="O324" s="46">
        <v>45.0456</v>
      </c>
      <c r="P324" s="46">
        <v>44.43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0.20720000000000027</v>
      </c>
      <c r="AD324" s="46">
        <f t="shared" si="19"/>
        <v>3.0000000000285354E-4</v>
      </c>
      <c r="AE324" s="46">
        <f t="shared" si="19"/>
        <v>-3.9999999999906777E-4</v>
      </c>
      <c r="AF324" s="46">
        <f t="shared" si="19"/>
        <v>0</v>
      </c>
      <c r="AG324" s="66"/>
      <c r="AH324" s="66"/>
      <c r="AI324" s="67"/>
    </row>
    <row r="325" spans="2:35">
      <c r="B325" s="36"/>
      <c r="C325" s="29"/>
      <c r="D325" s="32">
        <v>35</v>
      </c>
      <c r="E325" s="46">
        <v>130.1464</v>
      </c>
      <c r="F325" s="46">
        <v>33.144599999999997</v>
      </c>
      <c r="G325" s="46">
        <v>43.758699999999997</v>
      </c>
      <c r="H325" s="46">
        <v>43.261299999999999</v>
      </c>
      <c r="I325" s="66"/>
      <c r="J325" s="66"/>
      <c r="K325" s="67"/>
      <c r="L325" s="29"/>
      <c r="M325" s="46">
        <v>130.17760000000001</v>
      </c>
      <c r="N325" s="46">
        <v>33.144399999999997</v>
      </c>
      <c r="O325" s="46">
        <v>43.758899999999997</v>
      </c>
      <c r="P325" s="46">
        <v>43.260899999999999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-3.1200000000012551E-2</v>
      </c>
      <c r="AD325" s="46">
        <f t="shared" si="19"/>
        <v>1.9999999999953388E-4</v>
      </c>
      <c r="AE325" s="46">
        <f t="shared" si="19"/>
        <v>-1.9999999999953388E-4</v>
      </c>
      <c r="AF325" s="46">
        <f t="shared" si="19"/>
        <v>3.9999999999906777E-4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60.623199999999997</v>
      </c>
      <c r="F326" s="72">
        <v>30.909500000000001</v>
      </c>
      <c r="G326" s="72">
        <v>42.945900000000002</v>
      </c>
      <c r="H326" s="72">
        <v>42.500799999999998</v>
      </c>
      <c r="I326" s="68"/>
      <c r="J326" s="68"/>
      <c r="K326" s="69"/>
      <c r="L326" s="29"/>
      <c r="M326" s="72">
        <v>60.577599999999997</v>
      </c>
      <c r="N326" s="72">
        <v>30.909500000000001</v>
      </c>
      <c r="O326" s="72">
        <v>42.945</v>
      </c>
      <c r="P326" s="72">
        <v>42.500799999999998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4.5600000000000307E-2</v>
      </c>
      <c r="AD326" s="72">
        <f t="shared" si="19"/>
        <v>0</v>
      </c>
      <c r="AE326" s="72">
        <f t="shared" si="19"/>
        <v>9.0000000000145519E-4</v>
      </c>
      <c r="AF326" s="72">
        <f t="shared" si="19"/>
        <v>0</v>
      </c>
      <c r="AG326" s="68"/>
      <c r="AH326" s="68"/>
      <c r="AI326" s="69"/>
    </row>
    <row r="327" spans="2:35">
      <c r="B327" s="36"/>
      <c r="C327" s="28" t="s">
        <v>29</v>
      </c>
      <c r="D327" s="31">
        <v>34</v>
      </c>
      <c r="E327" s="45">
        <v>213.2928</v>
      </c>
      <c r="F327" s="45">
        <v>47.752899999999997</v>
      </c>
      <c r="G327" s="78"/>
      <c r="H327" s="78"/>
      <c r="I327" s="79"/>
      <c r="J327" s="79"/>
      <c r="K327" s="80"/>
      <c r="L327" s="29"/>
      <c r="M327" s="45">
        <v>213.2928</v>
      </c>
      <c r="N327" s="45">
        <v>47.752899999999997</v>
      </c>
      <c r="O327" s="78">
        <v>99.99</v>
      </c>
      <c r="P327" s="78">
        <v>99.99</v>
      </c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C327" s="45">
        <f t="shared" si="20"/>
        <v>0</v>
      </c>
      <c r="AD327" s="45">
        <f t="shared" si="19"/>
        <v>0</v>
      </c>
      <c r="AE327" s="78"/>
      <c r="AF327" s="78"/>
      <c r="AG327" s="79"/>
      <c r="AH327" s="79"/>
      <c r="AI327" s="80"/>
    </row>
    <row r="328" spans="2:35">
      <c r="B328" s="36"/>
      <c r="C328" s="29"/>
      <c r="D328" s="32">
        <v>39</v>
      </c>
      <c r="E328" s="46">
        <v>96.0792</v>
      </c>
      <c r="F328" s="46">
        <v>43.062800000000003</v>
      </c>
      <c r="G328" s="70"/>
      <c r="H328" s="70"/>
      <c r="I328" s="66"/>
      <c r="J328" s="66"/>
      <c r="K328" s="67"/>
      <c r="L328" s="29"/>
      <c r="M328" s="46">
        <v>96.0792</v>
      </c>
      <c r="N328" s="46">
        <v>43.062800000000003</v>
      </c>
      <c r="O328" s="70">
        <v>99.99</v>
      </c>
      <c r="P328" s="70">
        <v>99.99</v>
      </c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</v>
      </c>
      <c r="AD328" s="46">
        <f t="shared" si="19"/>
        <v>0</v>
      </c>
      <c r="AE328" s="70"/>
      <c r="AF328" s="70"/>
      <c r="AG328" s="66"/>
      <c r="AH328" s="66"/>
      <c r="AI328" s="67"/>
    </row>
    <row r="329" spans="2:35">
      <c r="B329" s="36"/>
      <c r="C329" s="29"/>
      <c r="D329" s="32">
        <v>42</v>
      </c>
      <c r="E329" s="46">
        <v>46.247999999999998</v>
      </c>
      <c r="F329" s="46">
        <v>39.390700000000002</v>
      </c>
      <c r="G329" s="70"/>
      <c r="H329" s="70"/>
      <c r="I329" s="66"/>
      <c r="J329" s="66"/>
      <c r="K329" s="67"/>
      <c r="L329" s="29"/>
      <c r="M329" s="46">
        <v>46.247999999999998</v>
      </c>
      <c r="N329" s="46">
        <v>39.390700000000002</v>
      </c>
      <c r="O329" s="70">
        <v>99.99</v>
      </c>
      <c r="P329" s="70">
        <v>99.99</v>
      </c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0</v>
      </c>
      <c r="AD329" s="46">
        <f t="shared" si="19"/>
        <v>0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21.428799999999999</v>
      </c>
      <c r="F330" s="46">
        <v>35.439300000000003</v>
      </c>
      <c r="G330" s="70"/>
      <c r="H330" s="70"/>
      <c r="I330" s="66"/>
      <c r="J330" s="66"/>
      <c r="K330" s="67"/>
      <c r="L330" s="29"/>
      <c r="M330" s="46">
        <v>21.428799999999999</v>
      </c>
      <c r="N330" s="46">
        <v>35.439300000000003</v>
      </c>
      <c r="O330" s="70">
        <v>99.99</v>
      </c>
      <c r="P330" s="70">
        <v>99.99</v>
      </c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</v>
      </c>
      <c r="AD330" s="46">
        <f t="shared" si="19"/>
        <v>0</v>
      </c>
      <c r="AE330" s="70"/>
      <c r="AF330" s="70"/>
      <c r="AG330" s="66"/>
      <c r="AH330" s="66"/>
      <c r="AI330" s="67"/>
    </row>
    <row r="331" spans="2:35">
      <c r="B331" s="36"/>
      <c r="C331" s="28" t="s">
        <v>30</v>
      </c>
      <c r="D331" s="31">
        <v>34</v>
      </c>
      <c r="E331" s="45">
        <v>92.077600000000004</v>
      </c>
      <c r="F331" s="45">
        <v>46.392600000000002</v>
      </c>
      <c r="G331" s="78"/>
      <c r="H331" s="78"/>
      <c r="I331" s="79"/>
      <c r="J331" s="79"/>
      <c r="K331" s="80"/>
      <c r="L331" s="29"/>
      <c r="M331" s="45">
        <v>92.077600000000004</v>
      </c>
      <c r="N331" s="45">
        <v>46.392600000000002</v>
      </c>
      <c r="O331" s="78">
        <v>99.99</v>
      </c>
      <c r="P331" s="78">
        <v>99.99</v>
      </c>
      <c r="Q331" s="79"/>
      <c r="R331" s="79"/>
      <c r="S331" s="80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  <c r="AC331" s="45">
        <f t="shared" si="20"/>
        <v>0</v>
      </c>
      <c r="AD331" s="45">
        <f t="shared" si="19"/>
        <v>0</v>
      </c>
      <c r="AE331" s="78"/>
      <c r="AF331" s="78"/>
      <c r="AG331" s="79"/>
      <c r="AH331" s="79"/>
      <c r="AI331" s="80"/>
    </row>
    <row r="332" spans="2:35">
      <c r="B332" s="36"/>
      <c r="C332" s="29"/>
      <c r="D332" s="32">
        <v>39</v>
      </c>
      <c r="E332" s="46">
        <v>36.8352</v>
      </c>
      <c r="F332" s="46">
        <v>42.041200000000003</v>
      </c>
      <c r="G332" s="70"/>
      <c r="H332" s="70"/>
      <c r="I332" s="66"/>
      <c r="J332" s="66"/>
      <c r="K332" s="67"/>
      <c r="L332" s="29"/>
      <c r="M332" s="46">
        <v>36.8352</v>
      </c>
      <c r="N332" s="46">
        <v>42.041200000000003</v>
      </c>
      <c r="O332" s="70">
        <v>99.99</v>
      </c>
      <c r="P332" s="70">
        <v>99.99</v>
      </c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0</v>
      </c>
      <c r="AD332" s="46">
        <f t="shared" si="19"/>
        <v>0</v>
      </c>
      <c r="AE332" s="70"/>
      <c r="AF332" s="70"/>
      <c r="AG332" s="66"/>
      <c r="AH332" s="66"/>
      <c r="AI332" s="67"/>
    </row>
    <row r="333" spans="2:35">
      <c r="B333" s="36"/>
      <c r="C333" s="29"/>
      <c r="D333" s="32">
        <v>42</v>
      </c>
      <c r="E333" s="46">
        <v>18.188800000000001</v>
      </c>
      <c r="F333" s="46">
        <v>38.570099999999996</v>
      </c>
      <c r="G333" s="70"/>
      <c r="H333" s="70"/>
      <c r="I333" s="66"/>
      <c r="J333" s="66"/>
      <c r="K333" s="67"/>
      <c r="L333" s="29"/>
      <c r="M333" s="46">
        <v>18.188800000000001</v>
      </c>
      <c r="N333" s="46">
        <v>38.570099999999996</v>
      </c>
      <c r="O333" s="70">
        <v>99.99</v>
      </c>
      <c r="P333" s="70">
        <v>99.99</v>
      </c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0</v>
      </c>
      <c r="AD333" s="46">
        <f t="shared" si="19"/>
        <v>0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9.2647999999999993</v>
      </c>
      <c r="F334" s="46">
        <v>34.873600000000003</v>
      </c>
      <c r="G334" s="70"/>
      <c r="H334" s="70"/>
      <c r="I334" s="66"/>
      <c r="J334" s="66"/>
      <c r="K334" s="67"/>
      <c r="L334" s="29"/>
      <c r="M334" s="46">
        <v>9.2647999999999993</v>
      </c>
      <c r="N334" s="46">
        <v>34.873600000000003</v>
      </c>
      <c r="O334" s="70">
        <v>99.99</v>
      </c>
      <c r="P334" s="70">
        <v>99.99</v>
      </c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0</v>
      </c>
      <c r="AD334" s="46">
        <f t="shared" si="19"/>
        <v>0</v>
      </c>
      <c r="AE334" s="70"/>
      <c r="AF334" s="70"/>
      <c r="AG334" s="66"/>
      <c r="AH334" s="66"/>
      <c r="AI334" s="67"/>
    </row>
    <row r="335" spans="2:35">
      <c r="B335" s="36"/>
      <c r="C335" s="28" t="s">
        <v>31</v>
      </c>
      <c r="D335" s="31">
        <v>34</v>
      </c>
      <c r="E335" s="45">
        <v>93.0792</v>
      </c>
      <c r="F335" s="45">
        <v>46.455399999999997</v>
      </c>
      <c r="G335" s="78"/>
      <c r="H335" s="78"/>
      <c r="I335" s="79"/>
      <c r="J335" s="79"/>
      <c r="K335" s="80"/>
      <c r="L335" s="29"/>
      <c r="M335" s="45">
        <v>93.137600000000006</v>
      </c>
      <c r="N335" s="45">
        <v>46.455300000000001</v>
      </c>
      <c r="O335" s="78">
        <v>99.99</v>
      </c>
      <c r="P335" s="78">
        <v>99.99</v>
      </c>
      <c r="Q335" s="79"/>
      <c r="R335" s="79"/>
      <c r="S335" s="80"/>
      <c r="U335" s="8">
        <f>bdrate($E335:$E338,F335:F338,$M335:$M338,N335:N338)</f>
        <v>1.1056392245756275E-3</v>
      </c>
      <c r="V335" s="9"/>
      <c r="W335" s="10"/>
      <c r="X335" s="29"/>
      <c r="Y335" s="24"/>
      <c r="Z335" s="24"/>
      <c r="AA335" s="27"/>
      <c r="AC335" s="45">
        <f t="shared" si="20"/>
        <v>-5.8400000000006003E-2</v>
      </c>
      <c r="AD335" s="45">
        <f t="shared" si="19"/>
        <v>9.9999999996214228E-5</v>
      </c>
      <c r="AE335" s="78"/>
      <c r="AF335" s="78"/>
      <c r="AG335" s="79"/>
      <c r="AH335" s="79"/>
      <c r="AI335" s="80"/>
    </row>
    <row r="336" spans="2:35">
      <c r="B336" s="36"/>
      <c r="C336" s="29"/>
      <c r="D336" s="32">
        <v>39</v>
      </c>
      <c r="E336" s="46">
        <v>38.729599999999998</v>
      </c>
      <c r="F336" s="46">
        <v>42.120800000000003</v>
      </c>
      <c r="G336" s="70"/>
      <c r="H336" s="70"/>
      <c r="I336" s="66"/>
      <c r="J336" s="66"/>
      <c r="K336" s="67"/>
      <c r="L336" s="29"/>
      <c r="M336" s="46">
        <v>38.840800000000002</v>
      </c>
      <c r="N336" s="46">
        <v>42.113700000000001</v>
      </c>
      <c r="O336" s="70">
        <v>99.99</v>
      </c>
      <c r="P336" s="70">
        <v>99.99</v>
      </c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-0.11120000000000374</v>
      </c>
      <c r="AD336" s="46">
        <f t="shared" si="19"/>
        <v>7.1000000000012164E-3</v>
      </c>
      <c r="AE336" s="70"/>
      <c r="AF336" s="70"/>
      <c r="AG336" s="66"/>
      <c r="AH336" s="66"/>
      <c r="AI336" s="67"/>
    </row>
    <row r="337" spans="2:35">
      <c r="B337" s="36"/>
      <c r="C337" s="29"/>
      <c r="D337" s="32">
        <v>42</v>
      </c>
      <c r="E337" s="46">
        <v>19.361599999999999</v>
      </c>
      <c r="F337" s="46">
        <v>38.588700000000003</v>
      </c>
      <c r="G337" s="70"/>
      <c r="H337" s="70"/>
      <c r="I337" s="66"/>
      <c r="J337" s="66"/>
      <c r="K337" s="67"/>
      <c r="L337" s="29"/>
      <c r="M337" s="46">
        <v>19.345600000000001</v>
      </c>
      <c r="N337" s="46">
        <v>38.590600000000002</v>
      </c>
      <c r="O337" s="70">
        <v>99.99</v>
      </c>
      <c r="P337" s="70">
        <v>99.99</v>
      </c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1.5999999999998238E-2</v>
      </c>
      <c r="AD337" s="46">
        <f t="shared" si="19"/>
        <v>-1.8999999999991246E-3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10.192</v>
      </c>
      <c r="F338" s="46">
        <v>34.971699999999998</v>
      </c>
      <c r="G338" s="70"/>
      <c r="H338" s="70"/>
      <c r="I338" s="66"/>
      <c r="J338" s="66"/>
      <c r="K338" s="67"/>
      <c r="L338" s="29"/>
      <c r="M338" s="46">
        <v>10.185600000000001</v>
      </c>
      <c r="N338" s="46">
        <v>34.983600000000003</v>
      </c>
      <c r="O338" s="70">
        <v>99.99</v>
      </c>
      <c r="P338" s="70">
        <v>99.99</v>
      </c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6.3999999999992951E-3</v>
      </c>
      <c r="AD338" s="46">
        <f t="shared" si="19"/>
        <v>-1.1900000000004241E-2</v>
      </c>
      <c r="AE338" s="46"/>
      <c r="AF338" s="46"/>
      <c r="AG338" s="66"/>
      <c r="AH338" s="66"/>
      <c r="AI338" s="67"/>
    </row>
    <row r="339" spans="2:35">
      <c r="B339" s="36"/>
      <c r="C339" s="28" t="s">
        <v>47</v>
      </c>
      <c r="D339" s="31">
        <v>25</v>
      </c>
      <c r="E339" s="78"/>
      <c r="F339" s="45">
        <v>38.529699999999998</v>
      </c>
      <c r="G339" s="45">
        <v>46.611600000000003</v>
      </c>
      <c r="H339" s="45">
        <v>45.560099999999998</v>
      </c>
      <c r="I339" s="79"/>
      <c r="J339" s="79"/>
      <c r="K339" s="80"/>
      <c r="L339" s="29"/>
      <c r="M339" s="78"/>
      <c r="N339" s="45"/>
      <c r="O339" s="45"/>
      <c r="P339" s="45"/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38.529699999999998</v>
      </c>
      <c r="AE339" s="45">
        <f t="shared" si="19"/>
        <v>46.611600000000003</v>
      </c>
      <c r="AF339" s="45">
        <f t="shared" si="19"/>
        <v>45.560099999999998</v>
      </c>
      <c r="AG339" s="79"/>
      <c r="AH339" s="79"/>
      <c r="AI339" s="80"/>
    </row>
    <row r="340" spans="2:35">
      <c r="B340" s="36"/>
      <c r="C340" s="29"/>
      <c r="D340" s="32">
        <v>30</v>
      </c>
      <c r="E340" s="70"/>
      <c r="F340" s="46">
        <v>35.708399999999997</v>
      </c>
      <c r="G340" s="46">
        <v>45.245899999999999</v>
      </c>
      <c r="H340" s="46">
        <v>44.388300000000001</v>
      </c>
      <c r="I340" s="66"/>
      <c r="J340" s="66"/>
      <c r="K340" s="67"/>
      <c r="L340" s="29"/>
      <c r="M340" s="70"/>
      <c r="N340" s="46"/>
      <c r="O340" s="46"/>
      <c r="P340" s="46"/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35.708399999999997</v>
      </c>
      <c r="AE340" s="46">
        <f t="shared" si="19"/>
        <v>45.245899999999999</v>
      </c>
      <c r="AF340" s="46">
        <f t="shared" si="19"/>
        <v>44.388300000000001</v>
      </c>
      <c r="AG340" s="66"/>
      <c r="AH340" s="66"/>
      <c r="AI340" s="67"/>
    </row>
    <row r="341" spans="2:35">
      <c r="B341" s="36"/>
      <c r="C341" s="29"/>
      <c r="D341" s="32">
        <v>35</v>
      </c>
      <c r="E341" s="70"/>
      <c r="F341" s="46">
        <v>33.179499999999997</v>
      </c>
      <c r="G341" s="46">
        <v>44.029499999999999</v>
      </c>
      <c r="H341" s="46">
        <v>43.458300000000001</v>
      </c>
      <c r="I341" s="66"/>
      <c r="J341" s="66"/>
      <c r="K341" s="67"/>
      <c r="L341" s="29"/>
      <c r="M341" s="70"/>
      <c r="N341" s="46"/>
      <c r="O341" s="46"/>
      <c r="P341" s="46"/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33.179499999999997</v>
      </c>
      <c r="AE341" s="46">
        <f t="shared" si="19"/>
        <v>44.029499999999999</v>
      </c>
      <c r="AF341" s="46">
        <f t="shared" si="19"/>
        <v>43.458300000000001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30.865400000000001</v>
      </c>
      <c r="G342" s="72">
        <v>43.280700000000003</v>
      </c>
      <c r="H342" s="72">
        <v>42.757100000000001</v>
      </c>
      <c r="I342" s="68"/>
      <c r="J342" s="68"/>
      <c r="K342" s="69"/>
      <c r="L342" s="29"/>
      <c r="M342" s="81"/>
      <c r="N342" s="72"/>
      <c r="O342" s="72"/>
      <c r="P342" s="72"/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30.865400000000001</v>
      </c>
      <c r="AE342" s="72">
        <f t="shared" si="19"/>
        <v>43.280700000000003</v>
      </c>
      <c r="AF342" s="72">
        <f t="shared" si="19"/>
        <v>42.757100000000001</v>
      </c>
      <c r="AG342" s="68"/>
      <c r="AH342" s="68"/>
      <c r="AI342" s="69"/>
    </row>
    <row r="343" spans="2:35">
      <c r="B343" s="36"/>
      <c r="C343" s="29" t="s">
        <v>48</v>
      </c>
      <c r="D343" s="32">
        <v>25</v>
      </c>
      <c r="E343" s="70"/>
      <c r="F343" s="45">
        <v>38.925699999999999</v>
      </c>
      <c r="G343" s="45">
        <v>46.968800000000002</v>
      </c>
      <c r="H343" s="45">
        <v>45.9786</v>
      </c>
      <c r="I343" s="66"/>
      <c r="J343" s="66"/>
      <c r="K343" s="67"/>
      <c r="L343" s="29"/>
      <c r="M343" s="70"/>
      <c r="N343" s="45"/>
      <c r="O343" s="45"/>
      <c r="P343" s="45"/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38.925699999999999</v>
      </c>
      <c r="AE343" s="45">
        <f t="shared" si="19"/>
        <v>46.968800000000002</v>
      </c>
      <c r="AF343" s="45">
        <f t="shared" si="19"/>
        <v>45.9786</v>
      </c>
      <c r="AG343" s="66"/>
      <c r="AH343" s="66"/>
      <c r="AI343" s="67"/>
    </row>
    <row r="344" spans="2:35">
      <c r="B344" s="36"/>
      <c r="C344" s="29"/>
      <c r="D344" s="32">
        <v>30</v>
      </c>
      <c r="E344" s="70"/>
      <c r="F344" s="46">
        <v>35.984099999999998</v>
      </c>
      <c r="G344" s="46">
        <v>45.524500000000003</v>
      </c>
      <c r="H344" s="46">
        <v>44.759700000000002</v>
      </c>
      <c r="I344" s="66"/>
      <c r="J344" s="66"/>
      <c r="K344" s="67"/>
      <c r="L344" s="29"/>
      <c r="M344" s="70"/>
      <c r="N344" s="46"/>
      <c r="O344" s="46"/>
      <c r="P344" s="46"/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35.984099999999998</v>
      </c>
      <c r="AE344" s="46">
        <f t="shared" si="19"/>
        <v>45.524500000000003</v>
      </c>
      <c r="AF344" s="46">
        <f t="shared" si="19"/>
        <v>44.759700000000002</v>
      </c>
      <c r="AG344" s="66"/>
      <c r="AH344" s="66"/>
      <c r="AI344" s="67"/>
    </row>
    <row r="345" spans="2:35">
      <c r="B345" s="36"/>
      <c r="C345" s="29"/>
      <c r="D345" s="32">
        <v>35</v>
      </c>
      <c r="E345" s="70"/>
      <c r="F345" s="46">
        <v>33.379399999999997</v>
      </c>
      <c r="G345" s="46">
        <v>44.229300000000002</v>
      </c>
      <c r="H345" s="46">
        <v>43.716500000000003</v>
      </c>
      <c r="I345" s="66"/>
      <c r="J345" s="66"/>
      <c r="K345" s="67"/>
      <c r="L345" s="29"/>
      <c r="M345" s="70"/>
      <c r="N345" s="46"/>
      <c r="O345" s="46"/>
      <c r="P345" s="46"/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33.379399999999997</v>
      </c>
      <c r="AE345" s="46">
        <f t="shared" si="19"/>
        <v>44.229300000000002</v>
      </c>
      <c r="AF345" s="46">
        <f t="shared" si="19"/>
        <v>43.716500000000003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31.0016</v>
      </c>
      <c r="G346" s="72">
        <v>43.430999999999997</v>
      </c>
      <c r="H346" s="72">
        <v>42.964599999999997</v>
      </c>
      <c r="I346" s="68"/>
      <c r="J346" s="68"/>
      <c r="K346" s="69"/>
      <c r="L346" s="29"/>
      <c r="M346" s="81"/>
      <c r="N346" s="46"/>
      <c r="O346" s="72"/>
      <c r="P346" s="72"/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31.0016</v>
      </c>
      <c r="AE346" s="46">
        <f t="shared" si="19"/>
        <v>43.430999999999997</v>
      </c>
      <c r="AF346" s="46">
        <f t="shared" si="19"/>
        <v>42.964599999999997</v>
      </c>
      <c r="AG346" s="68"/>
      <c r="AH346" s="68"/>
      <c r="AI346" s="69"/>
    </row>
    <row r="347" spans="2:35">
      <c r="B347" s="36"/>
      <c r="C347" s="29" t="s">
        <v>49</v>
      </c>
      <c r="D347" s="32">
        <v>25</v>
      </c>
      <c r="E347" s="70"/>
      <c r="F347" s="45">
        <v>39.025300000000001</v>
      </c>
      <c r="G347" s="45">
        <v>47.400799999999997</v>
      </c>
      <c r="H347" s="45">
        <v>46.806100000000001</v>
      </c>
      <c r="I347" s="66"/>
      <c r="J347" s="66"/>
      <c r="K347" s="67"/>
      <c r="L347" s="29"/>
      <c r="M347" s="70"/>
      <c r="N347" s="45"/>
      <c r="O347" s="45"/>
      <c r="P347" s="45"/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39.025300000000001</v>
      </c>
      <c r="AE347" s="45">
        <f t="shared" si="19"/>
        <v>47.400799999999997</v>
      </c>
      <c r="AF347" s="45">
        <f t="shared" si="19"/>
        <v>46.806100000000001</v>
      </c>
      <c r="AG347" s="66"/>
      <c r="AH347" s="66"/>
      <c r="AI347" s="67"/>
    </row>
    <row r="348" spans="2:35">
      <c r="B348" s="36"/>
      <c r="C348" s="29"/>
      <c r="D348" s="32">
        <v>30</v>
      </c>
      <c r="E348" s="70"/>
      <c r="F348" s="46">
        <v>36.049900000000001</v>
      </c>
      <c r="G348" s="46">
        <v>45.823</v>
      </c>
      <c r="H348" s="46">
        <v>45.290599999999998</v>
      </c>
      <c r="I348" s="66"/>
      <c r="J348" s="66"/>
      <c r="K348" s="67"/>
      <c r="L348" s="29"/>
      <c r="M348" s="70"/>
      <c r="N348" s="46"/>
      <c r="O348" s="46"/>
      <c r="P348" s="46"/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36.049900000000001</v>
      </c>
      <c r="AE348" s="46">
        <f t="shared" si="19"/>
        <v>45.823</v>
      </c>
      <c r="AF348" s="46">
        <f t="shared" si="19"/>
        <v>45.290599999999998</v>
      </c>
      <c r="AG348" s="66"/>
      <c r="AH348" s="66"/>
      <c r="AI348" s="67"/>
    </row>
    <row r="349" spans="2:35">
      <c r="B349" s="36"/>
      <c r="C349" s="29"/>
      <c r="D349" s="32">
        <v>35</v>
      </c>
      <c r="E349" s="70"/>
      <c r="F349" s="46">
        <v>33.424399999999999</v>
      </c>
      <c r="G349" s="46">
        <v>44.388100000000001</v>
      </c>
      <c r="H349" s="46">
        <v>43.962299999999999</v>
      </c>
      <c r="I349" s="66"/>
      <c r="J349" s="66"/>
      <c r="K349" s="67"/>
      <c r="L349" s="29"/>
      <c r="M349" s="70"/>
      <c r="N349" s="46"/>
      <c r="O349" s="46"/>
      <c r="P349" s="46"/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33.424399999999999</v>
      </c>
      <c r="AE349" s="46">
        <f t="shared" si="19"/>
        <v>44.388100000000001</v>
      </c>
      <c r="AF349" s="46">
        <f t="shared" si="19"/>
        <v>43.962299999999999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31.0519</v>
      </c>
      <c r="G350" s="72">
        <v>43.539400000000001</v>
      </c>
      <c r="H350" s="72">
        <v>43.152099999999997</v>
      </c>
      <c r="I350" s="68"/>
      <c r="J350" s="68"/>
      <c r="K350" s="69"/>
      <c r="L350" s="29"/>
      <c r="M350" s="81"/>
      <c r="N350" s="46"/>
      <c r="O350" s="72"/>
      <c r="P350" s="72"/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31.0519</v>
      </c>
      <c r="AE350" s="46">
        <f t="shared" si="19"/>
        <v>43.539400000000001</v>
      </c>
      <c r="AF350" s="46">
        <f t="shared" si="19"/>
        <v>43.152099999999997</v>
      </c>
      <c r="AG350" s="68"/>
      <c r="AH350" s="68"/>
      <c r="AI350" s="69"/>
    </row>
    <row r="351" spans="2:35">
      <c r="B351" s="36"/>
      <c r="C351" s="29" t="s">
        <v>50</v>
      </c>
      <c r="D351" s="32">
        <v>25</v>
      </c>
      <c r="E351" s="70"/>
      <c r="F351" s="45">
        <v>39.038600000000002</v>
      </c>
      <c r="G351" s="45">
        <v>47.3217</v>
      </c>
      <c r="H351" s="45">
        <v>46.804000000000002</v>
      </c>
      <c r="I351" s="66"/>
      <c r="J351" s="66"/>
      <c r="K351" s="67"/>
      <c r="L351" s="29"/>
      <c r="M351" s="70"/>
      <c r="N351" s="45"/>
      <c r="O351" s="45"/>
      <c r="P351" s="45"/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39.038600000000002</v>
      </c>
      <c r="AE351" s="45">
        <f t="shared" si="19"/>
        <v>47.3217</v>
      </c>
      <c r="AF351" s="45">
        <f t="shared" si="19"/>
        <v>46.804000000000002</v>
      </c>
      <c r="AG351" s="66"/>
      <c r="AH351" s="66"/>
      <c r="AI351" s="67"/>
    </row>
    <row r="352" spans="2:35">
      <c r="B352" s="36"/>
      <c r="C352" s="29"/>
      <c r="D352" s="32">
        <v>30</v>
      </c>
      <c r="E352" s="70"/>
      <c r="F352" s="46">
        <v>36.0518</v>
      </c>
      <c r="G352" s="46">
        <v>45.7423</v>
      </c>
      <c r="H352" s="46">
        <v>45.268000000000001</v>
      </c>
      <c r="I352" s="66"/>
      <c r="J352" s="66"/>
      <c r="K352" s="67"/>
      <c r="L352" s="29"/>
      <c r="M352" s="70"/>
      <c r="N352" s="46"/>
      <c r="O352" s="46"/>
      <c r="P352" s="46"/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36.0518</v>
      </c>
      <c r="AE352" s="46">
        <f t="shared" si="19"/>
        <v>45.7423</v>
      </c>
      <c r="AF352" s="46">
        <f t="shared" si="19"/>
        <v>45.268000000000001</v>
      </c>
      <c r="AG352" s="66"/>
      <c r="AH352" s="66"/>
      <c r="AI352" s="67"/>
    </row>
    <row r="353" spans="1:35">
      <c r="B353" s="36"/>
      <c r="C353" s="29"/>
      <c r="D353" s="32">
        <v>35</v>
      </c>
      <c r="E353" s="70"/>
      <c r="F353" s="46">
        <v>33.434199999999997</v>
      </c>
      <c r="G353" s="46">
        <v>44.315199999999997</v>
      </c>
      <c r="H353" s="46">
        <v>43.913400000000003</v>
      </c>
      <c r="I353" s="66"/>
      <c r="J353" s="66"/>
      <c r="K353" s="67"/>
      <c r="L353" s="29"/>
      <c r="M353" s="70"/>
      <c r="N353" s="46"/>
      <c r="O353" s="46"/>
      <c r="P353" s="46"/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33.434199999999997</v>
      </c>
      <c r="AE353" s="46">
        <f t="shared" si="19"/>
        <v>44.315199999999997</v>
      </c>
      <c r="AF353" s="46">
        <f t="shared" si="19"/>
        <v>43.913400000000003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31.064399999999999</v>
      </c>
      <c r="G354" s="72">
        <v>43.4724</v>
      </c>
      <c r="H354" s="72">
        <v>43.081400000000002</v>
      </c>
      <c r="I354" s="68"/>
      <c r="J354" s="68"/>
      <c r="K354" s="69"/>
      <c r="L354" s="29"/>
      <c r="M354" s="81"/>
      <c r="N354" s="46"/>
      <c r="O354" s="72"/>
      <c r="P354" s="72"/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31.064399999999999</v>
      </c>
      <c r="AE354" s="46">
        <f t="shared" si="19"/>
        <v>43.4724</v>
      </c>
      <c r="AF354" s="46">
        <f t="shared" si="19"/>
        <v>43.081400000000002</v>
      </c>
      <c r="AG354" s="68"/>
      <c r="AH354" s="68"/>
      <c r="AI354" s="69"/>
    </row>
    <row r="355" spans="1:35">
      <c r="B355" s="36"/>
      <c r="C355" s="29" t="s">
        <v>51</v>
      </c>
      <c r="D355" s="32">
        <v>25</v>
      </c>
      <c r="E355" s="70"/>
      <c r="F355" s="45">
        <v>38.959899999999998</v>
      </c>
      <c r="G355" s="45">
        <v>46.320399999999999</v>
      </c>
      <c r="H355" s="45">
        <v>46.552500000000002</v>
      </c>
      <c r="I355" s="66"/>
      <c r="J355" s="66"/>
      <c r="K355" s="67"/>
      <c r="L355" s="29"/>
      <c r="M355" s="70"/>
      <c r="N355" s="45"/>
      <c r="O355" s="45"/>
      <c r="P355" s="45"/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38.959899999999998</v>
      </c>
      <c r="AE355" s="45">
        <f t="shared" si="19"/>
        <v>46.320399999999999</v>
      </c>
      <c r="AF355" s="45">
        <f t="shared" si="19"/>
        <v>46.552500000000002</v>
      </c>
      <c r="AG355" s="66"/>
      <c r="AH355" s="66"/>
      <c r="AI355" s="67"/>
    </row>
    <row r="356" spans="1:35">
      <c r="B356" s="36"/>
      <c r="C356" s="29"/>
      <c r="D356" s="32">
        <v>30</v>
      </c>
      <c r="E356" s="70"/>
      <c r="F356" s="46">
        <v>36.0306</v>
      </c>
      <c r="G356" s="46">
        <v>44.993600000000001</v>
      </c>
      <c r="H356" s="46">
        <v>45.064799999999998</v>
      </c>
      <c r="I356" s="66"/>
      <c r="J356" s="66"/>
      <c r="K356" s="67"/>
      <c r="L356" s="29"/>
      <c r="M356" s="70"/>
      <c r="N356" s="46"/>
      <c r="O356" s="46"/>
      <c r="P356" s="46"/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36.0306</v>
      </c>
      <c r="AE356" s="46">
        <f t="shared" si="19"/>
        <v>44.993600000000001</v>
      </c>
      <c r="AF356" s="46">
        <f t="shared" si="19"/>
        <v>45.064799999999998</v>
      </c>
      <c r="AG356" s="66"/>
      <c r="AH356" s="66"/>
      <c r="AI356" s="67"/>
    </row>
    <row r="357" spans="1:35">
      <c r="B357" s="36"/>
      <c r="C357" s="29"/>
      <c r="D357" s="32">
        <v>35</v>
      </c>
      <c r="E357" s="70"/>
      <c r="F357" s="46">
        <v>33.429600000000001</v>
      </c>
      <c r="G357" s="46">
        <v>43.724499999999999</v>
      </c>
      <c r="H357" s="46">
        <v>43.5916</v>
      </c>
      <c r="I357" s="66"/>
      <c r="J357" s="66"/>
      <c r="K357" s="67"/>
      <c r="L357" s="29"/>
      <c r="M357" s="70"/>
      <c r="N357" s="46"/>
      <c r="O357" s="46"/>
      <c r="P357" s="46"/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33.429600000000001</v>
      </c>
      <c r="AE357" s="46">
        <f t="shared" si="19"/>
        <v>43.724499999999999</v>
      </c>
      <c r="AF357" s="46">
        <f t="shared" si="19"/>
        <v>43.5916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31.0501</v>
      </c>
      <c r="G358" s="72">
        <v>42.958199999999998</v>
      </c>
      <c r="H358" s="72">
        <v>42.678800000000003</v>
      </c>
      <c r="I358" s="68"/>
      <c r="J358" s="68"/>
      <c r="K358" s="69"/>
      <c r="L358" s="29"/>
      <c r="M358" s="81"/>
      <c r="N358" s="72"/>
      <c r="O358" s="72"/>
      <c r="P358" s="72"/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31.0501</v>
      </c>
      <c r="AE358" s="72">
        <f t="shared" si="19"/>
        <v>42.958199999999998</v>
      </c>
      <c r="AF358" s="72">
        <f t="shared" si="19"/>
        <v>42.678800000000003</v>
      </c>
      <c r="AG358" s="68"/>
      <c r="AH358" s="68"/>
      <c r="AI358" s="69"/>
    </row>
    <row r="359" spans="1:35">
      <c r="B359" s="36"/>
      <c r="C359" s="29" t="s">
        <v>52</v>
      </c>
      <c r="D359" s="32">
        <v>25</v>
      </c>
      <c r="E359" s="70"/>
      <c r="F359" s="45">
        <v>38.598799999999997</v>
      </c>
      <c r="G359" s="45">
        <v>45.8857</v>
      </c>
      <c r="H359" s="45">
        <v>46.247900000000001</v>
      </c>
      <c r="I359" s="66"/>
      <c r="J359" s="66"/>
      <c r="K359" s="67"/>
      <c r="L359" s="29"/>
      <c r="M359" s="70"/>
      <c r="N359" s="45"/>
      <c r="O359" s="45"/>
      <c r="P359" s="45"/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38.598799999999997</v>
      </c>
      <c r="AE359" s="45">
        <f t="shared" si="19"/>
        <v>45.8857</v>
      </c>
      <c r="AF359" s="45">
        <f t="shared" si="19"/>
        <v>46.247900000000001</v>
      </c>
      <c r="AG359" s="45"/>
      <c r="AH359" s="66"/>
      <c r="AI359" s="67"/>
    </row>
    <row r="360" spans="1:35">
      <c r="B360" s="36"/>
      <c r="C360" s="29"/>
      <c r="D360" s="32">
        <v>30</v>
      </c>
      <c r="E360" s="70"/>
      <c r="F360" s="46">
        <v>35.814799999999998</v>
      </c>
      <c r="G360" s="46">
        <v>44.6738</v>
      </c>
      <c r="H360" s="46">
        <v>44.823300000000003</v>
      </c>
      <c r="I360" s="66"/>
      <c r="J360" s="66"/>
      <c r="K360" s="67"/>
      <c r="L360" s="29"/>
      <c r="M360" s="70"/>
      <c r="N360" s="46"/>
      <c r="O360" s="46"/>
      <c r="P360" s="46"/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35.814799999999998</v>
      </c>
      <c r="AE360" s="46">
        <f t="shared" si="19"/>
        <v>44.6738</v>
      </c>
      <c r="AF360" s="46">
        <f t="shared" si="19"/>
        <v>44.823300000000003</v>
      </c>
      <c r="AG360" s="66"/>
      <c r="AH360" s="66"/>
      <c r="AI360" s="67"/>
    </row>
    <row r="361" spans="1:35">
      <c r="B361" s="36"/>
      <c r="C361" s="29"/>
      <c r="D361" s="32">
        <v>35</v>
      </c>
      <c r="E361" s="70"/>
      <c r="F361" s="46">
        <v>33.296100000000003</v>
      </c>
      <c r="G361" s="46">
        <v>43.505299999999998</v>
      </c>
      <c r="H361" s="46">
        <v>43.402900000000002</v>
      </c>
      <c r="I361" s="66"/>
      <c r="J361" s="66"/>
      <c r="K361" s="67"/>
      <c r="L361" s="29"/>
      <c r="M361" s="70"/>
      <c r="N361" s="46"/>
      <c r="O361" s="46"/>
      <c r="P361" s="46"/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33.296100000000003</v>
      </c>
      <c r="AE361" s="46">
        <f t="shared" si="19"/>
        <v>43.505299999999998</v>
      </c>
      <c r="AF361" s="46">
        <f t="shared" si="19"/>
        <v>43.402900000000002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30.972200000000001</v>
      </c>
      <c r="G362" s="72">
        <v>42.776800000000001</v>
      </c>
      <c r="H362" s="72">
        <v>42.478999999999999</v>
      </c>
      <c r="I362" s="68"/>
      <c r="J362" s="68"/>
      <c r="K362" s="69"/>
      <c r="L362" s="29"/>
      <c r="M362" s="81"/>
      <c r="N362" s="72"/>
      <c r="O362" s="72"/>
      <c r="P362" s="72"/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30.972200000000001</v>
      </c>
      <c r="AE362" s="72">
        <f t="shared" si="19"/>
        <v>42.776800000000001</v>
      </c>
      <c r="AF362" s="72">
        <f t="shared" si="19"/>
        <v>42.478999999999999</v>
      </c>
      <c r="AG362" s="68"/>
      <c r="AH362" s="68"/>
      <c r="AI362" s="69"/>
    </row>
    <row r="363" spans="1:35">
      <c r="B363" s="36"/>
      <c r="C363" s="29" t="s">
        <v>12</v>
      </c>
      <c r="D363" s="32">
        <v>25</v>
      </c>
      <c r="E363" s="45">
        <v>6803.5136000000002</v>
      </c>
      <c r="F363" s="70"/>
      <c r="G363" s="70"/>
      <c r="H363" s="70"/>
      <c r="I363" s="45">
        <v>50583.75</v>
      </c>
      <c r="J363" s="45">
        <v>106.73</v>
      </c>
      <c r="K363" s="45">
        <v>726.34</v>
      </c>
      <c r="L363" s="29"/>
      <c r="M363" s="45">
        <v>6803.4903999999997</v>
      </c>
      <c r="N363" s="70"/>
      <c r="O363" s="70"/>
      <c r="P363" s="70"/>
      <c r="Q363" s="45">
        <v>35962.160000000003</v>
      </c>
      <c r="R363" s="45"/>
      <c r="S363" s="45"/>
      <c r="U363" s="8"/>
      <c r="V363" s="9"/>
      <c r="W363" s="10"/>
      <c r="X363" s="29"/>
      <c r="Y363" s="61">
        <f>GEOMEAN(Q363:Q366)/GEOMEAN(I363:I366)</f>
        <v>0.717452374248573</v>
      </c>
      <c r="Z363" s="61" t="e">
        <f>GEOMEAN(R363:R366)/GEOMEAN(J363:J366)</f>
        <v>#NUM!</v>
      </c>
      <c r="AA363" s="57" t="e">
        <f>GEOMEAN(S363:S366)/GEOMEAN(K363:K366)</f>
        <v>#NUM!</v>
      </c>
      <c r="AC363" s="45">
        <f>E363 -M363</f>
        <v>2.3200000000542786E-2</v>
      </c>
      <c r="AD363" s="70"/>
      <c r="AE363" s="70"/>
      <c r="AF363" s="70"/>
      <c r="AG363" s="45">
        <f t="shared" ref="AG363:AI366" si="21">I363 -Q363</f>
        <v>14621.589999999997</v>
      </c>
      <c r="AH363" s="45">
        <f t="shared" si="21"/>
        <v>106.73</v>
      </c>
      <c r="AI363" s="45">
        <f t="shared" si="21"/>
        <v>726.34</v>
      </c>
    </row>
    <row r="364" spans="1:35">
      <c r="B364" s="36"/>
      <c r="C364" s="29"/>
      <c r="D364" s="32">
        <v>30</v>
      </c>
      <c r="E364" s="46">
        <v>2805.4551999999999</v>
      </c>
      <c r="F364" s="70"/>
      <c r="G364" s="70"/>
      <c r="H364" s="70"/>
      <c r="I364" s="46">
        <v>38911.14</v>
      </c>
      <c r="J364" s="46">
        <v>96.7</v>
      </c>
      <c r="K364" s="46">
        <v>723.56</v>
      </c>
      <c r="L364" s="29"/>
      <c r="M364" s="46">
        <v>2805.3591999999999</v>
      </c>
      <c r="N364" s="70"/>
      <c r="O364" s="70"/>
      <c r="P364" s="70"/>
      <c r="Q364" s="46">
        <v>30469.43</v>
      </c>
      <c r="R364" s="46"/>
      <c r="S364" s="46"/>
      <c r="U364" s="41"/>
      <c r="V364" s="42"/>
      <c r="W364" s="43"/>
      <c r="X364" s="29"/>
      <c r="Y364" s="24"/>
      <c r="Z364" s="24"/>
      <c r="AA364" s="27"/>
      <c r="AC364" s="46">
        <f>E364 -M364</f>
        <v>9.6000000000003638E-2</v>
      </c>
      <c r="AD364" s="70"/>
      <c r="AE364" s="70"/>
      <c r="AF364" s="70"/>
      <c r="AG364" s="46">
        <f t="shared" si="21"/>
        <v>8441.7099999999991</v>
      </c>
      <c r="AH364" s="46">
        <f t="shared" si="21"/>
        <v>96.7</v>
      </c>
      <c r="AI364" s="46">
        <f t="shared" si="21"/>
        <v>723.56</v>
      </c>
    </row>
    <row r="365" spans="1:35">
      <c r="B365" s="36"/>
      <c r="C365" s="29"/>
      <c r="D365" s="32">
        <v>35</v>
      </c>
      <c r="E365" s="46">
        <v>1271.8208</v>
      </c>
      <c r="F365" s="70"/>
      <c r="G365" s="70"/>
      <c r="H365" s="70"/>
      <c r="I365" s="46">
        <v>32444.12</v>
      </c>
      <c r="J365" s="46">
        <v>91.55</v>
      </c>
      <c r="K365" s="46">
        <v>726.27</v>
      </c>
      <c r="L365" s="29"/>
      <c r="M365" s="46">
        <v>1271.836</v>
      </c>
      <c r="N365" s="70"/>
      <c r="O365" s="70"/>
      <c r="P365" s="70"/>
      <c r="Q365" s="46">
        <v>22481.43</v>
      </c>
      <c r="R365" s="46"/>
      <c r="S365" s="46"/>
      <c r="U365" s="17"/>
      <c r="V365" s="18"/>
      <c r="W365" s="19"/>
      <c r="X365" s="29"/>
      <c r="Y365" s="24"/>
      <c r="Z365" s="24"/>
      <c r="AA365" s="27"/>
      <c r="AC365" s="46">
        <f>E365 -M365</f>
        <v>-1.520000000004984E-2</v>
      </c>
      <c r="AD365" s="70"/>
      <c r="AE365" s="70"/>
      <c r="AF365" s="70"/>
      <c r="AG365" s="46">
        <f t="shared" si="21"/>
        <v>9962.6899999999987</v>
      </c>
      <c r="AH365" s="46">
        <f t="shared" si="21"/>
        <v>91.55</v>
      </c>
      <c r="AI365" s="46">
        <f t="shared" si="21"/>
        <v>726.27</v>
      </c>
    </row>
    <row r="366" spans="1:35" ht="12.75" thickBot="1">
      <c r="A366" s="54"/>
      <c r="B366" s="52"/>
      <c r="C366" s="53"/>
      <c r="D366" s="71">
        <v>40</v>
      </c>
      <c r="E366" s="72">
        <v>594.37360000000001</v>
      </c>
      <c r="F366" s="81"/>
      <c r="G366" s="81"/>
      <c r="H366" s="81"/>
      <c r="I366" s="72">
        <v>28501.87</v>
      </c>
      <c r="J366" s="72">
        <v>87.89</v>
      </c>
      <c r="K366" s="72">
        <v>733.38</v>
      </c>
      <c r="L366" s="29"/>
      <c r="M366" s="72">
        <v>594.32159999999999</v>
      </c>
      <c r="N366" s="81"/>
      <c r="O366" s="81"/>
      <c r="P366" s="81"/>
      <c r="Q366" s="72">
        <v>19576.39</v>
      </c>
      <c r="R366" s="72"/>
      <c r="S366" s="72"/>
      <c r="U366" s="85"/>
      <c r="V366" s="86"/>
      <c r="W366" s="87"/>
      <c r="X366" s="29"/>
      <c r="Y366" s="49"/>
      <c r="Z366" s="49"/>
      <c r="AA366" s="54"/>
      <c r="AC366" s="72">
        <f>E366 -M366</f>
        <v>5.2000000000020918E-2</v>
      </c>
      <c r="AD366" s="81"/>
      <c r="AE366" s="81"/>
      <c r="AF366" s="81"/>
      <c r="AG366" s="72">
        <f t="shared" si="21"/>
        <v>8925.48</v>
      </c>
      <c r="AH366" s="72">
        <f t="shared" si="21"/>
        <v>87.89</v>
      </c>
      <c r="AI366" s="72">
        <f t="shared" si="21"/>
        <v>733.38</v>
      </c>
    </row>
    <row r="367" spans="1:35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45">
        <v>4180.3231999999998</v>
      </c>
      <c r="N367" s="45">
        <v>41.485900000000001</v>
      </c>
      <c r="O367" s="45">
        <v>46.598300000000002</v>
      </c>
      <c r="P367" s="45">
        <v>46.046999999999997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46">
        <v>2104.3735999999999</v>
      </c>
      <c r="N368" s="46">
        <v>38.4925</v>
      </c>
      <c r="O368" s="46">
        <v>44.9009</v>
      </c>
      <c r="P368" s="46">
        <v>44.109400000000001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46">
        <v>1035.5175999999999</v>
      </c>
      <c r="N369" s="46">
        <v>35.668199999999999</v>
      </c>
      <c r="O369" s="46">
        <v>43.259900000000002</v>
      </c>
      <c r="P369" s="46">
        <v>42.222999999999999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46">
        <v>496.5992</v>
      </c>
      <c r="N370" s="46">
        <v>33.197800000000001</v>
      </c>
      <c r="O370" s="46">
        <v>42.278399999999998</v>
      </c>
      <c r="P370" s="46">
        <v>40.967799999999997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>
      <c r="B371" s="36"/>
      <c r="C371" s="28" t="s">
        <v>27</v>
      </c>
      <c r="D371" s="31">
        <v>25</v>
      </c>
      <c r="E371" s="45">
        <v>521.11680000000001</v>
      </c>
      <c r="F371" s="45">
        <v>40.921799999999998</v>
      </c>
      <c r="G371" s="45">
        <v>46.506399999999999</v>
      </c>
      <c r="H371" s="45">
        <v>45.796500000000002</v>
      </c>
      <c r="I371" s="79"/>
      <c r="J371" s="79"/>
      <c r="K371" s="80"/>
      <c r="L371" s="29"/>
      <c r="M371" s="45">
        <v>521.11680000000001</v>
      </c>
      <c r="N371" s="45">
        <v>40.921799999999998</v>
      </c>
      <c r="O371" s="45">
        <v>46.506399999999999</v>
      </c>
      <c r="P371" s="45">
        <v>45.796500000000002</v>
      </c>
      <c r="Q371" s="79"/>
      <c r="R371" s="79"/>
      <c r="S371" s="80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>
      <c r="B372" s="36"/>
      <c r="C372" s="29"/>
      <c r="D372" s="32">
        <v>30</v>
      </c>
      <c r="E372" s="46">
        <v>216.31120000000001</v>
      </c>
      <c r="F372" s="46">
        <v>38.080100000000002</v>
      </c>
      <c r="G372" s="46">
        <v>44.845199999999998</v>
      </c>
      <c r="H372" s="46">
        <v>43.943899999999999</v>
      </c>
      <c r="I372" s="66"/>
      <c r="J372" s="66"/>
      <c r="K372" s="67"/>
      <c r="L372" s="29"/>
      <c r="M372" s="46">
        <v>216.31120000000001</v>
      </c>
      <c r="N372" s="46">
        <v>38.080100000000002</v>
      </c>
      <c r="O372" s="46">
        <v>44.845199999999998</v>
      </c>
      <c r="P372" s="46">
        <v>43.943899999999999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>
      <c r="B373" s="36"/>
      <c r="C373" s="29"/>
      <c r="D373" s="32">
        <v>35</v>
      </c>
      <c r="E373" s="46">
        <v>101.71599999999999</v>
      </c>
      <c r="F373" s="46">
        <v>35.388500000000001</v>
      </c>
      <c r="G373" s="46">
        <v>43.256</v>
      </c>
      <c r="H373" s="46">
        <v>42.1661</v>
      </c>
      <c r="I373" s="66"/>
      <c r="J373" s="66"/>
      <c r="K373" s="67"/>
      <c r="L373" s="29"/>
      <c r="M373" s="46">
        <v>101.71599999999999</v>
      </c>
      <c r="N373" s="46">
        <v>35.388500000000001</v>
      </c>
      <c r="O373" s="46">
        <v>43.256</v>
      </c>
      <c r="P373" s="46">
        <v>42.1661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49.424799999999998</v>
      </c>
      <c r="F374" s="46">
        <v>32.983600000000003</v>
      </c>
      <c r="G374" s="46">
        <v>42.268700000000003</v>
      </c>
      <c r="H374" s="46">
        <v>40.871000000000002</v>
      </c>
      <c r="I374" s="66"/>
      <c r="J374" s="66"/>
      <c r="K374" s="67"/>
      <c r="L374" s="29"/>
      <c r="M374" s="46">
        <v>49.424799999999998</v>
      </c>
      <c r="N374" s="46">
        <v>32.983600000000003</v>
      </c>
      <c r="O374" s="46">
        <v>42.268700000000003</v>
      </c>
      <c r="P374" s="46">
        <v>40.871000000000002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>
      <c r="B375" s="36"/>
      <c r="C375" s="28" t="s">
        <v>28</v>
      </c>
      <c r="D375" s="31">
        <v>25</v>
      </c>
      <c r="E375" s="45">
        <v>524.50879999999995</v>
      </c>
      <c r="F375" s="45">
        <v>40.9298</v>
      </c>
      <c r="G375" s="45">
        <v>46.496699999999997</v>
      </c>
      <c r="H375" s="45">
        <v>45.802500000000002</v>
      </c>
      <c r="I375" s="79"/>
      <c r="J375" s="79"/>
      <c r="K375" s="80"/>
      <c r="L375" s="29"/>
      <c r="M375" s="45">
        <v>524.30719999999997</v>
      </c>
      <c r="N375" s="45">
        <v>40.929600000000001</v>
      </c>
      <c r="O375" s="45">
        <v>46.496499999999997</v>
      </c>
      <c r="P375" s="45">
        <v>45.801900000000003</v>
      </c>
      <c r="Q375" s="79"/>
      <c r="R375" s="79"/>
      <c r="S375" s="80"/>
      <c r="U375" s="8">
        <f>bdrate($E375:$E378,F375:F378,$M375:$M378,N375:N378)</f>
        <v>-8.4080889934379233E-4</v>
      </c>
      <c r="V375" s="9">
        <f>bdrate($E375:$E378,G375:G378,$M375:$M378,O375:O378)</f>
        <v>-1.0832770206810061E-3</v>
      </c>
      <c r="W375" s="10">
        <f>bdrate($E375:$E378,H375:H378,$M375:$M378,P375:P378)</f>
        <v>-9.973420683355716E-4</v>
      </c>
      <c r="X375" s="29"/>
      <c r="Y375" s="24"/>
      <c r="Z375" s="24"/>
      <c r="AA375" s="27"/>
      <c r="AB375" s="24"/>
      <c r="AC375" s="45">
        <f t="shared" si="25"/>
        <v>0.2015999999999849</v>
      </c>
      <c r="AD375" s="45">
        <f t="shared" si="22"/>
        <v>1.9999999999953388E-4</v>
      </c>
      <c r="AE375" s="45">
        <f t="shared" si="23"/>
        <v>1.9999999999953388E-4</v>
      </c>
      <c r="AF375" s="45">
        <f t="shared" si="24"/>
        <v>5.9999999999860165E-4</v>
      </c>
      <c r="AG375" s="79"/>
      <c r="AH375" s="79"/>
      <c r="AI375" s="80"/>
    </row>
    <row r="376" spans="2:35">
      <c r="B376" s="36"/>
      <c r="C376" s="29"/>
      <c r="D376" s="32">
        <v>30</v>
      </c>
      <c r="E376" s="46">
        <v>217.6232</v>
      </c>
      <c r="F376" s="46">
        <v>38.0899</v>
      </c>
      <c r="G376" s="46">
        <v>44.828400000000002</v>
      </c>
      <c r="H376" s="46">
        <v>43.948500000000003</v>
      </c>
      <c r="I376" s="66"/>
      <c r="J376" s="66"/>
      <c r="K376" s="67"/>
      <c r="L376" s="29"/>
      <c r="M376" s="46">
        <v>217.34719999999999</v>
      </c>
      <c r="N376" s="46">
        <v>38.089100000000002</v>
      </c>
      <c r="O376" s="46">
        <v>44.828800000000001</v>
      </c>
      <c r="P376" s="46">
        <v>43.948099999999997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0.27600000000001046</v>
      </c>
      <c r="AD376" s="46">
        <f t="shared" si="22"/>
        <v>7.9999999999813554E-4</v>
      </c>
      <c r="AE376" s="46">
        <f t="shared" si="23"/>
        <v>-3.9999999999906777E-4</v>
      </c>
      <c r="AF376" s="46">
        <f t="shared" si="24"/>
        <v>4.000000000061732E-4</v>
      </c>
      <c r="AG376" s="66"/>
      <c r="AH376" s="66"/>
      <c r="AI376" s="67"/>
    </row>
    <row r="377" spans="2:35">
      <c r="B377" s="36"/>
      <c r="C377" s="29"/>
      <c r="D377" s="32">
        <v>35</v>
      </c>
      <c r="E377" s="46">
        <v>103.4432</v>
      </c>
      <c r="F377" s="46">
        <v>35.400599999999997</v>
      </c>
      <c r="G377" s="46">
        <v>43.242800000000003</v>
      </c>
      <c r="H377" s="46">
        <v>42.168599999999998</v>
      </c>
      <c r="I377" s="66"/>
      <c r="J377" s="66"/>
      <c r="K377" s="67"/>
      <c r="L377" s="29"/>
      <c r="M377" s="46">
        <v>103.3344</v>
      </c>
      <c r="N377" s="46">
        <v>35.400199999999998</v>
      </c>
      <c r="O377" s="46">
        <v>43.243000000000002</v>
      </c>
      <c r="P377" s="46">
        <v>42.169400000000003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0.10880000000000223</v>
      </c>
      <c r="AD377" s="46">
        <f t="shared" si="22"/>
        <v>3.9999999999906777E-4</v>
      </c>
      <c r="AE377" s="46">
        <f t="shared" si="23"/>
        <v>-1.9999999999953388E-4</v>
      </c>
      <c r="AF377" s="46">
        <f t="shared" si="24"/>
        <v>-8.0000000000524096E-4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50.987200000000001</v>
      </c>
      <c r="F378" s="72">
        <v>32.988100000000003</v>
      </c>
      <c r="G378" s="72">
        <v>42.234400000000001</v>
      </c>
      <c r="H378" s="72">
        <v>40.875300000000003</v>
      </c>
      <c r="I378" s="68"/>
      <c r="J378" s="68"/>
      <c r="K378" s="69"/>
      <c r="L378" s="29"/>
      <c r="M378" s="72">
        <v>50.960799999999999</v>
      </c>
      <c r="N378" s="72">
        <v>32.987900000000003</v>
      </c>
      <c r="O378" s="72">
        <v>42.233899999999998</v>
      </c>
      <c r="P378" s="72">
        <v>40.875100000000003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2.6400000000002422E-2</v>
      </c>
      <c r="AD378" s="72">
        <f t="shared" si="22"/>
        <v>1.9999999999953388E-4</v>
      </c>
      <c r="AE378" s="72">
        <f t="shared" si="23"/>
        <v>5.0000000000238742E-4</v>
      </c>
      <c r="AF378" s="72">
        <f t="shared" si="24"/>
        <v>1.9999999999953388E-4</v>
      </c>
      <c r="AG378" s="68"/>
      <c r="AH378" s="68"/>
      <c r="AI378" s="69"/>
    </row>
    <row r="379" spans="2:35">
      <c r="B379" s="36"/>
      <c r="C379" s="28" t="s">
        <v>29</v>
      </c>
      <c r="D379" s="31">
        <v>34</v>
      </c>
      <c r="E379" s="45">
        <v>451.63760000000002</v>
      </c>
      <c r="F379" s="45">
        <v>38.753599999999999</v>
      </c>
      <c r="G379" s="78"/>
      <c r="H379" s="78"/>
      <c r="I379" s="79"/>
      <c r="J379" s="79"/>
      <c r="K379" s="80"/>
      <c r="L379" s="29"/>
      <c r="M379" s="45">
        <v>451.63760000000002</v>
      </c>
      <c r="N379" s="45">
        <v>38.753599999999999</v>
      </c>
      <c r="O379" s="78">
        <v>99.99</v>
      </c>
      <c r="P379" s="78">
        <v>99.99</v>
      </c>
      <c r="Q379" s="79"/>
      <c r="R379" s="79"/>
      <c r="S379" s="8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45">
        <f t="shared" si="25"/>
        <v>0</v>
      </c>
      <c r="AD379" s="45">
        <f t="shared" si="22"/>
        <v>0</v>
      </c>
      <c r="AE379" s="78"/>
      <c r="AF379" s="78"/>
      <c r="AG379" s="79"/>
      <c r="AH379" s="79"/>
      <c r="AI379" s="80"/>
    </row>
    <row r="380" spans="2:35">
      <c r="B380" s="36"/>
      <c r="C380" s="29"/>
      <c r="D380" s="32">
        <v>39</v>
      </c>
      <c r="E380" s="46">
        <v>148.42959999999999</v>
      </c>
      <c r="F380" s="46">
        <v>35.6614</v>
      </c>
      <c r="G380" s="70"/>
      <c r="H380" s="70"/>
      <c r="I380" s="66"/>
      <c r="J380" s="66"/>
      <c r="K380" s="67"/>
      <c r="L380" s="29"/>
      <c r="M380" s="46">
        <v>148.42959999999999</v>
      </c>
      <c r="N380" s="46">
        <v>35.6614</v>
      </c>
      <c r="O380" s="70">
        <v>99.99</v>
      </c>
      <c r="P380" s="70">
        <v>99.99</v>
      </c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</v>
      </c>
      <c r="AD380" s="46">
        <f t="shared" si="22"/>
        <v>0</v>
      </c>
      <c r="AE380" s="70"/>
      <c r="AF380" s="70"/>
      <c r="AG380" s="66"/>
      <c r="AH380" s="66"/>
      <c r="AI380" s="67"/>
    </row>
    <row r="381" spans="2:35">
      <c r="B381" s="36"/>
      <c r="C381" s="29"/>
      <c r="D381" s="32">
        <v>42</v>
      </c>
      <c r="E381" s="46">
        <v>54.406399999999998</v>
      </c>
      <c r="F381" s="46">
        <v>33.136600000000001</v>
      </c>
      <c r="G381" s="70"/>
      <c r="H381" s="70"/>
      <c r="I381" s="66"/>
      <c r="J381" s="66"/>
      <c r="K381" s="67"/>
      <c r="L381" s="29"/>
      <c r="M381" s="46">
        <v>54.406399999999998</v>
      </c>
      <c r="N381" s="46">
        <v>33.136600000000001</v>
      </c>
      <c r="O381" s="70">
        <v>99.99</v>
      </c>
      <c r="P381" s="70">
        <v>99.99</v>
      </c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</v>
      </c>
      <c r="AD381" s="46">
        <f t="shared" si="22"/>
        <v>0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22.091999999999999</v>
      </c>
      <c r="F382" s="46">
        <v>30.754100000000001</v>
      </c>
      <c r="G382" s="70"/>
      <c r="H382" s="70"/>
      <c r="I382" s="66"/>
      <c r="J382" s="66"/>
      <c r="K382" s="67"/>
      <c r="L382" s="29"/>
      <c r="M382" s="46">
        <v>22.091999999999999</v>
      </c>
      <c r="N382" s="46">
        <v>30.754100000000001</v>
      </c>
      <c r="O382" s="70">
        <v>99.99</v>
      </c>
      <c r="P382" s="70">
        <v>99.99</v>
      </c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</v>
      </c>
      <c r="AD382" s="46">
        <f t="shared" si="22"/>
        <v>0</v>
      </c>
      <c r="AE382" s="70"/>
      <c r="AF382" s="70"/>
      <c r="AG382" s="66"/>
      <c r="AH382" s="66"/>
      <c r="AI382" s="67"/>
    </row>
    <row r="383" spans="2:35">
      <c r="B383" s="36"/>
      <c r="C383" s="28" t="s">
        <v>30</v>
      </c>
      <c r="D383" s="31">
        <v>34</v>
      </c>
      <c r="E383" s="45">
        <v>189.9752</v>
      </c>
      <c r="F383" s="45">
        <v>37.805399999999999</v>
      </c>
      <c r="G383" s="78"/>
      <c r="H383" s="78"/>
      <c r="I383" s="79"/>
      <c r="J383" s="79"/>
      <c r="K383" s="80"/>
      <c r="L383" s="29"/>
      <c r="M383" s="45">
        <v>189.9752</v>
      </c>
      <c r="N383" s="45">
        <v>37.805399999999999</v>
      </c>
      <c r="O383" s="78">
        <v>99.99</v>
      </c>
      <c r="P383" s="78">
        <v>99.99</v>
      </c>
      <c r="Q383" s="79"/>
      <c r="R383" s="79"/>
      <c r="S383" s="80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45">
        <f t="shared" si="25"/>
        <v>0</v>
      </c>
      <c r="AD383" s="45">
        <f t="shared" si="22"/>
        <v>0</v>
      </c>
      <c r="AE383" s="78"/>
      <c r="AF383" s="78"/>
      <c r="AG383" s="79"/>
      <c r="AH383" s="79"/>
      <c r="AI383" s="80"/>
    </row>
    <row r="384" spans="2:35">
      <c r="B384" s="36"/>
      <c r="C384" s="29"/>
      <c r="D384" s="32">
        <v>39</v>
      </c>
      <c r="E384" s="46">
        <v>54.800800000000002</v>
      </c>
      <c r="F384" s="46">
        <v>35.018999999999998</v>
      </c>
      <c r="G384" s="70"/>
      <c r="H384" s="70"/>
      <c r="I384" s="66"/>
      <c r="J384" s="66"/>
      <c r="K384" s="67"/>
      <c r="L384" s="29"/>
      <c r="M384" s="46">
        <v>54.800800000000002</v>
      </c>
      <c r="N384" s="46">
        <v>35.018999999999998</v>
      </c>
      <c r="O384" s="70">
        <v>99.99</v>
      </c>
      <c r="P384" s="70">
        <v>99.99</v>
      </c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0</v>
      </c>
      <c r="AD384" s="46">
        <f t="shared" si="22"/>
        <v>0</v>
      </c>
      <c r="AE384" s="70"/>
      <c r="AF384" s="70"/>
      <c r="AG384" s="66"/>
      <c r="AH384" s="66"/>
      <c r="AI384" s="67"/>
    </row>
    <row r="385" spans="2:35">
      <c r="B385" s="36"/>
      <c r="C385" s="29"/>
      <c r="D385" s="32">
        <v>42</v>
      </c>
      <c r="E385" s="46">
        <v>21.504000000000001</v>
      </c>
      <c r="F385" s="46">
        <v>32.693199999999997</v>
      </c>
      <c r="G385" s="70"/>
      <c r="H385" s="70"/>
      <c r="I385" s="66"/>
      <c r="J385" s="66"/>
      <c r="K385" s="67"/>
      <c r="L385" s="29"/>
      <c r="M385" s="46">
        <v>21.504000000000001</v>
      </c>
      <c r="N385" s="46">
        <v>32.693199999999997</v>
      </c>
      <c r="O385" s="70">
        <v>99.99</v>
      </c>
      <c r="P385" s="70">
        <v>99.99</v>
      </c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0</v>
      </c>
      <c r="AD385" s="46">
        <f t="shared" si="22"/>
        <v>0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10.0984</v>
      </c>
      <c r="F386" s="46">
        <v>30.496600000000001</v>
      </c>
      <c r="G386" s="70"/>
      <c r="H386" s="70"/>
      <c r="I386" s="66"/>
      <c r="J386" s="66"/>
      <c r="K386" s="67"/>
      <c r="L386" s="29"/>
      <c r="M386" s="46">
        <v>10.0984</v>
      </c>
      <c r="N386" s="46">
        <v>30.496600000000001</v>
      </c>
      <c r="O386" s="70">
        <v>99.99</v>
      </c>
      <c r="P386" s="70">
        <v>99.99</v>
      </c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</v>
      </c>
      <c r="AD386" s="46">
        <f t="shared" si="22"/>
        <v>0</v>
      </c>
      <c r="AE386" s="70"/>
      <c r="AF386" s="70"/>
      <c r="AG386" s="66"/>
      <c r="AH386" s="66"/>
      <c r="AI386" s="67"/>
    </row>
    <row r="387" spans="2:35">
      <c r="B387" s="36"/>
      <c r="C387" s="28" t="s">
        <v>31</v>
      </c>
      <c r="D387" s="31">
        <v>34</v>
      </c>
      <c r="E387" s="45">
        <v>189.2704</v>
      </c>
      <c r="F387" s="45">
        <v>37.588299999999997</v>
      </c>
      <c r="G387" s="78"/>
      <c r="H387" s="78"/>
      <c r="I387" s="79"/>
      <c r="J387" s="79"/>
      <c r="K387" s="80"/>
      <c r="L387" s="29"/>
      <c r="M387" s="45">
        <v>189.37119999999999</v>
      </c>
      <c r="N387" s="45">
        <v>37.5886</v>
      </c>
      <c r="O387" s="78">
        <v>99.99</v>
      </c>
      <c r="P387" s="78">
        <v>99.99</v>
      </c>
      <c r="Q387" s="79"/>
      <c r="R387" s="79"/>
      <c r="S387" s="80"/>
      <c r="U387" s="8">
        <f>bdrate($E387:$E390,F387:F390,$M387:$M390,N387:N390)</f>
        <v>1.0959061687476623E-3</v>
      </c>
      <c r="V387" s="9"/>
      <c r="W387" s="10"/>
      <c r="X387" s="29"/>
      <c r="Y387" s="24"/>
      <c r="Z387" s="24"/>
      <c r="AA387" s="27"/>
      <c r="AB387" s="24"/>
      <c r="AC387" s="45">
        <f t="shared" si="25"/>
        <v>-0.10079999999999245</v>
      </c>
      <c r="AD387" s="45">
        <f t="shared" si="22"/>
        <v>-3.0000000000285354E-4</v>
      </c>
      <c r="AE387" s="78"/>
      <c r="AF387" s="78"/>
      <c r="AG387" s="79"/>
      <c r="AH387" s="79"/>
      <c r="AI387" s="80"/>
    </row>
    <row r="388" spans="2:35">
      <c r="B388" s="36"/>
      <c r="C388" s="29"/>
      <c r="D388" s="32">
        <v>39</v>
      </c>
      <c r="E388" s="46">
        <v>54.831200000000003</v>
      </c>
      <c r="F388" s="46">
        <v>34.771599999999999</v>
      </c>
      <c r="G388" s="70"/>
      <c r="H388" s="70"/>
      <c r="I388" s="66"/>
      <c r="J388" s="66"/>
      <c r="K388" s="67"/>
      <c r="L388" s="29"/>
      <c r="M388" s="46">
        <v>54.861600000000003</v>
      </c>
      <c r="N388" s="46">
        <v>34.767800000000001</v>
      </c>
      <c r="O388" s="70">
        <v>99.99</v>
      </c>
      <c r="P388" s="70">
        <v>99.99</v>
      </c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-3.0400000000000205E-2</v>
      </c>
      <c r="AD388" s="46">
        <f t="shared" si="22"/>
        <v>3.7999999999982492E-3</v>
      </c>
      <c r="AE388" s="70"/>
      <c r="AF388" s="70"/>
      <c r="AG388" s="66"/>
      <c r="AH388" s="66"/>
      <c r="AI388" s="67"/>
    </row>
    <row r="389" spans="2:35">
      <c r="B389" s="36"/>
      <c r="C389" s="29"/>
      <c r="D389" s="32">
        <v>42</v>
      </c>
      <c r="E389" s="46">
        <v>21.672000000000001</v>
      </c>
      <c r="F389" s="46">
        <v>32.482100000000003</v>
      </c>
      <c r="G389" s="70"/>
      <c r="H389" s="70"/>
      <c r="I389" s="66"/>
      <c r="J389" s="66"/>
      <c r="K389" s="67"/>
      <c r="L389" s="29"/>
      <c r="M389" s="46">
        <v>21.683199999999999</v>
      </c>
      <c r="N389" s="46">
        <v>32.485999999999997</v>
      </c>
      <c r="O389" s="70">
        <v>99.99</v>
      </c>
      <c r="P389" s="70">
        <v>99.99</v>
      </c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-1.1199999999998766E-2</v>
      </c>
      <c r="AD389" s="46">
        <f t="shared" si="22"/>
        <v>-3.8999999999944635E-3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9.9207999999999998</v>
      </c>
      <c r="F390" s="46">
        <v>30.2469</v>
      </c>
      <c r="G390" s="70"/>
      <c r="H390" s="70"/>
      <c r="I390" s="66"/>
      <c r="J390" s="66"/>
      <c r="K390" s="67"/>
      <c r="L390" s="29"/>
      <c r="M390" s="46">
        <v>9.9687999999999999</v>
      </c>
      <c r="N390" s="46">
        <v>30.249199999999998</v>
      </c>
      <c r="O390" s="70">
        <v>99.99</v>
      </c>
      <c r="P390" s="70">
        <v>99.99</v>
      </c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-4.8000000000000043E-2</v>
      </c>
      <c r="AD390" s="46">
        <f t="shared" si="22"/>
        <v>-2.2999999999981924E-3</v>
      </c>
      <c r="AE390" s="46"/>
      <c r="AF390" s="46"/>
      <c r="AG390" s="66"/>
      <c r="AH390" s="66"/>
      <c r="AI390" s="67"/>
    </row>
    <row r="391" spans="2:35">
      <c r="B391" s="36"/>
      <c r="C391" s="28" t="s">
        <v>47</v>
      </c>
      <c r="D391" s="31">
        <v>25</v>
      </c>
      <c r="E391" s="78"/>
      <c r="F391" s="45">
        <v>40.671999999999997</v>
      </c>
      <c r="G391" s="45">
        <v>46.656700000000001</v>
      </c>
      <c r="H391" s="45">
        <v>46.366100000000003</v>
      </c>
      <c r="I391" s="79"/>
      <c r="J391" s="79"/>
      <c r="K391" s="80"/>
      <c r="L391" s="29"/>
      <c r="M391" s="78"/>
      <c r="N391" s="45"/>
      <c r="O391" s="45"/>
      <c r="P391" s="45"/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40.671999999999997</v>
      </c>
      <c r="AE391" s="45">
        <f t="shared" ref="AE391:AE414" si="26">G391 -O391</f>
        <v>46.656700000000001</v>
      </c>
      <c r="AF391" s="45">
        <f t="shared" ref="AF391:AF414" si="27">H391 -P391</f>
        <v>46.366100000000003</v>
      </c>
      <c r="AG391" s="79"/>
      <c r="AH391" s="79"/>
      <c r="AI391" s="80"/>
    </row>
    <row r="392" spans="2:35">
      <c r="B392" s="36"/>
      <c r="C392" s="29"/>
      <c r="D392" s="32">
        <v>30</v>
      </c>
      <c r="E392" s="70"/>
      <c r="F392" s="46">
        <v>37.909100000000002</v>
      </c>
      <c r="G392" s="46">
        <v>45.070599999999999</v>
      </c>
      <c r="H392" s="46">
        <v>44.5062</v>
      </c>
      <c r="I392" s="66"/>
      <c r="J392" s="66"/>
      <c r="K392" s="67"/>
      <c r="L392" s="29"/>
      <c r="M392" s="70"/>
      <c r="N392" s="46"/>
      <c r="O392" s="46"/>
      <c r="P392" s="46"/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37.909100000000002</v>
      </c>
      <c r="AE392" s="46">
        <f t="shared" si="26"/>
        <v>45.070599999999999</v>
      </c>
      <c r="AF392" s="46">
        <f t="shared" si="27"/>
        <v>44.5062</v>
      </c>
      <c r="AG392" s="66"/>
      <c r="AH392" s="66"/>
      <c r="AI392" s="67"/>
    </row>
    <row r="393" spans="2:35">
      <c r="B393" s="36"/>
      <c r="C393" s="29"/>
      <c r="D393" s="32">
        <v>35</v>
      </c>
      <c r="E393" s="70"/>
      <c r="F393" s="46">
        <v>35.259799999999998</v>
      </c>
      <c r="G393" s="46">
        <v>43.419699999999999</v>
      </c>
      <c r="H393" s="46">
        <v>42.573700000000002</v>
      </c>
      <c r="I393" s="66"/>
      <c r="J393" s="66"/>
      <c r="K393" s="67"/>
      <c r="L393" s="29"/>
      <c r="M393" s="70"/>
      <c r="N393" s="46"/>
      <c r="O393" s="46"/>
      <c r="P393" s="46"/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35.259799999999998</v>
      </c>
      <c r="AE393" s="46">
        <f t="shared" si="26"/>
        <v>43.419699999999999</v>
      </c>
      <c r="AF393" s="46">
        <f t="shared" si="27"/>
        <v>42.573700000000002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32.872100000000003</v>
      </c>
      <c r="G394" s="72">
        <v>42.384999999999998</v>
      </c>
      <c r="H394" s="72">
        <v>41.2121</v>
      </c>
      <c r="I394" s="68"/>
      <c r="J394" s="68"/>
      <c r="K394" s="69"/>
      <c r="L394" s="29"/>
      <c r="M394" s="81"/>
      <c r="N394" s="72"/>
      <c r="O394" s="72"/>
      <c r="P394" s="72"/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32.872100000000003</v>
      </c>
      <c r="AE394" s="72">
        <f t="shared" si="26"/>
        <v>42.384999999999998</v>
      </c>
      <c r="AF394" s="72">
        <f t="shared" si="27"/>
        <v>41.2121</v>
      </c>
      <c r="AG394" s="68"/>
      <c r="AH394" s="68"/>
      <c r="AI394" s="69"/>
    </row>
    <row r="395" spans="2:35">
      <c r="B395" s="36"/>
      <c r="C395" s="29" t="s">
        <v>48</v>
      </c>
      <c r="D395" s="32">
        <v>25</v>
      </c>
      <c r="E395" s="70"/>
      <c r="F395" s="45">
        <v>40.857900000000001</v>
      </c>
      <c r="G395" s="45">
        <v>47.165300000000002</v>
      </c>
      <c r="H395" s="45">
        <v>46.4801</v>
      </c>
      <c r="I395" s="66"/>
      <c r="J395" s="66"/>
      <c r="K395" s="67"/>
      <c r="L395" s="29"/>
      <c r="M395" s="70"/>
      <c r="N395" s="45"/>
      <c r="O395" s="45"/>
      <c r="P395" s="45"/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40.857900000000001</v>
      </c>
      <c r="AE395" s="45">
        <f t="shared" si="26"/>
        <v>47.165300000000002</v>
      </c>
      <c r="AF395" s="45">
        <f t="shared" si="27"/>
        <v>46.4801</v>
      </c>
      <c r="AG395" s="66"/>
      <c r="AH395" s="66"/>
      <c r="AI395" s="67"/>
    </row>
    <row r="396" spans="2:35">
      <c r="B396" s="36"/>
      <c r="C396" s="29"/>
      <c r="D396" s="32">
        <v>30</v>
      </c>
      <c r="E396" s="70"/>
      <c r="F396" s="46">
        <v>38.0456</v>
      </c>
      <c r="G396" s="46">
        <v>45.467300000000002</v>
      </c>
      <c r="H396" s="46">
        <v>44.588000000000001</v>
      </c>
      <c r="I396" s="66"/>
      <c r="J396" s="66"/>
      <c r="K396" s="67"/>
      <c r="L396" s="29"/>
      <c r="M396" s="70"/>
      <c r="N396" s="46"/>
      <c r="O396" s="46"/>
      <c r="P396" s="46"/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38.0456</v>
      </c>
      <c r="AE396" s="46">
        <f t="shared" si="26"/>
        <v>45.467300000000002</v>
      </c>
      <c r="AF396" s="46">
        <f t="shared" si="27"/>
        <v>44.588000000000001</v>
      </c>
      <c r="AG396" s="66"/>
      <c r="AH396" s="66"/>
      <c r="AI396" s="67"/>
    </row>
    <row r="397" spans="2:35">
      <c r="B397" s="36"/>
      <c r="C397" s="29"/>
      <c r="D397" s="32">
        <v>35</v>
      </c>
      <c r="E397" s="70"/>
      <c r="F397" s="46">
        <v>35.344499999999996</v>
      </c>
      <c r="G397" s="46">
        <v>43.689799999999998</v>
      </c>
      <c r="H397" s="46">
        <v>42.6601</v>
      </c>
      <c r="I397" s="66"/>
      <c r="J397" s="66"/>
      <c r="K397" s="67"/>
      <c r="L397" s="29"/>
      <c r="M397" s="70"/>
      <c r="N397" s="46"/>
      <c r="O397" s="46"/>
      <c r="P397" s="46"/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35.344499999999996</v>
      </c>
      <c r="AE397" s="46">
        <f t="shared" si="26"/>
        <v>43.689799999999998</v>
      </c>
      <c r="AF397" s="46">
        <f t="shared" si="27"/>
        <v>42.6601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32.918799999999997</v>
      </c>
      <c r="G398" s="72">
        <v>42.500999999999998</v>
      </c>
      <c r="H398" s="72">
        <v>41.287100000000002</v>
      </c>
      <c r="I398" s="68"/>
      <c r="J398" s="68"/>
      <c r="K398" s="69"/>
      <c r="L398" s="29"/>
      <c r="M398" s="81"/>
      <c r="N398" s="46"/>
      <c r="O398" s="72"/>
      <c r="P398" s="72"/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32.918799999999997</v>
      </c>
      <c r="AE398" s="46">
        <f t="shared" si="26"/>
        <v>42.500999999999998</v>
      </c>
      <c r="AF398" s="46">
        <f t="shared" si="27"/>
        <v>41.287100000000002</v>
      </c>
      <c r="AG398" s="68"/>
      <c r="AH398" s="68"/>
      <c r="AI398" s="69"/>
    </row>
    <row r="399" spans="2:35">
      <c r="B399" s="36"/>
      <c r="C399" s="29" t="s">
        <v>49</v>
      </c>
      <c r="D399" s="32">
        <v>25</v>
      </c>
      <c r="E399" s="70"/>
      <c r="F399" s="45">
        <v>41.073900000000002</v>
      </c>
      <c r="G399" s="45">
        <v>47.6282</v>
      </c>
      <c r="H399" s="45">
        <v>47.214599999999997</v>
      </c>
      <c r="I399" s="66"/>
      <c r="J399" s="66"/>
      <c r="K399" s="67"/>
      <c r="L399" s="29"/>
      <c r="M399" s="70"/>
      <c r="N399" s="45"/>
      <c r="O399" s="45"/>
      <c r="P399" s="45"/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41.073900000000002</v>
      </c>
      <c r="AE399" s="45">
        <f t="shared" si="26"/>
        <v>47.6282</v>
      </c>
      <c r="AF399" s="45">
        <f t="shared" si="27"/>
        <v>47.214599999999997</v>
      </c>
      <c r="AG399" s="66"/>
      <c r="AH399" s="66"/>
      <c r="AI399" s="67"/>
    </row>
    <row r="400" spans="2:35">
      <c r="B400" s="36"/>
      <c r="C400" s="29"/>
      <c r="D400" s="32">
        <v>30</v>
      </c>
      <c r="E400" s="70"/>
      <c r="F400" s="46">
        <v>38.177999999999997</v>
      </c>
      <c r="G400" s="46">
        <v>45.8063</v>
      </c>
      <c r="H400" s="46">
        <v>45.130400000000002</v>
      </c>
      <c r="I400" s="66"/>
      <c r="J400" s="66"/>
      <c r="K400" s="67"/>
      <c r="L400" s="29"/>
      <c r="M400" s="70"/>
      <c r="N400" s="46"/>
      <c r="O400" s="46"/>
      <c r="P400" s="46"/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38.177999999999997</v>
      </c>
      <c r="AE400" s="46">
        <f t="shared" si="26"/>
        <v>45.8063</v>
      </c>
      <c r="AF400" s="46">
        <f t="shared" si="27"/>
        <v>45.130400000000002</v>
      </c>
      <c r="AG400" s="66"/>
      <c r="AH400" s="66"/>
      <c r="AI400" s="67"/>
    </row>
    <row r="401" spans="2:35">
      <c r="B401" s="36"/>
      <c r="C401" s="29"/>
      <c r="D401" s="32">
        <v>35</v>
      </c>
      <c r="E401" s="70"/>
      <c r="F401" s="46">
        <v>35.433300000000003</v>
      </c>
      <c r="G401" s="46">
        <v>43.978299999999997</v>
      </c>
      <c r="H401" s="46">
        <v>43.053600000000003</v>
      </c>
      <c r="I401" s="66"/>
      <c r="J401" s="66"/>
      <c r="K401" s="67"/>
      <c r="L401" s="29"/>
      <c r="M401" s="70"/>
      <c r="N401" s="46"/>
      <c r="O401" s="46"/>
      <c r="P401" s="46"/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35.433300000000003</v>
      </c>
      <c r="AE401" s="46">
        <f t="shared" si="26"/>
        <v>43.978299999999997</v>
      </c>
      <c r="AF401" s="46">
        <f t="shared" si="27"/>
        <v>43.053600000000003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32.987699999999997</v>
      </c>
      <c r="G402" s="72">
        <v>42.75</v>
      </c>
      <c r="H402" s="72">
        <v>41.6051</v>
      </c>
      <c r="I402" s="68"/>
      <c r="J402" s="68"/>
      <c r="K402" s="69"/>
      <c r="L402" s="29"/>
      <c r="M402" s="81"/>
      <c r="N402" s="46"/>
      <c r="O402" s="72"/>
      <c r="P402" s="72"/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32.987699999999997</v>
      </c>
      <c r="AE402" s="46">
        <f t="shared" si="26"/>
        <v>42.75</v>
      </c>
      <c r="AF402" s="46">
        <f t="shared" si="27"/>
        <v>41.6051</v>
      </c>
      <c r="AG402" s="68"/>
      <c r="AH402" s="68"/>
      <c r="AI402" s="69"/>
    </row>
    <row r="403" spans="2:35">
      <c r="B403" s="36"/>
      <c r="C403" s="29" t="s">
        <v>50</v>
      </c>
      <c r="D403" s="32">
        <v>25</v>
      </c>
      <c r="E403" s="70"/>
      <c r="F403" s="45">
        <v>41.068600000000004</v>
      </c>
      <c r="G403" s="45">
        <v>47.685200000000002</v>
      </c>
      <c r="H403" s="45">
        <v>47.236899999999999</v>
      </c>
      <c r="I403" s="66"/>
      <c r="J403" s="66"/>
      <c r="K403" s="67"/>
      <c r="L403" s="29"/>
      <c r="M403" s="70"/>
      <c r="N403" s="45"/>
      <c r="O403" s="45"/>
      <c r="P403" s="45"/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41.068600000000004</v>
      </c>
      <c r="AE403" s="45">
        <f t="shared" si="26"/>
        <v>47.685200000000002</v>
      </c>
      <c r="AF403" s="45">
        <f t="shared" si="27"/>
        <v>47.236899999999999</v>
      </c>
      <c r="AG403" s="66"/>
      <c r="AH403" s="66"/>
      <c r="AI403" s="67"/>
    </row>
    <row r="404" spans="2:35">
      <c r="B404" s="36"/>
      <c r="C404" s="29"/>
      <c r="D404" s="32">
        <v>30</v>
      </c>
      <c r="E404" s="70"/>
      <c r="F404" s="46">
        <v>38.174399999999999</v>
      </c>
      <c r="G404" s="46">
        <v>45.872900000000001</v>
      </c>
      <c r="H404" s="46">
        <v>45.158299999999997</v>
      </c>
      <c r="I404" s="66"/>
      <c r="J404" s="66"/>
      <c r="K404" s="67"/>
      <c r="L404" s="29"/>
      <c r="M404" s="70"/>
      <c r="N404" s="46"/>
      <c r="O404" s="46"/>
      <c r="P404" s="46"/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38.174399999999999</v>
      </c>
      <c r="AE404" s="46">
        <f t="shared" si="26"/>
        <v>45.872900000000001</v>
      </c>
      <c r="AF404" s="46">
        <f t="shared" si="27"/>
        <v>45.158299999999997</v>
      </c>
      <c r="AG404" s="66"/>
      <c r="AH404" s="66"/>
      <c r="AI404" s="67"/>
    </row>
    <row r="405" spans="2:35">
      <c r="B405" s="36"/>
      <c r="C405" s="29"/>
      <c r="D405" s="32">
        <v>35</v>
      </c>
      <c r="E405" s="70"/>
      <c r="F405" s="46">
        <v>35.432099999999998</v>
      </c>
      <c r="G405" s="46">
        <v>44.051499999999997</v>
      </c>
      <c r="H405" s="46">
        <v>43.084099999999999</v>
      </c>
      <c r="I405" s="66"/>
      <c r="J405" s="66"/>
      <c r="K405" s="67"/>
      <c r="L405" s="29"/>
      <c r="M405" s="70"/>
      <c r="N405" s="46"/>
      <c r="O405" s="46"/>
      <c r="P405" s="46"/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35.432099999999998</v>
      </c>
      <c r="AE405" s="46">
        <f t="shared" si="26"/>
        <v>44.051499999999997</v>
      </c>
      <c r="AF405" s="46">
        <f t="shared" si="27"/>
        <v>43.084099999999999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32.985700000000001</v>
      </c>
      <c r="G406" s="72">
        <v>42.861199999999997</v>
      </c>
      <c r="H406" s="72">
        <v>41.627099999999999</v>
      </c>
      <c r="I406" s="68"/>
      <c r="J406" s="68"/>
      <c r="K406" s="69"/>
      <c r="L406" s="29"/>
      <c r="M406" s="81"/>
      <c r="N406" s="46"/>
      <c r="O406" s="72"/>
      <c r="P406" s="72"/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32.985700000000001</v>
      </c>
      <c r="AE406" s="46">
        <f t="shared" si="26"/>
        <v>42.861199999999997</v>
      </c>
      <c r="AF406" s="46">
        <f t="shared" si="27"/>
        <v>41.627099999999999</v>
      </c>
      <c r="AG406" s="68"/>
      <c r="AH406" s="68"/>
      <c r="AI406" s="69"/>
    </row>
    <row r="407" spans="2:35">
      <c r="B407" s="36"/>
      <c r="C407" s="29" t="s">
        <v>51</v>
      </c>
      <c r="D407" s="32">
        <v>25</v>
      </c>
      <c r="E407" s="70"/>
      <c r="F407" s="45">
        <v>40.881500000000003</v>
      </c>
      <c r="G407" s="45">
        <v>46.766300000000001</v>
      </c>
      <c r="H407" s="45">
        <v>46.6706</v>
      </c>
      <c r="I407" s="66"/>
      <c r="J407" s="66"/>
      <c r="K407" s="67"/>
      <c r="L407" s="29"/>
      <c r="M407" s="70"/>
      <c r="N407" s="45"/>
      <c r="O407" s="45"/>
      <c r="P407" s="45"/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40.881500000000003</v>
      </c>
      <c r="AE407" s="45">
        <f t="shared" si="26"/>
        <v>46.766300000000001</v>
      </c>
      <c r="AF407" s="45">
        <f t="shared" si="27"/>
        <v>46.6706</v>
      </c>
      <c r="AG407" s="66"/>
      <c r="AH407" s="66"/>
      <c r="AI407" s="67"/>
    </row>
    <row r="408" spans="2:35">
      <c r="B408" s="36"/>
      <c r="C408" s="29"/>
      <c r="D408" s="32">
        <v>30</v>
      </c>
      <c r="E408" s="70"/>
      <c r="F408" s="46">
        <v>38.0501</v>
      </c>
      <c r="G408" s="46">
        <v>45.2211</v>
      </c>
      <c r="H408" s="46">
        <v>44.716000000000001</v>
      </c>
      <c r="I408" s="66"/>
      <c r="J408" s="66"/>
      <c r="K408" s="67"/>
      <c r="L408" s="29"/>
      <c r="M408" s="70"/>
      <c r="N408" s="46"/>
      <c r="O408" s="46"/>
      <c r="P408" s="46"/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38.0501</v>
      </c>
      <c r="AE408" s="46">
        <f t="shared" si="26"/>
        <v>45.2211</v>
      </c>
      <c r="AF408" s="46">
        <f t="shared" si="27"/>
        <v>44.716000000000001</v>
      </c>
      <c r="AG408" s="66"/>
      <c r="AH408" s="66"/>
      <c r="AI408" s="67"/>
    </row>
    <row r="409" spans="2:35">
      <c r="B409" s="36"/>
      <c r="C409" s="29"/>
      <c r="D409" s="32">
        <v>35</v>
      </c>
      <c r="E409" s="70"/>
      <c r="F409" s="46">
        <v>35.349299999999999</v>
      </c>
      <c r="G409" s="46">
        <v>43.615000000000002</v>
      </c>
      <c r="H409" s="46">
        <v>42.761800000000001</v>
      </c>
      <c r="I409" s="66"/>
      <c r="J409" s="66"/>
      <c r="K409" s="67"/>
      <c r="L409" s="29"/>
      <c r="M409" s="70"/>
      <c r="N409" s="46"/>
      <c r="O409" s="46"/>
      <c r="P409" s="46"/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35.349299999999999</v>
      </c>
      <c r="AE409" s="46">
        <f t="shared" si="26"/>
        <v>43.615000000000002</v>
      </c>
      <c r="AF409" s="46">
        <f t="shared" si="27"/>
        <v>42.761800000000001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32.914700000000003</v>
      </c>
      <c r="G410" s="72">
        <v>42.501899999999999</v>
      </c>
      <c r="H410" s="72">
        <v>41.337699999999998</v>
      </c>
      <c r="I410" s="68"/>
      <c r="J410" s="68"/>
      <c r="K410" s="69"/>
      <c r="L410" s="29"/>
      <c r="M410" s="81"/>
      <c r="N410" s="72"/>
      <c r="O410" s="72"/>
      <c r="P410" s="72"/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32.914700000000003</v>
      </c>
      <c r="AE410" s="72">
        <f t="shared" si="26"/>
        <v>42.501899999999999</v>
      </c>
      <c r="AF410" s="72">
        <f t="shared" si="27"/>
        <v>41.337699999999998</v>
      </c>
      <c r="AG410" s="68"/>
      <c r="AH410" s="68"/>
      <c r="AI410" s="69"/>
    </row>
    <row r="411" spans="2:35">
      <c r="B411" s="36"/>
      <c r="C411" s="29" t="s">
        <v>52</v>
      </c>
      <c r="D411" s="32">
        <v>25</v>
      </c>
      <c r="E411" s="70"/>
      <c r="F411" s="45">
        <v>40.703000000000003</v>
      </c>
      <c r="G411" s="45">
        <v>46.529200000000003</v>
      </c>
      <c r="H411" s="45">
        <v>46.6096</v>
      </c>
      <c r="I411" s="66"/>
      <c r="J411" s="66"/>
      <c r="K411" s="67"/>
      <c r="L411" s="29"/>
      <c r="M411" s="70"/>
      <c r="N411" s="45"/>
      <c r="O411" s="45"/>
      <c r="P411" s="45"/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40.703000000000003</v>
      </c>
      <c r="AE411" s="45">
        <f t="shared" si="26"/>
        <v>46.529200000000003</v>
      </c>
      <c r="AF411" s="45">
        <f t="shared" si="27"/>
        <v>46.6096</v>
      </c>
      <c r="AG411" s="45"/>
      <c r="AH411" s="66"/>
      <c r="AI411" s="67"/>
    </row>
    <row r="412" spans="2:35">
      <c r="B412" s="36"/>
      <c r="C412" s="29"/>
      <c r="D412" s="32">
        <v>30</v>
      </c>
      <c r="E412" s="70"/>
      <c r="F412" s="46">
        <v>37.921399999999998</v>
      </c>
      <c r="G412" s="46">
        <v>45.0428</v>
      </c>
      <c r="H412" s="46">
        <v>44.658900000000003</v>
      </c>
      <c r="I412" s="66"/>
      <c r="J412" s="66"/>
      <c r="K412" s="67"/>
      <c r="L412" s="29"/>
      <c r="M412" s="70"/>
      <c r="N412" s="46"/>
      <c r="O412" s="46"/>
      <c r="P412" s="46"/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37.921399999999998</v>
      </c>
      <c r="AE412" s="46">
        <f t="shared" si="26"/>
        <v>45.0428</v>
      </c>
      <c r="AF412" s="46">
        <f t="shared" si="27"/>
        <v>44.658900000000003</v>
      </c>
      <c r="AG412" s="66"/>
      <c r="AH412" s="66"/>
      <c r="AI412" s="67"/>
    </row>
    <row r="413" spans="2:35">
      <c r="B413" s="36"/>
      <c r="C413" s="29"/>
      <c r="D413" s="32">
        <v>35</v>
      </c>
      <c r="E413" s="70"/>
      <c r="F413" s="46">
        <v>35.265300000000003</v>
      </c>
      <c r="G413" s="46">
        <v>43.496299999999998</v>
      </c>
      <c r="H413" s="46">
        <v>42.712499999999999</v>
      </c>
      <c r="I413" s="66"/>
      <c r="J413" s="66"/>
      <c r="K413" s="67"/>
      <c r="L413" s="29"/>
      <c r="M413" s="70"/>
      <c r="N413" s="46"/>
      <c r="O413" s="46"/>
      <c r="P413" s="46"/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35.265300000000003</v>
      </c>
      <c r="AE413" s="46">
        <f t="shared" si="26"/>
        <v>43.496299999999998</v>
      </c>
      <c r="AF413" s="46">
        <f t="shared" si="27"/>
        <v>42.712499999999999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32.864199999999997</v>
      </c>
      <c r="G414" s="72">
        <v>42.440199999999997</v>
      </c>
      <c r="H414" s="72">
        <v>41.293300000000002</v>
      </c>
      <c r="I414" s="68"/>
      <c r="J414" s="68"/>
      <c r="K414" s="69"/>
      <c r="L414" s="29"/>
      <c r="M414" s="81"/>
      <c r="N414" s="72"/>
      <c r="O414" s="72"/>
      <c r="P414" s="72"/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32.864199999999997</v>
      </c>
      <c r="AE414" s="72">
        <f t="shared" si="26"/>
        <v>42.440199999999997</v>
      </c>
      <c r="AF414" s="72">
        <f t="shared" si="27"/>
        <v>41.293300000000002</v>
      </c>
      <c r="AG414" s="68"/>
      <c r="AH414" s="68"/>
      <c r="AI414" s="69"/>
    </row>
    <row r="415" spans="2:35">
      <c r="B415" s="36"/>
      <c r="C415" s="29" t="s">
        <v>12</v>
      </c>
      <c r="D415" s="32">
        <v>25</v>
      </c>
      <c r="E415" s="45">
        <v>6062.6224000000002</v>
      </c>
      <c r="F415" s="70"/>
      <c r="G415" s="70"/>
      <c r="H415" s="70"/>
      <c r="I415" s="45">
        <v>63653.58</v>
      </c>
      <c r="J415" s="45">
        <v>116.41</v>
      </c>
      <c r="K415" s="45">
        <v>829.51</v>
      </c>
      <c r="L415" s="29"/>
      <c r="M415" s="45">
        <v>6062.5216</v>
      </c>
      <c r="N415" s="70"/>
      <c r="O415" s="70"/>
      <c r="P415" s="70"/>
      <c r="Q415" s="45">
        <v>49478.13</v>
      </c>
      <c r="R415" s="45"/>
      <c r="S415" s="45"/>
      <c r="U415" s="8"/>
      <c r="V415" s="9"/>
      <c r="W415" s="10"/>
      <c r="X415" s="29"/>
      <c r="Y415" s="61">
        <f>GEOMEAN(Q415:Q418)/GEOMEAN(I415:I418)</f>
        <v>0.7522581738118046</v>
      </c>
      <c r="Z415" s="61" t="e">
        <f>GEOMEAN(R415:R418)/GEOMEAN(J415:J418)</f>
        <v>#NUM!</v>
      </c>
      <c r="AA415" s="57" t="e">
        <f>GEOMEAN(S415:S418)/GEOMEAN(K415:K418)</f>
        <v>#NUM!</v>
      </c>
      <c r="AB415" s="24"/>
      <c r="AC415" s="45">
        <f>E415 -M415</f>
        <v>0.10080000000016298</v>
      </c>
      <c r="AD415" s="70"/>
      <c r="AE415" s="70"/>
      <c r="AF415" s="70"/>
      <c r="AG415" s="45">
        <f t="shared" ref="AG415:AI418" si="28">I415 -Q415</f>
        <v>14175.450000000004</v>
      </c>
      <c r="AH415" s="45">
        <f t="shared" si="28"/>
        <v>116.41</v>
      </c>
      <c r="AI415" s="45">
        <f t="shared" si="28"/>
        <v>829.51</v>
      </c>
    </row>
    <row r="416" spans="2:35">
      <c r="B416" s="36"/>
      <c r="C416" s="29"/>
      <c r="D416" s="32">
        <v>30</v>
      </c>
      <c r="E416" s="46">
        <v>2802.16</v>
      </c>
      <c r="F416" s="70"/>
      <c r="G416" s="70"/>
      <c r="H416" s="70"/>
      <c r="I416" s="46">
        <v>48156.35</v>
      </c>
      <c r="J416" s="46">
        <v>114.13</v>
      </c>
      <c r="K416" s="46">
        <v>871.54</v>
      </c>
      <c r="L416" s="29"/>
      <c r="M416" s="46">
        <v>2801.9144000000001</v>
      </c>
      <c r="N416" s="70"/>
      <c r="O416" s="70"/>
      <c r="P416" s="70"/>
      <c r="Q416" s="46">
        <v>33625.31</v>
      </c>
      <c r="R416" s="46"/>
      <c r="S416" s="46"/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0.24559999999974025</v>
      </c>
      <c r="AD416" s="70"/>
      <c r="AE416" s="70"/>
      <c r="AF416" s="70"/>
      <c r="AG416" s="46">
        <f t="shared" si="28"/>
        <v>14531.04</v>
      </c>
      <c r="AH416" s="46">
        <f t="shared" si="28"/>
        <v>114.13</v>
      </c>
      <c r="AI416" s="46">
        <f t="shared" si="28"/>
        <v>871.54</v>
      </c>
    </row>
    <row r="417" spans="1:35">
      <c r="B417" s="36"/>
      <c r="C417" s="29"/>
      <c r="D417" s="32">
        <v>35</v>
      </c>
      <c r="E417" s="46">
        <v>1344.0496000000001</v>
      </c>
      <c r="F417" s="70"/>
      <c r="G417" s="70"/>
      <c r="H417" s="70"/>
      <c r="I417" s="46">
        <v>39485.17</v>
      </c>
      <c r="J417" s="46">
        <v>109.6</v>
      </c>
      <c r="K417" s="46">
        <v>871.77</v>
      </c>
      <c r="L417" s="29"/>
      <c r="M417" s="46">
        <v>1343.952</v>
      </c>
      <c r="N417" s="70"/>
      <c r="O417" s="70"/>
      <c r="P417" s="70"/>
      <c r="Q417" s="46">
        <v>30280.32</v>
      </c>
      <c r="R417" s="46"/>
      <c r="S417" s="46"/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9.7600000000056752E-2</v>
      </c>
      <c r="AD417" s="70"/>
      <c r="AE417" s="70"/>
      <c r="AF417" s="70"/>
      <c r="AG417" s="46">
        <f t="shared" si="28"/>
        <v>9204.8499999999985</v>
      </c>
      <c r="AH417" s="46">
        <f t="shared" si="28"/>
        <v>109.6</v>
      </c>
      <c r="AI417" s="46">
        <f t="shared" si="28"/>
        <v>871.77</v>
      </c>
    </row>
    <row r="418" spans="1:35" ht="12.75" thickBot="1">
      <c r="A418" s="54"/>
      <c r="B418" s="52"/>
      <c r="C418" s="53"/>
      <c r="D418" s="71">
        <v>40</v>
      </c>
      <c r="E418" s="72">
        <v>644.91279999999995</v>
      </c>
      <c r="F418" s="81"/>
      <c r="G418" s="81"/>
      <c r="H418" s="81"/>
      <c r="I418" s="72">
        <v>33465.01</v>
      </c>
      <c r="J418" s="72">
        <v>105.57</v>
      </c>
      <c r="K418" s="72">
        <v>870.83</v>
      </c>
      <c r="L418" s="29"/>
      <c r="M418" s="72">
        <v>644.93439999999998</v>
      </c>
      <c r="N418" s="81"/>
      <c r="O418" s="81"/>
      <c r="P418" s="81"/>
      <c r="Q418" s="72">
        <v>25747.14</v>
      </c>
      <c r="R418" s="72"/>
      <c r="S418" s="72"/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-2.1600000000034925E-2</v>
      </c>
      <c r="AD418" s="81"/>
      <c r="AE418" s="81"/>
      <c r="AF418" s="81"/>
      <c r="AG418" s="72">
        <f t="shared" si="28"/>
        <v>7717.8700000000026</v>
      </c>
      <c r="AH418" s="72">
        <f t="shared" si="28"/>
        <v>105.57</v>
      </c>
      <c r="AI418" s="72">
        <f t="shared" si="28"/>
        <v>870.83</v>
      </c>
    </row>
    <row r="419" spans="1:35" ht="12.75" thickBot="1">
      <c r="AB419" s="24"/>
    </row>
    <row r="420" spans="1:35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19743.169197976826</v>
      </c>
      <c r="J420" s="37">
        <f>GEOMEAN(J51:J54,J103:J106,J155:J158)</f>
        <v>42.880315169710791</v>
      </c>
      <c r="K420" s="39">
        <f>GEOMEAN(K51:K54,K103:K106,K155:K158)</f>
        <v>334.03650680390359</v>
      </c>
      <c r="M420" s="35"/>
      <c r="N420" s="22"/>
      <c r="O420" s="22"/>
      <c r="P420" s="22"/>
      <c r="Q420" s="37">
        <f>GEOMEAN(Q51:Q54,Q103:Q106,Q155:Q158)</f>
        <v>17093.553514160729</v>
      </c>
      <c r="R420" s="37">
        <f>GEOMEAN(R51:R54,R103:R106,R155:R158)</f>
        <v>44.845351147456114</v>
      </c>
      <c r="S420" s="39">
        <f>GEOMEAN(S51:S54,S103:S106,S155:S158)</f>
        <v>320.65144446985556</v>
      </c>
      <c r="AA420" s="20" t="s">
        <v>63</v>
      </c>
      <c r="AB420" s="35">
        <f>SUM(AD420:AI420)</f>
        <v>229312.8659</v>
      </c>
      <c r="AC420" s="35">
        <f t="array" ref="AC420">SUM(ABS(AC3:AC418))</f>
        <v>7.4980000000006726</v>
      </c>
      <c r="AD420" s="35">
        <f t="array" ref="AD420">SUM(ABS(AD3:AD418))</f>
        <v>7249.4232000000075</v>
      </c>
      <c r="AE420" s="35">
        <f t="array" ref="AE420">SUM(ABS(AE3:AE418))</f>
        <v>8561.3158999999978</v>
      </c>
      <c r="AF420" s="35">
        <f t="array" ref="AF420">SUM(ABS(AF3:AF418))</f>
        <v>8483.4568000000017</v>
      </c>
      <c r="AG420" s="35">
        <f t="array" ref="AG420">SUM(ABS(AG3:AG418))</f>
        <v>188380.51</v>
      </c>
      <c r="AH420" s="35">
        <f t="array" ref="AH420">SUM(ABS(AH3:AH418))</f>
        <v>1478.5700000000004</v>
      </c>
      <c r="AI420" s="35">
        <f t="array" ref="AI420">SUM(ABS(AI3:AI418))</f>
        <v>15159.589999999998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31754.014490771671</v>
      </c>
      <c r="J421" s="38">
        <f>GEOMEAN(J207:J210,J259:J262,J311:J314,J363:J366)</f>
        <v>83.610802755041817</v>
      </c>
      <c r="K421" s="40">
        <f>GEOMEAN(K207:K210,K259:K262,K311:K314,K363:K366)</f>
        <v>689.39904748832078</v>
      </c>
      <c r="M421" s="36"/>
      <c r="N421" s="24"/>
      <c r="O421" s="24"/>
      <c r="P421" s="24"/>
      <c r="Q421" s="38">
        <f>GEOMEAN(Q207:Q210,Q259:Q262,Q311:Q314,Q363:Q366)</f>
        <v>26375.597480690085</v>
      </c>
      <c r="R421" s="38">
        <f>GEOMEAN(R207:R210,R259:R262,R311:R314,R363:R366)</f>
        <v>75.387130333573396</v>
      </c>
      <c r="S421" s="40" t="e">
        <f>GEOMEAN(S207:S210,S259:S262,S311:S314,S363:S366)</f>
        <v>#NUM!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.75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25902.95482369851</v>
      </c>
      <c r="J422" s="73">
        <f>GEOMEAN(J51:J54,J103:J106,J155:J158,J207:J210,J259:J262,J311:J314,J363:J366)</f>
        <v>62.802189167287786</v>
      </c>
      <c r="K422" s="74">
        <f>GEOMEAN(K51:K54,K103:K106,K155:K158,K207:K210,K259:K262,K311:K314,K363:K366)</f>
        <v>505.36971961137374</v>
      </c>
      <c r="M422" s="52"/>
      <c r="N422" s="49"/>
      <c r="O422" s="49"/>
      <c r="P422" s="49"/>
      <c r="Q422" s="73">
        <f>GEOMEAN(Q51:Q54,Q103:Q106,Q155:Q158,Q207:Q210,Q259:Q262,Q311:Q314,Q363:Q366)</f>
        <v>21901.422721681196</v>
      </c>
      <c r="R422" s="73">
        <f>GEOMEAN(R51:R54,R103:R106,R155:R158,R207:R210,R259:R262,R311:R314,R363:R366)</f>
        <v>55.201304649471489</v>
      </c>
      <c r="S422" s="74">
        <f>GEOMEAN(S51:S54,S103:S106,S155:S158,S207:S210,S259:S262,S311:S314,S363:S366)</f>
        <v>320.65144446985556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0.86579582754689577</v>
      </c>
      <c r="R423" s="47">
        <f t="shared" si="29"/>
        <v>1.0458260619113491</v>
      </c>
      <c r="S423" s="48">
        <f t="shared" si="29"/>
        <v>0.95992934286698861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0.83062245526011658</v>
      </c>
      <c r="R424" s="47">
        <f t="shared" si="29"/>
        <v>0.90164342225535532</v>
      </c>
      <c r="S424" s="48" t="e">
        <f t="shared" si="29"/>
        <v>#NUM!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.75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0.84551831521721499</v>
      </c>
      <c r="R425" s="50">
        <f t="shared" si="29"/>
        <v>0.87897102603271315</v>
      </c>
      <c r="S425" s="51">
        <f t="shared" si="29"/>
        <v>0.63448883466234307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.75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1148.684</v>
      </c>
      <c r="F430" s="78">
        <f t="shared" ref="F430:H433" si="30">AVERAGE(F3,F7)</f>
        <v>42.661099999999998</v>
      </c>
      <c r="G430" s="78">
        <f t="shared" si="30"/>
        <v>43.253299999999996</v>
      </c>
      <c r="H430" s="78">
        <f t="shared" si="30"/>
        <v>43.547049999999999</v>
      </c>
      <c r="I430" s="79"/>
      <c r="J430" s="79"/>
      <c r="K430" s="80"/>
      <c r="L430" s="29"/>
      <c r="M430" s="82">
        <f>M3+M7</f>
        <v>1148.684</v>
      </c>
      <c r="N430" s="78">
        <f t="shared" ref="N430:P433" si="31">AVERAGE(N3,N7)</f>
        <v>42.661099999999998</v>
      </c>
      <c r="O430" s="78">
        <f t="shared" si="31"/>
        <v>43.253299999999996</v>
      </c>
      <c r="P430" s="78">
        <f t="shared" si="31"/>
        <v>43.547049999999999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35">
      <c r="A431" s="24"/>
      <c r="B431" s="29"/>
      <c r="C431" s="29"/>
      <c r="D431" s="32">
        <v>30</v>
      </c>
      <c r="E431" s="70">
        <f>E4+E8</f>
        <v>605.05039999999997</v>
      </c>
      <c r="F431" s="70">
        <f t="shared" si="30"/>
        <v>40.481999999999999</v>
      </c>
      <c r="G431" s="70">
        <f t="shared" si="30"/>
        <v>41.982950000000002</v>
      </c>
      <c r="H431" s="70">
        <f t="shared" si="30"/>
        <v>41.929699999999997</v>
      </c>
      <c r="I431" s="66"/>
      <c r="J431" s="66"/>
      <c r="K431" s="67"/>
      <c r="L431" s="29"/>
      <c r="M431" s="83">
        <f>M4+M8</f>
        <v>605.05039999999997</v>
      </c>
      <c r="N431" s="70">
        <f t="shared" si="31"/>
        <v>40.481999999999999</v>
      </c>
      <c r="O431" s="70">
        <f t="shared" si="31"/>
        <v>41.982950000000002</v>
      </c>
      <c r="P431" s="70">
        <f t="shared" si="31"/>
        <v>41.929699999999997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>
      <c r="A432" s="24"/>
      <c r="B432" s="29"/>
      <c r="C432" s="29"/>
      <c r="D432" s="32">
        <v>35</v>
      </c>
      <c r="E432" s="70">
        <f>E5+E9</f>
        <v>341.80160000000001</v>
      </c>
      <c r="F432" s="70">
        <f t="shared" si="30"/>
        <v>37.886600000000001</v>
      </c>
      <c r="G432" s="70">
        <f t="shared" si="30"/>
        <v>40.59975</v>
      </c>
      <c r="H432" s="70">
        <f t="shared" si="30"/>
        <v>40.280699999999996</v>
      </c>
      <c r="I432" s="66"/>
      <c r="J432" s="66"/>
      <c r="K432" s="67"/>
      <c r="L432" s="29"/>
      <c r="M432" s="83">
        <f>M5+M9</f>
        <v>341.80160000000001</v>
      </c>
      <c r="N432" s="70">
        <f t="shared" si="31"/>
        <v>37.886600000000001</v>
      </c>
      <c r="O432" s="70">
        <f t="shared" si="31"/>
        <v>40.59975</v>
      </c>
      <c r="P432" s="70">
        <f t="shared" si="31"/>
        <v>40.280699999999996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201.61599999999999</v>
      </c>
      <c r="F433" s="81">
        <f t="shared" si="30"/>
        <v>35.109899999999996</v>
      </c>
      <c r="G433" s="81">
        <f t="shared" si="30"/>
        <v>39.508250000000004</v>
      </c>
      <c r="H433" s="81">
        <f t="shared" si="30"/>
        <v>39.003100000000003</v>
      </c>
      <c r="I433" s="68"/>
      <c r="J433" s="68"/>
      <c r="K433" s="69"/>
      <c r="L433" s="29"/>
      <c r="M433" s="84">
        <f>M6+M10</f>
        <v>201.61599999999999</v>
      </c>
      <c r="N433" s="81">
        <f t="shared" si="31"/>
        <v>35.109899999999996</v>
      </c>
      <c r="O433" s="81">
        <f t="shared" si="31"/>
        <v>39.508250000000004</v>
      </c>
      <c r="P433" s="81">
        <f t="shared" si="31"/>
        <v>39.003100000000003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8">
        <f>E3+E7+E11</f>
        <v>1448.6823999999999</v>
      </c>
      <c r="F434" s="78">
        <f t="shared" ref="F434:H437" si="32">AVERAGE(F3,F7,F11)</f>
        <v>42.409233333333333</v>
      </c>
      <c r="G434" s="78">
        <f t="shared" si="32"/>
        <v>43.017333333333333</v>
      </c>
      <c r="H434" s="78">
        <f t="shared" si="32"/>
        <v>43.319099999999999</v>
      </c>
      <c r="I434" s="79"/>
      <c r="J434" s="79"/>
      <c r="K434" s="80"/>
      <c r="L434" s="29"/>
      <c r="M434" s="78">
        <f>M3+M7+M11</f>
        <v>1448.7112</v>
      </c>
      <c r="N434" s="78">
        <f t="shared" ref="N434:P437" si="33">AVERAGE(N3,N7,N11)</f>
        <v>42.409233333333333</v>
      </c>
      <c r="O434" s="78">
        <f t="shared" si="33"/>
        <v>43.017733333333332</v>
      </c>
      <c r="P434" s="78">
        <f t="shared" si="33"/>
        <v>43.318933333333327</v>
      </c>
      <c r="Q434" s="79"/>
      <c r="R434" s="79"/>
      <c r="S434" s="80"/>
      <c r="U434" s="8">
        <f>bdrate($E434:$E437,F434:F437,$M434:$M437,N434:N437)</f>
        <v>-2.3452102723808821E-5</v>
      </c>
      <c r="V434" s="9">
        <f>bdrate($E434:$E437,G434:G437,$M434:$M437,O434:O437)</f>
        <v>-5.1894945342412235E-5</v>
      </c>
      <c r="W434" s="10">
        <f>bdrate($E434:$E437,H434:H437,$M434:$M437,P434:P437)</f>
        <v>-4.2043317431961214E-5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70">
        <f>E4+E8+E12</f>
        <v>741.08320000000003</v>
      </c>
      <c r="F435" s="70">
        <f t="shared" si="32"/>
        <v>40.211866666666666</v>
      </c>
      <c r="G435" s="70">
        <f t="shared" si="32"/>
        <v>41.728400000000001</v>
      </c>
      <c r="H435" s="70">
        <f t="shared" si="32"/>
        <v>41.721799999999995</v>
      </c>
      <c r="I435" s="66"/>
      <c r="J435" s="66"/>
      <c r="K435" s="67"/>
      <c r="L435" s="29"/>
      <c r="M435" s="70">
        <f>M4+M8+M12</f>
        <v>741.13279999999997</v>
      </c>
      <c r="N435" s="70">
        <f t="shared" si="33"/>
        <v>40.212033333333331</v>
      </c>
      <c r="O435" s="70">
        <f t="shared" si="33"/>
        <v>41.728533333333338</v>
      </c>
      <c r="P435" s="70">
        <f t="shared" si="33"/>
        <v>41.722133333333332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70">
        <f>E5+E9+E13</f>
        <v>412.67920000000004</v>
      </c>
      <c r="F436" s="70">
        <f t="shared" si="32"/>
        <v>37.62746666666667</v>
      </c>
      <c r="G436" s="70">
        <f t="shared" si="32"/>
        <v>40.421700000000001</v>
      </c>
      <c r="H436" s="70">
        <f t="shared" si="32"/>
        <v>40.138233333333325</v>
      </c>
      <c r="I436" s="66"/>
      <c r="J436" s="66"/>
      <c r="K436" s="67"/>
      <c r="L436" s="29"/>
      <c r="M436" s="70">
        <f>M5+M9+M13</f>
        <v>412.64879999999999</v>
      </c>
      <c r="N436" s="70">
        <f t="shared" si="33"/>
        <v>37.627233333333329</v>
      </c>
      <c r="O436" s="70">
        <f t="shared" si="33"/>
        <v>40.421900000000001</v>
      </c>
      <c r="P436" s="70">
        <f t="shared" si="33"/>
        <v>40.138199999999998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239.38399999999999</v>
      </c>
      <c r="F437" s="81">
        <f t="shared" si="32"/>
        <v>34.874333333333333</v>
      </c>
      <c r="G437" s="81">
        <f t="shared" si="32"/>
        <v>39.337666666666671</v>
      </c>
      <c r="H437" s="81">
        <f t="shared" si="32"/>
        <v>38.869</v>
      </c>
      <c r="I437" s="68"/>
      <c r="J437" s="68"/>
      <c r="K437" s="69"/>
      <c r="L437" s="29"/>
      <c r="M437" s="81">
        <f>M6+M10+M14</f>
        <v>239.31439999999998</v>
      </c>
      <c r="N437" s="81">
        <f t="shared" si="33"/>
        <v>34.873666666666665</v>
      </c>
      <c r="O437" s="81">
        <f t="shared" si="33"/>
        <v>39.336533333333335</v>
      </c>
      <c r="P437" s="81">
        <f t="shared" si="33"/>
        <v>38.868533333333339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82">
        <f>E3+E7+E15+E19</f>
        <v>1351.1487999999999</v>
      </c>
      <c r="F438" s="78">
        <f t="shared" ref="F438:H441" si="34">AVERAGE(F27,F31,F35)</f>
        <v>42.7712</v>
      </c>
      <c r="G438" s="78">
        <f t="shared" si="34"/>
        <v>45.638766666666669</v>
      </c>
      <c r="H438" s="78">
        <f t="shared" si="34"/>
        <v>45.508000000000003</v>
      </c>
      <c r="I438" s="79"/>
      <c r="J438" s="79"/>
      <c r="K438" s="80"/>
      <c r="L438" s="29"/>
      <c r="M438" s="82">
        <f>M3+M7+M15+M19</f>
        <v>1351.1487999999999</v>
      </c>
      <c r="N438" s="78" t="e">
        <f t="shared" ref="N438:P441" si="35">AVERAGE(N27,N31,N35)</f>
        <v>#DIV/0!</v>
      </c>
      <c r="O438" s="78" t="e">
        <f t="shared" si="35"/>
        <v>#DIV/0!</v>
      </c>
      <c r="P438" s="78" t="e">
        <f t="shared" si="35"/>
        <v>#DIV/0!</v>
      </c>
      <c r="Q438" s="79"/>
      <c r="R438" s="79"/>
      <c r="S438" s="80"/>
      <c r="U438" s="8" t="e">
        <f>bdrate($E438:$E441,F438:F441,$M438:$M441,N438:N441)</f>
        <v>#VALUE!</v>
      </c>
      <c r="V438" s="9" t="e">
        <f>bdrate($E438:$E441,G438:G441,$M438:$M441,O438:O441)</f>
        <v>#VALUE!</v>
      </c>
      <c r="W438" s="10" t="e">
        <f>bdrate($E438:$E441,H438:H441,$M438:$M441,P438:P441)</f>
        <v>#VALUE!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3">
        <f>E4+E8+E16+E20</f>
        <v>671.83680000000004</v>
      </c>
      <c r="F439" s="70">
        <f t="shared" si="34"/>
        <v>40.556966666666661</v>
      </c>
      <c r="G439" s="70">
        <f t="shared" si="34"/>
        <v>43.972800000000007</v>
      </c>
      <c r="H439" s="70">
        <f t="shared" si="34"/>
        <v>43.502199999999995</v>
      </c>
      <c r="I439" s="66"/>
      <c r="J439" s="66"/>
      <c r="K439" s="67"/>
      <c r="L439" s="29"/>
      <c r="M439" s="83">
        <f>M4+M8+M16+M20</f>
        <v>671.83680000000004</v>
      </c>
      <c r="N439" s="70" t="e">
        <f t="shared" si="35"/>
        <v>#DIV/0!</v>
      </c>
      <c r="O439" s="70" t="e">
        <f t="shared" si="35"/>
        <v>#DIV/0!</v>
      </c>
      <c r="P439" s="70" t="e">
        <f t="shared" si="35"/>
        <v>#DIV/0!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3">
        <f>E5+E9+E17+E21</f>
        <v>370.68640000000005</v>
      </c>
      <c r="F440" s="70">
        <f t="shared" si="34"/>
        <v>38.011366666666667</v>
      </c>
      <c r="G440" s="70">
        <f t="shared" si="34"/>
        <v>42.182366666666667</v>
      </c>
      <c r="H440" s="70">
        <f t="shared" si="34"/>
        <v>41.516866666666665</v>
      </c>
      <c r="I440" s="66"/>
      <c r="J440" s="66"/>
      <c r="K440" s="67"/>
      <c r="L440" s="29"/>
      <c r="M440" s="83">
        <f>M5+M9+M17+M21</f>
        <v>370.68640000000005</v>
      </c>
      <c r="N440" s="70" t="e">
        <f t="shared" si="35"/>
        <v>#DIV/0!</v>
      </c>
      <c r="O440" s="70" t="e">
        <f t="shared" si="35"/>
        <v>#DIV/0!</v>
      </c>
      <c r="P440" s="70" t="e">
        <f t="shared" si="35"/>
        <v>#DIV/0!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215.8416</v>
      </c>
      <c r="F441" s="81">
        <f t="shared" si="34"/>
        <v>35.246233333333329</v>
      </c>
      <c r="G441" s="81">
        <f t="shared" si="34"/>
        <v>40.818733333333334</v>
      </c>
      <c r="H441" s="81">
        <f t="shared" si="34"/>
        <v>40.005499999999998</v>
      </c>
      <c r="I441" s="68"/>
      <c r="J441" s="68"/>
      <c r="K441" s="69"/>
      <c r="L441" s="29"/>
      <c r="M441" s="84">
        <f>M6+M10+M18+M22</f>
        <v>215.8416</v>
      </c>
      <c r="N441" s="81" t="e">
        <f t="shared" si="35"/>
        <v>#DIV/0!</v>
      </c>
      <c r="O441" s="81" t="e">
        <f t="shared" si="35"/>
        <v>#DIV/0!</v>
      </c>
      <c r="P441" s="81" t="e">
        <f t="shared" si="35"/>
        <v>#DIV/0!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8">
        <f>E51</f>
        <v>1753.1296</v>
      </c>
      <c r="F442" s="78">
        <f t="shared" ref="F442:H445" si="36">AVERAGE(F27,F31,F35,F39,F43,F47)</f>
        <v>42.688066666666678</v>
      </c>
      <c r="G442" s="78">
        <f t="shared" si="36"/>
        <v>45.590033333333338</v>
      </c>
      <c r="H442" s="78">
        <f t="shared" si="36"/>
        <v>45.456583333333334</v>
      </c>
      <c r="I442" s="79"/>
      <c r="J442" s="79"/>
      <c r="K442" s="80"/>
      <c r="L442" s="29"/>
      <c r="M442" s="78">
        <f>M51</f>
        <v>1752.9312</v>
      </c>
      <c r="N442" s="78" t="e">
        <f t="shared" ref="N442:P445" si="37">AVERAGE(N27,N31,N35,N39,N43,N47)</f>
        <v>#DIV/0!</v>
      </c>
      <c r="O442" s="78" t="e">
        <f t="shared" si="37"/>
        <v>#DIV/0!</v>
      </c>
      <c r="P442" s="78" t="e">
        <f t="shared" si="37"/>
        <v>#DIV/0!</v>
      </c>
      <c r="Q442" s="79"/>
      <c r="R442" s="79"/>
      <c r="S442" s="80"/>
      <c r="U442" s="8" t="e">
        <f>bdrate($E442:$E445,F442:F445,$M442:$M445,N442:N445)</f>
        <v>#VALUE!</v>
      </c>
      <c r="V442" s="9" t="e">
        <f>bdrate($E442:$E445,G442:G445,$M442:$M445,O442:O445)</f>
        <v>#VALUE!</v>
      </c>
      <c r="W442" s="10" t="e">
        <f>bdrate($E442:$E445,H442:H445,$M442:$M445,P442:P445)</f>
        <v>#VALUE!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70">
        <f>E52</f>
        <v>844.6952</v>
      </c>
      <c r="F443" s="70">
        <f t="shared" si="36"/>
        <v>40.49113333333333</v>
      </c>
      <c r="G443" s="70">
        <f t="shared" si="36"/>
        <v>43.916216666666664</v>
      </c>
      <c r="H443" s="70">
        <f t="shared" si="36"/>
        <v>43.453300000000006</v>
      </c>
      <c r="I443" s="66"/>
      <c r="J443" s="66"/>
      <c r="K443" s="67"/>
      <c r="L443" s="29"/>
      <c r="M443" s="70">
        <f>M52</f>
        <v>844.70719999999994</v>
      </c>
      <c r="N443" s="70" t="e">
        <f t="shared" si="37"/>
        <v>#DIV/0!</v>
      </c>
      <c r="O443" s="70" t="e">
        <f t="shared" si="37"/>
        <v>#DIV/0!</v>
      </c>
      <c r="P443" s="70" t="e">
        <f t="shared" si="37"/>
        <v>#DIV/0!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70">
        <f>E53</f>
        <v>460.67360000000002</v>
      </c>
      <c r="F444" s="70">
        <f t="shared" si="36"/>
        <v>37.954533333333337</v>
      </c>
      <c r="G444" s="70">
        <f t="shared" si="36"/>
        <v>42.140500000000003</v>
      </c>
      <c r="H444" s="70">
        <f t="shared" si="36"/>
        <v>41.466866666666668</v>
      </c>
      <c r="I444" s="66"/>
      <c r="J444" s="66"/>
      <c r="K444" s="67"/>
      <c r="L444" s="29"/>
      <c r="M444" s="70">
        <f>M53</f>
        <v>460.68560000000002</v>
      </c>
      <c r="N444" s="70" t="e">
        <f t="shared" si="37"/>
        <v>#DIV/0!</v>
      </c>
      <c r="O444" s="70" t="e">
        <f t="shared" si="37"/>
        <v>#DIV/0!</v>
      </c>
      <c r="P444" s="70" t="e">
        <f t="shared" si="37"/>
        <v>#DIV/0!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265.7192</v>
      </c>
      <c r="F445" s="81">
        <f t="shared" si="36"/>
        <v>35.190816666666663</v>
      </c>
      <c r="G445" s="81">
        <f t="shared" si="36"/>
        <v>40.791316666666667</v>
      </c>
      <c r="H445" s="81">
        <f t="shared" si="36"/>
        <v>39.948349999999998</v>
      </c>
      <c r="I445" s="68"/>
      <c r="J445" s="68"/>
      <c r="K445" s="69"/>
      <c r="L445" s="29"/>
      <c r="M445" s="81">
        <f>M54</f>
        <v>265.64</v>
      </c>
      <c r="N445" s="81" t="e">
        <f t="shared" si="37"/>
        <v>#DIV/0!</v>
      </c>
      <c r="O445" s="81" t="e">
        <f t="shared" si="37"/>
        <v>#DIV/0!</v>
      </c>
      <c r="P445" s="81" t="e">
        <f t="shared" si="37"/>
        <v>#DIV/0!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>
      <c r="B446" s="29"/>
      <c r="C446" s="28" t="s">
        <v>40</v>
      </c>
      <c r="D446" s="31">
        <v>25</v>
      </c>
      <c r="E446" s="78">
        <f t="shared" ref="E446:E453" si="38">E438</f>
        <v>1351.1487999999999</v>
      </c>
      <c r="F446" s="78">
        <f t="shared" ref="F446:H449" si="39">AVERAGE(F3,F7,F27,F31,F35)</f>
        <v>42.727159999999998</v>
      </c>
      <c r="G446" s="78">
        <f t="shared" si="39"/>
        <v>44.684579999999997</v>
      </c>
      <c r="H446" s="78">
        <f t="shared" si="39"/>
        <v>44.723620000000004</v>
      </c>
      <c r="I446" s="79"/>
      <c r="J446" s="79"/>
      <c r="K446" s="80"/>
      <c r="L446" s="29"/>
      <c r="M446" s="78">
        <f t="shared" ref="M446:M453" si="40">M438</f>
        <v>1351.1487999999999</v>
      </c>
      <c r="N446" s="78">
        <f t="shared" ref="N446:P449" si="41">AVERAGE(N3,N7,N27,N31,N35)</f>
        <v>42.661099999999998</v>
      </c>
      <c r="O446" s="78">
        <f t="shared" si="41"/>
        <v>43.253299999999996</v>
      </c>
      <c r="P446" s="78">
        <f t="shared" si="41"/>
        <v>43.547049999999999</v>
      </c>
      <c r="Q446" s="79"/>
      <c r="R446" s="79"/>
      <c r="S446" s="80"/>
      <c r="U446" s="8">
        <f>bdrate($E446:$E449,F446:F449,$M446:$M449,N446:N449)</f>
        <v>1.5356909430419785E-2</v>
      </c>
      <c r="V446" s="9">
        <f>bdrate($E446:$E449,G446:G449,$M446:$M449,O446:O449)</f>
        <v>0.58980865077056155</v>
      </c>
      <c r="W446" s="10">
        <f>bdrate($E446:$E449,H446:H449,$M446:$M449,P446:P449)</f>
        <v>0.37291189537070135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70">
        <f t="shared" si="38"/>
        <v>671.83680000000004</v>
      </c>
      <c r="F447" s="70">
        <f t="shared" si="39"/>
        <v>40.526979999999995</v>
      </c>
      <c r="G447" s="70">
        <f t="shared" si="39"/>
        <v>43.176859999999998</v>
      </c>
      <c r="H447" s="70">
        <f t="shared" si="39"/>
        <v>42.873199999999997</v>
      </c>
      <c r="I447" s="66"/>
      <c r="J447" s="66"/>
      <c r="K447" s="67"/>
      <c r="L447" s="29"/>
      <c r="M447" s="70">
        <f t="shared" si="40"/>
        <v>671.83680000000004</v>
      </c>
      <c r="N447" s="70">
        <f t="shared" si="41"/>
        <v>40.481999999999999</v>
      </c>
      <c r="O447" s="70">
        <f t="shared" si="41"/>
        <v>41.982950000000002</v>
      </c>
      <c r="P447" s="70">
        <f t="shared" si="41"/>
        <v>41.929699999999997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70">
        <f t="shared" si="38"/>
        <v>370.68640000000005</v>
      </c>
      <c r="F448" s="70">
        <f t="shared" si="39"/>
        <v>37.961460000000002</v>
      </c>
      <c r="G448" s="70">
        <f t="shared" si="39"/>
        <v>41.549320000000002</v>
      </c>
      <c r="H448" s="70">
        <f t="shared" si="39"/>
        <v>41.022400000000005</v>
      </c>
      <c r="I448" s="66"/>
      <c r="J448" s="66"/>
      <c r="K448" s="67"/>
      <c r="L448" s="29"/>
      <c r="M448" s="70">
        <f t="shared" si="40"/>
        <v>370.68640000000005</v>
      </c>
      <c r="N448" s="70">
        <f t="shared" si="41"/>
        <v>37.886600000000001</v>
      </c>
      <c r="O448" s="70">
        <f t="shared" si="41"/>
        <v>40.59975</v>
      </c>
      <c r="P448" s="70">
        <f t="shared" si="41"/>
        <v>40.280699999999996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215.8416</v>
      </c>
      <c r="F449" s="81">
        <f t="shared" si="39"/>
        <v>35.191699999999997</v>
      </c>
      <c r="G449" s="81">
        <f t="shared" si="39"/>
        <v>40.294539999999998</v>
      </c>
      <c r="H449" s="81">
        <f t="shared" si="39"/>
        <v>39.60454</v>
      </c>
      <c r="I449" s="68"/>
      <c r="J449" s="68"/>
      <c r="K449" s="69"/>
      <c r="L449" s="29"/>
      <c r="M449" s="81">
        <f t="shared" si="40"/>
        <v>215.8416</v>
      </c>
      <c r="N449" s="81">
        <f t="shared" si="41"/>
        <v>35.109899999999996</v>
      </c>
      <c r="O449" s="81">
        <f t="shared" si="41"/>
        <v>39.508250000000004</v>
      </c>
      <c r="P449" s="81">
        <f t="shared" si="41"/>
        <v>39.003100000000003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8">
        <f t="shared" si="38"/>
        <v>1753.1296</v>
      </c>
      <c r="F450" s="78">
        <f t="shared" ref="F450:H453" si="42">AVERAGE(F3,F7,F11,F27,F31,F35,F39,F43,F47)</f>
        <v>42.595122222222216</v>
      </c>
      <c r="G450" s="78">
        <f t="shared" si="42"/>
        <v>44.732466666666667</v>
      </c>
      <c r="H450" s="78">
        <f t="shared" si="42"/>
        <v>44.744088888888889</v>
      </c>
      <c r="I450" s="79"/>
      <c r="J450" s="79"/>
      <c r="K450" s="80"/>
      <c r="L450" s="29"/>
      <c r="M450" s="78">
        <f t="shared" si="40"/>
        <v>1752.9312</v>
      </c>
      <c r="N450" s="78">
        <f t="shared" ref="N450:P453" si="43">AVERAGE(N3,N7,N11,N27,N31,N35,N39,N43,N47)</f>
        <v>42.409233333333333</v>
      </c>
      <c r="O450" s="78">
        <f t="shared" si="43"/>
        <v>43.017733333333332</v>
      </c>
      <c r="P450" s="78">
        <f t="shared" si="43"/>
        <v>43.318933333333327</v>
      </c>
      <c r="Q450" s="79"/>
      <c r="R450" s="79"/>
      <c r="S450" s="80"/>
      <c r="U450" s="8">
        <f>bdrate($E450:$E453,F450:F453,$M450:$M453,N450:N453)</f>
        <v>5.132379269259113E-2</v>
      </c>
      <c r="V450" s="9">
        <f>bdrate($E450:$E453,G450:G453,$M450:$M453,O450:O453)</f>
        <v>0.78754573654540438</v>
      </c>
      <c r="W450" s="10">
        <f>bdrate($E450:$E453,H450:H453,$M450:$M453,P450:P453)</f>
        <v>0.48332581699035626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70">
        <f t="shared" si="38"/>
        <v>844.6952</v>
      </c>
      <c r="F451" s="70">
        <f t="shared" si="42"/>
        <v>40.398044444444444</v>
      </c>
      <c r="G451" s="70">
        <f t="shared" si="42"/>
        <v>43.186944444444435</v>
      </c>
      <c r="H451" s="70">
        <f t="shared" si="42"/>
        <v>42.876133333333335</v>
      </c>
      <c r="I451" s="66"/>
      <c r="J451" s="66"/>
      <c r="K451" s="67"/>
      <c r="L451" s="29"/>
      <c r="M451" s="70">
        <f t="shared" si="40"/>
        <v>844.70719999999994</v>
      </c>
      <c r="N451" s="70">
        <f t="shared" si="43"/>
        <v>40.212033333333331</v>
      </c>
      <c r="O451" s="70">
        <f t="shared" si="43"/>
        <v>41.728533333333338</v>
      </c>
      <c r="P451" s="70">
        <f t="shared" si="43"/>
        <v>41.722133333333332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70">
        <f t="shared" si="38"/>
        <v>460.67360000000002</v>
      </c>
      <c r="F452" s="70">
        <f t="shared" si="42"/>
        <v>37.845511111111108</v>
      </c>
      <c r="G452" s="70">
        <f t="shared" si="42"/>
        <v>41.567566666666671</v>
      </c>
      <c r="H452" s="70">
        <f t="shared" si="42"/>
        <v>41.023988888888887</v>
      </c>
      <c r="I452" s="66"/>
      <c r="J452" s="66"/>
      <c r="K452" s="67"/>
      <c r="L452" s="29"/>
      <c r="M452" s="70">
        <f t="shared" si="40"/>
        <v>460.68560000000002</v>
      </c>
      <c r="N452" s="70">
        <f t="shared" si="43"/>
        <v>37.627233333333329</v>
      </c>
      <c r="O452" s="70">
        <f t="shared" si="43"/>
        <v>40.421900000000001</v>
      </c>
      <c r="P452" s="70">
        <f t="shared" si="43"/>
        <v>40.138199999999998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265.7192</v>
      </c>
      <c r="F453" s="81">
        <f t="shared" si="42"/>
        <v>35.085322222222224</v>
      </c>
      <c r="G453" s="81">
        <f t="shared" si="42"/>
        <v>40.306766666666668</v>
      </c>
      <c r="H453" s="81">
        <f t="shared" si="42"/>
        <v>39.588566666666665</v>
      </c>
      <c r="I453" s="68"/>
      <c r="J453" s="68"/>
      <c r="K453" s="69"/>
      <c r="L453" s="29"/>
      <c r="M453" s="81">
        <f t="shared" si="40"/>
        <v>265.64</v>
      </c>
      <c r="N453" s="81">
        <f t="shared" si="43"/>
        <v>34.873666666666665</v>
      </c>
      <c r="O453" s="81">
        <f t="shared" si="43"/>
        <v>39.336533333333335</v>
      </c>
      <c r="P453" s="81">
        <f t="shared" si="43"/>
        <v>38.868533333333339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8">
        <f>E55+E59</f>
        <v>1120.7464</v>
      </c>
      <c r="F454" s="78">
        <f t="shared" ref="F454:H457" si="44">AVERAGE(F55,F59)</f>
        <v>43.146900000000002</v>
      </c>
      <c r="G454" s="78">
        <f t="shared" si="44"/>
        <v>44.852600000000002</v>
      </c>
      <c r="H454" s="78">
        <f t="shared" si="44"/>
        <v>44.541849999999997</v>
      </c>
      <c r="I454" s="79"/>
      <c r="J454" s="79"/>
      <c r="K454" s="80"/>
      <c r="L454" s="29"/>
      <c r="M454" s="78">
        <f>M55+M59</f>
        <v>1120.7464</v>
      </c>
      <c r="N454" s="78">
        <f t="shared" ref="N454:P457" si="45">AVERAGE(N55,N59)</f>
        <v>43.146900000000002</v>
      </c>
      <c r="O454" s="78">
        <f t="shared" si="45"/>
        <v>44.852600000000002</v>
      </c>
      <c r="P454" s="78">
        <f t="shared" si="45"/>
        <v>44.541849999999997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70">
        <f>E56+E60</f>
        <v>573.94960000000003</v>
      </c>
      <c r="F455" s="70">
        <f t="shared" si="44"/>
        <v>40.896149999999999</v>
      </c>
      <c r="G455" s="70">
        <f t="shared" si="44"/>
        <v>43.960800000000006</v>
      </c>
      <c r="H455" s="70">
        <f t="shared" si="44"/>
        <v>43.046399999999998</v>
      </c>
      <c r="I455" s="66"/>
      <c r="J455" s="66"/>
      <c r="K455" s="67"/>
      <c r="L455" s="29"/>
      <c r="M455" s="70">
        <f>M56+M60</f>
        <v>573.94960000000003</v>
      </c>
      <c r="N455" s="70">
        <f t="shared" si="45"/>
        <v>40.896149999999999</v>
      </c>
      <c r="O455" s="70">
        <f t="shared" si="45"/>
        <v>43.960800000000006</v>
      </c>
      <c r="P455" s="70">
        <f t="shared" si="45"/>
        <v>43.046399999999998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70">
        <f>E57+E61</f>
        <v>320.55200000000002</v>
      </c>
      <c r="F456" s="70">
        <f t="shared" si="44"/>
        <v>38.4343</v>
      </c>
      <c r="G456" s="70">
        <f t="shared" si="44"/>
        <v>42.966999999999999</v>
      </c>
      <c r="H456" s="70">
        <f t="shared" si="44"/>
        <v>41.539100000000005</v>
      </c>
      <c r="I456" s="66"/>
      <c r="J456" s="66"/>
      <c r="K456" s="67"/>
      <c r="L456" s="29"/>
      <c r="M456" s="70">
        <f>M57+M61</f>
        <v>320.55200000000002</v>
      </c>
      <c r="N456" s="70">
        <f t="shared" si="45"/>
        <v>38.4343</v>
      </c>
      <c r="O456" s="70">
        <f t="shared" si="45"/>
        <v>42.966999999999999</v>
      </c>
      <c r="P456" s="70">
        <f t="shared" si="45"/>
        <v>41.539100000000005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188.44480000000001</v>
      </c>
      <c r="F457" s="81">
        <f t="shared" si="44"/>
        <v>35.84995</v>
      </c>
      <c r="G457" s="81">
        <f t="shared" si="44"/>
        <v>42.12435</v>
      </c>
      <c r="H457" s="81">
        <f t="shared" si="44"/>
        <v>40.215449999999997</v>
      </c>
      <c r="I457" s="68"/>
      <c r="J457" s="68"/>
      <c r="K457" s="69"/>
      <c r="L457" s="29"/>
      <c r="M457" s="81">
        <f>M58+M62</f>
        <v>188.44480000000001</v>
      </c>
      <c r="N457" s="81">
        <f t="shared" si="45"/>
        <v>35.84995</v>
      </c>
      <c r="O457" s="81">
        <f t="shared" si="45"/>
        <v>42.12435</v>
      </c>
      <c r="P457" s="81">
        <f t="shared" si="45"/>
        <v>40.215449999999997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8">
        <f>E55+E59+E63</f>
        <v>1412.3407999999999</v>
      </c>
      <c r="F458" s="78">
        <f t="shared" ref="F458:H461" si="46">AVERAGE(F55,F59,F63)</f>
        <v>42.87316666666667</v>
      </c>
      <c r="G458" s="78">
        <f t="shared" si="46"/>
        <v>44.5533</v>
      </c>
      <c r="H458" s="78">
        <f t="shared" si="46"/>
        <v>44.324666666666666</v>
      </c>
      <c r="I458" s="79"/>
      <c r="J458" s="79"/>
      <c r="K458" s="80"/>
      <c r="L458" s="29"/>
      <c r="M458" s="78">
        <f>M55+M59+M63</f>
        <v>1412.4479999999999</v>
      </c>
      <c r="N458" s="78">
        <f t="shared" ref="N458:P461" si="47">AVERAGE(N55,N59,N63)</f>
        <v>42.873466666666673</v>
      </c>
      <c r="O458" s="78">
        <f t="shared" si="47"/>
        <v>44.553266666666673</v>
      </c>
      <c r="P458" s="78">
        <f t="shared" si="47"/>
        <v>44.325099999999999</v>
      </c>
      <c r="Q458" s="79"/>
      <c r="R458" s="79"/>
      <c r="S458" s="80"/>
      <c r="U458" s="8">
        <f>bdrate($E458:$E461,F458:F461,$M458:$M461,N458:N461)</f>
        <v>-8.1405037819393122E-5</v>
      </c>
      <c r="V458" s="9">
        <f>bdrate($E458:$E461,G458:G461,$M458:$M461,O458:O461)</f>
        <v>-1.9184900786095582E-4</v>
      </c>
      <c r="W458" s="10">
        <f>bdrate($E458:$E461,H458:H461,$M458:$M461,P458:P461)</f>
        <v>-8.1574704592246583E-5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70">
        <f>E56+E60+E64</f>
        <v>703.2808</v>
      </c>
      <c r="F459" s="70">
        <f t="shared" si="46"/>
        <v>40.634466666666668</v>
      </c>
      <c r="G459" s="70">
        <f t="shared" si="46"/>
        <v>43.634166666666665</v>
      </c>
      <c r="H459" s="70">
        <f t="shared" si="46"/>
        <v>42.8461</v>
      </c>
      <c r="I459" s="66"/>
      <c r="J459" s="66"/>
      <c r="K459" s="67"/>
      <c r="L459" s="29"/>
      <c r="M459" s="70">
        <f>M56+M60+M64</f>
        <v>703.25840000000005</v>
      </c>
      <c r="N459" s="70">
        <f t="shared" si="47"/>
        <v>40.634299999999996</v>
      </c>
      <c r="O459" s="70">
        <f t="shared" si="47"/>
        <v>43.634066666666676</v>
      </c>
      <c r="P459" s="70">
        <f t="shared" si="47"/>
        <v>42.8461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70">
        <f>E57+E61+E65</f>
        <v>387.76960000000003</v>
      </c>
      <c r="F460" s="70">
        <f t="shared" si="46"/>
        <v>38.201133333333331</v>
      </c>
      <c r="G460" s="70">
        <f t="shared" si="46"/>
        <v>42.713533333333338</v>
      </c>
      <c r="H460" s="70">
        <f t="shared" si="46"/>
        <v>41.426066666666671</v>
      </c>
      <c r="I460" s="66"/>
      <c r="J460" s="66"/>
      <c r="K460" s="67"/>
      <c r="L460" s="29"/>
      <c r="M460" s="70">
        <f>M57+M61+M65</f>
        <v>387.68640000000005</v>
      </c>
      <c r="N460" s="70">
        <f t="shared" si="47"/>
        <v>38.201099999999997</v>
      </c>
      <c r="O460" s="70">
        <f t="shared" si="47"/>
        <v>42.713799999999999</v>
      </c>
      <c r="P460" s="70">
        <f t="shared" si="47"/>
        <v>41.425833333333337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224.2664</v>
      </c>
      <c r="F461" s="81">
        <f t="shared" si="46"/>
        <v>35.64586666666667</v>
      </c>
      <c r="G461" s="81">
        <f t="shared" si="46"/>
        <v>41.8733</v>
      </c>
      <c r="H461" s="81">
        <f t="shared" si="46"/>
        <v>40.125999999999998</v>
      </c>
      <c r="I461" s="68"/>
      <c r="J461" s="68"/>
      <c r="K461" s="69"/>
      <c r="L461" s="29"/>
      <c r="M461" s="81">
        <f>M58+M62+M66</f>
        <v>224.24960000000002</v>
      </c>
      <c r="N461" s="81">
        <f t="shared" si="47"/>
        <v>35.645533333333333</v>
      </c>
      <c r="O461" s="81">
        <f t="shared" si="47"/>
        <v>41.874233333333336</v>
      </c>
      <c r="P461" s="81">
        <f t="shared" si="47"/>
        <v>40.125999999999998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8">
        <f>E55+E59+E67+E71</f>
        <v>1364.8471999999999</v>
      </c>
      <c r="F462" s="78">
        <f t="shared" ref="F462:H465" si="48">AVERAGE(F79,F83,F87)</f>
        <v>43.29463333333333</v>
      </c>
      <c r="G462" s="78">
        <f t="shared" si="48"/>
        <v>47.212033333333331</v>
      </c>
      <c r="H462" s="78">
        <f t="shared" si="48"/>
        <v>46.308833333333332</v>
      </c>
      <c r="I462" s="79"/>
      <c r="J462" s="79"/>
      <c r="K462" s="80"/>
      <c r="L462" s="29"/>
      <c r="M462" s="78">
        <f>M55+M59+M67+M71</f>
        <v>1364.8471999999999</v>
      </c>
      <c r="N462" s="78" t="e">
        <f t="shared" ref="N462:P465" si="49">AVERAGE(N79,N83,N87)</f>
        <v>#DIV/0!</v>
      </c>
      <c r="O462" s="78" t="e">
        <f t="shared" si="49"/>
        <v>#DIV/0!</v>
      </c>
      <c r="P462" s="78" t="e">
        <f t="shared" si="49"/>
        <v>#DIV/0!</v>
      </c>
      <c r="Q462" s="79"/>
      <c r="R462" s="79"/>
      <c r="S462" s="80"/>
      <c r="U462" s="8" t="e">
        <f>bdrate($E462:$E465,F462:F465,$M462:$M465,N462:N465)</f>
        <v>#VALUE!</v>
      </c>
      <c r="V462" s="9" t="e">
        <f>bdrate($E462:$E465,G462:G465,$M462:$M465,O462:O465)</f>
        <v>#VALUE!</v>
      </c>
      <c r="W462" s="10" t="e">
        <f>bdrate($E462:$E465,H462:H465,$M462:$M465,P462:P465)</f>
        <v>#VALUE!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70">
        <f>E56+E60+E68+E72</f>
        <v>657.52</v>
      </c>
      <c r="F463" s="70">
        <f t="shared" si="48"/>
        <v>40.990600000000001</v>
      </c>
      <c r="G463" s="70">
        <f t="shared" si="48"/>
        <v>46.050699999999999</v>
      </c>
      <c r="H463" s="70">
        <f t="shared" si="48"/>
        <v>44.532699999999998</v>
      </c>
      <c r="I463" s="66"/>
      <c r="J463" s="66"/>
      <c r="K463" s="67"/>
      <c r="L463" s="29"/>
      <c r="M463" s="70">
        <f>M56+M60+M68+M72</f>
        <v>657.52</v>
      </c>
      <c r="N463" s="70" t="e">
        <f t="shared" si="49"/>
        <v>#DIV/0!</v>
      </c>
      <c r="O463" s="70" t="e">
        <f t="shared" si="49"/>
        <v>#DIV/0!</v>
      </c>
      <c r="P463" s="70" t="e">
        <f t="shared" si="49"/>
        <v>#DIV/0!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70">
        <f>E57+E61+E69+E73</f>
        <v>356.49360000000001</v>
      </c>
      <c r="F464" s="70">
        <f t="shared" si="48"/>
        <v>38.550366666666669</v>
      </c>
      <c r="G464" s="70">
        <f t="shared" si="48"/>
        <v>44.755433333333336</v>
      </c>
      <c r="H464" s="70">
        <f t="shared" si="48"/>
        <v>42.812933333333341</v>
      </c>
      <c r="I464" s="66"/>
      <c r="J464" s="66"/>
      <c r="K464" s="67"/>
      <c r="L464" s="29"/>
      <c r="M464" s="70">
        <f>M57+M61+M69+M73</f>
        <v>356.49360000000001</v>
      </c>
      <c r="N464" s="70" t="e">
        <f t="shared" si="49"/>
        <v>#DIV/0!</v>
      </c>
      <c r="O464" s="70" t="e">
        <f t="shared" si="49"/>
        <v>#DIV/0!</v>
      </c>
      <c r="P464" s="70" t="e">
        <f t="shared" si="49"/>
        <v>#DIV/0!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205.55600000000001</v>
      </c>
      <c r="F465" s="81">
        <f t="shared" si="48"/>
        <v>35.985500000000002</v>
      </c>
      <c r="G465" s="81">
        <f t="shared" si="48"/>
        <v>43.769266666666674</v>
      </c>
      <c r="H465" s="81">
        <f t="shared" si="48"/>
        <v>41.312533333333334</v>
      </c>
      <c r="I465" s="68"/>
      <c r="J465" s="68"/>
      <c r="K465" s="69"/>
      <c r="L465" s="29"/>
      <c r="M465" s="81">
        <f>M58+M62+M70+M74</f>
        <v>205.55600000000001</v>
      </c>
      <c r="N465" s="81" t="e">
        <f t="shared" si="49"/>
        <v>#DIV/0!</v>
      </c>
      <c r="O465" s="81" t="e">
        <f t="shared" si="49"/>
        <v>#DIV/0!</v>
      </c>
      <c r="P465" s="81" t="e">
        <f t="shared" si="49"/>
        <v>#DIV/0!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>
      <c r="B466" s="29"/>
      <c r="C466" s="28" t="s">
        <v>39</v>
      </c>
      <c r="D466" s="31">
        <v>25</v>
      </c>
      <c r="E466" s="78">
        <f>E103</f>
        <v>1787.9184</v>
      </c>
      <c r="F466" s="78">
        <f t="shared" ref="F466:H469" si="50">AVERAGE(F79,F83,F87,F91,F95,F99)</f>
        <v>43.172699999999999</v>
      </c>
      <c r="G466" s="78">
        <f t="shared" si="50"/>
        <v>47.054883333333329</v>
      </c>
      <c r="H466" s="78">
        <f t="shared" si="50"/>
        <v>46.314349999999997</v>
      </c>
      <c r="I466" s="79"/>
      <c r="J466" s="79"/>
      <c r="K466" s="80"/>
      <c r="L466" s="29"/>
      <c r="M466" s="78">
        <f>M103</f>
        <v>1787.6823999999999</v>
      </c>
      <c r="N466" s="78" t="e">
        <f t="shared" ref="N466:P469" si="51">AVERAGE(N79,N83,N87,N91,N95,N99)</f>
        <v>#DIV/0!</v>
      </c>
      <c r="O466" s="78" t="e">
        <f t="shared" si="51"/>
        <v>#DIV/0!</v>
      </c>
      <c r="P466" s="78" t="e">
        <f t="shared" si="51"/>
        <v>#DIV/0!</v>
      </c>
      <c r="Q466" s="79"/>
      <c r="R466" s="79"/>
      <c r="S466" s="80"/>
      <c r="U466" s="8" t="e">
        <f>bdrate($E466:$E469,F466:F469,$M466:$M469,N466:N469)</f>
        <v>#VALUE!</v>
      </c>
      <c r="V466" s="9" t="e">
        <f>bdrate($E466:$E469,G466:G469,$M466:$M469,O466:O469)</f>
        <v>#VALUE!</v>
      </c>
      <c r="W466" s="10" t="e">
        <f>bdrate($E466:$E469,H466:H469,$M466:$M469,P466:P469)</f>
        <v>#VALUE!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70">
        <f>E104</f>
        <v>833.83920000000001</v>
      </c>
      <c r="F467" s="70">
        <f t="shared" si="50"/>
        <v>40.882350000000002</v>
      </c>
      <c r="G467" s="70">
        <f t="shared" si="50"/>
        <v>45.926783333333333</v>
      </c>
      <c r="H467" s="70">
        <f t="shared" si="50"/>
        <v>44.54013333333333</v>
      </c>
      <c r="I467" s="66"/>
      <c r="J467" s="66"/>
      <c r="K467" s="67"/>
      <c r="L467" s="29"/>
      <c r="M467" s="70">
        <f>M104</f>
        <v>833.81119999999999</v>
      </c>
      <c r="N467" s="70" t="e">
        <f t="shared" si="51"/>
        <v>#DIV/0!</v>
      </c>
      <c r="O467" s="70" t="e">
        <f t="shared" si="51"/>
        <v>#DIV/0!</v>
      </c>
      <c r="P467" s="70" t="e">
        <f t="shared" si="51"/>
        <v>#DIV/0!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70">
        <f>E105</f>
        <v>446.74560000000002</v>
      </c>
      <c r="F468" s="70">
        <f t="shared" si="50"/>
        <v>38.446150000000003</v>
      </c>
      <c r="G468" s="70">
        <f t="shared" si="50"/>
        <v>44.701983333333338</v>
      </c>
      <c r="H468" s="70">
        <f t="shared" si="50"/>
        <v>42.816100000000006</v>
      </c>
      <c r="I468" s="66"/>
      <c r="J468" s="66"/>
      <c r="K468" s="67"/>
      <c r="L468" s="29"/>
      <c r="M468" s="70">
        <f>M105</f>
        <v>446.61520000000002</v>
      </c>
      <c r="N468" s="70" t="e">
        <f t="shared" si="51"/>
        <v>#DIV/0!</v>
      </c>
      <c r="O468" s="70" t="e">
        <f t="shared" si="51"/>
        <v>#DIV/0!</v>
      </c>
      <c r="P468" s="70" t="e">
        <f t="shared" si="51"/>
        <v>#DIV/0!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255.36959999999999</v>
      </c>
      <c r="F469" s="81">
        <f t="shared" si="50"/>
        <v>35.887933333333336</v>
      </c>
      <c r="G469" s="81">
        <f t="shared" si="50"/>
        <v>43.722700000000003</v>
      </c>
      <c r="H469" s="81">
        <f t="shared" si="50"/>
        <v>41.297600000000003</v>
      </c>
      <c r="I469" s="68"/>
      <c r="J469" s="68"/>
      <c r="K469" s="69"/>
      <c r="L469" s="29"/>
      <c r="M469" s="81">
        <f>M106</f>
        <v>255.3552</v>
      </c>
      <c r="N469" s="81" t="e">
        <f t="shared" si="51"/>
        <v>#DIV/0!</v>
      </c>
      <c r="O469" s="81" t="e">
        <f t="shared" si="51"/>
        <v>#DIV/0!</v>
      </c>
      <c r="P469" s="81" t="e">
        <f t="shared" si="51"/>
        <v>#DIV/0!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8">
        <f t="shared" ref="E470:E477" si="52">E462</f>
        <v>1364.8471999999999</v>
      </c>
      <c r="F470" s="78">
        <f t="shared" ref="F470:H473" si="53">AVERAGE(F55,F59,F79,F83,F87)</f>
        <v>43.23554</v>
      </c>
      <c r="G470" s="78">
        <f t="shared" si="53"/>
        <v>46.268259999999998</v>
      </c>
      <c r="H470" s="78">
        <f t="shared" si="53"/>
        <v>45.602040000000002</v>
      </c>
      <c r="I470" s="79"/>
      <c r="J470" s="79"/>
      <c r="K470" s="80"/>
      <c r="L470" s="29"/>
      <c r="M470" s="78">
        <f t="shared" ref="M470:M477" si="54">M462</f>
        <v>1364.8471999999999</v>
      </c>
      <c r="N470" s="78">
        <f t="shared" ref="N470:P473" si="55">AVERAGE(N55,N59,N79,N83,N87)</f>
        <v>43.146900000000002</v>
      </c>
      <c r="O470" s="78">
        <f t="shared" si="55"/>
        <v>44.852600000000002</v>
      </c>
      <c r="P470" s="78">
        <f t="shared" si="55"/>
        <v>44.541849999999997</v>
      </c>
      <c r="Q470" s="79"/>
      <c r="R470" s="79"/>
      <c r="S470" s="80"/>
      <c r="U470" s="8">
        <f>bdrate($E470:$E473,F470:F473,$M470:$M473,N470:N473)</f>
        <v>1.7934804579754715E-2</v>
      </c>
      <c r="V470" s="9">
        <f>bdrate($E470:$E473,G470:G473,$M470:$M473,O470:O473)</f>
        <v>1.0268146516827881</v>
      </c>
      <c r="W470" s="10">
        <f>bdrate($E470:$E473,H470:H473,$M470:$M473,P470:P473)</f>
        <v>0.41043466277733254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70">
        <f t="shared" si="52"/>
        <v>657.52</v>
      </c>
      <c r="F471" s="70">
        <f t="shared" si="53"/>
        <v>40.952819999999996</v>
      </c>
      <c r="G471" s="70">
        <f t="shared" si="53"/>
        <v>45.214739999999999</v>
      </c>
      <c r="H471" s="70">
        <f t="shared" si="53"/>
        <v>43.938180000000003</v>
      </c>
      <c r="I471" s="66"/>
      <c r="J471" s="66"/>
      <c r="K471" s="67"/>
      <c r="L471" s="29"/>
      <c r="M471" s="70">
        <f t="shared" si="54"/>
        <v>657.52</v>
      </c>
      <c r="N471" s="70">
        <f t="shared" si="55"/>
        <v>40.896149999999999</v>
      </c>
      <c r="O471" s="70">
        <f t="shared" si="55"/>
        <v>43.960800000000006</v>
      </c>
      <c r="P471" s="70">
        <f t="shared" si="55"/>
        <v>43.046399999999998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70">
        <f t="shared" si="52"/>
        <v>356.49360000000001</v>
      </c>
      <c r="F472" s="70">
        <f t="shared" si="53"/>
        <v>38.50394</v>
      </c>
      <c r="G472" s="70">
        <f t="shared" si="53"/>
        <v>44.040059999999997</v>
      </c>
      <c r="H472" s="70">
        <f t="shared" si="53"/>
        <v>42.303399999999996</v>
      </c>
      <c r="I472" s="66"/>
      <c r="J472" s="66"/>
      <c r="K472" s="67"/>
      <c r="L472" s="29"/>
      <c r="M472" s="70">
        <f t="shared" si="54"/>
        <v>356.49360000000001</v>
      </c>
      <c r="N472" s="70">
        <f t="shared" si="55"/>
        <v>38.4343</v>
      </c>
      <c r="O472" s="70">
        <f t="shared" si="55"/>
        <v>42.966999999999999</v>
      </c>
      <c r="P472" s="70">
        <f t="shared" si="55"/>
        <v>41.539100000000005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205.55600000000001</v>
      </c>
      <c r="F473" s="81">
        <f t="shared" si="53"/>
        <v>35.931280000000001</v>
      </c>
      <c r="G473" s="81">
        <f t="shared" si="53"/>
        <v>43.1113</v>
      </c>
      <c r="H473" s="81">
        <f t="shared" si="53"/>
        <v>40.873699999999999</v>
      </c>
      <c r="I473" s="68"/>
      <c r="J473" s="68"/>
      <c r="K473" s="69"/>
      <c r="L473" s="29"/>
      <c r="M473" s="81">
        <f t="shared" si="54"/>
        <v>205.55600000000001</v>
      </c>
      <c r="N473" s="81">
        <f t="shared" si="55"/>
        <v>35.84995</v>
      </c>
      <c r="O473" s="81">
        <f t="shared" si="55"/>
        <v>42.12435</v>
      </c>
      <c r="P473" s="81">
        <f t="shared" si="55"/>
        <v>40.215449999999997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8">
        <f t="shared" si="52"/>
        <v>1787.9184</v>
      </c>
      <c r="F474" s="78">
        <f t="shared" ref="F474:H477" si="56">AVERAGE(F55,F59,F63,F79,F83,F87,F91,F95,F99)</f>
        <v>43.072855555555563</v>
      </c>
      <c r="G474" s="78">
        <f t="shared" si="56"/>
        <v>46.221022222222217</v>
      </c>
      <c r="H474" s="78">
        <f t="shared" si="56"/>
        <v>45.65112222222222</v>
      </c>
      <c r="I474" s="79"/>
      <c r="J474" s="79"/>
      <c r="K474" s="80"/>
      <c r="L474" s="29"/>
      <c r="M474" s="78">
        <f t="shared" si="54"/>
        <v>1787.6823999999999</v>
      </c>
      <c r="N474" s="78">
        <f t="shared" ref="N474:P477" si="57">AVERAGE(N55,N59,N63,N79,N83,N87,N91,N95,N99)</f>
        <v>42.873466666666673</v>
      </c>
      <c r="O474" s="78">
        <f t="shared" si="57"/>
        <v>44.553266666666673</v>
      </c>
      <c r="P474" s="78">
        <f t="shared" si="57"/>
        <v>44.325099999999999</v>
      </c>
      <c r="Q474" s="79"/>
      <c r="R474" s="79"/>
      <c r="S474" s="80"/>
      <c r="U474" s="8">
        <f>bdrate($E474:$E477,F474:F477,$M474:$M477,N474:N477)</f>
        <v>4.6263656829137023E-2</v>
      </c>
      <c r="V474" s="9">
        <f>bdrate($E474:$E477,G474:G477,$M474:$M477,O474:O477)</f>
        <v>1.504910344428644</v>
      </c>
      <c r="W474" s="10">
        <f>bdrate($E474:$E477,H474:H477,$M474:$M477,P474:P477)</f>
        <v>0.55566763693524646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70">
        <f t="shared" si="52"/>
        <v>833.83920000000001</v>
      </c>
      <c r="F475" s="70">
        <f t="shared" si="56"/>
        <v>40.799722222222222</v>
      </c>
      <c r="G475" s="70">
        <f t="shared" si="56"/>
        <v>45.162577777777777</v>
      </c>
      <c r="H475" s="70">
        <f t="shared" si="56"/>
        <v>43.975455555555556</v>
      </c>
      <c r="I475" s="66"/>
      <c r="J475" s="66"/>
      <c r="K475" s="67"/>
      <c r="L475" s="29"/>
      <c r="M475" s="70">
        <f t="shared" si="54"/>
        <v>833.81119999999999</v>
      </c>
      <c r="N475" s="70">
        <f t="shared" si="57"/>
        <v>40.634299999999996</v>
      </c>
      <c r="O475" s="70">
        <f t="shared" si="57"/>
        <v>43.634066666666676</v>
      </c>
      <c r="P475" s="70">
        <f t="shared" si="57"/>
        <v>42.8461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70">
        <f t="shared" si="52"/>
        <v>446.74560000000002</v>
      </c>
      <c r="F476" s="70">
        <f t="shared" si="56"/>
        <v>38.364477777777779</v>
      </c>
      <c r="G476" s="70">
        <f t="shared" si="56"/>
        <v>44.039166666666667</v>
      </c>
      <c r="H476" s="70">
        <f t="shared" si="56"/>
        <v>42.352755555555554</v>
      </c>
      <c r="I476" s="66"/>
      <c r="J476" s="66"/>
      <c r="K476" s="67"/>
      <c r="L476" s="29"/>
      <c r="M476" s="70">
        <f t="shared" si="54"/>
        <v>446.61520000000002</v>
      </c>
      <c r="N476" s="70">
        <f t="shared" si="57"/>
        <v>38.201099999999997</v>
      </c>
      <c r="O476" s="70">
        <f t="shared" si="57"/>
        <v>42.713799999999999</v>
      </c>
      <c r="P476" s="70">
        <f t="shared" si="57"/>
        <v>41.425833333333337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255.36959999999999</v>
      </c>
      <c r="F477" s="81">
        <f t="shared" si="56"/>
        <v>35.807244444444443</v>
      </c>
      <c r="G477" s="81">
        <f t="shared" si="56"/>
        <v>43.106233333333336</v>
      </c>
      <c r="H477" s="81">
        <f t="shared" si="56"/>
        <v>40.907066666666665</v>
      </c>
      <c r="I477" s="68"/>
      <c r="J477" s="68"/>
      <c r="K477" s="69"/>
      <c r="L477" s="29"/>
      <c r="M477" s="81">
        <f t="shared" si="54"/>
        <v>255.3552</v>
      </c>
      <c r="N477" s="81">
        <f t="shared" si="57"/>
        <v>35.645533333333333</v>
      </c>
      <c r="O477" s="81">
        <f t="shared" si="57"/>
        <v>41.874233333333336</v>
      </c>
      <c r="P477" s="81">
        <f t="shared" si="57"/>
        <v>40.125999999999998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8">
        <f>E107+E111</f>
        <v>1254.4776000000002</v>
      </c>
      <c r="F478" s="78">
        <f t="shared" ref="F478:H481" si="58">AVERAGE(F107,F111)</f>
        <v>40.828950000000006</v>
      </c>
      <c r="G478" s="78">
        <f t="shared" si="58"/>
        <v>43.54945</v>
      </c>
      <c r="H478" s="78">
        <f t="shared" si="58"/>
        <v>43.637500000000003</v>
      </c>
      <c r="I478" s="79"/>
      <c r="J478" s="79"/>
      <c r="K478" s="80"/>
      <c r="L478" s="29"/>
      <c r="M478" s="82">
        <f>M107+M111</f>
        <v>1254.4776000000002</v>
      </c>
      <c r="N478" s="78">
        <f t="shared" ref="N478:P481" si="59">AVERAGE(N107,N111)</f>
        <v>40.828950000000006</v>
      </c>
      <c r="O478" s="78">
        <f t="shared" si="59"/>
        <v>43.54945</v>
      </c>
      <c r="P478" s="78">
        <f t="shared" si="59"/>
        <v>43.637500000000003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>
      <c r="B479" s="29"/>
      <c r="C479" s="29"/>
      <c r="D479" s="32">
        <v>30</v>
      </c>
      <c r="E479" s="70">
        <f>E108+E112</f>
        <v>629.12159999999994</v>
      </c>
      <c r="F479" s="70">
        <f t="shared" si="58"/>
        <v>38.474850000000004</v>
      </c>
      <c r="G479" s="70">
        <f t="shared" si="58"/>
        <v>41.902299999999997</v>
      </c>
      <c r="H479" s="70">
        <f t="shared" si="58"/>
        <v>41.98545</v>
      </c>
      <c r="I479" s="66"/>
      <c r="J479" s="66"/>
      <c r="K479" s="67"/>
      <c r="L479" s="29"/>
      <c r="M479" s="83">
        <f>M108+M112</f>
        <v>629.12159999999994</v>
      </c>
      <c r="N479" s="70">
        <f t="shared" si="59"/>
        <v>38.474850000000004</v>
      </c>
      <c r="O479" s="70">
        <f t="shared" si="59"/>
        <v>41.902299999999997</v>
      </c>
      <c r="P479" s="70">
        <f t="shared" si="59"/>
        <v>41.98545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70">
        <f>E109+E113</f>
        <v>339.34479999999996</v>
      </c>
      <c r="F480" s="70">
        <f t="shared" si="58"/>
        <v>35.986750000000001</v>
      </c>
      <c r="G480" s="70">
        <f t="shared" si="58"/>
        <v>40.388100000000001</v>
      </c>
      <c r="H480" s="70">
        <f t="shared" si="58"/>
        <v>40.378600000000006</v>
      </c>
      <c r="I480" s="66"/>
      <c r="J480" s="66"/>
      <c r="K480" s="67"/>
      <c r="L480" s="29"/>
      <c r="M480" s="83">
        <f>M109+M113</f>
        <v>339.34479999999996</v>
      </c>
      <c r="N480" s="70">
        <f t="shared" si="59"/>
        <v>35.986750000000001</v>
      </c>
      <c r="O480" s="70">
        <f t="shared" si="59"/>
        <v>40.388100000000001</v>
      </c>
      <c r="P480" s="70">
        <f t="shared" si="59"/>
        <v>40.378600000000006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193.64879999999999</v>
      </c>
      <c r="F481" s="81">
        <f t="shared" si="58"/>
        <v>33.487899999999996</v>
      </c>
      <c r="G481" s="81">
        <f t="shared" si="58"/>
        <v>39.234200000000001</v>
      </c>
      <c r="H481" s="81">
        <f t="shared" si="58"/>
        <v>39.182000000000002</v>
      </c>
      <c r="I481" s="68"/>
      <c r="J481" s="68"/>
      <c r="K481" s="69"/>
      <c r="L481" s="29"/>
      <c r="M481" s="84">
        <f>M110+M114</f>
        <v>193.64879999999999</v>
      </c>
      <c r="N481" s="81">
        <f t="shared" si="59"/>
        <v>33.487899999999996</v>
      </c>
      <c r="O481" s="81">
        <f t="shared" si="59"/>
        <v>39.234200000000001</v>
      </c>
      <c r="P481" s="81">
        <f t="shared" si="59"/>
        <v>39.182000000000002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8">
        <f>E107+E111+E115</f>
        <v>1602.3216000000002</v>
      </c>
      <c r="F482" s="78">
        <f t="shared" ref="F482:H485" si="60">AVERAGE(F107,F111,F115)</f>
        <v>40.519666666666673</v>
      </c>
      <c r="G482" s="78">
        <f t="shared" si="60"/>
        <v>43.315100000000001</v>
      </c>
      <c r="H482" s="78">
        <f t="shared" si="60"/>
        <v>43.3414</v>
      </c>
      <c r="I482" s="79"/>
      <c r="J482" s="79"/>
      <c r="K482" s="80"/>
      <c r="L482" s="29"/>
      <c r="M482" s="78">
        <f>M107+M111+M115</f>
        <v>1602.6960000000001</v>
      </c>
      <c r="N482" s="78">
        <f t="shared" ref="N482:P485" si="61">AVERAGE(N107,N111,N115)</f>
        <v>40.519833333333338</v>
      </c>
      <c r="O482" s="78">
        <f t="shared" si="61"/>
        <v>43.314666666666675</v>
      </c>
      <c r="P482" s="78">
        <f t="shared" si="61"/>
        <v>43.341299999999997</v>
      </c>
      <c r="Q482" s="79"/>
      <c r="R482" s="79"/>
      <c r="S482" s="80"/>
      <c r="U482" s="8">
        <f>bdrate($E482:$E485,F482:F485,$M482:$M485,N482:N485)</f>
        <v>-8.9723447566969483E-5</v>
      </c>
      <c r="V482" s="9">
        <f>bdrate($E482:$E485,G482:G485,$M482:$M485,O482:O485)</f>
        <v>1.0808480724211478E-5</v>
      </c>
      <c r="W482" s="10">
        <f>bdrate($E482:$E485,H482:H485,$M482:$M485,P482:P485)</f>
        <v>-6.5909032073707685E-5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70">
        <f>E108+E112+E116</f>
        <v>779.41919999999993</v>
      </c>
      <c r="F483" s="70">
        <f t="shared" si="60"/>
        <v>38.155300000000004</v>
      </c>
      <c r="G483" s="70">
        <f t="shared" si="60"/>
        <v>41.7224</v>
      </c>
      <c r="H483" s="70">
        <f t="shared" si="60"/>
        <v>41.69</v>
      </c>
      <c r="I483" s="66"/>
      <c r="J483" s="66"/>
      <c r="K483" s="67"/>
      <c r="L483" s="29"/>
      <c r="M483" s="70">
        <f>M108+M112+M116</f>
        <v>779.40959999999995</v>
      </c>
      <c r="N483" s="70">
        <f t="shared" si="61"/>
        <v>38.155533333333331</v>
      </c>
      <c r="O483" s="70">
        <f t="shared" si="61"/>
        <v>41.722366666666666</v>
      </c>
      <c r="P483" s="70">
        <f t="shared" si="61"/>
        <v>41.689633333333333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70">
        <f>E109+E113+E117</f>
        <v>414.78</v>
      </c>
      <c r="F484" s="70">
        <f t="shared" si="60"/>
        <v>35.678866666666664</v>
      </c>
      <c r="G484" s="70">
        <f t="shared" si="60"/>
        <v>40.288333333333334</v>
      </c>
      <c r="H484" s="70">
        <f t="shared" si="60"/>
        <v>40.141333333333336</v>
      </c>
      <c r="I484" s="66"/>
      <c r="J484" s="66"/>
      <c r="K484" s="67"/>
      <c r="L484" s="29"/>
      <c r="M484" s="70">
        <f>M109+M113+M117</f>
        <v>414.67439999999999</v>
      </c>
      <c r="N484" s="70">
        <f t="shared" si="61"/>
        <v>35.678666666666665</v>
      </c>
      <c r="O484" s="70">
        <f t="shared" si="61"/>
        <v>40.2881</v>
      </c>
      <c r="P484" s="70">
        <f t="shared" si="61"/>
        <v>40.141966666666669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233.72879999999998</v>
      </c>
      <c r="F485" s="81">
        <f t="shared" si="60"/>
        <v>33.177599999999998</v>
      </c>
      <c r="G485" s="81">
        <f t="shared" si="60"/>
        <v>39.182533333333332</v>
      </c>
      <c r="H485" s="81">
        <f t="shared" si="60"/>
        <v>38.980933333333333</v>
      </c>
      <c r="I485" s="68"/>
      <c r="J485" s="68"/>
      <c r="K485" s="69"/>
      <c r="L485" s="29"/>
      <c r="M485" s="81">
        <f>M110+M114+M118</f>
        <v>233.65519999999998</v>
      </c>
      <c r="N485" s="81">
        <f t="shared" si="61"/>
        <v>33.176266666666663</v>
      </c>
      <c r="O485" s="81">
        <f t="shared" si="61"/>
        <v>39.182099999999998</v>
      </c>
      <c r="P485" s="81">
        <f t="shared" si="61"/>
        <v>38.980133333333335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8">
        <f>E107+E111+E119+E123</f>
        <v>1568.1696000000002</v>
      </c>
      <c r="F486" s="78">
        <f t="shared" ref="F486:H489" si="62">AVERAGE(F131,F135,F139)</f>
        <v>40.446800000000003</v>
      </c>
      <c r="G486" s="78">
        <f t="shared" si="62"/>
        <v>45.801666666666669</v>
      </c>
      <c r="H486" s="78">
        <f t="shared" si="62"/>
        <v>45.898033333333331</v>
      </c>
      <c r="I486" s="79"/>
      <c r="J486" s="79"/>
      <c r="K486" s="80"/>
      <c r="L486" s="29"/>
      <c r="M486" s="78">
        <f>M107+M111+M119+M123</f>
        <v>1568.1696000000002</v>
      </c>
      <c r="N486" s="78" t="e">
        <f t="shared" ref="N486:P489" si="63">AVERAGE(N131,N135,N139)</f>
        <v>#DIV/0!</v>
      </c>
      <c r="O486" s="78" t="e">
        <f t="shared" si="63"/>
        <v>#DIV/0!</v>
      </c>
      <c r="P486" s="78" t="e">
        <f t="shared" si="63"/>
        <v>#DIV/0!</v>
      </c>
      <c r="Q486" s="79"/>
      <c r="R486" s="79"/>
      <c r="S486" s="80"/>
      <c r="U486" s="8" t="e">
        <f>bdrate($E486:$E489,F486:F489,$M486:$M489,N486:N489)</f>
        <v>#VALUE!</v>
      </c>
      <c r="V486" s="9" t="e">
        <f>bdrate($E486:$E489,G486:G489,$M486:$M489,O486:O489)</f>
        <v>#VALUE!</v>
      </c>
      <c r="W486" s="10" t="e">
        <f>bdrate($E486:$E489,H486:H489,$M486:$M489,P486:P489)</f>
        <v>#VALUE!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70">
        <f>E108+E112+E120+E124</f>
        <v>737.50959999999998</v>
      </c>
      <c r="F487" s="70">
        <f t="shared" si="62"/>
        <v>38.209566666666667</v>
      </c>
      <c r="G487" s="70">
        <f t="shared" si="62"/>
        <v>43.975099999999998</v>
      </c>
      <c r="H487" s="70">
        <f t="shared" si="62"/>
        <v>44.029666666666664</v>
      </c>
      <c r="I487" s="66"/>
      <c r="J487" s="66"/>
      <c r="K487" s="67"/>
      <c r="L487" s="29"/>
      <c r="M487" s="70">
        <f>M108+M112+M120+M124</f>
        <v>737.50959999999998</v>
      </c>
      <c r="N487" s="70" t="e">
        <f t="shared" si="63"/>
        <v>#DIV/0!</v>
      </c>
      <c r="O487" s="70" t="e">
        <f t="shared" si="63"/>
        <v>#DIV/0!</v>
      </c>
      <c r="P487" s="70" t="e">
        <f t="shared" si="63"/>
        <v>#DIV/0!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70">
        <f>E109+E113+E121+E125</f>
        <v>384.30799999999994</v>
      </c>
      <c r="F488" s="70">
        <f t="shared" si="62"/>
        <v>35.835700000000003</v>
      </c>
      <c r="G488" s="70">
        <f t="shared" si="62"/>
        <v>42.1997</v>
      </c>
      <c r="H488" s="70">
        <f t="shared" si="62"/>
        <v>42.117866666666664</v>
      </c>
      <c r="I488" s="66"/>
      <c r="J488" s="66"/>
      <c r="K488" s="67"/>
      <c r="L488" s="29"/>
      <c r="M488" s="70">
        <f>M109+M113+M121+M125</f>
        <v>384.30799999999994</v>
      </c>
      <c r="N488" s="70" t="e">
        <f t="shared" si="63"/>
        <v>#DIV/0!</v>
      </c>
      <c r="O488" s="70" t="e">
        <f t="shared" si="63"/>
        <v>#DIV/0!</v>
      </c>
      <c r="P488" s="70" t="e">
        <f t="shared" si="63"/>
        <v>#DIV/0!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213.85199999999998</v>
      </c>
      <c r="F489" s="81">
        <f t="shared" si="62"/>
        <v>33.382866666666665</v>
      </c>
      <c r="G489" s="81">
        <f t="shared" si="62"/>
        <v>40.754733333333327</v>
      </c>
      <c r="H489" s="81">
        <f t="shared" si="62"/>
        <v>40.672699999999999</v>
      </c>
      <c r="I489" s="68"/>
      <c r="J489" s="68"/>
      <c r="K489" s="69"/>
      <c r="L489" s="29"/>
      <c r="M489" s="81">
        <f>M110+M114+M122+M126</f>
        <v>213.85199999999998</v>
      </c>
      <c r="N489" s="81" t="e">
        <f t="shared" si="63"/>
        <v>#DIV/0!</v>
      </c>
      <c r="O489" s="81" t="e">
        <f t="shared" si="63"/>
        <v>#DIV/0!</v>
      </c>
      <c r="P489" s="81" t="e">
        <f t="shared" si="63"/>
        <v>#DIV/0!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8">
        <f>E155</f>
        <v>2033.7031999999999</v>
      </c>
      <c r="F490" s="78">
        <f t="shared" ref="F490:H493" si="64">AVERAGE(F131,F135,F139,F143,F147,F151)</f>
        <v>40.415100000000002</v>
      </c>
      <c r="G490" s="78">
        <f t="shared" si="64"/>
        <v>45.706283333333339</v>
      </c>
      <c r="H490" s="78">
        <f t="shared" si="64"/>
        <v>45.755850000000002</v>
      </c>
      <c r="I490" s="79"/>
      <c r="J490" s="79"/>
      <c r="K490" s="80"/>
      <c r="L490" s="29"/>
      <c r="M490" s="78">
        <f>M155</f>
        <v>2033.8088</v>
      </c>
      <c r="N490" s="78" t="e">
        <f t="shared" ref="N490:P493" si="65">AVERAGE(N131,N135,N139,N143,N147,N151)</f>
        <v>#DIV/0!</v>
      </c>
      <c r="O490" s="78" t="e">
        <f t="shared" si="65"/>
        <v>#DIV/0!</v>
      </c>
      <c r="P490" s="78" t="e">
        <f t="shared" si="65"/>
        <v>#DIV/0!</v>
      </c>
      <c r="Q490" s="79"/>
      <c r="R490" s="79"/>
      <c r="S490" s="80"/>
      <c r="U490" s="8" t="e">
        <f>bdrate($E490:$E493,F490:F493,$M490:$M493,N490:N493)</f>
        <v>#VALUE!</v>
      </c>
      <c r="V490" s="9" t="e">
        <f>bdrate($E490:$E493,G490:G493,$M490:$M493,O490:O493)</f>
        <v>#VALUE!</v>
      </c>
      <c r="W490" s="10" t="e">
        <f>bdrate($E490:$E493,H490:H493,$M490:$M493,P490:P493)</f>
        <v>#VALUE!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70">
        <f>E156</f>
        <v>930.24400000000003</v>
      </c>
      <c r="F491" s="70">
        <f t="shared" si="64"/>
        <v>38.132533333333335</v>
      </c>
      <c r="G491" s="70">
        <f t="shared" si="64"/>
        <v>43.903750000000002</v>
      </c>
      <c r="H491" s="70">
        <f t="shared" si="64"/>
        <v>43.859849999999994</v>
      </c>
      <c r="I491" s="66"/>
      <c r="J491" s="66"/>
      <c r="K491" s="67"/>
      <c r="L491" s="29"/>
      <c r="M491" s="70">
        <f>M156</f>
        <v>930.23680000000002</v>
      </c>
      <c r="N491" s="70" t="e">
        <f t="shared" si="65"/>
        <v>#DIV/0!</v>
      </c>
      <c r="O491" s="70" t="e">
        <f t="shared" si="65"/>
        <v>#DIV/0!</v>
      </c>
      <c r="P491" s="70" t="e">
        <f t="shared" si="65"/>
        <v>#DIV/0!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70">
        <f>E157</f>
        <v>481.15440000000001</v>
      </c>
      <c r="F492" s="70">
        <f t="shared" si="64"/>
        <v>35.729966666666662</v>
      </c>
      <c r="G492" s="70">
        <f t="shared" si="64"/>
        <v>42.124916666666664</v>
      </c>
      <c r="H492" s="70">
        <f t="shared" si="64"/>
        <v>41.919233333333331</v>
      </c>
      <c r="I492" s="66"/>
      <c r="J492" s="66"/>
      <c r="K492" s="67"/>
      <c r="L492" s="29"/>
      <c r="M492" s="70">
        <f>M157</f>
        <v>481.03919999999999</v>
      </c>
      <c r="N492" s="70" t="e">
        <f t="shared" si="65"/>
        <v>#DIV/0!</v>
      </c>
      <c r="O492" s="70" t="e">
        <f t="shared" si="65"/>
        <v>#DIV/0!</v>
      </c>
      <c r="P492" s="70" t="e">
        <f t="shared" si="65"/>
        <v>#DIV/0!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267.39679999999998</v>
      </c>
      <c r="F493" s="81">
        <f t="shared" si="64"/>
        <v>33.251683333333332</v>
      </c>
      <c r="G493" s="81">
        <f t="shared" si="64"/>
        <v>40.709000000000003</v>
      </c>
      <c r="H493" s="81">
        <f t="shared" si="64"/>
        <v>40.484816666666667</v>
      </c>
      <c r="I493" s="68"/>
      <c r="J493" s="68"/>
      <c r="K493" s="69"/>
      <c r="L493" s="29"/>
      <c r="M493" s="81">
        <f>M158</f>
        <v>267.32479999999998</v>
      </c>
      <c r="N493" s="81" t="e">
        <f t="shared" si="65"/>
        <v>#DIV/0!</v>
      </c>
      <c r="O493" s="81" t="e">
        <f t="shared" si="65"/>
        <v>#DIV/0!</v>
      </c>
      <c r="P493" s="81" t="e">
        <f t="shared" si="65"/>
        <v>#DIV/0!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8">
        <f t="shared" ref="E494:E501" si="66">E486</f>
        <v>1568.1696000000002</v>
      </c>
      <c r="F494" s="78">
        <f t="shared" ref="F494:H497" si="67">AVERAGE(F107,F111,F131,F135,F139)</f>
        <v>40.599660000000007</v>
      </c>
      <c r="G494" s="78">
        <f t="shared" si="67"/>
        <v>44.900780000000012</v>
      </c>
      <c r="H494" s="78">
        <f t="shared" si="67"/>
        <v>44.993819999999999</v>
      </c>
      <c r="I494" s="79"/>
      <c r="J494" s="79"/>
      <c r="K494" s="80"/>
      <c r="L494" s="29"/>
      <c r="M494" s="78">
        <f t="shared" ref="M494:M501" si="68">M486</f>
        <v>1568.1696000000002</v>
      </c>
      <c r="N494" s="78">
        <f t="shared" ref="N494:P497" si="69">AVERAGE(N107,N111,N131,N135,N139)</f>
        <v>40.828950000000006</v>
      </c>
      <c r="O494" s="78">
        <f t="shared" si="69"/>
        <v>43.54945</v>
      </c>
      <c r="P494" s="78">
        <f t="shared" si="69"/>
        <v>43.637500000000003</v>
      </c>
      <c r="Q494" s="79"/>
      <c r="R494" s="79"/>
      <c r="S494" s="80"/>
      <c r="U494" s="8">
        <f>bdrate($E494:$E497,F494:F497,$M494:$M497,N494:N497)</f>
        <v>-3.6062788742673546E-2</v>
      </c>
      <c r="V494" s="9">
        <f>bdrate($E494:$E497,G494:G497,$M494:$M497,O494:O497)</f>
        <v>0.65401899897631011</v>
      </c>
      <c r="W494" s="10">
        <f>bdrate($E494:$E497,H494:H497,$M494:$M497,P494:P497)</f>
        <v>0.60289143197005957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70">
        <f t="shared" si="66"/>
        <v>737.50959999999998</v>
      </c>
      <c r="F495" s="70">
        <f t="shared" si="67"/>
        <v>38.31568</v>
      </c>
      <c r="G495" s="70">
        <f t="shared" si="67"/>
        <v>43.145980000000002</v>
      </c>
      <c r="H495" s="70">
        <f t="shared" si="67"/>
        <v>43.211979999999997</v>
      </c>
      <c r="I495" s="66"/>
      <c r="J495" s="66"/>
      <c r="K495" s="67"/>
      <c r="L495" s="29"/>
      <c r="M495" s="70">
        <f t="shared" si="68"/>
        <v>737.50959999999998</v>
      </c>
      <c r="N495" s="70">
        <f t="shared" si="69"/>
        <v>38.474850000000004</v>
      </c>
      <c r="O495" s="70">
        <f t="shared" si="69"/>
        <v>41.902299999999997</v>
      </c>
      <c r="P495" s="70">
        <f t="shared" si="69"/>
        <v>41.98545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70">
        <f t="shared" si="66"/>
        <v>384.30799999999994</v>
      </c>
      <c r="F496" s="70">
        <f t="shared" si="67"/>
        <v>35.896120000000003</v>
      </c>
      <c r="G496" s="70">
        <f t="shared" si="67"/>
        <v>41.475059999999999</v>
      </c>
      <c r="H496" s="70">
        <f t="shared" si="67"/>
        <v>41.422160000000005</v>
      </c>
      <c r="I496" s="66"/>
      <c r="J496" s="66"/>
      <c r="K496" s="67"/>
      <c r="L496" s="29"/>
      <c r="M496" s="70">
        <f t="shared" si="68"/>
        <v>384.30799999999994</v>
      </c>
      <c r="N496" s="70">
        <f t="shared" si="69"/>
        <v>35.986750000000001</v>
      </c>
      <c r="O496" s="70">
        <f t="shared" si="69"/>
        <v>40.388100000000001</v>
      </c>
      <c r="P496" s="70">
        <f t="shared" si="69"/>
        <v>40.378600000000006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213.85199999999998</v>
      </c>
      <c r="F497" s="81">
        <f t="shared" si="67"/>
        <v>33.424880000000002</v>
      </c>
      <c r="G497" s="81">
        <f t="shared" si="67"/>
        <v>40.146519999999995</v>
      </c>
      <c r="H497" s="81">
        <f t="shared" si="67"/>
        <v>40.076419999999999</v>
      </c>
      <c r="I497" s="68"/>
      <c r="J497" s="68"/>
      <c r="K497" s="69"/>
      <c r="L497" s="29"/>
      <c r="M497" s="81">
        <f t="shared" si="68"/>
        <v>213.85199999999998</v>
      </c>
      <c r="N497" s="81">
        <f t="shared" si="69"/>
        <v>33.487899999999996</v>
      </c>
      <c r="O497" s="81">
        <f t="shared" si="69"/>
        <v>39.234200000000001</v>
      </c>
      <c r="P497" s="81">
        <f t="shared" si="69"/>
        <v>39.182000000000002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>
      <c r="B498" s="29"/>
      <c r="C498" s="28" t="s">
        <v>41</v>
      </c>
      <c r="D498" s="31">
        <v>25</v>
      </c>
      <c r="E498" s="78">
        <f t="shared" si="66"/>
        <v>2033.7031999999999</v>
      </c>
      <c r="F498" s="78">
        <f t="shared" ref="F498:H501" si="70">AVERAGE(F107,F111,F115,F131,F135,F139,F143,F147,F151)</f>
        <v>40.449955555555562</v>
      </c>
      <c r="G498" s="78">
        <f t="shared" si="70"/>
        <v>44.909222222222219</v>
      </c>
      <c r="H498" s="78">
        <f t="shared" si="70"/>
        <v>44.951033333333335</v>
      </c>
      <c r="I498" s="79"/>
      <c r="J498" s="79"/>
      <c r="K498" s="80"/>
      <c r="L498" s="29"/>
      <c r="M498" s="78">
        <f t="shared" si="68"/>
        <v>2033.8088</v>
      </c>
      <c r="N498" s="78">
        <f t="shared" ref="N498:P501" si="71">AVERAGE(N107,N111,N115,N131,N135,N139,N143,N147,N151)</f>
        <v>40.519833333333338</v>
      </c>
      <c r="O498" s="78">
        <f t="shared" si="71"/>
        <v>43.314666666666675</v>
      </c>
      <c r="P498" s="78">
        <f t="shared" si="71"/>
        <v>43.341299999999997</v>
      </c>
      <c r="Q498" s="79"/>
      <c r="R498" s="79"/>
      <c r="S498" s="80"/>
      <c r="U498" s="8">
        <f>bdrate($E498:$E501,F498:F501,$M498:$M501,N498:N501)</f>
        <v>-5.9079675429396517E-5</v>
      </c>
      <c r="V498" s="9">
        <f>bdrate($E498:$E501,G498:G501,$M498:$M501,O498:O501)</f>
        <v>0.82561867004066292</v>
      </c>
      <c r="W498" s="10">
        <f>bdrate($E498:$E501,H498:H501,$M498:$M501,P498:P501)</f>
        <v>0.74721964176751543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70">
        <f t="shared" si="66"/>
        <v>930.24400000000003</v>
      </c>
      <c r="F499" s="70">
        <f t="shared" si="70"/>
        <v>38.140122222222224</v>
      </c>
      <c r="G499" s="70">
        <f t="shared" si="70"/>
        <v>43.176633333333335</v>
      </c>
      <c r="H499" s="70">
        <f t="shared" si="70"/>
        <v>43.136566666666667</v>
      </c>
      <c r="I499" s="66"/>
      <c r="J499" s="66"/>
      <c r="K499" s="67"/>
      <c r="L499" s="29"/>
      <c r="M499" s="70">
        <f t="shared" si="68"/>
        <v>930.23680000000002</v>
      </c>
      <c r="N499" s="70">
        <f t="shared" si="71"/>
        <v>38.155533333333331</v>
      </c>
      <c r="O499" s="70">
        <f t="shared" si="71"/>
        <v>41.722366666666666</v>
      </c>
      <c r="P499" s="70">
        <f t="shared" si="71"/>
        <v>41.689633333333333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70">
        <f t="shared" si="66"/>
        <v>481.15440000000001</v>
      </c>
      <c r="F500" s="70">
        <f t="shared" si="70"/>
        <v>35.712933333333325</v>
      </c>
      <c r="G500" s="70">
        <f t="shared" si="70"/>
        <v>41.512722222222223</v>
      </c>
      <c r="H500" s="70">
        <f t="shared" si="70"/>
        <v>41.326599999999999</v>
      </c>
      <c r="I500" s="66"/>
      <c r="J500" s="66"/>
      <c r="K500" s="67"/>
      <c r="L500" s="29"/>
      <c r="M500" s="70">
        <f t="shared" si="68"/>
        <v>481.03919999999999</v>
      </c>
      <c r="N500" s="70">
        <f t="shared" si="71"/>
        <v>35.678666666666665</v>
      </c>
      <c r="O500" s="70">
        <f t="shared" si="71"/>
        <v>40.2881</v>
      </c>
      <c r="P500" s="70">
        <f t="shared" si="71"/>
        <v>40.141966666666669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267.39679999999998</v>
      </c>
      <c r="F501" s="81">
        <f t="shared" si="70"/>
        <v>33.226988888888883</v>
      </c>
      <c r="G501" s="81">
        <f t="shared" si="70"/>
        <v>40.200177777777782</v>
      </c>
      <c r="H501" s="81">
        <f t="shared" si="70"/>
        <v>39.98352222222222</v>
      </c>
      <c r="I501" s="68"/>
      <c r="J501" s="68"/>
      <c r="K501" s="69"/>
      <c r="L501" s="29"/>
      <c r="M501" s="81">
        <f t="shared" si="68"/>
        <v>267.32479999999998</v>
      </c>
      <c r="N501" s="81">
        <f t="shared" si="71"/>
        <v>33.176266666666663</v>
      </c>
      <c r="O501" s="81">
        <f t="shared" si="71"/>
        <v>39.182099999999998</v>
      </c>
      <c r="P501" s="81">
        <f t="shared" si="71"/>
        <v>38.980133333333335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8">
        <f>E159+E163</f>
        <v>4235.8311999999996</v>
      </c>
      <c r="F502" s="78">
        <f t="shared" ref="F502:H505" si="72">AVERAGE(F159,F163)</f>
        <v>40.000050000000002</v>
      </c>
      <c r="G502" s="78">
        <f t="shared" si="72"/>
        <v>45.390900000000002</v>
      </c>
      <c r="H502" s="78">
        <f t="shared" si="72"/>
        <v>46.236499999999999</v>
      </c>
      <c r="I502" s="79"/>
      <c r="J502" s="79"/>
      <c r="K502" s="80"/>
      <c r="L502" s="29"/>
      <c r="M502" s="82">
        <f>M159+M163</f>
        <v>4235.8311999999996</v>
      </c>
      <c r="N502" s="78">
        <f t="shared" ref="N502:P505" si="73">AVERAGE(N159,N163)</f>
        <v>40.000050000000002</v>
      </c>
      <c r="O502" s="78">
        <f t="shared" si="73"/>
        <v>45.390900000000002</v>
      </c>
      <c r="P502" s="78">
        <f t="shared" si="73"/>
        <v>46.236499999999999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70">
        <f>E160+E164</f>
        <v>1799.4792000000002</v>
      </c>
      <c r="F503" s="70">
        <f t="shared" si="72"/>
        <v>37.64555</v>
      </c>
      <c r="G503" s="70">
        <f t="shared" si="72"/>
        <v>43.5974</v>
      </c>
      <c r="H503" s="70">
        <f t="shared" si="72"/>
        <v>44.434399999999997</v>
      </c>
      <c r="I503" s="66"/>
      <c r="J503" s="66"/>
      <c r="K503" s="67"/>
      <c r="L503" s="29"/>
      <c r="M503" s="83">
        <f>M160+M164</f>
        <v>1799.4792000000002</v>
      </c>
      <c r="N503" s="70">
        <f t="shared" si="73"/>
        <v>37.64555</v>
      </c>
      <c r="O503" s="70">
        <f t="shared" si="73"/>
        <v>43.5974</v>
      </c>
      <c r="P503" s="70">
        <f t="shared" si="73"/>
        <v>44.434399999999997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70">
        <f>E161+E165</f>
        <v>830.77279999999996</v>
      </c>
      <c r="F504" s="70">
        <f t="shared" si="72"/>
        <v>35.501550000000002</v>
      </c>
      <c r="G504" s="70">
        <f t="shared" si="72"/>
        <v>41.799050000000001</v>
      </c>
      <c r="H504" s="70">
        <f t="shared" si="72"/>
        <v>42.626400000000004</v>
      </c>
      <c r="I504" s="66"/>
      <c r="J504" s="66"/>
      <c r="K504" s="67"/>
      <c r="L504" s="29"/>
      <c r="M504" s="83">
        <f>M161+M165</f>
        <v>830.77279999999996</v>
      </c>
      <c r="N504" s="70">
        <f t="shared" si="73"/>
        <v>35.501550000000002</v>
      </c>
      <c r="O504" s="70">
        <f t="shared" si="73"/>
        <v>41.799050000000001</v>
      </c>
      <c r="P504" s="70">
        <f t="shared" si="73"/>
        <v>42.626400000000004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399.79759999999999</v>
      </c>
      <c r="F505" s="81">
        <f t="shared" si="72"/>
        <v>33.378450000000001</v>
      </c>
      <c r="G505" s="81">
        <f t="shared" si="72"/>
        <v>40.558900000000001</v>
      </c>
      <c r="H505" s="81">
        <f t="shared" si="72"/>
        <v>41.392849999999996</v>
      </c>
      <c r="I505" s="68"/>
      <c r="J505" s="68"/>
      <c r="K505" s="69"/>
      <c r="L505" s="29"/>
      <c r="M505" s="84">
        <f>M162+M166</f>
        <v>399.79759999999999</v>
      </c>
      <c r="N505" s="81">
        <f t="shared" si="73"/>
        <v>33.378450000000001</v>
      </c>
      <c r="O505" s="81">
        <f t="shared" si="73"/>
        <v>40.558900000000001</v>
      </c>
      <c r="P505" s="81">
        <f t="shared" si="73"/>
        <v>41.392849999999996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8">
        <f>E159+E163+E167</f>
        <v>4779.7215999999999</v>
      </c>
      <c r="F506" s="78">
        <f t="shared" ref="F506:H509" si="74">AVERAGE(F159,F163,F167)</f>
        <v>39.903766666666662</v>
      </c>
      <c r="G506" s="78">
        <f t="shared" si="74"/>
        <v>45.354366666666671</v>
      </c>
      <c r="H506" s="78">
        <f t="shared" si="74"/>
        <v>46.203599999999994</v>
      </c>
      <c r="I506" s="79"/>
      <c r="J506" s="79"/>
      <c r="K506" s="80"/>
      <c r="L506" s="29"/>
      <c r="M506" s="78">
        <f>M159+M163+M167</f>
        <v>4779.5727999999999</v>
      </c>
      <c r="N506" s="78">
        <f t="shared" ref="N506:P509" si="75">AVERAGE(N159,N163,N167)</f>
        <v>39.903700000000001</v>
      </c>
      <c r="O506" s="78">
        <f t="shared" si="75"/>
        <v>45.354333333333329</v>
      </c>
      <c r="P506" s="78">
        <f t="shared" si="75"/>
        <v>46.203399999999995</v>
      </c>
      <c r="Q506" s="79"/>
      <c r="R506" s="79"/>
      <c r="S506" s="80"/>
      <c r="U506" s="8">
        <f>bdrate($E506:$E509,F506:F509,$M506:$M509,N506:N509)</f>
        <v>-1.8975051191416625E-6</v>
      </c>
      <c r="V506" s="9">
        <f>bdrate($E506:$E509,G506:G509,$M506:$M509,O506:O509)</f>
        <v>5.049497780640344E-5</v>
      </c>
      <c r="W506" s="10">
        <f>bdrate($E506:$E509,H506:H509,$M506:$M509,P506:P509)</f>
        <v>1.0804276989762052E-4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70">
        <f>E160+E164+E168</f>
        <v>1990.9136000000003</v>
      </c>
      <c r="F507" s="70">
        <f t="shared" si="74"/>
        <v>37.573433333333334</v>
      </c>
      <c r="G507" s="70">
        <f t="shared" si="74"/>
        <v>43.573500000000003</v>
      </c>
      <c r="H507" s="70">
        <f t="shared" si="74"/>
        <v>44.413066666666658</v>
      </c>
      <c r="I507" s="66"/>
      <c r="J507" s="66"/>
      <c r="K507" s="67"/>
      <c r="L507" s="29"/>
      <c r="M507" s="70">
        <f>M160+M164+M168</f>
        <v>1990.8976000000002</v>
      </c>
      <c r="N507" s="70">
        <f t="shared" si="75"/>
        <v>37.573500000000003</v>
      </c>
      <c r="O507" s="70">
        <f t="shared" si="75"/>
        <v>43.573466666666661</v>
      </c>
      <c r="P507" s="70">
        <f t="shared" si="75"/>
        <v>44.4129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70">
        <f>E161+E165+E169</f>
        <v>909.20399999999995</v>
      </c>
      <c r="F508" s="70">
        <f t="shared" si="74"/>
        <v>35.446933333333334</v>
      </c>
      <c r="G508" s="70">
        <f t="shared" si="74"/>
        <v>41.785033333333331</v>
      </c>
      <c r="H508" s="70">
        <f t="shared" si="74"/>
        <v>42.615066666666671</v>
      </c>
      <c r="I508" s="66"/>
      <c r="J508" s="66"/>
      <c r="K508" s="67"/>
      <c r="L508" s="29"/>
      <c r="M508" s="70">
        <f>M161+M165+M169</f>
        <v>909.27359999999999</v>
      </c>
      <c r="N508" s="70">
        <f t="shared" si="75"/>
        <v>35.447033333333337</v>
      </c>
      <c r="O508" s="70">
        <f t="shared" si="75"/>
        <v>41.784933333333335</v>
      </c>
      <c r="P508" s="70">
        <f t="shared" si="75"/>
        <v>42.614933333333333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436.536</v>
      </c>
      <c r="F509" s="81">
        <f t="shared" si="74"/>
        <v>33.333466666666666</v>
      </c>
      <c r="G509" s="81">
        <f t="shared" si="74"/>
        <v>40.5441</v>
      </c>
      <c r="H509" s="81">
        <f t="shared" si="74"/>
        <v>41.380699999999997</v>
      </c>
      <c r="I509" s="68"/>
      <c r="J509" s="68"/>
      <c r="K509" s="69"/>
      <c r="L509" s="29"/>
      <c r="M509" s="81">
        <f>M162+M166+M170</f>
        <v>436.52080000000001</v>
      </c>
      <c r="N509" s="81">
        <f t="shared" si="75"/>
        <v>33.333433333333339</v>
      </c>
      <c r="O509" s="81">
        <f t="shared" si="75"/>
        <v>40.543933333333335</v>
      </c>
      <c r="P509" s="81">
        <f t="shared" si="75"/>
        <v>41.380299999999998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8">
        <f>E159+E163+E171+E175</f>
        <v>4624.1367999999993</v>
      </c>
      <c r="F510" s="78">
        <f t="shared" ref="F510:H513" si="76">AVERAGE(F183,F187,F191)</f>
        <v>40.056066666666666</v>
      </c>
      <c r="G510" s="78">
        <f t="shared" si="76"/>
        <v>46.596566666666661</v>
      </c>
      <c r="H510" s="78">
        <f t="shared" si="76"/>
        <v>47.01486666666667</v>
      </c>
      <c r="I510" s="79"/>
      <c r="J510" s="79"/>
      <c r="K510" s="80"/>
      <c r="L510" s="29"/>
      <c r="M510" s="78">
        <f>M159+M163+M171+M175</f>
        <v>4624.1367999999993</v>
      </c>
      <c r="N510" s="78" t="e">
        <f t="shared" ref="N510:P513" si="77">AVERAGE(N183,N187,N191)</f>
        <v>#DIV/0!</v>
      </c>
      <c r="O510" s="78" t="e">
        <f t="shared" si="77"/>
        <v>#DIV/0!</v>
      </c>
      <c r="P510" s="78" t="e">
        <f t="shared" si="77"/>
        <v>#DIV/0!</v>
      </c>
      <c r="Q510" s="79"/>
      <c r="R510" s="79"/>
      <c r="S510" s="80"/>
      <c r="U510" s="8" t="e">
        <f>bdrate($E510:$E513,F510:F513,$M510:$M513,N510:N513)</f>
        <v>#VALUE!</v>
      </c>
      <c r="V510" s="9" t="e">
        <f>bdrate($E510:$E513,G510:G513,$M510:$M513,O510:O513)</f>
        <v>#VALUE!</v>
      </c>
      <c r="W510" s="10" t="e">
        <f>bdrate($E510:$E513,H510:H513,$M510:$M513,P510:P513)</f>
        <v>#VALUE!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70">
        <f>E160+E164+E172+E176</f>
        <v>1926.1000000000001</v>
      </c>
      <c r="F511" s="70">
        <f t="shared" si="76"/>
        <v>37.736066666666666</v>
      </c>
      <c r="G511" s="70">
        <f t="shared" si="76"/>
        <v>44.82063333333334</v>
      </c>
      <c r="H511" s="70">
        <f t="shared" si="76"/>
        <v>45.361433333333331</v>
      </c>
      <c r="I511" s="66"/>
      <c r="J511" s="66"/>
      <c r="K511" s="67"/>
      <c r="L511" s="29"/>
      <c r="M511" s="70">
        <f>M160+M164+M172+M176</f>
        <v>1926.1000000000001</v>
      </c>
      <c r="N511" s="70" t="e">
        <f t="shared" si="77"/>
        <v>#DIV/0!</v>
      </c>
      <c r="O511" s="70" t="e">
        <f t="shared" si="77"/>
        <v>#DIV/0!</v>
      </c>
      <c r="P511" s="70" t="e">
        <f t="shared" si="77"/>
        <v>#DIV/0!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70">
        <f>E161+E165+E173+E177</f>
        <v>879.88639999999987</v>
      </c>
      <c r="F512" s="70">
        <f t="shared" si="76"/>
        <v>35.595200000000006</v>
      </c>
      <c r="G512" s="70">
        <f t="shared" si="76"/>
        <v>42.878933333333329</v>
      </c>
      <c r="H512" s="70">
        <f t="shared" si="76"/>
        <v>43.544866666666671</v>
      </c>
      <c r="I512" s="66"/>
      <c r="J512" s="66"/>
      <c r="K512" s="67"/>
      <c r="L512" s="29"/>
      <c r="M512" s="70">
        <f>M161+M165+M173+M177</f>
        <v>879.88639999999987</v>
      </c>
      <c r="N512" s="70" t="e">
        <f t="shared" si="77"/>
        <v>#DIV/0!</v>
      </c>
      <c r="O512" s="70" t="e">
        <f t="shared" si="77"/>
        <v>#DIV/0!</v>
      </c>
      <c r="P512" s="70" t="e">
        <f t="shared" si="77"/>
        <v>#DIV/0!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420.66399999999999</v>
      </c>
      <c r="F513" s="81">
        <f t="shared" si="76"/>
        <v>33.468833333333336</v>
      </c>
      <c r="G513" s="81">
        <f t="shared" si="76"/>
        <v>41.518300000000004</v>
      </c>
      <c r="H513" s="81">
        <f t="shared" si="76"/>
        <v>42.235566666666664</v>
      </c>
      <c r="I513" s="68"/>
      <c r="J513" s="68"/>
      <c r="K513" s="69"/>
      <c r="L513" s="29"/>
      <c r="M513" s="81">
        <f>M162+M166+M174+M178</f>
        <v>420.66399999999999</v>
      </c>
      <c r="N513" s="81" t="e">
        <f t="shared" si="77"/>
        <v>#DIV/0!</v>
      </c>
      <c r="O513" s="81" t="e">
        <f t="shared" si="77"/>
        <v>#DIV/0!</v>
      </c>
      <c r="P513" s="81" t="e">
        <f t="shared" si="77"/>
        <v>#DIV/0!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8">
        <f>E207</f>
        <v>5276.5216</v>
      </c>
      <c r="F514" s="78">
        <f t="shared" ref="F514:H517" si="78">AVERAGE(F183,F187,F191,F195,F199,F203)</f>
        <v>40.050883333333331</v>
      </c>
      <c r="G514" s="78">
        <f t="shared" si="78"/>
        <v>46.560683333333323</v>
      </c>
      <c r="H514" s="78">
        <f t="shared" si="78"/>
        <v>47.072583333333334</v>
      </c>
      <c r="I514" s="79"/>
      <c r="J514" s="79"/>
      <c r="K514" s="80"/>
      <c r="L514" s="29"/>
      <c r="M514" s="78">
        <f>M207</f>
        <v>5276.4656000000004</v>
      </c>
      <c r="N514" s="78" t="e">
        <f t="shared" ref="N514:P517" si="79">AVERAGE(N183,N187,N191,N195,N199,N203)</f>
        <v>#DIV/0!</v>
      </c>
      <c r="O514" s="78" t="e">
        <f t="shared" si="79"/>
        <v>#DIV/0!</v>
      </c>
      <c r="P514" s="78" t="e">
        <f t="shared" si="79"/>
        <v>#DIV/0!</v>
      </c>
      <c r="Q514" s="79"/>
      <c r="R514" s="79"/>
      <c r="S514" s="80"/>
      <c r="U514" s="8" t="e">
        <f>bdrate($E514:$E517,F514:F517,$M514:$M517,N514:N517)</f>
        <v>#VALUE!</v>
      </c>
      <c r="V514" s="9" t="e">
        <f>bdrate($E514:$E517,G514:G517,$M514:$M517,O514:O517)</f>
        <v>#VALUE!</v>
      </c>
      <c r="W514" s="10" t="e">
        <f>bdrate($E514:$E517,H514:H517,$M514:$M517,P514:P517)</f>
        <v>#VALUE!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70">
        <f>E208</f>
        <v>2152.94</v>
      </c>
      <c r="F515" s="70">
        <f t="shared" si="78"/>
        <v>37.724850000000004</v>
      </c>
      <c r="G515" s="70">
        <f t="shared" si="78"/>
        <v>44.795566666666666</v>
      </c>
      <c r="H515" s="70">
        <f t="shared" si="78"/>
        <v>45.386299999999999</v>
      </c>
      <c r="I515" s="66"/>
      <c r="J515" s="66"/>
      <c r="K515" s="67"/>
      <c r="L515" s="29"/>
      <c r="M515" s="70">
        <f>M208</f>
        <v>2152.9544000000001</v>
      </c>
      <c r="N515" s="70" t="e">
        <f t="shared" si="79"/>
        <v>#DIV/0!</v>
      </c>
      <c r="O515" s="70" t="e">
        <f t="shared" si="79"/>
        <v>#DIV/0!</v>
      </c>
      <c r="P515" s="70" t="e">
        <f t="shared" si="79"/>
        <v>#DIV/0!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70">
        <f>E209</f>
        <v>975.58799999999997</v>
      </c>
      <c r="F516" s="70">
        <f t="shared" si="78"/>
        <v>35.58325</v>
      </c>
      <c r="G516" s="70">
        <f t="shared" si="78"/>
        <v>42.855649999999997</v>
      </c>
      <c r="H516" s="70">
        <f t="shared" si="78"/>
        <v>43.527650000000001</v>
      </c>
      <c r="I516" s="66"/>
      <c r="J516" s="66"/>
      <c r="K516" s="67"/>
      <c r="L516" s="29"/>
      <c r="M516" s="70">
        <f>M209</f>
        <v>975.57360000000006</v>
      </c>
      <c r="N516" s="70" t="e">
        <f t="shared" si="79"/>
        <v>#DIV/0!</v>
      </c>
      <c r="O516" s="70" t="e">
        <f t="shared" si="79"/>
        <v>#DIV/0!</v>
      </c>
      <c r="P516" s="70" t="e">
        <f t="shared" si="79"/>
        <v>#DIV/0!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468.3168</v>
      </c>
      <c r="F517" s="81">
        <f t="shared" si="78"/>
        <v>33.454933333333337</v>
      </c>
      <c r="G517" s="81">
        <f t="shared" si="78"/>
        <v>41.500466666666668</v>
      </c>
      <c r="H517" s="81">
        <f t="shared" si="78"/>
        <v>42.211616666666664</v>
      </c>
      <c r="I517" s="68"/>
      <c r="J517" s="68"/>
      <c r="K517" s="69"/>
      <c r="L517" s="29"/>
      <c r="M517" s="81">
        <f>M210</f>
        <v>468.26240000000001</v>
      </c>
      <c r="N517" s="81" t="e">
        <f t="shared" si="79"/>
        <v>#DIV/0!</v>
      </c>
      <c r="O517" s="81" t="e">
        <f t="shared" si="79"/>
        <v>#DIV/0!</v>
      </c>
      <c r="P517" s="81" t="e">
        <f t="shared" si="79"/>
        <v>#DIV/0!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>
      <c r="B518" s="29"/>
      <c r="C518" s="28" t="s">
        <v>40</v>
      </c>
      <c r="D518" s="31">
        <v>25</v>
      </c>
      <c r="E518" s="78">
        <f t="shared" ref="E518:E525" si="80">E510</f>
        <v>4624.1367999999993</v>
      </c>
      <c r="F518" s="78">
        <f t="shared" ref="F518:H521" si="81">AVERAGE(F159,F163,F183,F187,F191)</f>
        <v>40.033660000000005</v>
      </c>
      <c r="G518" s="78">
        <f t="shared" si="81"/>
        <v>46.1143</v>
      </c>
      <c r="H518" s="78">
        <f t="shared" si="81"/>
        <v>46.703519999999997</v>
      </c>
      <c r="I518" s="79"/>
      <c r="J518" s="79"/>
      <c r="K518" s="80"/>
      <c r="L518" s="29"/>
      <c r="M518" s="78">
        <f t="shared" ref="M518:M525" si="82">M510</f>
        <v>4624.1367999999993</v>
      </c>
      <c r="N518" s="78">
        <f t="shared" ref="N518:P521" si="83">AVERAGE(N159,N163,N183,N187,N191)</f>
        <v>40.000050000000002</v>
      </c>
      <c r="O518" s="78">
        <f t="shared" si="83"/>
        <v>45.390900000000002</v>
      </c>
      <c r="P518" s="78">
        <f t="shared" si="83"/>
        <v>46.236499999999999</v>
      </c>
      <c r="Q518" s="79"/>
      <c r="R518" s="79"/>
      <c r="S518" s="80"/>
      <c r="U518" s="8">
        <f>bdrate($E518:$E521,F518:F521,$M518:$M521,N518:N521)</f>
        <v>1.9072895858353478E-2</v>
      </c>
      <c r="V518" s="9">
        <f>bdrate($E518:$E521,G518:G521,$M518:$M521,O518:O521)</f>
        <v>0.38855522291775801</v>
      </c>
      <c r="W518" s="10">
        <f>bdrate($E518:$E521,H518:H521,$M518:$M521,P518:P521)</f>
        <v>0.30081583232062337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70">
        <f t="shared" si="80"/>
        <v>1926.1000000000001</v>
      </c>
      <c r="F519" s="70">
        <f t="shared" si="81"/>
        <v>37.699859999999994</v>
      </c>
      <c r="G519" s="70">
        <f t="shared" si="81"/>
        <v>44.331339999999997</v>
      </c>
      <c r="H519" s="70">
        <f t="shared" si="81"/>
        <v>44.99062</v>
      </c>
      <c r="I519" s="66"/>
      <c r="J519" s="66"/>
      <c r="K519" s="67"/>
      <c r="L519" s="29"/>
      <c r="M519" s="70">
        <f t="shared" si="82"/>
        <v>1926.1000000000001</v>
      </c>
      <c r="N519" s="70">
        <f t="shared" si="83"/>
        <v>37.64555</v>
      </c>
      <c r="O519" s="70">
        <f t="shared" si="83"/>
        <v>43.5974</v>
      </c>
      <c r="P519" s="70">
        <f t="shared" si="83"/>
        <v>44.434399999999997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70">
        <f t="shared" si="80"/>
        <v>879.88639999999987</v>
      </c>
      <c r="F520" s="70">
        <f t="shared" si="81"/>
        <v>35.55774000000001</v>
      </c>
      <c r="G520" s="70">
        <f t="shared" si="81"/>
        <v>42.446980000000003</v>
      </c>
      <c r="H520" s="70">
        <f t="shared" si="81"/>
        <v>43.177480000000003</v>
      </c>
      <c r="I520" s="66"/>
      <c r="J520" s="66"/>
      <c r="K520" s="67"/>
      <c r="L520" s="29"/>
      <c r="M520" s="70">
        <f t="shared" si="82"/>
        <v>879.88639999999987</v>
      </c>
      <c r="N520" s="70">
        <f t="shared" si="83"/>
        <v>35.501550000000002</v>
      </c>
      <c r="O520" s="70">
        <f t="shared" si="83"/>
        <v>41.799050000000001</v>
      </c>
      <c r="P520" s="70">
        <f t="shared" si="83"/>
        <v>42.626400000000004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420.66399999999999</v>
      </c>
      <c r="F521" s="81">
        <f t="shared" si="81"/>
        <v>33.432680000000005</v>
      </c>
      <c r="G521" s="81">
        <f t="shared" si="81"/>
        <v>41.134540000000001</v>
      </c>
      <c r="H521" s="81">
        <f t="shared" si="81"/>
        <v>41.898479999999992</v>
      </c>
      <c r="I521" s="68"/>
      <c r="J521" s="68"/>
      <c r="K521" s="69"/>
      <c r="L521" s="29"/>
      <c r="M521" s="81">
        <f t="shared" si="82"/>
        <v>420.66399999999999</v>
      </c>
      <c r="N521" s="81">
        <f t="shared" si="83"/>
        <v>33.378450000000001</v>
      </c>
      <c r="O521" s="81">
        <f t="shared" si="83"/>
        <v>40.558900000000001</v>
      </c>
      <c r="P521" s="81">
        <f t="shared" si="83"/>
        <v>41.392849999999996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8">
        <f t="shared" si="80"/>
        <v>5276.5216</v>
      </c>
      <c r="F522" s="78">
        <f t="shared" ref="F522:H525" si="84">AVERAGE(F159,F163,F167,F183,F187,F191,F195,F199,F203)</f>
        <v>40.001844444444444</v>
      </c>
      <c r="G522" s="78">
        <f t="shared" si="84"/>
        <v>46.158577777777772</v>
      </c>
      <c r="H522" s="78">
        <f t="shared" si="84"/>
        <v>46.782922222222226</v>
      </c>
      <c r="I522" s="79"/>
      <c r="J522" s="79"/>
      <c r="K522" s="80"/>
      <c r="L522" s="29"/>
      <c r="M522" s="78">
        <f t="shared" si="82"/>
        <v>5276.4656000000004</v>
      </c>
      <c r="N522" s="78">
        <f t="shared" ref="N522:P525" si="85">AVERAGE(N159,N163,N167,N183,N187,N191,N195,N199,N203)</f>
        <v>39.903700000000001</v>
      </c>
      <c r="O522" s="78">
        <f t="shared" si="85"/>
        <v>45.354333333333329</v>
      </c>
      <c r="P522" s="78">
        <f t="shared" si="85"/>
        <v>46.203399999999995</v>
      </c>
      <c r="Q522" s="79"/>
      <c r="R522" s="79"/>
      <c r="S522" s="80"/>
      <c r="U522" s="8">
        <f>bdrate($E522:$E525,F522:F525,$M522:$M525,N522:N525)</f>
        <v>3.551650276449192E-2</v>
      </c>
      <c r="V522" s="9">
        <f>bdrate($E522:$E525,G522:G525,$M522:$M525,O522:O525)</f>
        <v>0.44407787075676342</v>
      </c>
      <c r="W522" s="10">
        <f>bdrate($E522:$E525,H522:H525,$M522:$M525,P522:P525)</f>
        <v>0.35426018900978562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70">
        <f t="shared" si="80"/>
        <v>2152.94</v>
      </c>
      <c r="F523" s="70">
        <f t="shared" si="84"/>
        <v>37.674377777777778</v>
      </c>
      <c r="G523" s="70">
        <f t="shared" si="84"/>
        <v>44.388211111111112</v>
      </c>
      <c r="H523" s="70">
        <f t="shared" si="84"/>
        <v>45.061888888888888</v>
      </c>
      <c r="I523" s="66"/>
      <c r="J523" s="66"/>
      <c r="K523" s="67"/>
      <c r="L523" s="29"/>
      <c r="M523" s="70">
        <f t="shared" si="82"/>
        <v>2152.9544000000001</v>
      </c>
      <c r="N523" s="70">
        <f t="shared" si="85"/>
        <v>37.573500000000003</v>
      </c>
      <c r="O523" s="70">
        <f t="shared" si="85"/>
        <v>43.573466666666661</v>
      </c>
      <c r="P523" s="70">
        <f t="shared" si="85"/>
        <v>44.4129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70">
        <f t="shared" si="80"/>
        <v>975.58799999999997</v>
      </c>
      <c r="F524" s="70">
        <f t="shared" si="84"/>
        <v>35.537811111111118</v>
      </c>
      <c r="G524" s="70">
        <f t="shared" si="84"/>
        <v>42.498777777777782</v>
      </c>
      <c r="H524" s="70">
        <f t="shared" si="84"/>
        <v>43.223455555555553</v>
      </c>
      <c r="I524" s="66"/>
      <c r="J524" s="66"/>
      <c r="K524" s="67"/>
      <c r="L524" s="29"/>
      <c r="M524" s="70">
        <f t="shared" si="82"/>
        <v>975.57360000000006</v>
      </c>
      <c r="N524" s="70">
        <f t="shared" si="85"/>
        <v>35.447033333333337</v>
      </c>
      <c r="O524" s="70">
        <f t="shared" si="85"/>
        <v>41.784933333333335</v>
      </c>
      <c r="P524" s="70">
        <f t="shared" si="85"/>
        <v>42.614933333333333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468.3168</v>
      </c>
      <c r="F525" s="81">
        <f t="shared" si="84"/>
        <v>33.414444444444442</v>
      </c>
      <c r="G525" s="81">
        <f t="shared" si="84"/>
        <v>41.181677777777779</v>
      </c>
      <c r="H525" s="81">
        <f t="shared" si="84"/>
        <v>41.934644444444444</v>
      </c>
      <c r="I525" s="68"/>
      <c r="J525" s="68"/>
      <c r="K525" s="69"/>
      <c r="L525" s="29"/>
      <c r="M525" s="81">
        <f t="shared" si="82"/>
        <v>468.26240000000001</v>
      </c>
      <c r="N525" s="81">
        <f t="shared" si="85"/>
        <v>33.333433333333339</v>
      </c>
      <c r="O525" s="81">
        <f t="shared" si="85"/>
        <v>40.543933333333335</v>
      </c>
      <c r="P525" s="81">
        <f t="shared" si="85"/>
        <v>41.380299999999998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8">
        <f>E211+E215</f>
        <v>1059.201</v>
      </c>
      <c r="F526" s="78">
        <f t="shared" ref="F526:H529" si="86">AVERAGE(F211,F215)</f>
        <v>41.973050000000001</v>
      </c>
      <c r="G526" s="78">
        <f t="shared" si="86"/>
        <v>48.304450000000003</v>
      </c>
      <c r="H526" s="78">
        <f t="shared" si="86"/>
        <v>47.82255</v>
      </c>
      <c r="I526" s="79"/>
      <c r="J526" s="79"/>
      <c r="K526" s="80"/>
      <c r="L526" s="29"/>
      <c r="M526" s="82">
        <f>M211+M215</f>
        <v>1059.201</v>
      </c>
      <c r="N526" s="78">
        <f t="shared" ref="N526:P529" si="87">AVERAGE(N211,N215)</f>
        <v>41.973050000000001</v>
      </c>
      <c r="O526" s="78">
        <f t="shared" si="87"/>
        <v>48.304450000000003</v>
      </c>
      <c r="P526" s="78">
        <f t="shared" si="87"/>
        <v>47.82255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70">
        <f>E212+E216</f>
        <v>441.30099999999999</v>
      </c>
      <c r="F527" s="70">
        <f t="shared" si="86"/>
        <v>40.992699999999999</v>
      </c>
      <c r="G527" s="70">
        <f t="shared" si="86"/>
        <v>47.268999999999998</v>
      </c>
      <c r="H527" s="70">
        <f t="shared" si="86"/>
        <v>46.937150000000003</v>
      </c>
      <c r="I527" s="66"/>
      <c r="J527" s="66"/>
      <c r="K527" s="67"/>
      <c r="L527" s="29"/>
      <c r="M527" s="83">
        <f>M212+M216</f>
        <v>441.30099999999999</v>
      </c>
      <c r="N527" s="70">
        <f t="shared" si="87"/>
        <v>40.992699999999999</v>
      </c>
      <c r="O527" s="70">
        <f t="shared" si="87"/>
        <v>47.268999999999998</v>
      </c>
      <c r="P527" s="70">
        <f t="shared" si="87"/>
        <v>46.937150000000003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70">
        <f>E213+E217</f>
        <v>224.792</v>
      </c>
      <c r="F528" s="70">
        <f t="shared" si="86"/>
        <v>39.581499999999998</v>
      </c>
      <c r="G528" s="70">
        <f t="shared" si="86"/>
        <v>45.971600000000002</v>
      </c>
      <c r="H528" s="70">
        <f t="shared" si="86"/>
        <v>45.739049999999999</v>
      </c>
      <c r="I528" s="66"/>
      <c r="J528" s="66"/>
      <c r="K528" s="67"/>
      <c r="L528" s="29"/>
      <c r="M528" s="83">
        <f>M213+M217</f>
        <v>224.792</v>
      </c>
      <c r="N528" s="70">
        <f t="shared" si="87"/>
        <v>39.581499999999998</v>
      </c>
      <c r="O528" s="70">
        <f t="shared" si="87"/>
        <v>45.971600000000002</v>
      </c>
      <c r="P528" s="70">
        <f t="shared" si="87"/>
        <v>45.739049999999999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124.15899999999999</v>
      </c>
      <c r="F529" s="81">
        <f t="shared" si="86"/>
        <v>37.823250000000002</v>
      </c>
      <c r="G529" s="81">
        <f t="shared" si="86"/>
        <v>44.841300000000004</v>
      </c>
      <c r="H529" s="81">
        <f t="shared" si="86"/>
        <v>44.629350000000002</v>
      </c>
      <c r="I529" s="68"/>
      <c r="J529" s="68"/>
      <c r="K529" s="69"/>
      <c r="L529" s="29"/>
      <c r="M529" s="84">
        <f>M214+M218</f>
        <v>124.15899999999999</v>
      </c>
      <c r="N529" s="81">
        <f t="shared" si="87"/>
        <v>37.823250000000002</v>
      </c>
      <c r="O529" s="81">
        <f t="shared" si="87"/>
        <v>44.841300000000004</v>
      </c>
      <c r="P529" s="81">
        <f t="shared" si="87"/>
        <v>44.629350000000002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8">
        <f>E211+E215+E219</f>
        <v>1319.1690000000001</v>
      </c>
      <c r="F530" s="78">
        <f t="shared" ref="F530:H533" si="88">AVERAGE(F211,F215,F219)</f>
        <v>41.877199999999995</v>
      </c>
      <c r="G530" s="78">
        <f t="shared" si="88"/>
        <v>47.955300000000001</v>
      </c>
      <c r="H530" s="78">
        <f t="shared" si="88"/>
        <v>47.434733333333334</v>
      </c>
      <c r="I530" s="79"/>
      <c r="J530" s="79"/>
      <c r="K530" s="80"/>
      <c r="L530" s="29"/>
      <c r="M530" s="78">
        <f>M211+M215+M219</f>
        <v>1319.231</v>
      </c>
      <c r="N530" s="78">
        <f t="shared" ref="N530:P533" si="89">AVERAGE(N211,N215,N219)</f>
        <v>41.877433333333336</v>
      </c>
      <c r="O530" s="78">
        <f t="shared" si="89"/>
        <v>47.955133333333343</v>
      </c>
      <c r="P530" s="78">
        <f t="shared" si="89"/>
        <v>47.434699999999999</v>
      </c>
      <c r="Q530" s="79"/>
      <c r="R530" s="79"/>
      <c r="S530" s="80"/>
      <c r="U530" s="8">
        <f>bdrate($E530:$E533,F530:F533,$M530:$M533,N530:N533)</f>
        <v>-8.0472676905807283E-5</v>
      </c>
      <c r="V530" s="9">
        <f>bdrate($E530:$E533,G530:G533,$M530:$M533,O530:O533)</f>
        <v>7.3503914831407613E-5</v>
      </c>
      <c r="W530" s="10">
        <f>bdrate($E530:$E533,H530:H533,$M530:$M533,P530:P533)</f>
        <v>-7.1852695450735915E-5</v>
      </c>
      <c r="Y530" s="61"/>
      <c r="Z530" s="61"/>
      <c r="AA530" s="61"/>
      <c r="AB530" s="24"/>
      <c r="AC530" s="24"/>
    </row>
    <row r="531" spans="2:29">
      <c r="B531" s="29"/>
      <c r="C531" s="29"/>
      <c r="D531" s="32">
        <v>30</v>
      </c>
      <c r="E531" s="70">
        <f>E212+E216+E220</f>
        <v>538.48900000000003</v>
      </c>
      <c r="F531" s="70">
        <f t="shared" si="88"/>
        <v>40.910833333333336</v>
      </c>
      <c r="G531" s="70">
        <f t="shared" si="88"/>
        <v>46.950400000000002</v>
      </c>
      <c r="H531" s="70">
        <f t="shared" si="88"/>
        <v>46.466466666666669</v>
      </c>
      <c r="I531" s="66"/>
      <c r="J531" s="66"/>
      <c r="K531" s="67"/>
      <c r="L531" s="29"/>
      <c r="M531" s="70">
        <f>M212+M216+M220</f>
        <v>538.46199999999999</v>
      </c>
      <c r="N531" s="70">
        <f t="shared" si="89"/>
        <v>40.910933333333332</v>
      </c>
      <c r="O531" s="70">
        <f t="shared" si="89"/>
        <v>46.95023333333333</v>
      </c>
      <c r="P531" s="70">
        <f t="shared" si="89"/>
        <v>46.466766666666672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70">
        <f>E213+E217+E221</f>
        <v>273.34199999999998</v>
      </c>
      <c r="F532" s="70">
        <f t="shared" si="88"/>
        <v>39.520566666666667</v>
      </c>
      <c r="G532" s="70">
        <f t="shared" si="88"/>
        <v>45.773066666666665</v>
      </c>
      <c r="H532" s="70">
        <f t="shared" si="88"/>
        <v>45.357633333333332</v>
      </c>
      <c r="I532" s="66"/>
      <c r="J532" s="66"/>
      <c r="K532" s="67"/>
      <c r="L532" s="29"/>
      <c r="M532" s="70">
        <f>M213+M217+M221</f>
        <v>273.339</v>
      </c>
      <c r="N532" s="70">
        <f t="shared" si="89"/>
        <v>39.520666666666664</v>
      </c>
      <c r="O532" s="70">
        <f t="shared" si="89"/>
        <v>45.772933333333334</v>
      </c>
      <c r="P532" s="70">
        <f t="shared" si="89"/>
        <v>45.357533333333329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149.68799999999999</v>
      </c>
      <c r="F533" s="81">
        <f t="shared" si="88"/>
        <v>37.769500000000001</v>
      </c>
      <c r="G533" s="81">
        <f t="shared" si="88"/>
        <v>44.688733333333339</v>
      </c>
      <c r="H533" s="81">
        <f t="shared" si="88"/>
        <v>44.241399999999999</v>
      </c>
      <c r="I533" s="68"/>
      <c r="J533" s="68"/>
      <c r="K533" s="69"/>
      <c r="L533" s="29"/>
      <c r="M533" s="81">
        <f>M214+M218+M222</f>
        <v>149.68599999999998</v>
      </c>
      <c r="N533" s="81">
        <f t="shared" si="89"/>
        <v>37.769533333333335</v>
      </c>
      <c r="O533" s="81">
        <f t="shared" si="89"/>
        <v>44.688733333333339</v>
      </c>
      <c r="P533" s="81">
        <f t="shared" si="89"/>
        <v>44.241399999999999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8">
        <f>E211+E215+E223+E227</f>
        <v>1181.8500000000001</v>
      </c>
      <c r="F534" s="78">
        <f t="shared" ref="F534:H537" si="90">AVERAGE(F235,F239,F243)</f>
        <v>43.20773333333333</v>
      </c>
      <c r="G534" s="78">
        <f t="shared" si="90"/>
        <v>48.812899999999992</v>
      </c>
      <c r="H534" s="78">
        <f t="shared" si="90"/>
        <v>48.148566666666675</v>
      </c>
      <c r="I534" s="79"/>
      <c r="J534" s="79"/>
      <c r="K534" s="80"/>
      <c r="L534" s="29"/>
      <c r="M534" s="78">
        <f>M211+M215+M223+M227</f>
        <v>1181.8500000000001</v>
      </c>
      <c r="N534" s="78" t="e">
        <f t="shared" ref="N534:P537" si="91">AVERAGE(N235,N239,N243)</f>
        <v>#DIV/0!</v>
      </c>
      <c r="O534" s="78" t="e">
        <f t="shared" si="91"/>
        <v>#DIV/0!</v>
      </c>
      <c r="P534" s="78" t="e">
        <f t="shared" si="91"/>
        <v>#DIV/0!</v>
      </c>
      <c r="Q534" s="79"/>
      <c r="R534" s="79"/>
      <c r="S534" s="80"/>
      <c r="U534" s="8" t="e">
        <f>bdrate($E534:$E537,F534:F537,$M534:$M537,N534:N537)</f>
        <v>#VALUE!</v>
      </c>
      <c r="V534" s="9" t="e">
        <f>bdrate($E534:$E537,G534:G537,$M534:$M537,O534:O537)</f>
        <v>#VALUE!</v>
      </c>
      <c r="W534" s="10" t="e">
        <f>bdrate($E534:$E537,H534:H537,$M534:$M537,P534:P537)</f>
        <v>#VALUE!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70">
        <f>E212+E216+E224+E228</f>
        <v>490.72699999999998</v>
      </c>
      <c r="F535" s="70">
        <f t="shared" si="90"/>
        <v>42.002366666666667</v>
      </c>
      <c r="G535" s="70">
        <f t="shared" si="90"/>
        <v>47.680900000000008</v>
      </c>
      <c r="H535" s="70">
        <f t="shared" si="90"/>
        <v>47.321766666666662</v>
      </c>
      <c r="I535" s="66"/>
      <c r="J535" s="66"/>
      <c r="K535" s="67"/>
      <c r="L535" s="29"/>
      <c r="M535" s="70">
        <f>M212+M216+M224+M228</f>
        <v>490.72699999999998</v>
      </c>
      <c r="N535" s="70" t="e">
        <f t="shared" si="91"/>
        <v>#DIV/0!</v>
      </c>
      <c r="O535" s="70" t="e">
        <f t="shared" si="91"/>
        <v>#DIV/0!</v>
      </c>
      <c r="P535" s="70" t="e">
        <f t="shared" si="91"/>
        <v>#DIV/0!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70">
        <f>E213+E217+E225+E229</f>
        <v>249.39699999999999</v>
      </c>
      <c r="F536" s="70">
        <f t="shared" si="90"/>
        <v>40.381033333333335</v>
      </c>
      <c r="G536" s="70">
        <f t="shared" si="90"/>
        <v>46.354066666666661</v>
      </c>
      <c r="H536" s="70">
        <f t="shared" si="90"/>
        <v>46.114633333333337</v>
      </c>
      <c r="I536" s="66"/>
      <c r="J536" s="66"/>
      <c r="K536" s="67"/>
      <c r="L536" s="29"/>
      <c r="M536" s="70">
        <f>M213+M217+M225+M229</f>
        <v>249.39699999999999</v>
      </c>
      <c r="N536" s="70" t="e">
        <f t="shared" si="91"/>
        <v>#DIV/0!</v>
      </c>
      <c r="O536" s="70" t="e">
        <f t="shared" si="91"/>
        <v>#DIV/0!</v>
      </c>
      <c r="P536" s="70" t="e">
        <f t="shared" si="91"/>
        <v>#DIV/0!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137.85899999999998</v>
      </c>
      <c r="F537" s="81">
        <f t="shared" si="90"/>
        <v>38.426099999999998</v>
      </c>
      <c r="G537" s="81">
        <f t="shared" si="90"/>
        <v>45.276166666666676</v>
      </c>
      <c r="H537" s="81">
        <f t="shared" si="90"/>
        <v>44.970966666666662</v>
      </c>
      <c r="I537" s="68"/>
      <c r="J537" s="68"/>
      <c r="K537" s="69"/>
      <c r="L537" s="29"/>
      <c r="M537" s="81">
        <f>M214+M218+M226+M230</f>
        <v>137.85899999999998</v>
      </c>
      <c r="N537" s="81" t="e">
        <f t="shared" si="91"/>
        <v>#DIV/0!</v>
      </c>
      <c r="O537" s="81" t="e">
        <f t="shared" si="91"/>
        <v>#DIV/0!</v>
      </c>
      <c r="P537" s="81" t="e">
        <f t="shared" si="91"/>
        <v>#DIV/0!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8">
        <f>E259</f>
        <v>1495.681</v>
      </c>
      <c r="F538" s="78">
        <f t="shared" ref="F538:H541" si="92">AVERAGE(F235,F239,F243,F247,F251,F255)</f>
        <v>43.256499999999996</v>
      </c>
      <c r="G538" s="78">
        <f t="shared" si="92"/>
        <v>48.666533333333327</v>
      </c>
      <c r="H538" s="78">
        <f t="shared" si="92"/>
        <v>48.466700000000003</v>
      </c>
      <c r="I538" s="79"/>
      <c r="J538" s="79"/>
      <c r="K538" s="80"/>
      <c r="L538" s="29"/>
      <c r="M538" s="78">
        <f>M259</f>
        <v>1495.482</v>
      </c>
      <c r="N538" s="78" t="e">
        <f t="shared" ref="N538:P541" si="93">AVERAGE(N235,N239,N243,N247,N251,N255)</f>
        <v>#DIV/0!</v>
      </c>
      <c r="O538" s="78" t="e">
        <f t="shared" si="93"/>
        <v>#DIV/0!</v>
      </c>
      <c r="P538" s="78" t="e">
        <f t="shared" si="93"/>
        <v>#DIV/0!</v>
      </c>
      <c r="Q538" s="79"/>
      <c r="R538" s="79"/>
      <c r="S538" s="80"/>
      <c r="U538" s="8" t="e">
        <f>bdrate($E538:$E541,F538:F541,$M538:$M541,N538:N541)</f>
        <v>#VALUE!</v>
      </c>
      <c r="V538" s="9" t="e">
        <f>bdrate($E538:$E541,G538:G541,$M538:$M541,O538:O541)</f>
        <v>#VALUE!</v>
      </c>
      <c r="W538" s="10" t="e">
        <f>bdrate($E538:$E541,H538:H541,$M538:$M541,P538:P541)</f>
        <v>#VALUE!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70">
        <f>E260</f>
        <v>611.51400000000001</v>
      </c>
      <c r="F539" s="70">
        <f t="shared" si="92"/>
        <v>42.067450000000001</v>
      </c>
      <c r="G539" s="70">
        <f t="shared" si="92"/>
        <v>47.568333333333335</v>
      </c>
      <c r="H539" s="70">
        <f t="shared" si="92"/>
        <v>47.523616666666662</v>
      </c>
      <c r="I539" s="66"/>
      <c r="J539" s="66"/>
      <c r="K539" s="67"/>
      <c r="L539" s="29"/>
      <c r="M539" s="70">
        <f>M260</f>
        <v>611.53899999999999</v>
      </c>
      <c r="N539" s="70" t="e">
        <f t="shared" si="93"/>
        <v>#DIV/0!</v>
      </c>
      <c r="O539" s="70" t="e">
        <f t="shared" si="93"/>
        <v>#DIV/0!</v>
      </c>
      <c r="P539" s="70" t="e">
        <f t="shared" si="93"/>
        <v>#DIV/0!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70">
        <f>E261</f>
        <v>311.90899999999999</v>
      </c>
      <c r="F540" s="70">
        <f t="shared" si="92"/>
        <v>40.464850000000006</v>
      </c>
      <c r="G540" s="70">
        <f t="shared" si="92"/>
        <v>46.299849999999992</v>
      </c>
      <c r="H540" s="70">
        <f t="shared" si="92"/>
        <v>46.321916666666674</v>
      </c>
      <c r="I540" s="66"/>
      <c r="J540" s="66"/>
      <c r="K540" s="67"/>
      <c r="L540" s="29"/>
      <c r="M540" s="70">
        <f>M261</f>
        <v>311.899</v>
      </c>
      <c r="N540" s="70" t="e">
        <f t="shared" si="93"/>
        <v>#DIV/0!</v>
      </c>
      <c r="O540" s="70" t="e">
        <f t="shared" si="93"/>
        <v>#DIV/0!</v>
      </c>
      <c r="P540" s="70" t="e">
        <f t="shared" si="93"/>
        <v>#DIV/0!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173.34</v>
      </c>
      <c r="F541" s="81">
        <f t="shared" si="92"/>
        <v>38.519200000000005</v>
      </c>
      <c r="G541" s="81">
        <f t="shared" si="92"/>
        <v>45.221150000000002</v>
      </c>
      <c r="H541" s="81">
        <f t="shared" si="92"/>
        <v>45.129766666666661</v>
      </c>
      <c r="I541" s="68"/>
      <c r="J541" s="68"/>
      <c r="K541" s="69"/>
      <c r="L541" s="29"/>
      <c r="M541" s="81">
        <f>M262</f>
        <v>173.33799999999999</v>
      </c>
      <c r="N541" s="81" t="e">
        <f t="shared" si="93"/>
        <v>#DIV/0!</v>
      </c>
      <c r="O541" s="81" t="e">
        <f t="shared" si="93"/>
        <v>#DIV/0!</v>
      </c>
      <c r="P541" s="81" t="e">
        <f t="shared" si="93"/>
        <v>#DIV/0!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8">
        <f t="shared" ref="E542:E549" si="94">E534</f>
        <v>1181.8500000000001</v>
      </c>
      <c r="F542" s="78">
        <f t="shared" ref="F542:H545" si="95">AVERAGE(F211,F215,F235,F239,F243)</f>
        <v>42.713859999999997</v>
      </c>
      <c r="G542" s="78">
        <f t="shared" si="95"/>
        <v>48.609519999999996</v>
      </c>
      <c r="H542" s="78">
        <f t="shared" si="95"/>
        <v>48.018160000000002</v>
      </c>
      <c r="I542" s="79"/>
      <c r="J542" s="79"/>
      <c r="K542" s="80"/>
      <c r="L542" s="29"/>
      <c r="M542" s="78">
        <f t="shared" ref="M542:M549" si="96">M534</f>
        <v>1181.8500000000001</v>
      </c>
      <c r="N542" s="78">
        <f t="shared" ref="N542:P545" si="97">AVERAGE(N211,N215,N235,N239,N243)</f>
        <v>41.973050000000001</v>
      </c>
      <c r="O542" s="78">
        <f t="shared" si="97"/>
        <v>48.304450000000003</v>
      </c>
      <c r="P542" s="78">
        <f t="shared" si="97"/>
        <v>47.82255</v>
      </c>
      <c r="Q542" s="79"/>
      <c r="R542" s="79"/>
      <c r="S542" s="80"/>
      <c r="U542" s="8">
        <f>bdrate($E542:$E545,F542:F545,$M542:$M545,N542:N545)</f>
        <v>0.28546858490831095</v>
      </c>
      <c r="V542" s="9">
        <f>bdrate($E542:$E545,G542:G545,$M542:$M545,O542:O545)</f>
        <v>0.16293060995130881</v>
      </c>
      <c r="W542" s="10">
        <f>bdrate($E542:$E545,H542:H545,$M542:$M545,P542:P545)</f>
        <v>0.1581123451639932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70">
        <f t="shared" si="94"/>
        <v>490.72699999999998</v>
      </c>
      <c r="F543" s="70">
        <f t="shared" si="95"/>
        <v>41.598500000000001</v>
      </c>
      <c r="G543" s="70">
        <f t="shared" si="95"/>
        <v>47.516140000000007</v>
      </c>
      <c r="H543" s="70">
        <f t="shared" si="95"/>
        <v>47.167919999999995</v>
      </c>
      <c r="I543" s="66"/>
      <c r="J543" s="66"/>
      <c r="K543" s="67"/>
      <c r="L543" s="29"/>
      <c r="M543" s="70">
        <f t="shared" si="96"/>
        <v>490.72699999999998</v>
      </c>
      <c r="N543" s="70">
        <f t="shared" si="97"/>
        <v>40.992699999999999</v>
      </c>
      <c r="O543" s="70">
        <f t="shared" si="97"/>
        <v>47.268999999999998</v>
      </c>
      <c r="P543" s="70">
        <f t="shared" si="97"/>
        <v>46.937150000000003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70">
        <f t="shared" si="94"/>
        <v>249.39699999999999</v>
      </c>
      <c r="F544" s="70">
        <f t="shared" si="95"/>
        <v>40.061219999999999</v>
      </c>
      <c r="G544" s="70">
        <f t="shared" si="95"/>
        <v>46.201079999999997</v>
      </c>
      <c r="H544" s="70">
        <f t="shared" si="95"/>
        <v>45.964399999999998</v>
      </c>
      <c r="I544" s="66"/>
      <c r="J544" s="66"/>
      <c r="K544" s="67"/>
      <c r="L544" s="29"/>
      <c r="M544" s="70">
        <f t="shared" si="96"/>
        <v>249.39699999999999</v>
      </c>
      <c r="N544" s="70">
        <f t="shared" si="97"/>
        <v>39.581499999999998</v>
      </c>
      <c r="O544" s="70">
        <f t="shared" si="97"/>
        <v>45.971600000000002</v>
      </c>
      <c r="P544" s="70">
        <f t="shared" si="97"/>
        <v>45.739049999999999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137.85899999999998</v>
      </c>
      <c r="F545" s="81">
        <f t="shared" si="95"/>
        <v>38.184960000000004</v>
      </c>
      <c r="G545" s="81">
        <f t="shared" si="95"/>
        <v>45.102220000000003</v>
      </c>
      <c r="H545" s="81">
        <f t="shared" si="95"/>
        <v>44.834320000000005</v>
      </c>
      <c r="I545" s="68"/>
      <c r="J545" s="68"/>
      <c r="K545" s="69"/>
      <c r="L545" s="29"/>
      <c r="M545" s="81">
        <f t="shared" si="96"/>
        <v>137.85899999999998</v>
      </c>
      <c r="N545" s="81">
        <f t="shared" si="97"/>
        <v>37.823250000000002</v>
      </c>
      <c r="O545" s="81">
        <f t="shared" si="97"/>
        <v>44.841300000000004</v>
      </c>
      <c r="P545" s="81">
        <f t="shared" si="97"/>
        <v>44.629350000000002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8">
        <f t="shared" si="94"/>
        <v>1495.681</v>
      </c>
      <c r="F546" s="78">
        <f t="shared" ref="F546:H549" si="98">AVERAGE(F211,F215,F219,F235,F239,F243,F247,F251,F255)</f>
        <v>42.796733333333329</v>
      </c>
      <c r="G546" s="78">
        <f t="shared" si="98"/>
        <v>48.429455555555556</v>
      </c>
      <c r="H546" s="78">
        <f t="shared" si="98"/>
        <v>48.122711111111109</v>
      </c>
      <c r="I546" s="79"/>
      <c r="J546" s="79"/>
      <c r="K546" s="80"/>
      <c r="L546" s="29"/>
      <c r="M546" s="78">
        <f t="shared" si="96"/>
        <v>1495.482</v>
      </c>
      <c r="N546" s="78">
        <f t="shared" ref="N546:P549" si="99">AVERAGE(N211,N215,N219,N235,N239,N243,N247,N251,N255)</f>
        <v>41.877433333333336</v>
      </c>
      <c r="O546" s="78">
        <f t="shared" si="99"/>
        <v>47.955133333333343</v>
      </c>
      <c r="P546" s="78">
        <f t="shared" si="99"/>
        <v>47.434699999999999</v>
      </c>
      <c r="Q546" s="79"/>
      <c r="R546" s="79"/>
      <c r="S546" s="80"/>
      <c r="U546" s="8">
        <f>bdrate($E546:$E549,F546:F549,$M546:$M549,N546:N549)</f>
        <v>0.37700567729706491</v>
      </c>
      <c r="V546" s="9">
        <f>bdrate($E546:$E549,G546:G549,$M546:$M549,O546:O549)</f>
        <v>0.27990405586023859</v>
      </c>
      <c r="W546" s="10">
        <f>bdrate($E546:$E549,H546:H549,$M546:$M549,P546:P549)</f>
        <v>0.53311678600233137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70">
        <f t="shared" si="94"/>
        <v>611.51400000000001</v>
      </c>
      <c r="F547" s="70">
        <f t="shared" si="98"/>
        <v>41.681911111111113</v>
      </c>
      <c r="G547" s="70">
        <f t="shared" si="98"/>
        <v>47.36235555555556</v>
      </c>
      <c r="H547" s="70">
        <f t="shared" si="98"/>
        <v>47.17123333333334</v>
      </c>
      <c r="I547" s="66"/>
      <c r="J547" s="66"/>
      <c r="K547" s="67"/>
      <c r="L547" s="29"/>
      <c r="M547" s="70">
        <f t="shared" si="96"/>
        <v>611.53899999999999</v>
      </c>
      <c r="N547" s="70">
        <f t="shared" si="99"/>
        <v>40.910933333333332</v>
      </c>
      <c r="O547" s="70">
        <f t="shared" si="99"/>
        <v>46.95023333333333</v>
      </c>
      <c r="P547" s="70">
        <f t="shared" si="99"/>
        <v>46.466766666666672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70">
        <f t="shared" si="94"/>
        <v>311.90899999999999</v>
      </c>
      <c r="F548" s="70">
        <f t="shared" si="98"/>
        <v>40.150088888888888</v>
      </c>
      <c r="G548" s="70">
        <f t="shared" si="98"/>
        <v>46.12425555555555</v>
      </c>
      <c r="H548" s="70">
        <f t="shared" si="98"/>
        <v>46.000488888888896</v>
      </c>
      <c r="I548" s="66"/>
      <c r="J548" s="66"/>
      <c r="K548" s="67"/>
      <c r="L548" s="29"/>
      <c r="M548" s="70">
        <f t="shared" si="96"/>
        <v>311.899</v>
      </c>
      <c r="N548" s="70">
        <f t="shared" si="99"/>
        <v>39.520666666666664</v>
      </c>
      <c r="O548" s="70">
        <f t="shared" si="99"/>
        <v>45.772933333333334</v>
      </c>
      <c r="P548" s="70">
        <f t="shared" si="99"/>
        <v>45.357533333333329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173.34</v>
      </c>
      <c r="F549" s="81">
        <f t="shared" si="98"/>
        <v>38.269300000000008</v>
      </c>
      <c r="G549" s="81">
        <f t="shared" si="98"/>
        <v>45.043677777777773</v>
      </c>
      <c r="H549" s="81">
        <f t="shared" si="98"/>
        <v>44.833644444444445</v>
      </c>
      <c r="I549" s="68"/>
      <c r="J549" s="68"/>
      <c r="K549" s="69"/>
      <c r="L549" s="29"/>
      <c r="M549" s="81">
        <f t="shared" si="96"/>
        <v>173.33799999999999</v>
      </c>
      <c r="N549" s="81">
        <f t="shared" si="99"/>
        <v>37.769533333333335</v>
      </c>
      <c r="O549" s="81">
        <f t="shared" si="99"/>
        <v>44.688733333333339</v>
      </c>
      <c r="P549" s="81">
        <f t="shared" si="99"/>
        <v>44.241399999999999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8">
        <f>E263+E267</f>
        <v>3141.7256000000002</v>
      </c>
      <c r="F550" s="78">
        <f t="shared" ref="F550:H553" si="100">AVERAGE(F263,F267)</f>
        <v>39.42295</v>
      </c>
      <c r="G550" s="78">
        <f t="shared" si="100"/>
        <v>46.675399999999996</v>
      </c>
      <c r="H550" s="78">
        <f t="shared" si="100"/>
        <v>45.381900000000002</v>
      </c>
      <c r="I550" s="79"/>
      <c r="J550" s="79"/>
      <c r="K550" s="80"/>
      <c r="L550" s="29"/>
      <c r="M550" s="82">
        <f>M263+M267</f>
        <v>3141.7256000000002</v>
      </c>
      <c r="N550" s="78">
        <f t="shared" ref="N550:P553" si="101">AVERAGE(N263,N267)</f>
        <v>39.42295</v>
      </c>
      <c r="O550" s="78">
        <f t="shared" si="101"/>
        <v>46.675399999999996</v>
      </c>
      <c r="P550" s="78">
        <f t="shared" si="101"/>
        <v>45.381900000000002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70">
        <f>E264+E268</f>
        <v>1151.8607999999999</v>
      </c>
      <c r="F551" s="70">
        <f t="shared" si="100"/>
        <v>37.518149999999999</v>
      </c>
      <c r="G551" s="70">
        <f t="shared" si="100"/>
        <v>45.240200000000002</v>
      </c>
      <c r="H551" s="70">
        <f t="shared" si="100"/>
        <v>43.829099999999997</v>
      </c>
      <c r="I551" s="66"/>
      <c r="J551" s="66"/>
      <c r="K551" s="67"/>
      <c r="L551" s="29"/>
      <c r="M551" s="83">
        <f>M264+M268</f>
        <v>1151.8607999999999</v>
      </c>
      <c r="N551" s="70">
        <f t="shared" si="101"/>
        <v>37.518149999999999</v>
      </c>
      <c r="O551" s="70">
        <f t="shared" si="101"/>
        <v>45.240200000000002</v>
      </c>
      <c r="P551" s="70">
        <f t="shared" si="101"/>
        <v>43.829099999999997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70">
        <f>E265+E269</f>
        <v>537.20799999999997</v>
      </c>
      <c r="F552" s="70">
        <f t="shared" si="100"/>
        <v>35.562100000000001</v>
      </c>
      <c r="G552" s="70">
        <f t="shared" si="100"/>
        <v>43.614699999999999</v>
      </c>
      <c r="H552" s="70">
        <f t="shared" si="100"/>
        <v>42.320599999999999</v>
      </c>
      <c r="I552" s="66"/>
      <c r="J552" s="66"/>
      <c r="K552" s="67"/>
      <c r="L552" s="29"/>
      <c r="M552" s="83">
        <f>M265+M269</f>
        <v>537.20799999999997</v>
      </c>
      <c r="N552" s="70">
        <f t="shared" si="101"/>
        <v>35.562100000000001</v>
      </c>
      <c r="O552" s="70">
        <f t="shared" si="101"/>
        <v>43.614699999999999</v>
      </c>
      <c r="P552" s="70">
        <f t="shared" si="101"/>
        <v>42.320599999999999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275.01760000000002</v>
      </c>
      <c r="F553" s="81">
        <f t="shared" si="100"/>
        <v>33.514150000000001</v>
      </c>
      <c r="G553" s="81">
        <f t="shared" si="100"/>
        <v>42.403300000000002</v>
      </c>
      <c r="H553" s="81">
        <f t="shared" si="100"/>
        <v>41.242900000000006</v>
      </c>
      <c r="I553" s="68"/>
      <c r="J553" s="68"/>
      <c r="K553" s="69"/>
      <c r="L553" s="29"/>
      <c r="M553" s="84">
        <f>M266+M270</f>
        <v>275.01760000000002</v>
      </c>
      <c r="N553" s="81">
        <f t="shared" si="101"/>
        <v>33.514150000000001</v>
      </c>
      <c r="O553" s="81">
        <f t="shared" si="101"/>
        <v>42.403300000000002</v>
      </c>
      <c r="P553" s="81">
        <f t="shared" si="101"/>
        <v>41.242900000000006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8">
        <f>E263+E267+E271</f>
        <v>3832.3176000000003</v>
      </c>
      <c r="F554" s="78">
        <f t="shared" ref="F554:H557" si="102">AVERAGE(F263,F267,F271)</f>
        <v>39.252933333333338</v>
      </c>
      <c r="G554" s="78">
        <f t="shared" si="102"/>
        <v>46.594166666666666</v>
      </c>
      <c r="H554" s="78">
        <f t="shared" si="102"/>
        <v>45.632333333333328</v>
      </c>
      <c r="I554" s="79"/>
      <c r="J554" s="79"/>
      <c r="K554" s="80"/>
      <c r="L554" s="29"/>
      <c r="M554" s="78">
        <f>M263+M267+M271</f>
        <v>3832.2040000000002</v>
      </c>
      <c r="N554" s="78">
        <f t="shared" ref="N554:P557" si="103">AVERAGE(N263,N267,N271)</f>
        <v>39.252933333333338</v>
      </c>
      <c r="O554" s="78">
        <f t="shared" si="103"/>
        <v>46.594166666666666</v>
      </c>
      <c r="P554" s="78">
        <f t="shared" si="103"/>
        <v>45.631866666666667</v>
      </c>
      <c r="Q554" s="79"/>
      <c r="R554" s="79"/>
      <c r="S554" s="80"/>
      <c r="U554" s="8">
        <f>bdrate($E554:$E557,F554:F557,$M554:$M557,N554:N557)</f>
        <v>-2.3797629080335447E-5</v>
      </c>
      <c r="V554" s="9">
        <f>bdrate($E554:$E557,G554:G557,$M554:$M557,O554:O557)</f>
        <v>2.9170761250085775E-5</v>
      </c>
      <c r="W554" s="10">
        <f>bdrate($E554:$E557,H554:H557,$M554:$M557,P554:P557)</f>
        <v>1.3903752316579698E-4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70">
        <f>E264+E268+E272</f>
        <v>1345.0031999999999</v>
      </c>
      <c r="F555" s="70">
        <f t="shared" si="102"/>
        <v>37.328600000000002</v>
      </c>
      <c r="G555" s="70">
        <f t="shared" si="102"/>
        <v>45.155700000000003</v>
      </c>
      <c r="H555" s="70">
        <f t="shared" si="102"/>
        <v>44.123799999999996</v>
      </c>
      <c r="I555" s="66"/>
      <c r="J555" s="66"/>
      <c r="K555" s="67"/>
      <c r="L555" s="29"/>
      <c r="M555" s="70">
        <f>M264+M268+M272</f>
        <v>1344.8375999999998</v>
      </c>
      <c r="N555" s="70">
        <f t="shared" si="103"/>
        <v>37.328266666666671</v>
      </c>
      <c r="O555" s="70">
        <f t="shared" si="103"/>
        <v>45.156000000000006</v>
      </c>
      <c r="P555" s="70">
        <f t="shared" si="103"/>
        <v>44.124233333333336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70">
        <f>E265+E269+E273</f>
        <v>611.10879999999997</v>
      </c>
      <c r="F556" s="70">
        <f t="shared" si="102"/>
        <v>35.365700000000004</v>
      </c>
      <c r="G556" s="70">
        <f t="shared" si="102"/>
        <v>43.568800000000003</v>
      </c>
      <c r="H556" s="70">
        <f t="shared" si="102"/>
        <v>42.590699999999998</v>
      </c>
      <c r="I556" s="66"/>
      <c r="J556" s="66"/>
      <c r="K556" s="67"/>
      <c r="L556" s="29"/>
      <c r="M556" s="70">
        <f>M265+M269+M273</f>
        <v>610.97280000000001</v>
      </c>
      <c r="N556" s="70">
        <f t="shared" si="103"/>
        <v>35.365333333333332</v>
      </c>
      <c r="O556" s="70">
        <f t="shared" si="103"/>
        <v>43.567566666666664</v>
      </c>
      <c r="P556" s="70">
        <f t="shared" si="103"/>
        <v>42.588999999999999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306.22800000000001</v>
      </c>
      <c r="F557" s="81">
        <f t="shared" si="102"/>
        <v>33.324999999999996</v>
      </c>
      <c r="G557" s="81">
        <f t="shared" si="102"/>
        <v>42.37166666666667</v>
      </c>
      <c r="H557" s="81">
        <f t="shared" si="102"/>
        <v>41.469166666666673</v>
      </c>
      <c r="I557" s="68"/>
      <c r="J557" s="68"/>
      <c r="K557" s="69"/>
      <c r="L557" s="29"/>
      <c r="M557" s="81">
        <f>M266+M270+M274</f>
        <v>306.23840000000001</v>
      </c>
      <c r="N557" s="81">
        <f t="shared" si="103"/>
        <v>33.325066666666665</v>
      </c>
      <c r="O557" s="81">
        <f t="shared" si="103"/>
        <v>42.37166666666667</v>
      </c>
      <c r="P557" s="81">
        <f t="shared" si="103"/>
        <v>41.469100000000005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8">
        <f>E263+E267+E275+E279</f>
        <v>3406.7592</v>
      </c>
      <c r="F558" s="78">
        <f t="shared" ref="F558:H561" si="104">AVERAGE(F287,F291,F295)</f>
        <v>40.442433333333334</v>
      </c>
      <c r="G558" s="78">
        <f t="shared" si="104"/>
        <v>47.189566666666657</v>
      </c>
      <c r="H558" s="78">
        <f t="shared" si="104"/>
        <v>46.665199999999999</v>
      </c>
      <c r="I558" s="79"/>
      <c r="J558" s="79"/>
      <c r="K558" s="80"/>
      <c r="L558" s="29"/>
      <c r="M558" s="78">
        <f>M263+M267+M275+M279</f>
        <v>3406.7592</v>
      </c>
      <c r="N558" s="78" t="e">
        <f t="shared" ref="N558:P561" si="105">AVERAGE(N287,N291,N295)</f>
        <v>#DIV/0!</v>
      </c>
      <c r="O558" s="78" t="e">
        <f t="shared" si="105"/>
        <v>#DIV/0!</v>
      </c>
      <c r="P558" s="78" t="e">
        <f t="shared" si="105"/>
        <v>#DIV/0!</v>
      </c>
      <c r="Q558" s="79"/>
      <c r="R558" s="79"/>
      <c r="S558" s="80"/>
      <c r="U558" s="8" t="e">
        <f>bdrate($E558:$E561,F558:F561,$M558:$M561,N558:N561)</f>
        <v>#VALUE!</v>
      </c>
      <c r="V558" s="9" t="e">
        <f>bdrate($E558:$E561,G558:G561,$M558:$M561,O558:O561)</f>
        <v>#VALUE!</v>
      </c>
      <c r="W558" s="10" t="e">
        <f>bdrate($E558:$E561,H558:H561,$M558:$M561,P558:P561)</f>
        <v>#VALUE!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70">
        <f>E264+E268+E276+E280</f>
        <v>1225.9183999999998</v>
      </c>
      <c r="F559" s="70">
        <f t="shared" si="104"/>
        <v>38.251233333333332</v>
      </c>
      <c r="G559" s="70">
        <f t="shared" si="104"/>
        <v>45.602733333333333</v>
      </c>
      <c r="H559" s="70">
        <f t="shared" si="104"/>
        <v>45.017333333333333</v>
      </c>
      <c r="I559" s="66"/>
      <c r="J559" s="66"/>
      <c r="K559" s="67"/>
      <c r="L559" s="29"/>
      <c r="M559" s="70">
        <f>M264+M268+M276+M280</f>
        <v>1225.9183999999998</v>
      </c>
      <c r="N559" s="70" t="e">
        <f t="shared" si="105"/>
        <v>#DIV/0!</v>
      </c>
      <c r="O559" s="70" t="e">
        <f t="shared" si="105"/>
        <v>#DIV/0!</v>
      </c>
      <c r="P559" s="70" t="e">
        <f t="shared" si="105"/>
        <v>#DIV/0!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70">
        <f>E265+E269+E277+E281</f>
        <v>566.93919999999991</v>
      </c>
      <c r="F560" s="70">
        <f t="shared" si="104"/>
        <v>36.12716666666666</v>
      </c>
      <c r="G560" s="70">
        <f t="shared" si="104"/>
        <v>43.947233333333337</v>
      </c>
      <c r="H560" s="70">
        <f t="shared" si="104"/>
        <v>43.448266666666662</v>
      </c>
      <c r="I560" s="66"/>
      <c r="J560" s="66"/>
      <c r="K560" s="67"/>
      <c r="L560" s="29"/>
      <c r="M560" s="70">
        <f>M265+M269+M277+M281</f>
        <v>566.93919999999991</v>
      </c>
      <c r="N560" s="70" t="e">
        <f t="shared" si="105"/>
        <v>#DIV/0!</v>
      </c>
      <c r="O560" s="70" t="e">
        <f t="shared" si="105"/>
        <v>#DIV/0!</v>
      </c>
      <c r="P560" s="70" t="e">
        <f t="shared" si="105"/>
        <v>#DIV/0!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289.52960000000002</v>
      </c>
      <c r="F561" s="81">
        <f t="shared" si="104"/>
        <v>33.946633333333331</v>
      </c>
      <c r="G561" s="81">
        <f t="shared" si="104"/>
        <v>42.696300000000001</v>
      </c>
      <c r="H561" s="81">
        <f t="shared" si="104"/>
        <v>42.302100000000003</v>
      </c>
      <c r="I561" s="68"/>
      <c r="J561" s="68"/>
      <c r="K561" s="69"/>
      <c r="L561" s="29"/>
      <c r="M561" s="81">
        <f>M266+M270+M278+M282</f>
        <v>289.52960000000002</v>
      </c>
      <c r="N561" s="81" t="e">
        <f t="shared" si="105"/>
        <v>#DIV/0!</v>
      </c>
      <c r="O561" s="81" t="e">
        <f t="shared" si="105"/>
        <v>#DIV/0!</v>
      </c>
      <c r="P561" s="81" t="e">
        <f t="shared" si="105"/>
        <v>#DIV/0!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8">
        <f>E311</f>
        <v>4219.5888000000004</v>
      </c>
      <c r="F562" s="78">
        <f t="shared" ref="F562:H565" si="106">AVERAGE(F287,F291,F295,F299,F303,F307)</f>
        <v>40.401383333333335</v>
      </c>
      <c r="G562" s="78">
        <f t="shared" si="106"/>
        <v>47.053249999999998</v>
      </c>
      <c r="H562" s="78">
        <f t="shared" si="106"/>
        <v>46.703733333333332</v>
      </c>
      <c r="I562" s="79"/>
      <c r="J562" s="79"/>
      <c r="K562" s="80"/>
      <c r="L562" s="29"/>
      <c r="M562" s="78">
        <f>M311</f>
        <v>4219.3624</v>
      </c>
      <c r="N562" s="78" t="e">
        <f t="shared" ref="N562:P565" si="107">AVERAGE(N287,N291,N295,N299,N303,N307)</f>
        <v>#DIV/0!</v>
      </c>
      <c r="O562" s="78" t="e">
        <f t="shared" si="107"/>
        <v>#DIV/0!</v>
      </c>
      <c r="P562" s="78" t="e">
        <f t="shared" si="107"/>
        <v>#DIV/0!</v>
      </c>
      <c r="Q562" s="79"/>
      <c r="R562" s="79"/>
      <c r="S562" s="80"/>
      <c r="U562" s="8" t="e">
        <f>bdrate($E562:$E565,F562:F565,$M562:$M565,N562:N565)</f>
        <v>#VALUE!</v>
      </c>
      <c r="V562" s="9" t="e">
        <f>bdrate($E562:$E565,G562:G565,$M562:$M565,O562:O565)</f>
        <v>#VALUE!</v>
      </c>
      <c r="W562" s="10" t="e">
        <f>bdrate($E562:$E565,H562:H565,$M562:$M565,P562:P565)</f>
        <v>#VALUE!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70">
        <f>E312</f>
        <v>1452.116</v>
      </c>
      <c r="F563" s="70">
        <f t="shared" si="106"/>
        <v>38.187583333333329</v>
      </c>
      <c r="G563" s="70">
        <f t="shared" si="106"/>
        <v>45.529266666666672</v>
      </c>
      <c r="H563" s="70">
        <f t="shared" si="106"/>
        <v>45.08508333333333</v>
      </c>
      <c r="I563" s="66"/>
      <c r="J563" s="66"/>
      <c r="K563" s="67"/>
      <c r="L563" s="29"/>
      <c r="M563" s="70">
        <f>M312</f>
        <v>1451.8784000000001</v>
      </c>
      <c r="N563" s="70" t="e">
        <f t="shared" si="107"/>
        <v>#DIV/0!</v>
      </c>
      <c r="O563" s="70" t="e">
        <f t="shared" si="107"/>
        <v>#DIV/0!</v>
      </c>
      <c r="P563" s="70" t="e">
        <f t="shared" si="107"/>
        <v>#DIV/0!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70">
        <f>E313</f>
        <v>656.01199999999994</v>
      </c>
      <c r="F564" s="70">
        <f t="shared" si="106"/>
        <v>36.05128333333333</v>
      </c>
      <c r="G564" s="70">
        <f t="shared" si="106"/>
        <v>43.8384</v>
      </c>
      <c r="H564" s="70">
        <f t="shared" si="106"/>
        <v>43.423233333333336</v>
      </c>
      <c r="I564" s="66"/>
      <c r="J564" s="66"/>
      <c r="K564" s="67"/>
      <c r="L564" s="29"/>
      <c r="M564" s="70">
        <f>M313</f>
        <v>655.9624</v>
      </c>
      <c r="N564" s="70" t="e">
        <f t="shared" si="107"/>
        <v>#DIV/0!</v>
      </c>
      <c r="O564" s="70" t="e">
        <f t="shared" si="107"/>
        <v>#DIV/0!</v>
      </c>
      <c r="P564" s="70" t="e">
        <f t="shared" si="107"/>
        <v>#DIV/0!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330.43360000000001</v>
      </c>
      <c r="F565" s="81">
        <f t="shared" si="106"/>
        <v>33.864716666666673</v>
      </c>
      <c r="G565" s="81">
        <f t="shared" si="106"/>
        <v>42.576983333333338</v>
      </c>
      <c r="H565" s="81">
        <f t="shared" si="106"/>
        <v>42.199033333333325</v>
      </c>
      <c r="I565" s="68"/>
      <c r="J565" s="68"/>
      <c r="K565" s="69"/>
      <c r="L565" s="29"/>
      <c r="M565" s="81">
        <f>M314</f>
        <v>330.44159999999999</v>
      </c>
      <c r="N565" s="81" t="e">
        <f t="shared" si="107"/>
        <v>#DIV/0!</v>
      </c>
      <c r="O565" s="81" t="e">
        <f t="shared" si="107"/>
        <v>#DIV/0!</v>
      </c>
      <c r="P565" s="81" t="e">
        <f t="shared" si="107"/>
        <v>#DIV/0!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8">
        <f t="shared" ref="E566:E573" si="108">E558</f>
        <v>3406.7592</v>
      </c>
      <c r="F566" s="78">
        <f t="shared" ref="F566:H569" si="109">AVERAGE(F263,F267,F287,F291,F295)</f>
        <v>40.034640000000003</v>
      </c>
      <c r="G566" s="78">
        <f t="shared" si="109"/>
        <v>46.983899999999991</v>
      </c>
      <c r="H566" s="78">
        <f t="shared" si="109"/>
        <v>46.151879999999998</v>
      </c>
      <c r="I566" s="79"/>
      <c r="J566" s="79"/>
      <c r="K566" s="80"/>
      <c r="L566" s="29"/>
      <c r="M566" s="78">
        <f t="shared" ref="M566:M573" si="110">M558</f>
        <v>3406.7592</v>
      </c>
      <c r="N566" s="78">
        <f t="shared" ref="N566:P569" si="111">AVERAGE(N263,N267,N287,N291,N295)</f>
        <v>39.42295</v>
      </c>
      <c r="O566" s="78">
        <f t="shared" si="111"/>
        <v>46.675399999999996</v>
      </c>
      <c r="P566" s="78">
        <f t="shared" si="111"/>
        <v>45.381900000000002</v>
      </c>
      <c r="Q566" s="79"/>
      <c r="R566" s="79"/>
      <c r="S566" s="80"/>
      <c r="U566" s="8">
        <f>bdrate($E566:$E569,F566:F569,$M566:$M569,N566:N569)</f>
        <v>0.17776550799875612</v>
      </c>
      <c r="V566" s="9">
        <f>bdrate($E566:$E569,G566:G569,$M566:$M569,O566:O569)</f>
        <v>0.13174379557465232</v>
      </c>
      <c r="W566" s="10">
        <f>bdrate($E566:$E569,H566:H569,$M566:$M569,P566:P569)</f>
        <v>0.49119048057429393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70">
        <f t="shared" si="108"/>
        <v>1225.9183999999998</v>
      </c>
      <c r="F567" s="70">
        <f t="shared" si="109"/>
        <v>37.958000000000006</v>
      </c>
      <c r="G567" s="70">
        <f t="shared" si="109"/>
        <v>45.457720000000002</v>
      </c>
      <c r="H567" s="70">
        <f t="shared" si="109"/>
        <v>44.54204</v>
      </c>
      <c r="I567" s="66"/>
      <c r="J567" s="66"/>
      <c r="K567" s="67"/>
      <c r="L567" s="29"/>
      <c r="M567" s="70">
        <f t="shared" si="110"/>
        <v>1225.9183999999998</v>
      </c>
      <c r="N567" s="70">
        <f t="shared" si="111"/>
        <v>37.518149999999999</v>
      </c>
      <c r="O567" s="70">
        <f t="shared" si="111"/>
        <v>45.240200000000002</v>
      </c>
      <c r="P567" s="70">
        <f t="shared" si="111"/>
        <v>43.829099999999997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70">
        <f t="shared" si="108"/>
        <v>566.93919999999991</v>
      </c>
      <c r="F568" s="70">
        <f t="shared" si="109"/>
        <v>35.901139999999998</v>
      </c>
      <c r="G568" s="70">
        <f t="shared" si="109"/>
        <v>43.814219999999992</v>
      </c>
      <c r="H568" s="70">
        <f t="shared" si="109"/>
        <v>42.997199999999999</v>
      </c>
      <c r="I568" s="66"/>
      <c r="J568" s="66"/>
      <c r="K568" s="67"/>
      <c r="L568" s="29"/>
      <c r="M568" s="70">
        <f t="shared" si="110"/>
        <v>566.93919999999991</v>
      </c>
      <c r="N568" s="70">
        <f t="shared" si="111"/>
        <v>35.562100000000001</v>
      </c>
      <c r="O568" s="70">
        <f t="shared" si="111"/>
        <v>43.614699999999999</v>
      </c>
      <c r="P568" s="70">
        <f t="shared" si="111"/>
        <v>42.320599999999999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289.52960000000002</v>
      </c>
      <c r="F569" s="81">
        <f t="shared" si="109"/>
        <v>33.77364</v>
      </c>
      <c r="G569" s="81">
        <f t="shared" si="109"/>
        <v>42.579099999999997</v>
      </c>
      <c r="H569" s="81">
        <f t="shared" si="109"/>
        <v>41.878419999999998</v>
      </c>
      <c r="I569" s="68"/>
      <c r="J569" s="68"/>
      <c r="K569" s="69"/>
      <c r="L569" s="29"/>
      <c r="M569" s="81">
        <f t="shared" si="110"/>
        <v>289.52960000000002</v>
      </c>
      <c r="N569" s="81">
        <f t="shared" si="111"/>
        <v>33.514150000000001</v>
      </c>
      <c r="O569" s="81">
        <f t="shared" si="111"/>
        <v>42.403300000000002</v>
      </c>
      <c r="P569" s="81">
        <f t="shared" si="111"/>
        <v>41.242900000000006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>
      <c r="B570" s="29"/>
      <c r="C570" s="28" t="s">
        <v>41</v>
      </c>
      <c r="D570" s="31">
        <v>25</v>
      </c>
      <c r="E570" s="78">
        <f t="shared" si="108"/>
        <v>4219.5888000000004</v>
      </c>
      <c r="F570" s="78">
        <f t="shared" ref="F570:H573" si="112">AVERAGE(F263,F267,F271,F287,F291,F295,F299,F303,F307)</f>
        <v>40.018566666666665</v>
      </c>
      <c r="G570" s="78">
        <f t="shared" si="112"/>
        <v>46.900222222222226</v>
      </c>
      <c r="H570" s="78">
        <f t="shared" si="112"/>
        <v>46.346599999999995</v>
      </c>
      <c r="I570" s="79"/>
      <c r="J570" s="79"/>
      <c r="K570" s="80"/>
      <c r="L570" s="29"/>
      <c r="M570" s="78">
        <f t="shared" si="110"/>
        <v>4219.3624</v>
      </c>
      <c r="N570" s="78">
        <f t="shared" ref="N570:P573" si="113">AVERAGE(N263,N267,N271,N287,N291,N295,N299,N303,N307)</f>
        <v>39.252933333333338</v>
      </c>
      <c r="O570" s="78">
        <f t="shared" si="113"/>
        <v>46.594166666666666</v>
      </c>
      <c r="P570" s="78">
        <f t="shared" si="113"/>
        <v>45.631866666666667</v>
      </c>
      <c r="Q570" s="79"/>
      <c r="R570" s="79"/>
      <c r="S570" s="80"/>
      <c r="U570" s="8">
        <f>bdrate($E570:$E573,F570:F573,$M570:$M573,N570:N573)</f>
        <v>0.2447296126858387</v>
      </c>
      <c r="V570" s="9">
        <f>bdrate($E570:$E573,G570:G573,$M570:$M573,O570:O573)</f>
        <v>0.13943371514056468</v>
      </c>
      <c r="W570" s="10">
        <f>bdrate($E570:$E573,H570:H573,$M570:$M573,P570:P573)</f>
        <v>0.42184117647410169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70">
        <f t="shared" si="108"/>
        <v>1452.116</v>
      </c>
      <c r="F571" s="70">
        <f t="shared" si="112"/>
        <v>37.901255555555558</v>
      </c>
      <c r="G571" s="70">
        <f t="shared" si="112"/>
        <v>45.404744444444447</v>
      </c>
      <c r="H571" s="70">
        <f t="shared" si="112"/>
        <v>44.764655555555557</v>
      </c>
      <c r="I571" s="66"/>
      <c r="J571" s="66"/>
      <c r="K571" s="67"/>
      <c r="L571" s="29"/>
      <c r="M571" s="70">
        <f t="shared" si="110"/>
        <v>1451.8784000000001</v>
      </c>
      <c r="N571" s="70">
        <f t="shared" si="113"/>
        <v>37.328266666666671</v>
      </c>
      <c r="O571" s="70">
        <f t="shared" si="113"/>
        <v>45.156000000000006</v>
      </c>
      <c r="P571" s="70">
        <f t="shared" si="113"/>
        <v>44.124233333333336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70">
        <f t="shared" si="108"/>
        <v>656.01199999999994</v>
      </c>
      <c r="F572" s="70">
        <f t="shared" si="112"/>
        <v>35.82275555555556</v>
      </c>
      <c r="G572" s="70">
        <f t="shared" si="112"/>
        <v>43.748533333333334</v>
      </c>
      <c r="H572" s="70">
        <f t="shared" si="112"/>
        <v>43.145722222222226</v>
      </c>
      <c r="I572" s="66"/>
      <c r="J572" s="66"/>
      <c r="K572" s="67"/>
      <c r="L572" s="29"/>
      <c r="M572" s="70">
        <f t="shared" si="110"/>
        <v>655.9624</v>
      </c>
      <c r="N572" s="70">
        <f t="shared" si="113"/>
        <v>35.365333333333332</v>
      </c>
      <c r="O572" s="70">
        <f t="shared" si="113"/>
        <v>43.567566666666664</v>
      </c>
      <c r="P572" s="70">
        <f t="shared" si="113"/>
        <v>42.588999999999999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330.43360000000001</v>
      </c>
      <c r="F573" s="81">
        <f t="shared" si="112"/>
        <v>33.684811111111109</v>
      </c>
      <c r="G573" s="81">
        <f t="shared" si="112"/>
        <v>42.508544444444439</v>
      </c>
      <c r="H573" s="81">
        <f t="shared" si="112"/>
        <v>41.955744444444441</v>
      </c>
      <c r="I573" s="68"/>
      <c r="J573" s="68"/>
      <c r="K573" s="69"/>
      <c r="L573" s="29"/>
      <c r="M573" s="81">
        <f t="shared" si="110"/>
        <v>330.44159999999999</v>
      </c>
      <c r="N573" s="81">
        <f t="shared" si="113"/>
        <v>33.325066666666665</v>
      </c>
      <c r="O573" s="81">
        <f t="shared" si="113"/>
        <v>42.37166666666667</v>
      </c>
      <c r="P573" s="81">
        <f t="shared" si="113"/>
        <v>41.469100000000005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8">
        <f>E315+E319</f>
        <v>5537.8959999999997</v>
      </c>
      <c r="F574" s="78">
        <f t="shared" ref="F574:H577" si="114">AVERAGE(F315,F319)</f>
        <v>38.391599999999997</v>
      </c>
      <c r="G574" s="78">
        <f t="shared" si="114"/>
        <v>46.615399999999994</v>
      </c>
      <c r="H574" s="78">
        <f t="shared" si="114"/>
        <v>45.966149999999999</v>
      </c>
      <c r="I574" s="79"/>
      <c r="J574" s="79"/>
      <c r="K574" s="80"/>
      <c r="L574" s="29"/>
      <c r="M574" s="82">
        <f>M315+M319</f>
        <v>5537.8959999999997</v>
      </c>
      <c r="N574" s="78">
        <f t="shared" ref="N574:P577" si="115">AVERAGE(N315,N319)</f>
        <v>38.391599999999997</v>
      </c>
      <c r="O574" s="78">
        <f t="shared" si="115"/>
        <v>46.615399999999994</v>
      </c>
      <c r="P574" s="78">
        <f t="shared" si="115"/>
        <v>45.966149999999999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70">
        <f>E316+E320</f>
        <v>2324.9679999999998</v>
      </c>
      <c r="F575" s="70">
        <f t="shared" si="114"/>
        <v>35.6312</v>
      </c>
      <c r="G575" s="70">
        <f t="shared" si="114"/>
        <v>45.130949999999999</v>
      </c>
      <c r="H575" s="70">
        <f t="shared" si="114"/>
        <v>44.579300000000003</v>
      </c>
      <c r="I575" s="66"/>
      <c r="J575" s="66"/>
      <c r="K575" s="67"/>
      <c r="L575" s="29"/>
      <c r="M575" s="83">
        <f>M316+M320</f>
        <v>2324.9679999999998</v>
      </c>
      <c r="N575" s="70">
        <f t="shared" si="115"/>
        <v>35.6312</v>
      </c>
      <c r="O575" s="70">
        <f t="shared" si="115"/>
        <v>45.130949999999999</v>
      </c>
      <c r="P575" s="70">
        <f t="shared" si="115"/>
        <v>44.579300000000003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70">
        <f>E317+E321</f>
        <v>1053.0455999999999</v>
      </c>
      <c r="F576" s="70">
        <f t="shared" si="114"/>
        <v>33.167050000000003</v>
      </c>
      <c r="G576" s="70">
        <f t="shared" si="114"/>
        <v>43.818750000000001</v>
      </c>
      <c r="H576" s="70">
        <f t="shared" si="114"/>
        <v>43.376750000000001</v>
      </c>
      <c r="I576" s="66"/>
      <c r="J576" s="66"/>
      <c r="K576" s="67"/>
      <c r="L576" s="29"/>
      <c r="M576" s="83">
        <f>M317+M321</f>
        <v>1053.0455999999999</v>
      </c>
      <c r="N576" s="70">
        <f t="shared" si="115"/>
        <v>33.167050000000003</v>
      </c>
      <c r="O576" s="70">
        <f t="shared" si="115"/>
        <v>43.818750000000001</v>
      </c>
      <c r="P576" s="70">
        <f t="shared" si="115"/>
        <v>43.376750000000001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488.03440000000001</v>
      </c>
      <c r="F577" s="81">
        <f t="shared" si="114"/>
        <v>30.904899999999998</v>
      </c>
      <c r="G577" s="81">
        <f t="shared" si="114"/>
        <v>43.013199999999998</v>
      </c>
      <c r="H577" s="81">
        <f t="shared" si="114"/>
        <v>42.6175</v>
      </c>
      <c r="I577" s="68"/>
      <c r="J577" s="68"/>
      <c r="K577" s="69"/>
      <c r="L577" s="29"/>
      <c r="M577" s="84">
        <f>M318+M322</f>
        <v>488.03440000000001</v>
      </c>
      <c r="N577" s="81">
        <f t="shared" si="115"/>
        <v>30.904899999999998</v>
      </c>
      <c r="O577" s="81">
        <f t="shared" si="115"/>
        <v>43.013199999999998</v>
      </c>
      <c r="P577" s="81">
        <f t="shared" si="115"/>
        <v>42.6175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8">
        <f>E315+E319+E323</f>
        <v>6400.2335999999996</v>
      </c>
      <c r="F578" s="78">
        <f t="shared" ref="F578:H581" si="116">AVERAGE(F315,F319,F323)</f>
        <v>38.309066666666666</v>
      </c>
      <c r="G578" s="78">
        <f t="shared" si="116"/>
        <v>46.582266666666662</v>
      </c>
      <c r="H578" s="78">
        <f t="shared" si="116"/>
        <v>45.90336666666667</v>
      </c>
      <c r="I578" s="79"/>
      <c r="J578" s="79"/>
      <c r="K578" s="80"/>
      <c r="L578" s="29"/>
      <c r="M578" s="78">
        <f>M315+M319+M323</f>
        <v>6400.152</v>
      </c>
      <c r="N578" s="78">
        <f t="shared" ref="N578:P581" si="117">AVERAGE(N315,N319,N323)</f>
        <v>38.309133333333328</v>
      </c>
      <c r="O578" s="78">
        <f t="shared" si="117"/>
        <v>46.582866666666661</v>
      </c>
      <c r="P578" s="78">
        <f t="shared" si="117"/>
        <v>45.903466666666667</v>
      </c>
      <c r="Q578" s="79"/>
      <c r="R578" s="79"/>
      <c r="S578" s="80"/>
      <c r="U578" s="8">
        <f>bdrate($E578:$E581,F578:F581,$M578:$M581,N578:N581)</f>
        <v>-1.6038533866780114E-5</v>
      </c>
      <c r="V578" s="9">
        <f>bdrate($E578:$E581,G578:G581,$M578:$M581,O578:O581)</f>
        <v>-1.2029564223126066E-4</v>
      </c>
      <c r="W578" s="10">
        <f>bdrate($E578:$E581,H578:H581,$M578:$M581,P578:P581)</f>
        <v>-1.4931904282255992E-5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70">
        <f>E316+E320+E324</f>
        <v>2628.9807999999998</v>
      </c>
      <c r="F579" s="70">
        <f t="shared" si="116"/>
        <v>35.599166666666669</v>
      </c>
      <c r="G579" s="70">
        <f t="shared" si="116"/>
        <v>45.102366666666661</v>
      </c>
      <c r="H579" s="70">
        <f t="shared" si="116"/>
        <v>44.52953333333334</v>
      </c>
      <c r="I579" s="66"/>
      <c r="J579" s="66"/>
      <c r="K579" s="67"/>
      <c r="L579" s="29"/>
      <c r="M579" s="70">
        <f>M316+M320+M324</f>
        <v>2628.7736</v>
      </c>
      <c r="N579" s="70">
        <f t="shared" si="117"/>
        <v>35.599066666666666</v>
      </c>
      <c r="O579" s="70">
        <f t="shared" si="117"/>
        <v>45.102499999999999</v>
      </c>
      <c r="P579" s="70">
        <f t="shared" si="117"/>
        <v>44.52953333333334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70">
        <f>E317+E321+E325</f>
        <v>1183.192</v>
      </c>
      <c r="F580" s="70">
        <f t="shared" si="116"/>
        <v>33.15956666666667</v>
      </c>
      <c r="G580" s="70">
        <f t="shared" si="116"/>
        <v>43.798733333333331</v>
      </c>
      <c r="H580" s="70">
        <f t="shared" si="116"/>
        <v>43.338266666666669</v>
      </c>
      <c r="I580" s="66"/>
      <c r="J580" s="66"/>
      <c r="K580" s="67"/>
      <c r="L580" s="29"/>
      <c r="M580" s="70">
        <f>M317+M321+M325</f>
        <v>1183.2231999999999</v>
      </c>
      <c r="N580" s="70">
        <f t="shared" si="117"/>
        <v>33.159500000000001</v>
      </c>
      <c r="O580" s="70">
        <f t="shared" si="117"/>
        <v>43.7988</v>
      </c>
      <c r="P580" s="70">
        <f t="shared" si="117"/>
        <v>43.338133333333332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548.6576</v>
      </c>
      <c r="F581" s="81">
        <f t="shared" si="116"/>
        <v>30.906433333333336</v>
      </c>
      <c r="G581" s="81">
        <f t="shared" si="116"/>
        <v>42.990766666666666</v>
      </c>
      <c r="H581" s="81">
        <f t="shared" si="116"/>
        <v>42.578600000000002</v>
      </c>
      <c r="I581" s="68"/>
      <c r="J581" s="68"/>
      <c r="K581" s="69"/>
      <c r="L581" s="29"/>
      <c r="M581" s="81">
        <f>M318+M322+M326</f>
        <v>548.61199999999997</v>
      </c>
      <c r="N581" s="81">
        <f t="shared" si="117"/>
        <v>30.906433333333336</v>
      </c>
      <c r="O581" s="81">
        <f t="shared" si="117"/>
        <v>42.990466666666663</v>
      </c>
      <c r="P581" s="81">
        <f t="shared" si="117"/>
        <v>42.578600000000002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8">
        <f>E315+E319+E327+E331</f>
        <v>5843.2663999999995</v>
      </c>
      <c r="F582" s="78">
        <f t="shared" ref="F582:H585" si="118">AVERAGE(F339,F343,F347)</f>
        <v>38.826900000000002</v>
      </c>
      <c r="G582" s="78">
        <f t="shared" si="118"/>
        <v>46.993733333333331</v>
      </c>
      <c r="H582" s="78">
        <f t="shared" si="118"/>
        <v>46.11493333333334</v>
      </c>
      <c r="I582" s="79"/>
      <c r="J582" s="79"/>
      <c r="K582" s="80"/>
      <c r="L582" s="29"/>
      <c r="M582" s="78">
        <f>M315+M319+M327+M331</f>
        <v>5843.2663999999995</v>
      </c>
      <c r="N582" s="78" t="e">
        <f t="shared" ref="N582:P585" si="119">AVERAGE(N339,N343,N347)</f>
        <v>#DIV/0!</v>
      </c>
      <c r="O582" s="78" t="e">
        <f t="shared" si="119"/>
        <v>#DIV/0!</v>
      </c>
      <c r="P582" s="78" t="e">
        <f t="shared" si="119"/>
        <v>#DIV/0!</v>
      </c>
      <c r="Q582" s="79"/>
      <c r="R582" s="79"/>
      <c r="S582" s="80"/>
      <c r="U582" s="8" t="e">
        <f>bdrate($E582:$E585,F582:F585,$M582:$M585,N582:N585)</f>
        <v>#VALUE!</v>
      </c>
      <c r="V582" s="9" t="e">
        <f>bdrate($E582:$E585,G582:G585,$M582:$M585,O582:O585)</f>
        <v>#VALUE!</v>
      </c>
      <c r="W582" s="10" t="e">
        <f>bdrate($E582:$E585,H582:H585,$M582:$M585,P582:P585)</f>
        <v>#VALUE!</v>
      </c>
      <c r="Y582" s="61"/>
      <c r="Z582" s="61"/>
      <c r="AA582" s="61"/>
      <c r="AB582" s="24"/>
      <c r="AC582" s="24"/>
    </row>
    <row r="583" spans="2:29">
      <c r="B583" s="29"/>
      <c r="C583" s="29"/>
      <c r="D583" s="32">
        <v>30</v>
      </c>
      <c r="E583" s="70">
        <f>E316+E320+E328+E332</f>
        <v>2457.8824</v>
      </c>
      <c r="F583" s="70">
        <f t="shared" si="118"/>
        <v>35.914133333333332</v>
      </c>
      <c r="G583" s="70">
        <f t="shared" si="118"/>
        <v>45.531133333333337</v>
      </c>
      <c r="H583" s="70">
        <f t="shared" si="118"/>
        <v>44.812866666666672</v>
      </c>
      <c r="I583" s="66"/>
      <c r="J583" s="66"/>
      <c r="K583" s="67"/>
      <c r="L583" s="29"/>
      <c r="M583" s="70">
        <f>M316+M320+M328+M332</f>
        <v>2457.8824</v>
      </c>
      <c r="N583" s="70" t="e">
        <f t="shared" si="119"/>
        <v>#DIV/0!</v>
      </c>
      <c r="O583" s="70" t="e">
        <f t="shared" si="119"/>
        <v>#DIV/0!</v>
      </c>
      <c r="P583" s="70" t="e">
        <f t="shared" si="119"/>
        <v>#DIV/0!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70">
        <f>E317+E321+E329+E333</f>
        <v>1117.4823999999999</v>
      </c>
      <c r="F584" s="70">
        <f t="shared" si="118"/>
        <v>33.327766666666662</v>
      </c>
      <c r="G584" s="70">
        <f t="shared" si="118"/>
        <v>44.215633333333336</v>
      </c>
      <c r="H584" s="70">
        <f t="shared" si="118"/>
        <v>43.712366666666668</v>
      </c>
      <c r="I584" s="66"/>
      <c r="J584" s="66"/>
      <c r="K584" s="67"/>
      <c r="L584" s="29"/>
      <c r="M584" s="70">
        <f>M317+M321+M329+M333</f>
        <v>1117.4823999999999</v>
      </c>
      <c r="N584" s="70" t="e">
        <f t="shared" si="119"/>
        <v>#DIV/0!</v>
      </c>
      <c r="O584" s="70" t="e">
        <f t="shared" si="119"/>
        <v>#DIV/0!</v>
      </c>
      <c r="P584" s="70" t="e">
        <f t="shared" si="119"/>
        <v>#DIV/0!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518.72800000000007</v>
      </c>
      <c r="F585" s="81">
        <f t="shared" si="118"/>
        <v>30.972966666666668</v>
      </c>
      <c r="G585" s="81">
        <f t="shared" si="118"/>
        <v>43.417033333333336</v>
      </c>
      <c r="H585" s="81">
        <f t="shared" si="118"/>
        <v>42.95793333333333</v>
      </c>
      <c r="I585" s="68"/>
      <c r="J585" s="68"/>
      <c r="K585" s="69"/>
      <c r="L585" s="29"/>
      <c r="M585" s="81">
        <f>M318+M322+M330+M334</f>
        <v>518.72800000000007</v>
      </c>
      <c r="N585" s="81" t="e">
        <f t="shared" si="119"/>
        <v>#DIV/0!</v>
      </c>
      <c r="O585" s="81" t="e">
        <f t="shared" si="119"/>
        <v>#DIV/0!</v>
      </c>
      <c r="P585" s="81" t="e">
        <f t="shared" si="119"/>
        <v>#DIV/0!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8">
        <f>E363</f>
        <v>6803.5136000000002</v>
      </c>
      <c r="F586" s="78">
        <f t="shared" ref="F586:H589" si="120">AVERAGE(F339,F343,F347,F351,F355,F359)</f>
        <v>38.846333333333327</v>
      </c>
      <c r="G586" s="78">
        <f t="shared" si="120"/>
        <v>46.7515</v>
      </c>
      <c r="H586" s="78">
        <f t="shared" si="120"/>
        <v>46.324866666666672</v>
      </c>
      <c r="I586" s="79"/>
      <c r="J586" s="79"/>
      <c r="K586" s="80"/>
      <c r="L586" s="29"/>
      <c r="M586" s="78">
        <f>M363</f>
        <v>6803.4903999999997</v>
      </c>
      <c r="N586" s="78" t="e">
        <f t="shared" ref="N586:P589" si="121">AVERAGE(N339,N343,N347,N351,N355,N359)</f>
        <v>#DIV/0!</v>
      </c>
      <c r="O586" s="78" t="e">
        <f t="shared" si="121"/>
        <v>#DIV/0!</v>
      </c>
      <c r="P586" s="78" t="e">
        <f t="shared" si="121"/>
        <v>#DIV/0!</v>
      </c>
      <c r="Q586" s="79"/>
      <c r="R586" s="79"/>
      <c r="S586" s="80"/>
      <c r="U586" s="8" t="e">
        <f>bdrate($E586:$E589,F586:F589,$M586:$M589,N586:N589)</f>
        <v>#VALUE!</v>
      </c>
      <c r="V586" s="9" t="e">
        <f>bdrate($E586:$E589,G586:G589,$M586:$M589,O586:O589)</f>
        <v>#VALUE!</v>
      </c>
      <c r="W586" s="10" t="e">
        <f>bdrate($E586:$E589,H586:H589,$M586:$M589,P586:P589)</f>
        <v>#VALUE!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70">
        <f>E364</f>
        <v>2805.4551999999999</v>
      </c>
      <c r="F587" s="70">
        <f t="shared" si="120"/>
        <v>35.939933333333329</v>
      </c>
      <c r="G587" s="70">
        <f t="shared" si="120"/>
        <v>45.333850000000005</v>
      </c>
      <c r="H587" s="70">
        <f t="shared" si="120"/>
        <v>44.932449999999996</v>
      </c>
      <c r="I587" s="66"/>
      <c r="J587" s="66"/>
      <c r="K587" s="67"/>
      <c r="L587" s="29"/>
      <c r="M587" s="70">
        <f>M364</f>
        <v>2805.3591999999999</v>
      </c>
      <c r="N587" s="70" t="e">
        <f t="shared" si="121"/>
        <v>#DIV/0!</v>
      </c>
      <c r="O587" s="70" t="e">
        <f t="shared" si="121"/>
        <v>#DIV/0!</v>
      </c>
      <c r="P587" s="70" t="e">
        <f t="shared" si="121"/>
        <v>#DIV/0!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70">
        <f>E365</f>
        <v>1271.8208</v>
      </c>
      <c r="F588" s="70">
        <f t="shared" si="120"/>
        <v>33.357199999999999</v>
      </c>
      <c r="G588" s="70">
        <f t="shared" si="120"/>
        <v>44.031983333333336</v>
      </c>
      <c r="H588" s="70">
        <f t="shared" si="120"/>
        <v>43.674166666666672</v>
      </c>
      <c r="I588" s="66"/>
      <c r="J588" s="66"/>
      <c r="K588" s="67"/>
      <c r="L588" s="29"/>
      <c r="M588" s="70">
        <f>M365</f>
        <v>1271.836</v>
      </c>
      <c r="N588" s="70" t="e">
        <f t="shared" si="121"/>
        <v>#DIV/0!</v>
      </c>
      <c r="O588" s="70" t="e">
        <f t="shared" si="121"/>
        <v>#DIV/0!</v>
      </c>
      <c r="P588" s="70" t="e">
        <f t="shared" si="121"/>
        <v>#DIV/0!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594.37360000000001</v>
      </c>
      <c r="F589" s="81">
        <f t="shared" si="120"/>
        <v>31.000933333333336</v>
      </c>
      <c r="G589" s="81">
        <f t="shared" si="120"/>
        <v>43.243083333333338</v>
      </c>
      <c r="H589" s="81">
        <f t="shared" si="120"/>
        <v>42.852166666666669</v>
      </c>
      <c r="I589" s="68"/>
      <c r="J589" s="68"/>
      <c r="K589" s="69"/>
      <c r="L589" s="29"/>
      <c r="M589" s="81">
        <f>M366</f>
        <v>594.32159999999999</v>
      </c>
      <c r="N589" s="81" t="e">
        <f t="shared" si="121"/>
        <v>#DIV/0!</v>
      </c>
      <c r="O589" s="81" t="e">
        <f t="shared" si="121"/>
        <v>#DIV/0!</v>
      </c>
      <c r="P589" s="81" t="e">
        <f t="shared" si="121"/>
        <v>#DIV/0!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8">
        <f t="shared" ref="E590:E597" si="122">E582</f>
        <v>5843.2663999999995</v>
      </c>
      <c r="F590" s="78">
        <f t="shared" ref="F590:H593" si="123">AVERAGE(F315,F319,F339,F343,F347)</f>
        <v>38.652779999999993</v>
      </c>
      <c r="G590" s="78">
        <f t="shared" si="123"/>
        <v>46.842399999999998</v>
      </c>
      <c r="H590" s="78">
        <f t="shared" si="123"/>
        <v>46.055420000000005</v>
      </c>
      <c r="I590" s="79"/>
      <c r="J590" s="79"/>
      <c r="K590" s="80"/>
      <c r="L590" s="29"/>
      <c r="M590" s="78">
        <f t="shared" ref="M590:M597" si="124">M582</f>
        <v>5843.2663999999995</v>
      </c>
      <c r="N590" s="78">
        <f t="shared" ref="N590:P593" si="125">AVERAGE(N315,N319,N339,N343,N347)</f>
        <v>38.391599999999997</v>
      </c>
      <c r="O590" s="78">
        <f t="shared" si="125"/>
        <v>46.615399999999994</v>
      </c>
      <c r="P590" s="78">
        <f t="shared" si="125"/>
        <v>45.966149999999999</v>
      </c>
      <c r="Q590" s="79"/>
      <c r="R590" s="79"/>
      <c r="S590" s="80"/>
      <c r="U590" s="8">
        <f>bdrate($E590:$E593,F590:F593,$M590:$M593,N590:N593)</f>
        <v>4.5461132569418528E-2</v>
      </c>
      <c r="V590" s="9">
        <f>bdrate($E590:$E593,G590:G593,$M590:$M593,O590:O593)</f>
        <v>0.17079711046095958</v>
      </c>
      <c r="W590" s="10">
        <f>bdrate($E590:$E593,H590:H593,$M590:$M593,P590:P593)</f>
        <v>0.12348319312663714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70">
        <f t="shared" si="122"/>
        <v>2457.8824</v>
      </c>
      <c r="F591" s="70">
        <f t="shared" si="123"/>
        <v>35.800960000000003</v>
      </c>
      <c r="G591" s="70">
        <f t="shared" si="123"/>
        <v>45.371060000000007</v>
      </c>
      <c r="H591" s="70">
        <f t="shared" si="123"/>
        <v>44.719439999999999</v>
      </c>
      <c r="I591" s="66"/>
      <c r="J591" s="66"/>
      <c r="K591" s="67"/>
      <c r="L591" s="29"/>
      <c r="M591" s="70">
        <f t="shared" si="124"/>
        <v>2457.8824</v>
      </c>
      <c r="N591" s="70">
        <f t="shared" si="125"/>
        <v>35.6312</v>
      </c>
      <c r="O591" s="70">
        <f t="shared" si="125"/>
        <v>45.130949999999999</v>
      </c>
      <c r="P591" s="70">
        <f t="shared" si="125"/>
        <v>44.579300000000003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70">
        <f t="shared" si="122"/>
        <v>1117.4823999999999</v>
      </c>
      <c r="F592" s="70">
        <f t="shared" si="123"/>
        <v>33.263480000000001</v>
      </c>
      <c r="G592" s="70">
        <f t="shared" si="123"/>
        <v>44.05688</v>
      </c>
      <c r="H592" s="70">
        <f t="shared" si="123"/>
        <v>43.578119999999998</v>
      </c>
      <c r="I592" s="66"/>
      <c r="J592" s="66"/>
      <c r="K592" s="67"/>
      <c r="L592" s="29"/>
      <c r="M592" s="70">
        <f t="shared" si="124"/>
        <v>1117.4823999999999</v>
      </c>
      <c r="N592" s="70">
        <f t="shared" si="125"/>
        <v>33.167050000000003</v>
      </c>
      <c r="O592" s="70">
        <f t="shared" si="125"/>
        <v>43.818750000000001</v>
      </c>
      <c r="P592" s="70">
        <f t="shared" si="125"/>
        <v>43.376750000000001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518.72800000000007</v>
      </c>
      <c r="F593" s="81">
        <f t="shared" si="123"/>
        <v>30.945739999999994</v>
      </c>
      <c r="G593" s="81">
        <f t="shared" si="123"/>
        <v>43.255499999999998</v>
      </c>
      <c r="H593" s="81">
        <f t="shared" si="123"/>
        <v>42.821759999999998</v>
      </c>
      <c r="I593" s="68"/>
      <c r="J593" s="68"/>
      <c r="K593" s="69"/>
      <c r="L593" s="29"/>
      <c r="M593" s="81">
        <f t="shared" si="124"/>
        <v>518.72800000000007</v>
      </c>
      <c r="N593" s="81">
        <f t="shared" si="125"/>
        <v>30.904899999999998</v>
      </c>
      <c r="O593" s="81">
        <f t="shared" si="125"/>
        <v>43.013199999999998</v>
      </c>
      <c r="P593" s="81">
        <f t="shared" si="125"/>
        <v>42.6175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8">
        <f t="shared" si="122"/>
        <v>6803.5136000000002</v>
      </c>
      <c r="F594" s="78">
        <f t="shared" ref="F594:H597" si="126">AVERAGE(F315,F319,F323,F339,F343,F347,F351,F355,F359)</f>
        <v>38.667244444444442</v>
      </c>
      <c r="G594" s="78">
        <f t="shared" si="126"/>
        <v>46.69508888888889</v>
      </c>
      <c r="H594" s="78">
        <f t="shared" si="126"/>
        <v>46.184366666666676</v>
      </c>
      <c r="I594" s="79"/>
      <c r="J594" s="79"/>
      <c r="K594" s="80"/>
      <c r="L594" s="29"/>
      <c r="M594" s="78">
        <f t="shared" si="124"/>
        <v>6803.4903999999997</v>
      </c>
      <c r="N594" s="78">
        <f t="shared" ref="N594:P597" si="127">AVERAGE(N315,N319,N323,N339,N343,N347,N351,N355,N359)</f>
        <v>38.309133333333328</v>
      </c>
      <c r="O594" s="78">
        <f t="shared" si="127"/>
        <v>46.582866666666661</v>
      </c>
      <c r="P594" s="78">
        <f t="shared" si="127"/>
        <v>45.903466666666667</v>
      </c>
      <c r="Q594" s="79"/>
      <c r="R594" s="79"/>
      <c r="S594" s="80"/>
      <c r="U594" s="8">
        <f>bdrate($E594:$E597,F594:F597,$M594:$M597,N594:N597)</f>
        <v>6.3222829927147117E-2</v>
      </c>
      <c r="V594" s="9">
        <f>bdrate($E594:$E597,G594:G597,$M594:$M597,O594:O597)</f>
        <v>0.10700456347465481</v>
      </c>
      <c r="W594" s="10">
        <f>bdrate($E594:$E597,H594:H597,$M594:$M597,P594:P597)</f>
        <v>0.19234935382545726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70">
        <f t="shared" si="122"/>
        <v>2805.4551999999999</v>
      </c>
      <c r="F595" s="70">
        <f t="shared" si="126"/>
        <v>35.826344444444445</v>
      </c>
      <c r="G595" s="70">
        <f t="shared" si="126"/>
        <v>45.256688888888888</v>
      </c>
      <c r="H595" s="70">
        <f t="shared" si="126"/>
        <v>44.798144444444446</v>
      </c>
      <c r="I595" s="66"/>
      <c r="J595" s="66"/>
      <c r="K595" s="67"/>
      <c r="L595" s="29"/>
      <c r="M595" s="70">
        <f t="shared" si="124"/>
        <v>2805.3591999999999</v>
      </c>
      <c r="N595" s="70">
        <f t="shared" si="127"/>
        <v>35.599066666666666</v>
      </c>
      <c r="O595" s="70">
        <f t="shared" si="127"/>
        <v>45.102499999999999</v>
      </c>
      <c r="P595" s="70">
        <f t="shared" si="127"/>
        <v>44.52953333333334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70">
        <f t="shared" si="122"/>
        <v>1271.8208</v>
      </c>
      <c r="F596" s="70">
        <f t="shared" si="126"/>
        <v>33.291322222222227</v>
      </c>
      <c r="G596" s="70">
        <f t="shared" si="126"/>
        <v>43.954233333333327</v>
      </c>
      <c r="H596" s="70">
        <f t="shared" si="126"/>
        <v>43.562200000000004</v>
      </c>
      <c r="I596" s="66"/>
      <c r="J596" s="66"/>
      <c r="K596" s="67"/>
      <c r="L596" s="29"/>
      <c r="M596" s="70">
        <f t="shared" si="124"/>
        <v>1271.836</v>
      </c>
      <c r="N596" s="70">
        <f t="shared" si="127"/>
        <v>33.159500000000001</v>
      </c>
      <c r="O596" s="70">
        <f t="shared" si="127"/>
        <v>43.7988</v>
      </c>
      <c r="P596" s="70">
        <f t="shared" si="127"/>
        <v>43.338133333333332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594.37360000000001</v>
      </c>
      <c r="F597" s="81">
        <f t="shared" si="126"/>
        <v>30.969433333333331</v>
      </c>
      <c r="G597" s="81">
        <f t="shared" si="126"/>
        <v>43.158977777777771</v>
      </c>
      <c r="H597" s="81">
        <f t="shared" si="126"/>
        <v>42.760977777777782</v>
      </c>
      <c r="I597" s="68"/>
      <c r="J597" s="68"/>
      <c r="K597" s="69"/>
      <c r="L597" s="29"/>
      <c r="M597" s="81">
        <f t="shared" si="124"/>
        <v>594.32159999999999</v>
      </c>
      <c r="N597" s="81">
        <f t="shared" si="127"/>
        <v>30.906433333333336</v>
      </c>
      <c r="O597" s="81">
        <f t="shared" si="127"/>
        <v>42.990466666666663</v>
      </c>
      <c r="P597" s="81">
        <f t="shared" si="127"/>
        <v>42.578600000000002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8">
        <f>E367+E371</f>
        <v>4701.4399999999996</v>
      </c>
      <c r="F598" s="78">
        <f t="shared" ref="F598:H601" si="128">AVERAGE(F367,F371)</f>
        <v>41.203850000000003</v>
      </c>
      <c r="G598" s="78">
        <f t="shared" si="128"/>
        <v>46.552350000000004</v>
      </c>
      <c r="H598" s="78">
        <f t="shared" si="128"/>
        <v>45.921750000000003</v>
      </c>
      <c r="I598" s="79"/>
      <c r="J598" s="79"/>
      <c r="K598" s="80"/>
      <c r="L598" s="29"/>
      <c r="M598" s="78">
        <f>M367+M371</f>
        <v>4701.4399999999996</v>
      </c>
      <c r="N598" s="78">
        <f t="shared" ref="N598:P601" si="129">AVERAGE(N367,N371)</f>
        <v>41.203850000000003</v>
      </c>
      <c r="O598" s="78">
        <f t="shared" si="129"/>
        <v>46.552350000000004</v>
      </c>
      <c r="P598" s="78">
        <f t="shared" si="129"/>
        <v>45.921750000000003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70">
        <f>E368+E372</f>
        <v>2320.6848</v>
      </c>
      <c r="F599" s="70">
        <f t="shared" si="128"/>
        <v>38.286299999999997</v>
      </c>
      <c r="G599" s="70">
        <f t="shared" si="128"/>
        <v>44.873049999999999</v>
      </c>
      <c r="H599" s="70">
        <f t="shared" si="128"/>
        <v>44.026650000000004</v>
      </c>
      <c r="I599" s="66"/>
      <c r="J599" s="66"/>
      <c r="K599" s="67"/>
      <c r="L599" s="29"/>
      <c r="M599" s="70">
        <f>M368+M372</f>
        <v>2320.6848</v>
      </c>
      <c r="N599" s="70">
        <f t="shared" si="129"/>
        <v>38.286299999999997</v>
      </c>
      <c r="O599" s="70">
        <f t="shared" si="129"/>
        <v>44.873049999999999</v>
      </c>
      <c r="P599" s="70">
        <f t="shared" si="129"/>
        <v>44.026650000000004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70">
        <f>E369+E373</f>
        <v>1137.2335999999998</v>
      </c>
      <c r="F600" s="70">
        <f t="shared" si="128"/>
        <v>35.528350000000003</v>
      </c>
      <c r="G600" s="70">
        <f t="shared" si="128"/>
        <v>43.257950000000001</v>
      </c>
      <c r="H600" s="70">
        <f t="shared" si="128"/>
        <v>42.19455</v>
      </c>
      <c r="I600" s="66"/>
      <c r="J600" s="66"/>
      <c r="K600" s="67"/>
      <c r="L600" s="29"/>
      <c r="M600" s="70">
        <f>M369+M373</f>
        <v>1137.2335999999998</v>
      </c>
      <c r="N600" s="70">
        <f t="shared" si="129"/>
        <v>35.528350000000003</v>
      </c>
      <c r="O600" s="70">
        <f t="shared" si="129"/>
        <v>43.257950000000001</v>
      </c>
      <c r="P600" s="70">
        <f t="shared" si="129"/>
        <v>42.19455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546.024</v>
      </c>
      <c r="F601" s="81">
        <f t="shared" si="128"/>
        <v>33.090699999999998</v>
      </c>
      <c r="G601" s="81">
        <f t="shared" si="128"/>
        <v>42.27355</v>
      </c>
      <c r="H601" s="81">
        <f t="shared" si="128"/>
        <v>40.919399999999996</v>
      </c>
      <c r="I601" s="68"/>
      <c r="J601" s="68"/>
      <c r="K601" s="69"/>
      <c r="L601" s="29"/>
      <c r="M601" s="81">
        <f>M370+M374</f>
        <v>546.024</v>
      </c>
      <c r="N601" s="81">
        <f t="shared" si="129"/>
        <v>33.090699999999998</v>
      </c>
      <c r="O601" s="81">
        <f t="shared" si="129"/>
        <v>42.27355</v>
      </c>
      <c r="P601" s="81">
        <f t="shared" si="129"/>
        <v>40.919399999999996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8">
        <f>E367+E371+E375</f>
        <v>5225.9487999999992</v>
      </c>
      <c r="F602" s="78">
        <f t="shared" ref="F602:H605" si="130">AVERAGE(F367,F371,F375)</f>
        <v>41.112500000000004</v>
      </c>
      <c r="G602" s="78">
        <f t="shared" si="130"/>
        <v>46.533800000000006</v>
      </c>
      <c r="H602" s="78">
        <f t="shared" si="130"/>
        <v>45.882000000000005</v>
      </c>
      <c r="I602" s="79"/>
      <c r="J602" s="79"/>
      <c r="K602" s="80"/>
      <c r="L602" s="29"/>
      <c r="M602" s="78">
        <f>M367+M371+M375</f>
        <v>5225.7471999999998</v>
      </c>
      <c r="N602" s="78">
        <f t="shared" ref="N602:P605" si="131">AVERAGE(N367,N371,N375)</f>
        <v>41.112433333333335</v>
      </c>
      <c r="O602" s="78">
        <f t="shared" si="131"/>
        <v>46.533733333333338</v>
      </c>
      <c r="P602" s="78">
        <f t="shared" si="131"/>
        <v>45.881799999999998</v>
      </c>
      <c r="Q602" s="79"/>
      <c r="R602" s="79"/>
      <c r="S602" s="80"/>
      <c r="U602" s="8">
        <f>bdrate($E602:$E605,F602:F605,$M602:$M605,N602:N605)</f>
        <v>-3.9681501298072241E-5</v>
      </c>
      <c r="V602" s="9">
        <f>bdrate($E602:$E605,G602:G605,$M602:$M605,O602:O605)</f>
        <v>-1.0881683961172506E-4</v>
      </c>
      <c r="W602" s="10">
        <f>bdrate($E602:$E605,H602:H605,$M602:$M605,P602:P605)</f>
        <v>-9.028720820358771E-5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70">
        <f>E368+E372+E376</f>
        <v>2538.308</v>
      </c>
      <c r="F603" s="70">
        <f t="shared" si="130"/>
        <v>38.220833333333331</v>
      </c>
      <c r="G603" s="70">
        <f t="shared" si="130"/>
        <v>44.858166666666669</v>
      </c>
      <c r="H603" s="70">
        <f t="shared" si="130"/>
        <v>44.000599999999999</v>
      </c>
      <c r="I603" s="66"/>
      <c r="J603" s="66"/>
      <c r="K603" s="67"/>
      <c r="L603" s="29"/>
      <c r="M603" s="70">
        <f>M368+M372+M376</f>
        <v>2538.0320000000002</v>
      </c>
      <c r="N603" s="70">
        <f t="shared" si="131"/>
        <v>38.220566666666663</v>
      </c>
      <c r="O603" s="70">
        <f t="shared" si="131"/>
        <v>44.858300000000007</v>
      </c>
      <c r="P603" s="70">
        <f t="shared" si="131"/>
        <v>44.000466666666661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70">
        <f>E369+E373+E377</f>
        <v>1240.6767999999997</v>
      </c>
      <c r="F604" s="70">
        <f t="shared" si="130"/>
        <v>35.48576666666667</v>
      </c>
      <c r="G604" s="70">
        <f t="shared" si="130"/>
        <v>43.252900000000004</v>
      </c>
      <c r="H604" s="70">
        <f t="shared" si="130"/>
        <v>42.185899999999997</v>
      </c>
      <c r="I604" s="66"/>
      <c r="J604" s="66"/>
      <c r="K604" s="67"/>
      <c r="L604" s="29"/>
      <c r="M604" s="70">
        <f>M369+M373+M377</f>
        <v>1240.5679999999998</v>
      </c>
      <c r="N604" s="70">
        <f t="shared" si="131"/>
        <v>35.485633333333332</v>
      </c>
      <c r="O604" s="70">
        <f t="shared" si="131"/>
        <v>43.252966666666673</v>
      </c>
      <c r="P604" s="70">
        <f t="shared" si="131"/>
        <v>42.186166666666672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597.01120000000003</v>
      </c>
      <c r="F605" s="81">
        <f t="shared" si="130"/>
        <v>33.0565</v>
      </c>
      <c r="G605" s="81">
        <f t="shared" si="130"/>
        <v>42.2605</v>
      </c>
      <c r="H605" s="81">
        <f t="shared" si="130"/>
        <v>40.904699999999998</v>
      </c>
      <c r="I605" s="68"/>
      <c r="J605" s="68"/>
      <c r="K605" s="69"/>
      <c r="L605" s="29"/>
      <c r="M605" s="81">
        <f>M370+M374+M378</f>
        <v>596.98479999999995</v>
      </c>
      <c r="N605" s="81">
        <f t="shared" si="131"/>
        <v>33.056433333333331</v>
      </c>
      <c r="O605" s="81">
        <f t="shared" si="131"/>
        <v>42.260333333333335</v>
      </c>
      <c r="P605" s="81">
        <f t="shared" si="131"/>
        <v>40.904633333333329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8">
        <f>E367+E371+E379+E383</f>
        <v>5343.0527999999995</v>
      </c>
      <c r="F606" s="78">
        <f t="shared" ref="F606:H609" si="132">AVERAGE(F391,F395,F399)</f>
        <v>40.867933333333333</v>
      </c>
      <c r="G606" s="78">
        <f t="shared" si="132"/>
        <v>47.150066666666667</v>
      </c>
      <c r="H606" s="78">
        <f t="shared" si="132"/>
        <v>46.686933333333336</v>
      </c>
      <c r="I606" s="79"/>
      <c r="J606" s="79"/>
      <c r="K606" s="80"/>
      <c r="L606" s="29"/>
      <c r="M606" s="78">
        <f>M367+M371+M379+M383</f>
        <v>5343.0527999999995</v>
      </c>
      <c r="N606" s="78" t="e">
        <f t="shared" ref="N606:P609" si="133">AVERAGE(N391,N395,N399)</f>
        <v>#DIV/0!</v>
      </c>
      <c r="O606" s="78" t="e">
        <f t="shared" si="133"/>
        <v>#DIV/0!</v>
      </c>
      <c r="P606" s="78" t="e">
        <f t="shared" si="133"/>
        <v>#DIV/0!</v>
      </c>
      <c r="Q606" s="79"/>
      <c r="R606" s="79"/>
      <c r="S606" s="80"/>
      <c r="U606" s="8" t="e">
        <f>bdrate($E606:$E609,F606:F609,$M606:$M609,N606:N609)</f>
        <v>#VALUE!</v>
      </c>
      <c r="V606" s="9" t="e">
        <f>bdrate($E606:$E609,G606:G609,$M606:$M609,O606:O609)</f>
        <v>#VALUE!</v>
      </c>
      <c r="W606" s="10" t="e">
        <f>bdrate($E606:$E609,H606:H609,$M606:$M609,P606:P609)</f>
        <v>#VALUE!</v>
      </c>
      <c r="Y606" s="61"/>
      <c r="Z606" s="61"/>
      <c r="AA606" s="61"/>
      <c r="AB606" s="24"/>
      <c r="AC606" s="24"/>
    </row>
    <row r="607" spans="2:29">
      <c r="B607" s="29"/>
      <c r="C607" s="29"/>
      <c r="D607" s="32">
        <v>30</v>
      </c>
      <c r="E607" s="70">
        <f>E368+E372+E380+E384</f>
        <v>2523.9151999999999</v>
      </c>
      <c r="F607" s="70">
        <f t="shared" si="132"/>
        <v>38.044233333333331</v>
      </c>
      <c r="G607" s="70">
        <f t="shared" si="132"/>
        <v>45.448066666666669</v>
      </c>
      <c r="H607" s="70">
        <f t="shared" si="132"/>
        <v>44.741533333333336</v>
      </c>
      <c r="I607" s="66"/>
      <c r="J607" s="66"/>
      <c r="K607" s="67"/>
      <c r="L607" s="29"/>
      <c r="M607" s="70">
        <f>M368+M372+M380+M384</f>
        <v>2523.9151999999999</v>
      </c>
      <c r="N607" s="70" t="e">
        <f t="shared" si="133"/>
        <v>#DIV/0!</v>
      </c>
      <c r="O607" s="70" t="e">
        <f t="shared" si="133"/>
        <v>#DIV/0!</v>
      </c>
      <c r="P607" s="70" t="e">
        <f t="shared" si="133"/>
        <v>#DIV/0!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70">
        <f>E369+E373+E381+E385</f>
        <v>1213.1439999999998</v>
      </c>
      <c r="F608" s="70">
        <f t="shared" si="132"/>
        <v>35.345866666666666</v>
      </c>
      <c r="G608" s="70">
        <f t="shared" si="132"/>
        <v>43.695933333333329</v>
      </c>
      <c r="H608" s="70">
        <f t="shared" si="132"/>
        <v>42.762466666666661</v>
      </c>
      <c r="I608" s="66"/>
      <c r="J608" s="66"/>
      <c r="K608" s="67"/>
      <c r="L608" s="29"/>
      <c r="M608" s="70">
        <f>M369+M373+M381+M385</f>
        <v>1213.1439999999998</v>
      </c>
      <c r="N608" s="70" t="e">
        <f t="shared" si="133"/>
        <v>#DIV/0!</v>
      </c>
      <c r="O608" s="70" t="e">
        <f t="shared" si="133"/>
        <v>#DIV/0!</v>
      </c>
      <c r="P608" s="70" t="e">
        <f t="shared" si="133"/>
        <v>#DIV/0!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578.21439999999996</v>
      </c>
      <c r="F609" s="81">
        <f t="shared" si="132"/>
        <v>32.926199999999994</v>
      </c>
      <c r="G609" s="81">
        <f t="shared" si="132"/>
        <v>42.545333333333332</v>
      </c>
      <c r="H609" s="81">
        <f t="shared" si="132"/>
        <v>41.368099999999998</v>
      </c>
      <c r="I609" s="68"/>
      <c r="J609" s="68"/>
      <c r="K609" s="69"/>
      <c r="L609" s="29"/>
      <c r="M609" s="81">
        <f>M370+M374+M382+M386</f>
        <v>578.21439999999996</v>
      </c>
      <c r="N609" s="81" t="e">
        <f t="shared" si="133"/>
        <v>#DIV/0!</v>
      </c>
      <c r="O609" s="81" t="e">
        <f t="shared" si="133"/>
        <v>#DIV/0!</v>
      </c>
      <c r="P609" s="81" t="e">
        <f t="shared" si="133"/>
        <v>#DIV/0!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8">
        <f>E415</f>
        <v>6062.6224000000002</v>
      </c>
      <c r="F610" s="78">
        <f t="shared" ref="F610:H613" si="134">AVERAGE(F391,F395,F399,F403,F407,F411)</f>
        <v>40.876150000000003</v>
      </c>
      <c r="G610" s="78">
        <f t="shared" si="134"/>
        <v>47.07181666666667</v>
      </c>
      <c r="H610" s="78">
        <f t="shared" si="134"/>
        <v>46.762983333333331</v>
      </c>
      <c r="I610" s="79"/>
      <c r="J610" s="79"/>
      <c r="K610" s="80"/>
      <c r="L610" s="29"/>
      <c r="M610" s="78">
        <f>M415</f>
        <v>6062.5216</v>
      </c>
      <c r="N610" s="78" t="e">
        <f t="shared" ref="N610:P613" si="135">AVERAGE(N391,N395,N399,N403,N407,N411)</f>
        <v>#DIV/0!</v>
      </c>
      <c r="O610" s="78" t="e">
        <f t="shared" si="135"/>
        <v>#DIV/0!</v>
      </c>
      <c r="P610" s="78" t="e">
        <f t="shared" si="135"/>
        <v>#DIV/0!</v>
      </c>
      <c r="Q610" s="79"/>
      <c r="R610" s="79"/>
      <c r="S610" s="80"/>
      <c r="U610" s="8" t="e">
        <f>bdrate($E610:$E613,F610:F613,$M610:$M613,N610:N613)</f>
        <v>#VALUE!</v>
      </c>
      <c r="V610" s="9" t="e">
        <f>bdrate($E610:$E613,G610:G613,$M610:$M613,O610:O613)</f>
        <v>#VALUE!</v>
      </c>
      <c r="W610" s="10" t="e">
        <f>bdrate($E610:$E613,H610:H613,$M610:$M613,P610:P613)</f>
        <v>#VALUE!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70">
        <f>E416</f>
        <v>2802.16</v>
      </c>
      <c r="F611" s="70">
        <f t="shared" si="134"/>
        <v>38.046433333333333</v>
      </c>
      <c r="G611" s="70">
        <f t="shared" si="134"/>
        <v>45.413499999999999</v>
      </c>
      <c r="H611" s="70">
        <f t="shared" si="134"/>
        <v>44.792966666666672</v>
      </c>
      <c r="I611" s="66"/>
      <c r="J611" s="66"/>
      <c r="K611" s="67"/>
      <c r="L611" s="29"/>
      <c r="M611" s="70">
        <f>M416</f>
        <v>2801.9144000000001</v>
      </c>
      <c r="N611" s="70" t="e">
        <f t="shared" si="135"/>
        <v>#DIV/0!</v>
      </c>
      <c r="O611" s="70" t="e">
        <f t="shared" si="135"/>
        <v>#DIV/0!</v>
      </c>
      <c r="P611" s="70" t="e">
        <f t="shared" si="135"/>
        <v>#DIV/0!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70">
        <f>E417</f>
        <v>1344.0496000000001</v>
      </c>
      <c r="F612" s="70">
        <f t="shared" si="134"/>
        <v>35.347383333333333</v>
      </c>
      <c r="G612" s="70">
        <f t="shared" si="134"/>
        <v>43.708433333333339</v>
      </c>
      <c r="H612" s="70">
        <f t="shared" si="134"/>
        <v>42.807633333333335</v>
      </c>
      <c r="I612" s="66"/>
      <c r="J612" s="66"/>
      <c r="K612" s="67"/>
      <c r="L612" s="29"/>
      <c r="M612" s="70">
        <f>M417</f>
        <v>1343.952</v>
      </c>
      <c r="N612" s="70" t="e">
        <f t="shared" si="135"/>
        <v>#DIV/0!</v>
      </c>
      <c r="O612" s="70" t="e">
        <f t="shared" si="135"/>
        <v>#DIV/0!</v>
      </c>
      <c r="P612" s="70" t="e">
        <f t="shared" si="135"/>
        <v>#DIV/0!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644.91279999999995</v>
      </c>
      <c r="F613" s="81">
        <f t="shared" si="134"/>
        <v>32.923866666666669</v>
      </c>
      <c r="G613" s="81">
        <f t="shared" si="134"/>
        <v>42.573216666666667</v>
      </c>
      <c r="H613" s="81">
        <f t="shared" si="134"/>
        <v>41.39373333333333</v>
      </c>
      <c r="I613" s="68"/>
      <c r="J613" s="68"/>
      <c r="K613" s="69"/>
      <c r="L613" s="29"/>
      <c r="M613" s="81">
        <f>M418</f>
        <v>644.93439999999998</v>
      </c>
      <c r="N613" s="81" t="e">
        <f t="shared" si="135"/>
        <v>#DIV/0!</v>
      </c>
      <c r="O613" s="81" t="e">
        <f t="shared" si="135"/>
        <v>#DIV/0!</v>
      </c>
      <c r="P613" s="81" t="e">
        <f t="shared" si="135"/>
        <v>#DIV/0!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8">
        <f t="shared" ref="E614:E621" si="136">E606</f>
        <v>5343.0527999999995</v>
      </c>
      <c r="F614" s="78">
        <f t="shared" ref="F614:H617" si="137">AVERAGE(F367,F371,F391,F395,F399)</f>
        <v>41.002300000000005</v>
      </c>
      <c r="G614" s="78">
        <f t="shared" si="137"/>
        <v>46.910980000000002</v>
      </c>
      <c r="H614" s="78">
        <f t="shared" si="137"/>
        <v>46.380859999999998</v>
      </c>
      <c r="I614" s="79"/>
      <c r="J614" s="79"/>
      <c r="K614" s="80"/>
      <c r="L614" s="29"/>
      <c r="M614" s="78">
        <f t="shared" ref="M614:M621" si="138">M606</f>
        <v>5343.0527999999995</v>
      </c>
      <c r="N614" s="78">
        <f t="shared" ref="N614:P617" si="139">AVERAGE(N367,N371,N391,N395,N399)</f>
        <v>41.203850000000003</v>
      </c>
      <c r="O614" s="78">
        <f t="shared" si="139"/>
        <v>46.552350000000004</v>
      </c>
      <c r="P614" s="78">
        <f t="shared" si="139"/>
        <v>45.921750000000003</v>
      </c>
      <c r="Q614" s="79"/>
      <c r="R614" s="79"/>
      <c r="S614" s="80"/>
      <c r="U614" s="8">
        <f>bdrate($E614:$E617,F614:F617,$M614:$M617,N614:N617)</f>
        <v>-3.5968192572607971E-2</v>
      </c>
      <c r="V614" s="9">
        <f>bdrate($E614:$E617,G614:G617,$M614:$M617,O614:O617)</f>
        <v>0.1601525944290354</v>
      </c>
      <c r="W614" s="10">
        <f>bdrate($E614:$E617,H614:H617,$M614:$M617,P614:P617)</f>
        <v>0.17917036519318152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70">
        <f t="shared" si="136"/>
        <v>2523.9151999999999</v>
      </c>
      <c r="F615" s="70">
        <f t="shared" si="137"/>
        <v>38.141059999999996</v>
      </c>
      <c r="G615" s="70">
        <f t="shared" si="137"/>
        <v>45.218059999999994</v>
      </c>
      <c r="H615" s="70">
        <f t="shared" si="137"/>
        <v>44.455580000000005</v>
      </c>
      <c r="I615" s="66"/>
      <c r="J615" s="66"/>
      <c r="K615" s="67"/>
      <c r="L615" s="29"/>
      <c r="M615" s="70">
        <f t="shared" si="138"/>
        <v>2523.9151999999999</v>
      </c>
      <c r="N615" s="70">
        <f t="shared" si="139"/>
        <v>38.286299999999997</v>
      </c>
      <c r="O615" s="70">
        <f t="shared" si="139"/>
        <v>44.873049999999999</v>
      </c>
      <c r="P615" s="70">
        <f t="shared" si="139"/>
        <v>44.026650000000004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70">
        <f t="shared" si="136"/>
        <v>1213.1439999999998</v>
      </c>
      <c r="F616" s="70">
        <f t="shared" si="137"/>
        <v>35.418860000000002</v>
      </c>
      <c r="G616" s="70">
        <f t="shared" si="137"/>
        <v>43.520739999999996</v>
      </c>
      <c r="H616" s="70">
        <f t="shared" si="137"/>
        <v>42.535300000000007</v>
      </c>
      <c r="I616" s="66"/>
      <c r="J616" s="66"/>
      <c r="K616" s="67"/>
      <c r="L616" s="29"/>
      <c r="M616" s="70">
        <f t="shared" si="138"/>
        <v>1213.1439999999998</v>
      </c>
      <c r="N616" s="70">
        <f t="shared" si="139"/>
        <v>35.528350000000003</v>
      </c>
      <c r="O616" s="70">
        <f t="shared" si="139"/>
        <v>43.257950000000001</v>
      </c>
      <c r="P616" s="70">
        <f t="shared" si="139"/>
        <v>42.19455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578.21439999999996</v>
      </c>
      <c r="F617" s="81">
        <f t="shared" si="137"/>
        <v>32.991999999999997</v>
      </c>
      <c r="G617" s="81">
        <f t="shared" si="137"/>
        <v>42.436619999999998</v>
      </c>
      <c r="H617" s="81">
        <f t="shared" si="137"/>
        <v>41.18862</v>
      </c>
      <c r="I617" s="68"/>
      <c r="J617" s="68"/>
      <c r="K617" s="69"/>
      <c r="L617" s="29"/>
      <c r="M617" s="81">
        <f t="shared" si="138"/>
        <v>578.21439999999996</v>
      </c>
      <c r="N617" s="81">
        <f t="shared" si="139"/>
        <v>33.090699999999998</v>
      </c>
      <c r="O617" s="81">
        <f t="shared" si="139"/>
        <v>42.27355</v>
      </c>
      <c r="P617" s="81">
        <f t="shared" si="139"/>
        <v>40.919399999999996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8">
        <f t="shared" si="136"/>
        <v>6062.6224000000002</v>
      </c>
      <c r="F618" s="78">
        <f t="shared" ref="F618:H621" si="140">AVERAGE(F367,F371,F375,F391,F395,F399,F403,F407,F411)</f>
        <v>40.954933333333344</v>
      </c>
      <c r="G618" s="78">
        <f t="shared" si="140"/>
        <v>46.892477777777778</v>
      </c>
      <c r="H618" s="78">
        <f t="shared" si="140"/>
        <v>46.469322222222225</v>
      </c>
      <c r="I618" s="79"/>
      <c r="J618" s="79"/>
      <c r="K618" s="80"/>
      <c r="L618" s="29"/>
      <c r="M618" s="78">
        <f t="shared" si="138"/>
        <v>6062.5216</v>
      </c>
      <c r="N618" s="78">
        <f t="shared" ref="N618:P621" si="141">AVERAGE(N367,N371,N375,N391,N395,N399,N403,N407,N411)</f>
        <v>41.112433333333335</v>
      </c>
      <c r="O618" s="78">
        <f t="shared" si="141"/>
        <v>46.533733333333338</v>
      </c>
      <c r="P618" s="78">
        <f t="shared" si="141"/>
        <v>45.881799999999998</v>
      </c>
      <c r="Q618" s="79"/>
      <c r="R618" s="79"/>
      <c r="S618" s="80"/>
      <c r="U618" s="8">
        <f>bdrate($E618:$E621,F618:F621,$M618:$M621,N618:N621)</f>
        <v>-3.0047239444969454E-2</v>
      </c>
      <c r="V618" s="9">
        <f>bdrate($E618:$E621,G618:G621,$M618:$M621,O618:O621)</f>
        <v>0.18121209486963763</v>
      </c>
      <c r="W618" s="10">
        <f>bdrate($E618:$E621,H618:H621,$M618:$M621,P618:P621)</f>
        <v>0.22615149600246554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70">
        <f t="shared" si="136"/>
        <v>2802.16</v>
      </c>
      <c r="F619" s="70">
        <f t="shared" si="140"/>
        <v>38.10456666666667</v>
      </c>
      <c r="G619" s="70">
        <f t="shared" si="140"/>
        <v>45.228388888888887</v>
      </c>
      <c r="H619" s="70">
        <f t="shared" si="140"/>
        <v>44.528844444444445</v>
      </c>
      <c r="I619" s="66"/>
      <c r="J619" s="66"/>
      <c r="K619" s="67"/>
      <c r="L619" s="29"/>
      <c r="M619" s="70">
        <f t="shared" si="138"/>
        <v>2801.9144000000001</v>
      </c>
      <c r="N619" s="70">
        <f t="shared" si="141"/>
        <v>38.220566666666663</v>
      </c>
      <c r="O619" s="70">
        <f t="shared" si="141"/>
        <v>44.858300000000007</v>
      </c>
      <c r="P619" s="70">
        <f t="shared" si="141"/>
        <v>44.000466666666661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70">
        <f t="shared" si="136"/>
        <v>1344.0496000000001</v>
      </c>
      <c r="F620" s="70">
        <f t="shared" si="140"/>
        <v>35.39351111111111</v>
      </c>
      <c r="G620" s="70">
        <f t="shared" si="140"/>
        <v>43.556588888888889</v>
      </c>
      <c r="H620" s="70">
        <f t="shared" si="140"/>
        <v>42.600388888888887</v>
      </c>
      <c r="I620" s="66"/>
      <c r="J620" s="66"/>
      <c r="K620" s="67"/>
      <c r="L620" s="29"/>
      <c r="M620" s="70">
        <f t="shared" si="138"/>
        <v>1343.952</v>
      </c>
      <c r="N620" s="70">
        <f t="shared" si="141"/>
        <v>35.485633333333332</v>
      </c>
      <c r="O620" s="70">
        <f t="shared" si="141"/>
        <v>43.252966666666673</v>
      </c>
      <c r="P620" s="70">
        <f t="shared" si="141"/>
        <v>42.186166666666672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644.91279999999995</v>
      </c>
      <c r="F621" s="81">
        <f t="shared" si="140"/>
        <v>32.968077777777779</v>
      </c>
      <c r="G621" s="81">
        <f t="shared" si="140"/>
        <v>42.468977777777773</v>
      </c>
      <c r="H621" s="81">
        <f t="shared" si="140"/>
        <v>41.230722222222219</v>
      </c>
      <c r="I621" s="68"/>
      <c r="J621" s="68"/>
      <c r="K621" s="69"/>
      <c r="L621" s="29"/>
      <c r="M621" s="81">
        <f t="shared" si="138"/>
        <v>644.93439999999998</v>
      </c>
      <c r="N621" s="81">
        <f t="shared" si="141"/>
        <v>33.056433333333331</v>
      </c>
      <c r="O621" s="81">
        <f t="shared" si="141"/>
        <v>42.260333333333335</v>
      </c>
      <c r="P621" s="81">
        <f t="shared" si="141"/>
        <v>40.904633333333329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Nakagami, Ohji</cp:lastModifiedBy>
  <dcterms:created xsi:type="dcterms:W3CDTF">2011-06-30T00:09:01Z</dcterms:created>
  <dcterms:modified xsi:type="dcterms:W3CDTF">2015-03-04T20:40:49Z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1424934464</vt:lpwstr>
  </property>
</Properties>
</file>