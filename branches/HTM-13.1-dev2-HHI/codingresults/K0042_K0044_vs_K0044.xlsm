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83"/>
  <c r="M584"/>
  <c r="M592" s="1"/>
  <c r="M585"/>
  <c r="M593" s="1"/>
  <c r="N582"/>
  <c r="N583"/>
  <c r="N584"/>
  <c r="N585"/>
  <c r="F574"/>
  <c r="F575"/>
  <c r="F576"/>
  <c r="F577"/>
  <c r="M590"/>
  <c r="M591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42" s="1"/>
  <c r="M535"/>
  <c r="M543" s="1"/>
  <c r="M536"/>
  <c r="M544" s="1"/>
  <c r="M537"/>
  <c r="M545" s="1"/>
  <c r="N534"/>
  <c r="N535"/>
  <c r="N536"/>
  <c r="N537"/>
  <c r="F526"/>
  <c r="F527"/>
  <c r="F528"/>
  <c r="F529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16"/>
  <c r="M517"/>
  <c r="N514"/>
  <c r="N515"/>
  <c r="N516"/>
  <c r="N517"/>
  <c r="F506"/>
  <c r="F507"/>
  <c r="F508"/>
  <c r="F509"/>
  <c r="M522"/>
  <c r="M523"/>
  <c r="M524"/>
  <c r="M525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W610"/>
  <c r="V610"/>
  <c r="U610"/>
  <c r="U387"/>
  <c r="U383"/>
  <c r="U379"/>
  <c r="U375"/>
  <c r="V375"/>
  <c r="W375"/>
  <c r="V371"/>
  <c r="U371"/>
  <c r="W371"/>
  <c r="W618"/>
  <c r="V618"/>
  <c r="U618"/>
  <c r="G12" i="23"/>
  <c r="W606" i="21"/>
  <c r="V602"/>
  <c r="V606"/>
  <c r="V598"/>
  <c r="U614"/>
  <c r="W602"/>
  <c r="W598"/>
  <c r="F28" i="23"/>
  <c r="W614" i="21"/>
  <c r="V614"/>
  <c r="U606"/>
  <c r="W367"/>
  <c r="U602"/>
  <c r="U598"/>
  <c r="U367"/>
  <c r="V367"/>
  <c r="W586"/>
  <c r="V586"/>
  <c r="U586"/>
  <c r="U335"/>
  <c r="U331"/>
  <c r="U327"/>
  <c r="W323"/>
  <c r="U323"/>
  <c r="V323"/>
  <c r="U319"/>
  <c r="W319"/>
  <c r="V319"/>
  <c r="W594"/>
  <c r="V594"/>
  <c r="U594"/>
  <c r="G11" i="23"/>
  <c r="V582" i="21"/>
  <c r="U590"/>
  <c r="F27" i="23"/>
  <c r="U574" i="21"/>
  <c r="U578"/>
  <c r="V315"/>
  <c r="V578"/>
  <c r="W574"/>
  <c r="W590"/>
  <c r="U315"/>
  <c r="W578"/>
  <c r="V574"/>
  <c r="V590"/>
  <c r="U582"/>
  <c r="W315"/>
  <c r="W582"/>
  <c r="W562"/>
  <c r="V562"/>
  <c r="U562"/>
  <c r="U283"/>
  <c r="U279"/>
  <c r="U275"/>
  <c r="V271"/>
  <c r="U271"/>
  <c r="W271"/>
  <c r="W267"/>
  <c r="V267"/>
  <c r="U267"/>
  <c r="W570"/>
  <c r="V570"/>
  <c r="G10" i="23"/>
  <c r="U570" i="21"/>
  <c r="U558"/>
  <c r="F26" i="23"/>
  <c r="U550" i="21"/>
  <c r="W566"/>
  <c r="V558"/>
  <c r="V263"/>
  <c r="V554"/>
  <c r="U566"/>
  <c r="V566"/>
  <c r="W554"/>
  <c r="W550"/>
  <c r="W558"/>
  <c r="U263"/>
  <c r="V550"/>
  <c r="W263"/>
  <c r="U554"/>
  <c r="W538"/>
  <c r="V538"/>
  <c r="U538"/>
  <c r="U231"/>
  <c r="U227"/>
  <c r="U223"/>
  <c r="W219"/>
  <c r="U219"/>
  <c r="V219"/>
  <c r="V215"/>
  <c r="W215"/>
  <c r="U215"/>
  <c r="W546"/>
  <c r="V546"/>
  <c r="U546"/>
  <c r="G9" i="23"/>
  <c r="U534" i="21"/>
  <c r="W530"/>
  <c r="W542"/>
  <c r="V530"/>
  <c r="V534"/>
  <c r="W526"/>
  <c r="W211"/>
  <c r="U526"/>
  <c r="U542"/>
  <c r="V211"/>
  <c r="U211"/>
  <c r="F25" i="23"/>
  <c r="U530" i="21"/>
  <c r="W534"/>
  <c r="V542"/>
  <c r="V526"/>
  <c r="W514"/>
  <c r="V514"/>
  <c r="U514"/>
  <c r="U179"/>
  <c r="U175"/>
  <c r="U171"/>
  <c r="W167"/>
  <c r="U167"/>
  <c r="V167"/>
  <c r="U163"/>
  <c r="V163"/>
  <c r="W163"/>
  <c r="W522"/>
  <c r="V522"/>
  <c r="G8" i="23"/>
  <c r="U522" i="21"/>
  <c r="U159"/>
  <c r="V518"/>
  <c r="W510"/>
  <c r="U518"/>
  <c r="V506"/>
  <c r="W502"/>
  <c r="W506"/>
  <c r="F24" i="23"/>
  <c r="V510" i="21"/>
  <c r="V502"/>
  <c r="U506"/>
  <c r="V159"/>
  <c r="U510"/>
  <c r="W518"/>
  <c r="W159"/>
  <c r="U502"/>
  <c r="W490"/>
  <c r="V490"/>
  <c r="U490"/>
  <c r="U127"/>
  <c r="U123"/>
  <c r="U119"/>
  <c r="V115"/>
  <c r="U115"/>
  <c r="W115"/>
  <c r="W111"/>
  <c r="V111"/>
  <c r="U111"/>
  <c r="W498"/>
  <c r="V498"/>
  <c r="U498"/>
  <c r="G7" i="23"/>
  <c r="W478" i="21"/>
  <c r="U482"/>
  <c r="U486"/>
  <c r="W107"/>
  <c r="V482"/>
  <c r="V107"/>
  <c r="W486"/>
  <c r="W482"/>
  <c r="V486"/>
  <c r="V494"/>
  <c r="W494"/>
  <c r="U494"/>
  <c r="U107"/>
  <c r="V478"/>
  <c r="U478"/>
  <c r="F23" i="23"/>
  <c r="W466" i="21"/>
  <c r="V466"/>
  <c r="U466"/>
  <c r="U75"/>
  <c r="U71"/>
  <c r="U67"/>
  <c r="W63"/>
  <c r="V63"/>
  <c r="U63"/>
  <c r="U59"/>
  <c r="V59"/>
  <c r="W59"/>
  <c r="W474"/>
  <c r="V474"/>
  <c r="G6" i="23"/>
  <c r="U474" i="21"/>
  <c r="U470"/>
  <c r="V470"/>
  <c r="U454"/>
  <c r="V462"/>
  <c r="W454"/>
  <c r="U458"/>
  <c r="W55"/>
  <c r="W458"/>
  <c r="V454"/>
  <c r="F22" i="23"/>
  <c r="V55" i="21"/>
  <c r="W462"/>
  <c r="U462"/>
  <c r="V458"/>
  <c r="W470"/>
  <c r="U55"/>
  <c r="W442"/>
  <c r="V442"/>
  <c r="U442"/>
  <c r="U23"/>
  <c r="U19"/>
  <c r="U15"/>
  <c r="V11"/>
  <c r="W11"/>
  <c r="U11"/>
  <c r="U7"/>
  <c r="W7"/>
  <c r="V7"/>
  <c r="W450"/>
  <c r="V450"/>
  <c r="G5" i="23"/>
  <c r="U450" i="21"/>
  <c r="W446"/>
  <c r="U3"/>
  <c r="W434"/>
  <c r="V430"/>
  <c r="V438"/>
  <c r="W438"/>
  <c r="U434"/>
  <c r="V434"/>
  <c r="U446"/>
  <c r="V3"/>
  <c r="W430"/>
  <c r="U430"/>
  <c r="U438"/>
  <c r="V446"/>
  <c r="W3"/>
  <c r="F21" i="23"/>
  <c r="I14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<sst xmlns="http://schemas.openxmlformats.org/spreadsheetml/2006/main" count="255" uniqueCount="64">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</sst>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J18" sqref="J18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-9.237171924820764E-4</v>
      </c>
      <c r="E5" s="10">
        <f>'experimental data'!U11</f>
        <v>-1.2093962341412912E-3</v>
      </c>
      <c r="F5" s="118">
        <f>'experimental data'!U434</f>
        <v>-3.2764722696654314E-4</v>
      </c>
      <c r="G5" s="119">
        <f>bdrate('experimental data'!E450:E453,'experimental data'!F434:F437,'experimental data'!M450:M453,'experimental data'!N434:N437)</f>
        <v>-2.2749054535764479E-4</v>
      </c>
      <c r="H5" s="120">
        <f>'experimental data'!U442</f>
        <v>-8.3278037565992502E-4</v>
      </c>
      <c r="I5" s="59">
        <f>'experimental data'!Y51</f>
        <v>1.0035339481915069</v>
      </c>
      <c r="J5" s="105">
        <f>'experimental data'!Z51</f>
        <v>0.94330292887991496</v>
      </c>
      <c r="K5" s="60">
        <f>'experimental data'!AA51</f>
        <v>0.99525440914176877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3.8925808035594756E-4</v>
      </c>
      <c r="E6" s="19">
        <f>'experimental data'!U63</f>
        <v>1.4104558838599068E-3</v>
      </c>
      <c r="F6" s="121">
        <f>'experimental data'!U458</f>
        <v>4.0365164383260321E-4</v>
      </c>
      <c r="G6" s="122">
        <f>bdrate('experimental data'!E474:E477,'experimental data'!F458:F461,'experimental data'!M474:M477,'experimental data'!N458:N461)</f>
        <v>3.7892986549481478E-4</v>
      </c>
      <c r="H6" s="123">
        <f>'experimental data'!U466</f>
        <v>-2.6608137909611695E-4</v>
      </c>
      <c r="I6" s="61">
        <f>'experimental data'!Y103</f>
        <v>1.0009628552708569</v>
      </c>
      <c r="J6" s="106">
        <f>'experimental data'!Z103</f>
        <v>0.98287920795811135</v>
      </c>
      <c r="K6" s="57">
        <f>'experimental data'!AA103</f>
        <v>0.99740932896210432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-1.7867788380176997E-3</v>
      </c>
      <c r="E7" s="19">
        <f>'experimental data'!U115</f>
        <v>-4.1159258515599539E-4</v>
      </c>
      <c r="F7" s="121">
        <f>'experimental data'!U482</f>
        <v>-2.7951741268084085E-4</v>
      </c>
      <c r="G7" s="122">
        <f>bdrate('experimental data'!E498:E501,'experimental data'!F482:F485,'experimental data'!M498:M501,'experimental data'!N482:N485)</f>
        <v>4.4341150906856974E-4</v>
      </c>
      <c r="H7" s="123">
        <f>'experimental data'!U490</f>
        <v>5.3828383367493515E-4</v>
      </c>
      <c r="I7" s="61">
        <f>'experimental data'!Y155</f>
        <v>1.0022937241124563</v>
      </c>
      <c r="J7" s="106">
        <f>'experimental data'!Z155</f>
        <v>0.99957631569905081</v>
      </c>
      <c r="K7" s="57">
        <f>'experimental data'!AA155</f>
        <v>0.99564570269571695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-3.5932576904484925E-4</v>
      </c>
      <c r="E8" s="19">
        <f>'experimental data'!U167</f>
        <v>7.2163018719928473E-5</v>
      </c>
      <c r="F8" s="121">
        <f>'experimental data'!U506</f>
        <v>9.0176726830204501E-5</v>
      </c>
      <c r="G8" s="122">
        <f>bdrate('experimental data'!E522:E525,'experimental data'!F506:F509,'experimental data'!M522:M525,'experimental data'!N506:N509)</f>
        <v>-7.6882573467496051E-5</v>
      </c>
      <c r="H8" s="123">
        <f>'experimental data'!U514</f>
        <v>-7.6256618780190522E-5</v>
      </c>
      <c r="I8" s="61">
        <f>'experimental data'!Y207</f>
        <v>0.99425431192098634</v>
      </c>
      <c r="J8" s="106">
        <f>'experimental data'!Z207</f>
        <v>0.99527359103488944</v>
      </c>
      <c r="K8" s="57">
        <f>'experimental data'!AA207</f>
        <v>1.0053021795277155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1.2007353077450045E-3</v>
      </c>
      <c r="E9" s="19">
        <f>'experimental data'!U219</f>
        <v>1.5205539651867994E-3</v>
      </c>
      <c r="F9" s="121">
        <f>'experimental data'!U530</f>
        <v>3.5750157911818015E-4</v>
      </c>
      <c r="G9" s="122">
        <f>bdrate('experimental data'!E546:E549,'experimental data'!F530:F533,'experimental data'!M546:M549,'experimental data'!N530:N533)</f>
        <v>5.8502665058068892E-4</v>
      </c>
      <c r="H9" s="123">
        <f>'experimental data'!U538</f>
        <v>4.5199488282832156E-4</v>
      </c>
      <c r="I9" s="61">
        <f>'experimental data'!Y259</f>
        <v>0.99988155964636305</v>
      </c>
      <c r="J9" s="106">
        <f>'experimental data'!Z259</f>
        <v>1.0008475758741213</v>
      </c>
      <c r="K9" s="57">
        <f>'experimental data'!AA259</f>
        <v>1.0096132429790807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-2.4489168287122887E-4</v>
      </c>
      <c r="E10" s="19">
        <f>'experimental data'!U271</f>
        <v>7.0149697023569324E-4</v>
      </c>
      <c r="F10" s="121">
        <f>'experimental data'!U554</f>
        <v>9.5553950594906567E-5</v>
      </c>
      <c r="G10" s="122">
        <f>bdrate('experimental data'!E570:E573,'experimental data'!F554:F557,'experimental data'!M570:M573,'experimental data'!N554:N557)</f>
        <v>5.1803261842175985E-5</v>
      </c>
      <c r="H10" s="123">
        <f>'experimental data'!U562</f>
        <v>-5.4405896025233602E-5</v>
      </c>
      <c r="I10" s="61">
        <f>'experimental data'!Y311</f>
        <v>1.0017549885132948</v>
      </c>
      <c r="J10" s="106">
        <f>'experimental data'!Z311</f>
        <v>1.0061503514963579</v>
      </c>
      <c r="K10" s="57">
        <f>'experimental data'!AA311</f>
        <v>0.9985881161040957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-1.1871415087951753E-3</v>
      </c>
      <c r="E11" s="19">
        <f>'experimental data'!U323</f>
        <v>7.159468864050833E-4</v>
      </c>
      <c r="F11" s="121">
        <f>'experimental data'!U578</f>
        <v>-8.7700241165555859E-5</v>
      </c>
      <c r="G11" s="122">
        <f>bdrate('experimental data'!E594:E597,'experimental data'!F578:F581,'experimental data'!M594:M597,'experimental data'!N578:N581)</f>
        <v>-1.4224086316216855E-4</v>
      </c>
      <c r="H11" s="123">
        <f>'experimental data'!U586</f>
        <v>-3.8732807225105859E-4</v>
      </c>
      <c r="I11" s="61">
        <f>'experimental data'!Y363</f>
        <v>0.99460079602656837</v>
      </c>
      <c r="J11" s="106">
        <f>'experimental data'!Z363</f>
        <v>1.0024268361164026</v>
      </c>
      <c r="K11" s="57">
        <f>'experimental data'!AA363</f>
        <v>0.99674507025501402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-5.0056885999871792E-4</v>
      </c>
      <c r="E12" s="92">
        <f>'experimental data'!U375</f>
        <v>-4.9583164960531612E-4</v>
      </c>
      <c r="F12" s="124">
        <f>'experimental data'!U602</f>
        <v>-1.4054331307444823E-4</v>
      </c>
      <c r="G12" s="125">
        <f>bdrate('experimental data'!E618:E621,'experimental data'!F602:F605,'experimental data'!M618:M621,'experimental data'!N602:N605)</f>
        <v>-6.9060537948306688E-5</v>
      </c>
      <c r="H12" s="126">
        <f>'experimental data'!U610</f>
        <v>2.1499080068809739E-4</v>
      </c>
      <c r="I12" s="63">
        <f>'experimental data'!Y415</f>
        <v>0.99123311503014644</v>
      </c>
      <c r="J12" s="107">
        <f>'experimental data'!Z415</f>
        <v>0.99242734601097915</v>
      </c>
      <c r="K12" s="64">
        <f>'experimental data'!AA415</f>
        <v>0.98796757312163153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-7.737459833812762E-4</v>
      </c>
      <c r="E13" s="10">
        <f t="shared" si="0"/>
        <v>-7.0177645145793236E-5</v>
      </c>
      <c r="F13" s="118">
        <f t="shared" si="0"/>
        <v>-6.7837665271593586E-5</v>
      </c>
      <c r="G13" s="119">
        <f t="shared" si="0"/>
        <v>1.9828360973524659E-4</v>
      </c>
      <c r="H13" s="120">
        <f t="shared" si="0"/>
        <v>-1.868593070270356E-4</v>
      </c>
      <c r="I13" s="58">
        <f t="shared" si="0"/>
        <v>1.0022635091916066</v>
      </c>
      <c r="J13" s="105">
        <f t="shared" si="0"/>
        <v>0.97525281751235904</v>
      </c>
      <c r="K13" s="60">
        <f t="shared" si="0"/>
        <v>0.99610314693319657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-2.1823850259299337E-4</v>
      </c>
      <c r="E14" s="19">
        <f t="shared" si="1"/>
        <v>5.0286583818843762E-4</v>
      </c>
      <c r="F14" s="124">
        <f t="shared" si="1"/>
        <v>6.2997740460657423E-5</v>
      </c>
      <c r="G14" s="125">
        <f t="shared" si="1"/>
        <v>6.9729187568978723E-5</v>
      </c>
      <c r="H14" s="126">
        <f t="shared" si="1"/>
        <v>2.9799019291987249E-5</v>
      </c>
      <c r="I14" s="62">
        <f t="shared" si="1"/>
        <v>0.99634495422747182</v>
      </c>
      <c r="J14" s="107">
        <f t="shared" si="1"/>
        <v>0.99942514010655015</v>
      </c>
      <c r="K14" s="64">
        <f t="shared" si="1"/>
        <v>0.99964323639750741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-4.2655380788859942E-4</v>
      </c>
      <c r="E15" s="96">
        <f t="shared" si="2"/>
        <v>2.8797453193810107E-4</v>
      </c>
      <c r="F15" s="127">
        <f t="shared" si="2"/>
        <v>1.3934463311063294E-5</v>
      </c>
      <c r="G15" s="128">
        <f t="shared" si="2"/>
        <v>1.1793709588132917E-4</v>
      </c>
      <c r="H15" s="129">
        <f t="shared" si="2"/>
        <v>-5.1447853077646322E-5</v>
      </c>
      <c r="I15" s="99">
        <f>AVERAGE(I5:I12)</f>
        <v>0.99856441233902238</v>
      </c>
      <c r="J15" s="108">
        <f t="shared" si="2"/>
        <v>0.99036051913372847</v>
      </c>
      <c r="K15" s="100">
        <f t="shared" si="2"/>
        <v>0.99831570284839088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-9.237171924820764E-4</v>
      </c>
      <c r="E21" s="8">
        <f>'experimental data'!U430</f>
        <v>-1.1259268298369207E-4</v>
      </c>
      <c r="F21" s="9">
        <f>bdrate('experimental data'!E446:E449,'experimental data'!F430:F433,'experimental data'!M446:M449,'experimental data'!N430:N433)</f>
        <v>1.8189647673638731E-5</v>
      </c>
      <c r="G21" s="10">
        <f>'experimental data'!U438</f>
        <v>-3.1592397588142695E-4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3.8925808035594756E-4</v>
      </c>
      <c r="E22" s="17">
        <f>'experimental data'!U454</f>
        <v>2.2071393353551017E-4</v>
      </c>
      <c r="F22" s="18">
        <f>bdrate('experimental data'!E470:E473,'experimental data'!F454:F457,'experimental data'!M470:M473,'experimental data'!N454:N457)</f>
        <v>1.6011708314334072E-4</v>
      </c>
      <c r="G22" s="19">
        <f>'experimental data'!U462</f>
        <v>-1.196124786799091E-3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-1.7867788380176997E-3</v>
      </c>
      <c r="E23" s="17">
        <f>'experimental data'!U478</f>
        <v>-2.2634041952251938E-4</v>
      </c>
      <c r="F23" s="18">
        <f>bdrate('experimental data'!E494:E497,'experimental data'!F478:F481,'experimental data'!M494:M497,'experimental data'!N478:N481)</f>
        <v>4.42683604015226E-4</v>
      </c>
      <c r="G23" s="19">
        <f>'experimental data'!U486</f>
        <v>4.0758369931315208E-4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-3.5932576904484925E-4</v>
      </c>
      <c r="E24" s="17">
        <f>'experimental data'!U502</f>
        <v>-1.7913993470064504E-5</v>
      </c>
      <c r="F24" s="18">
        <f>bdrate('experimental data'!E518:E521,'experimental data'!F502:F505,'experimental data'!M518:M521,'experimental data'!N502:N505)</f>
        <v>-1.4316727245866634E-4</v>
      </c>
      <c r="G24" s="19">
        <f>'experimental data'!U510</f>
        <v>4.1154913134722193E-4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1.2007353077450045E-3</v>
      </c>
      <c r="E25" s="17">
        <f>'experimental data'!U526</f>
        <v>2.6275972579070661E-4</v>
      </c>
      <c r="F25" s="18">
        <f>bdrate('experimental data'!E542:E545,'experimental data'!F526:F529,'experimental data'!M542:M545,'experimental data'!N526:N529)</f>
        <v>5.3961571458893687E-4</v>
      </c>
      <c r="G25" s="19">
        <f>'experimental data'!U534</f>
        <v>-9.5652335895923812E-5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-2.4489168287122887E-4</v>
      </c>
      <c r="E26" s="17">
        <f>'experimental data'!U550</f>
        <v>-1.1738101019231895E-4</v>
      </c>
      <c r="F26" s="18">
        <f>bdrate('experimental data'!E566:E569,'experimental data'!F550:F553,'experimental data'!M566:M569,'experimental data'!N550:N553)</f>
        <v>-2.4375036739832101E-4</v>
      </c>
      <c r="G26" s="19">
        <f>'experimental data'!U558</f>
        <v>-4.7919702717180712E-4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-1.1871415087951753E-3</v>
      </c>
      <c r="E27" s="17">
        <f>'experimental data'!U574</f>
        <v>-1.6353417508652157E-4</v>
      </c>
      <c r="F27" s="18">
        <f>bdrate('experimental data'!E590:E593,'experimental data'!F574:F577,'experimental data'!M590:M593,'experimental data'!N574:N577)</f>
        <v>-1.8390783524535603E-4</v>
      </c>
      <c r="G27" s="19">
        <f>'experimental data'!U582</f>
        <v>-8.1596710818976348E-4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-5.0056885999871792E-4</v>
      </c>
      <c r="E28" s="91">
        <f>'experimental data'!U598</f>
        <v>-1.285077956267866E-4</v>
      </c>
      <c r="F28" s="75">
        <f>bdrate('experimental data'!E614:E617,'experimental data'!F598:F601,'experimental data'!M614:M617,'experimental data'!N598:N601)</f>
        <v>-6.3656620045815515E-5</v>
      </c>
      <c r="G28" s="92">
        <f>'experimental data'!U606</f>
        <v>1.3667942510653397E-4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-7.737459833812762E-4</v>
      </c>
      <c r="E29" s="8">
        <f>AVERAGE(E21:E23)</f>
        <v>-3.940638965690043E-5</v>
      </c>
      <c r="F29" s="9">
        <f>AVERAGE(F21:F23)</f>
        <v>2.0699677827740182E-4</v>
      </c>
      <c r="G29" s="10">
        <f>AVERAGE(G21:G23)</f>
        <v>-3.6815502112245529E-4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-2.1823850259299337E-4</v>
      </c>
      <c r="E30" s="91">
        <f>AVERAGE(E24:E28)</f>
        <v>-3.2915449716997006E-5</v>
      </c>
      <c r="F30" s="75">
        <f>AVERAGE(F24:F28)</f>
        <v>-1.8973276111844407E-5</v>
      </c>
      <c r="G30" s="92">
        <f>AVERAGE(G24:G28)</f>
        <v>-1.6851758296074771E-4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-4.2655380788859942E-4</v>
      </c>
      <c r="E31" s="97">
        <f>AVERAGE(E21:E28)</f>
        <v>-3.5349552194460787E-5</v>
      </c>
      <c r="F31" s="109">
        <f>AVERAGE(F21:F28)</f>
        <v>6.5765494284122927E-5</v>
      </c>
      <c r="G31" s="98">
        <f>AVERAGE(G21:G28)</f>
        <v>-2.4338162227138804E-4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topLeftCell="A397" zoomScaleNormal="100" workbookViewId="0">
      <selection activeCell="M418" sqref="M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878.15440000000001</v>
      </c>
      <c r="F3" s="45">
        <v>43.095199999999998</v>
      </c>
      <c r="G3" s="45">
        <v>43.402000000000001</v>
      </c>
      <c r="H3" s="45">
        <v>43.971200000000003</v>
      </c>
      <c r="I3" s="79"/>
      <c r="J3" s="79"/>
      <c r="K3" s="80"/>
      <c r="L3" s="29"/>
      <c r="M3" s="45">
        <v>878.15440000000001</v>
      </c>
      <c r="N3" s="45">
        <v>43.095199999999998</v>
      </c>
      <c r="O3" s="45">
        <v>43.402000000000001</v>
      </c>
      <c r="P3" s="45">
        <v>43.971200000000003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481.56639999999999</v>
      </c>
      <c r="F4" s="46">
        <v>41.045999999999999</v>
      </c>
      <c r="G4" s="46">
        <v>42.140300000000003</v>
      </c>
      <c r="H4" s="46">
        <v>42.332299999999996</v>
      </c>
      <c r="I4" s="66"/>
      <c r="J4" s="66"/>
      <c r="K4" s="67"/>
      <c r="L4" s="29"/>
      <c r="M4" s="46">
        <v>481.56639999999999</v>
      </c>
      <c r="N4" s="46">
        <v>41.045999999999999</v>
      </c>
      <c r="O4" s="46">
        <v>42.140300000000003</v>
      </c>
      <c r="P4" s="46">
        <v>42.332299999999996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277.18239999999997</v>
      </c>
      <c r="F5" s="46">
        <v>38.456600000000002</v>
      </c>
      <c r="G5" s="46">
        <v>40.6462</v>
      </c>
      <c r="H5" s="46">
        <v>40.521599999999999</v>
      </c>
      <c r="I5" s="66"/>
      <c r="J5" s="66"/>
      <c r="K5" s="67"/>
      <c r="L5" s="29"/>
      <c r="M5" s="46">
        <v>277.18239999999997</v>
      </c>
      <c r="N5" s="46">
        <v>38.456600000000002</v>
      </c>
      <c r="O5" s="46">
        <v>40.6462</v>
      </c>
      <c r="P5" s="46">
        <v>40.521599999999999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167.7</v>
      </c>
      <c r="F6" s="46">
        <v>35.633899999999997</v>
      </c>
      <c r="G6" s="46">
        <v>39.5593</v>
      </c>
      <c r="H6" s="46">
        <v>39.209499999999998</v>
      </c>
      <c r="I6" s="66"/>
      <c r="J6" s="66"/>
      <c r="K6" s="67"/>
      <c r="L6" s="29"/>
      <c r="M6" s="46">
        <v>167.7</v>
      </c>
      <c r="N6" s="46">
        <v>35.633899999999997</v>
      </c>
      <c r="O6" s="46">
        <v>39.5593</v>
      </c>
      <c r="P6" s="46">
        <v>39.209499999999998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270.43520000000001</v>
      </c>
      <c r="F7" s="45">
        <v>42.227699999999999</v>
      </c>
      <c r="G7" s="45">
        <v>43.104900000000001</v>
      </c>
      <c r="H7" s="45">
        <v>43.125999999999998</v>
      </c>
      <c r="I7" s="79"/>
      <c r="J7" s="79"/>
      <c r="K7" s="80"/>
      <c r="L7" s="29"/>
      <c r="M7" s="45">
        <v>270.52960000000002</v>
      </c>
      <c r="N7" s="45">
        <v>42.226999999999997</v>
      </c>
      <c r="O7" s="45">
        <v>43.104599999999998</v>
      </c>
      <c r="P7" s="45">
        <v>43.122900000000001</v>
      </c>
      <c r="Q7" s="79"/>
      <c r="R7" s="79"/>
      <c r="S7" s="80"/>
      <c r="U7" s="8">
        <f>bdrate($E7:$E10,F7:F10,$M7:$M10,N7:N10)</f>
        <v>-9.237171924820764E-4</v>
      </c>
      <c r="V7" s="9">
        <f>bdrate($E7:$E10,G7:G10,$M7:$M10,O7:O10)</f>
        <v>-1.1741886617406827E-3</v>
      </c>
      <c r="W7" s="10">
        <f>bdrate($E7:$E10,H7:H10,$M7:$M10,P7:P10)</f>
        <v>4.5968713695576646E-4</v>
      </c>
      <c r="X7" s="29"/>
      <c r="Y7" s="24"/>
      <c r="Z7" s="24"/>
      <c r="AA7" s="27"/>
      <c r="AC7" s="45">
        <f t="shared" si="0"/>
        <v>-9.4400000000007367E-2</v>
      </c>
      <c r="AD7" s="45">
        <f t="shared" si="0"/>
        <v>7.0000000000192131E-4</v>
      </c>
      <c r="AE7" s="45">
        <f t="shared" si="0"/>
        <v>3.0000000000285354E-4</v>
      </c>
      <c r="AF7" s="45">
        <f t="shared" si="0"/>
        <v>3.0999999999963279E-3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123.5224</v>
      </c>
      <c r="F8" s="46">
        <v>39.916699999999999</v>
      </c>
      <c r="G8" s="46">
        <v>41.820599999999999</v>
      </c>
      <c r="H8" s="46">
        <v>41.531999999999996</v>
      </c>
      <c r="I8" s="66"/>
      <c r="J8" s="66"/>
      <c r="K8" s="67"/>
      <c r="L8" s="29"/>
      <c r="M8" s="46">
        <v>123.48399999999999</v>
      </c>
      <c r="N8" s="46">
        <v>39.917999999999999</v>
      </c>
      <c r="O8" s="46">
        <v>41.825600000000001</v>
      </c>
      <c r="P8" s="46">
        <v>41.527099999999997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3.8400000000009982E-2</v>
      </c>
      <c r="AD8" s="46">
        <f t="shared" si="0"/>
        <v>-1.300000000000523E-3</v>
      </c>
      <c r="AE8" s="46">
        <f t="shared" si="0"/>
        <v>-5.000000000002558E-3</v>
      </c>
      <c r="AF8" s="46">
        <f t="shared" si="0"/>
        <v>4.8999999999992383E-3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64.731200000000001</v>
      </c>
      <c r="F9" s="46">
        <v>37.318199999999997</v>
      </c>
      <c r="G9" s="46">
        <v>40.555999999999997</v>
      </c>
      <c r="H9" s="46">
        <v>40.0426</v>
      </c>
      <c r="I9" s="66"/>
      <c r="J9" s="66"/>
      <c r="K9" s="67"/>
      <c r="L9" s="29"/>
      <c r="M9" s="46">
        <v>64.619200000000006</v>
      </c>
      <c r="N9" s="46">
        <v>37.316600000000001</v>
      </c>
      <c r="O9" s="46">
        <v>40.5533</v>
      </c>
      <c r="P9" s="46">
        <v>40.0398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0.11199999999999477</v>
      </c>
      <c r="AD9" s="46">
        <f t="shared" si="0"/>
        <v>1.5999999999962711E-3</v>
      </c>
      <c r="AE9" s="46">
        <f t="shared" si="0"/>
        <v>2.6999999999972601E-3</v>
      </c>
      <c r="AF9" s="46">
        <f t="shared" si="0"/>
        <v>2.8000000000005798E-3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34.024799999999999</v>
      </c>
      <c r="F10" s="46">
        <v>34.5931</v>
      </c>
      <c r="G10" s="46">
        <v>39.463500000000003</v>
      </c>
      <c r="H10" s="46">
        <v>38.794400000000003</v>
      </c>
      <c r="I10" s="66"/>
      <c r="J10" s="66"/>
      <c r="K10" s="67"/>
      <c r="L10" s="29"/>
      <c r="M10" s="46">
        <v>33.915999999999997</v>
      </c>
      <c r="N10" s="46">
        <v>34.585900000000002</v>
      </c>
      <c r="O10" s="46">
        <v>39.4572</v>
      </c>
      <c r="P10" s="46">
        <v>38.796700000000001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0.10880000000000223</v>
      </c>
      <c r="AD10" s="46">
        <f t="shared" si="0"/>
        <v>7.1999999999974307E-3</v>
      </c>
      <c r="AE10" s="46">
        <f t="shared" si="0"/>
        <v>6.3000000000030809E-3</v>
      </c>
      <c r="AF10" s="46">
        <f t="shared" si="0"/>
        <v>-2.2999999999981924E-3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300.06560000000002</v>
      </c>
      <c r="F11" s="45">
        <v>41.901299999999999</v>
      </c>
      <c r="G11" s="45">
        <v>42.543199999999999</v>
      </c>
      <c r="H11" s="45">
        <v>42.858499999999999</v>
      </c>
      <c r="I11" s="79"/>
      <c r="J11" s="79"/>
      <c r="K11" s="80"/>
      <c r="L11" s="29"/>
      <c r="M11" s="45">
        <v>299.9984</v>
      </c>
      <c r="N11" s="45">
        <v>41.905500000000004</v>
      </c>
      <c r="O11" s="45">
        <v>42.545400000000001</v>
      </c>
      <c r="P11" s="45">
        <v>42.863199999999999</v>
      </c>
      <c r="Q11" s="79"/>
      <c r="R11" s="79"/>
      <c r="S11" s="80"/>
      <c r="U11" s="8">
        <f>bdrate($E11:$E14,F11:F14,$M11:$M14,N11:N14)</f>
        <v>-1.2093962341412912E-3</v>
      </c>
      <c r="V11" s="9">
        <f>bdrate($E11:$E14,G11:G14,$M11:$M14,O11:O14)</f>
        <v>2.0698168665345129E-4</v>
      </c>
      <c r="W11" s="10">
        <f>bdrate($E11:$E14,H11:H14,$M11:$M14,P11:P14)</f>
        <v>-5.74700400138628E-4</v>
      </c>
      <c r="X11" s="29"/>
      <c r="Y11" s="24"/>
      <c r="Z11" s="24"/>
      <c r="AA11" s="27"/>
      <c r="AC11" s="45">
        <f t="shared" si="0"/>
        <v>6.7200000000013915E-2</v>
      </c>
      <c r="AD11" s="45">
        <f t="shared" si="0"/>
        <v>-4.2000000000044224E-3</v>
      </c>
      <c r="AE11" s="45">
        <f t="shared" si="0"/>
        <v>-2.2000000000019782E-3</v>
      </c>
      <c r="AF11" s="45">
        <f t="shared" si="0"/>
        <v>-4.6999999999997044E-3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136.22559999999999</v>
      </c>
      <c r="F12" s="46">
        <v>39.674999999999997</v>
      </c>
      <c r="G12" s="46">
        <v>41.221200000000003</v>
      </c>
      <c r="H12" s="46">
        <v>41.311700000000002</v>
      </c>
      <c r="I12" s="66"/>
      <c r="J12" s="66"/>
      <c r="K12" s="67"/>
      <c r="L12" s="29"/>
      <c r="M12" s="46">
        <v>136.03280000000001</v>
      </c>
      <c r="N12" s="46">
        <v>39.671599999999998</v>
      </c>
      <c r="O12" s="46">
        <v>41.219299999999997</v>
      </c>
      <c r="P12" s="46">
        <v>41.305999999999997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0.19279999999997699</v>
      </c>
      <c r="AD12" s="46">
        <f t="shared" si="0"/>
        <v>3.3999999999991815E-3</v>
      </c>
      <c r="AE12" s="46">
        <f t="shared" si="0"/>
        <v>1.90000000000623E-3</v>
      </c>
      <c r="AF12" s="46">
        <f t="shared" si="0"/>
        <v>5.7000000000044793E-3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71.012799999999999</v>
      </c>
      <c r="F13" s="46">
        <v>37.106200000000001</v>
      </c>
      <c r="G13" s="46">
        <v>40.072899999999997</v>
      </c>
      <c r="H13" s="46">
        <v>39.852400000000003</v>
      </c>
      <c r="I13" s="66"/>
      <c r="J13" s="66"/>
      <c r="K13" s="67"/>
      <c r="L13" s="29"/>
      <c r="M13" s="46">
        <v>70.877600000000001</v>
      </c>
      <c r="N13" s="46">
        <v>37.109200000000001</v>
      </c>
      <c r="O13" s="46">
        <v>40.065600000000003</v>
      </c>
      <c r="P13" s="46">
        <v>39.853299999999997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0.13519999999999754</v>
      </c>
      <c r="AD13" s="46">
        <f t="shared" si="0"/>
        <v>-3.0000000000001137E-3</v>
      </c>
      <c r="AE13" s="46">
        <f t="shared" si="0"/>
        <v>7.2999999999936449E-3</v>
      </c>
      <c r="AF13" s="46">
        <f t="shared" si="0"/>
        <v>-8.9999999999434976E-4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37.739199999999997</v>
      </c>
      <c r="F14" s="72">
        <v>34.406700000000001</v>
      </c>
      <c r="G14" s="72">
        <v>38.991999999999997</v>
      </c>
      <c r="H14" s="72">
        <v>38.600900000000003</v>
      </c>
      <c r="I14" s="68"/>
      <c r="J14" s="68"/>
      <c r="K14" s="69"/>
      <c r="L14" s="29"/>
      <c r="M14" s="72">
        <v>37.768000000000001</v>
      </c>
      <c r="N14" s="72">
        <v>34.403199999999998</v>
      </c>
      <c r="O14" s="72">
        <v>38.996499999999997</v>
      </c>
      <c r="P14" s="72">
        <v>38.6008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-2.8800000000003934E-2</v>
      </c>
      <c r="AD14" s="72">
        <f t="shared" si="0"/>
        <v>3.5000000000025011E-3</v>
      </c>
      <c r="AE14" s="72">
        <f t="shared" si="0"/>
        <v>-4.5000000000001705E-3</v>
      </c>
      <c r="AF14" s="72">
        <f t="shared" si="0"/>
        <v>1.0000000000331966E-4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116.6096</v>
      </c>
      <c r="F15" s="45">
        <v>39.600299999999997</v>
      </c>
      <c r="G15" s="78"/>
      <c r="H15" s="78"/>
      <c r="I15" s="79"/>
      <c r="J15" s="79"/>
      <c r="K15" s="80"/>
      <c r="L15" s="29"/>
      <c r="M15" s="45">
        <v>116.4736</v>
      </c>
      <c r="N15" s="45">
        <v>39.600299999999997</v>
      </c>
      <c r="O15" s="78"/>
      <c r="P15" s="78"/>
      <c r="Q15" s="79"/>
      <c r="R15" s="79"/>
      <c r="S15" s="80"/>
      <c r="U15" s="8">
        <f>bdrate($E15:$E18,F15:F18,$M15:$M18,N15:N18)</f>
        <v>-8.3769814644163443E-4</v>
      </c>
      <c r="V15" s="9"/>
      <c r="W15" s="10"/>
      <c r="X15" s="29"/>
      <c r="Y15" s="24"/>
      <c r="Z15" s="24"/>
      <c r="AA15" s="27"/>
      <c r="AC15" s="45">
        <f t="shared" si="0"/>
        <v>0.13599999999999568</v>
      </c>
      <c r="AD15" s="45">
        <f t="shared" si="0"/>
        <v>0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38.867199999999997</v>
      </c>
      <c r="F16" s="46">
        <v>36.444299999999998</v>
      </c>
      <c r="G16" s="70"/>
      <c r="H16" s="70"/>
      <c r="I16" s="66"/>
      <c r="J16" s="66"/>
      <c r="K16" s="67"/>
      <c r="L16" s="29"/>
      <c r="M16" s="46">
        <v>38.771999999999998</v>
      </c>
      <c r="N16" s="46">
        <v>36.4666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9.5199999999998397E-2</v>
      </c>
      <c r="AD16" s="46">
        <f t="shared" si="0"/>
        <v>-2.2300000000001319E-2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16.840800000000002</v>
      </c>
      <c r="F17" s="46">
        <v>34.017200000000003</v>
      </c>
      <c r="G17" s="70"/>
      <c r="H17" s="70"/>
      <c r="I17" s="66"/>
      <c r="J17" s="66"/>
      <c r="K17" s="67"/>
      <c r="L17" s="29"/>
      <c r="M17" s="46">
        <v>16.918399999999998</v>
      </c>
      <c r="N17" s="46">
        <v>33.997399999999999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-7.7599999999996783E-2</v>
      </c>
      <c r="AD17" s="46">
        <f t="shared" si="0"/>
        <v>1.9800000000003593E-2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8.4816000000000003</v>
      </c>
      <c r="F18" s="46">
        <v>31.521100000000001</v>
      </c>
      <c r="G18" s="70"/>
      <c r="H18" s="70"/>
      <c r="I18" s="66"/>
      <c r="J18" s="66"/>
      <c r="K18" s="67"/>
      <c r="L18" s="29"/>
      <c r="M18" s="46">
        <v>8.4575999999999993</v>
      </c>
      <c r="N18" s="46">
        <v>31.508600000000001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2.4000000000000909E-2</v>
      </c>
      <c r="AD18" s="46">
        <f t="shared" si="0"/>
        <v>1.2499999999999289E-2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86.182400000000001</v>
      </c>
      <c r="F19" s="45">
        <v>37.465299999999999</v>
      </c>
      <c r="G19" s="78"/>
      <c r="H19" s="78"/>
      <c r="I19" s="79"/>
      <c r="J19" s="79"/>
      <c r="K19" s="80"/>
      <c r="L19" s="29"/>
      <c r="M19" s="45">
        <v>85.991200000000006</v>
      </c>
      <c r="N19" s="45">
        <v>37.436700000000002</v>
      </c>
      <c r="O19" s="78"/>
      <c r="P19" s="78"/>
      <c r="Q19" s="79"/>
      <c r="R19" s="79"/>
      <c r="S19" s="80"/>
      <c r="U19" s="8">
        <f>bdrate($E19:$E22,F19:F22,$M19:$M22,N19:N22)</f>
        <v>-2.1756085242186085E-4</v>
      </c>
      <c r="V19" s="9"/>
      <c r="W19" s="10"/>
      <c r="X19" s="29"/>
      <c r="Y19" s="24"/>
      <c r="Z19" s="24"/>
      <c r="AA19" s="27"/>
      <c r="AC19" s="45">
        <f t="shared" si="0"/>
        <v>0.19119999999999493</v>
      </c>
      <c r="AD19" s="45">
        <f t="shared" si="0"/>
        <v>2.8599999999997294E-2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27.999199999999998</v>
      </c>
      <c r="F20" s="46">
        <v>34.450699999999998</v>
      </c>
      <c r="G20" s="70"/>
      <c r="H20" s="70"/>
      <c r="I20" s="66"/>
      <c r="J20" s="66"/>
      <c r="K20" s="67"/>
      <c r="L20" s="29"/>
      <c r="M20" s="46">
        <v>28.014399999999998</v>
      </c>
      <c r="N20" s="46">
        <v>34.426499999999997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-1.5200000000000102E-2</v>
      </c>
      <c r="AD20" s="46">
        <f t="shared" si="0"/>
        <v>2.4200000000000443E-2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11.8736</v>
      </c>
      <c r="F21" s="46">
        <v>31.915500000000002</v>
      </c>
      <c r="G21" s="70"/>
      <c r="H21" s="70"/>
      <c r="I21" s="66"/>
      <c r="J21" s="66"/>
      <c r="K21" s="67"/>
      <c r="L21" s="29"/>
      <c r="M21" s="46">
        <v>11.9664</v>
      </c>
      <c r="N21" s="46">
        <v>31.984400000000001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-9.2800000000000438E-2</v>
      </c>
      <c r="AD21" s="46">
        <f t="shared" si="0"/>
        <v>-6.8899999999999295E-2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5.7615999999999996</v>
      </c>
      <c r="F22" s="46">
        <v>29.245000000000001</v>
      </c>
      <c r="G22" s="70"/>
      <c r="H22" s="70"/>
      <c r="I22" s="66"/>
      <c r="J22" s="66"/>
      <c r="K22" s="67"/>
      <c r="L22" s="29"/>
      <c r="M22" s="46">
        <v>5.7679999999999998</v>
      </c>
      <c r="N22" s="46">
        <v>29.264099999999999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-6.4000000000001833E-3</v>
      </c>
      <c r="AD22" s="46">
        <f t="shared" si="0"/>
        <v>-1.9099999999998118E-2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95.887200000000007</v>
      </c>
      <c r="F23" s="45">
        <v>36.782899999999998</v>
      </c>
      <c r="G23" s="78"/>
      <c r="H23" s="78"/>
      <c r="I23" s="79"/>
      <c r="J23" s="79"/>
      <c r="K23" s="80"/>
      <c r="L23" s="29"/>
      <c r="M23" s="45">
        <v>96.191999999999993</v>
      </c>
      <c r="N23" s="45">
        <v>36.779600000000002</v>
      </c>
      <c r="O23" s="78"/>
      <c r="P23" s="78"/>
      <c r="Q23" s="79"/>
      <c r="R23" s="79"/>
      <c r="S23" s="80"/>
      <c r="U23" s="8">
        <f>bdrate($E23:$E26,F23:F26,$M23:$M26,N23:N26)</f>
        <v>-4.2414398569661227E-3</v>
      </c>
      <c r="V23" s="9"/>
      <c r="W23" s="10"/>
      <c r="X23" s="29"/>
      <c r="Y23" s="24"/>
      <c r="Z23" s="24"/>
      <c r="AA23" s="27"/>
      <c r="AC23" s="45">
        <f t="shared" si="0"/>
        <v>-0.30479999999998597</v>
      </c>
      <c r="AD23" s="45">
        <f t="shared" si="0"/>
        <v>3.2999999999958618E-3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30.9544</v>
      </c>
      <c r="F24" s="46">
        <v>33.587000000000003</v>
      </c>
      <c r="G24" s="70"/>
      <c r="H24" s="70"/>
      <c r="I24" s="66"/>
      <c r="J24" s="66"/>
      <c r="K24" s="67"/>
      <c r="L24" s="29"/>
      <c r="M24" s="46">
        <v>31.0352</v>
      </c>
      <c r="N24" s="46">
        <v>33.613300000000002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-8.0799999999999983E-2</v>
      </c>
      <c r="AD24" s="46">
        <f t="shared" si="0"/>
        <v>-2.6299999999999102E-2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13.4064</v>
      </c>
      <c r="F25" s="46">
        <v>31.0593</v>
      </c>
      <c r="G25" s="70"/>
      <c r="H25" s="70"/>
      <c r="I25" s="66"/>
      <c r="J25" s="66"/>
      <c r="K25" s="67"/>
      <c r="L25" s="29"/>
      <c r="M25" s="46">
        <v>13.3192</v>
      </c>
      <c r="N25" s="46">
        <v>31.066199999999998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8.7199999999999278E-2</v>
      </c>
      <c r="AD25" s="46">
        <f t="shared" si="0"/>
        <v>-6.8999999999981299E-3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6.3288000000000002</v>
      </c>
      <c r="F26" s="46">
        <v>27.9727</v>
      </c>
      <c r="G26" s="70"/>
      <c r="H26" s="70"/>
      <c r="I26" s="66"/>
      <c r="J26" s="66"/>
      <c r="K26" s="67"/>
      <c r="L26" s="29"/>
      <c r="M26" s="46">
        <v>6.3192000000000004</v>
      </c>
      <c r="N26" s="46">
        <v>27.9435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9.5999999999998309E-3</v>
      </c>
      <c r="AD26" s="46">
        <f t="shared" si="0"/>
        <v>2.9199999999999449E-2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42.327399999999997</v>
      </c>
      <c r="G27" s="45">
        <v>45.367199999999997</v>
      </c>
      <c r="H27" s="45">
        <v>45.070300000000003</v>
      </c>
      <c r="I27" s="79"/>
      <c r="J27" s="79"/>
      <c r="K27" s="80"/>
      <c r="L27" s="29"/>
      <c r="M27" s="78"/>
      <c r="N27" s="45">
        <v>42.3249</v>
      </c>
      <c r="O27" s="45">
        <v>45.365400000000001</v>
      </c>
      <c r="P27" s="45">
        <v>45.064500000000002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2.4999999999977263E-3</v>
      </c>
      <c r="AE27" s="45">
        <f>G27 -O27</f>
        <v>1.799999999995805E-3</v>
      </c>
      <c r="AF27" s="45">
        <f>H27 -P27</f>
        <v>5.8000000000006935E-3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40.1175</v>
      </c>
      <c r="G28" s="46">
        <v>43.731000000000002</v>
      </c>
      <c r="H28" s="46">
        <v>43.117100000000001</v>
      </c>
      <c r="I28" s="66"/>
      <c r="J28" s="66"/>
      <c r="K28" s="67"/>
      <c r="L28" s="29"/>
      <c r="M28" s="70"/>
      <c r="N28" s="46">
        <v>40.120399999999997</v>
      </c>
      <c r="O28" s="46">
        <v>43.7318</v>
      </c>
      <c r="P28" s="46">
        <v>43.114600000000003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-2.899999999996794E-3</v>
      </c>
      <c r="AE28" s="46">
        <f t="shared" si="1"/>
        <v>-7.9999999999813554E-4</v>
      </c>
      <c r="AF28" s="46">
        <f t="shared" si="1"/>
        <v>2.4999999999977263E-3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37.626600000000003</v>
      </c>
      <c r="G29" s="46">
        <v>42.059600000000003</v>
      </c>
      <c r="H29" s="46">
        <v>41.275599999999997</v>
      </c>
      <c r="I29" s="66"/>
      <c r="J29" s="66"/>
      <c r="K29" s="67"/>
      <c r="L29" s="29"/>
      <c r="M29" s="70"/>
      <c r="N29" s="46">
        <v>37.6295</v>
      </c>
      <c r="O29" s="46">
        <v>42.061</v>
      </c>
      <c r="P29" s="46">
        <v>41.2761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-2.899999999996794E-3</v>
      </c>
      <c r="AE29" s="46">
        <f t="shared" si="1"/>
        <v>-1.3999999999967372E-3</v>
      </c>
      <c r="AF29" s="46">
        <f t="shared" si="1"/>
        <v>-5.0000000000238742E-4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34.932400000000001</v>
      </c>
      <c r="G30" s="72">
        <v>40.716299999999997</v>
      </c>
      <c r="H30" s="72">
        <v>39.816600000000001</v>
      </c>
      <c r="I30" s="68"/>
      <c r="J30" s="68"/>
      <c r="K30" s="69"/>
      <c r="L30" s="29"/>
      <c r="M30" s="81"/>
      <c r="N30" s="72">
        <v>34.927</v>
      </c>
      <c r="O30" s="72">
        <v>40.714300000000001</v>
      </c>
      <c r="P30" s="72">
        <v>39.822699999999998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5.4000000000016257E-3</v>
      </c>
      <c r="AE30" s="72">
        <f t="shared" si="1"/>
        <v>1.9999999999953388E-3</v>
      </c>
      <c r="AF30" s="72">
        <f t="shared" si="1"/>
        <v>-6.0999999999964416E-3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42.930199999999999</v>
      </c>
      <c r="G31" s="45">
        <v>45.966099999999997</v>
      </c>
      <c r="H31" s="45">
        <v>45.765599999999999</v>
      </c>
      <c r="I31" s="66"/>
      <c r="J31" s="66"/>
      <c r="K31" s="67"/>
      <c r="L31" s="29"/>
      <c r="M31" s="70"/>
      <c r="N31" s="45">
        <v>42.924399999999999</v>
      </c>
      <c r="O31" s="45">
        <v>45.9681</v>
      </c>
      <c r="P31" s="45">
        <v>45.759700000000002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5.8000000000006935E-3</v>
      </c>
      <c r="AE31" s="45">
        <f t="shared" si="1"/>
        <v>-2.0000000000024443E-3</v>
      </c>
      <c r="AF31" s="45">
        <f t="shared" si="1"/>
        <v>5.8999999999969077E-3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40.641199999999998</v>
      </c>
      <c r="G32" s="46">
        <v>44.218699999999998</v>
      </c>
      <c r="H32" s="46">
        <v>43.684399999999997</v>
      </c>
      <c r="I32" s="66"/>
      <c r="J32" s="66"/>
      <c r="K32" s="67"/>
      <c r="L32" s="29"/>
      <c r="M32" s="70"/>
      <c r="N32" s="46">
        <v>40.640999999999998</v>
      </c>
      <c r="O32" s="46">
        <v>44.220500000000001</v>
      </c>
      <c r="P32" s="46">
        <v>43.681199999999997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1.9999999999953388E-4</v>
      </c>
      <c r="AE32" s="46">
        <f t="shared" si="1"/>
        <v>-1.8000000000029104E-3</v>
      </c>
      <c r="AF32" s="46">
        <f t="shared" si="1"/>
        <v>3.1999999999996476E-3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38.053800000000003</v>
      </c>
      <c r="G33" s="46">
        <v>42.359099999999998</v>
      </c>
      <c r="H33" s="46">
        <v>41.636699999999998</v>
      </c>
      <c r="I33" s="66"/>
      <c r="J33" s="66"/>
      <c r="K33" s="67"/>
      <c r="L33" s="29"/>
      <c r="M33" s="70"/>
      <c r="N33" s="46">
        <v>38.0548</v>
      </c>
      <c r="O33" s="46">
        <v>42.360500000000002</v>
      </c>
      <c r="P33" s="46">
        <v>41.640500000000003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-9.9999999999766942E-4</v>
      </c>
      <c r="AE33" s="46">
        <f t="shared" si="1"/>
        <v>-1.4000000000038426E-3</v>
      </c>
      <c r="AF33" s="46">
        <f t="shared" si="1"/>
        <v>-3.8000000000053547E-3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35.273899999999998</v>
      </c>
      <c r="G34" s="72">
        <v>40.945799999999998</v>
      </c>
      <c r="H34" s="72">
        <v>40.091500000000003</v>
      </c>
      <c r="I34" s="68"/>
      <c r="J34" s="68"/>
      <c r="K34" s="69"/>
      <c r="L34" s="29"/>
      <c r="M34" s="81"/>
      <c r="N34" s="46">
        <v>35.271500000000003</v>
      </c>
      <c r="O34" s="72">
        <v>40.942399999999999</v>
      </c>
      <c r="P34" s="72">
        <v>40.094099999999997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2.3999999999944066E-3</v>
      </c>
      <c r="AE34" s="46">
        <f t="shared" si="1"/>
        <v>3.3999999999991815E-3</v>
      </c>
      <c r="AF34" s="46">
        <f t="shared" si="1"/>
        <v>-2.5999999999939405E-3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43.057499999999997</v>
      </c>
      <c r="G35" s="45">
        <v>45.581200000000003</v>
      </c>
      <c r="H35" s="45">
        <v>45.700499999999998</v>
      </c>
      <c r="I35" s="66"/>
      <c r="J35" s="66"/>
      <c r="K35" s="67"/>
      <c r="L35" s="29"/>
      <c r="M35" s="70"/>
      <c r="N35" s="45">
        <v>43.064300000000003</v>
      </c>
      <c r="O35" s="45">
        <v>45.582799999999999</v>
      </c>
      <c r="P35" s="45">
        <v>45.699800000000003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-6.8000000000054683E-3</v>
      </c>
      <c r="AE35" s="45">
        <f t="shared" si="1"/>
        <v>-1.5999999999962711E-3</v>
      </c>
      <c r="AF35" s="45">
        <f t="shared" si="1"/>
        <v>6.9999999999481588E-4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40.906700000000001</v>
      </c>
      <c r="G36" s="46">
        <v>43.966500000000003</v>
      </c>
      <c r="H36" s="46">
        <v>43.711799999999997</v>
      </c>
      <c r="I36" s="66"/>
      <c r="J36" s="66"/>
      <c r="K36" s="67"/>
      <c r="L36" s="29"/>
      <c r="M36" s="70"/>
      <c r="N36" s="46">
        <v>40.909500000000001</v>
      </c>
      <c r="O36" s="46">
        <v>43.966099999999997</v>
      </c>
      <c r="P36" s="46">
        <v>43.710799999999999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-2.8000000000005798E-3</v>
      </c>
      <c r="AE36" s="46">
        <f t="shared" si="1"/>
        <v>4.000000000061732E-4</v>
      </c>
      <c r="AF36" s="46">
        <f t="shared" si="1"/>
        <v>9.9999999999766942E-4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38.347200000000001</v>
      </c>
      <c r="G37" s="46">
        <v>42.1203</v>
      </c>
      <c r="H37" s="46">
        <v>41.628900000000002</v>
      </c>
      <c r="I37" s="66"/>
      <c r="J37" s="66"/>
      <c r="K37" s="67"/>
      <c r="L37" s="29"/>
      <c r="M37" s="70"/>
      <c r="N37" s="46">
        <v>38.349800000000002</v>
      </c>
      <c r="O37" s="46">
        <v>42.125599999999999</v>
      </c>
      <c r="P37" s="46">
        <v>41.634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-2.6000000000010459E-3</v>
      </c>
      <c r="AE37" s="46">
        <f t="shared" si="1"/>
        <v>-5.2999999999983061E-3</v>
      </c>
      <c r="AF37" s="46">
        <f t="shared" si="1"/>
        <v>-5.0999999999987722E-3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35.546999999999997</v>
      </c>
      <c r="G38" s="72">
        <v>40.8035</v>
      </c>
      <c r="H38" s="72">
        <v>40.103000000000002</v>
      </c>
      <c r="I38" s="68"/>
      <c r="J38" s="68"/>
      <c r="K38" s="69"/>
      <c r="L38" s="29"/>
      <c r="M38" s="81"/>
      <c r="N38" s="46">
        <v>35.540199999999999</v>
      </c>
      <c r="O38" s="72">
        <v>40.799500000000002</v>
      </c>
      <c r="P38" s="72">
        <v>40.099699999999999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6.7999999999983629E-3</v>
      </c>
      <c r="AE38" s="46">
        <f t="shared" si="1"/>
        <v>3.9999999999977831E-3</v>
      </c>
      <c r="AF38" s="46">
        <f t="shared" si="1"/>
        <v>3.3000000000029672E-3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42.951599999999999</v>
      </c>
      <c r="G39" s="45">
        <v>45.589599999999997</v>
      </c>
      <c r="H39" s="45">
        <v>45.6721</v>
      </c>
      <c r="I39" s="66"/>
      <c r="J39" s="66"/>
      <c r="K39" s="67"/>
      <c r="L39" s="29"/>
      <c r="M39" s="70"/>
      <c r="N39" s="45">
        <v>42.953200000000002</v>
      </c>
      <c r="O39" s="45">
        <v>45.592599999999997</v>
      </c>
      <c r="P39" s="45">
        <v>45.674100000000003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-1.6000000000033765E-3</v>
      </c>
      <c r="AE39" s="45">
        <f t="shared" si="1"/>
        <v>-3.0000000000001137E-3</v>
      </c>
      <c r="AF39" s="45">
        <f t="shared" si="1"/>
        <v>-2.0000000000024443E-3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40.7986</v>
      </c>
      <c r="G40" s="46">
        <v>43.967300000000002</v>
      </c>
      <c r="H40" s="46">
        <v>43.689799999999998</v>
      </c>
      <c r="I40" s="66"/>
      <c r="J40" s="66"/>
      <c r="K40" s="67"/>
      <c r="L40" s="29"/>
      <c r="M40" s="70"/>
      <c r="N40" s="46">
        <v>40.802599999999998</v>
      </c>
      <c r="O40" s="46">
        <v>43.963799999999999</v>
      </c>
      <c r="P40" s="46">
        <v>43.688800000000001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-3.9999999999977831E-3</v>
      </c>
      <c r="AE40" s="46">
        <f t="shared" si="1"/>
        <v>3.5000000000025011E-3</v>
      </c>
      <c r="AF40" s="46">
        <f t="shared" si="1"/>
        <v>9.9999999999766942E-4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38.249299999999998</v>
      </c>
      <c r="G41" s="46">
        <v>42.139299999999999</v>
      </c>
      <c r="H41" s="46">
        <v>41.613900000000001</v>
      </c>
      <c r="I41" s="66"/>
      <c r="J41" s="66"/>
      <c r="K41" s="67"/>
      <c r="L41" s="29"/>
      <c r="M41" s="70"/>
      <c r="N41" s="46">
        <v>38.246899999999997</v>
      </c>
      <c r="O41" s="46">
        <v>42.133200000000002</v>
      </c>
      <c r="P41" s="46">
        <v>41.614800000000002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2.400000000001512E-3</v>
      </c>
      <c r="AE41" s="46">
        <f t="shared" si="1"/>
        <v>6.0999999999964416E-3</v>
      </c>
      <c r="AF41" s="46">
        <f t="shared" si="1"/>
        <v>-9.0000000000145519E-4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35.4495</v>
      </c>
      <c r="G42" s="72">
        <v>40.798200000000001</v>
      </c>
      <c r="H42" s="72">
        <v>40.075200000000002</v>
      </c>
      <c r="I42" s="68"/>
      <c r="J42" s="68"/>
      <c r="K42" s="69"/>
      <c r="L42" s="29"/>
      <c r="M42" s="81"/>
      <c r="N42" s="46">
        <v>35.4405</v>
      </c>
      <c r="O42" s="72">
        <v>40.803899999999999</v>
      </c>
      <c r="P42" s="72">
        <v>40.077800000000003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9.0000000000003411E-3</v>
      </c>
      <c r="AE42" s="46">
        <f t="shared" si="1"/>
        <v>-5.6999999999973738E-3</v>
      </c>
      <c r="AF42" s="46">
        <f t="shared" si="1"/>
        <v>-2.6000000000010459E-3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42.758800000000001</v>
      </c>
      <c r="G43" s="45">
        <v>45.886000000000003</v>
      </c>
      <c r="H43" s="45">
        <v>45.653100000000002</v>
      </c>
      <c r="I43" s="66"/>
      <c r="J43" s="66"/>
      <c r="K43" s="67"/>
      <c r="L43" s="29"/>
      <c r="M43" s="70"/>
      <c r="N43" s="45">
        <v>42.762300000000003</v>
      </c>
      <c r="O43" s="45">
        <v>45.893599999999999</v>
      </c>
      <c r="P43" s="45">
        <v>45.656799999999997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-3.5000000000025011E-3</v>
      </c>
      <c r="AE43" s="45">
        <f t="shared" si="2"/>
        <v>-7.5999999999964984E-3</v>
      </c>
      <c r="AF43" s="45">
        <f t="shared" si="2"/>
        <v>-3.6999999999949296E-3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40.504300000000001</v>
      </c>
      <c r="G44" s="46">
        <v>44.139699999999998</v>
      </c>
      <c r="H44" s="46">
        <v>43.579500000000003</v>
      </c>
      <c r="I44" s="66"/>
      <c r="J44" s="66"/>
      <c r="K44" s="67"/>
      <c r="L44" s="29"/>
      <c r="M44" s="70"/>
      <c r="N44" s="46">
        <v>40.504399999999997</v>
      </c>
      <c r="O44" s="46">
        <v>44.1402</v>
      </c>
      <c r="P44" s="46">
        <v>43.577800000000003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-9.9999999996214228E-5</v>
      </c>
      <c r="AE44" s="46">
        <f t="shared" si="2"/>
        <v>-5.0000000000238742E-4</v>
      </c>
      <c r="AF44" s="46">
        <f t="shared" si="2"/>
        <v>1.6999999999995907E-3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37.951599999999999</v>
      </c>
      <c r="G45" s="46">
        <v>42.303199999999997</v>
      </c>
      <c r="H45" s="46">
        <v>41.5441</v>
      </c>
      <c r="I45" s="66"/>
      <c r="J45" s="66"/>
      <c r="K45" s="67"/>
      <c r="L45" s="29"/>
      <c r="M45" s="70"/>
      <c r="N45" s="46">
        <v>37.9512</v>
      </c>
      <c r="O45" s="46">
        <v>42.305199999999999</v>
      </c>
      <c r="P45" s="46">
        <v>41.534199999999998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3.9999999999906777E-4</v>
      </c>
      <c r="AE45" s="46">
        <f t="shared" si="2"/>
        <v>-2.0000000000024443E-3</v>
      </c>
      <c r="AF45" s="46">
        <f t="shared" si="2"/>
        <v>9.9000000000017963E-3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35.172600000000003</v>
      </c>
      <c r="G46" s="72">
        <v>40.911200000000001</v>
      </c>
      <c r="H46" s="72">
        <v>39.963700000000003</v>
      </c>
      <c r="I46" s="68"/>
      <c r="J46" s="68"/>
      <c r="K46" s="69"/>
      <c r="L46" s="29"/>
      <c r="M46" s="81"/>
      <c r="N46" s="72">
        <v>35.1646</v>
      </c>
      <c r="O46" s="72">
        <v>40.915799999999997</v>
      </c>
      <c r="P46" s="72">
        <v>39.964799999999997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8.0000000000026716E-3</v>
      </c>
      <c r="AE46" s="72">
        <f t="shared" si="2"/>
        <v>-4.5999999999963848E-3</v>
      </c>
      <c r="AF46" s="72">
        <f t="shared" si="2"/>
        <v>-1.0999999999938836E-3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42.086100000000002</v>
      </c>
      <c r="G47" s="45">
        <v>45.139899999999997</v>
      </c>
      <c r="H47" s="45">
        <v>44.877000000000002</v>
      </c>
      <c r="I47" s="66"/>
      <c r="J47" s="66"/>
      <c r="K47" s="67"/>
      <c r="L47" s="29"/>
      <c r="M47" s="70"/>
      <c r="N47" s="45">
        <v>42.099299999999999</v>
      </c>
      <c r="O47" s="45">
        <v>45.137700000000002</v>
      </c>
      <c r="P47" s="45">
        <v>44.884599999999999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-1.3199999999997658E-2</v>
      </c>
      <c r="AE47" s="45">
        <f t="shared" si="2"/>
        <v>2.1999999999948727E-3</v>
      </c>
      <c r="AF47" s="45">
        <f t="shared" si="2"/>
        <v>-7.5999999999964984E-3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39.953499999999998</v>
      </c>
      <c r="G48" s="46">
        <v>43.475200000000001</v>
      </c>
      <c r="H48" s="46">
        <v>42.949399999999997</v>
      </c>
      <c r="I48" s="66"/>
      <c r="J48" s="66"/>
      <c r="K48" s="67"/>
      <c r="L48" s="29"/>
      <c r="M48" s="70"/>
      <c r="N48" s="46">
        <v>39.968899999999998</v>
      </c>
      <c r="O48" s="46">
        <v>43.474899999999998</v>
      </c>
      <c r="P48" s="46">
        <v>42.946599999999997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-1.5399999999999636E-2</v>
      </c>
      <c r="AE48" s="46">
        <f t="shared" si="2"/>
        <v>3.0000000000285354E-4</v>
      </c>
      <c r="AF48" s="46">
        <f t="shared" si="2"/>
        <v>2.8000000000005798E-3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37.486199999999997</v>
      </c>
      <c r="G49" s="46">
        <v>41.857900000000001</v>
      </c>
      <c r="H49" s="46">
        <v>41.115499999999997</v>
      </c>
      <c r="I49" s="66"/>
      <c r="J49" s="66"/>
      <c r="K49" s="67"/>
      <c r="L49" s="29"/>
      <c r="M49" s="70"/>
      <c r="N49" s="46">
        <v>37.494999999999997</v>
      </c>
      <c r="O49" s="46">
        <v>41.857500000000002</v>
      </c>
      <c r="P49" s="46">
        <v>41.101599999999998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-8.8000000000008072E-3</v>
      </c>
      <c r="AE49" s="46">
        <f t="shared" si="2"/>
        <v>3.9999999999906777E-4</v>
      </c>
      <c r="AF49" s="46">
        <f t="shared" si="2"/>
        <v>1.3899999999999579E-2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34.808599999999998</v>
      </c>
      <c r="G50" s="72">
        <v>40.565199999999997</v>
      </c>
      <c r="H50" s="72">
        <v>39.631900000000002</v>
      </c>
      <c r="I50" s="68"/>
      <c r="J50" s="68"/>
      <c r="K50" s="69"/>
      <c r="L50" s="29"/>
      <c r="M50" s="81"/>
      <c r="N50" s="72">
        <v>34.801099999999998</v>
      </c>
      <c r="O50" s="72">
        <v>40.572000000000003</v>
      </c>
      <c r="P50" s="72">
        <v>39.631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7.5000000000002842E-3</v>
      </c>
      <c r="AE50" s="72">
        <f t="shared" si="2"/>
        <v>-6.8000000000054683E-3</v>
      </c>
      <c r="AF50" s="72">
        <f t="shared" si="2"/>
        <v>9.0000000000145519E-4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1753.1248000000001</v>
      </c>
      <c r="F51" s="70"/>
      <c r="G51" s="70"/>
      <c r="H51" s="70"/>
      <c r="I51" s="45">
        <v>26244.79</v>
      </c>
      <c r="J51" s="45">
        <v>49.93</v>
      </c>
      <c r="K51" s="45">
        <v>340.43</v>
      </c>
      <c r="L51" s="29"/>
      <c r="M51" s="45">
        <v>1753.1296</v>
      </c>
      <c r="N51" s="70"/>
      <c r="O51" s="70"/>
      <c r="P51" s="70"/>
      <c r="Q51" s="45">
        <v>26326.86</v>
      </c>
      <c r="R51" s="45">
        <v>50.27</v>
      </c>
      <c r="S51" s="45">
        <v>334.86</v>
      </c>
      <c r="U51" s="8"/>
      <c r="V51" s="9"/>
      <c r="W51" s="10"/>
      <c r="X51" s="29"/>
      <c r="Y51" s="61">
        <f>GEOMEAN(Q51:Q54)/GEOMEAN(I51:I54)</f>
        <v>1.0035339481915069</v>
      </c>
      <c r="Z51" s="61">
        <f>GEOMEAN(R51:R54)/GEOMEAN(J51:J54)</f>
        <v>0.94330292887991496</v>
      </c>
      <c r="AA51" s="57">
        <f>GEOMEAN(S51:S54)/GEOMEAN(K51:K54)</f>
        <v>0.99525440914176877</v>
      </c>
      <c r="AC51" s="45">
        <f>E51 -M51</f>
        <v>-4.7999999999319698E-3</v>
      </c>
      <c r="AD51" s="70"/>
      <c r="AE51" s="70"/>
      <c r="AF51" s="70"/>
      <c r="AG51" s="45">
        <f t="shared" ref="AG51:AI54" si="3">I51 -Q51</f>
        <v>-82.069999999999709</v>
      </c>
      <c r="AH51" s="45">
        <f t="shared" si="3"/>
        <v>-0.34000000000000341</v>
      </c>
      <c r="AI51" s="45">
        <f t="shared" si="3"/>
        <v>5.5699999999999932</v>
      </c>
    </row>
    <row r="52" spans="1:35" ht="12">
      <c r="A52" s="27"/>
      <c r="B52" s="36"/>
      <c r="C52" s="29"/>
      <c r="D52" s="32">
        <v>30</v>
      </c>
      <c r="E52" s="46">
        <v>844.92560000000003</v>
      </c>
      <c r="F52" s="70"/>
      <c r="G52" s="70"/>
      <c r="H52" s="70"/>
      <c r="I52" s="46">
        <v>20172.150000000001</v>
      </c>
      <c r="J52" s="46">
        <v>49.27</v>
      </c>
      <c r="K52" s="46">
        <v>336.92</v>
      </c>
      <c r="L52" s="29"/>
      <c r="M52" s="46">
        <v>844.6952</v>
      </c>
      <c r="N52" s="70"/>
      <c r="O52" s="70"/>
      <c r="P52" s="70"/>
      <c r="Q52" s="46">
        <v>20320.36</v>
      </c>
      <c r="R52" s="46">
        <v>45.47</v>
      </c>
      <c r="S52" s="46">
        <v>333.8</v>
      </c>
      <c r="U52" s="41"/>
      <c r="V52" s="42"/>
      <c r="W52" s="43"/>
      <c r="X52" s="29"/>
      <c r="Y52" s="24"/>
      <c r="Z52" s="24"/>
      <c r="AA52" s="27"/>
      <c r="AC52" s="46">
        <f>E52 -M52</f>
        <v>0.23040000000003147</v>
      </c>
      <c r="AD52" s="70"/>
      <c r="AE52" s="70"/>
      <c r="AF52" s="70"/>
      <c r="AG52" s="46">
        <f t="shared" si="3"/>
        <v>-148.20999999999913</v>
      </c>
      <c r="AH52" s="46">
        <f t="shared" si="3"/>
        <v>3.8000000000000043</v>
      </c>
      <c r="AI52" s="46">
        <f t="shared" si="3"/>
        <v>3.1200000000000045</v>
      </c>
    </row>
    <row r="53" spans="1:35" ht="12">
      <c r="A53" s="27"/>
      <c r="B53" s="36"/>
      <c r="C53" s="29"/>
      <c r="D53" s="32">
        <v>35</v>
      </c>
      <c r="E53" s="46">
        <v>460.83760000000001</v>
      </c>
      <c r="F53" s="70"/>
      <c r="G53" s="70"/>
      <c r="H53" s="70"/>
      <c r="I53" s="46">
        <v>17110.04</v>
      </c>
      <c r="J53" s="46">
        <v>47.45</v>
      </c>
      <c r="K53" s="46">
        <v>329.79</v>
      </c>
      <c r="L53" s="29"/>
      <c r="M53" s="46">
        <v>460.67360000000002</v>
      </c>
      <c r="N53" s="70"/>
      <c r="O53" s="70"/>
      <c r="P53" s="70"/>
      <c r="Q53" s="46">
        <v>17202.990000000002</v>
      </c>
      <c r="R53" s="46">
        <v>43.54</v>
      </c>
      <c r="S53" s="46">
        <v>334.85</v>
      </c>
      <c r="U53" s="17"/>
      <c r="V53" s="18"/>
      <c r="W53" s="19"/>
      <c r="X53" s="29"/>
      <c r="Y53" s="24"/>
      <c r="Z53" s="24"/>
      <c r="AA53" s="27"/>
      <c r="AC53" s="46">
        <f>E53 -M53</f>
        <v>0.16399999999998727</v>
      </c>
      <c r="AD53" s="70"/>
      <c r="AE53" s="70"/>
      <c r="AF53" s="70"/>
      <c r="AG53" s="46">
        <f t="shared" si="3"/>
        <v>-92.950000000000728</v>
      </c>
      <c r="AH53" s="46">
        <f t="shared" si="3"/>
        <v>3.9100000000000037</v>
      </c>
      <c r="AI53" s="46">
        <f t="shared" si="3"/>
        <v>-5.0600000000000023</v>
      </c>
    </row>
    <row r="54" spans="1:35" ht="12.75" thickBot="1">
      <c r="A54" s="27"/>
      <c r="B54" s="52"/>
      <c r="C54" s="53"/>
      <c r="D54" s="71">
        <v>40</v>
      </c>
      <c r="E54" s="72">
        <v>265.82639999999998</v>
      </c>
      <c r="F54" s="81"/>
      <c r="G54" s="81"/>
      <c r="H54" s="81"/>
      <c r="I54" s="72">
        <v>15017.22</v>
      </c>
      <c r="J54" s="72">
        <v>42.2</v>
      </c>
      <c r="K54" s="72">
        <v>338.56</v>
      </c>
      <c r="L54" s="29"/>
      <c r="M54" s="72">
        <v>265.7192</v>
      </c>
      <c r="N54" s="81"/>
      <c r="O54" s="81"/>
      <c r="P54" s="81"/>
      <c r="Q54" s="72">
        <v>14990.97</v>
      </c>
      <c r="R54" s="72">
        <v>39.19</v>
      </c>
      <c r="S54" s="72">
        <v>335.71</v>
      </c>
      <c r="U54" s="85"/>
      <c r="V54" s="86"/>
      <c r="W54" s="87"/>
      <c r="X54" s="29"/>
      <c r="Y54" s="49"/>
      <c r="Z54" s="49"/>
      <c r="AA54" s="54"/>
      <c r="AC54" s="72">
        <f>E54 -M54</f>
        <v>0.10719999999997754</v>
      </c>
      <c r="AD54" s="81"/>
      <c r="AE54" s="81"/>
      <c r="AF54" s="81"/>
      <c r="AG54" s="72">
        <f t="shared" si="3"/>
        <v>26.25</v>
      </c>
      <c r="AH54" s="72">
        <f t="shared" si="3"/>
        <v>3.0100000000000051</v>
      </c>
      <c r="AI54" s="72">
        <f t="shared" si="3"/>
        <v>2.8500000000000227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846.76080000000002</v>
      </c>
      <c r="F55" s="45">
        <v>43.604900000000001</v>
      </c>
      <c r="G55" s="45">
        <v>44.955800000000004</v>
      </c>
      <c r="H55" s="45">
        <v>44.934399999999997</v>
      </c>
      <c r="I55" s="79"/>
      <c r="J55" s="79"/>
      <c r="K55" s="80"/>
      <c r="L55" s="29"/>
      <c r="M55" s="45">
        <v>846.76080000000002</v>
      </c>
      <c r="N55" s="45">
        <v>43.604900000000001</v>
      </c>
      <c r="O55" s="45">
        <v>44.955800000000004</v>
      </c>
      <c r="P55" s="45">
        <v>44.934399999999997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450.83120000000002</v>
      </c>
      <c r="F56" s="46">
        <v>41.431699999999999</v>
      </c>
      <c r="G56" s="46">
        <v>44.111400000000003</v>
      </c>
      <c r="H56" s="46">
        <v>43.4435</v>
      </c>
      <c r="I56" s="66"/>
      <c r="J56" s="66"/>
      <c r="K56" s="67"/>
      <c r="L56" s="29"/>
      <c r="M56" s="46">
        <v>450.83120000000002</v>
      </c>
      <c r="N56" s="46">
        <v>41.431699999999999</v>
      </c>
      <c r="O56" s="46">
        <v>44.111400000000003</v>
      </c>
      <c r="P56" s="46">
        <v>43.4435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256.22320000000002</v>
      </c>
      <c r="F57" s="46">
        <v>38.945</v>
      </c>
      <c r="G57" s="46">
        <v>43.065899999999999</v>
      </c>
      <c r="H57" s="46">
        <v>41.777799999999999</v>
      </c>
      <c r="I57" s="66"/>
      <c r="J57" s="66"/>
      <c r="K57" s="67"/>
      <c r="L57" s="29"/>
      <c r="M57" s="46">
        <v>256.22320000000002</v>
      </c>
      <c r="N57" s="46">
        <v>38.945</v>
      </c>
      <c r="O57" s="46">
        <v>43.065899999999999</v>
      </c>
      <c r="P57" s="46">
        <v>41.777799999999999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153.95920000000001</v>
      </c>
      <c r="F58" s="46">
        <v>36.328800000000001</v>
      </c>
      <c r="G58" s="46">
        <v>42.261400000000002</v>
      </c>
      <c r="H58" s="46">
        <v>40.440199999999997</v>
      </c>
      <c r="I58" s="66"/>
      <c r="J58" s="66"/>
      <c r="K58" s="67"/>
      <c r="L58" s="29"/>
      <c r="M58" s="46">
        <v>153.95920000000001</v>
      </c>
      <c r="N58" s="46">
        <v>36.328800000000001</v>
      </c>
      <c r="O58" s="46">
        <v>42.261400000000002</v>
      </c>
      <c r="P58" s="46">
        <v>40.440199999999997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274.59840000000003</v>
      </c>
      <c r="F59" s="45">
        <v>42.691400000000002</v>
      </c>
      <c r="G59" s="45">
        <v>44.7498</v>
      </c>
      <c r="H59" s="45">
        <v>44.150199999999998</v>
      </c>
      <c r="I59" s="79"/>
      <c r="J59" s="79"/>
      <c r="K59" s="80"/>
      <c r="L59" s="29"/>
      <c r="M59" s="45">
        <v>273.98559999999998</v>
      </c>
      <c r="N59" s="45">
        <v>42.688899999999997</v>
      </c>
      <c r="O59" s="45">
        <v>44.749400000000001</v>
      </c>
      <c r="P59" s="45">
        <v>44.149299999999997</v>
      </c>
      <c r="Q59" s="79"/>
      <c r="R59" s="79"/>
      <c r="S59" s="80"/>
      <c r="U59" s="8">
        <f>bdrate($E59:$E62,F59:F62,$M59:$M62,N59:N62)</f>
        <v>3.8925808035594756E-4</v>
      </c>
      <c r="V59" s="9">
        <f>bdrate($E59:$E62,G59:G62,$M59:$M62,O59:O62)</f>
        <v>1.389956797631875E-3</v>
      </c>
      <c r="W59" s="10">
        <f>bdrate($E59:$E62,H59:H62,$M59:$M62,P59:P62)</f>
        <v>-2.883462586450114E-3</v>
      </c>
      <c r="X59" s="29"/>
      <c r="Y59" s="24"/>
      <c r="Z59" s="24"/>
      <c r="AA59" s="27"/>
      <c r="AC59" s="45">
        <f t="shared" si="5"/>
        <v>0.61280000000004975</v>
      </c>
      <c r="AD59" s="45">
        <f t="shared" si="4"/>
        <v>2.5000000000048317E-3</v>
      </c>
      <c r="AE59" s="45">
        <f t="shared" si="4"/>
        <v>3.9999999999906777E-4</v>
      </c>
      <c r="AF59" s="45">
        <f t="shared" si="4"/>
        <v>9.0000000000145519E-4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123.11199999999999</v>
      </c>
      <c r="F60" s="46">
        <v>40.362699999999997</v>
      </c>
      <c r="G60" s="46">
        <v>43.801600000000001</v>
      </c>
      <c r="H60" s="46">
        <v>42.6419</v>
      </c>
      <c r="I60" s="66"/>
      <c r="J60" s="66"/>
      <c r="K60" s="67"/>
      <c r="L60" s="29"/>
      <c r="M60" s="46">
        <v>123.11839999999999</v>
      </c>
      <c r="N60" s="46">
        <v>40.360599999999998</v>
      </c>
      <c r="O60" s="46">
        <v>43.810200000000002</v>
      </c>
      <c r="P60" s="46">
        <v>42.649299999999997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-6.3999999999992951E-3</v>
      </c>
      <c r="AD60" s="46">
        <f t="shared" si="4"/>
        <v>2.0999999999986585E-3</v>
      </c>
      <c r="AE60" s="46">
        <f t="shared" si="4"/>
        <v>-8.6000000000012733E-3</v>
      </c>
      <c r="AF60" s="46">
        <f t="shared" si="4"/>
        <v>-7.3999999999969646E-3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64.275999999999996</v>
      </c>
      <c r="F61" s="46">
        <v>37.924900000000001</v>
      </c>
      <c r="G61" s="46">
        <v>42.881799999999998</v>
      </c>
      <c r="H61" s="46">
        <v>41.293199999999999</v>
      </c>
      <c r="I61" s="66"/>
      <c r="J61" s="66"/>
      <c r="K61" s="67"/>
      <c r="L61" s="29"/>
      <c r="M61" s="46">
        <v>64.328800000000001</v>
      </c>
      <c r="N61" s="46">
        <v>37.9236</v>
      </c>
      <c r="O61" s="46">
        <v>42.868099999999998</v>
      </c>
      <c r="P61" s="46">
        <v>41.300400000000003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-5.2800000000004843E-2</v>
      </c>
      <c r="AD61" s="46">
        <f t="shared" si="4"/>
        <v>1.300000000000523E-3</v>
      </c>
      <c r="AE61" s="46">
        <f t="shared" si="4"/>
        <v>1.3700000000000045E-2</v>
      </c>
      <c r="AF61" s="46">
        <f t="shared" si="4"/>
        <v>-7.2000000000045361E-3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34.572000000000003</v>
      </c>
      <c r="F62" s="46">
        <v>35.376800000000003</v>
      </c>
      <c r="G62" s="46">
        <v>41.995199999999997</v>
      </c>
      <c r="H62" s="46">
        <v>39.990900000000003</v>
      </c>
      <c r="I62" s="66"/>
      <c r="J62" s="66"/>
      <c r="K62" s="67"/>
      <c r="L62" s="29"/>
      <c r="M62" s="46">
        <v>34.485599999999998</v>
      </c>
      <c r="N62" s="46">
        <v>35.371099999999998</v>
      </c>
      <c r="O62" s="46">
        <v>41.987299999999998</v>
      </c>
      <c r="P62" s="46">
        <v>39.990699999999997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8.6400000000004695E-2</v>
      </c>
      <c r="AD62" s="46">
        <f t="shared" si="4"/>
        <v>5.7000000000044793E-3</v>
      </c>
      <c r="AE62" s="46">
        <f t="shared" si="4"/>
        <v>7.899999999999352E-3</v>
      </c>
      <c r="AF62" s="46">
        <f t="shared" si="4"/>
        <v>2.0000000000663931E-4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292.19200000000001</v>
      </c>
      <c r="F63" s="45">
        <v>42.3294</v>
      </c>
      <c r="G63" s="45">
        <v>43.957799999999999</v>
      </c>
      <c r="H63" s="45">
        <v>43.887300000000003</v>
      </c>
      <c r="I63" s="79"/>
      <c r="J63" s="79"/>
      <c r="K63" s="80"/>
      <c r="L63" s="29"/>
      <c r="M63" s="45">
        <v>291.59440000000001</v>
      </c>
      <c r="N63" s="45">
        <v>42.325699999999998</v>
      </c>
      <c r="O63" s="45">
        <v>43.954700000000003</v>
      </c>
      <c r="P63" s="45">
        <v>43.890300000000003</v>
      </c>
      <c r="Q63" s="79"/>
      <c r="R63" s="79"/>
      <c r="S63" s="80"/>
      <c r="U63" s="8">
        <f>bdrate($E63:$E66,F63:F66,$M63:$M66,N63:N66)</f>
        <v>1.4104558838599068E-3</v>
      </c>
      <c r="V63" s="9">
        <f>bdrate($E63:$E66,G63:G66,$M63:$M66,O63:O66)</f>
        <v>-9.9199436914265693E-4</v>
      </c>
      <c r="W63" s="10">
        <f>bdrate($E63:$E66,H63:H66,$M63:$M66,P63:P66)</f>
        <v>-5.1274837046133559E-4</v>
      </c>
      <c r="X63" s="29"/>
      <c r="Y63" s="24"/>
      <c r="Z63" s="24"/>
      <c r="AA63" s="27"/>
      <c r="AC63" s="45">
        <f t="shared" si="5"/>
        <v>0.59759999999999991</v>
      </c>
      <c r="AD63" s="45">
        <f t="shared" si="4"/>
        <v>3.700000000002035E-3</v>
      </c>
      <c r="AE63" s="45">
        <f t="shared" si="4"/>
        <v>3.0999999999963279E-3</v>
      </c>
      <c r="AF63" s="45">
        <f t="shared" si="4"/>
        <v>-3.0000000000001137E-3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128.9032</v>
      </c>
      <c r="F64" s="46">
        <v>40.112000000000002</v>
      </c>
      <c r="G64" s="46">
        <v>42.975900000000003</v>
      </c>
      <c r="H64" s="46">
        <v>42.442999999999998</v>
      </c>
      <c r="I64" s="66"/>
      <c r="J64" s="66"/>
      <c r="K64" s="67"/>
      <c r="L64" s="29"/>
      <c r="M64" s="46">
        <v>129.3312</v>
      </c>
      <c r="N64" s="46">
        <v>40.1111</v>
      </c>
      <c r="O64" s="46">
        <v>42.980899999999998</v>
      </c>
      <c r="P64" s="46">
        <v>42.445500000000003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-0.42799999999999727</v>
      </c>
      <c r="AD64" s="46">
        <f t="shared" si="4"/>
        <v>9.0000000000145519E-4</v>
      </c>
      <c r="AE64" s="46">
        <f t="shared" si="4"/>
        <v>-4.9999999999954525E-3</v>
      </c>
      <c r="AF64" s="46">
        <f t="shared" si="4"/>
        <v>-2.5000000000048317E-3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67.147999999999996</v>
      </c>
      <c r="F65" s="46">
        <v>37.734699999999997</v>
      </c>
      <c r="G65" s="46">
        <v>42.198999999999998</v>
      </c>
      <c r="H65" s="46">
        <v>41.193600000000004</v>
      </c>
      <c r="I65" s="66"/>
      <c r="J65" s="66"/>
      <c r="K65" s="67"/>
      <c r="L65" s="29"/>
      <c r="M65" s="46">
        <v>67.217600000000004</v>
      </c>
      <c r="N65" s="46">
        <v>37.7348</v>
      </c>
      <c r="O65" s="46">
        <v>42.206600000000002</v>
      </c>
      <c r="P65" s="46">
        <v>41.2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-6.9600000000008322E-2</v>
      </c>
      <c r="AD65" s="46">
        <f t="shared" si="4"/>
        <v>-1.0000000000331966E-4</v>
      </c>
      <c r="AE65" s="46">
        <f t="shared" si="4"/>
        <v>-7.6000000000036039E-3</v>
      </c>
      <c r="AF65" s="46">
        <f t="shared" si="4"/>
        <v>-6.3999999999992951E-3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35.824800000000003</v>
      </c>
      <c r="F66" s="72">
        <v>35.231400000000001</v>
      </c>
      <c r="G66" s="72">
        <v>41.382899999999999</v>
      </c>
      <c r="H66" s="72">
        <v>39.947600000000001</v>
      </c>
      <c r="I66" s="68"/>
      <c r="J66" s="68"/>
      <c r="K66" s="69"/>
      <c r="L66" s="29"/>
      <c r="M66" s="72">
        <v>35.821599999999997</v>
      </c>
      <c r="N66" s="72">
        <v>35.237699999999997</v>
      </c>
      <c r="O66" s="72">
        <v>41.371200000000002</v>
      </c>
      <c r="P66" s="72">
        <v>39.947099999999999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3.200000000006753E-3</v>
      </c>
      <c r="AD66" s="72">
        <f t="shared" si="4"/>
        <v>-6.2999999999959755E-3</v>
      </c>
      <c r="AE66" s="72">
        <f t="shared" si="4"/>
        <v>1.1699999999997601E-2</v>
      </c>
      <c r="AF66" s="72">
        <f t="shared" si="4"/>
        <v>5.0000000000238742E-4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136.59520000000001</v>
      </c>
      <c r="F67" s="45">
        <v>39.179000000000002</v>
      </c>
      <c r="G67" s="78"/>
      <c r="H67" s="78"/>
      <c r="I67" s="79"/>
      <c r="J67" s="79"/>
      <c r="K67" s="80"/>
      <c r="L67" s="29"/>
      <c r="M67" s="45">
        <v>136.2544</v>
      </c>
      <c r="N67" s="45">
        <v>39.186799999999998</v>
      </c>
      <c r="O67" s="78"/>
      <c r="P67" s="78"/>
      <c r="Q67" s="79"/>
      <c r="R67" s="79"/>
      <c r="S67" s="80"/>
      <c r="U67" s="8">
        <f>bdrate($E67:$E70,F67:F70,$M67:$M70,N67:N70)</f>
        <v>-9.594168008786319E-4</v>
      </c>
      <c r="V67" s="9"/>
      <c r="W67" s="10"/>
      <c r="X67" s="29"/>
      <c r="Y67" s="24"/>
      <c r="Z67" s="24"/>
      <c r="AA67" s="27"/>
      <c r="AC67" s="45">
        <f t="shared" si="5"/>
        <v>0.34080000000000155</v>
      </c>
      <c r="AD67" s="45">
        <f t="shared" si="4"/>
        <v>-7.7999999999960323E-3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47.738399999999999</v>
      </c>
      <c r="F68" s="46">
        <v>35.188899999999997</v>
      </c>
      <c r="G68" s="70"/>
      <c r="H68" s="70"/>
      <c r="I68" s="66"/>
      <c r="J68" s="66"/>
      <c r="K68" s="67"/>
      <c r="L68" s="29"/>
      <c r="M68" s="46">
        <v>47.791200000000003</v>
      </c>
      <c r="N68" s="46">
        <v>35.172199999999997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-5.2800000000004843E-2</v>
      </c>
      <c r="AD68" s="46">
        <f t="shared" si="4"/>
        <v>1.6700000000000159E-2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20.558399999999999</v>
      </c>
      <c r="F69" s="46">
        <v>32.221400000000003</v>
      </c>
      <c r="G69" s="70"/>
      <c r="H69" s="70"/>
      <c r="I69" s="66"/>
      <c r="J69" s="66"/>
      <c r="K69" s="67"/>
      <c r="L69" s="29"/>
      <c r="M69" s="46">
        <v>20.532</v>
      </c>
      <c r="N69" s="46">
        <v>32.239699999999999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2.6399999999998869E-2</v>
      </c>
      <c r="AD69" s="46">
        <f t="shared" si="4"/>
        <v>-1.829999999999643E-2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9.8783999999999992</v>
      </c>
      <c r="F70" s="46">
        <v>29.704899999999999</v>
      </c>
      <c r="G70" s="70"/>
      <c r="H70" s="70"/>
      <c r="I70" s="66"/>
      <c r="J70" s="66"/>
      <c r="K70" s="67"/>
      <c r="L70" s="29"/>
      <c r="M70" s="46">
        <v>9.8455999999999992</v>
      </c>
      <c r="N70" s="46">
        <v>29.7242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3.279999999999994E-2</v>
      </c>
      <c r="AD70" s="46">
        <f t="shared" si="4"/>
        <v>-1.9300000000001205E-2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107.7792</v>
      </c>
      <c r="F71" s="45">
        <v>36.128799999999998</v>
      </c>
      <c r="G71" s="78"/>
      <c r="H71" s="78"/>
      <c r="I71" s="79"/>
      <c r="J71" s="79"/>
      <c r="K71" s="80"/>
      <c r="L71" s="29"/>
      <c r="M71" s="45">
        <v>107.8464</v>
      </c>
      <c r="N71" s="45">
        <v>36.156100000000002</v>
      </c>
      <c r="O71" s="78"/>
      <c r="P71" s="78"/>
      <c r="Q71" s="79"/>
      <c r="R71" s="79"/>
      <c r="S71" s="80"/>
      <c r="U71" s="8">
        <f>bdrate($E71:$E74,F71:F74,$M71:$M74,N71:N74)</f>
        <v>-3.6723405765309858E-3</v>
      </c>
      <c r="V71" s="9"/>
      <c r="W71" s="10"/>
      <c r="X71" s="29"/>
      <c r="Y71" s="24"/>
      <c r="Z71" s="24"/>
      <c r="AA71" s="27"/>
      <c r="AC71" s="45">
        <f t="shared" si="5"/>
        <v>-6.7199999999999704E-2</v>
      </c>
      <c r="AD71" s="45">
        <f t="shared" si="4"/>
        <v>-2.7300000000003877E-2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35.669600000000003</v>
      </c>
      <c r="F72" s="46">
        <v>32.199399999999997</v>
      </c>
      <c r="G72" s="70"/>
      <c r="H72" s="70"/>
      <c r="I72" s="66"/>
      <c r="J72" s="66"/>
      <c r="K72" s="67"/>
      <c r="L72" s="29"/>
      <c r="M72" s="46">
        <v>35.779200000000003</v>
      </c>
      <c r="N72" s="46">
        <v>32.207500000000003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-0.10960000000000036</v>
      </c>
      <c r="AD72" s="46">
        <f t="shared" si="4"/>
        <v>-8.1000000000059913E-3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15.426399999999999</v>
      </c>
      <c r="F73" s="46">
        <v>29.544799999999999</v>
      </c>
      <c r="G73" s="70"/>
      <c r="H73" s="70"/>
      <c r="I73" s="66"/>
      <c r="J73" s="66"/>
      <c r="K73" s="67"/>
      <c r="L73" s="29"/>
      <c r="M73" s="46">
        <v>15.409599999999999</v>
      </c>
      <c r="N73" s="46">
        <v>29.548200000000001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1.6799999999999926E-2</v>
      </c>
      <c r="AD73" s="46">
        <f t="shared" si="4"/>
        <v>-3.4000000000027342E-3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7.3903999999999996</v>
      </c>
      <c r="F74" s="46">
        <v>26.8962</v>
      </c>
      <c r="G74" s="70"/>
      <c r="H74" s="70"/>
      <c r="I74" s="66"/>
      <c r="J74" s="66"/>
      <c r="K74" s="67"/>
      <c r="L74" s="29"/>
      <c r="M74" s="46">
        <v>7.2656000000000001</v>
      </c>
      <c r="N74" s="46">
        <v>26.911899999999999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0.12479999999999958</v>
      </c>
      <c r="AD74" s="46">
        <f t="shared" si="4"/>
        <v>-1.5699999999998937E-2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126.2088</v>
      </c>
      <c r="F75" s="45">
        <v>35.329900000000002</v>
      </c>
      <c r="G75" s="78"/>
      <c r="H75" s="78"/>
      <c r="I75" s="79"/>
      <c r="J75" s="79"/>
      <c r="K75" s="80"/>
      <c r="L75" s="29"/>
      <c r="M75" s="45">
        <v>125.68640000000001</v>
      </c>
      <c r="N75" s="45">
        <v>35.317300000000003</v>
      </c>
      <c r="O75" s="78"/>
      <c r="P75" s="78"/>
      <c r="Q75" s="79"/>
      <c r="R75" s="79"/>
      <c r="S75" s="80"/>
      <c r="U75" s="8">
        <f>bdrate($E75:$E78,F75:F78,$M75:$M78,N75:N78)</f>
        <v>4.891671234100281E-3</v>
      </c>
      <c r="V75" s="9"/>
      <c r="W75" s="10"/>
      <c r="X75" s="29"/>
      <c r="Y75" s="24"/>
      <c r="Z75" s="24"/>
      <c r="AA75" s="27"/>
      <c r="AC75" s="45">
        <f t="shared" si="5"/>
        <v>0.52239999999999043</v>
      </c>
      <c r="AD75" s="45">
        <f t="shared" si="4"/>
        <v>1.2599999999999056E-2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40.878399999999999</v>
      </c>
      <c r="F76" s="46">
        <v>31.4878</v>
      </c>
      <c r="G76" s="70"/>
      <c r="H76" s="70"/>
      <c r="I76" s="66"/>
      <c r="J76" s="66"/>
      <c r="K76" s="67"/>
      <c r="L76" s="29"/>
      <c r="M76" s="46">
        <v>41.197600000000001</v>
      </c>
      <c r="N76" s="46">
        <v>31.478400000000001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-0.31920000000000215</v>
      </c>
      <c r="AD76" s="46">
        <f t="shared" si="4"/>
        <v>9.3999999999994088E-3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17.324000000000002</v>
      </c>
      <c r="F77" s="46">
        <v>28.7867</v>
      </c>
      <c r="G77" s="70"/>
      <c r="H77" s="70"/>
      <c r="I77" s="66"/>
      <c r="J77" s="66"/>
      <c r="K77" s="67"/>
      <c r="L77" s="29"/>
      <c r="M77" s="46">
        <v>17.244</v>
      </c>
      <c r="N77" s="46">
        <v>28.772300000000001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8.0000000000001847E-2</v>
      </c>
      <c r="AD77" s="46">
        <f t="shared" si="4"/>
        <v>1.4399999999998414E-2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8.1639999999999997</v>
      </c>
      <c r="F78" s="46">
        <v>26.184100000000001</v>
      </c>
      <c r="G78" s="70"/>
      <c r="H78" s="70"/>
      <c r="I78" s="66"/>
      <c r="J78" s="66"/>
      <c r="K78" s="67"/>
      <c r="L78" s="29"/>
      <c r="M78" s="46">
        <v>8.2015999999999991</v>
      </c>
      <c r="N78" s="46">
        <v>26.187200000000001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-3.7599999999999412E-2</v>
      </c>
      <c r="AD78" s="46">
        <f t="shared" si="4"/>
        <v>-3.0999999999998806E-3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42.772300000000001</v>
      </c>
      <c r="G79" s="45">
        <v>47.012700000000002</v>
      </c>
      <c r="H79" s="45">
        <v>45.777500000000003</v>
      </c>
      <c r="I79" s="79"/>
      <c r="J79" s="79"/>
      <c r="K79" s="80"/>
      <c r="L79" s="29"/>
      <c r="M79" s="78"/>
      <c r="N79" s="45">
        <v>42.764200000000002</v>
      </c>
      <c r="O79" s="45">
        <v>46.9908</v>
      </c>
      <c r="P79" s="45">
        <v>45.778599999999997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8.0999999999988859E-3</v>
      </c>
      <c r="AE79" s="45">
        <f t="shared" si="4"/>
        <v>2.1900000000002251E-2</v>
      </c>
      <c r="AF79" s="45">
        <f t="shared" si="4"/>
        <v>-1.0999999999938836E-3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40.530200000000001</v>
      </c>
      <c r="G80" s="46">
        <v>45.804299999999998</v>
      </c>
      <c r="H80" s="46">
        <v>44.031700000000001</v>
      </c>
      <c r="I80" s="66"/>
      <c r="J80" s="66"/>
      <c r="K80" s="67"/>
      <c r="L80" s="29"/>
      <c r="M80" s="70"/>
      <c r="N80" s="46">
        <v>40.5291</v>
      </c>
      <c r="O80" s="46">
        <v>45.821599999999997</v>
      </c>
      <c r="P80" s="46">
        <v>44.030999999999999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1.1000000000009891E-3</v>
      </c>
      <c r="AE80" s="46">
        <f t="shared" si="4"/>
        <v>-1.7299999999998761E-2</v>
      </c>
      <c r="AF80" s="46">
        <f t="shared" si="4"/>
        <v>7.0000000000192131E-4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38.178800000000003</v>
      </c>
      <c r="G81" s="46">
        <v>44.624899999999997</v>
      </c>
      <c r="H81" s="46">
        <v>42.472900000000003</v>
      </c>
      <c r="I81" s="66"/>
      <c r="J81" s="66"/>
      <c r="K81" s="67"/>
      <c r="L81" s="29"/>
      <c r="M81" s="70"/>
      <c r="N81" s="46">
        <v>38.181600000000003</v>
      </c>
      <c r="O81" s="46">
        <v>44.596800000000002</v>
      </c>
      <c r="P81" s="46">
        <v>42.487499999999997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-2.8000000000005798E-3</v>
      </c>
      <c r="AE81" s="46">
        <f t="shared" si="4"/>
        <v>2.8099999999994907E-2</v>
      </c>
      <c r="AF81" s="46">
        <f t="shared" si="4"/>
        <v>-1.4599999999994395E-2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35.700600000000001</v>
      </c>
      <c r="G82" s="72">
        <v>43.649799999999999</v>
      </c>
      <c r="H82" s="72">
        <v>41.037999999999997</v>
      </c>
      <c r="I82" s="68"/>
      <c r="J82" s="68"/>
      <c r="K82" s="69"/>
      <c r="L82" s="29"/>
      <c r="M82" s="81"/>
      <c r="N82" s="72">
        <v>35.694400000000002</v>
      </c>
      <c r="O82" s="72">
        <v>43.636400000000002</v>
      </c>
      <c r="P82" s="72">
        <v>41.042000000000002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6.1999999999997613E-3</v>
      </c>
      <c r="AE82" s="72">
        <f t="shared" si="4"/>
        <v>1.3399999999997192E-2</v>
      </c>
      <c r="AF82" s="72">
        <f t="shared" si="4"/>
        <v>-4.0000000000048885E-3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43.464799999999997</v>
      </c>
      <c r="G83" s="45">
        <v>47.599600000000002</v>
      </c>
      <c r="H83" s="45">
        <v>46.6113</v>
      </c>
      <c r="I83" s="66"/>
      <c r="J83" s="66"/>
      <c r="K83" s="67"/>
      <c r="L83" s="29"/>
      <c r="M83" s="70"/>
      <c r="N83" s="45">
        <v>43.473599999999998</v>
      </c>
      <c r="O83" s="45">
        <v>47.595599999999997</v>
      </c>
      <c r="P83" s="45">
        <v>46.609299999999998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-8.8000000000008072E-3</v>
      </c>
      <c r="AE83" s="45">
        <f t="shared" si="4"/>
        <v>4.0000000000048885E-3</v>
      </c>
      <c r="AF83" s="45">
        <f t="shared" si="4"/>
        <v>2.0000000000024443E-3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41.081299999999999</v>
      </c>
      <c r="G84" s="46">
        <v>46.313000000000002</v>
      </c>
      <c r="H84" s="46">
        <v>44.7639</v>
      </c>
      <c r="I84" s="66"/>
      <c r="J84" s="66"/>
      <c r="K84" s="67"/>
      <c r="L84" s="29"/>
      <c r="M84" s="70"/>
      <c r="N84" s="46">
        <v>41.087499999999999</v>
      </c>
      <c r="O84" s="46">
        <v>46.330199999999998</v>
      </c>
      <c r="P84" s="46">
        <v>44.764099999999999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-6.1999999999997613E-3</v>
      </c>
      <c r="AE84" s="46">
        <f t="shared" si="4"/>
        <v>-1.7199999999995441E-2</v>
      </c>
      <c r="AF84" s="46">
        <f t="shared" si="4"/>
        <v>-1.9999999999953388E-4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38.595999999999997</v>
      </c>
      <c r="G85" s="46">
        <v>44.951900000000002</v>
      </c>
      <c r="H85" s="46">
        <v>42.971499999999999</v>
      </c>
      <c r="I85" s="66"/>
      <c r="J85" s="66"/>
      <c r="K85" s="67"/>
      <c r="L85" s="29"/>
      <c r="M85" s="70"/>
      <c r="N85" s="46">
        <v>38.608800000000002</v>
      </c>
      <c r="O85" s="46">
        <v>44.954099999999997</v>
      </c>
      <c r="P85" s="46">
        <v>42.984200000000001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-1.2800000000005696E-2</v>
      </c>
      <c r="AE85" s="46">
        <f t="shared" si="4"/>
        <v>-2.1999999999948727E-3</v>
      </c>
      <c r="AF85" s="46">
        <f t="shared" si="4"/>
        <v>-1.2700000000002376E-2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36.0167</v>
      </c>
      <c r="G86" s="72">
        <v>43.929200000000002</v>
      </c>
      <c r="H86" s="72">
        <v>41.444099999999999</v>
      </c>
      <c r="I86" s="68"/>
      <c r="J86" s="68"/>
      <c r="K86" s="69"/>
      <c r="L86" s="29"/>
      <c r="M86" s="81"/>
      <c r="N86" s="46">
        <v>36.015799999999999</v>
      </c>
      <c r="O86" s="72">
        <v>43.904000000000003</v>
      </c>
      <c r="P86" s="72">
        <v>41.4452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9.0000000000145519E-4</v>
      </c>
      <c r="AE86" s="46">
        <f t="shared" si="4"/>
        <v>2.5199999999998113E-2</v>
      </c>
      <c r="AF86" s="46">
        <f t="shared" si="4"/>
        <v>-1.1000000000009891E-3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43.637500000000003</v>
      </c>
      <c r="G87" s="45">
        <v>47.05</v>
      </c>
      <c r="H87" s="45">
        <v>46.539000000000001</v>
      </c>
      <c r="I87" s="66"/>
      <c r="J87" s="66"/>
      <c r="K87" s="67"/>
      <c r="L87" s="29"/>
      <c r="M87" s="70"/>
      <c r="N87" s="45">
        <v>43.646099999999997</v>
      </c>
      <c r="O87" s="45">
        <v>47.049700000000001</v>
      </c>
      <c r="P87" s="45">
        <v>46.538600000000002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-8.5999999999941679E-3</v>
      </c>
      <c r="AE87" s="45">
        <f t="shared" si="4"/>
        <v>2.9999999999574811E-4</v>
      </c>
      <c r="AF87" s="45">
        <f t="shared" si="4"/>
        <v>3.9999999999906777E-4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41.352600000000002</v>
      </c>
      <c r="G88" s="46">
        <v>45.998899999999999</v>
      </c>
      <c r="H88" s="46">
        <v>44.804000000000002</v>
      </c>
      <c r="I88" s="66"/>
      <c r="J88" s="66"/>
      <c r="K88" s="67"/>
      <c r="L88" s="29"/>
      <c r="M88" s="70"/>
      <c r="N88" s="46">
        <v>41.355200000000004</v>
      </c>
      <c r="O88" s="46">
        <v>46.000300000000003</v>
      </c>
      <c r="P88" s="46">
        <v>44.802999999999997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-2.6000000000010459E-3</v>
      </c>
      <c r="AE88" s="46">
        <f t="shared" si="4"/>
        <v>-1.4000000000038426E-3</v>
      </c>
      <c r="AF88" s="46">
        <f t="shared" si="4"/>
        <v>1.0000000000047748E-3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38.852899999999998</v>
      </c>
      <c r="G89" s="46">
        <v>44.723700000000001</v>
      </c>
      <c r="H89" s="46">
        <v>42.960999999999999</v>
      </c>
      <c r="I89" s="66"/>
      <c r="J89" s="66"/>
      <c r="K89" s="67"/>
      <c r="L89" s="29"/>
      <c r="M89" s="70"/>
      <c r="N89" s="46">
        <v>38.860700000000001</v>
      </c>
      <c r="O89" s="46">
        <v>44.715400000000002</v>
      </c>
      <c r="P89" s="46">
        <v>42.967100000000002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-7.8000000000031378E-3</v>
      </c>
      <c r="AE89" s="46">
        <f t="shared" si="4"/>
        <v>8.2999999999984198E-3</v>
      </c>
      <c r="AF89" s="46">
        <f t="shared" si="4"/>
        <v>-6.100000000003547E-3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36.242400000000004</v>
      </c>
      <c r="G90" s="72">
        <v>43.763599999999997</v>
      </c>
      <c r="H90" s="72">
        <v>41.447600000000001</v>
      </c>
      <c r="I90" s="68"/>
      <c r="J90" s="68"/>
      <c r="K90" s="69"/>
      <c r="L90" s="29"/>
      <c r="M90" s="81"/>
      <c r="N90" s="46">
        <v>36.246299999999998</v>
      </c>
      <c r="O90" s="72">
        <v>43.767400000000002</v>
      </c>
      <c r="P90" s="72">
        <v>41.450400000000002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-3.8999999999944635E-3</v>
      </c>
      <c r="AE90" s="46">
        <f t="shared" si="4"/>
        <v>-3.8000000000053547E-3</v>
      </c>
      <c r="AF90" s="46">
        <f t="shared" si="4"/>
        <v>-2.8000000000005798E-3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43.484499999999997</v>
      </c>
      <c r="G91" s="45">
        <v>47.041699999999999</v>
      </c>
      <c r="H91" s="45">
        <v>46.598300000000002</v>
      </c>
      <c r="I91" s="66"/>
      <c r="J91" s="66"/>
      <c r="K91" s="67"/>
      <c r="L91" s="29"/>
      <c r="M91" s="70"/>
      <c r="N91" s="45">
        <v>43.478000000000002</v>
      </c>
      <c r="O91" s="45">
        <v>47.0383</v>
      </c>
      <c r="P91" s="45">
        <v>46.5991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6.4999999999955094E-3</v>
      </c>
      <c r="AE91" s="45">
        <f t="shared" si="4"/>
        <v>3.3999999999991815E-3</v>
      </c>
      <c r="AF91" s="45">
        <f t="shared" si="4"/>
        <v>-7.9999999999813554E-4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41.194400000000002</v>
      </c>
      <c r="G92" s="46">
        <v>46.024700000000003</v>
      </c>
      <c r="H92" s="46">
        <v>44.852499999999999</v>
      </c>
      <c r="I92" s="66"/>
      <c r="J92" s="66"/>
      <c r="K92" s="67"/>
      <c r="L92" s="29"/>
      <c r="M92" s="70"/>
      <c r="N92" s="46">
        <v>41.1907</v>
      </c>
      <c r="O92" s="46">
        <v>46.0227</v>
      </c>
      <c r="P92" s="46">
        <v>44.852699999999999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3.700000000002035E-3</v>
      </c>
      <c r="AE92" s="46">
        <f t="shared" si="4"/>
        <v>2.0000000000024443E-3</v>
      </c>
      <c r="AF92" s="46">
        <f t="shared" si="4"/>
        <v>-1.9999999999953388E-4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38.7044</v>
      </c>
      <c r="G93" s="46">
        <v>44.77</v>
      </c>
      <c r="H93" s="46">
        <v>42.979199999999999</v>
      </c>
      <c r="I93" s="66"/>
      <c r="J93" s="66"/>
      <c r="K93" s="67"/>
      <c r="L93" s="29"/>
      <c r="M93" s="70"/>
      <c r="N93" s="46">
        <v>38.706899999999997</v>
      </c>
      <c r="O93" s="46">
        <v>44.770099999999999</v>
      </c>
      <c r="P93" s="46">
        <v>42.982999999999997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-2.4999999999977263E-3</v>
      </c>
      <c r="AE93" s="46">
        <f t="shared" si="4"/>
        <v>-9.9999999996214228E-5</v>
      </c>
      <c r="AF93" s="46">
        <f t="shared" si="4"/>
        <v>-3.7999999999982492E-3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36.102400000000003</v>
      </c>
      <c r="G94" s="72">
        <v>43.795099999999998</v>
      </c>
      <c r="H94" s="72">
        <v>41.435000000000002</v>
      </c>
      <c r="I94" s="68"/>
      <c r="J94" s="68"/>
      <c r="K94" s="69"/>
      <c r="L94" s="29"/>
      <c r="M94" s="81"/>
      <c r="N94" s="46">
        <v>36.101999999999997</v>
      </c>
      <c r="O94" s="72">
        <v>43.794699999999999</v>
      </c>
      <c r="P94" s="72">
        <v>41.435899999999997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4.000000000061732E-4</v>
      </c>
      <c r="AE94" s="46">
        <f t="shared" si="4"/>
        <v>3.9999999999906777E-4</v>
      </c>
      <c r="AF94" s="46">
        <f t="shared" si="4"/>
        <v>-8.9999999999434976E-4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43.2121</v>
      </c>
      <c r="G95" s="45">
        <v>47.299599999999998</v>
      </c>
      <c r="H95" s="45">
        <v>46.6021</v>
      </c>
      <c r="I95" s="66"/>
      <c r="J95" s="66"/>
      <c r="K95" s="67"/>
      <c r="L95" s="29"/>
      <c r="M95" s="70"/>
      <c r="N95" s="45">
        <v>43.212200000000003</v>
      </c>
      <c r="O95" s="45">
        <v>47.302300000000002</v>
      </c>
      <c r="P95" s="45">
        <v>46.604100000000003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-1.0000000000331966E-4</v>
      </c>
      <c r="AE95" s="45">
        <f t="shared" si="4"/>
        <v>-2.7000000000043656E-3</v>
      </c>
      <c r="AF95" s="45">
        <f t="shared" si="4"/>
        <v>-2.0000000000024443E-3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40.857599999999998</v>
      </c>
      <c r="G96" s="46">
        <v>46.136699999999998</v>
      </c>
      <c r="H96" s="46">
        <v>44.759399999999999</v>
      </c>
      <c r="I96" s="66"/>
      <c r="J96" s="66"/>
      <c r="K96" s="67"/>
      <c r="L96" s="29"/>
      <c r="M96" s="70"/>
      <c r="N96" s="46">
        <v>40.857199999999999</v>
      </c>
      <c r="O96" s="46">
        <v>46.152500000000003</v>
      </c>
      <c r="P96" s="46">
        <v>44.764800000000001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3.9999999999906777E-4</v>
      </c>
      <c r="AE96" s="46">
        <f t="shared" si="4"/>
        <v>-1.5800000000005809E-2</v>
      </c>
      <c r="AF96" s="46">
        <f t="shared" si="4"/>
        <v>-5.4000000000016257E-3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38.377699999999997</v>
      </c>
      <c r="G97" s="46">
        <v>44.936799999999998</v>
      </c>
      <c r="H97" s="46">
        <v>42.971499999999999</v>
      </c>
      <c r="I97" s="66"/>
      <c r="J97" s="66"/>
      <c r="K97" s="67"/>
      <c r="L97" s="29"/>
      <c r="M97" s="70"/>
      <c r="N97" s="46">
        <v>38.378700000000002</v>
      </c>
      <c r="O97" s="46">
        <v>44.940399999999997</v>
      </c>
      <c r="P97" s="46">
        <v>42.988300000000002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-1.0000000000047748E-3</v>
      </c>
      <c r="AE97" s="46">
        <f t="shared" si="4"/>
        <v>-3.5999999999987153E-3</v>
      </c>
      <c r="AF97" s="46">
        <f t="shared" si="4"/>
        <v>-1.6800000000003479E-2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35.805599999999998</v>
      </c>
      <c r="G98" s="72">
        <v>43.9116</v>
      </c>
      <c r="H98" s="72">
        <v>41.408099999999997</v>
      </c>
      <c r="I98" s="68"/>
      <c r="J98" s="68"/>
      <c r="K98" s="69"/>
      <c r="L98" s="29"/>
      <c r="M98" s="81"/>
      <c r="N98" s="72">
        <v>35.808500000000002</v>
      </c>
      <c r="O98" s="72">
        <v>43.903399999999998</v>
      </c>
      <c r="P98" s="72">
        <v>41.405799999999999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-2.9000000000038995E-3</v>
      </c>
      <c r="AE98" s="72">
        <f t="shared" si="4"/>
        <v>8.2000000000022055E-3</v>
      </c>
      <c r="AF98" s="72">
        <f t="shared" si="4"/>
        <v>2.2999999999981924E-3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42.474800000000002</v>
      </c>
      <c r="G99" s="45">
        <v>46.354300000000002</v>
      </c>
      <c r="H99" s="45">
        <v>45.760399999999997</v>
      </c>
      <c r="I99" s="66"/>
      <c r="J99" s="66"/>
      <c r="K99" s="67"/>
      <c r="L99" s="29"/>
      <c r="M99" s="70"/>
      <c r="N99" s="45">
        <v>42.4621</v>
      </c>
      <c r="O99" s="45">
        <v>46.352600000000002</v>
      </c>
      <c r="P99" s="45">
        <v>45.756399999999999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1.2700000000002376E-2</v>
      </c>
      <c r="AE99" s="45">
        <f t="shared" si="4"/>
        <v>1.6999999999995907E-3</v>
      </c>
      <c r="AF99" s="45">
        <f t="shared" si="4"/>
        <v>3.9999999999977831E-3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40.278599999999997</v>
      </c>
      <c r="G100" s="46">
        <v>45.222499999999997</v>
      </c>
      <c r="H100" s="46">
        <v>44.021900000000002</v>
      </c>
      <c r="I100" s="66"/>
      <c r="J100" s="66"/>
      <c r="K100" s="67"/>
      <c r="L100" s="29"/>
      <c r="M100" s="70"/>
      <c r="N100" s="46">
        <v>40.2744</v>
      </c>
      <c r="O100" s="46">
        <v>45.233400000000003</v>
      </c>
      <c r="P100" s="46">
        <v>44.025199999999998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4.199999999997317E-3</v>
      </c>
      <c r="AE100" s="46">
        <f t="shared" si="4"/>
        <v>-1.0900000000006571E-2</v>
      </c>
      <c r="AF100" s="46">
        <f t="shared" si="4"/>
        <v>-3.2999999999958618E-3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37.936700000000002</v>
      </c>
      <c r="G101" s="46">
        <v>44.224699999999999</v>
      </c>
      <c r="H101" s="46">
        <v>42.464100000000002</v>
      </c>
      <c r="I101" s="66"/>
      <c r="J101" s="66"/>
      <c r="K101" s="67"/>
      <c r="L101" s="29"/>
      <c r="M101" s="70"/>
      <c r="N101" s="46">
        <v>37.940199999999997</v>
      </c>
      <c r="O101" s="46">
        <v>44.235100000000003</v>
      </c>
      <c r="P101" s="46">
        <v>42.486499999999999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-3.4999999999953957E-3</v>
      </c>
      <c r="AE101" s="46">
        <f t="shared" si="4"/>
        <v>-1.0400000000004184E-2</v>
      </c>
      <c r="AF101" s="46">
        <f t="shared" si="4"/>
        <v>-2.2399999999997533E-2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35.452599999999997</v>
      </c>
      <c r="G102" s="72">
        <v>43.343699999999998</v>
      </c>
      <c r="H102" s="72">
        <v>41.008099999999999</v>
      </c>
      <c r="I102" s="68"/>
      <c r="J102" s="68"/>
      <c r="K102" s="69"/>
      <c r="L102" s="29"/>
      <c r="M102" s="81"/>
      <c r="N102" s="72">
        <v>35.460599999999999</v>
      </c>
      <c r="O102" s="72">
        <v>43.330300000000001</v>
      </c>
      <c r="P102" s="72">
        <v>41.006300000000003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-8.0000000000026716E-3</v>
      </c>
      <c r="AE102" s="72">
        <f t="shared" si="4"/>
        <v>1.3399999999997192E-2</v>
      </c>
      <c r="AF102" s="72">
        <f t="shared" si="4"/>
        <v>1.799999999995805E-3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1789.9248</v>
      </c>
      <c r="F103" s="70"/>
      <c r="G103" s="70"/>
      <c r="H103" s="70"/>
      <c r="I103" s="45">
        <v>29716.26</v>
      </c>
      <c r="J103" s="45">
        <v>48.37</v>
      </c>
      <c r="K103" s="45">
        <v>332.18</v>
      </c>
      <c r="L103" s="29"/>
      <c r="M103" s="45">
        <v>1787.9184</v>
      </c>
      <c r="N103" s="70"/>
      <c r="O103" s="70"/>
      <c r="P103" s="70"/>
      <c r="Q103" s="45">
        <v>29779.77</v>
      </c>
      <c r="R103" s="45">
        <v>49.33</v>
      </c>
      <c r="S103" s="45">
        <v>333.22</v>
      </c>
      <c r="U103" s="8"/>
      <c r="V103" s="9"/>
      <c r="W103" s="10"/>
      <c r="X103" s="29"/>
      <c r="Y103" s="61">
        <f>GEOMEAN(Q103:Q106)/GEOMEAN(I103:I106)</f>
        <v>1.0009628552708569</v>
      </c>
      <c r="Z103" s="61">
        <f>GEOMEAN(R103:R106)/GEOMEAN(J103:J106)</f>
        <v>0.98287920795811135</v>
      </c>
      <c r="AA103" s="57">
        <f>GEOMEAN(S103:S106)/GEOMEAN(K103:K106)</f>
        <v>0.99740932896210432</v>
      </c>
      <c r="AC103" s="45">
        <f>E103 -M103</f>
        <v>2.0063999999999851</v>
      </c>
      <c r="AD103" s="70"/>
      <c r="AE103" s="70"/>
      <c r="AF103" s="70"/>
      <c r="AG103" s="45">
        <f t="shared" ref="AG103:AI106" si="6">I103 -Q103</f>
        <v>-63.510000000002037</v>
      </c>
      <c r="AH103" s="45">
        <f t="shared" si="6"/>
        <v>-0.96000000000000085</v>
      </c>
      <c r="AI103" s="45">
        <f t="shared" si="6"/>
        <v>-1.0400000000000205</v>
      </c>
    </row>
    <row r="104" spans="1:35" ht="12">
      <c r="A104" s="27"/>
      <c r="B104" s="36"/>
      <c r="C104" s="29"/>
      <c r="D104" s="32">
        <v>30</v>
      </c>
      <c r="E104" s="46">
        <v>832.92319999999995</v>
      </c>
      <c r="F104" s="70"/>
      <c r="G104" s="70"/>
      <c r="H104" s="70"/>
      <c r="I104" s="46">
        <v>23037.16</v>
      </c>
      <c r="J104" s="46">
        <v>44.74</v>
      </c>
      <c r="K104" s="46">
        <v>334.47</v>
      </c>
      <c r="L104" s="29"/>
      <c r="M104" s="46">
        <v>833.83920000000001</v>
      </c>
      <c r="N104" s="70"/>
      <c r="O104" s="70"/>
      <c r="P104" s="70"/>
      <c r="Q104" s="46">
        <v>23061.5</v>
      </c>
      <c r="R104" s="46">
        <v>44.85</v>
      </c>
      <c r="S104" s="46">
        <v>333.6</v>
      </c>
      <c r="U104" s="41"/>
      <c r="V104" s="42"/>
      <c r="W104" s="43"/>
      <c r="X104" s="29"/>
      <c r="Y104" s="24"/>
      <c r="Z104" s="24"/>
      <c r="AA104" s="27"/>
      <c r="AC104" s="46">
        <f>E104 -M104</f>
        <v>-0.91600000000005366</v>
      </c>
      <c r="AD104" s="70"/>
      <c r="AE104" s="70"/>
      <c r="AF104" s="70"/>
      <c r="AG104" s="46">
        <f t="shared" si="6"/>
        <v>-24.340000000000146</v>
      </c>
      <c r="AH104" s="46">
        <f t="shared" si="6"/>
        <v>-0.10999999999999943</v>
      </c>
      <c r="AI104" s="46">
        <f t="shared" si="6"/>
        <v>0.87000000000000455</v>
      </c>
    </row>
    <row r="105" spans="1:35" ht="12">
      <c r="A105" s="27"/>
      <c r="B105" s="36"/>
      <c r="C105" s="29"/>
      <c r="D105" s="32">
        <v>35</v>
      </c>
      <c r="E105" s="46">
        <v>446.74639999999999</v>
      </c>
      <c r="F105" s="70"/>
      <c r="G105" s="70"/>
      <c r="H105" s="70"/>
      <c r="I105" s="46">
        <v>19365.54</v>
      </c>
      <c r="J105" s="46">
        <v>45.56</v>
      </c>
      <c r="K105" s="46">
        <v>339.73</v>
      </c>
      <c r="L105" s="29"/>
      <c r="M105" s="46">
        <v>446.74560000000002</v>
      </c>
      <c r="N105" s="70"/>
      <c r="O105" s="70"/>
      <c r="P105" s="70"/>
      <c r="Q105" s="46">
        <v>19429.07</v>
      </c>
      <c r="R105" s="46">
        <v>41.33</v>
      </c>
      <c r="S105" s="46">
        <v>332.31</v>
      </c>
      <c r="U105" s="17"/>
      <c r="V105" s="18"/>
      <c r="W105" s="19"/>
      <c r="X105" s="29"/>
      <c r="Y105" s="24"/>
      <c r="Z105" s="24"/>
      <c r="AA105" s="27"/>
      <c r="AC105" s="46">
        <f>E105 -M105</f>
        <v>7.9999999996971383E-4</v>
      </c>
      <c r="AD105" s="70"/>
      <c r="AE105" s="70"/>
      <c r="AF105" s="70"/>
      <c r="AG105" s="46">
        <f t="shared" si="6"/>
        <v>-63.529999999998836</v>
      </c>
      <c r="AH105" s="46">
        <f t="shared" si="6"/>
        <v>4.230000000000004</v>
      </c>
      <c r="AI105" s="46">
        <f t="shared" si="6"/>
        <v>7.4200000000000159</v>
      </c>
    </row>
    <row r="106" spans="1:35" ht="12.75" thickBot="1">
      <c r="A106" s="27"/>
      <c r="B106" s="52"/>
      <c r="C106" s="53"/>
      <c r="D106" s="71">
        <v>40</v>
      </c>
      <c r="E106" s="72">
        <v>255.57919999999999</v>
      </c>
      <c r="F106" s="81"/>
      <c r="G106" s="81"/>
      <c r="H106" s="81"/>
      <c r="I106" s="72">
        <v>16757.61</v>
      </c>
      <c r="J106" s="72">
        <v>39.83</v>
      </c>
      <c r="K106" s="72">
        <v>331.61</v>
      </c>
      <c r="L106" s="29"/>
      <c r="M106" s="72">
        <v>255.36959999999999</v>
      </c>
      <c r="N106" s="81"/>
      <c r="O106" s="81"/>
      <c r="P106" s="81"/>
      <c r="Q106" s="72">
        <v>16713.82</v>
      </c>
      <c r="R106" s="72">
        <v>40.08</v>
      </c>
      <c r="S106" s="72">
        <v>335.34</v>
      </c>
      <c r="U106" s="85"/>
      <c r="V106" s="86"/>
      <c r="W106" s="87"/>
      <c r="X106" s="29"/>
      <c r="Y106" s="49"/>
      <c r="Z106" s="49"/>
      <c r="AA106" s="54"/>
      <c r="AC106" s="72">
        <f>E106 -M106</f>
        <v>0.20959999999999468</v>
      </c>
      <c r="AD106" s="81"/>
      <c r="AE106" s="81"/>
      <c r="AF106" s="81"/>
      <c r="AG106" s="72">
        <f t="shared" si="6"/>
        <v>43.790000000000873</v>
      </c>
      <c r="AH106" s="72">
        <f t="shared" si="6"/>
        <v>-0.25</v>
      </c>
      <c r="AI106" s="72">
        <f t="shared" si="6"/>
        <v>-3.7299999999999613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949.88480000000004</v>
      </c>
      <c r="F107" s="45">
        <v>41.355600000000003</v>
      </c>
      <c r="G107" s="45">
        <v>44.1509</v>
      </c>
      <c r="H107" s="45">
        <v>44.212299999999999</v>
      </c>
      <c r="I107" s="79"/>
      <c r="J107" s="79"/>
      <c r="K107" s="80"/>
      <c r="L107" s="29"/>
      <c r="M107" s="45">
        <v>949.88480000000004</v>
      </c>
      <c r="N107" s="45">
        <v>41.355600000000003</v>
      </c>
      <c r="O107" s="45">
        <v>44.1509</v>
      </c>
      <c r="P107" s="45">
        <v>44.212299999999999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499.77760000000001</v>
      </c>
      <c r="F108" s="46">
        <v>38.9893</v>
      </c>
      <c r="G108" s="46">
        <v>42.521000000000001</v>
      </c>
      <c r="H108" s="46">
        <v>42.537199999999999</v>
      </c>
      <c r="I108" s="66"/>
      <c r="J108" s="66"/>
      <c r="K108" s="67"/>
      <c r="L108" s="29"/>
      <c r="M108" s="46">
        <v>499.77760000000001</v>
      </c>
      <c r="N108" s="46">
        <v>38.9893</v>
      </c>
      <c r="O108" s="46">
        <v>42.521000000000001</v>
      </c>
      <c r="P108" s="46">
        <v>42.537199999999999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275.01679999999999</v>
      </c>
      <c r="F109" s="46">
        <v>36.447499999999998</v>
      </c>
      <c r="G109" s="46">
        <v>40.752600000000001</v>
      </c>
      <c r="H109" s="46">
        <v>40.702300000000001</v>
      </c>
      <c r="I109" s="66"/>
      <c r="J109" s="66"/>
      <c r="K109" s="67"/>
      <c r="L109" s="29"/>
      <c r="M109" s="46">
        <v>275.01679999999999</v>
      </c>
      <c r="N109" s="46">
        <v>36.447499999999998</v>
      </c>
      <c r="O109" s="46">
        <v>40.752600000000001</v>
      </c>
      <c r="P109" s="46">
        <v>40.702300000000001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159.2824</v>
      </c>
      <c r="F110" s="46">
        <v>33.871200000000002</v>
      </c>
      <c r="G110" s="46">
        <v>39.508099999999999</v>
      </c>
      <c r="H110" s="46">
        <v>39.403799999999997</v>
      </c>
      <c r="I110" s="66"/>
      <c r="J110" s="66"/>
      <c r="K110" s="67"/>
      <c r="L110" s="29"/>
      <c r="M110" s="46">
        <v>159.2824</v>
      </c>
      <c r="N110" s="46">
        <v>33.871200000000002</v>
      </c>
      <c r="O110" s="46">
        <v>39.508099999999999</v>
      </c>
      <c r="P110" s="46">
        <v>39.403799999999997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305.22320000000002</v>
      </c>
      <c r="F111" s="45">
        <v>40.3063</v>
      </c>
      <c r="G111" s="45">
        <v>42.951500000000003</v>
      </c>
      <c r="H111" s="45">
        <v>43.064900000000002</v>
      </c>
      <c r="I111" s="79"/>
      <c r="J111" s="79"/>
      <c r="K111" s="80"/>
      <c r="L111" s="29"/>
      <c r="M111" s="45">
        <v>304.59280000000001</v>
      </c>
      <c r="N111" s="45">
        <v>40.302300000000002</v>
      </c>
      <c r="O111" s="45">
        <v>42.948</v>
      </c>
      <c r="P111" s="45">
        <v>43.0627</v>
      </c>
      <c r="Q111" s="79"/>
      <c r="R111" s="79"/>
      <c r="S111" s="80"/>
      <c r="U111" s="8">
        <f>bdrate($E111:$E114,F111:F114,$M111:$M114,N111:N114)</f>
        <v>-1.7867788380176997E-3</v>
      </c>
      <c r="V111" s="9">
        <f>bdrate($E111:$E114,G111:G114,$M111:$M114,O111:O114)</f>
        <v>6.1680725684287729E-4</v>
      </c>
      <c r="W111" s="10">
        <f>bdrate($E111:$E114,H111:H114,$M111:$M114,P111:P114)</f>
        <v>-2.4751420565483073E-3</v>
      </c>
      <c r="X111" s="29"/>
      <c r="Y111" s="24"/>
      <c r="Z111" s="24"/>
      <c r="AA111" s="27"/>
      <c r="AC111" s="45">
        <f t="shared" si="8"/>
        <v>0.63040000000000873</v>
      </c>
      <c r="AD111" s="45">
        <f t="shared" si="7"/>
        <v>3.9999999999977831E-3</v>
      </c>
      <c r="AE111" s="45">
        <f t="shared" si="7"/>
        <v>3.5000000000025011E-3</v>
      </c>
      <c r="AF111" s="45">
        <f t="shared" si="7"/>
        <v>2.2000000000019782E-3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129.68719999999999</v>
      </c>
      <c r="F112" s="46">
        <v>37.964300000000001</v>
      </c>
      <c r="G112" s="46">
        <v>41.290799999999997</v>
      </c>
      <c r="H112" s="46">
        <v>41.431600000000003</v>
      </c>
      <c r="I112" s="66"/>
      <c r="J112" s="66"/>
      <c r="K112" s="67"/>
      <c r="L112" s="29"/>
      <c r="M112" s="46">
        <v>129.34399999999999</v>
      </c>
      <c r="N112" s="46">
        <v>37.9604</v>
      </c>
      <c r="O112" s="46">
        <v>41.2836</v>
      </c>
      <c r="P112" s="46">
        <v>41.433700000000002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0.34319999999999595</v>
      </c>
      <c r="AD112" s="46">
        <f t="shared" si="7"/>
        <v>3.9000000000015689E-3</v>
      </c>
      <c r="AE112" s="46">
        <f t="shared" si="7"/>
        <v>7.1999999999974307E-3</v>
      </c>
      <c r="AF112" s="46">
        <f t="shared" si="7"/>
        <v>-2.0999999999986585E-3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64.454400000000007</v>
      </c>
      <c r="F113" s="46">
        <v>35.525199999999998</v>
      </c>
      <c r="G113" s="46">
        <v>40.028500000000001</v>
      </c>
      <c r="H113" s="46">
        <v>40.058300000000003</v>
      </c>
      <c r="I113" s="66"/>
      <c r="J113" s="66"/>
      <c r="K113" s="67"/>
      <c r="L113" s="29"/>
      <c r="M113" s="46">
        <v>64.328000000000003</v>
      </c>
      <c r="N113" s="46">
        <v>35.526000000000003</v>
      </c>
      <c r="O113" s="46">
        <v>40.023600000000002</v>
      </c>
      <c r="P113" s="46">
        <v>40.054900000000004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0.12640000000000384</v>
      </c>
      <c r="AD113" s="46">
        <f t="shared" si="7"/>
        <v>-8.0000000000524096E-4</v>
      </c>
      <c r="AE113" s="46">
        <f t="shared" si="7"/>
        <v>4.8999999999992383E-3</v>
      </c>
      <c r="AF113" s="46">
        <f t="shared" si="7"/>
        <v>3.3999999999991815E-3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34.488</v>
      </c>
      <c r="F114" s="46">
        <v>33.106499999999997</v>
      </c>
      <c r="G114" s="46">
        <v>38.964100000000002</v>
      </c>
      <c r="H114" s="46">
        <v>38.9544</v>
      </c>
      <c r="I114" s="66"/>
      <c r="J114" s="66"/>
      <c r="K114" s="67"/>
      <c r="L114" s="29"/>
      <c r="M114" s="46">
        <v>34.366399999999999</v>
      </c>
      <c r="N114" s="46">
        <v>33.104599999999998</v>
      </c>
      <c r="O114" s="46">
        <v>38.960299999999997</v>
      </c>
      <c r="P114" s="46">
        <v>38.9602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0.12160000000000082</v>
      </c>
      <c r="AD114" s="46">
        <f t="shared" si="7"/>
        <v>1.8999999999991246E-3</v>
      </c>
      <c r="AE114" s="46">
        <f t="shared" si="7"/>
        <v>3.8000000000053547E-3</v>
      </c>
      <c r="AF114" s="46">
        <f t="shared" si="7"/>
        <v>-5.8000000000006935E-3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348.06720000000001</v>
      </c>
      <c r="F115" s="45">
        <v>39.902799999999999</v>
      </c>
      <c r="G115" s="45">
        <v>42.853299999999997</v>
      </c>
      <c r="H115" s="45">
        <v>42.742899999999999</v>
      </c>
      <c r="I115" s="79"/>
      <c r="J115" s="79"/>
      <c r="K115" s="80"/>
      <c r="L115" s="29"/>
      <c r="M115" s="45">
        <v>347.84399999999999</v>
      </c>
      <c r="N115" s="45">
        <v>39.9011</v>
      </c>
      <c r="O115" s="45">
        <v>42.846400000000003</v>
      </c>
      <c r="P115" s="45">
        <v>42.749200000000002</v>
      </c>
      <c r="Q115" s="79"/>
      <c r="R115" s="79"/>
      <c r="S115" s="80"/>
      <c r="U115" s="8">
        <f>bdrate($E115:$E118,F115:F118,$M115:$M118,N115:N118)</f>
        <v>-4.1159258515599539E-4</v>
      </c>
      <c r="V115" s="9">
        <f>bdrate($E115:$E118,G115:G118,$M115:$M118,O115:O118)</f>
        <v>-5.9870126103800381E-4</v>
      </c>
      <c r="W115" s="10">
        <f>bdrate($E115:$E118,H115:H118,$M115:$M118,P115:P118)</f>
        <v>-4.1936038321591651E-3</v>
      </c>
      <c r="X115" s="29"/>
      <c r="Y115" s="24"/>
      <c r="Z115" s="24"/>
      <c r="AA115" s="27"/>
      <c r="AC115" s="45">
        <f t="shared" si="8"/>
        <v>0.22320000000001983</v>
      </c>
      <c r="AD115" s="45">
        <f t="shared" si="7"/>
        <v>1.6999999999995907E-3</v>
      </c>
      <c r="AE115" s="45">
        <f t="shared" si="7"/>
        <v>6.8999999999945771E-3</v>
      </c>
      <c r="AF115" s="45">
        <f t="shared" si="7"/>
        <v>-6.3000000000030809E-3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150.3544</v>
      </c>
      <c r="F116" s="46">
        <v>37.515000000000001</v>
      </c>
      <c r="G116" s="46">
        <v>41.372999999999998</v>
      </c>
      <c r="H116" s="46">
        <v>41.087400000000002</v>
      </c>
      <c r="I116" s="66"/>
      <c r="J116" s="66"/>
      <c r="K116" s="67"/>
      <c r="L116" s="29"/>
      <c r="M116" s="46">
        <v>150.29759999999999</v>
      </c>
      <c r="N116" s="46">
        <v>37.516199999999998</v>
      </c>
      <c r="O116" s="46">
        <v>41.3626</v>
      </c>
      <c r="P116" s="46">
        <v>41.0991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5.6800000000009732E-2</v>
      </c>
      <c r="AD116" s="46">
        <f t="shared" si="7"/>
        <v>-1.1999999999972033E-3</v>
      </c>
      <c r="AE116" s="46">
        <f t="shared" si="7"/>
        <v>1.0399999999997078E-2</v>
      </c>
      <c r="AF116" s="46">
        <f t="shared" si="7"/>
        <v>-1.1699999999997601E-2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75.495199999999997</v>
      </c>
      <c r="F117" s="46">
        <v>35.0657</v>
      </c>
      <c r="G117" s="46">
        <v>40.074199999999998</v>
      </c>
      <c r="H117" s="46">
        <v>39.661999999999999</v>
      </c>
      <c r="I117" s="66"/>
      <c r="J117" s="66"/>
      <c r="K117" s="67"/>
      <c r="L117" s="29"/>
      <c r="M117" s="46">
        <v>75.435199999999995</v>
      </c>
      <c r="N117" s="46">
        <v>35.063099999999999</v>
      </c>
      <c r="O117" s="46">
        <v>40.088799999999999</v>
      </c>
      <c r="P117" s="46">
        <v>39.666800000000002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6.0000000000002274E-2</v>
      </c>
      <c r="AD117" s="46">
        <f t="shared" si="7"/>
        <v>2.6000000000010459E-3</v>
      </c>
      <c r="AE117" s="46">
        <f t="shared" si="7"/>
        <v>-1.4600000000001501E-2</v>
      </c>
      <c r="AF117" s="46">
        <f t="shared" si="7"/>
        <v>-4.8000000000030241E-3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40.0824</v>
      </c>
      <c r="F118" s="72">
        <v>32.554099999999998</v>
      </c>
      <c r="G118" s="72">
        <v>39.071899999999999</v>
      </c>
      <c r="H118" s="72">
        <v>38.581099999999999</v>
      </c>
      <c r="I118" s="68"/>
      <c r="J118" s="68"/>
      <c r="K118" s="69"/>
      <c r="L118" s="29"/>
      <c r="M118" s="72">
        <v>40.08</v>
      </c>
      <c r="N118" s="72">
        <v>32.557000000000002</v>
      </c>
      <c r="O118" s="72">
        <v>39.0792</v>
      </c>
      <c r="P118" s="72">
        <v>38.578800000000001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2.400000000001512E-3</v>
      </c>
      <c r="AD118" s="72">
        <f t="shared" si="7"/>
        <v>-2.9000000000038995E-3</v>
      </c>
      <c r="AE118" s="72">
        <f t="shared" si="7"/>
        <v>-7.3000000000007503E-3</v>
      </c>
      <c r="AF118" s="72">
        <f t="shared" si="7"/>
        <v>2.2999999999981924E-3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189.352</v>
      </c>
      <c r="F119" s="45">
        <v>38.3491</v>
      </c>
      <c r="G119" s="78"/>
      <c r="H119" s="78"/>
      <c r="I119" s="79"/>
      <c r="J119" s="79"/>
      <c r="K119" s="80"/>
      <c r="L119" s="29"/>
      <c r="M119" s="45">
        <v>190.27680000000001</v>
      </c>
      <c r="N119" s="45">
        <v>38.363399999999999</v>
      </c>
      <c r="O119" s="78"/>
      <c r="P119" s="78"/>
      <c r="Q119" s="79"/>
      <c r="R119" s="79"/>
      <c r="S119" s="80"/>
      <c r="U119" s="8">
        <f>bdrate($E119:$E122,F119:F122,$M119:$M122,N119:N122)</f>
        <v>2.1626576253346297E-3</v>
      </c>
      <c r="V119" s="9"/>
      <c r="W119" s="10"/>
      <c r="X119" s="29"/>
      <c r="Y119" s="24"/>
      <c r="Z119" s="24"/>
      <c r="AA119" s="27"/>
      <c r="AC119" s="45">
        <f t="shared" si="8"/>
        <v>-0.92480000000000473</v>
      </c>
      <c r="AD119" s="45">
        <f t="shared" si="7"/>
        <v>-1.4299999999998647E-2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64.135999999999996</v>
      </c>
      <c r="F120" s="46">
        <v>35.0657</v>
      </c>
      <c r="G120" s="70"/>
      <c r="H120" s="70"/>
      <c r="I120" s="66"/>
      <c r="J120" s="66"/>
      <c r="K120" s="67"/>
      <c r="L120" s="29"/>
      <c r="M120" s="46">
        <v>64.342399999999998</v>
      </c>
      <c r="N120" s="46">
        <v>35.0914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-0.20640000000000214</v>
      </c>
      <c r="AD120" s="46">
        <f t="shared" si="7"/>
        <v>-2.57000000000005E-2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26.043199999999999</v>
      </c>
      <c r="F121" s="46">
        <v>32.468899999999998</v>
      </c>
      <c r="G121" s="70"/>
      <c r="H121" s="70"/>
      <c r="I121" s="66"/>
      <c r="J121" s="66"/>
      <c r="K121" s="67"/>
      <c r="L121" s="29"/>
      <c r="M121" s="46">
        <v>26.1464</v>
      </c>
      <c r="N121" s="46">
        <v>32.433999999999997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-0.10320000000000107</v>
      </c>
      <c r="AD121" s="46">
        <f t="shared" si="7"/>
        <v>3.4900000000000375E-2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11.7056</v>
      </c>
      <c r="F122" s="46">
        <v>29.5151</v>
      </c>
      <c r="G122" s="70"/>
      <c r="H122" s="70"/>
      <c r="I122" s="66"/>
      <c r="J122" s="66"/>
      <c r="K122" s="67"/>
      <c r="L122" s="29"/>
      <c r="M122" s="46">
        <v>11.687200000000001</v>
      </c>
      <c r="N122" s="46">
        <v>29.535699999999999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1.839999999999975E-2</v>
      </c>
      <c r="AD122" s="46">
        <f t="shared" si="7"/>
        <v>-2.0599999999998175E-2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123.35599999999999</v>
      </c>
      <c r="F123" s="45">
        <v>37.235700000000001</v>
      </c>
      <c r="G123" s="78"/>
      <c r="H123" s="78"/>
      <c r="I123" s="79"/>
      <c r="J123" s="79"/>
      <c r="K123" s="80"/>
      <c r="L123" s="29"/>
      <c r="M123" s="45">
        <v>123.4152</v>
      </c>
      <c r="N123" s="45">
        <v>37.207900000000002</v>
      </c>
      <c r="O123" s="78"/>
      <c r="P123" s="78"/>
      <c r="Q123" s="79"/>
      <c r="R123" s="79"/>
      <c r="S123" s="80"/>
      <c r="U123" s="8">
        <f>bdrate($E123:$E126,F123:F126,$M123:$M126,N123:N126)</f>
        <v>-3.2337631559103963E-3</v>
      </c>
      <c r="V123" s="9"/>
      <c r="W123" s="10"/>
      <c r="X123" s="29"/>
      <c r="Y123" s="24"/>
      <c r="Z123" s="24"/>
      <c r="AA123" s="27"/>
      <c r="AC123" s="45">
        <f t="shared" si="8"/>
        <v>-5.9200000000004138E-2</v>
      </c>
      <c r="AD123" s="45">
        <f t="shared" si="7"/>
        <v>2.7799999999999159E-2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43.463999999999999</v>
      </c>
      <c r="F124" s="46">
        <v>34.118499999999997</v>
      </c>
      <c r="G124" s="70"/>
      <c r="H124" s="70"/>
      <c r="I124" s="66"/>
      <c r="J124" s="66"/>
      <c r="K124" s="67"/>
      <c r="L124" s="29"/>
      <c r="M124" s="46">
        <v>44.0456</v>
      </c>
      <c r="N124" s="46">
        <v>34.194800000000001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-0.58160000000000167</v>
      </c>
      <c r="AD124" s="46">
        <f t="shared" si="7"/>
        <v>-7.6300000000003365E-2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18.750399999999999</v>
      </c>
      <c r="F125" s="46">
        <v>31.538</v>
      </c>
      <c r="G125" s="70"/>
      <c r="H125" s="70"/>
      <c r="I125" s="66"/>
      <c r="J125" s="66"/>
      <c r="K125" s="67"/>
      <c r="L125" s="29"/>
      <c r="M125" s="46">
        <v>18.816800000000001</v>
      </c>
      <c r="N125" s="46">
        <v>31.539000000000001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-6.6400000000001569E-2</v>
      </c>
      <c r="AD125" s="46">
        <f t="shared" si="7"/>
        <v>-1.0000000000012221E-3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8.5912000000000006</v>
      </c>
      <c r="F126" s="46">
        <v>28.3066</v>
      </c>
      <c r="G126" s="70"/>
      <c r="H126" s="70"/>
      <c r="I126" s="66"/>
      <c r="J126" s="66"/>
      <c r="K126" s="67"/>
      <c r="L126" s="29"/>
      <c r="M126" s="46">
        <v>8.516</v>
      </c>
      <c r="N126" s="46">
        <v>28.312799999999999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7.52000000000006E-2</v>
      </c>
      <c r="AD126" s="46">
        <f t="shared" si="7"/>
        <v>-6.1999999999997613E-3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110.82559999999999</v>
      </c>
      <c r="F127" s="45">
        <v>37.139000000000003</v>
      </c>
      <c r="G127" s="78"/>
      <c r="H127" s="78"/>
      <c r="I127" s="79"/>
      <c r="J127" s="79"/>
      <c r="K127" s="80"/>
      <c r="L127" s="29"/>
      <c r="M127" s="45">
        <v>111.89919999999999</v>
      </c>
      <c r="N127" s="45">
        <v>37.146299999999997</v>
      </c>
      <c r="O127" s="78"/>
      <c r="P127" s="78"/>
      <c r="Q127" s="79"/>
      <c r="R127" s="79"/>
      <c r="S127" s="80"/>
      <c r="U127" s="8">
        <f>bdrate($E127:$E130,F127:F130,$M127:$M130,N127:N130)</f>
        <v>-1.7428431952407619E-3</v>
      </c>
      <c r="V127" s="9"/>
      <c r="W127" s="10"/>
      <c r="X127" s="29"/>
      <c r="Y127" s="24"/>
      <c r="Z127" s="24"/>
      <c r="AA127" s="27"/>
      <c r="AC127" s="45">
        <f t="shared" si="8"/>
        <v>-1.073599999999999</v>
      </c>
      <c r="AD127" s="45">
        <f t="shared" si="7"/>
        <v>-7.2999999999936449E-3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36.716799999999999</v>
      </c>
      <c r="F128" s="46">
        <v>34.132300000000001</v>
      </c>
      <c r="G128" s="70"/>
      <c r="H128" s="70"/>
      <c r="I128" s="66"/>
      <c r="J128" s="66"/>
      <c r="K128" s="67"/>
      <c r="L128" s="29"/>
      <c r="M128" s="46">
        <v>36.6464</v>
      </c>
      <c r="N128" s="46">
        <v>34.109099999999998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7.0399999999999352E-2</v>
      </c>
      <c r="AD128" s="46">
        <f t="shared" si="7"/>
        <v>2.3200000000002774E-2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15.526400000000001</v>
      </c>
      <c r="F129" s="46">
        <v>31.555399999999999</v>
      </c>
      <c r="G129" s="70"/>
      <c r="H129" s="70"/>
      <c r="I129" s="66"/>
      <c r="J129" s="66"/>
      <c r="K129" s="67"/>
      <c r="L129" s="29"/>
      <c r="M129" s="46">
        <v>15.620799999999999</v>
      </c>
      <c r="N129" s="46">
        <v>31.6326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-9.4399999999998485E-2</v>
      </c>
      <c r="AD129" s="46">
        <f t="shared" si="7"/>
        <v>-7.7200000000001268E-2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7.5488</v>
      </c>
      <c r="F130" s="46">
        <v>28.926100000000002</v>
      </c>
      <c r="G130" s="70"/>
      <c r="H130" s="70"/>
      <c r="I130" s="66"/>
      <c r="J130" s="66"/>
      <c r="K130" s="67"/>
      <c r="L130" s="29"/>
      <c r="M130" s="46">
        <v>7.6744000000000003</v>
      </c>
      <c r="N130" s="46">
        <v>28.965900000000001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-0.12560000000000038</v>
      </c>
      <c r="AD130" s="46">
        <f t="shared" si="7"/>
        <v>-3.9799999999999613E-2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39.9358</v>
      </c>
      <c r="G131" s="45">
        <v>45.262099999999997</v>
      </c>
      <c r="H131" s="45">
        <v>45.449599999999997</v>
      </c>
      <c r="I131" s="79"/>
      <c r="J131" s="79"/>
      <c r="K131" s="80"/>
      <c r="L131" s="29"/>
      <c r="M131" s="78"/>
      <c r="N131" s="45">
        <v>39.926900000000003</v>
      </c>
      <c r="O131" s="45">
        <v>45.255200000000002</v>
      </c>
      <c r="P131" s="45">
        <v>45.438800000000001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8.8999999999970214E-3</v>
      </c>
      <c r="AE131" s="45">
        <f t="shared" si="7"/>
        <v>6.8999999999945771E-3</v>
      </c>
      <c r="AF131" s="45">
        <f t="shared" si="7"/>
        <v>1.0799999999996146E-2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37.786299999999997</v>
      </c>
      <c r="G132" s="46">
        <v>43.4574</v>
      </c>
      <c r="H132" s="46">
        <v>43.622100000000003</v>
      </c>
      <c r="I132" s="66"/>
      <c r="J132" s="66"/>
      <c r="K132" s="67"/>
      <c r="L132" s="29"/>
      <c r="M132" s="70"/>
      <c r="N132" s="46">
        <v>37.776800000000001</v>
      </c>
      <c r="O132" s="46">
        <v>43.447899999999997</v>
      </c>
      <c r="P132" s="46">
        <v>43.624499999999998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9.4999999999956231E-3</v>
      </c>
      <c r="AE132" s="46">
        <f t="shared" si="7"/>
        <v>9.5000000000027285E-3</v>
      </c>
      <c r="AF132" s="46">
        <f t="shared" si="7"/>
        <v>-2.3999999999944066E-3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35.508299999999998</v>
      </c>
      <c r="G133" s="46">
        <v>41.884599999999999</v>
      </c>
      <c r="H133" s="46">
        <v>41.904000000000003</v>
      </c>
      <c r="I133" s="66"/>
      <c r="J133" s="66"/>
      <c r="K133" s="67"/>
      <c r="L133" s="29"/>
      <c r="M133" s="70"/>
      <c r="N133" s="46">
        <v>35.503500000000003</v>
      </c>
      <c r="O133" s="46">
        <v>41.881399999999999</v>
      </c>
      <c r="P133" s="46">
        <v>41.897399999999998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4.7999999999959186E-3</v>
      </c>
      <c r="AE133" s="46">
        <f t="shared" si="7"/>
        <v>3.1999999999996476E-3</v>
      </c>
      <c r="AF133" s="46">
        <f t="shared" si="7"/>
        <v>6.6000000000059345E-3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33.128999999999998</v>
      </c>
      <c r="G134" s="72">
        <v>40.531799999999997</v>
      </c>
      <c r="H134" s="72">
        <v>40.540399999999998</v>
      </c>
      <c r="I134" s="68"/>
      <c r="J134" s="68"/>
      <c r="K134" s="69"/>
      <c r="L134" s="29"/>
      <c r="M134" s="81"/>
      <c r="N134" s="72">
        <v>33.126300000000001</v>
      </c>
      <c r="O134" s="72">
        <v>40.521000000000001</v>
      </c>
      <c r="P134" s="72">
        <v>40.541600000000003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2.6999999999972601E-3</v>
      </c>
      <c r="AE134" s="72">
        <f t="shared" si="7"/>
        <v>1.0799999999996146E-2</v>
      </c>
      <c r="AF134" s="72">
        <f t="shared" si="7"/>
        <v>-1.2000000000043087E-3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40.4666</v>
      </c>
      <c r="G135" s="45">
        <v>46.125599999999999</v>
      </c>
      <c r="H135" s="45">
        <v>46.176299999999998</v>
      </c>
      <c r="I135" s="66"/>
      <c r="J135" s="66"/>
      <c r="K135" s="67"/>
      <c r="L135" s="29"/>
      <c r="M135" s="70"/>
      <c r="N135" s="45">
        <v>40.463700000000003</v>
      </c>
      <c r="O135" s="45">
        <v>46.120199999999997</v>
      </c>
      <c r="P135" s="45">
        <v>46.163499999999999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2.899999999996794E-3</v>
      </c>
      <c r="AE135" s="45">
        <f t="shared" si="7"/>
        <v>5.4000000000016257E-3</v>
      </c>
      <c r="AF135" s="45">
        <f t="shared" si="7"/>
        <v>1.279999999999859E-2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38.189599999999999</v>
      </c>
      <c r="G136" s="46">
        <v>44.233699999999999</v>
      </c>
      <c r="H136" s="46">
        <v>44.239699999999999</v>
      </c>
      <c r="I136" s="66"/>
      <c r="J136" s="66"/>
      <c r="K136" s="67"/>
      <c r="L136" s="29"/>
      <c r="M136" s="70"/>
      <c r="N136" s="46">
        <v>38.191299999999998</v>
      </c>
      <c r="O136" s="46">
        <v>44.221200000000003</v>
      </c>
      <c r="P136" s="46">
        <v>44.233499999999999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-1.6999999999995907E-3</v>
      </c>
      <c r="AE136" s="46">
        <f t="shared" si="7"/>
        <v>1.2499999999995737E-2</v>
      </c>
      <c r="AF136" s="46">
        <f t="shared" si="7"/>
        <v>6.1999999999997613E-3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35.803100000000001</v>
      </c>
      <c r="G137" s="46">
        <v>42.401000000000003</v>
      </c>
      <c r="H137" s="46">
        <v>42.271500000000003</v>
      </c>
      <c r="I137" s="66"/>
      <c r="J137" s="66"/>
      <c r="K137" s="67"/>
      <c r="L137" s="29"/>
      <c r="M137" s="70"/>
      <c r="N137" s="46">
        <v>35.8035</v>
      </c>
      <c r="O137" s="46">
        <v>42.396000000000001</v>
      </c>
      <c r="P137" s="46">
        <v>42.263399999999997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-3.9999999999906777E-4</v>
      </c>
      <c r="AE137" s="46">
        <f t="shared" si="7"/>
        <v>5.000000000002558E-3</v>
      </c>
      <c r="AF137" s="46">
        <f t="shared" si="7"/>
        <v>8.1000000000059913E-3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33.341299999999997</v>
      </c>
      <c r="G138" s="72">
        <v>40.904600000000002</v>
      </c>
      <c r="H138" s="72">
        <v>40.773499999999999</v>
      </c>
      <c r="I138" s="68"/>
      <c r="J138" s="68"/>
      <c r="K138" s="69"/>
      <c r="L138" s="29"/>
      <c r="M138" s="81"/>
      <c r="N138" s="46">
        <v>33.341700000000003</v>
      </c>
      <c r="O138" s="72">
        <v>40.892299999999999</v>
      </c>
      <c r="P138" s="72">
        <v>40.7729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-4.000000000061732E-4</v>
      </c>
      <c r="AE138" s="46">
        <f t="shared" si="7"/>
        <v>1.2300000000003308E-2</v>
      </c>
      <c r="AF138" s="46">
        <f t="shared" si="7"/>
        <v>5.9999999999860165E-4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40.944400000000002</v>
      </c>
      <c r="G139" s="45">
        <v>46.030700000000003</v>
      </c>
      <c r="H139" s="45">
        <v>46.100099999999998</v>
      </c>
      <c r="I139" s="66"/>
      <c r="J139" s="66"/>
      <c r="K139" s="67"/>
      <c r="L139" s="29"/>
      <c r="M139" s="70"/>
      <c r="N139" s="45">
        <v>40.949800000000003</v>
      </c>
      <c r="O139" s="45">
        <v>46.029600000000002</v>
      </c>
      <c r="P139" s="45">
        <v>46.091799999999999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-5.4000000000016257E-3</v>
      </c>
      <c r="AE139" s="45">
        <f t="shared" si="7"/>
        <v>1.1000000000009891E-3</v>
      </c>
      <c r="AF139" s="45">
        <f t="shared" si="7"/>
        <v>8.2999999999984198E-3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38.6526</v>
      </c>
      <c r="G140" s="46">
        <v>44.257800000000003</v>
      </c>
      <c r="H140" s="46">
        <v>44.229100000000003</v>
      </c>
      <c r="I140" s="66"/>
      <c r="J140" s="66"/>
      <c r="K140" s="67"/>
      <c r="L140" s="29"/>
      <c r="M140" s="70"/>
      <c r="N140" s="46">
        <v>38.660600000000002</v>
      </c>
      <c r="O140" s="46">
        <v>44.2562</v>
      </c>
      <c r="P140" s="46">
        <v>44.231000000000002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-8.0000000000026716E-3</v>
      </c>
      <c r="AE140" s="46">
        <f t="shared" si="7"/>
        <v>1.6000000000033765E-3</v>
      </c>
      <c r="AF140" s="46">
        <f t="shared" si="7"/>
        <v>-1.8999999999991246E-3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36.200600000000001</v>
      </c>
      <c r="G141" s="46">
        <v>42.324100000000001</v>
      </c>
      <c r="H141" s="46">
        <v>42.194000000000003</v>
      </c>
      <c r="I141" s="66"/>
      <c r="J141" s="66"/>
      <c r="K141" s="67"/>
      <c r="L141" s="29"/>
      <c r="M141" s="70"/>
      <c r="N141" s="46">
        <v>36.200099999999999</v>
      </c>
      <c r="O141" s="46">
        <v>42.3217</v>
      </c>
      <c r="P141" s="46">
        <v>42.192799999999998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5.0000000000238742E-4</v>
      </c>
      <c r="AE141" s="46">
        <f t="shared" si="7"/>
        <v>2.400000000001512E-3</v>
      </c>
      <c r="AF141" s="46">
        <f t="shared" si="7"/>
        <v>1.2000000000043087E-3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33.678600000000003</v>
      </c>
      <c r="G142" s="72">
        <v>40.851599999999998</v>
      </c>
      <c r="H142" s="72">
        <v>40.701700000000002</v>
      </c>
      <c r="I142" s="68"/>
      <c r="J142" s="68"/>
      <c r="K142" s="69"/>
      <c r="L142" s="29"/>
      <c r="M142" s="81"/>
      <c r="N142" s="46">
        <v>33.680599999999998</v>
      </c>
      <c r="O142" s="72">
        <v>40.850900000000003</v>
      </c>
      <c r="P142" s="72">
        <v>40.703600000000002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-1.9999999999953388E-3</v>
      </c>
      <c r="AE142" s="46">
        <f t="shared" si="7"/>
        <v>6.9999999999481588E-4</v>
      </c>
      <c r="AF142" s="46">
        <f t="shared" si="7"/>
        <v>-1.8999999999991246E-3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40.915900000000001</v>
      </c>
      <c r="G143" s="45">
        <v>45.866700000000002</v>
      </c>
      <c r="H143" s="45">
        <v>45.938899999999997</v>
      </c>
      <c r="I143" s="66"/>
      <c r="J143" s="66"/>
      <c r="K143" s="67"/>
      <c r="L143" s="29"/>
      <c r="M143" s="70"/>
      <c r="N143" s="45">
        <v>40.913800000000002</v>
      </c>
      <c r="O143" s="45">
        <v>45.866700000000002</v>
      </c>
      <c r="P143" s="45">
        <v>45.940600000000003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2.0999999999986585E-3</v>
      </c>
      <c r="AE143" s="45">
        <f t="shared" si="7"/>
        <v>0</v>
      </c>
      <c r="AF143" s="45">
        <f t="shared" si="7"/>
        <v>-1.7000000000066962E-3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38.583599999999997</v>
      </c>
      <c r="G144" s="46">
        <v>44.073999999999998</v>
      </c>
      <c r="H144" s="46">
        <v>44.04</v>
      </c>
      <c r="I144" s="66"/>
      <c r="J144" s="66"/>
      <c r="K144" s="67"/>
      <c r="L144" s="29"/>
      <c r="M144" s="70"/>
      <c r="N144" s="46">
        <v>38.583599999999997</v>
      </c>
      <c r="O144" s="46">
        <v>44.066299999999998</v>
      </c>
      <c r="P144" s="46">
        <v>44.045699999999997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0</v>
      </c>
      <c r="AE144" s="46">
        <f t="shared" si="7"/>
        <v>7.6999999999998181E-3</v>
      </c>
      <c r="AF144" s="46">
        <f t="shared" si="7"/>
        <v>-5.6999999999973738E-3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36.116199999999999</v>
      </c>
      <c r="G145" s="46">
        <v>42.1417</v>
      </c>
      <c r="H145" s="46">
        <v>41.9711</v>
      </c>
      <c r="I145" s="66"/>
      <c r="J145" s="66"/>
      <c r="K145" s="67"/>
      <c r="L145" s="29"/>
      <c r="M145" s="70"/>
      <c r="N145" s="46">
        <v>36.117199999999997</v>
      </c>
      <c r="O145" s="46">
        <v>42.144500000000001</v>
      </c>
      <c r="P145" s="46">
        <v>41.973599999999998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-9.9999999999766942E-4</v>
      </c>
      <c r="AE145" s="46">
        <f t="shared" si="7"/>
        <v>-2.8000000000005798E-3</v>
      </c>
      <c r="AF145" s="46">
        <f t="shared" si="7"/>
        <v>-2.4999999999977263E-3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33.595599999999997</v>
      </c>
      <c r="G146" s="72">
        <v>40.707900000000002</v>
      </c>
      <c r="H146" s="72">
        <v>40.4955</v>
      </c>
      <c r="I146" s="68"/>
      <c r="J146" s="68"/>
      <c r="K146" s="69"/>
      <c r="L146" s="29"/>
      <c r="M146" s="81"/>
      <c r="N146" s="46">
        <v>33.602400000000003</v>
      </c>
      <c r="O146" s="72">
        <v>40.709299999999999</v>
      </c>
      <c r="P146" s="72">
        <v>40.502499999999998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-6.8000000000054683E-3</v>
      </c>
      <c r="AE146" s="46">
        <f t="shared" si="7"/>
        <v>-1.3999999999967372E-3</v>
      </c>
      <c r="AF146" s="46">
        <f t="shared" si="7"/>
        <v>-6.9999999999978968E-3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40.313600000000001</v>
      </c>
      <c r="G147" s="45">
        <v>45.904200000000003</v>
      </c>
      <c r="H147" s="45">
        <v>45.864800000000002</v>
      </c>
      <c r="I147" s="66"/>
      <c r="J147" s="66"/>
      <c r="K147" s="67"/>
      <c r="L147" s="29"/>
      <c r="M147" s="70"/>
      <c r="N147" s="45">
        <v>40.2971</v>
      </c>
      <c r="O147" s="45">
        <v>45.892800000000001</v>
      </c>
      <c r="P147" s="45">
        <v>45.858899999999998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1.6500000000000625E-2</v>
      </c>
      <c r="AE147" s="45">
        <f t="shared" si="7"/>
        <v>1.1400000000001853E-2</v>
      </c>
      <c r="AF147" s="45">
        <f t="shared" si="7"/>
        <v>5.9000000000040131E-3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37.978299999999997</v>
      </c>
      <c r="G148" s="46">
        <v>44.056100000000001</v>
      </c>
      <c r="H148" s="46">
        <v>43.856200000000001</v>
      </c>
      <c r="I148" s="66"/>
      <c r="J148" s="66"/>
      <c r="K148" s="67"/>
      <c r="L148" s="29"/>
      <c r="M148" s="70"/>
      <c r="N148" s="46">
        <v>37.968800000000002</v>
      </c>
      <c r="O148" s="46">
        <v>44.056800000000003</v>
      </c>
      <c r="P148" s="46">
        <v>43.882300000000001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9.4999999999956231E-3</v>
      </c>
      <c r="AE148" s="46">
        <f t="shared" si="7"/>
        <v>-7.0000000000192131E-4</v>
      </c>
      <c r="AF148" s="46">
        <f t="shared" si="7"/>
        <v>-2.6099999999999568E-2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35.560200000000002</v>
      </c>
      <c r="G149" s="46">
        <v>42.201799999999999</v>
      </c>
      <c r="H149" s="46">
        <v>41.841099999999997</v>
      </c>
      <c r="I149" s="66"/>
      <c r="J149" s="66"/>
      <c r="K149" s="67"/>
      <c r="L149" s="29"/>
      <c r="M149" s="70"/>
      <c r="N149" s="46">
        <v>35.564599999999999</v>
      </c>
      <c r="O149" s="46">
        <v>42.221600000000002</v>
      </c>
      <c r="P149" s="46">
        <v>41.854999999999997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-4.3999999999968509E-3</v>
      </c>
      <c r="AE149" s="46">
        <f t="shared" si="7"/>
        <v>-1.9800000000003593E-2</v>
      </c>
      <c r="AF149" s="46">
        <f t="shared" si="7"/>
        <v>-1.3899999999999579E-2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33.070900000000002</v>
      </c>
      <c r="G150" s="72">
        <v>40.787399999999998</v>
      </c>
      <c r="H150" s="72">
        <v>40.384700000000002</v>
      </c>
      <c r="I150" s="68"/>
      <c r="J150" s="68"/>
      <c r="K150" s="69"/>
      <c r="L150" s="29"/>
      <c r="M150" s="81"/>
      <c r="N150" s="72">
        <v>33.069099999999999</v>
      </c>
      <c r="O150" s="72">
        <v>40.788699999999999</v>
      </c>
      <c r="P150" s="72">
        <v>40.396900000000002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1.8000000000029104E-3</v>
      </c>
      <c r="AE150" s="72">
        <f t="shared" si="7"/>
        <v>-1.300000000000523E-3</v>
      </c>
      <c r="AF150" s="72">
        <f t="shared" si="7"/>
        <v>-1.2199999999999989E-2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39.932600000000001</v>
      </c>
      <c r="G151" s="45">
        <v>45.086399999999998</v>
      </c>
      <c r="H151" s="45">
        <v>45.033200000000001</v>
      </c>
      <c r="I151" s="66"/>
      <c r="J151" s="66"/>
      <c r="K151" s="67"/>
      <c r="L151" s="29"/>
      <c r="M151" s="70"/>
      <c r="N151" s="45">
        <v>39.939300000000003</v>
      </c>
      <c r="O151" s="45">
        <v>45.0732</v>
      </c>
      <c r="P151" s="45">
        <v>45.041499999999999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-6.7000000000021487E-3</v>
      </c>
      <c r="AE151" s="45">
        <f t="shared" si="7"/>
        <v>1.3199999999997658E-2</v>
      </c>
      <c r="AF151" s="45">
        <f t="shared" si="7"/>
        <v>-8.2999999999984198E-3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37.613199999999999</v>
      </c>
      <c r="G152" s="46">
        <v>43.378</v>
      </c>
      <c r="H152" s="46">
        <v>43.115499999999997</v>
      </c>
      <c r="I152" s="66"/>
      <c r="J152" s="66"/>
      <c r="K152" s="67"/>
      <c r="L152" s="29"/>
      <c r="M152" s="70"/>
      <c r="N152" s="46">
        <v>37.614100000000001</v>
      </c>
      <c r="O152" s="46">
        <v>43.374099999999999</v>
      </c>
      <c r="P152" s="46">
        <v>43.142099999999999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-9.0000000000145519E-4</v>
      </c>
      <c r="AE152" s="46">
        <f t="shared" si="7"/>
        <v>3.9000000000015689E-3</v>
      </c>
      <c r="AF152" s="46">
        <f t="shared" si="7"/>
        <v>-2.6600000000001955E-2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35.193199999999997</v>
      </c>
      <c r="G153" s="46">
        <v>41.767099999999999</v>
      </c>
      <c r="H153" s="46">
        <v>41.311599999999999</v>
      </c>
      <c r="I153" s="66"/>
      <c r="J153" s="66"/>
      <c r="K153" s="67"/>
      <c r="L153" s="29"/>
      <c r="M153" s="70"/>
      <c r="N153" s="46">
        <v>35.190899999999999</v>
      </c>
      <c r="O153" s="46">
        <v>41.784300000000002</v>
      </c>
      <c r="P153" s="46">
        <v>41.333199999999998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2.2999999999981924E-3</v>
      </c>
      <c r="AE153" s="46">
        <f t="shared" si="7"/>
        <v>-1.7200000000002547E-2</v>
      </c>
      <c r="AF153" s="46">
        <f t="shared" si="7"/>
        <v>-2.1599999999999397E-2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32.695700000000002</v>
      </c>
      <c r="G154" s="72">
        <v>40.481200000000001</v>
      </c>
      <c r="H154" s="72">
        <v>39.9788</v>
      </c>
      <c r="I154" s="68"/>
      <c r="J154" s="68"/>
      <c r="K154" s="69"/>
      <c r="L154" s="29"/>
      <c r="M154" s="81"/>
      <c r="N154" s="72">
        <v>32.69</v>
      </c>
      <c r="O154" s="72">
        <v>40.491799999999998</v>
      </c>
      <c r="P154" s="72">
        <v>39.991399999999999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5.7000000000044793E-3</v>
      </c>
      <c r="AE154" s="72">
        <f t="shared" si="7"/>
        <v>-1.0599999999996612E-2</v>
      </c>
      <c r="AF154" s="72">
        <f t="shared" si="7"/>
        <v>-1.2599999999999056E-2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2032.4992</v>
      </c>
      <c r="F155" s="70"/>
      <c r="G155" s="70"/>
      <c r="H155" s="70"/>
      <c r="I155" s="45">
        <v>23852.02</v>
      </c>
      <c r="J155" s="45">
        <v>43.06</v>
      </c>
      <c r="K155" s="45">
        <v>332.76</v>
      </c>
      <c r="L155" s="29"/>
      <c r="M155" s="45">
        <v>2033.7031999999999</v>
      </c>
      <c r="N155" s="70"/>
      <c r="O155" s="70"/>
      <c r="P155" s="70"/>
      <c r="Q155" s="45">
        <v>23905.86</v>
      </c>
      <c r="R155" s="45">
        <v>44.05</v>
      </c>
      <c r="S155" s="45">
        <v>335.04</v>
      </c>
      <c r="T155" s="24"/>
      <c r="U155" s="8"/>
      <c r="V155" s="9"/>
      <c r="W155" s="10"/>
      <c r="X155" s="29"/>
      <c r="Y155" s="61">
        <f>GEOMEAN(Q155:Q158)/GEOMEAN(I155:I158)</f>
        <v>1.0022937241124563</v>
      </c>
      <c r="Z155" s="61">
        <f>GEOMEAN(R155:R158)/GEOMEAN(J155:J158)</f>
        <v>0.99957631569905081</v>
      </c>
      <c r="AA155" s="57">
        <f>GEOMEAN(S155:S158)/GEOMEAN(K155:K158)</f>
        <v>0.99564570269571695</v>
      </c>
      <c r="AB155" s="24"/>
      <c r="AC155" s="45">
        <f>E155 -M155</f>
        <v>-1.2039999999999509</v>
      </c>
      <c r="AD155" s="70"/>
      <c r="AE155" s="70"/>
      <c r="AF155" s="70"/>
      <c r="AG155" s="45">
        <f t="shared" ref="AG155:AI158" si="9">I155 -Q155</f>
        <v>-53.840000000000146</v>
      </c>
      <c r="AH155" s="45">
        <f t="shared" si="9"/>
        <v>-0.98999999999999488</v>
      </c>
      <c r="AI155" s="45">
        <f t="shared" si="9"/>
        <v>-2.2800000000000296</v>
      </c>
    </row>
    <row r="156" spans="1:35" ht="12">
      <c r="B156" s="36"/>
      <c r="C156" s="29"/>
      <c r="D156" s="32">
        <v>30</v>
      </c>
      <c r="E156" s="46">
        <v>929.92639999999994</v>
      </c>
      <c r="F156" s="70"/>
      <c r="G156" s="70"/>
      <c r="H156" s="70"/>
      <c r="I156" s="46">
        <v>19093.73</v>
      </c>
      <c r="J156" s="46">
        <v>41.69</v>
      </c>
      <c r="K156" s="46">
        <v>332.7</v>
      </c>
      <c r="L156" s="29"/>
      <c r="M156" s="46">
        <v>930.24400000000003</v>
      </c>
      <c r="N156" s="70"/>
      <c r="O156" s="70"/>
      <c r="P156" s="70"/>
      <c r="Q156" s="46">
        <v>19167.77</v>
      </c>
      <c r="R156" s="46">
        <v>40.98</v>
      </c>
      <c r="S156" s="46">
        <v>333.38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-0.31760000000008404</v>
      </c>
      <c r="AD156" s="70"/>
      <c r="AE156" s="70"/>
      <c r="AF156" s="70"/>
      <c r="AG156" s="46">
        <f t="shared" si="9"/>
        <v>-74.040000000000873</v>
      </c>
      <c r="AH156" s="46">
        <f t="shared" si="9"/>
        <v>0.71000000000000085</v>
      </c>
      <c r="AI156" s="46">
        <f t="shared" si="9"/>
        <v>-0.68000000000000682</v>
      </c>
    </row>
    <row r="157" spans="1:35" ht="12">
      <c r="B157" s="36"/>
      <c r="C157" s="29"/>
      <c r="D157" s="32">
        <v>35</v>
      </c>
      <c r="E157" s="46">
        <v>481.07679999999999</v>
      </c>
      <c r="F157" s="70"/>
      <c r="G157" s="70"/>
      <c r="H157" s="70"/>
      <c r="I157" s="46">
        <v>16704.28</v>
      </c>
      <c r="J157" s="46">
        <v>40.64</v>
      </c>
      <c r="K157" s="46">
        <v>336.42</v>
      </c>
      <c r="L157" s="29"/>
      <c r="M157" s="46">
        <v>481.15440000000001</v>
      </c>
      <c r="N157" s="70"/>
      <c r="O157" s="70"/>
      <c r="P157" s="70"/>
      <c r="Q157" s="46">
        <v>16765.28</v>
      </c>
      <c r="R157" s="46">
        <v>38.53</v>
      </c>
      <c r="S157" s="46">
        <v>332.18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-7.7600000000018099E-2</v>
      </c>
      <c r="AD157" s="70"/>
      <c r="AE157" s="70"/>
      <c r="AF157" s="70"/>
      <c r="AG157" s="46">
        <f t="shared" si="9"/>
        <v>-61</v>
      </c>
      <c r="AH157" s="46">
        <f t="shared" si="9"/>
        <v>2.1099999999999994</v>
      </c>
      <c r="AI157" s="46">
        <f t="shared" si="9"/>
        <v>4.2400000000000091</v>
      </c>
    </row>
    <row r="158" spans="1:35" ht="12.75" thickBot="1">
      <c r="B158" s="52"/>
      <c r="C158" s="53"/>
      <c r="D158" s="71">
        <v>40</v>
      </c>
      <c r="E158" s="72">
        <v>267.48880000000003</v>
      </c>
      <c r="F158" s="81"/>
      <c r="G158" s="81"/>
      <c r="H158" s="81"/>
      <c r="I158" s="72">
        <v>14848.34</v>
      </c>
      <c r="J158" s="72">
        <v>37.119999999999997</v>
      </c>
      <c r="K158" s="72">
        <v>338.76</v>
      </c>
      <c r="L158" s="29"/>
      <c r="M158" s="72">
        <v>267.39679999999998</v>
      </c>
      <c r="N158" s="81"/>
      <c r="O158" s="81"/>
      <c r="P158" s="81"/>
      <c r="Q158" s="72">
        <v>14839.35</v>
      </c>
      <c r="R158" s="72">
        <v>38.869999999999997</v>
      </c>
      <c r="S158" s="72">
        <v>334.17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9.2000000000041382E-2</v>
      </c>
      <c r="AD158" s="81"/>
      <c r="AE158" s="81"/>
      <c r="AF158" s="81"/>
      <c r="AG158" s="72">
        <f t="shared" si="9"/>
        <v>8.9899999999997817</v>
      </c>
      <c r="AH158" s="72">
        <f t="shared" si="9"/>
        <v>-1.75</v>
      </c>
      <c r="AI158" s="72">
        <f t="shared" si="9"/>
        <v>4.589999999999975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3712.6183999999998</v>
      </c>
      <c r="F159" s="45">
        <v>40.253799999999998</v>
      </c>
      <c r="G159" s="45">
        <v>45.457700000000003</v>
      </c>
      <c r="H159" s="45">
        <v>46.298400000000001</v>
      </c>
      <c r="I159" s="79"/>
      <c r="J159" s="79"/>
      <c r="K159" s="80"/>
      <c r="L159" s="29"/>
      <c r="M159" s="45">
        <v>3712.6183999999998</v>
      </c>
      <c r="N159" s="45">
        <v>40.253799999999998</v>
      </c>
      <c r="O159" s="45">
        <v>45.457700000000003</v>
      </c>
      <c r="P159" s="45">
        <v>46.298400000000001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1616.4760000000001</v>
      </c>
      <c r="F160" s="46">
        <v>37.82</v>
      </c>
      <c r="G160" s="46">
        <v>43.627600000000001</v>
      </c>
      <c r="H160" s="46">
        <v>44.459200000000003</v>
      </c>
      <c r="I160" s="66"/>
      <c r="J160" s="66"/>
      <c r="K160" s="67"/>
      <c r="L160" s="29"/>
      <c r="M160" s="46">
        <v>1616.4760000000001</v>
      </c>
      <c r="N160" s="46">
        <v>37.82</v>
      </c>
      <c r="O160" s="46">
        <v>43.627600000000001</v>
      </c>
      <c r="P160" s="46">
        <v>44.459200000000003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756.49919999999997</v>
      </c>
      <c r="F161" s="46">
        <v>35.621600000000001</v>
      </c>
      <c r="G161" s="46">
        <v>41.799100000000003</v>
      </c>
      <c r="H161" s="46">
        <v>42.621600000000001</v>
      </c>
      <c r="I161" s="66"/>
      <c r="J161" s="66"/>
      <c r="K161" s="67"/>
      <c r="L161" s="29"/>
      <c r="M161" s="46">
        <v>756.49919999999997</v>
      </c>
      <c r="N161" s="46">
        <v>35.621600000000001</v>
      </c>
      <c r="O161" s="46">
        <v>41.799100000000003</v>
      </c>
      <c r="P161" s="46">
        <v>42.621600000000001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365.29599999999999</v>
      </c>
      <c r="F162" s="46">
        <v>33.462400000000002</v>
      </c>
      <c r="G162" s="46">
        <v>40.561100000000003</v>
      </c>
      <c r="H162" s="46">
        <v>41.389400000000002</v>
      </c>
      <c r="I162" s="66"/>
      <c r="J162" s="66"/>
      <c r="K162" s="67"/>
      <c r="L162" s="29"/>
      <c r="M162" s="46">
        <v>365.29599999999999</v>
      </c>
      <c r="N162" s="46">
        <v>33.462400000000002</v>
      </c>
      <c r="O162" s="46">
        <v>40.561100000000003</v>
      </c>
      <c r="P162" s="46">
        <v>41.389400000000002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523.2704</v>
      </c>
      <c r="F163" s="45">
        <v>39.746499999999997</v>
      </c>
      <c r="G163" s="45">
        <v>45.324199999999998</v>
      </c>
      <c r="H163" s="45">
        <v>46.174199999999999</v>
      </c>
      <c r="I163" s="79"/>
      <c r="J163" s="79"/>
      <c r="K163" s="80"/>
      <c r="L163" s="29"/>
      <c r="M163" s="45">
        <v>523.21280000000002</v>
      </c>
      <c r="N163" s="45">
        <v>39.746299999999998</v>
      </c>
      <c r="O163" s="45">
        <v>45.324100000000001</v>
      </c>
      <c r="P163" s="45">
        <v>46.174599999999998</v>
      </c>
      <c r="Q163" s="79"/>
      <c r="R163" s="79"/>
      <c r="S163" s="80"/>
      <c r="T163" s="24"/>
      <c r="U163" s="8">
        <f>bdrate($E163:$E166,F163:F166,$M163:$M166,N163:N166)</f>
        <v>-3.5932576904484925E-4</v>
      </c>
      <c r="V163" s="9">
        <f>bdrate($E163:$E166,G163:G166,$M163:$M166,O163:O166)</f>
        <v>-2.1842790606074747E-4</v>
      </c>
      <c r="W163" s="10">
        <f>bdrate($E163:$E166,H163:H166,$M163:$M166,P163:P166)</f>
        <v>-2.714075029641716E-4</v>
      </c>
      <c r="X163" s="29"/>
      <c r="Y163" s="24"/>
      <c r="Z163" s="24"/>
      <c r="AA163" s="27"/>
      <c r="AB163" s="24"/>
      <c r="AC163" s="45">
        <f t="shared" si="11"/>
        <v>5.7599999999979445E-2</v>
      </c>
      <c r="AD163" s="45">
        <f t="shared" si="10"/>
        <v>1.9999999999953388E-4</v>
      </c>
      <c r="AE163" s="45">
        <f t="shared" si="10"/>
        <v>9.9999999996214228E-5</v>
      </c>
      <c r="AF163" s="45">
        <f t="shared" si="10"/>
        <v>-3.9999999999906777E-4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182.46559999999999</v>
      </c>
      <c r="F164" s="46">
        <v>37.471400000000003</v>
      </c>
      <c r="G164" s="46">
        <v>43.568100000000001</v>
      </c>
      <c r="H164" s="46">
        <v>44.409100000000002</v>
      </c>
      <c r="I164" s="66"/>
      <c r="J164" s="66"/>
      <c r="K164" s="67"/>
      <c r="L164" s="29"/>
      <c r="M164" s="46">
        <v>183.00319999999999</v>
      </c>
      <c r="N164" s="46">
        <v>37.4711</v>
      </c>
      <c r="O164" s="46">
        <v>43.5672</v>
      </c>
      <c r="P164" s="46">
        <v>44.409599999999998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-0.53759999999999764</v>
      </c>
      <c r="AD164" s="46">
        <f t="shared" si="10"/>
        <v>3.0000000000285354E-4</v>
      </c>
      <c r="AE164" s="46">
        <f t="shared" si="10"/>
        <v>9.0000000000145519E-4</v>
      </c>
      <c r="AF164" s="46">
        <f t="shared" si="10"/>
        <v>-4.99999999995282E-4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74.429599999999994</v>
      </c>
      <c r="F165" s="46">
        <v>35.381</v>
      </c>
      <c r="G165" s="46">
        <v>41.796500000000002</v>
      </c>
      <c r="H165" s="46">
        <v>42.630499999999998</v>
      </c>
      <c r="I165" s="66"/>
      <c r="J165" s="66"/>
      <c r="K165" s="67"/>
      <c r="L165" s="29"/>
      <c r="M165" s="46">
        <v>74.273600000000002</v>
      </c>
      <c r="N165" s="46">
        <v>35.381500000000003</v>
      </c>
      <c r="O165" s="46">
        <v>41.798999999999999</v>
      </c>
      <c r="P165" s="46">
        <v>42.6312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0.1559999999999917</v>
      </c>
      <c r="AD165" s="46">
        <f t="shared" si="10"/>
        <v>-5.0000000000238742E-4</v>
      </c>
      <c r="AE165" s="46">
        <f t="shared" si="10"/>
        <v>-2.4999999999977263E-3</v>
      </c>
      <c r="AF165" s="46">
        <f t="shared" si="10"/>
        <v>-7.0000000000192131E-4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34.709600000000002</v>
      </c>
      <c r="F166" s="46">
        <v>33.294600000000003</v>
      </c>
      <c r="G166" s="46">
        <v>40.557000000000002</v>
      </c>
      <c r="H166" s="46">
        <v>41.396099999999997</v>
      </c>
      <c r="I166" s="66"/>
      <c r="J166" s="66"/>
      <c r="K166" s="67"/>
      <c r="L166" s="29"/>
      <c r="M166" s="46">
        <v>34.501600000000003</v>
      </c>
      <c r="N166" s="46">
        <v>33.294499999999999</v>
      </c>
      <c r="O166" s="46">
        <v>40.556699999999999</v>
      </c>
      <c r="P166" s="46">
        <v>41.396299999999997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0.20799999999999841</v>
      </c>
      <c r="AD166" s="46">
        <f t="shared" si="10"/>
        <v>1.0000000000331966E-4</v>
      </c>
      <c r="AE166" s="46">
        <f t="shared" si="10"/>
        <v>3.0000000000285354E-4</v>
      </c>
      <c r="AF166" s="46">
        <f t="shared" si="10"/>
        <v>-1.9999999999953388E-4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543.40239999999994</v>
      </c>
      <c r="F167" s="45">
        <v>39.710299999999997</v>
      </c>
      <c r="G167" s="45">
        <v>45.281100000000002</v>
      </c>
      <c r="H167" s="45">
        <v>46.136299999999999</v>
      </c>
      <c r="I167" s="79"/>
      <c r="J167" s="79"/>
      <c r="K167" s="80"/>
      <c r="L167" s="29"/>
      <c r="M167" s="45">
        <v>543.8904</v>
      </c>
      <c r="N167" s="45">
        <v>39.711199999999998</v>
      </c>
      <c r="O167" s="45">
        <v>45.281300000000002</v>
      </c>
      <c r="P167" s="45">
        <v>46.137799999999999</v>
      </c>
      <c r="Q167" s="79"/>
      <c r="R167" s="79"/>
      <c r="S167" s="80"/>
      <c r="T167" s="65"/>
      <c r="U167" s="8">
        <f>bdrate($E167:$E170,F167:F170,$M167:$M170,N167:N170)</f>
        <v>7.2163018719928473E-5</v>
      </c>
      <c r="V167" s="9">
        <f>bdrate($E167:$E170,G167:G170,$M167:$M170,O167:O170)</f>
        <v>-5.2586360487349992E-4</v>
      </c>
      <c r="W167" s="10">
        <f>bdrate($E167:$E170,H167:H170,$M167:$M170,P167:P170)</f>
        <v>-5.2478596366523078E-4</v>
      </c>
      <c r="X167" s="29"/>
      <c r="Y167" s="24"/>
      <c r="Z167" s="24"/>
      <c r="AA167" s="27"/>
      <c r="AB167" s="24"/>
      <c r="AC167" s="45">
        <f t="shared" si="11"/>
        <v>-0.48800000000005639</v>
      </c>
      <c r="AD167" s="45">
        <f t="shared" si="10"/>
        <v>-9.0000000000145519E-4</v>
      </c>
      <c r="AE167" s="45">
        <f t="shared" si="10"/>
        <v>-1.9999999999953388E-4</v>
      </c>
      <c r="AF167" s="45">
        <f t="shared" si="10"/>
        <v>-1.5000000000000568E-3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191.3416</v>
      </c>
      <c r="F168" s="46">
        <v>37.430300000000003</v>
      </c>
      <c r="G168" s="46">
        <v>43.5246</v>
      </c>
      <c r="H168" s="46">
        <v>44.368899999999996</v>
      </c>
      <c r="I168" s="66"/>
      <c r="J168" s="66"/>
      <c r="K168" s="67"/>
      <c r="L168" s="29"/>
      <c r="M168" s="46">
        <v>191.43440000000001</v>
      </c>
      <c r="N168" s="46">
        <v>37.429200000000002</v>
      </c>
      <c r="O168" s="46">
        <v>43.525700000000001</v>
      </c>
      <c r="P168" s="46">
        <v>44.370399999999997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-9.2800000000011096E-2</v>
      </c>
      <c r="AD168" s="46">
        <f t="shared" si="10"/>
        <v>1.1000000000009891E-3</v>
      </c>
      <c r="AE168" s="46">
        <f t="shared" si="10"/>
        <v>-1.1000000000009891E-3</v>
      </c>
      <c r="AF168" s="46">
        <f t="shared" si="10"/>
        <v>-1.5000000000000568E-3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78.525599999999997</v>
      </c>
      <c r="F169" s="46">
        <v>35.339300000000001</v>
      </c>
      <c r="G169" s="46">
        <v>41.756999999999998</v>
      </c>
      <c r="H169" s="46">
        <v>42.593499999999999</v>
      </c>
      <c r="I169" s="66"/>
      <c r="J169" s="66"/>
      <c r="K169" s="67"/>
      <c r="L169" s="29"/>
      <c r="M169" s="46">
        <v>78.431200000000004</v>
      </c>
      <c r="N169" s="46">
        <v>35.337699999999998</v>
      </c>
      <c r="O169" s="46">
        <v>41.756999999999998</v>
      </c>
      <c r="P169" s="46">
        <v>42.592399999999998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9.4399999999993156E-2</v>
      </c>
      <c r="AD169" s="46">
        <f t="shared" si="10"/>
        <v>1.6000000000033765E-3</v>
      </c>
      <c r="AE169" s="46">
        <f t="shared" si="10"/>
        <v>0</v>
      </c>
      <c r="AF169" s="46">
        <f t="shared" si="10"/>
        <v>1.1000000000009891E-3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36.811999999999998</v>
      </c>
      <c r="F170" s="72">
        <v>33.2455</v>
      </c>
      <c r="G170" s="72">
        <v>40.514499999999998</v>
      </c>
      <c r="H170" s="72">
        <v>41.356400000000001</v>
      </c>
      <c r="I170" s="68"/>
      <c r="J170" s="68"/>
      <c r="K170" s="69"/>
      <c r="L170" s="29"/>
      <c r="M170" s="72">
        <v>36.738399999999999</v>
      </c>
      <c r="N170" s="72">
        <v>33.243499999999997</v>
      </c>
      <c r="O170" s="72">
        <v>40.514499999999998</v>
      </c>
      <c r="P170" s="72">
        <v>41.356400000000001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7.3599999999999E-2</v>
      </c>
      <c r="AD170" s="72">
        <f t="shared" si="10"/>
        <v>2.0000000000024443E-3</v>
      </c>
      <c r="AE170" s="72">
        <f t="shared" si="10"/>
        <v>0</v>
      </c>
      <c r="AF170" s="72">
        <f t="shared" si="10"/>
        <v>0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288.06240000000003</v>
      </c>
      <c r="F171" s="45">
        <v>43.225099999999998</v>
      </c>
      <c r="G171" s="78"/>
      <c r="H171" s="78"/>
      <c r="I171" s="79"/>
      <c r="J171" s="79"/>
      <c r="K171" s="80"/>
      <c r="L171" s="29"/>
      <c r="M171" s="45">
        <v>288.34399999999999</v>
      </c>
      <c r="N171" s="45">
        <v>43.217599999999997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-6.3630325051083902E-3</v>
      </c>
      <c r="V171" s="9"/>
      <c r="W171" s="10"/>
      <c r="X171" s="29"/>
      <c r="Y171" s="24"/>
      <c r="Z171" s="24"/>
      <c r="AA171" s="27"/>
      <c r="AB171" s="24"/>
      <c r="AC171" s="45">
        <f t="shared" si="11"/>
        <v>-0.28159999999996899</v>
      </c>
      <c r="AD171" s="45">
        <f t="shared" si="10"/>
        <v>7.5000000000002842E-3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98.028800000000004</v>
      </c>
      <c r="F172" s="46">
        <v>38.859699999999997</v>
      </c>
      <c r="G172" s="70"/>
      <c r="H172" s="70"/>
      <c r="I172" s="66"/>
      <c r="J172" s="66"/>
      <c r="K172" s="67"/>
      <c r="L172" s="29"/>
      <c r="M172" s="46">
        <v>97.664000000000001</v>
      </c>
      <c r="N172" s="46">
        <v>38.842100000000002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0.36480000000000246</v>
      </c>
      <c r="AD172" s="46">
        <f t="shared" si="10"/>
        <v>1.7599999999994509E-2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37.043199999999999</v>
      </c>
      <c r="F173" s="46">
        <v>34.9602</v>
      </c>
      <c r="G173" s="70"/>
      <c r="H173" s="70"/>
      <c r="I173" s="66"/>
      <c r="J173" s="66"/>
      <c r="K173" s="67"/>
      <c r="L173" s="29"/>
      <c r="M173" s="46">
        <v>37.169600000000003</v>
      </c>
      <c r="N173" s="46">
        <v>35.0182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-0.12640000000000384</v>
      </c>
      <c r="AD173" s="46">
        <f t="shared" si="10"/>
        <v>-5.7999999999999829E-2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14.8528</v>
      </c>
      <c r="F174" s="46">
        <v>31.4071</v>
      </c>
      <c r="G174" s="70"/>
      <c r="H174" s="70"/>
      <c r="I174" s="66"/>
      <c r="J174" s="66"/>
      <c r="K174" s="67"/>
      <c r="L174" s="29"/>
      <c r="M174" s="46">
        <v>14.864000000000001</v>
      </c>
      <c r="N174" s="46">
        <v>31.5227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-1.1200000000000543E-2</v>
      </c>
      <c r="AD174" s="46">
        <f t="shared" si="10"/>
        <v>-0.11560000000000059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100.1728</v>
      </c>
      <c r="F175" s="45">
        <v>42.355800000000002</v>
      </c>
      <c r="G175" s="78"/>
      <c r="H175" s="78"/>
      <c r="I175" s="79"/>
      <c r="J175" s="79"/>
      <c r="K175" s="80"/>
      <c r="L175" s="29"/>
      <c r="M175" s="45">
        <v>99.961600000000004</v>
      </c>
      <c r="N175" s="45">
        <v>42.352400000000003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-1.3112723990797992E-2</v>
      </c>
      <c r="V175" s="9"/>
      <c r="W175" s="10"/>
      <c r="X175" s="29"/>
      <c r="Y175" s="24"/>
      <c r="Z175" s="24"/>
      <c r="AA175" s="27"/>
      <c r="AB175" s="24"/>
      <c r="AC175" s="45">
        <f t="shared" si="11"/>
        <v>0.21119999999999095</v>
      </c>
      <c r="AD175" s="45">
        <f t="shared" si="10"/>
        <v>3.3999999999991815E-3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29.388000000000002</v>
      </c>
      <c r="F176" s="46">
        <v>38.128799999999998</v>
      </c>
      <c r="G176" s="70"/>
      <c r="H176" s="70"/>
      <c r="I176" s="66"/>
      <c r="J176" s="66"/>
      <c r="K176" s="67"/>
      <c r="L176" s="29"/>
      <c r="M176" s="46">
        <v>28.956800000000001</v>
      </c>
      <c r="N176" s="46">
        <v>38.104399999999998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0.43120000000000047</v>
      </c>
      <c r="AD176" s="46">
        <f t="shared" si="10"/>
        <v>2.4399999999999977E-2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11.973599999999999</v>
      </c>
      <c r="F177" s="46">
        <v>34.309800000000003</v>
      </c>
      <c r="G177" s="70"/>
      <c r="H177" s="70"/>
      <c r="I177" s="66"/>
      <c r="J177" s="66"/>
      <c r="K177" s="67"/>
      <c r="L177" s="29"/>
      <c r="M177" s="46">
        <v>11.944000000000001</v>
      </c>
      <c r="N177" s="46">
        <v>34.405999999999999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2.9599999999998516E-2</v>
      </c>
      <c r="AD177" s="46">
        <f t="shared" si="10"/>
        <v>-9.6199999999996066E-2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6.0312000000000001</v>
      </c>
      <c r="F178" s="46">
        <v>30.7409</v>
      </c>
      <c r="G178" s="70"/>
      <c r="H178" s="70"/>
      <c r="I178" s="66"/>
      <c r="J178" s="66"/>
      <c r="K178" s="67"/>
      <c r="L178" s="29"/>
      <c r="M178" s="46">
        <v>6.0023999999999997</v>
      </c>
      <c r="N178" s="46">
        <v>30.803100000000001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2.8800000000000381E-2</v>
      </c>
      <c r="AD178" s="46">
        <f t="shared" si="10"/>
        <v>-6.2200000000000699E-2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104.3168</v>
      </c>
      <c r="F179" s="45">
        <v>42.311500000000002</v>
      </c>
      <c r="G179" s="78"/>
      <c r="H179" s="78"/>
      <c r="I179" s="79"/>
      <c r="J179" s="79"/>
      <c r="K179" s="80"/>
      <c r="L179" s="29"/>
      <c r="M179" s="45">
        <v>103.664</v>
      </c>
      <c r="N179" s="45">
        <v>42.279400000000003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-9.0841492855677775E-3</v>
      </c>
      <c r="V179" s="9"/>
      <c r="W179" s="10"/>
      <c r="X179" s="29"/>
      <c r="Y179" s="24"/>
      <c r="Z179" s="24"/>
      <c r="AA179" s="27"/>
      <c r="AB179" s="24"/>
      <c r="AC179" s="45">
        <f t="shared" si="11"/>
        <v>0.65279999999999916</v>
      </c>
      <c r="AD179" s="45">
        <f t="shared" si="10"/>
        <v>3.2099999999999795E-2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30.7776</v>
      </c>
      <c r="F180" s="46">
        <v>38.097000000000001</v>
      </c>
      <c r="G180" s="70"/>
      <c r="H180" s="70"/>
      <c r="I180" s="66"/>
      <c r="J180" s="66"/>
      <c r="K180" s="67"/>
      <c r="L180" s="29"/>
      <c r="M180" s="46">
        <v>30.575199999999999</v>
      </c>
      <c r="N180" s="46">
        <v>38.071800000000003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0.2024000000000008</v>
      </c>
      <c r="AD180" s="46">
        <f t="shared" si="10"/>
        <v>2.5199999999998113E-2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12.468</v>
      </c>
      <c r="F181" s="46">
        <v>34.347000000000001</v>
      </c>
      <c r="G181" s="70"/>
      <c r="H181" s="70"/>
      <c r="I181" s="66"/>
      <c r="J181" s="66"/>
      <c r="K181" s="67"/>
      <c r="L181" s="29"/>
      <c r="M181" s="46">
        <v>12.44</v>
      </c>
      <c r="N181" s="46">
        <v>34.4405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2.8000000000000469E-2</v>
      </c>
      <c r="AD181" s="46">
        <f t="shared" si="10"/>
        <v>-9.3499999999998806E-2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6.0648</v>
      </c>
      <c r="F182" s="46">
        <v>30.8688</v>
      </c>
      <c r="G182" s="70"/>
      <c r="H182" s="70"/>
      <c r="I182" s="66"/>
      <c r="J182" s="66"/>
      <c r="K182" s="67"/>
      <c r="L182" s="29"/>
      <c r="M182" s="46">
        <v>6.0839999999999996</v>
      </c>
      <c r="N182" s="46">
        <v>30.969200000000001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-1.9199999999999662E-2</v>
      </c>
      <c r="AD182" s="46">
        <f t="shared" si="10"/>
        <v>-0.10040000000000049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39.851399999999998</v>
      </c>
      <c r="G183" s="45">
        <v>46.51</v>
      </c>
      <c r="H183" s="45">
        <v>46.487099999999998</v>
      </c>
      <c r="I183" s="79"/>
      <c r="J183" s="79"/>
      <c r="K183" s="80"/>
      <c r="L183" s="29"/>
      <c r="M183" s="78"/>
      <c r="N183" s="45">
        <v>39.851199999999999</v>
      </c>
      <c r="O183" s="45">
        <v>46.5122</v>
      </c>
      <c r="P183" s="45">
        <v>46.484000000000002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1.9999999999953388E-4</v>
      </c>
      <c r="AE183" s="45">
        <f t="shared" si="10"/>
        <v>-2.2000000000019782E-3</v>
      </c>
      <c r="AF183" s="45">
        <f t="shared" si="10"/>
        <v>3.0999999999963279E-3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37.591900000000003</v>
      </c>
      <c r="G184" s="46">
        <v>44.744100000000003</v>
      </c>
      <c r="H184" s="46">
        <v>45.069800000000001</v>
      </c>
      <c r="I184" s="66"/>
      <c r="J184" s="66"/>
      <c r="K184" s="67"/>
      <c r="L184" s="29"/>
      <c r="M184" s="70"/>
      <c r="N184" s="46">
        <v>37.591099999999997</v>
      </c>
      <c r="O184" s="46">
        <v>44.745699999999999</v>
      </c>
      <c r="P184" s="46">
        <v>45.0244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8.0000000000524096E-4</v>
      </c>
      <c r="AE184" s="46">
        <f t="shared" si="10"/>
        <v>-1.5999999999962711E-3</v>
      </c>
      <c r="AF184" s="46">
        <f t="shared" si="10"/>
        <v>4.5400000000000773E-2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35.506500000000003</v>
      </c>
      <c r="G185" s="46">
        <v>42.775300000000001</v>
      </c>
      <c r="H185" s="46">
        <v>43.383200000000002</v>
      </c>
      <c r="I185" s="66"/>
      <c r="J185" s="66"/>
      <c r="K185" s="67"/>
      <c r="L185" s="29"/>
      <c r="M185" s="70"/>
      <c r="N185" s="46">
        <v>35.503300000000003</v>
      </c>
      <c r="O185" s="46">
        <v>42.784199999999998</v>
      </c>
      <c r="P185" s="46">
        <v>43.370100000000001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3.1999999999996476E-3</v>
      </c>
      <c r="AE185" s="46">
        <f t="shared" si="10"/>
        <v>-8.8999999999970214E-3</v>
      </c>
      <c r="AF185" s="46">
        <f t="shared" si="10"/>
        <v>1.3100000000001444E-2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33.413400000000003</v>
      </c>
      <c r="G186" s="72">
        <v>41.388300000000001</v>
      </c>
      <c r="H186" s="72">
        <v>42.095100000000002</v>
      </c>
      <c r="I186" s="68"/>
      <c r="J186" s="68"/>
      <c r="K186" s="69"/>
      <c r="L186" s="29"/>
      <c r="M186" s="81"/>
      <c r="N186" s="72">
        <v>33.411900000000003</v>
      </c>
      <c r="O186" s="72">
        <v>41.403500000000001</v>
      </c>
      <c r="P186" s="72">
        <v>42.098199999999999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1.5000000000000568E-3</v>
      </c>
      <c r="AE186" s="72">
        <f t="shared" si="10"/>
        <v>-1.5200000000000102E-2</v>
      </c>
      <c r="AF186" s="72">
        <f t="shared" si="10"/>
        <v>-3.0999999999963279E-3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40.029600000000002</v>
      </c>
      <c r="G187" s="45">
        <v>46.309600000000003</v>
      </c>
      <c r="H187" s="45">
        <v>46.7637</v>
      </c>
      <c r="I187" s="66"/>
      <c r="J187" s="66"/>
      <c r="K187" s="67"/>
      <c r="L187" s="29"/>
      <c r="M187" s="70"/>
      <c r="N187" s="45">
        <v>40.031100000000002</v>
      </c>
      <c r="O187" s="45">
        <v>46.3155</v>
      </c>
      <c r="P187" s="45">
        <v>46.765300000000003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-1.5000000000000568E-3</v>
      </c>
      <c r="AE187" s="45">
        <f t="shared" si="10"/>
        <v>-5.8999999999969077E-3</v>
      </c>
      <c r="AF187" s="45">
        <f t="shared" si="10"/>
        <v>-1.6000000000033765E-3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37.744900000000001</v>
      </c>
      <c r="G188" s="46">
        <v>44.664900000000003</v>
      </c>
      <c r="H188" s="46">
        <v>45.209800000000001</v>
      </c>
      <c r="I188" s="66"/>
      <c r="J188" s="66"/>
      <c r="K188" s="67"/>
      <c r="L188" s="29"/>
      <c r="M188" s="70"/>
      <c r="N188" s="46">
        <v>37.743099999999998</v>
      </c>
      <c r="O188" s="46">
        <v>44.666899999999998</v>
      </c>
      <c r="P188" s="46">
        <v>45.193800000000003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1.8000000000029104E-3</v>
      </c>
      <c r="AE188" s="46">
        <f t="shared" si="10"/>
        <v>-1.9999999999953388E-3</v>
      </c>
      <c r="AF188" s="46">
        <f t="shared" si="10"/>
        <v>1.5999999999998238E-2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35.610399999999998</v>
      </c>
      <c r="G189" s="46">
        <v>42.804499999999997</v>
      </c>
      <c r="H189" s="46">
        <v>43.440600000000003</v>
      </c>
      <c r="I189" s="66"/>
      <c r="J189" s="66"/>
      <c r="K189" s="67"/>
      <c r="L189" s="29"/>
      <c r="M189" s="70"/>
      <c r="N189" s="46">
        <v>35.607399999999998</v>
      </c>
      <c r="O189" s="46">
        <v>42.816499999999998</v>
      </c>
      <c r="P189" s="46">
        <v>43.4373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3.0000000000001137E-3</v>
      </c>
      <c r="AE189" s="46">
        <f t="shared" si="10"/>
        <v>-1.2000000000000455E-2</v>
      </c>
      <c r="AF189" s="46">
        <f t="shared" si="10"/>
        <v>3.3000000000029672E-3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33.482900000000001</v>
      </c>
      <c r="G190" s="72">
        <v>41.4908</v>
      </c>
      <c r="H190" s="72">
        <v>42.156799999999997</v>
      </c>
      <c r="I190" s="68"/>
      <c r="J190" s="68"/>
      <c r="K190" s="69"/>
      <c r="L190" s="29"/>
      <c r="M190" s="81"/>
      <c r="N190" s="46">
        <v>33.480800000000002</v>
      </c>
      <c r="O190" s="72">
        <v>41.494799999999998</v>
      </c>
      <c r="P190" s="72">
        <v>42.170099999999998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2.0999999999986585E-3</v>
      </c>
      <c r="AE190" s="46">
        <f t="shared" si="10"/>
        <v>-3.9999999999977831E-3</v>
      </c>
      <c r="AF190" s="46">
        <f t="shared" si="10"/>
        <v>-1.3300000000000978E-2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40.282800000000002</v>
      </c>
      <c r="G191" s="45">
        <v>46.961300000000001</v>
      </c>
      <c r="H191" s="45">
        <v>47.7958</v>
      </c>
      <c r="I191" s="66"/>
      <c r="J191" s="66"/>
      <c r="K191" s="67"/>
      <c r="L191" s="29"/>
      <c r="M191" s="70"/>
      <c r="N191" s="45">
        <v>40.285899999999998</v>
      </c>
      <c r="O191" s="45">
        <v>46.962000000000003</v>
      </c>
      <c r="P191" s="45">
        <v>47.795299999999997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-3.0999999999963279E-3</v>
      </c>
      <c r="AE191" s="45">
        <f t="shared" si="10"/>
        <v>-7.0000000000192131E-4</v>
      </c>
      <c r="AF191" s="45">
        <f t="shared" si="10"/>
        <v>5.0000000000238742E-4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37.874699999999997</v>
      </c>
      <c r="G192" s="46">
        <v>45.049300000000002</v>
      </c>
      <c r="H192" s="46">
        <v>45.866900000000001</v>
      </c>
      <c r="I192" s="66"/>
      <c r="J192" s="66"/>
      <c r="K192" s="67"/>
      <c r="L192" s="29"/>
      <c r="M192" s="70"/>
      <c r="N192" s="46">
        <v>37.874000000000002</v>
      </c>
      <c r="O192" s="46">
        <v>45.049300000000002</v>
      </c>
      <c r="P192" s="46">
        <v>45.866100000000003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6.9999999999481588E-4</v>
      </c>
      <c r="AE192" s="46">
        <f t="shared" si="10"/>
        <v>0</v>
      </c>
      <c r="AF192" s="46">
        <f t="shared" si="10"/>
        <v>7.9999999999813554E-4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35.677900000000001</v>
      </c>
      <c r="G193" s="46">
        <v>43.0383</v>
      </c>
      <c r="H193" s="46">
        <v>43.828600000000002</v>
      </c>
      <c r="I193" s="66"/>
      <c r="J193" s="66"/>
      <c r="K193" s="67"/>
      <c r="L193" s="29"/>
      <c r="M193" s="70"/>
      <c r="N193" s="46">
        <v>35.674900000000001</v>
      </c>
      <c r="O193" s="46">
        <v>43.036099999999998</v>
      </c>
      <c r="P193" s="46">
        <v>43.827199999999998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3.0000000000001137E-3</v>
      </c>
      <c r="AE193" s="46">
        <f t="shared" si="10"/>
        <v>2.2000000000019782E-3</v>
      </c>
      <c r="AF193" s="46">
        <f t="shared" si="10"/>
        <v>1.4000000000038426E-3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33.515799999999999</v>
      </c>
      <c r="G194" s="72">
        <v>41.657400000000003</v>
      </c>
      <c r="H194" s="72">
        <v>42.438499999999998</v>
      </c>
      <c r="I194" s="68"/>
      <c r="J194" s="68"/>
      <c r="K194" s="69"/>
      <c r="L194" s="29"/>
      <c r="M194" s="81"/>
      <c r="N194" s="46">
        <v>33.513800000000003</v>
      </c>
      <c r="O194" s="72">
        <v>41.656599999999997</v>
      </c>
      <c r="P194" s="72">
        <v>42.438400000000001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1.9999999999953388E-3</v>
      </c>
      <c r="AE194" s="46">
        <f t="shared" si="10"/>
        <v>8.0000000000524096E-4</v>
      </c>
      <c r="AF194" s="46">
        <f t="shared" si="10"/>
        <v>9.9999999996214228E-5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40.261699999999998</v>
      </c>
      <c r="G195" s="45">
        <v>46.9617</v>
      </c>
      <c r="H195" s="45">
        <v>47.7864</v>
      </c>
      <c r="I195" s="66"/>
      <c r="J195" s="66"/>
      <c r="K195" s="67"/>
      <c r="L195" s="29"/>
      <c r="M195" s="70"/>
      <c r="N195" s="45">
        <v>40.260899999999999</v>
      </c>
      <c r="O195" s="45">
        <v>46.961300000000001</v>
      </c>
      <c r="P195" s="45">
        <v>47.786200000000001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7.9999999999813554E-4</v>
      </c>
      <c r="AE195" s="45">
        <f t="shared" si="10"/>
        <v>3.9999999999906777E-4</v>
      </c>
      <c r="AF195" s="45">
        <f t="shared" si="10"/>
        <v>1.9999999999953388E-4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37.858600000000003</v>
      </c>
      <c r="G196" s="46">
        <v>45.048299999999998</v>
      </c>
      <c r="H196" s="46">
        <v>45.851700000000001</v>
      </c>
      <c r="I196" s="66"/>
      <c r="J196" s="66"/>
      <c r="K196" s="67"/>
      <c r="L196" s="29"/>
      <c r="M196" s="70"/>
      <c r="N196" s="46">
        <v>37.859000000000002</v>
      </c>
      <c r="O196" s="46">
        <v>45.049399999999999</v>
      </c>
      <c r="P196" s="46">
        <v>45.852699999999999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-3.9999999999906777E-4</v>
      </c>
      <c r="AE196" s="46">
        <f t="shared" si="10"/>
        <v>-1.1000000000009891E-3</v>
      </c>
      <c r="AF196" s="46">
        <f t="shared" si="10"/>
        <v>-9.9999999999766942E-4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35.668300000000002</v>
      </c>
      <c r="G197" s="46">
        <v>43.031100000000002</v>
      </c>
      <c r="H197" s="46">
        <v>43.813899999999997</v>
      </c>
      <c r="I197" s="66"/>
      <c r="J197" s="66"/>
      <c r="K197" s="67"/>
      <c r="L197" s="29"/>
      <c r="M197" s="70"/>
      <c r="N197" s="46">
        <v>35.667099999999998</v>
      </c>
      <c r="O197" s="46">
        <v>43.030799999999999</v>
      </c>
      <c r="P197" s="46">
        <v>43.812100000000001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1.2000000000043087E-3</v>
      </c>
      <c r="AE197" s="46">
        <f t="shared" si="10"/>
        <v>3.0000000000285354E-4</v>
      </c>
      <c r="AF197" s="46">
        <f t="shared" si="10"/>
        <v>1.799999999995805E-3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33.51</v>
      </c>
      <c r="G198" s="72">
        <v>41.651200000000003</v>
      </c>
      <c r="H198" s="72">
        <v>42.419699999999999</v>
      </c>
      <c r="I198" s="68"/>
      <c r="J198" s="68"/>
      <c r="K198" s="69"/>
      <c r="L198" s="29"/>
      <c r="M198" s="81"/>
      <c r="N198" s="46">
        <v>33.5092</v>
      </c>
      <c r="O198" s="72">
        <v>41.651499999999999</v>
      </c>
      <c r="P198" s="72">
        <v>42.420200000000001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7.9999999999813554E-4</v>
      </c>
      <c r="AE198" s="46">
        <f t="shared" si="10"/>
        <v>-2.9999999999574811E-4</v>
      </c>
      <c r="AF198" s="46">
        <f t="shared" si="10"/>
        <v>-5.0000000000238742E-4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40.0441</v>
      </c>
      <c r="G199" s="45">
        <v>46.275700000000001</v>
      </c>
      <c r="H199" s="45">
        <v>46.997700000000002</v>
      </c>
      <c r="I199" s="66"/>
      <c r="J199" s="66"/>
      <c r="K199" s="67"/>
      <c r="L199" s="29"/>
      <c r="M199" s="70"/>
      <c r="N199" s="45">
        <v>40.040599999999998</v>
      </c>
      <c r="O199" s="45">
        <v>46.277200000000001</v>
      </c>
      <c r="P199" s="45">
        <v>47.014400000000002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3.5000000000025011E-3</v>
      </c>
      <c r="AE199" s="45">
        <f t="shared" si="10"/>
        <v>-1.5000000000000568E-3</v>
      </c>
      <c r="AF199" s="45">
        <f t="shared" si="10"/>
        <v>-1.6700000000000159E-2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37.719499999999996</v>
      </c>
      <c r="G200" s="46">
        <v>44.632899999999999</v>
      </c>
      <c r="H200" s="46">
        <v>45.306699999999999</v>
      </c>
      <c r="I200" s="66"/>
      <c r="J200" s="66"/>
      <c r="K200" s="67"/>
      <c r="L200" s="29"/>
      <c r="M200" s="70"/>
      <c r="N200" s="46">
        <v>37.726199999999999</v>
      </c>
      <c r="O200" s="46">
        <v>44.642499999999998</v>
      </c>
      <c r="P200" s="46">
        <v>45.310699999999997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-6.7000000000021487E-3</v>
      </c>
      <c r="AE200" s="46">
        <f t="shared" si="10"/>
        <v>-9.5999999999989427E-3</v>
      </c>
      <c r="AF200" s="46">
        <f t="shared" si="10"/>
        <v>-3.9999999999977831E-3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35.588900000000002</v>
      </c>
      <c r="G201" s="46">
        <v>42.765900000000002</v>
      </c>
      <c r="H201" s="46">
        <v>43.465299999999999</v>
      </c>
      <c r="I201" s="66"/>
      <c r="J201" s="66"/>
      <c r="K201" s="67"/>
      <c r="L201" s="29"/>
      <c r="M201" s="70"/>
      <c r="N201" s="46">
        <v>35.588799999999999</v>
      </c>
      <c r="O201" s="46">
        <v>42.772100000000002</v>
      </c>
      <c r="P201" s="46">
        <v>43.451000000000001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1.0000000000331966E-4</v>
      </c>
      <c r="AE201" s="46">
        <f t="shared" si="10"/>
        <v>-6.1999999999997613E-3</v>
      </c>
      <c r="AF201" s="46">
        <f t="shared" si="10"/>
        <v>1.4299999999998647E-2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33.456499999999998</v>
      </c>
      <c r="G202" s="72">
        <v>41.442799999999998</v>
      </c>
      <c r="H202" s="72">
        <v>42.133000000000003</v>
      </c>
      <c r="I202" s="68"/>
      <c r="J202" s="68"/>
      <c r="K202" s="69"/>
      <c r="L202" s="29"/>
      <c r="M202" s="81"/>
      <c r="N202" s="72">
        <v>33.455800000000004</v>
      </c>
      <c r="O202" s="72">
        <v>41.449100000000001</v>
      </c>
      <c r="P202" s="72">
        <v>42.1417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6.9999999999481588E-4</v>
      </c>
      <c r="AE202" s="72">
        <f t="shared" si="10"/>
        <v>-6.3000000000030809E-3</v>
      </c>
      <c r="AF202" s="72">
        <f t="shared" si="10"/>
        <v>-8.6999999999974875E-3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39.844900000000003</v>
      </c>
      <c r="G203" s="45">
        <v>46.333100000000002</v>
      </c>
      <c r="H203" s="45">
        <v>46.567999999999998</v>
      </c>
      <c r="I203" s="66"/>
      <c r="J203" s="66"/>
      <c r="K203" s="67"/>
      <c r="L203" s="29"/>
      <c r="M203" s="70"/>
      <c r="N203" s="45">
        <v>39.835599999999999</v>
      </c>
      <c r="O203" s="45">
        <v>46.335900000000002</v>
      </c>
      <c r="P203" s="45">
        <v>46.590299999999999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9.3000000000031946E-3</v>
      </c>
      <c r="AE203" s="45">
        <f t="shared" si="10"/>
        <v>-2.8000000000005798E-3</v>
      </c>
      <c r="AF203" s="45">
        <f t="shared" si="10"/>
        <v>-2.2300000000001319E-2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37.5471</v>
      </c>
      <c r="G204" s="46">
        <v>44.601900000000001</v>
      </c>
      <c r="H204" s="46">
        <v>45.093499999999999</v>
      </c>
      <c r="I204" s="66"/>
      <c r="J204" s="66"/>
      <c r="K204" s="67"/>
      <c r="L204" s="29"/>
      <c r="M204" s="70"/>
      <c r="N204" s="46">
        <v>37.555700000000002</v>
      </c>
      <c r="O204" s="46">
        <v>44.619599999999998</v>
      </c>
      <c r="P204" s="46">
        <v>45.070099999999996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-8.6000000000012733E-3</v>
      </c>
      <c r="AE204" s="46">
        <f t="shared" si="10"/>
        <v>-1.7699999999997829E-2</v>
      </c>
      <c r="AF204" s="46">
        <f t="shared" si="10"/>
        <v>2.3400000000002308E-2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35.460700000000003</v>
      </c>
      <c r="G205" s="46">
        <v>42.684800000000003</v>
      </c>
      <c r="H205" s="46">
        <v>43.261499999999998</v>
      </c>
      <c r="I205" s="66"/>
      <c r="J205" s="66"/>
      <c r="K205" s="67"/>
      <c r="L205" s="29"/>
      <c r="M205" s="70"/>
      <c r="N205" s="46">
        <v>35.457999999999998</v>
      </c>
      <c r="O205" s="46">
        <v>42.694200000000002</v>
      </c>
      <c r="P205" s="46">
        <v>43.2682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2.7000000000043656E-3</v>
      </c>
      <c r="AE205" s="46">
        <f t="shared" si="10"/>
        <v>-9.3999999999994088E-3</v>
      </c>
      <c r="AF205" s="46">
        <f t="shared" si="10"/>
        <v>-6.7000000000021487E-3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33.361899999999999</v>
      </c>
      <c r="G206" s="72">
        <v>41.343800000000002</v>
      </c>
      <c r="H206" s="72">
        <v>41.9848</v>
      </c>
      <c r="I206" s="68"/>
      <c r="J206" s="68"/>
      <c r="K206" s="69"/>
      <c r="L206" s="29"/>
      <c r="M206" s="81"/>
      <c r="N206" s="72">
        <v>33.3581</v>
      </c>
      <c r="O206" s="72">
        <v>41.347299999999997</v>
      </c>
      <c r="P206" s="72">
        <v>42.001100000000001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3.7999999999982492E-3</v>
      </c>
      <c r="AE206" s="72">
        <f t="shared" si="10"/>
        <v>-3.4999999999953957E-3</v>
      </c>
      <c r="AF206" s="72">
        <f t="shared" si="10"/>
        <v>-1.6300000000001091E-2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5276.6736000000001</v>
      </c>
      <c r="F207" s="70"/>
      <c r="G207" s="70"/>
      <c r="H207" s="70"/>
      <c r="I207" s="45">
        <v>60465.27</v>
      </c>
      <c r="J207" s="45">
        <v>100.97</v>
      </c>
      <c r="K207" s="45">
        <v>725.67</v>
      </c>
      <c r="L207" s="29"/>
      <c r="M207" s="45">
        <v>5276.5216</v>
      </c>
      <c r="N207" s="70"/>
      <c r="O207" s="70"/>
      <c r="P207" s="70"/>
      <c r="Q207" s="45">
        <v>60346.78</v>
      </c>
      <c r="R207" s="45">
        <v>100.97</v>
      </c>
      <c r="S207" s="45">
        <v>727.56</v>
      </c>
      <c r="U207" s="8"/>
      <c r="V207" s="9"/>
      <c r="W207" s="10"/>
      <c r="X207" s="29"/>
      <c r="Y207" s="61">
        <f>GEOMEAN(Q207:Q210)/GEOMEAN(I207:I210)</f>
        <v>0.99425431192098634</v>
      </c>
      <c r="Z207" s="61">
        <f>GEOMEAN(R207:R210)/GEOMEAN(J207:J210)</f>
        <v>0.99527359103488944</v>
      </c>
      <c r="AA207" s="57">
        <f>GEOMEAN(S207:S210)/GEOMEAN(K207:K210)</f>
        <v>1.0053021795277155</v>
      </c>
      <c r="AC207" s="45">
        <f>E207 -M207</f>
        <v>0.15200000000004366</v>
      </c>
      <c r="AD207" s="70"/>
      <c r="AE207" s="70"/>
      <c r="AF207" s="70"/>
      <c r="AG207" s="45">
        <f t="shared" ref="AG207:AI210" si="12">I207 -Q207</f>
        <v>118.48999999999796</v>
      </c>
      <c r="AH207" s="45">
        <f t="shared" si="12"/>
        <v>0</v>
      </c>
      <c r="AI207" s="45">
        <f t="shared" si="12"/>
        <v>-1.8899999999999864</v>
      </c>
    </row>
    <row r="208" spans="2:35" ht="12">
      <c r="B208" s="36"/>
      <c r="C208" s="29"/>
      <c r="D208" s="32">
        <v>30</v>
      </c>
      <c r="E208" s="46">
        <v>2153.308</v>
      </c>
      <c r="F208" s="70"/>
      <c r="G208" s="70"/>
      <c r="H208" s="70"/>
      <c r="I208" s="46">
        <v>43874.69</v>
      </c>
      <c r="J208" s="46">
        <v>90.4</v>
      </c>
      <c r="K208" s="46">
        <v>724.44</v>
      </c>
      <c r="L208" s="29"/>
      <c r="M208" s="46">
        <v>2152.94</v>
      </c>
      <c r="N208" s="70"/>
      <c r="O208" s="70"/>
      <c r="P208" s="70"/>
      <c r="Q208" s="46">
        <v>43804.19</v>
      </c>
      <c r="R208" s="46">
        <v>90.37</v>
      </c>
      <c r="S208" s="46">
        <v>728.16</v>
      </c>
      <c r="U208" s="41"/>
      <c r="V208" s="42"/>
      <c r="W208" s="43"/>
      <c r="X208" s="29"/>
      <c r="Y208" s="24"/>
      <c r="Z208" s="24"/>
      <c r="AA208" s="27"/>
      <c r="AC208" s="46">
        <f>E208 -M208</f>
        <v>0.36799999999993815</v>
      </c>
      <c r="AD208" s="70"/>
      <c r="AE208" s="70"/>
      <c r="AF208" s="70"/>
      <c r="AG208" s="46">
        <f t="shared" si="12"/>
        <v>70.5</v>
      </c>
      <c r="AH208" s="46">
        <f t="shared" si="12"/>
        <v>3.0000000000001137E-2</v>
      </c>
      <c r="AI208" s="46">
        <f t="shared" si="12"/>
        <v>-3.7199999999999136</v>
      </c>
    </row>
    <row r="209" spans="1:35" ht="12">
      <c r="B209" s="36"/>
      <c r="C209" s="29"/>
      <c r="D209" s="32">
        <v>35</v>
      </c>
      <c r="E209" s="46">
        <v>975.76959999999997</v>
      </c>
      <c r="F209" s="70"/>
      <c r="G209" s="70"/>
      <c r="H209" s="70"/>
      <c r="I209" s="46">
        <v>35517.24</v>
      </c>
      <c r="J209" s="46">
        <v>88.63</v>
      </c>
      <c r="K209" s="46">
        <v>726.92</v>
      </c>
      <c r="L209" s="29"/>
      <c r="M209" s="46">
        <v>975.58799999999997</v>
      </c>
      <c r="N209" s="70"/>
      <c r="O209" s="70"/>
      <c r="P209" s="70"/>
      <c r="Q209" s="46">
        <v>35307.360000000001</v>
      </c>
      <c r="R209" s="46">
        <v>85.72</v>
      </c>
      <c r="S209" s="46">
        <v>728.24</v>
      </c>
      <c r="U209" s="17"/>
      <c r="V209" s="18"/>
      <c r="W209" s="19"/>
      <c r="X209" s="29"/>
      <c r="Y209" s="24"/>
      <c r="Z209" s="24"/>
      <c r="AA209" s="27"/>
      <c r="AC209" s="46">
        <f>E209 -M209</f>
        <v>0.18160000000000309</v>
      </c>
      <c r="AD209" s="70"/>
      <c r="AE209" s="70"/>
      <c r="AF209" s="70"/>
      <c r="AG209" s="46">
        <f t="shared" si="12"/>
        <v>209.87999999999738</v>
      </c>
      <c r="AH209" s="46">
        <f t="shared" si="12"/>
        <v>2.9099999999999966</v>
      </c>
      <c r="AI209" s="46">
        <f t="shared" si="12"/>
        <v>-1.32000000000005</v>
      </c>
    </row>
    <row r="210" spans="1:35" ht="12.75" thickBot="1">
      <c r="B210" s="52"/>
      <c r="C210" s="53"/>
      <c r="D210" s="71">
        <v>40</v>
      </c>
      <c r="E210" s="72">
        <v>468.59679999999997</v>
      </c>
      <c r="F210" s="81"/>
      <c r="G210" s="81"/>
      <c r="H210" s="81"/>
      <c r="I210" s="72">
        <v>30215.13</v>
      </c>
      <c r="J210" s="72">
        <v>83.36</v>
      </c>
      <c r="K210" s="72">
        <v>723.26</v>
      </c>
      <c r="L210" s="29"/>
      <c r="M210" s="72">
        <v>468.3168</v>
      </c>
      <c r="N210" s="81"/>
      <c r="O210" s="81"/>
      <c r="P210" s="81"/>
      <c r="Q210" s="72">
        <v>29808.400000000001</v>
      </c>
      <c r="R210" s="72">
        <v>84.6</v>
      </c>
      <c r="S210" s="72">
        <v>731.71</v>
      </c>
      <c r="U210" s="85"/>
      <c r="V210" s="86"/>
      <c r="W210" s="87"/>
      <c r="X210" s="29"/>
      <c r="Y210" s="49"/>
      <c r="Z210" s="49"/>
      <c r="AA210" s="54"/>
      <c r="AC210" s="72">
        <f>E210 -M210</f>
        <v>0.27999999999997272</v>
      </c>
      <c r="AD210" s="81"/>
      <c r="AE210" s="81"/>
      <c r="AF210" s="81"/>
      <c r="AG210" s="72">
        <f t="shared" si="12"/>
        <v>406.72999999999956</v>
      </c>
      <c r="AH210" s="72">
        <f t="shared" si="12"/>
        <v>-1.2399999999999949</v>
      </c>
      <c r="AI210" s="72">
        <f t="shared" si="12"/>
        <v>-8.4500000000000455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809.72</v>
      </c>
      <c r="F211" s="45">
        <v>42.115600000000001</v>
      </c>
      <c r="G211" s="45">
        <v>48.426699999999997</v>
      </c>
      <c r="H211" s="45">
        <v>48.135399999999997</v>
      </c>
      <c r="I211" s="79"/>
      <c r="J211" s="79"/>
      <c r="K211" s="80"/>
      <c r="L211" s="29"/>
      <c r="M211" s="45">
        <v>809.72</v>
      </c>
      <c r="N211" s="45">
        <v>42.115600000000001</v>
      </c>
      <c r="O211" s="45">
        <v>48.426699999999997</v>
      </c>
      <c r="P211" s="45">
        <v>48.135399999999997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345.29300000000001</v>
      </c>
      <c r="F212" s="46">
        <v>41.150300000000001</v>
      </c>
      <c r="G212" s="46">
        <v>47.470199999999998</v>
      </c>
      <c r="H212" s="46">
        <v>47.2913</v>
      </c>
      <c r="I212" s="66"/>
      <c r="J212" s="66"/>
      <c r="K212" s="67"/>
      <c r="L212" s="29"/>
      <c r="M212" s="46">
        <v>345.29300000000001</v>
      </c>
      <c r="N212" s="46">
        <v>41.150300000000001</v>
      </c>
      <c r="O212" s="46">
        <v>47.470199999999998</v>
      </c>
      <c r="P212" s="46">
        <v>47.2913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177.04900000000001</v>
      </c>
      <c r="F213" s="46">
        <v>39.7547</v>
      </c>
      <c r="G213" s="46">
        <v>46.049300000000002</v>
      </c>
      <c r="H213" s="46">
        <v>45.935699999999997</v>
      </c>
      <c r="I213" s="66"/>
      <c r="J213" s="66"/>
      <c r="K213" s="67"/>
      <c r="L213" s="29"/>
      <c r="M213" s="46">
        <v>177.04900000000001</v>
      </c>
      <c r="N213" s="46">
        <v>39.7547</v>
      </c>
      <c r="O213" s="46">
        <v>46.049300000000002</v>
      </c>
      <c r="P213" s="46">
        <v>45.935699999999997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98.628</v>
      </c>
      <c r="F214" s="46">
        <v>38.012099999999997</v>
      </c>
      <c r="G214" s="46">
        <v>44.870800000000003</v>
      </c>
      <c r="H214" s="46">
        <v>44.774999999999999</v>
      </c>
      <c r="I214" s="66"/>
      <c r="J214" s="66"/>
      <c r="K214" s="67"/>
      <c r="L214" s="29"/>
      <c r="M214" s="46">
        <v>98.628</v>
      </c>
      <c r="N214" s="46">
        <v>38.012099999999997</v>
      </c>
      <c r="O214" s="46">
        <v>44.870800000000003</v>
      </c>
      <c r="P214" s="46">
        <v>44.774999999999999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249.149</v>
      </c>
      <c r="F215" s="45">
        <v>41.8322</v>
      </c>
      <c r="G215" s="45">
        <v>48.1755</v>
      </c>
      <c r="H215" s="45">
        <v>47.508600000000001</v>
      </c>
      <c r="I215" s="79"/>
      <c r="J215" s="79"/>
      <c r="K215" s="80"/>
      <c r="L215" s="29"/>
      <c r="M215" s="45">
        <v>249.48099999999999</v>
      </c>
      <c r="N215" s="45">
        <v>41.830500000000001</v>
      </c>
      <c r="O215" s="45">
        <v>48.182200000000002</v>
      </c>
      <c r="P215" s="45">
        <v>47.509700000000002</v>
      </c>
      <c r="Q215" s="79"/>
      <c r="R215" s="79"/>
      <c r="S215" s="80"/>
      <c r="U215" s="8">
        <f>bdrate($E215:$E218,F215:F218,$M215:$M218,N215:N218)</f>
        <v>1.2007353077450045E-3</v>
      </c>
      <c r="V215" s="9">
        <f>bdrate($E215:$E218,G215:G218,$M215:$M218,O215:O218)</f>
        <v>2.210476814058282E-3</v>
      </c>
      <c r="W215" s="10">
        <f>bdrate($E215:$E218,H215:H218,$M215:$M218,P215:P218)</f>
        <v>-2.5743591740403637E-3</v>
      </c>
      <c r="X215" s="29"/>
      <c r="Y215" s="24"/>
      <c r="Z215" s="24"/>
      <c r="AA215" s="27"/>
      <c r="AC215" s="45">
        <f t="shared" si="14"/>
        <v>-0.33199999999999363</v>
      </c>
      <c r="AD215" s="45">
        <f t="shared" si="13"/>
        <v>1.6999999999995907E-3</v>
      </c>
      <c r="AE215" s="45">
        <f t="shared" si="13"/>
        <v>-6.7000000000021487E-3</v>
      </c>
      <c r="AF215" s="45">
        <f t="shared" si="13"/>
        <v>-1.1000000000009891E-3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96.022000000000006</v>
      </c>
      <c r="F216" s="46">
        <v>40.832799999999999</v>
      </c>
      <c r="G216" s="46">
        <v>47.075099999999999</v>
      </c>
      <c r="H216" s="46">
        <v>46.574199999999998</v>
      </c>
      <c r="I216" s="66"/>
      <c r="J216" s="66"/>
      <c r="K216" s="67"/>
      <c r="L216" s="29"/>
      <c r="M216" s="46">
        <v>96.007999999999996</v>
      </c>
      <c r="N216" s="46">
        <v>40.835099999999997</v>
      </c>
      <c r="O216" s="46">
        <v>47.067799999999998</v>
      </c>
      <c r="P216" s="46">
        <v>46.582999999999998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1.4000000000010004E-2</v>
      </c>
      <c r="AD216" s="46">
        <f t="shared" si="13"/>
        <v>-2.2999999999981924E-3</v>
      </c>
      <c r="AE216" s="46">
        <f t="shared" si="13"/>
        <v>7.3000000000007503E-3</v>
      </c>
      <c r="AF216" s="46">
        <f t="shared" si="13"/>
        <v>-8.8000000000008072E-3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47.793999999999997</v>
      </c>
      <c r="F217" s="46">
        <v>39.410899999999998</v>
      </c>
      <c r="G217" s="46">
        <v>45.8934</v>
      </c>
      <c r="H217" s="46">
        <v>45.5379</v>
      </c>
      <c r="I217" s="66"/>
      <c r="J217" s="66"/>
      <c r="K217" s="67"/>
      <c r="L217" s="29"/>
      <c r="M217" s="46">
        <v>47.743000000000002</v>
      </c>
      <c r="N217" s="46">
        <v>39.408299999999997</v>
      </c>
      <c r="O217" s="46">
        <v>45.893900000000002</v>
      </c>
      <c r="P217" s="46">
        <v>45.542400000000001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5.0999999999994827E-2</v>
      </c>
      <c r="AD217" s="46">
        <f t="shared" si="13"/>
        <v>2.6000000000010459E-3</v>
      </c>
      <c r="AE217" s="46">
        <f t="shared" si="13"/>
        <v>-5.0000000000238742E-4</v>
      </c>
      <c r="AF217" s="46">
        <f t="shared" si="13"/>
        <v>-4.5000000000001705E-3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25.289000000000001</v>
      </c>
      <c r="F218" s="46">
        <v>37.631100000000004</v>
      </c>
      <c r="G218" s="46">
        <v>44.816800000000001</v>
      </c>
      <c r="H218" s="46">
        <v>44.488799999999998</v>
      </c>
      <c r="I218" s="66"/>
      <c r="J218" s="66"/>
      <c r="K218" s="67"/>
      <c r="L218" s="29"/>
      <c r="M218" s="46">
        <v>25.530999999999999</v>
      </c>
      <c r="N218" s="46">
        <v>37.634399999999999</v>
      </c>
      <c r="O218" s="46">
        <v>44.811799999999998</v>
      </c>
      <c r="P218" s="46">
        <v>44.483699999999999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-0.24199999999999733</v>
      </c>
      <c r="AD218" s="46">
        <f t="shared" si="13"/>
        <v>-3.2999999999958618E-3</v>
      </c>
      <c r="AE218" s="46">
        <f t="shared" si="13"/>
        <v>5.000000000002558E-3</v>
      </c>
      <c r="AF218" s="46">
        <f t="shared" si="13"/>
        <v>5.0999999999987722E-3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259.52600000000001</v>
      </c>
      <c r="F219" s="45">
        <v>41.686199999999999</v>
      </c>
      <c r="G219" s="45">
        <v>47.247300000000003</v>
      </c>
      <c r="H219" s="45">
        <v>46.665999999999997</v>
      </c>
      <c r="I219" s="79"/>
      <c r="J219" s="79"/>
      <c r="K219" s="80"/>
      <c r="L219" s="29"/>
      <c r="M219" s="45">
        <v>259.96800000000002</v>
      </c>
      <c r="N219" s="45">
        <v>41.685499999999998</v>
      </c>
      <c r="O219" s="45">
        <v>47.256999999999998</v>
      </c>
      <c r="P219" s="45">
        <v>46.659100000000002</v>
      </c>
      <c r="Q219" s="79"/>
      <c r="R219" s="79"/>
      <c r="S219" s="80"/>
      <c r="U219" s="8">
        <f>bdrate($E219:$E222,F219:F222,$M219:$M222,N219:N222)</f>
        <v>1.5205539651867994E-3</v>
      </c>
      <c r="V219" s="9">
        <f>bdrate($E219:$E222,G219:G222,$M219:$M222,O219:O222)</f>
        <v>6.7335491388043067E-5</v>
      </c>
      <c r="W219" s="10">
        <f>bdrate($E219:$E222,H219:H222,$M219:$M222,P219:P222)</f>
        <v>-1.7914520628792285E-3</v>
      </c>
      <c r="X219" s="29"/>
      <c r="Y219" s="24"/>
      <c r="Z219" s="24"/>
      <c r="AA219" s="27"/>
      <c r="AC219" s="45">
        <f t="shared" si="14"/>
        <v>-0.44200000000000728</v>
      </c>
      <c r="AD219" s="45">
        <f t="shared" si="13"/>
        <v>7.0000000000192131E-4</v>
      </c>
      <c r="AE219" s="45">
        <f t="shared" si="13"/>
        <v>-9.6999999999951569E-3</v>
      </c>
      <c r="AF219" s="45">
        <f t="shared" si="13"/>
        <v>6.8999999999945771E-3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97.272000000000006</v>
      </c>
      <c r="F220" s="46">
        <v>40.747199999999999</v>
      </c>
      <c r="G220" s="46">
        <v>46.311900000000001</v>
      </c>
      <c r="H220" s="46">
        <v>45.5169</v>
      </c>
      <c r="I220" s="66"/>
      <c r="J220" s="66"/>
      <c r="K220" s="67"/>
      <c r="L220" s="29"/>
      <c r="M220" s="46">
        <v>97.188000000000002</v>
      </c>
      <c r="N220" s="46">
        <v>40.747100000000003</v>
      </c>
      <c r="O220" s="46">
        <v>46.313200000000002</v>
      </c>
      <c r="P220" s="46">
        <v>45.525100000000002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8.4000000000003183E-2</v>
      </c>
      <c r="AD220" s="46">
        <f t="shared" si="13"/>
        <v>9.9999999996214228E-5</v>
      </c>
      <c r="AE220" s="46">
        <f t="shared" si="13"/>
        <v>-1.300000000000523E-3</v>
      </c>
      <c r="AF220" s="46">
        <f t="shared" si="13"/>
        <v>-8.2000000000022055E-3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48.302</v>
      </c>
      <c r="F221" s="46">
        <v>39.395499999999998</v>
      </c>
      <c r="G221" s="46">
        <v>45.3703</v>
      </c>
      <c r="H221" s="46">
        <v>44.580500000000001</v>
      </c>
      <c r="I221" s="66"/>
      <c r="J221" s="66"/>
      <c r="K221" s="67"/>
      <c r="L221" s="29"/>
      <c r="M221" s="46">
        <v>48.55</v>
      </c>
      <c r="N221" s="46">
        <v>39.398699999999998</v>
      </c>
      <c r="O221" s="46">
        <v>45.375999999999998</v>
      </c>
      <c r="P221" s="46">
        <v>44.594799999999999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-0.24799999999999756</v>
      </c>
      <c r="AD221" s="46">
        <f t="shared" si="13"/>
        <v>-3.1999999999996476E-3</v>
      </c>
      <c r="AE221" s="46">
        <f t="shared" si="13"/>
        <v>-5.6999999999973738E-3</v>
      </c>
      <c r="AF221" s="46">
        <f t="shared" si="13"/>
        <v>-1.4299999999998647E-2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25.507999999999999</v>
      </c>
      <c r="F222" s="72">
        <v>37.654400000000003</v>
      </c>
      <c r="G222" s="72">
        <v>44.4026</v>
      </c>
      <c r="H222" s="72">
        <v>43.4861</v>
      </c>
      <c r="I222" s="68"/>
      <c r="J222" s="68"/>
      <c r="K222" s="69"/>
      <c r="L222" s="29"/>
      <c r="M222" s="72">
        <v>25.529</v>
      </c>
      <c r="N222" s="72">
        <v>37.661999999999999</v>
      </c>
      <c r="O222" s="72">
        <v>44.383600000000001</v>
      </c>
      <c r="P222" s="72">
        <v>43.465499999999999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-2.1000000000000796E-2</v>
      </c>
      <c r="AD222" s="72">
        <f t="shared" si="13"/>
        <v>-7.5999999999964984E-3</v>
      </c>
      <c r="AE222" s="72">
        <f t="shared" si="13"/>
        <v>1.8999999999998352E-2</v>
      </c>
      <c r="AF222" s="72">
        <f t="shared" si="13"/>
        <v>2.0600000000001728E-2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72.680999999999997</v>
      </c>
      <c r="F223" s="45">
        <v>46.143999999999998</v>
      </c>
      <c r="G223" s="78"/>
      <c r="H223" s="78"/>
      <c r="I223" s="79"/>
      <c r="J223" s="79"/>
      <c r="K223" s="80"/>
      <c r="L223" s="29"/>
      <c r="M223" s="45">
        <v>72.602000000000004</v>
      </c>
      <c r="N223" s="45">
        <v>46.149900000000002</v>
      </c>
      <c r="O223" s="78"/>
      <c r="P223" s="78"/>
      <c r="Q223" s="79"/>
      <c r="R223" s="79"/>
      <c r="S223" s="80"/>
      <c r="U223" s="8">
        <f>bdrate($E223:$E226,F223:F226,$M223:$M226,N223:N226)</f>
        <v>-1.6614604095908092E-3</v>
      </c>
      <c r="V223" s="9"/>
      <c r="W223" s="10"/>
      <c r="X223" s="29"/>
      <c r="Y223" s="24"/>
      <c r="Z223" s="24"/>
      <c r="AA223" s="27"/>
      <c r="AC223" s="45">
        <f t="shared" si="14"/>
        <v>7.899999999999352E-2</v>
      </c>
      <c r="AD223" s="45">
        <f t="shared" si="13"/>
        <v>-5.9000000000040131E-3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29.916</v>
      </c>
      <c r="F224" s="46">
        <v>42.724400000000003</v>
      </c>
      <c r="G224" s="70"/>
      <c r="H224" s="70"/>
      <c r="I224" s="66"/>
      <c r="J224" s="66"/>
      <c r="K224" s="67"/>
      <c r="L224" s="29"/>
      <c r="M224" s="46">
        <v>29.949000000000002</v>
      </c>
      <c r="N224" s="46">
        <v>42.734200000000001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-3.3000000000001251E-2</v>
      </c>
      <c r="AD224" s="46">
        <f t="shared" si="13"/>
        <v>-9.7999999999984766E-3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14.981</v>
      </c>
      <c r="F225" s="46">
        <v>40.044199999999996</v>
      </c>
      <c r="G225" s="70"/>
      <c r="H225" s="70"/>
      <c r="I225" s="66"/>
      <c r="J225" s="66"/>
      <c r="K225" s="67"/>
      <c r="L225" s="29"/>
      <c r="M225" s="46">
        <v>15.054</v>
      </c>
      <c r="N225" s="46">
        <v>40.079799999999999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-7.3000000000000398E-2</v>
      </c>
      <c r="AD225" s="46">
        <f t="shared" si="13"/>
        <v>-3.5600000000002296E-2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8.3510000000000009</v>
      </c>
      <c r="F226" s="46">
        <v>36.841099999999997</v>
      </c>
      <c r="G226" s="70"/>
      <c r="H226" s="70"/>
      <c r="I226" s="66"/>
      <c r="J226" s="66"/>
      <c r="K226" s="67"/>
      <c r="L226" s="29"/>
      <c r="M226" s="46">
        <v>8.42</v>
      </c>
      <c r="N226" s="46">
        <v>36.880699999999997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-6.8999999999999062E-2</v>
      </c>
      <c r="AD226" s="46">
        <f t="shared" si="13"/>
        <v>-3.960000000000008E-2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49.771000000000001</v>
      </c>
      <c r="F227" s="45">
        <v>44.689799999999998</v>
      </c>
      <c r="G227" s="78"/>
      <c r="H227" s="78"/>
      <c r="I227" s="79"/>
      <c r="J227" s="79"/>
      <c r="K227" s="80"/>
      <c r="L227" s="29"/>
      <c r="M227" s="45">
        <v>50.046999999999997</v>
      </c>
      <c r="N227" s="45">
        <v>44.720199999999998</v>
      </c>
      <c r="O227" s="78"/>
      <c r="P227" s="78"/>
      <c r="Q227" s="79"/>
      <c r="R227" s="79"/>
      <c r="S227" s="80"/>
      <c r="U227" s="8">
        <f>bdrate($E227:$E230,F227:F230,$M227:$M230,N227:N230)</f>
        <v>-4.5949165778256251E-3</v>
      </c>
      <c r="V227" s="9"/>
      <c r="W227" s="10"/>
      <c r="X227" s="29"/>
      <c r="Y227" s="24"/>
      <c r="Z227" s="24"/>
      <c r="AA227" s="27"/>
      <c r="AC227" s="45">
        <f t="shared" si="14"/>
        <v>-0.27599999999999625</v>
      </c>
      <c r="AD227" s="45">
        <f t="shared" si="13"/>
        <v>-3.0400000000000205E-2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19.585000000000001</v>
      </c>
      <c r="F228" s="46">
        <v>41.523299999999999</v>
      </c>
      <c r="G228" s="70"/>
      <c r="H228" s="70"/>
      <c r="I228" s="66"/>
      <c r="J228" s="66"/>
      <c r="K228" s="67"/>
      <c r="L228" s="29"/>
      <c r="M228" s="46">
        <v>19.477</v>
      </c>
      <c r="N228" s="46">
        <v>41.495399999999997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0.10800000000000054</v>
      </c>
      <c r="AD228" s="46">
        <f t="shared" si="13"/>
        <v>2.7900000000002478E-2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9.5150000000000006</v>
      </c>
      <c r="F229" s="46">
        <v>38.384099999999997</v>
      </c>
      <c r="G229" s="70"/>
      <c r="H229" s="70"/>
      <c r="I229" s="66"/>
      <c r="J229" s="66"/>
      <c r="K229" s="67"/>
      <c r="L229" s="29"/>
      <c r="M229" s="46">
        <v>9.5510000000000002</v>
      </c>
      <c r="N229" s="46">
        <v>38.486800000000002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-3.5999999999999588E-2</v>
      </c>
      <c r="AD229" s="46">
        <f t="shared" si="13"/>
        <v>-0.10270000000000579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5.2439999999999998</v>
      </c>
      <c r="F230" s="46">
        <v>35.336599999999997</v>
      </c>
      <c r="G230" s="70"/>
      <c r="H230" s="70"/>
      <c r="I230" s="66"/>
      <c r="J230" s="66"/>
      <c r="K230" s="67"/>
      <c r="L230" s="29"/>
      <c r="M230" s="46">
        <v>5.28</v>
      </c>
      <c r="N230" s="46">
        <v>35.285600000000002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-3.6000000000000476E-2</v>
      </c>
      <c r="AD230" s="46">
        <f t="shared" si="13"/>
        <v>5.0999999999994827E-2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49.234999999999999</v>
      </c>
      <c r="F231" s="45">
        <v>44.479500000000002</v>
      </c>
      <c r="G231" s="78"/>
      <c r="H231" s="78"/>
      <c r="I231" s="79"/>
      <c r="J231" s="79"/>
      <c r="K231" s="80"/>
      <c r="L231" s="29"/>
      <c r="M231" s="45">
        <v>49.024999999999999</v>
      </c>
      <c r="N231" s="45">
        <v>44.4846</v>
      </c>
      <c r="O231" s="78"/>
      <c r="P231" s="78"/>
      <c r="Q231" s="79"/>
      <c r="R231" s="79"/>
      <c r="S231" s="80"/>
      <c r="U231" s="8">
        <f>bdrate($E231:$E234,F231:F234,$M231:$M234,N231:N234)</f>
        <v>1.1535306830112724E-4</v>
      </c>
      <c r="V231" s="9"/>
      <c r="W231" s="10"/>
      <c r="X231" s="29"/>
      <c r="Y231" s="24"/>
      <c r="Z231" s="24"/>
      <c r="AA231" s="27"/>
      <c r="AC231" s="45">
        <f t="shared" si="14"/>
        <v>0.21000000000000085</v>
      </c>
      <c r="AD231" s="45">
        <f t="shared" si="13"/>
        <v>-5.0999999999987722E-3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18.721</v>
      </c>
      <c r="F232" s="46">
        <v>41.473500000000001</v>
      </c>
      <c r="G232" s="70"/>
      <c r="H232" s="70"/>
      <c r="I232" s="66"/>
      <c r="J232" s="66"/>
      <c r="K232" s="67"/>
      <c r="L232" s="29"/>
      <c r="M232" s="46">
        <v>18.760999999999999</v>
      </c>
      <c r="N232" s="46">
        <v>41.442399999999999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-3.9999999999999147E-2</v>
      </c>
      <c r="AD232" s="46">
        <f t="shared" si="13"/>
        <v>3.1100000000002126E-2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9.0839999999999996</v>
      </c>
      <c r="F233" s="46">
        <v>38.712600000000002</v>
      </c>
      <c r="G233" s="70"/>
      <c r="H233" s="70"/>
      <c r="I233" s="66"/>
      <c r="J233" s="66"/>
      <c r="K233" s="67"/>
      <c r="L233" s="29"/>
      <c r="M233" s="46">
        <v>9.1240000000000006</v>
      </c>
      <c r="N233" s="46">
        <v>38.739699999999999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-4.0000000000000924E-2</v>
      </c>
      <c r="AD233" s="46">
        <f t="shared" si="13"/>
        <v>-2.7099999999997237E-2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5.12</v>
      </c>
      <c r="F234" s="46">
        <v>35.837600000000002</v>
      </c>
      <c r="G234" s="70"/>
      <c r="H234" s="70"/>
      <c r="I234" s="66"/>
      <c r="J234" s="66"/>
      <c r="K234" s="67"/>
      <c r="L234" s="29"/>
      <c r="M234" s="46">
        <v>5.1139999999999999</v>
      </c>
      <c r="N234" s="46">
        <v>35.960799999999999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6.0000000000002274E-3</v>
      </c>
      <c r="AD234" s="46">
        <f t="shared" si="13"/>
        <v>-0.12319999999999709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42.869900000000001</v>
      </c>
      <c r="G235" s="45">
        <v>48.110100000000003</v>
      </c>
      <c r="H235" s="45">
        <v>47.225900000000003</v>
      </c>
      <c r="I235" s="79"/>
      <c r="J235" s="79"/>
      <c r="K235" s="80"/>
      <c r="L235" s="29"/>
      <c r="M235" s="78"/>
      <c r="N235" s="45">
        <v>42.871299999999998</v>
      </c>
      <c r="O235" s="45">
        <v>48.144100000000002</v>
      </c>
      <c r="P235" s="45">
        <v>47.230800000000002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-1.3999999999967372E-3</v>
      </c>
      <c r="AE235" s="45">
        <f t="shared" si="13"/>
        <v>-3.399999999999892E-2</v>
      </c>
      <c r="AF235" s="45">
        <f t="shared" si="13"/>
        <v>-4.8999999999992383E-3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41.709600000000002</v>
      </c>
      <c r="G236" s="46">
        <v>46.982799999999997</v>
      </c>
      <c r="H236" s="46">
        <v>46.514600000000002</v>
      </c>
      <c r="I236" s="66"/>
      <c r="J236" s="66"/>
      <c r="K236" s="67"/>
      <c r="L236" s="29"/>
      <c r="M236" s="70"/>
      <c r="N236" s="46">
        <v>41.712699999999998</v>
      </c>
      <c r="O236" s="46">
        <v>46.975900000000003</v>
      </c>
      <c r="P236" s="46">
        <v>46.536499999999997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-3.0999999999963279E-3</v>
      </c>
      <c r="AE236" s="46">
        <f t="shared" si="13"/>
        <v>6.8999999999945771E-3</v>
      </c>
      <c r="AF236" s="46">
        <f t="shared" si="13"/>
        <v>-2.1899999999995146E-2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40.127099999999999</v>
      </c>
      <c r="G237" s="46">
        <v>45.792700000000004</v>
      </c>
      <c r="H237" s="46">
        <v>45.561</v>
      </c>
      <c r="I237" s="66"/>
      <c r="J237" s="66"/>
      <c r="K237" s="67"/>
      <c r="L237" s="29"/>
      <c r="M237" s="70"/>
      <c r="N237" s="46">
        <v>40.125500000000002</v>
      </c>
      <c r="O237" s="46">
        <v>45.803899999999999</v>
      </c>
      <c r="P237" s="46">
        <v>45.523499999999999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1.5999999999962711E-3</v>
      </c>
      <c r="AE237" s="46">
        <f t="shared" si="13"/>
        <v>-1.1199999999995214E-2</v>
      </c>
      <c r="AF237" s="46">
        <f t="shared" si="13"/>
        <v>3.7500000000001421E-2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38.195399999999999</v>
      </c>
      <c r="G238" s="72">
        <v>44.888199999999998</v>
      </c>
      <c r="H238" s="72">
        <v>44.497199999999999</v>
      </c>
      <c r="I238" s="68"/>
      <c r="J238" s="68"/>
      <c r="K238" s="69"/>
      <c r="L238" s="29"/>
      <c r="M238" s="81"/>
      <c r="N238" s="72">
        <v>38.200000000000003</v>
      </c>
      <c r="O238" s="72">
        <v>44.885300000000001</v>
      </c>
      <c r="P238" s="72">
        <v>44.461500000000001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-4.6000000000034902E-3</v>
      </c>
      <c r="AE238" s="72">
        <f t="shared" si="13"/>
        <v>2.899999999996794E-3</v>
      </c>
      <c r="AF238" s="72">
        <f t="shared" si="13"/>
        <v>3.5699999999998511E-2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43.593000000000004</v>
      </c>
      <c r="G239" s="45">
        <v>49.035600000000002</v>
      </c>
      <c r="H239" s="45">
        <v>48.439799999999998</v>
      </c>
      <c r="I239" s="66"/>
      <c r="J239" s="66"/>
      <c r="K239" s="67"/>
      <c r="L239" s="29"/>
      <c r="M239" s="70"/>
      <c r="N239" s="45">
        <v>43.601799999999997</v>
      </c>
      <c r="O239" s="45">
        <v>49.051099999999998</v>
      </c>
      <c r="P239" s="45">
        <v>48.439799999999998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-8.7999999999937017E-3</v>
      </c>
      <c r="AE239" s="45">
        <f t="shared" si="13"/>
        <v>-1.549999999999585E-2</v>
      </c>
      <c r="AF239" s="45">
        <f t="shared" si="13"/>
        <v>0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42.297400000000003</v>
      </c>
      <c r="G240" s="46">
        <v>47.845599999999997</v>
      </c>
      <c r="H240" s="46">
        <v>47.504800000000003</v>
      </c>
      <c r="I240" s="66"/>
      <c r="J240" s="66"/>
      <c r="K240" s="67"/>
      <c r="L240" s="29"/>
      <c r="M240" s="70"/>
      <c r="N240" s="46">
        <v>42.298499999999997</v>
      </c>
      <c r="O240" s="46">
        <v>47.841999999999999</v>
      </c>
      <c r="P240" s="46">
        <v>47.5154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-1.0999999999938836E-3</v>
      </c>
      <c r="AE240" s="46">
        <f t="shared" si="13"/>
        <v>3.5999999999987153E-3</v>
      </c>
      <c r="AF240" s="46">
        <f t="shared" si="13"/>
        <v>-1.0599999999996612E-2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40.5867</v>
      </c>
      <c r="G241" s="46">
        <v>46.484099999999998</v>
      </c>
      <c r="H241" s="46">
        <v>46.261899999999997</v>
      </c>
      <c r="I241" s="66"/>
      <c r="J241" s="66"/>
      <c r="K241" s="67"/>
      <c r="L241" s="29"/>
      <c r="M241" s="70"/>
      <c r="N241" s="46">
        <v>40.5886</v>
      </c>
      <c r="O241" s="46">
        <v>46.498100000000001</v>
      </c>
      <c r="P241" s="46">
        <v>46.228400000000001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-1.8999999999991246E-3</v>
      </c>
      <c r="AE241" s="46">
        <f t="shared" si="13"/>
        <v>-1.4000000000002899E-2</v>
      </c>
      <c r="AF241" s="46">
        <f t="shared" si="13"/>
        <v>3.3499999999996533E-2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38.555599999999998</v>
      </c>
      <c r="G242" s="72">
        <v>45.358499999999999</v>
      </c>
      <c r="H242" s="72">
        <v>45.0413</v>
      </c>
      <c r="I242" s="68"/>
      <c r="J242" s="68"/>
      <c r="K242" s="69"/>
      <c r="L242" s="29"/>
      <c r="M242" s="81"/>
      <c r="N242" s="46">
        <v>38.563800000000001</v>
      </c>
      <c r="O242" s="72">
        <v>45.365900000000003</v>
      </c>
      <c r="P242" s="72">
        <v>45.021099999999997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-8.2000000000022055E-3</v>
      </c>
      <c r="AE242" s="46">
        <f t="shared" si="13"/>
        <v>-7.40000000000407E-3</v>
      </c>
      <c r="AF242" s="46">
        <f t="shared" si="13"/>
        <v>2.020000000000266E-2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43.145400000000002</v>
      </c>
      <c r="G243" s="45">
        <v>49.239100000000001</v>
      </c>
      <c r="H243" s="45">
        <v>48.777799999999999</v>
      </c>
      <c r="I243" s="66"/>
      <c r="J243" s="66"/>
      <c r="K243" s="67"/>
      <c r="L243" s="29"/>
      <c r="M243" s="70"/>
      <c r="N243" s="45">
        <v>43.150100000000002</v>
      </c>
      <c r="O243" s="45">
        <v>49.243499999999997</v>
      </c>
      <c r="P243" s="45">
        <v>48.775100000000002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-4.6999999999997044E-3</v>
      </c>
      <c r="AE243" s="45">
        <f t="shared" si="13"/>
        <v>-4.3999999999968509E-3</v>
      </c>
      <c r="AF243" s="45">
        <f t="shared" si="13"/>
        <v>2.6999999999972601E-3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42.003999999999998</v>
      </c>
      <c r="G244" s="46">
        <v>48.226700000000001</v>
      </c>
      <c r="H244" s="46">
        <v>47.9131</v>
      </c>
      <c r="I244" s="66"/>
      <c r="J244" s="66"/>
      <c r="K244" s="67"/>
      <c r="L244" s="29"/>
      <c r="M244" s="70"/>
      <c r="N244" s="46">
        <v>41.995899999999999</v>
      </c>
      <c r="O244" s="46">
        <v>48.224800000000002</v>
      </c>
      <c r="P244" s="46">
        <v>47.913400000000003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8.0999999999988859E-3</v>
      </c>
      <c r="AE244" s="46">
        <f t="shared" si="13"/>
        <v>1.8999999999991246E-3</v>
      </c>
      <c r="AF244" s="46">
        <f t="shared" si="13"/>
        <v>-3.0000000000285354E-4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40.425699999999999</v>
      </c>
      <c r="G245" s="46">
        <v>46.755200000000002</v>
      </c>
      <c r="H245" s="46">
        <v>46.600499999999997</v>
      </c>
      <c r="I245" s="66"/>
      <c r="J245" s="66"/>
      <c r="K245" s="67"/>
      <c r="L245" s="29"/>
      <c r="M245" s="70"/>
      <c r="N245" s="46">
        <v>40.429000000000002</v>
      </c>
      <c r="O245" s="46">
        <v>46.760199999999998</v>
      </c>
      <c r="P245" s="46">
        <v>46.591999999999999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-3.3000000000029672E-3</v>
      </c>
      <c r="AE245" s="46">
        <f t="shared" si="13"/>
        <v>-4.9999999999954525E-3</v>
      </c>
      <c r="AF245" s="46">
        <f t="shared" si="13"/>
        <v>8.4999999999979536E-3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38.511200000000002</v>
      </c>
      <c r="G246" s="72">
        <v>45.584000000000003</v>
      </c>
      <c r="H246" s="72">
        <v>45.434600000000003</v>
      </c>
      <c r="I246" s="68"/>
      <c r="J246" s="68"/>
      <c r="K246" s="69"/>
      <c r="L246" s="29"/>
      <c r="M246" s="81"/>
      <c r="N246" s="46">
        <v>38.514499999999998</v>
      </c>
      <c r="O246" s="72">
        <v>45.577300000000001</v>
      </c>
      <c r="P246" s="72">
        <v>45.430300000000003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-3.2999999999958618E-3</v>
      </c>
      <c r="AE246" s="46">
        <f t="shared" si="13"/>
        <v>6.7000000000021487E-3</v>
      </c>
      <c r="AF246" s="46">
        <f t="shared" si="13"/>
        <v>4.3000000000006366E-3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43.260399999999997</v>
      </c>
      <c r="G247" s="45">
        <v>49.113199999999999</v>
      </c>
      <c r="H247" s="45">
        <v>49.018000000000001</v>
      </c>
      <c r="I247" s="66"/>
      <c r="J247" s="66"/>
      <c r="K247" s="67"/>
      <c r="L247" s="29"/>
      <c r="M247" s="70"/>
      <c r="N247" s="45">
        <v>43.2545</v>
      </c>
      <c r="O247" s="45">
        <v>49.116199999999999</v>
      </c>
      <c r="P247" s="45">
        <v>49.017699999999998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5.8999999999969077E-3</v>
      </c>
      <c r="AE247" s="45">
        <f t="shared" si="13"/>
        <v>-3.0000000000001137E-3</v>
      </c>
      <c r="AF247" s="45">
        <f t="shared" si="13"/>
        <v>3.0000000000285354E-4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42.114400000000003</v>
      </c>
      <c r="G248" s="46">
        <v>48.1511</v>
      </c>
      <c r="H248" s="46">
        <v>48.109099999999998</v>
      </c>
      <c r="I248" s="66"/>
      <c r="J248" s="66"/>
      <c r="K248" s="67"/>
      <c r="L248" s="29"/>
      <c r="M248" s="70"/>
      <c r="N248" s="46">
        <v>42.1083</v>
      </c>
      <c r="O248" s="46">
        <v>48.145099999999999</v>
      </c>
      <c r="P248" s="46">
        <v>48.116300000000003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6.100000000003547E-3</v>
      </c>
      <c r="AE248" s="46">
        <f t="shared" si="13"/>
        <v>6.0000000000002274E-3</v>
      </c>
      <c r="AF248" s="46">
        <f t="shared" si="13"/>
        <v>-7.2000000000045361E-3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40.536299999999997</v>
      </c>
      <c r="G249" s="46">
        <v>46.747300000000003</v>
      </c>
      <c r="H249" s="46">
        <v>46.758400000000002</v>
      </c>
      <c r="I249" s="66"/>
      <c r="J249" s="66"/>
      <c r="K249" s="67"/>
      <c r="L249" s="29"/>
      <c r="M249" s="70"/>
      <c r="N249" s="46">
        <v>40.532600000000002</v>
      </c>
      <c r="O249" s="46">
        <v>46.748800000000003</v>
      </c>
      <c r="P249" s="46">
        <v>46.761600000000001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3.6999999999949296E-3</v>
      </c>
      <c r="AE249" s="46">
        <f t="shared" si="13"/>
        <v>-1.5000000000000568E-3</v>
      </c>
      <c r="AF249" s="46">
        <f t="shared" si="13"/>
        <v>-3.1999999999996476E-3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38.594299999999997</v>
      </c>
      <c r="G250" s="72">
        <v>45.618000000000002</v>
      </c>
      <c r="H250" s="72">
        <v>45.558</v>
      </c>
      <c r="I250" s="68"/>
      <c r="J250" s="68"/>
      <c r="K250" s="69"/>
      <c r="L250" s="29"/>
      <c r="M250" s="81"/>
      <c r="N250" s="46">
        <v>38.595500000000001</v>
      </c>
      <c r="O250" s="72">
        <v>45.614899999999999</v>
      </c>
      <c r="P250" s="72">
        <v>45.555599999999998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-1.2000000000043087E-3</v>
      </c>
      <c r="AE250" s="46">
        <f t="shared" si="13"/>
        <v>3.1000000000034333E-3</v>
      </c>
      <c r="AF250" s="46">
        <f t="shared" si="13"/>
        <v>2.400000000001512E-3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43.736699999999999</v>
      </c>
      <c r="G251" s="45">
        <v>48.842300000000002</v>
      </c>
      <c r="H251" s="45">
        <v>49.203699999999998</v>
      </c>
      <c r="I251" s="66"/>
      <c r="J251" s="66"/>
      <c r="K251" s="67"/>
      <c r="L251" s="29"/>
      <c r="M251" s="70"/>
      <c r="N251" s="45">
        <v>43.735799999999998</v>
      </c>
      <c r="O251" s="45">
        <v>48.833300000000001</v>
      </c>
      <c r="P251" s="45">
        <v>49.1952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9.0000000000145519E-4</v>
      </c>
      <c r="AE251" s="45">
        <f t="shared" si="13"/>
        <v>9.0000000000003411E-3</v>
      </c>
      <c r="AF251" s="45">
        <f t="shared" si="13"/>
        <v>8.4999999999979536E-3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42.468600000000002</v>
      </c>
      <c r="G252" s="46">
        <v>47.683100000000003</v>
      </c>
      <c r="H252" s="46">
        <v>48.045099999999998</v>
      </c>
      <c r="I252" s="66"/>
      <c r="J252" s="66"/>
      <c r="K252" s="67"/>
      <c r="L252" s="29"/>
      <c r="M252" s="70"/>
      <c r="N252" s="46">
        <v>42.467599999999997</v>
      </c>
      <c r="O252" s="46">
        <v>47.646599999999999</v>
      </c>
      <c r="P252" s="46">
        <v>48.027299999999997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1.0000000000047748E-3</v>
      </c>
      <c r="AE252" s="46">
        <f t="shared" si="13"/>
        <v>3.6500000000003752E-2</v>
      </c>
      <c r="AF252" s="46">
        <f t="shared" si="13"/>
        <v>1.7800000000001148E-2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40.805599999999998</v>
      </c>
      <c r="G253" s="46">
        <v>46.379399999999997</v>
      </c>
      <c r="H253" s="46">
        <v>46.711500000000001</v>
      </c>
      <c r="I253" s="66"/>
      <c r="J253" s="66"/>
      <c r="K253" s="67"/>
      <c r="L253" s="29"/>
      <c r="M253" s="70"/>
      <c r="N253" s="46">
        <v>40.810899999999997</v>
      </c>
      <c r="O253" s="46">
        <v>46.373399999999997</v>
      </c>
      <c r="P253" s="46">
        <v>46.768000000000001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-5.2999999999983061E-3</v>
      </c>
      <c r="AE253" s="46">
        <f t="shared" si="13"/>
        <v>6.0000000000002274E-3</v>
      </c>
      <c r="AF253" s="46">
        <f t="shared" si="13"/>
        <v>-5.6499999999999773E-2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38.794400000000003</v>
      </c>
      <c r="G254" s="72">
        <v>45.2468</v>
      </c>
      <c r="H254" s="72">
        <v>45.4923</v>
      </c>
      <c r="I254" s="68"/>
      <c r="J254" s="68"/>
      <c r="K254" s="69"/>
      <c r="L254" s="29"/>
      <c r="M254" s="81"/>
      <c r="N254" s="72">
        <v>38.802799999999998</v>
      </c>
      <c r="O254" s="72">
        <v>45.2181</v>
      </c>
      <c r="P254" s="72">
        <v>45.458300000000001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-8.399999999994634E-3</v>
      </c>
      <c r="AE254" s="72">
        <f t="shared" si="13"/>
        <v>2.8700000000000614E-2</v>
      </c>
      <c r="AF254" s="72">
        <f t="shared" si="13"/>
        <v>3.399999999999892E-2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42.9251</v>
      </c>
      <c r="G255" s="45">
        <v>47.6145</v>
      </c>
      <c r="H255" s="45">
        <v>48.1479</v>
      </c>
      <c r="I255" s="66"/>
      <c r="J255" s="66"/>
      <c r="K255" s="67"/>
      <c r="L255" s="29"/>
      <c r="M255" s="70"/>
      <c r="N255" s="45">
        <v>42.9255</v>
      </c>
      <c r="O255" s="45">
        <v>47.610999999999997</v>
      </c>
      <c r="P255" s="45">
        <v>48.141599999999997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-3.9999999999906777E-4</v>
      </c>
      <c r="AE255" s="45">
        <f t="shared" si="13"/>
        <v>3.5000000000025011E-3</v>
      </c>
      <c r="AF255" s="45">
        <f t="shared" si="13"/>
        <v>6.3000000000030809E-3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41.816000000000003</v>
      </c>
      <c r="G256" s="46">
        <v>46.6145</v>
      </c>
      <c r="H256" s="46">
        <v>47.055900000000001</v>
      </c>
      <c r="I256" s="66"/>
      <c r="J256" s="66"/>
      <c r="K256" s="67"/>
      <c r="L256" s="29"/>
      <c r="M256" s="70"/>
      <c r="N256" s="46">
        <v>41.8217</v>
      </c>
      <c r="O256" s="46">
        <v>46.575600000000001</v>
      </c>
      <c r="P256" s="46">
        <v>47.032800000000002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-5.6999999999973738E-3</v>
      </c>
      <c r="AE256" s="46">
        <f t="shared" si="13"/>
        <v>3.8899999999998158E-2</v>
      </c>
      <c r="AF256" s="46">
        <f t="shared" si="13"/>
        <v>2.3099999999999454E-2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40.300400000000003</v>
      </c>
      <c r="G257" s="46">
        <v>45.615499999999997</v>
      </c>
      <c r="H257" s="46">
        <v>45.971600000000002</v>
      </c>
      <c r="I257" s="66"/>
      <c r="J257" s="66"/>
      <c r="K257" s="67"/>
      <c r="L257" s="29"/>
      <c r="M257" s="70"/>
      <c r="N257" s="46">
        <v>40.302500000000002</v>
      </c>
      <c r="O257" s="46">
        <v>45.614699999999999</v>
      </c>
      <c r="P257" s="46">
        <v>46.058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-2.0999999999986585E-3</v>
      </c>
      <c r="AE257" s="46">
        <f t="shared" si="13"/>
        <v>7.9999999999813554E-4</v>
      </c>
      <c r="AF257" s="46">
        <f t="shared" si="13"/>
        <v>-8.639999999999759E-2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38.433399999999999</v>
      </c>
      <c r="G258" s="72">
        <v>44.683</v>
      </c>
      <c r="H258" s="72">
        <v>44.893599999999999</v>
      </c>
      <c r="I258" s="68"/>
      <c r="J258" s="68"/>
      <c r="K258" s="69"/>
      <c r="L258" s="29"/>
      <c r="M258" s="81"/>
      <c r="N258" s="72">
        <v>38.438600000000001</v>
      </c>
      <c r="O258" s="72">
        <v>44.665399999999998</v>
      </c>
      <c r="P258" s="72">
        <v>44.851799999999997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-5.2000000000020918E-3</v>
      </c>
      <c r="AE258" s="72">
        <f t="shared" si="13"/>
        <v>1.7600000000001614E-2</v>
      </c>
      <c r="AF258" s="72">
        <f t="shared" si="13"/>
        <v>4.1800000000002058E-2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1494.92</v>
      </c>
      <c r="F259" s="70"/>
      <c r="G259" s="70"/>
      <c r="H259" s="70"/>
      <c r="I259" s="45">
        <v>27841.3</v>
      </c>
      <c r="J259" s="45">
        <v>73.59</v>
      </c>
      <c r="K259" s="45">
        <v>580.26</v>
      </c>
      <c r="L259" s="29"/>
      <c r="M259" s="45">
        <v>1495.681</v>
      </c>
      <c r="N259" s="70"/>
      <c r="O259" s="70"/>
      <c r="P259" s="70"/>
      <c r="Q259" s="45">
        <v>27884.73</v>
      </c>
      <c r="R259" s="45">
        <v>72.89</v>
      </c>
      <c r="S259" s="45">
        <v>589.92999999999995</v>
      </c>
      <c r="U259" s="8"/>
      <c r="V259" s="9"/>
      <c r="W259" s="10"/>
      <c r="X259" s="29"/>
      <c r="Y259" s="61">
        <f>GEOMEAN(Q259:Q262)/GEOMEAN(I259:I262)</f>
        <v>0.99988155964636305</v>
      </c>
      <c r="Z259" s="61">
        <f>GEOMEAN(R259:R262)/GEOMEAN(J259:J262)</f>
        <v>1.0008475758741213</v>
      </c>
      <c r="AA259" s="57">
        <f>GEOMEAN(S259:S262)/GEOMEAN(K259:K262)</f>
        <v>1.0096132429790807</v>
      </c>
      <c r="AC259" s="45">
        <f>E259 -M259</f>
        <v>-0.76099999999996726</v>
      </c>
      <c r="AD259" s="70"/>
      <c r="AE259" s="70"/>
      <c r="AF259" s="70"/>
      <c r="AG259" s="45">
        <f t="shared" ref="AG259:AI262" si="15">I259 -Q259</f>
        <v>-43.430000000000291</v>
      </c>
      <c r="AH259" s="45">
        <f t="shared" si="15"/>
        <v>0.70000000000000284</v>
      </c>
      <c r="AI259" s="45">
        <f t="shared" si="15"/>
        <v>-9.6699999999999591</v>
      </c>
    </row>
    <row r="260" spans="1:35" ht="12">
      <c r="B260" s="36"/>
      <c r="C260" s="29"/>
      <c r="D260" s="32">
        <v>30</v>
      </c>
      <c r="E260" s="46">
        <v>611.64700000000005</v>
      </c>
      <c r="F260" s="70"/>
      <c r="G260" s="70"/>
      <c r="H260" s="70"/>
      <c r="I260" s="46">
        <v>22019.34</v>
      </c>
      <c r="J260" s="46">
        <v>69.23</v>
      </c>
      <c r="K260" s="46">
        <v>578.02</v>
      </c>
      <c r="L260" s="29"/>
      <c r="M260" s="46">
        <v>611.51400000000001</v>
      </c>
      <c r="N260" s="70"/>
      <c r="O260" s="70"/>
      <c r="P260" s="70"/>
      <c r="Q260" s="46">
        <v>22140.05</v>
      </c>
      <c r="R260" s="46">
        <v>69.89</v>
      </c>
      <c r="S260" s="46">
        <v>582.92999999999995</v>
      </c>
      <c r="U260" s="41"/>
      <c r="V260" s="42"/>
      <c r="W260" s="43"/>
      <c r="X260" s="29"/>
      <c r="Y260" s="24"/>
      <c r="Z260" s="24"/>
      <c r="AA260" s="27"/>
      <c r="AC260" s="46">
        <f>E260 -M260</f>
        <v>0.1330000000000382</v>
      </c>
      <c r="AD260" s="70"/>
      <c r="AE260" s="70"/>
      <c r="AF260" s="70"/>
      <c r="AG260" s="46">
        <f t="shared" si="15"/>
        <v>-120.70999999999913</v>
      </c>
      <c r="AH260" s="46">
        <f t="shared" si="15"/>
        <v>-0.65999999999999659</v>
      </c>
      <c r="AI260" s="46">
        <f t="shared" si="15"/>
        <v>-4.9099999999999682</v>
      </c>
    </row>
    <row r="261" spans="1:35" ht="12">
      <c r="B261" s="36"/>
      <c r="C261" s="29"/>
      <c r="D261" s="32">
        <v>35</v>
      </c>
      <c r="E261" s="46">
        <v>311.56299999999999</v>
      </c>
      <c r="F261" s="70"/>
      <c r="G261" s="70"/>
      <c r="H261" s="70"/>
      <c r="I261" s="46">
        <v>19528.52</v>
      </c>
      <c r="J261" s="46">
        <v>66.040000000000006</v>
      </c>
      <c r="K261" s="46">
        <v>581.29999999999995</v>
      </c>
      <c r="L261" s="29"/>
      <c r="M261" s="46">
        <v>311.90899999999999</v>
      </c>
      <c r="N261" s="70"/>
      <c r="O261" s="70"/>
      <c r="P261" s="70"/>
      <c r="Q261" s="46">
        <v>19598.849999999999</v>
      </c>
      <c r="R261" s="46">
        <v>66.37</v>
      </c>
      <c r="S261" s="46">
        <v>585.54</v>
      </c>
      <c r="U261" s="17"/>
      <c r="V261" s="18"/>
      <c r="W261" s="19"/>
      <c r="X261" s="29"/>
      <c r="Y261" s="24"/>
      <c r="Z261" s="24"/>
      <c r="AA261" s="27"/>
      <c r="AC261" s="46">
        <f>E261 -M261</f>
        <v>-0.34600000000000364</v>
      </c>
      <c r="AD261" s="70"/>
      <c r="AE261" s="70"/>
      <c r="AF261" s="70"/>
      <c r="AG261" s="46">
        <f t="shared" si="15"/>
        <v>-70.329999999998108</v>
      </c>
      <c r="AH261" s="46">
        <f t="shared" si="15"/>
        <v>-0.32999999999999829</v>
      </c>
      <c r="AI261" s="46">
        <f t="shared" si="15"/>
        <v>-4.2400000000000091</v>
      </c>
    </row>
    <row r="262" spans="1:35" ht="12.75" thickBot="1">
      <c r="B262" s="52"/>
      <c r="C262" s="53"/>
      <c r="D262" s="71">
        <v>40</v>
      </c>
      <c r="E262" s="72">
        <v>172.97800000000001</v>
      </c>
      <c r="F262" s="81"/>
      <c r="G262" s="81"/>
      <c r="H262" s="81"/>
      <c r="I262" s="72">
        <v>18233.27</v>
      </c>
      <c r="J262" s="72">
        <v>65.569999999999993</v>
      </c>
      <c r="K262" s="72">
        <v>578.41999999999996</v>
      </c>
      <c r="L262" s="29"/>
      <c r="M262" s="72">
        <v>173.34</v>
      </c>
      <c r="N262" s="81"/>
      <c r="O262" s="81"/>
      <c r="P262" s="81"/>
      <c r="Q262" s="72">
        <v>18032.099999999999</v>
      </c>
      <c r="R262" s="72">
        <v>65.47</v>
      </c>
      <c r="S262" s="72">
        <v>581.91</v>
      </c>
      <c r="U262" s="85"/>
      <c r="V262" s="86"/>
      <c r="W262" s="87"/>
      <c r="X262" s="29"/>
      <c r="Y262" s="49"/>
      <c r="Z262" s="49"/>
      <c r="AA262" s="54"/>
      <c r="AC262" s="72">
        <f>E262 -M262</f>
        <v>-0.36199999999999477</v>
      </c>
      <c r="AD262" s="81"/>
      <c r="AE262" s="81"/>
      <c r="AF262" s="81"/>
      <c r="AG262" s="72">
        <f t="shared" si="15"/>
        <v>201.17000000000189</v>
      </c>
      <c r="AH262" s="72">
        <f t="shared" si="15"/>
        <v>9.9999999999994316E-2</v>
      </c>
      <c r="AI262" s="72">
        <f t="shared" si="15"/>
        <v>-3.4900000000000091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2440.5952000000002</v>
      </c>
      <c r="F263" s="45">
        <v>39.861800000000002</v>
      </c>
      <c r="G263" s="45">
        <v>46.748800000000003</v>
      </c>
      <c r="H263" s="45">
        <v>46.033200000000001</v>
      </c>
      <c r="I263" s="79"/>
      <c r="J263" s="79"/>
      <c r="K263" s="80"/>
      <c r="L263" s="29"/>
      <c r="M263" s="45">
        <v>2440.5952000000002</v>
      </c>
      <c r="N263" s="45">
        <v>39.861800000000002</v>
      </c>
      <c r="O263" s="45">
        <v>46.748800000000003</v>
      </c>
      <c r="P263" s="45">
        <v>46.033200000000001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956.43600000000004</v>
      </c>
      <c r="F264" s="46">
        <v>37.902799999999999</v>
      </c>
      <c r="G264" s="46">
        <v>45.311</v>
      </c>
      <c r="H264" s="46">
        <v>44.550199999999997</v>
      </c>
      <c r="I264" s="66"/>
      <c r="J264" s="66"/>
      <c r="K264" s="67"/>
      <c r="L264" s="29"/>
      <c r="M264" s="46">
        <v>956.43600000000004</v>
      </c>
      <c r="N264" s="46">
        <v>37.902799999999999</v>
      </c>
      <c r="O264" s="46">
        <v>45.311</v>
      </c>
      <c r="P264" s="46">
        <v>44.550199999999997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461.7792</v>
      </c>
      <c r="F265" s="46">
        <v>35.882399999999997</v>
      </c>
      <c r="G265" s="46">
        <v>43.554200000000002</v>
      </c>
      <c r="H265" s="46">
        <v>42.8249</v>
      </c>
      <c r="I265" s="66"/>
      <c r="J265" s="66"/>
      <c r="K265" s="67"/>
      <c r="L265" s="29"/>
      <c r="M265" s="46">
        <v>461.7792</v>
      </c>
      <c r="N265" s="46">
        <v>35.882399999999997</v>
      </c>
      <c r="O265" s="46">
        <v>43.554200000000002</v>
      </c>
      <c r="P265" s="46">
        <v>42.8249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241.52879999999999</v>
      </c>
      <c r="F266" s="46">
        <v>33.765900000000002</v>
      </c>
      <c r="G266" s="46">
        <v>42.314300000000003</v>
      </c>
      <c r="H266" s="46">
        <v>41.622700000000002</v>
      </c>
      <c r="I266" s="66"/>
      <c r="J266" s="66"/>
      <c r="K266" s="67"/>
      <c r="L266" s="29"/>
      <c r="M266" s="46">
        <v>241.52879999999999</v>
      </c>
      <c r="N266" s="46">
        <v>33.765900000000002</v>
      </c>
      <c r="O266" s="46">
        <v>42.314300000000003</v>
      </c>
      <c r="P266" s="46">
        <v>41.622700000000002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701.26400000000001</v>
      </c>
      <c r="F267" s="45">
        <v>38.982900000000001</v>
      </c>
      <c r="G267" s="45">
        <v>46.5916</v>
      </c>
      <c r="H267" s="45">
        <v>44.7164</v>
      </c>
      <c r="I267" s="79"/>
      <c r="J267" s="79"/>
      <c r="K267" s="80"/>
      <c r="L267" s="29"/>
      <c r="M267" s="45">
        <v>701.13040000000001</v>
      </c>
      <c r="N267" s="45">
        <v>38.984099999999998</v>
      </c>
      <c r="O267" s="45">
        <v>46.601999999999997</v>
      </c>
      <c r="P267" s="45">
        <v>44.730600000000003</v>
      </c>
      <c r="Q267" s="79"/>
      <c r="R267" s="79"/>
      <c r="S267" s="80"/>
      <c r="U267" s="8">
        <f>bdrate($E267:$E270,F267:F270,$M267:$M270,N267:N270)</f>
        <v>-2.4489168287122887E-4</v>
      </c>
      <c r="V267" s="9">
        <f>bdrate($E267:$E270,G267:G270,$M267:$M270,O267:O270)</f>
        <v>-1.8156019386311728E-3</v>
      </c>
      <c r="W267" s="10">
        <f>bdrate($E267:$E270,H267:H270,$M267:$M270,P267:P270)</f>
        <v>-2.0772943676385935E-3</v>
      </c>
      <c r="X267" s="29"/>
      <c r="Y267" s="24"/>
      <c r="Z267" s="24"/>
      <c r="AA267" s="27"/>
      <c r="AC267" s="45">
        <f t="shared" si="17"/>
        <v>0.13360000000000127</v>
      </c>
      <c r="AD267" s="45">
        <f t="shared" si="16"/>
        <v>-1.1999999999972033E-3</v>
      </c>
      <c r="AE267" s="45">
        <f t="shared" si="16"/>
        <v>-1.0399999999997078E-2</v>
      </c>
      <c r="AF267" s="45">
        <f t="shared" si="16"/>
        <v>-1.4200000000002433E-2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195.49119999999999</v>
      </c>
      <c r="F268" s="46">
        <v>37.133499999999998</v>
      </c>
      <c r="G268" s="46">
        <v>45.165599999999998</v>
      </c>
      <c r="H268" s="46">
        <v>43.102899999999998</v>
      </c>
      <c r="I268" s="66"/>
      <c r="J268" s="66"/>
      <c r="K268" s="67"/>
      <c r="L268" s="29"/>
      <c r="M268" s="46">
        <v>195.4248</v>
      </c>
      <c r="N268" s="46">
        <v>37.133499999999998</v>
      </c>
      <c r="O268" s="46">
        <v>45.169400000000003</v>
      </c>
      <c r="P268" s="46">
        <v>43.107999999999997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6.6399999999987358E-2</v>
      </c>
      <c r="AD268" s="46">
        <f t="shared" si="16"/>
        <v>0</v>
      </c>
      <c r="AE268" s="46">
        <f t="shared" si="16"/>
        <v>-3.8000000000053547E-3</v>
      </c>
      <c r="AF268" s="46">
        <f t="shared" si="16"/>
        <v>-5.0999999999987722E-3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75.331199999999995</v>
      </c>
      <c r="F269" s="46">
        <v>35.24</v>
      </c>
      <c r="G269" s="46">
        <v>43.677900000000001</v>
      </c>
      <c r="H269" s="46">
        <v>41.821300000000001</v>
      </c>
      <c r="I269" s="66"/>
      <c r="J269" s="66"/>
      <c r="K269" s="67"/>
      <c r="L269" s="29"/>
      <c r="M269" s="46">
        <v>75.428799999999995</v>
      </c>
      <c r="N269" s="46">
        <v>35.241799999999998</v>
      </c>
      <c r="O269" s="46">
        <v>43.675199999999997</v>
      </c>
      <c r="P269" s="46">
        <v>41.816299999999998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-9.7599999999999909E-2</v>
      </c>
      <c r="AD269" s="46">
        <f t="shared" si="16"/>
        <v>-1.799999999995805E-3</v>
      </c>
      <c r="AE269" s="46">
        <f t="shared" si="16"/>
        <v>2.7000000000043656E-3</v>
      </c>
      <c r="AF269" s="46">
        <f t="shared" si="16"/>
        <v>5.000000000002558E-3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33.555199999999999</v>
      </c>
      <c r="F270" s="46">
        <v>33.264299999999999</v>
      </c>
      <c r="G270" s="46">
        <v>42.492199999999997</v>
      </c>
      <c r="H270" s="46">
        <v>40.867600000000003</v>
      </c>
      <c r="I270" s="66"/>
      <c r="J270" s="66"/>
      <c r="K270" s="67"/>
      <c r="L270" s="29"/>
      <c r="M270" s="46">
        <v>33.488799999999998</v>
      </c>
      <c r="N270" s="46">
        <v>33.2624</v>
      </c>
      <c r="O270" s="46">
        <v>42.4923</v>
      </c>
      <c r="P270" s="46">
        <v>40.863100000000003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6.6400000000001569E-2</v>
      </c>
      <c r="AD270" s="46">
        <f t="shared" si="16"/>
        <v>1.8999999999991246E-3</v>
      </c>
      <c r="AE270" s="46">
        <f t="shared" si="16"/>
        <v>-1.0000000000331966E-4</v>
      </c>
      <c r="AF270" s="46">
        <f t="shared" si="16"/>
        <v>4.5000000000001705E-3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690.97519999999997</v>
      </c>
      <c r="F271" s="45">
        <v>38.913499999999999</v>
      </c>
      <c r="G271" s="45">
        <v>46.417700000000004</v>
      </c>
      <c r="H271" s="45">
        <v>46.1265</v>
      </c>
      <c r="I271" s="79"/>
      <c r="J271" s="79"/>
      <c r="K271" s="80"/>
      <c r="L271" s="29"/>
      <c r="M271" s="45">
        <v>690.59199999999998</v>
      </c>
      <c r="N271" s="45">
        <v>38.9129</v>
      </c>
      <c r="O271" s="45">
        <v>46.431699999999999</v>
      </c>
      <c r="P271" s="45">
        <v>46.133200000000002</v>
      </c>
      <c r="Q271" s="79"/>
      <c r="R271" s="79"/>
      <c r="S271" s="80"/>
      <c r="U271" s="8">
        <f>bdrate($E271:$E274,F271:F274,$M271:$M274,N271:N274)</f>
        <v>7.0149697023569324E-4</v>
      </c>
      <c r="V271" s="9">
        <f>bdrate($E271:$E274,G271:G274,$M271:$M274,O271:O274)</f>
        <v>-1.416792201355932E-3</v>
      </c>
      <c r="W271" s="10">
        <f>bdrate($E271:$E274,H271:H274,$M271:$M274,P271:P274)</f>
        <v>-3.3092332918343015E-3</v>
      </c>
      <c r="X271" s="29"/>
      <c r="Y271" s="24"/>
      <c r="Z271" s="24"/>
      <c r="AA271" s="27"/>
      <c r="AC271" s="45">
        <f t="shared" si="17"/>
        <v>0.38319999999998799</v>
      </c>
      <c r="AD271" s="45">
        <f t="shared" si="16"/>
        <v>5.9999999999860165E-4</v>
      </c>
      <c r="AE271" s="45">
        <f t="shared" si="16"/>
        <v>-1.3999999999995794E-2</v>
      </c>
      <c r="AF271" s="45">
        <f t="shared" si="16"/>
        <v>-6.7000000000021487E-3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192.61199999999999</v>
      </c>
      <c r="F272" s="46">
        <v>36.948500000000003</v>
      </c>
      <c r="G272" s="46">
        <v>44.9831</v>
      </c>
      <c r="H272" s="46">
        <v>44.713799999999999</v>
      </c>
      <c r="I272" s="66"/>
      <c r="J272" s="66"/>
      <c r="K272" s="67"/>
      <c r="L272" s="29"/>
      <c r="M272" s="46">
        <v>193.14240000000001</v>
      </c>
      <c r="N272" s="46">
        <v>36.9495</v>
      </c>
      <c r="O272" s="46">
        <v>44.986699999999999</v>
      </c>
      <c r="P272" s="46">
        <v>44.713200000000001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-0.53040000000001442</v>
      </c>
      <c r="AD272" s="46">
        <f t="shared" si="16"/>
        <v>-9.9999999999766942E-4</v>
      </c>
      <c r="AE272" s="46">
        <f t="shared" si="16"/>
        <v>-3.5999999999987153E-3</v>
      </c>
      <c r="AF272" s="46">
        <f t="shared" si="16"/>
        <v>5.9999999999860165E-4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73.8904</v>
      </c>
      <c r="F273" s="46">
        <v>34.975299999999997</v>
      </c>
      <c r="G273" s="46">
        <v>43.481299999999997</v>
      </c>
      <c r="H273" s="46">
        <v>43.118899999999996</v>
      </c>
      <c r="I273" s="66"/>
      <c r="J273" s="66"/>
      <c r="K273" s="67"/>
      <c r="L273" s="29"/>
      <c r="M273" s="46">
        <v>73.900800000000004</v>
      </c>
      <c r="N273" s="46">
        <v>34.972900000000003</v>
      </c>
      <c r="O273" s="46">
        <v>43.476999999999997</v>
      </c>
      <c r="P273" s="46">
        <v>43.130899999999997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-1.0400000000004184E-2</v>
      </c>
      <c r="AD273" s="46">
        <f t="shared" si="16"/>
        <v>2.3999999999944066E-3</v>
      </c>
      <c r="AE273" s="46">
        <f t="shared" si="16"/>
        <v>4.3000000000006366E-3</v>
      </c>
      <c r="AF273" s="46">
        <f t="shared" si="16"/>
        <v>-1.2000000000000455E-2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31.381599999999999</v>
      </c>
      <c r="F274" s="72">
        <v>32.9495</v>
      </c>
      <c r="G274" s="72">
        <v>42.307499999999997</v>
      </c>
      <c r="H274" s="72">
        <v>41.917000000000002</v>
      </c>
      <c r="I274" s="68"/>
      <c r="J274" s="68"/>
      <c r="K274" s="69"/>
      <c r="L274" s="29"/>
      <c r="M274" s="72">
        <v>31.2104</v>
      </c>
      <c r="N274" s="72">
        <v>32.9467</v>
      </c>
      <c r="O274" s="72">
        <v>42.308399999999999</v>
      </c>
      <c r="P274" s="72">
        <v>41.921700000000001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0.17119999999999891</v>
      </c>
      <c r="AD274" s="72">
        <f t="shared" si="16"/>
        <v>2.8000000000005798E-3</v>
      </c>
      <c r="AE274" s="72">
        <f t="shared" si="16"/>
        <v>-9.0000000000145519E-4</v>
      </c>
      <c r="AF274" s="72">
        <f t="shared" si="16"/>
        <v>-4.6999999999997044E-3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164.36160000000001</v>
      </c>
      <c r="F275" s="45">
        <v>43.912999999999997</v>
      </c>
      <c r="G275" s="78"/>
      <c r="H275" s="78"/>
      <c r="I275" s="79"/>
      <c r="J275" s="79"/>
      <c r="K275" s="80"/>
      <c r="L275" s="29"/>
      <c r="M275" s="45">
        <v>164.2704</v>
      </c>
      <c r="N275" s="45">
        <v>43.911700000000003</v>
      </c>
      <c r="O275" s="78"/>
      <c r="P275" s="78"/>
      <c r="Q275" s="79"/>
      <c r="R275" s="79"/>
      <c r="S275" s="80"/>
      <c r="U275" s="8">
        <f>bdrate($E275:$E278,F275:F278,$M275:$M278,N275:N278)</f>
        <v>-4.7618393962016725E-3</v>
      </c>
      <c r="V275" s="9"/>
      <c r="W275" s="10"/>
      <c r="X275" s="29"/>
      <c r="Y275" s="24"/>
      <c r="Z275" s="24"/>
      <c r="AA275" s="27"/>
      <c r="AC275" s="45">
        <f t="shared" si="17"/>
        <v>9.1200000000014825E-2</v>
      </c>
      <c r="AD275" s="45">
        <f t="shared" si="16"/>
        <v>1.2999999999934175E-3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49.701599999999999</v>
      </c>
      <c r="F276" s="46">
        <v>40.810299999999998</v>
      </c>
      <c r="G276" s="70"/>
      <c r="H276" s="70"/>
      <c r="I276" s="66"/>
      <c r="J276" s="66"/>
      <c r="K276" s="67"/>
      <c r="L276" s="29"/>
      <c r="M276" s="46">
        <v>49.601599999999998</v>
      </c>
      <c r="N276" s="46">
        <v>40.816000000000003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0.10000000000000142</v>
      </c>
      <c r="AD276" s="46">
        <f t="shared" si="16"/>
        <v>-5.7000000000044793E-3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20.487200000000001</v>
      </c>
      <c r="F277" s="46">
        <v>37.318399999999997</v>
      </c>
      <c r="G277" s="70"/>
      <c r="H277" s="70"/>
      <c r="I277" s="66"/>
      <c r="J277" s="66"/>
      <c r="K277" s="67"/>
      <c r="L277" s="29"/>
      <c r="M277" s="46">
        <v>20.396000000000001</v>
      </c>
      <c r="N277" s="46">
        <v>37.339799999999997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9.1200000000000614E-2</v>
      </c>
      <c r="AD277" s="46">
        <f t="shared" si="16"/>
        <v>-2.1399999999999864E-2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9.7119999999999997</v>
      </c>
      <c r="F278" s="46">
        <v>33.9101</v>
      </c>
      <c r="G278" s="70"/>
      <c r="H278" s="70"/>
      <c r="I278" s="66"/>
      <c r="J278" s="66"/>
      <c r="K278" s="67"/>
      <c r="L278" s="29"/>
      <c r="M278" s="46">
        <v>9.7103999999999999</v>
      </c>
      <c r="N278" s="46">
        <v>33.8964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1.5999999999998238E-3</v>
      </c>
      <c r="AD278" s="46">
        <f t="shared" si="16"/>
        <v>1.3700000000000045E-2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99.918400000000005</v>
      </c>
      <c r="F279" s="45">
        <v>42.290100000000002</v>
      </c>
      <c r="G279" s="78"/>
      <c r="H279" s="78"/>
      <c r="I279" s="79"/>
      <c r="J279" s="79"/>
      <c r="K279" s="80"/>
      <c r="L279" s="29"/>
      <c r="M279" s="45">
        <v>100.7632</v>
      </c>
      <c r="N279" s="45">
        <v>42.311900000000001</v>
      </c>
      <c r="O279" s="78"/>
      <c r="P279" s="78"/>
      <c r="Q279" s="79"/>
      <c r="R279" s="79"/>
      <c r="S279" s="80"/>
      <c r="U279" s="8">
        <f>bdrate($E279:$E282,F279:F282,$M279:$M282,N279:N282)</f>
        <v>1.5090934954857804E-3</v>
      </c>
      <c r="V279" s="9"/>
      <c r="W279" s="10"/>
      <c r="X279" s="29"/>
      <c r="Y279" s="24"/>
      <c r="Z279" s="24"/>
      <c r="AA279" s="27"/>
      <c r="AC279" s="45">
        <f t="shared" si="17"/>
        <v>-0.84479999999999222</v>
      </c>
      <c r="AD279" s="45">
        <f t="shared" si="16"/>
        <v>-2.1799999999998931E-2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24.458400000000001</v>
      </c>
      <c r="F280" s="46">
        <v>39.543799999999997</v>
      </c>
      <c r="G280" s="70"/>
      <c r="H280" s="70"/>
      <c r="I280" s="66"/>
      <c r="J280" s="66"/>
      <c r="K280" s="67"/>
      <c r="L280" s="29"/>
      <c r="M280" s="46">
        <v>24.456</v>
      </c>
      <c r="N280" s="46">
        <v>39.4983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2.400000000001512E-3</v>
      </c>
      <c r="AD280" s="46">
        <f t="shared" si="16"/>
        <v>4.5499999999996987E-2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9.4296000000000006</v>
      </c>
      <c r="F281" s="46">
        <v>36.392899999999997</v>
      </c>
      <c r="G281" s="70"/>
      <c r="H281" s="70"/>
      <c r="I281" s="66"/>
      <c r="J281" s="66"/>
      <c r="K281" s="67"/>
      <c r="L281" s="29"/>
      <c r="M281" s="46">
        <v>9.3352000000000004</v>
      </c>
      <c r="N281" s="46">
        <v>36.4011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9.4400000000000261E-2</v>
      </c>
      <c r="AD281" s="46">
        <f t="shared" si="16"/>
        <v>-8.2000000000022055E-3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4.7872000000000003</v>
      </c>
      <c r="F282" s="46">
        <v>33.444200000000002</v>
      </c>
      <c r="G282" s="70"/>
      <c r="H282" s="70"/>
      <c r="I282" s="66"/>
      <c r="J282" s="66"/>
      <c r="K282" s="67"/>
      <c r="L282" s="29"/>
      <c r="M282" s="46">
        <v>4.8015999999999996</v>
      </c>
      <c r="N282" s="46">
        <v>33.448500000000003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-1.4399999999999302E-2</v>
      </c>
      <c r="AD282" s="46">
        <f t="shared" si="16"/>
        <v>-4.3000000000006366E-3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117.38160000000001</v>
      </c>
      <c r="F283" s="45">
        <v>41.772399999999998</v>
      </c>
      <c r="G283" s="78"/>
      <c r="H283" s="78"/>
      <c r="I283" s="79"/>
      <c r="J283" s="79"/>
      <c r="K283" s="80"/>
      <c r="L283" s="29"/>
      <c r="M283" s="45">
        <v>117.4072</v>
      </c>
      <c r="N283" s="45">
        <v>41.7699</v>
      </c>
      <c r="O283" s="78"/>
      <c r="P283" s="78"/>
      <c r="Q283" s="79"/>
      <c r="R283" s="79"/>
      <c r="S283" s="80"/>
      <c r="U283" s="8">
        <f>bdrate($E283:$E286,F283:F286,$M283:$M286,N283:N286)</f>
        <v>-1.1743865200819492E-4</v>
      </c>
      <c r="V283" s="9"/>
      <c r="W283" s="10"/>
      <c r="X283" s="29"/>
      <c r="Y283" s="24"/>
      <c r="Z283" s="24"/>
      <c r="AA283" s="27"/>
      <c r="AC283" s="45">
        <f t="shared" si="17"/>
        <v>-2.5599999999997181E-2</v>
      </c>
      <c r="AD283" s="45">
        <f t="shared" si="16"/>
        <v>2.4999999999977263E-3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28.224799999999998</v>
      </c>
      <c r="F284" s="46">
        <v>38.985100000000003</v>
      </c>
      <c r="G284" s="70"/>
      <c r="H284" s="70"/>
      <c r="I284" s="66"/>
      <c r="J284" s="66"/>
      <c r="K284" s="67"/>
      <c r="L284" s="29"/>
      <c r="M284" s="46">
        <v>28.224799999999998</v>
      </c>
      <c r="N284" s="46">
        <v>39.007899999999999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0</v>
      </c>
      <c r="AD284" s="46">
        <f t="shared" si="16"/>
        <v>-2.2799999999996601E-2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10.2872</v>
      </c>
      <c r="F285" s="46">
        <v>36.0794</v>
      </c>
      <c r="G285" s="70"/>
      <c r="H285" s="70"/>
      <c r="I285" s="66"/>
      <c r="J285" s="66"/>
      <c r="K285" s="67"/>
      <c r="L285" s="29"/>
      <c r="M285" s="46">
        <v>10.3416</v>
      </c>
      <c r="N285" s="46">
        <v>36.088000000000001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-5.4399999999999338E-2</v>
      </c>
      <c r="AD285" s="46">
        <f t="shared" si="16"/>
        <v>-8.6000000000012733E-3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4.7656000000000001</v>
      </c>
      <c r="F286" s="46">
        <v>33.063299999999998</v>
      </c>
      <c r="G286" s="70"/>
      <c r="H286" s="70"/>
      <c r="I286" s="66"/>
      <c r="J286" s="66"/>
      <c r="K286" s="67"/>
      <c r="L286" s="29"/>
      <c r="M286" s="46">
        <v>4.8632</v>
      </c>
      <c r="N286" s="46">
        <v>33.082500000000003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-9.7599999999999909E-2</v>
      </c>
      <c r="AD286" s="46">
        <f t="shared" si="16"/>
        <v>-1.9200000000004991E-2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40.001100000000001</v>
      </c>
      <c r="G287" s="45">
        <v>46.615900000000003</v>
      </c>
      <c r="H287" s="45">
        <v>45.986600000000003</v>
      </c>
      <c r="I287" s="79"/>
      <c r="J287" s="79"/>
      <c r="K287" s="80"/>
      <c r="L287" s="29"/>
      <c r="M287" s="78"/>
      <c r="N287" s="45">
        <v>40.001600000000003</v>
      </c>
      <c r="O287" s="45">
        <v>46.646999999999998</v>
      </c>
      <c r="P287" s="45">
        <v>45.956299999999999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-5.0000000000238742E-4</v>
      </c>
      <c r="AE287" s="45">
        <f t="shared" si="16"/>
        <v>-3.1099999999995021E-2</v>
      </c>
      <c r="AF287" s="45">
        <f t="shared" si="16"/>
        <v>3.030000000000399E-2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37.927700000000002</v>
      </c>
      <c r="G288" s="46">
        <v>45.135899999999999</v>
      </c>
      <c r="H288" s="46">
        <v>44.350200000000001</v>
      </c>
      <c r="I288" s="66"/>
      <c r="J288" s="66"/>
      <c r="K288" s="67"/>
      <c r="L288" s="29"/>
      <c r="M288" s="70"/>
      <c r="N288" s="46">
        <v>37.926699999999997</v>
      </c>
      <c r="O288" s="46">
        <v>45.117100000000001</v>
      </c>
      <c r="P288" s="46">
        <v>44.337299999999999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1.0000000000047748E-3</v>
      </c>
      <c r="AE288" s="46">
        <f t="shared" si="16"/>
        <v>1.8799999999998818E-2</v>
      </c>
      <c r="AF288" s="46">
        <f t="shared" si="16"/>
        <v>1.290000000000191E-2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35.882300000000001</v>
      </c>
      <c r="G289" s="46">
        <v>43.6905</v>
      </c>
      <c r="H289" s="46">
        <v>42.994599999999998</v>
      </c>
      <c r="I289" s="66"/>
      <c r="J289" s="66"/>
      <c r="K289" s="67"/>
      <c r="L289" s="29"/>
      <c r="M289" s="70"/>
      <c r="N289" s="46">
        <v>35.8842</v>
      </c>
      <c r="O289" s="46">
        <v>43.656399999999998</v>
      </c>
      <c r="P289" s="46">
        <v>43.007899999999999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-1.8999999999991246E-3</v>
      </c>
      <c r="AE289" s="46">
        <f t="shared" si="16"/>
        <v>3.410000000000224E-2</v>
      </c>
      <c r="AF289" s="46">
        <f t="shared" si="16"/>
        <v>-1.3300000000000978E-2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33.774000000000001</v>
      </c>
      <c r="G290" s="72">
        <v>42.5017</v>
      </c>
      <c r="H290" s="72">
        <v>41.994999999999997</v>
      </c>
      <c r="I290" s="68"/>
      <c r="J290" s="68"/>
      <c r="K290" s="69"/>
      <c r="L290" s="29"/>
      <c r="M290" s="81"/>
      <c r="N290" s="72">
        <v>33.772199999999998</v>
      </c>
      <c r="O290" s="72">
        <v>42.4968</v>
      </c>
      <c r="P290" s="72">
        <v>41.995600000000003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1.8000000000029104E-3</v>
      </c>
      <c r="AE290" s="72">
        <f t="shared" si="16"/>
        <v>4.8999999999992383E-3</v>
      </c>
      <c r="AF290" s="72">
        <f t="shared" si="16"/>
        <v>-6.0000000000570708E-4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40.707700000000003</v>
      </c>
      <c r="G291" s="45">
        <v>47.352499999999999</v>
      </c>
      <c r="H291" s="45">
        <v>46.860300000000002</v>
      </c>
      <c r="I291" s="66"/>
      <c r="J291" s="66"/>
      <c r="K291" s="67"/>
      <c r="L291" s="29"/>
      <c r="M291" s="70"/>
      <c r="N291" s="45">
        <v>40.708199999999998</v>
      </c>
      <c r="O291" s="45">
        <v>47.357100000000003</v>
      </c>
      <c r="P291" s="45">
        <v>46.8459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-4.99999999995282E-4</v>
      </c>
      <c r="AE291" s="45">
        <f t="shared" si="16"/>
        <v>-4.6000000000034902E-3</v>
      </c>
      <c r="AF291" s="45">
        <f t="shared" si="16"/>
        <v>1.4400000000001967E-2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38.417200000000001</v>
      </c>
      <c r="G292" s="46">
        <v>45.6875</v>
      </c>
      <c r="H292" s="46">
        <v>45.1357</v>
      </c>
      <c r="I292" s="66"/>
      <c r="J292" s="66"/>
      <c r="K292" s="67"/>
      <c r="L292" s="29"/>
      <c r="M292" s="70"/>
      <c r="N292" s="46">
        <v>38.418100000000003</v>
      </c>
      <c r="O292" s="46">
        <v>45.676000000000002</v>
      </c>
      <c r="P292" s="46">
        <v>45.130699999999997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-9.0000000000145519E-4</v>
      </c>
      <c r="AE292" s="46">
        <f t="shared" si="16"/>
        <v>1.1499999999998067E-2</v>
      </c>
      <c r="AF292" s="46">
        <f t="shared" si="16"/>
        <v>5.000000000002558E-3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36.2438</v>
      </c>
      <c r="G293" s="46">
        <v>44.030700000000003</v>
      </c>
      <c r="H293" s="46">
        <v>43.533900000000003</v>
      </c>
      <c r="I293" s="66"/>
      <c r="J293" s="66"/>
      <c r="K293" s="67"/>
      <c r="L293" s="29"/>
      <c r="M293" s="70"/>
      <c r="N293" s="46">
        <v>36.247599999999998</v>
      </c>
      <c r="O293" s="46">
        <v>43.999499999999998</v>
      </c>
      <c r="P293" s="46">
        <v>43.552100000000003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-3.7999999999982492E-3</v>
      </c>
      <c r="AE293" s="46">
        <f t="shared" si="16"/>
        <v>3.1200000000005446E-2</v>
      </c>
      <c r="AF293" s="46">
        <f t="shared" si="16"/>
        <v>-1.8200000000000216E-2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34.034500000000001</v>
      </c>
      <c r="G294" s="72">
        <v>42.715200000000003</v>
      </c>
      <c r="H294" s="72">
        <v>42.370399999999997</v>
      </c>
      <c r="I294" s="68"/>
      <c r="J294" s="68"/>
      <c r="K294" s="69"/>
      <c r="L294" s="29"/>
      <c r="M294" s="81"/>
      <c r="N294" s="46">
        <v>34.033200000000001</v>
      </c>
      <c r="O294" s="72">
        <v>42.716999999999999</v>
      </c>
      <c r="P294" s="72">
        <v>42.373100000000001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1.300000000000523E-3</v>
      </c>
      <c r="AE294" s="46">
        <f t="shared" si="16"/>
        <v>-1.799999999995805E-3</v>
      </c>
      <c r="AF294" s="46">
        <f t="shared" si="16"/>
        <v>-2.7000000000043656E-3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40.616700000000002</v>
      </c>
      <c r="G295" s="45">
        <v>47.559100000000001</v>
      </c>
      <c r="H295" s="45">
        <v>47.1967</v>
      </c>
      <c r="I295" s="66"/>
      <c r="J295" s="66"/>
      <c r="K295" s="67"/>
      <c r="L295" s="29"/>
      <c r="M295" s="70"/>
      <c r="N295" s="45">
        <v>40.6175</v>
      </c>
      <c r="O295" s="45">
        <v>47.564599999999999</v>
      </c>
      <c r="P295" s="45">
        <v>47.193399999999997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-7.9999999999813554E-4</v>
      </c>
      <c r="AE295" s="45">
        <f t="shared" si="16"/>
        <v>-5.49999999999784E-3</v>
      </c>
      <c r="AF295" s="45">
        <f t="shared" si="16"/>
        <v>3.3000000000029672E-3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38.407899999999998</v>
      </c>
      <c r="G296" s="46">
        <v>46.014499999999998</v>
      </c>
      <c r="H296" s="46">
        <v>45.582900000000002</v>
      </c>
      <c r="I296" s="66"/>
      <c r="J296" s="66"/>
      <c r="K296" s="67"/>
      <c r="L296" s="29"/>
      <c r="M296" s="70"/>
      <c r="N296" s="46">
        <v>38.408900000000003</v>
      </c>
      <c r="O296" s="46">
        <v>46.015099999999997</v>
      </c>
      <c r="P296" s="46">
        <v>45.584000000000003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-1.0000000000047748E-3</v>
      </c>
      <c r="AE296" s="46">
        <f t="shared" si="16"/>
        <v>-5.9999999999860165E-4</v>
      </c>
      <c r="AF296" s="46">
        <f t="shared" si="16"/>
        <v>-1.1000000000009891E-3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36.247500000000002</v>
      </c>
      <c r="G297" s="46">
        <v>44.188400000000001</v>
      </c>
      <c r="H297" s="46">
        <v>43.784500000000001</v>
      </c>
      <c r="I297" s="66"/>
      <c r="J297" s="66"/>
      <c r="K297" s="67"/>
      <c r="L297" s="29"/>
      <c r="M297" s="70"/>
      <c r="N297" s="46">
        <v>36.249699999999997</v>
      </c>
      <c r="O297" s="46">
        <v>44.1858</v>
      </c>
      <c r="P297" s="46">
        <v>43.784799999999997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-2.1999999999948727E-3</v>
      </c>
      <c r="AE297" s="46">
        <f t="shared" si="16"/>
        <v>2.6000000000010459E-3</v>
      </c>
      <c r="AF297" s="46">
        <f t="shared" si="16"/>
        <v>-2.9999999999574811E-4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34.034999999999997</v>
      </c>
      <c r="G298" s="72">
        <v>42.873199999999997</v>
      </c>
      <c r="H298" s="72">
        <v>42.538400000000003</v>
      </c>
      <c r="I298" s="68"/>
      <c r="J298" s="68"/>
      <c r="K298" s="69"/>
      <c r="L298" s="29"/>
      <c r="M298" s="81"/>
      <c r="N298" s="46">
        <v>34.034500000000001</v>
      </c>
      <c r="O298" s="72">
        <v>42.875100000000003</v>
      </c>
      <c r="P298" s="72">
        <v>42.537599999999998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4.99999999995282E-4</v>
      </c>
      <c r="AE298" s="46">
        <f t="shared" si="16"/>
        <v>-1.90000000000623E-3</v>
      </c>
      <c r="AF298" s="46">
        <f t="shared" si="16"/>
        <v>8.0000000000524096E-4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40.567900000000002</v>
      </c>
      <c r="G299" s="45">
        <v>47.484299999999998</v>
      </c>
      <c r="H299" s="45">
        <v>47.012500000000003</v>
      </c>
      <c r="I299" s="66"/>
      <c r="J299" s="66"/>
      <c r="K299" s="67"/>
      <c r="L299" s="29"/>
      <c r="M299" s="70"/>
      <c r="N299" s="45">
        <v>40.570300000000003</v>
      </c>
      <c r="O299" s="45">
        <v>47.486600000000003</v>
      </c>
      <c r="P299" s="45">
        <v>47.014499999999998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-2.400000000001512E-3</v>
      </c>
      <c r="AE299" s="45">
        <f t="shared" si="16"/>
        <v>-2.3000000000052978E-3</v>
      </c>
      <c r="AF299" s="45">
        <f t="shared" si="16"/>
        <v>-1.9999999999953388E-3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38.350900000000003</v>
      </c>
      <c r="G300" s="46">
        <v>45.9238</v>
      </c>
      <c r="H300" s="46">
        <v>45.382399999999997</v>
      </c>
      <c r="I300" s="66"/>
      <c r="J300" s="66"/>
      <c r="K300" s="67"/>
      <c r="L300" s="29"/>
      <c r="M300" s="70"/>
      <c r="N300" s="46">
        <v>38.352699999999999</v>
      </c>
      <c r="O300" s="46">
        <v>45.930199999999999</v>
      </c>
      <c r="P300" s="46">
        <v>45.381599999999999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-1.799999999995805E-3</v>
      </c>
      <c r="AE300" s="46">
        <f t="shared" si="16"/>
        <v>-6.3999999999992951E-3</v>
      </c>
      <c r="AF300" s="46">
        <f t="shared" si="16"/>
        <v>7.9999999999813554E-4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36.186399999999999</v>
      </c>
      <c r="G301" s="46">
        <v>44.085999999999999</v>
      </c>
      <c r="H301" s="46">
        <v>43.5548</v>
      </c>
      <c r="I301" s="66"/>
      <c r="J301" s="66"/>
      <c r="K301" s="67"/>
      <c r="L301" s="29"/>
      <c r="M301" s="70"/>
      <c r="N301" s="46">
        <v>36.185699999999997</v>
      </c>
      <c r="O301" s="46">
        <v>44.085599999999999</v>
      </c>
      <c r="P301" s="46">
        <v>43.5565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7.0000000000192131E-4</v>
      </c>
      <c r="AE301" s="46">
        <f t="shared" si="16"/>
        <v>3.9999999999906777E-4</v>
      </c>
      <c r="AF301" s="46">
        <f t="shared" si="16"/>
        <v>-1.6999999999995907E-3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33.960500000000003</v>
      </c>
      <c r="G302" s="72">
        <v>42.748199999999997</v>
      </c>
      <c r="H302" s="72">
        <v>42.276299999999999</v>
      </c>
      <c r="I302" s="68"/>
      <c r="J302" s="68"/>
      <c r="K302" s="69"/>
      <c r="L302" s="29"/>
      <c r="M302" s="81"/>
      <c r="N302" s="46">
        <v>33.959099999999999</v>
      </c>
      <c r="O302" s="72">
        <v>42.748199999999997</v>
      </c>
      <c r="P302" s="72">
        <v>42.276800000000001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1.4000000000038426E-3</v>
      </c>
      <c r="AE302" s="46">
        <f t="shared" si="16"/>
        <v>0</v>
      </c>
      <c r="AF302" s="46">
        <f t="shared" si="16"/>
        <v>-5.0000000000238742E-4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40.604500000000002</v>
      </c>
      <c r="G303" s="45">
        <v>47.044899999999998</v>
      </c>
      <c r="H303" s="45">
        <v>46.810099999999998</v>
      </c>
      <c r="I303" s="66"/>
      <c r="J303" s="66"/>
      <c r="K303" s="67"/>
      <c r="L303" s="29"/>
      <c r="M303" s="70"/>
      <c r="N303" s="45">
        <v>40.605499999999999</v>
      </c>
      <c r="O303" s="45">
        <v>47.044400000000003</v>
      </c>
      <c r="P303" s="45">
        <v>46.813499999999998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-9.9999999999766942E-4</v>
      </c>
      <c r="AE303" s="45">
        <f t="shared" si="16"/>
        <v>4.99999999995282E-4</v>
      </c>
      <c r="AF303" s="45">
        <f t="shared" si="16"/>
        <v>-3.3999999999991815E-3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38.274999999999999</v>
      </c>
      <c r="G304" s="46">
        <v>45.537999999999997</v>
      </c>
      <c r="H304" s="46">
        <v>45.207099999999997</v>
      </c>
      <c r="I304" s="66"/>
      <c r="J304" s="66"/>
      <c r="K304" s="67"/>
      <c r="L304" s="29"/>
      <c r="M304" s="70"/>
      <c r="N304" s="46">
        <v>38.274500000000003</v>
      </c>
      <c r="O304" s="46">
        <v>45.532400000000003</v>
      </c>
      <c r="P304" s="46">
        <v>45.198300000000003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4.99999999995282E-4</v>
      </c>
      <c r="AE304" s="46">
        <f t="shared" si="16"/>
        <v>5.5999999999940542E-3</v>
      </c>
      <c r="AF304" s="46">
        <f t="shared" si="16"/>
        <v>8.7999999999937017E-3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36.080100000000002</v>
      </c>
      <c r="G305" s="46">
        <v>43.7744</v>
      </c>
      <c r="H305" s="46">
        <v>43.400300000000001</v>
      </c>
      <c r="I305" s="66"/>
      <c r="J305" s="66"/>
      <c r="K305" s="67"/>
      <c r="L305" s="29"/>
      <c r="M305" s="70"/>
      <c r="N305" s="46">
        <v>36.078899999999997</v>
      </c>
      <c r="O305" s="46">
        <v>43.763300000000001</v>
      </c>
      <c r="P305" s="46">
        <v>43.416499999999999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1.2000000000043087E-3</v>
      </c>
      <c r="AE305" s="46">
        <f t="shared" si="16"/>
        <v>1.1099999999999E-2</v>
      </c>
      <c r="AF305" s="46">
        <f t="shared" si="16"/>
        <v>-1.6199999999997772E-2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33.856999999999999</v>
      </c>
      <c r="G306" s="72">
        <v>42.471699999999998</v>
      </c>
      <c r="H306" s="72">
        <v>42.0426</v>
      </c>
      <c r="I306" s="68"/>
      <c r="J306" s="68"/>
      <c r="K306" s="69"/>
      <c r="L306" s="29"/>
      <c r="M306" s="81"/>
      <c r="N306" s="72">
        <v>33.852899999999998</v>
      </c>
      <c r="O306" s="72">
        <v>42.472900000000003</v>
      </c>
      <c r="P306" s="72">
        <v>42.068100000000001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4.1000000000011028E-3</v>
      </c>
      <c r="AE306" s="72">
        <f t="shared" si="16"/>
        <v>-1.2000000000043087E-3</v>
      </c>
      <c r="AF306" s="72">
        <f t="shared" si="16"/>
        <v>-2.5500000000000966E-2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39.906799999999997</v>
      </c>
      <c r="G307" s="45">
        <v>46.222799999999999</v>
      </c>
      <c r="H307" s="45">
        <v>46.390599999999999</v>
      </c>
      <c r="I307" s="66"/>
      <c r="J307" s="66"/>
      <c r="K307" s="67"/>
      <c r="L307" s="29"/>
      <c r="M307" s="70"/>
      <c r="N307" s="45">
        <v>39.905200000000001</v>
      </c>
      <c r="O307" s="45">
        <v>46.219799999999999</v>
      </c>
      <c r="P307" s="45">
        <v>46.398800000000001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1.5999999999962711E-3</v>
      </c>
      <c r="AE307" s="45">
        <f t="shared" si="16"/>
        <v>3.0000000000001137E-3</v>
      </c>
      <c r="AF307" s="45">
        <f t="shared" si="16"/>
        <v>-8.2000000000022055E-3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37.745699999999999</v>
      </c>
      <c r="G308" s="46">
        <v>44.902799999999999</v>
      </c>
      <c r="H308" s="46">
        <v>44.875300000000003</v>
      </c>
      <c r="I308" s="66"/>
      <c r="J308" s="66"/>
      <c r="K308" s="67"/>
      <c r="L308" s="29"/>
      <c r="M308" s="70"/>
      <c r="N308" s="46">
        <v>37.744599999999998</v>
      </c>
      <c r="O308" s="46">
        <v>44.904800000000002</v>
      </c>
      <c r="P308" s="46">
        <v>44.878599999999999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1.1000000000009891E-3</v>
      </c>
      <c r="AE308" s="46">
        <f t="shared" si="16"/>
        <v>-2.0000000000024443E-3</v>
      </c>
      <c r="AF308" s="46">
        <f t="shared" si="16"/>
        <v>-3.2999999999958618E-3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35.662500000000001</v>
      </c>
      <c r="G309" s="46">
        <v>43.355699999999999</v>
      </c>
      <c r="H309" s="46">
        <v>43.2057</v>
      </c>
      <c r="I309" s="66"/>
      <c r="J309" s="66"/>
      <c r="K309" s="67"/>
      <c r="L309" s="29"/>
      <c r="M309" s="70"/>
      <c r="N309" s="46">
        <v>35.6616</v>
      </c>
      <c r="O309" s="46">
        <v>43.339799999999997</v>
      </c>
      <c r="P309" s="46">
        <v>43.221600000000002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9.0000000000145519E-4</v>
      </c>
      <c r="AE309" s="46">
        <f t="shared" si="16"/>
        <v>1.5900000000002024E-2</v>
      </c>
      <c r="AF309" s="46">
        <f t="shared" si="16"/>
        <v>-1.5900000000002024E-2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33.541200000000003</v>
      </c>
      <c r="G310" s="72">
        <v>42.1492</v>
      </c>
      <c r="H310" s="72">
        <v>41.914000000000001</v>
      </c>
      <c r="I310" s="68"/>
      <c r="J310" s="68"/>
      <c r="K310" s="69"/>
      <c r="L310" s="29"/>
      <c r="M310" s="81"/>
      <c r="N310" s="72">
        <v>33.5364</v>
      </c>
      <c r="O310" s="72">
        <v>42.151899999999998</v>
      </c>
      <c r="P310" s="72">
        <v>41.942999999999998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4.8000000000030241E-3</v>
      </c>
      <c r="AE310" s="72">
        <f t="shared" si="16"/>
        <v>-2.6999999999972601E-3</v>
      </c>
      <c r="AF310" s="72">
        <f t="shared" si="16"/>
        <v>-2.8999999999996362E-2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4219.3263999999999</v>
      </c>
      <c r="F311" s="70"/>
      <c r="G311" s="70"/>
      <c r="H311" s="70"/>
      <c r="I311" s="45">
        <v>42094.59</v>
      </c>
      <c r="J311" s="45">
        <v>89.34</v>
      </c>
      <c r="K311" s="45">
        <v>734.13</v>
      </c>
      <c r="L311" s="29"/>
      <c r="M311" s="45">
        <v>4219.5888000000004</v>
      </c>
      <c r="N311" s="70"/>
      <c r="O311" s="70"/>
      <c r="P311" s="70"/>
      <c r="Q311" s="45">
        <v>41998.2</v>
      </c>
      <c r="R311" s="45">
        <v>91.15</v>
      </c>
      <c r="S311" s="45">
        <v>729.91</v>
      </c>
      <c r="U311" s="8"/>
      <c r="V311" s="9"/>
      <c r="W311" s="10"/>
      <c r="X311" s="29"/>
      <c r="Y311" s="61">
        <f>GEOMEAN(Q311:Q314)/GEOMEAN(I311:I314)</f>
        <v>1.0017549885132948</v>
      </c>
      <c r="Z311" s="61">
        <f>GEOMEAN(R311:R314)/GEOMEAN(J311:J314)</f>
        <v>1.0061503514963579</v>
      </c>
      <c r="AA311" s="57">
        <f>GEOMEAN(S311:S314)/GEOMEAN(K311:K314)</f>
        <v>0.9985881161040957</v>
      </c>
      <c r="AC311" s="45">
        <f>E311 -M311</f>
        <v>-0.26240000000052532</v>
      </c>
      <c r="AD311" s="70"/>
      <c r="AE311" s="70"/>
      <c r="AF311" s="70"/>
      <c r="AG311" s="45">
        <f t="shared" ref="AG311:AI314" si="18">I311 -Q311</f>
        <v>96.389999999999418</v>
      </c>
      <c r="AH311" s="45">
        <f t="shared" si="18"/>
        <v>-1.8100000000000023</v>
      </c>
      <c r="AI311" s="45">
        <f t="shared" si="18"/>
        <v>4.2200000000000273</v>
      </c>
    </row>
    <row r="312" spans="1:35" ht="12">
      <c r="B312" s="36"/>
      <c r="C312" s="29"/>
      <c r="D312" s="32">
        <v>30</v>
      </c>
      <c r="E312" s="46">
        <v>1451.7544</v>
      </c>
      <c r="F312" s="70"/>
      <c r="G312" s="70"/>
      <c r="H312" s="70"/>
      <c r="I312" s="46">
        <v>32206.81</v>
      </c>
      <c r="J312" s="46">
        <v>83.67</v>
      </c>
      <c r="K312" s="46">
        <v>727.06</v>
      </c>
      <c r="L312" s="29"/>
      <c r="M312" s="46">
        <v>1452.116</v>
      </c>
      <c r="N312" s="70"/>
      <c r="O312" s="70"/>
      <c r="P312" s="70"/>
      <c r="Q312" s="46">
        <v>32273.360000000001</v>
      </c>
      <c r="R312" s="46">
        <v>81.81</v>
      </c>
      <c r="S312" s="46">
        <v>723.36</v>
      </c>
      <c r="U312" s="41"/>
      <c r="V312" s="42"/>
      <c r="W312" s="43"/>
      <c r="X312" s="29"/>
      <c r="Y312" s="24"/>
      <c r="Z312" s="24"/>
      <c r="AA312" s="27"/>
      <c r="AC312" s="46">
        <f>E312 -M312</f>
        <v>-0.36159999999995307</v>
      </c>
      <c r="AD312" s="70"/>
      <c r="AE312" s="70"/>
      <c r="AF312" s="70"/>
      <c r="AG312" s="46">
        <f t="shared" si="18"/>
        <v>-66.549999999999272</v>
      </c>
      <c r="AH312" s="46">
        <f t="shared" si="18"/>
        <v>1.8599999999999994</v>
      </c>
      <c r="AI312" s="46">
        <f t="shared" si="18"/>
        <v>3.6999999999999318</v>
      </c>
    </row>
    <row r="313" spans="1:35" ht="12">
      <c r="B313" s="36"/>
      <c r="C313" s="29"/>
      <c r="D313" s="32">
        <v>35</v>
      </c>
      <c r="E313" s="46">
        <v>656.03520000000003</v>
      </c>
      <c r="F313" s="70"/>
      <c r="G313" s="70"/>
      <c r="H313" s="70"/>
      <c r="I313" s="46">
        <v>28145.86</v>
      </c>
      <c r="J313" s="46">
        <v>78.47</v>
      </c>
      <c r="K313" s="46">
        <v>730.02</v>
      </c>
      <c r="L313" s="29"/>
      <c r="M313" s="46">
        <v>656.01199999999994</v>
      </c>
      <c r="N313" s="70"/>
      <c r="O313" s="70"/>
      <c r="P313" s="70"/>
      <c r="Q313" s="46">
        <v>28149.360000000001</v>
      </c>
      <c r="R313" s="46">
        <v>80.5</v>
      </c>
      <c r="S313" s="46">
        <v>736.69</v>
      </c>
      <c r="U313" s="17"/>
      <c r="V313" s="18"/>
      <c r="W313" s="19"/>
      <c r="X313" s="29"/>
      <c r="Y313" s="24"/>
      <c r="Z313" s="24"/>
      <c r="AA313" s="27"/>
      <c r="AC313" s="46">
        <f>E313 -M313</f>
        <v>2.3200000000088039E-2</v>
      </c>
      <c r="AD313" s="70"/>
      <c r="AE313" s="70"/>
      <c r="AF313" s="70"/>
      <c r="AG313" s="46">
        <f t="shared" si="18"/>
        <v>-3.5</v>
      </c>
      <c r="AH313" s="46">
        <f t="shared" si="18"/>
        <v>-2.0300000000000011</v>
      </c>
      <c r="AI313" s="46">
        <f t="shared" si="18"/>
        <v>-6.6700000000000728</v>
      </c>
    </row>
    <row r="314" spans="1:35" ht="12.75" thickBot="1">
      <c r="B314" s="52"/>
      <c r="C314" s="53"/>
      <c r="D314" s="71">
        <v>40</v>
      </c>
      <c r="E314" s="72">
        <v>330.56079999999997</v>
      </c>
      <c r="F314" s="81"/>
      <c r="G314" s="81"/>
      <c r="H314" s="81"/>
      <c r="I314" s="72">
        <v>25168.29</v>
      </c>
      <c r="J314" s="72">
        <v>78.010000000000005</v>
      </c>
      <c r="K314" s="72">
        <v>725.65</v>
      </c>
      <c r="L314" s="29"/>
      <c r="M314" s="72">
        <v>330.43360000000001</v>
      </c>
      <c r="N314" s="81"/>
      <c r="O314" s="81"/>
      <c r="P314" s="81"/>
      <c r="Q314" s="72">
        <v>25348.07</v>
      </c>
      <c r="R314" s="72">
        <v>78.12</v>
      </c>
      <c r="S314" s="72">
        <v>722.84</v>
      </c>
      <c r="U314" s="85"/>
      <c r="V314" s="86"/>
      <c r="W314" s="87"/>
      <c r="X314" s="29"/>
      <c r="Y314" s="49"/>
      <c r="Z314" s="49"/>
      <c r="AA314" s="54"/>
      <c r="AC314" s="72">
        <f>E314 -M314</f>
        <v>0.12719999999995935</v>
      </c>
      <c r="AD314" s="81"/>
      <c r="AE314" s="81"/>
      <c r="AF314" s="81"/>
      <c r="AG314" s="72">
        <f t="shared" si="18"/>
        <v>-179.77999999999884</v>
      </c>
      <c r="AH314" s="72">
        <f t="shared" si="18"/>
        <v>-0.10999999999999943</v>
      </c>
      <c r="AI314" s="72">
        <f t="shared" si="18"/>
        <v>2.8099999999999454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4630.7079999999996</v>
      </c>
      <c r="F315" s="45">
        <v>38.8048</v>
      </c>
      <c r="G315" s="45">
        <v>46.653799999999997</v>
      </c>
      <c r="H315" s="45">
        <v>45.9587</v>
      </c>
      <c r="I315" s="79"/>
      <c r="J315" s="79"/>
      <c r="K315" s="80"/>
      <c r="L315" s="29"/>
      <c r="M315" s="45">
        <v>4630.7079999999996</v>
      </c>
      <c r="N315" s="45">
        <v>38.8048</v>
      </c>
      <c r="O315" s="45">
        <v>46.653799999999997</v>
      </c>
      <c r="P315" s="45">
        <v>45.9587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2006.9952000000001</v>
      </c>
      <c r="F316" s="46">
        <v>35.911999999999999</v>
      </c>
      <c r="G316" s="46">
        <v>45.149700000000003</v>
      </c>
      <c r="H316" s="46">
        <v>44.572000000000003</v>
      </c>
      <c r="I316" s="66"/>
      <c r="J316" s="66"/>
      <c r="K316" s="67"/>
      <c r="L316" s="29"/>
      <c r="M316" s="46">
        <v>2006.9952000000001</v>
      </c>
      <c r="N316" s="46">
        <v>35.911999999999999</v>
      </c>
      <c r="O316" s="46">
        <v>45.149700000000003</v>
      </c>
      <c r="P316" s="46">
        <v>44.572000000000003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917.1232</v>
      </c>
      <c r="F317" s="46">
        <v>33.379800000000003</v>
      </c>
      <c r="G317" s="46">
        <v>43.7883</v>
      </c>
      <c r="H317" s="46">
        <v>43.339700000000001</v>
      </c>
      <c r="I317" s="66"/>
      <c r="J317" s="66"/>
      <c r="K317" s="67"/>
      <c r="L317" s="29"/>
      <c r="M317" s="46">
        <v>917.1232</v>
      </c>
      <c r="N317" s="46">
        <v>33.379800000000003</v>
      </c>
      <c r="O317" s="46">
        <v>43.7883</v>
      </c>
      <c r="P317" s="46">
        <v>43.339700000000001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425.2296</v>
      </c>
      <c r="F318" s="46">
        <v>31.0777</v>
      </c>
      <c r="G318" s="46">
        <v>42.991799999999998</v>
      </c>
      <c r="H318" s="46">
        <v>42.585000000000001</v>
      </c>
      <c r="I318" s="66"/>
      <c r="J318" s="66"/>
      <c r="K318" s="67"/>
      <c r="L318" s="29"/>
      <c r="M318" s="46">
        <v>425.2296</v>
      </c>
      <c r="N318" s="46">
        <v>31.0777</v>
      </c>
      <c r="O318" s="46">
        <v>42.991799999999998</v>
      </c>
      <c r="P318" s="46">
        <v>42.585000000000001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906.45119999999997</v>
      </c>
      <c r="F319" s="45">
        <v>37.9786</v>
      </c>
      <c r="G319" s="45">
        <v>46.573</v>
      </c>
      <c r="H319" s="45">
        <v>45.973300000000002</v>
      </c>
      <c r="I319" s="79"/>
      <c r="J319" s="79"/>
      <c r="K319" s="80"/>
      <c r="L319" s="29"/>
      <c r="M319" s="45">
        <v>907.18799999999999</v>
      </c>
      <c r="N319" s="45">
        <v>37.978400000000001</v>
      </c>
      <c r="O319" s="45">
        <v>46.576999999999998</v>
      </c>
      <c r="P319" s="45">
        <v>45.973599999999998</v>
      </c>
      <c r="Q319" s="79"/>
      <c r="R319" s="79"/>
      <c r="S319" s="80"/>
      <c r="U319" s="8">
        <f>bdrate($E319:$E322,F319:F322,$M319:$M322,N319:N322)</f>
        <v>-1.1871415087951753E-3</v>
      </c>
      <c r="V319" s="9">
        <f>bdrate($E319:$E322,G319:G322,$M319:$M322,O319:O322)</f>
        <v>-4.3567324951931941E-4</v>
      </c>
      <c r="W319" s="10">
        <f>bdrate($E319:$E322,H319:H322,$M319:$M322,P319:P322)</f>
        <v>-1.2668928120853629E-3</v>
      </c>
      <c r="X319" s="29"/>
      <c r="Y319" s="24"/>
      <c r="Z319" s="24"/>
      <c r="AA319" s="27"/>
      <c r="AC319" s="45">
        <f t="shared" si="20"/>
        <v>-0.73680000000001655</v>
      </c>
      <c r="AD319" s="45">
        <f t="shared" si="19"/>
        <v>1.9999999999953388E-4</v>
      </c>
      <c r="AE319" s="45">
        <f t="shared" si="19"/>
        <v>-3.9999999999977831E-3</v>
      </c>
      <c r="AF319" s="45">
        <f t="shared" si="19"/>
        <v>-2.9999999999574811E-4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318.25599999999997</v>
      </c>
      <c r="F320" s="46">
        <v>35.351300000000002</v>
      </c>
      <c r="G320" s="46">
        <v>45.116</v>
      </c>
      <c r="H320" s="46">
        <v>44.589199999999998</v>
      </c>
      <c r="I320" s="66"/>
      <c r="J320" s="66"/>
      <c r="K320" s="67"/>
      <c r="L320" s="29"/>
      <c r="M320" s="46">
        <v>317.97280000000001</v>
      </c>
      <c r="N320" s="46">
        <v>35.3504</v>
      </c>
      <c r="O320" s="46">
        <v>45.112200000000001</v>
      </c>
      <c r="P320" s="46">
        <v>44.586599999999997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0.28319999999996526</v>
      </c>
      <c r="AD320" s="46">
        <f t="shared" si="19"/>
        <v>9.0000000000145519E-4</v>
      </c>
      <c r="AE320" s="46">
        <f t="shared" si="19"/>
        <v>3.7999999999982492E-3</v>
      </c>
      <c r="AF320" s="46">
        <f t="shared" si="19"/>
        <v>2.6000000000010459E-3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136.136</v>
      </c>
      <c r="F321" s="46">
        <v>32.952599999999997</v>
      </c>
      <c r="G321" s="46">
        <v>43.848500000000001</v>
      </c>
      <c r="H321" s="46">
        <v>43.410899999999998</v>
      </c>
      <c r="I321" s="66"/>
      <c r="J321" s="66"/>
      <c r="K321" s="67"/>
      <c r="L321" s="29"/>
      <c r="M321" s="46">
        <v>135.92240000000001</v>
      </c>
      <c r="N321" s="46">
        <v>32.954300000000003</v>
      </c>
      <c r="O321" s="46">
        <v>43.849200000000003</v>
      </c>
      <c r="P321" s="46">
        <v>43.413800000000002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0.21359999999998536</v>
      </c>
      <c r="AD321" s="46">
        <f t="shared" si="19"/>
        <v>-1.7000000000066962E-3</v>
      </c>
      <c r="AE321" s="46">
        <f t="shared" si="19"/>
        <v>-7.0000000000192131E-4</v>
      </c>
      <c r="AF321" s="46">
        <f t="shared" si="19"/>
        <v>-2.9000000000038995E-3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63.011200000000002</v>
      </c>
      <c r="F322" s="46">
        <v>30.733000000000001</v>
      </c>
      <c r="G322" s="46">
        <v>43.034700000000001</v>
      </c>
      <c r="H322" s="46">
        <v>42.645800000000001</v>
      </c>
      <c r="I322" s="66"/>
      <c r="J322" s="66"/>
      <c r="K322" s="67"/>
      <c r="L322" s="29"/>
      <c r="M322" s="46">
        <v>62.8048</v>
      </c>
      <c r="N322" s="46">
        <v>30.732099999999999</v>
      </c>
      <c r="O322" s="46">
        <v>43.034599999999998</v>
      </c>
      <c r="P322" s="46">
        <v>42.65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0.20640000000000214</v>
      </c>
      <c r="AD322" s="46">
        <f t="shared" si="19"/>
        <v>9.0000000000145519E-4</v>
      </c>
      <c r="AE322" s="46">
        <f t="shared" si="19"/>
        <v>1.0000000000331966E-4</v>
      </c>
      <c r="AF322" s="46">
        <f t="shared" si="19"/>
        <v>-4.199999999997317E-3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862.94</v>
      </c>
      <c r="F323" s="45">
        <v>38.144100000000002</v>
      </c>
      <c r="G323" s="45">
        <v>46.516599999999997</v>
      </c>
      <c r="H323" s="45">
        <v>45.777299999999997</v>
      </c>
      <c r="I323" s="79"/>
      <c r="J323" s="79"/>
      <c r="K323" s="80"/>
      <c r="L323" s="29"/>
      <c r="M323" s="45">
        <v>862.33759999999995</v>
      </c>
      <c r="N323" s="45">
        <v>38.143999999999998</v>
      </c>
      <c r="O323" s="45">
        <v>46.515999999999998</v>
      </c>
      <c r="P323" s="45">
        <v>45.777799999999999</v>
      </c>
      <c r="Q323" s="79"/>
      <c r="R323" s="79"/>
      <c r="S323" s="80"/>
      <c r="U323" s="8">
        <f>bdrate($E323:$E326,F323:F326,$M323:$M326,N323:N326)</f>
        <v>7.159468864050833E-4</v>
      </c>
      <c r="V323" s="9">
        <f>bdrate($E323:$E326,G323:G326,$M323:$M326,O323:O326)</f>
        <v>6.5169848631563276E-4</v>
      </c>
      <c r="W323" s="10">
        <f>bdrate($E323:$E326,H323:H326,$M323:$M326,P323:P326)</f>
        <v>1.691048817617169E-3</v>
      </c>
      <c r="X323" s="29"/>
      <c r="Y323" s="24"/>
      <c r="Z323" s="24"/>
      <c r="AA323" s="27"/>
      <c r="AC323" s="45">
        <f t="shared" si="20"/>
        <v>0.60240000000010241</v>
      </c>
      <c r="AD323" s="45">
        <f t="shared" si="19"/>
        <v>1.0000000000331966E-4</v>
      </c>
      <c r="AE323" s="45">
        <f t="shared" si="19"/>
        <v>5.9999999999860165E-4</v>
      </c>
      <c r="AF323" s="45">
        <f t="shared" si="19"/>
        <v>-5.0000000000238742E-4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303.2</v>
      </c>
      <c r="F324" s="46">
        <v>35.5351</v>
      </c>
      <c r="G324" s="46">
        <v>45.045099999999998</v>
      </c>
      <c r="H324" s="46">
        <v>44.431399999999996</v>
      </c>
      <c r="I324" s="66"/>
      <c r="J324" s="66"/>
      <c r="K324" s="67"/>
      <c r="L324" s="29"/>
      <c r="M324" s="46">
        <v>304.01280000000003</v>
      </c>
      <c r="N324" s="46">
        <v>35.5351</v>
      </c>
      <c r="O324" s="46">
        <v>45.045200000000001</v>
      </c>
      <c r="P324" s="46">
        <v>44.43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-0.81280000000003838</v>
      </c>
      <c r="AD324" s="46">
        <f t="shared" si="19"/>
        <v>0</v>
      </c>
      <c r="AE324" s="46">
        <f t="shared" si="19"/>
        <v>-1.0000000000331966E-4</v>
      </c>
      <c r="AF324" s="46">
        <f t="shared" si="19"/>
        <v>1.3999999999967372E-3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130.36879999999999</v>
      </c>
      <c r="F325" s="46">
        <v>33.144199999999998</v>
      </c>
      <c r="G325" s="46">
        <v>43.756100000000004</v>
      </c>
      <c r="H325" s="46">
        <v>43.260899999999999</v>
      </c>
      <c r="I325" s="66"/>
      <c r="J325" s="66"/>
      <c r="K325" s="67"/>
      <c r="L325" s="29"/>
      <c r="M325" s="46">
        <v>130.1464</v>
      </c>
      <c r="N325" s="46">
        <v>33.144599999999997</v>
      </c>
      <c r="O325" s="46">
        <v>43.758699999999997</v>
      </c>
      <c r="P325" s="46">
        <v>43.261299999999999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0.22239999999999327</v>
      </c>
      <c r="AD325" s="46">
        <f t="shared" si="19"/>
        <v>-3.9999999999906777E-4</v>
      </c>
      <c r="AE325" s="46">
        <f t="shared" si="19"/>
        <v>-2.5999999999939405E-3</v>
      </c>
      <c r="AF325" s="46">
        <f t="shared" si="19"/>
        <v>-3.9999999999906777E-4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60.375999999999998</v>
      </c>
      <c r="F326" s="72">
        <v>30.907299999999999</v>
      </c>
      <c r="G326" s="72">
        <v>42.949199999999998</v>
      </c>
      <c r="H326" s="72">
        <v>42.505600000000001</v>
      </c>
      <c r="I326" s="68"/>
      <c r="J326" s="68"/>
      <c r="K326" s="69"/>
      <c r="L326" s="29"/>
      <c r="M326" s="72">
        <v>60.623199999999997</v>
      </c>
      <c r="N326" s="72">
        <v>30.909500000000001</v>
      </c>
      <c r="O326" s="72">
        <v>42.945900000000002</v>
      </c>
      <c r="P326" s="72">
        <v>42.500799999999998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-0.24719999999999942</v>
      </c>
      <c r="AD326" s="72">
        <f t="shared" si="19"/>
        <v>-2.2000000000019782E-3</v>
      </c>
      <c r="AE326" s="72">
        <f t="shared" si="19"/>
        <v>3.2999999999958618E-3</v>
      </c>
      <c r="AF326" s="72">
        <f t="shared" si="19"/>
        <v>4.8000000000030241E-3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212.98400000000001</v>
      </c>
      <c r="F327" s="45">
        <v>47.746200000000002</v>
      </c>
      <c r="G327" s="78"/>
      <c r="H327" s="78"/>
      <c r="I327" s="79"/>
      <c r="J327" s="79"/>
      <c r="K327" s="80"/>
      <c r="L327" s="29"/>
      <c r="M327" s="45">
        <v>213.2928</v>
      </c>
      <c r="N327" s="45">
        <v>47.752899999999997</v>
      </c>
      <c r="O327" s="78"/>
      <c r="P327" s="78"/>
      <c r="Q327" s="79"/>
      <c r="R327" s="79"/>
      <c r="S327" s="80"/>
      <c r="U327" s="8">
        <f>bdrate($E327:$E330,F327:F330,$M327:$M330,N327:N330)</f>
        <v>2.9570157574827505E-3</v>
      </c>
      <c r="V327" s="9"/>
      <c r="W327" s="10"/>
      <c r="X327" s="29"/>
      <c r="Y327" s="24"/>
      <c r="Z327" s="24"/>
      <c r="AA327" s="27"/>
      <c r="AC327" s="45">
        <f t="shared" si="20"/>
        <v>-0.30879999999999086</v>
      </c>
      <c r="AD327" s="45">
        <f t="shared" si="19"/>
        <v>-6.6999999999950433E-3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95.726399999999998</v>
      </c>
      <c r="F328" s="46">
        <v>43.093400000000003</v>
      </c>
      <c r="G328" s="70"/>
      <c r="H328" s="70"/>
      <c r="I328" s="66"/>
      <c r="J328" s="66"/>
      <c r="K328" s="67"/>
      <c r="L328" s="29"/>
      <c r="M328" s="46">
        <v>96.0792</v>
      </c>
      <c r="N328" s="46">
        <v>43.062800000000003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-0.352800000000002</v>
      </c>
      <c r="AD328" s="46">
        <f t="shared" si="19"/>
        <v>3.0599999999999739E-2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46.126399999999997</v>
      </c>
      <c r="F329" s="46">
        <v>39.377299999999998</v>
      </c>
      <c r="G329" s="70"/>
      <c r="H329" s="70"/>
      <c r="I329" s="66"/>
      <c r="J329" s="66"/>
      <c r="K329" s="67"/>
      <c r="L329" s="29"/>
      <c r="M329" s="46">
        <v>46.247999999999998</v>
      </c>
      <c r="N329" s="46">
        <v>39.390700000000002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-0.12160000000000082</v>
      </c>
      <c r="AD329" s="46">
        <f t="shared" si="19"/>
        <v>-1.3400000000004297E-2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21.443999999999999</v>
      </c>
      <c r="F330" s="46">
        <v>35.408200000000001</v>
      </c>
      <c r="G330" s="70"/>
      <c r="H330" s="70"/>
      <c r="I330" s="66"/>
      <c r="J330" s="66"/>
      <c r="K330" s="67"/>
      <c r="L330" s="29"/>
      <c r="M330" s="46">
        <v>21.428799999999999</v>
      </c>
      <c r="N330" s="46">
        <v>35.439300000000003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1.5200000000000102E-2</v>
      </c>
      <c r="AD330" s="46">
        <f t="shared" si="19"/>
        <v>-3.1100000000002126E-2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92.810400000000001</v>
      </c>
      <c r="F331" s="45">
        <v>46.384500000000003</v>
      </c>
      <c r="G331" s="78"/>
      <c r="H331" s="78"/>
      <c r="I331" s="79"/>
      <c r="J331" s="79"/>
      <c r="K331" s="80"/>
      <c r="L331" s="29"/>
      <c r="M331" s="45">
        <v>92.077600000000004</v>
      </c>
      <c r="N331" s="45">
        <v>46.392600000000002</v>
      </c>
      <c r="O331" s="78"/>
      <c r="P331" s="78"/>
      <c r="Q331" s="79"/>
      <c r="R331" s="79"/>
      <c r="S331" s="80"/>
      <c r="U331" s="8">
        <f>bdrate($E331:$E334,F331:F334,$M331:$M334,N331:N334)</f>
        <v>-1.5414548263584571E-2</v>
      </c>
      <c r="V331" s="9"/>
      <c r="W331" s="10"/>
      <c r="X331" s="29"/>
      <c r="Y331" s="24"/>
      <c r="Z331" s="24"/>
      <c r="AA331" s="27"/>
      <c r="AC331" s="45">
        <f t="shared" si="20"/>
        <v>0.73279999999999745</v>
      </c>
      <c r="AD331" s="45">
        <f t="shared" si="19"/>
        <v>-8.0999999999988859E-3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36.959200000000003</v>
      </c>
      <c r="F332" s="46">
        <v>42.008600000000001</v>
      </c>
      <c r="G332" s="70"/>
      <c r="H332" s="70"/>
      <c r="I332" s="66"/>
      <c r="J332" s="66"/>
      <c r="K332" s="67"/>
      <c r="L332" s="29"/>
      <c r="M332" s="46">
        <v>36.8352</v>
      </c>
      <c r="N332" s="46">
        <v>42.041200000000003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0.12400000000000233</v>
      </c>
      <c r="AD332" s="46">
        <f t="shared" si="19"/>
        <v>-3.2600000000002183E-2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18.406400000000001</v>
      </c>
      <c r="F333" s="46">
        <v>38.525199999999998</v>
      </c>
      <c r="G333" s="70"/>
      <c r="H333" s="70"/>
      <c r="I333" s="66"/>
      <c r="J333" s="66"/>
      <c r="K333" s="67"/>
      <c r="L333" s="29"/>
      <c r="M333" s="46">
        <v>18.188800000000001</v>
      </c>
      <c r="N333" s="46">
        <v>38.570099999999996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0.2176000000000009</v>
      </c>
      <c r="AD333" s="46">
        <f t="shared" si="19"/>
        <v>-4.4899999999998386E-2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9.3759999999999994</v>
      </c>
      <c r="F334" s="46">
        <v>34.786900000000003</v>
      </c>
      <c r="G334" s="70"/>
      <c r="H334" s="70"/>
      <c r="I334" s="66"/>
      <c r="J334" s="66"/>
      <c r="K334" s="67"/>
      <c r="L334" s="29"/>
      <c r="M334" s="46">
        <v>9.2647999999999993</v>
      </c>
      <c r="N334" s="46">
        <v>34.873600000000003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0.11120000000000019</v>
      </c>
      <c r="AD334" s="46">
        <f t="shared" si="19"/>
        <v>-8.6700000000000443E-2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93.058400000000006</v>
      </c>
      <c r="F335" s="45">
        <v>46.483699999999999</v>
      </c>
      <c r="G335" s="78"/>
      <c r="H335" s="78"/>
      <c r="I335" s="79"/>
      <c r="J335" s="79"/>
      <c r="K335" s="80"/>
      <c r="L335" s="29"/>
      <c r="M335" s="45">
        <v>93.0792</v>
      </c>
      <c r="N335" s="45">
        <v>46.455399999999997</v>
      </c>
      <c r="O335" s="78"/>
      <c r="P335" s="78"/>
      <c r="Q335" s="79"/>
      <c r="R335" s="79"/>
      <c r="S335" s="80"/>
      <c r="U335" s="8">
        <f>bdrate($E335:$E338,F335:F338,$M335:$M338,N335:N338)</f>
        <v>-2.2302468992353441E-3</v>
      </c>
      <c r="V335" s="9"/>
      <c r="W335" s="10"/>
      <c r="X335" s="29"/>
      <c r="Y335" s="24"/>
      <c r="Z335" s="24"/>
      <c r="AA335" s="27"/>
      <c r="AC335" s="45">
        <f t="shared" si="20"/>
        <v>-2.0799999999994156E-2</v>
      </c>
      <c r="AD335" s="45">
        <f t="shared" si="19"/>
        <v>2.8300000000001546E-2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38.679200000000002</v>
      </c>
      <c r="F336" s="46">
        <v>42.159199999999998</v>
      </c>
      <c r="G336" s="70"/>
      <c r="H336" s="70"/>
      <c r="I336" s="66"/>
      <c r="J336" s="66"/>
      <c r="K336" s="67"/>
      <c r="L336" s="29"/>
      <c r="M336" s="46">
        <v>38.729599999999998</v>
      </c>
      <c r="N336" s="46">
        <v>42.120800000000003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-5.0399999999996226E-2</v>
      </c>
      <c r="AD336" s="46">
        <f t="shared" si="19"/>
        <v>3.8399999999995771E-2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19.5456</v>
      </c>
      <c r="F337" s="46">
        <v>38.563000000000002</v>
      </c>
      <c r="G337" s="70"/>
      <c r="H337" s="70"/>
      <c r="I337" s="66"/>
      <c r="J337" s="66"/>
      <c r="K337" s="67"/>
      <c r="L337" s="29"/>
      <c r="M337" s="46">
        <v>19.361599999999999</v>
      </c>
      <c r="N337" s="46">
        <v>38.588700000000003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0.18400000000000105</v>
      </c>
      <c r="AD337" s="46">
        <f t="shared" si="19"/>
        <v>-2.57000000000005E-2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10.1408</v>
      </c>
      <c r="F338" s="46">
        <v>34.847999999999999</v>
      </c>
      <c r="G338" s="70"/>
      <c r="H338" s="70"/>
      <c r="I338" s="66"/>
      <c r="J338" s="66"/>
      <c r="K338" s="67"/>
      <c r="L338" s="29"/>
      <c r="M338" s="46">
        <v>10.192</v>
      </c>
      <c r="N338" s="46">
        <v>34.971699999999998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-5.119999999999969E-2</v>
      </c>
      <c r="AD338" s="46">
        <f t="shared" si="19"/>
        <v>-0.12369999999999948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38.528399999999998</v>
      </c>
      <c r="G339" s="45">
        <v>46.576999999999998</v>
      </c>
      <c r="H339" s="45">
        <v>45.571300000000001</v>
      </c>
      <c r="I339" s="79"/>
      <c r="J339" s="79"/>
      <c r="K339" s="80"/>
      <c r="L339" s="29"/>
      <c r="M339" s="78"/>
      <c r="N339" s="45">
        <v>38.529699999999998</v>
      </c>
      <c r="O339" s="45">
        <v>46.611600000000003</v>
      </c>
      <c r="P339" s="45">
        <v>45.560099999999998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-1.300000000000523E-3</v>
      </c>
      <c r="AE339" s="45">
        <f t="shared" si="19"/>
        <v>-3.4600000000004627E-2</v>
      </c>
      <c r="AF339" s="45">
        <f t="shared" si="19"/>
        <v>1.1200000000002319E-2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35.706099999999999</v>
      </c>
      <c r="G340" s="46">
        <v>45.265599999999999</v>
      </c>
      <c r="H340" s="46">
        <v>44.410200000000003</v>
      </c>
      <c r="I340" s="66"/>
      <c r="J340" s="66"/>
      <c r="K340" s="67"/>
      <c r="L340" s="29"/>
      <c r="M340" s="70"/>
      <c r="N340" s="46">
        <v>35.708399999999997</v>
      </c>
      <c r="O340" s="46">
        <v>45.245899999999999</v>
      </c>
      <c r="P340" s="46">
        <v>44.388300000000001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-2.2999999999981924E-3</v>
      </c>
      <c r="AE340" s="46">
        <f t="shared" si="19"/>
        <v>1.9700000000000273E-2</v>
      </c>
      <c r="AF340" s="46">
        <f t="shared" si="19"/>
        <v>2.1900000000002251E-2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33.174399999999999</v>
      </c>
      <c r="G341" s="46">
        <v>44.015500000000003</v>
      </c>
      <c r="H341" s="46">
        <v>43.440800000000003</v>
      </c>
      <c r="I341" s="66"/>
      <c r="J341" s="66"/>
      <c r="K341" s="67"/>
      <c r="L341" s="29"/>
      <c r="M341" s="70"/>
      <c r="N341" s="46">
        <v>33.179499999999997</v>
      </c>
      <c r="O341" s="46">
        <v>44.029499999999999</v>
      </c>
      <c r="P341" s="46">
        <v>43.458300000000001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-5.0999999999987722E-3</v>
      </c>
      <c r="AE341" s="46">
        <f t="shared" si="19"/>
        <v>-1.3999999999995794E-2</v>
      </c>
      <c r="AF341" s="46">
        <f t="shared" si="19"/>
        <v>-1.7499999999998295E-2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30.8657</v>
      </c>
      <c r="G342" s="72">
        <v>43.266399999999997</v>
      </c>
      <c r="H342" s="72">
        <v>42.771799999999999</v>
      </c>
      <c r="I342" s="68"/>
      <c r="J342" s="68"/>
      <c r="K342" s="69"/>
      <c r="L342" s="29"/>
      <c r="M342" s="81"/>
      <c r="N342" s="72">
        <v>30.865400000000001</v>
      </c>
      <c r="O342" s="72">
        <v>43.280700000000003</v>
      </c>
      <c r="P342" s="72">
        <v>42.757100000000001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2.9999999999930083E-4</v>
      </c>
      <c r="AE342" s="72">
        <f t="shared" si="19"/>
        <v>-1.4300000000005753E-2</v>
      </c>
      <c r="AF342" s="72">
        <f t="shared" si="19"/>
        <v>1.4699999999997715E-2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38.930999999999997</v>
      </c>
      <c r="G343" s="45">
        <v>46.938200000000002</v>
      </c>
      <c r="H343" s="45">
        <v>45.974299999999999</v>
      </c>
      <c r="I343" s="66"/>
      <c r="J343" s="66"/>
      <c r="K343" s="67"/>
      <c r="L343" s="29"/>
      <c r="M343" s="70"/>
      <c r="N343" s="45">
        <v>38.925699999999999</v>
      </c>
      <c r="O343" s="45">
        <v>46.968800000000002</v>
      </c>
      <c r="P343" s="45">
        <v>45.9786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5.2999999999983061E-3</v>
      </c>
      <c r="AE343" s="45">
        <f t="shared" si="19"/>
        <v>-3.0599999999999739E-2</v>
      </c>
      <c r="AF343" s="45">
        <f t="shared" si="19"/>
        <v>-4.3000000000006366E-3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35.982799999999997</v>
      </c>
      <c r="G344" s="46">
        <v>45.536299999999997</v>
      </c>
      <c r="H344" s="46">
        <v>44.767899999999997</v>
      </c>
      <c r="I344" s="66"/>
      <c r="J344" s="66"/>
      <c r="K344" s="67"/>
      <c r="L344" s="29"/>
      <c r="M344" s="70"/>
      <c r="N344" s="46">
        <v>35.984099999999998</v>
      </c>
      <c r="O344" s="46">
        <v>45.524500000000003</v>
      </c>
      <c r="P344" s="46">
        <v>44.759700000000002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-1.300000000000523E-3</v>
      </c>
      <c r="AE344" s="46">
        <f t="shared" si="19"/>
        <v>1.1799999999993815E-2</v>
      </c>
      <c r="AF344" s="46">
        <f t="shared" si="19"/>
        <v>8.1999999999951001E-3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33.372999999999998</v>
      </c>
      <c r="G345" s="46">
        <v>44.221299999999999</v>
      </c>
      <c r="H345" s="46">
        <v>43.693600000000004</v>
      </c>
      <c r="I345" s="66"/>
      <c r="J345" s="66"/>
      <c r="K345" s="67"/>
      <c r="L345" s="29"/>
      <c r="M345" s="70"/>
      <c r="N345" s="46">
        <v>33.379399999999997</v>
      </c>
      <c r="O345" s="46">
        <v>44.229300000000002</v>
      </c>
      <c r="P345" s="46">
        <v>43.716500000000003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-6.3999999999992951E-3</v>
      </c>
      <c r="AE345" s="46">
        <f t="shared" si="19"/>
        <v>-8.0000000000026716E-3</v>
      </c>
      <c r="AF345" s="46">
        <f t="shared" si="19"/>
        <v>-2.289999999999992E-2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31.001300000000001</v>
      </c>
      <c r="G346" s="72">
        <v>43.423299999999998</v>
      </c>
      <c r="H346" s="72">
        <v>42.98</v>
      </c>
      <c r="I346" s="68"/>
      <c r="J346" s="68"/>
      <c r="K346" s="69"/>
      <c r="L346" s="29"/>
      <c r="M346" s="81"/>
      <c r="N346" s="46">
        <v>31.0016</v>
      </c>
      <c r="O346" s="72">
        <v>43.430999999999997</v>
      </c>
      <c r="P346" s="72">
        <v>42.964599999999997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-2.9999999999930083E-4</v>
      </c>
      <c r="AE346" s="46">
        <f t="shared" si="19"/>
        <v>-7.6999999999998181E-3</v>
      </c>
      <c r="AF346" s="46">
        <f t="shared" si="19"/>
        <v>1.5399999999999636E-2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39.027700000000003</v>
      </c>
      <c r="G347" s="45">
        <v>47.398200000000003</v>
      </c>
      <c r="H347" s="45">
        <v>46.804699999999997</v>
      </c>
      <c r="I347" s="66"/>
      <c r="J347" s="66"/>
      <c r="K347" s="67"/>
      <c r="L347" s="29"/>
      <c r="M347" s="70"/>
      <c r="N347" s="45">
        <v>39.025300000000001</v>
      </c>
      <c r="O347" s="45">
        <v>47.400799999999997</v>
      </c>
      <c r="P347" s="45">
        <v>46.806100000000001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2.400000000001512E-3</v>
      </c>
      <c r="AE347" s="45">
        <f t="shared" si="19"/>
        <v>-2.5999999999939405E-3</v>
      </c>
      <c r="AF347" s="45">
        <f t="shared" si="19"/>
        <v>-1.4000000000038426E-3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36.047699999999999</v>
      </c>
      <c r="G348" s="46">
        <v>45.8245</v>
      </c>
      <c r="H348" s="46">
        <v>45.29</v>
      </c>
      <c r="I348" s="66"/>
      <c r="J348" s="66"/>
      <c r="K348" s="67"/>
      <c r="L348" s="29"/>
      <c r="M348" s="70"/>
      <c r="N348" s="46">
        <v>36.049900000000001</v>
      </c>
      <c r="O348" s="46">
        <v>45.823</v>
      </c>
      <c r="P348" s="46">
        <v>45.290599999999998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-2.2000000000019782E-3</v>
      </c>
      <c r="AE348" s="46">
        <f t="shared" si="19"/>
        <v>1.5000000000000568E-3</v>
      </c>
      <c r="AF348" s="46">
        <f t="shared" si="19"/>
        <v>-5.9999999999860165E-4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33.4223</v>
      </c>
      <c r="G349" s="46">
        <v>44.388599999999997</v>
      </c>
      <c r="H349" s="46">
        <v>43.9621</v>
      </c>
      <c r="I349" s="66"/>
      <c r="J349" s="66"/>
      <c r="K349" s="67"/>
      <c r="L349" s="29"/>
      <c r="M349" s="70"/>
      <c r="N349" s="46">
        <v>33.424399999999999</v>
      </c>
      <c r="O349" s="46">
        <v>44.388100000000001</v>
      </c>
      <c r="P349" s="46">
        <v>43.962299999999999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-2.0999999999986585E-3</v>
      </c>
      <c r="AE349" s="46">
        <f t="shared" si="19"/>
        <v>4.99999999995282E-4</v>
      </c>
      <c r="AF349" s="46">
        <f t="shared" si="19"/>
        <v>-1.9999999999953388E-4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31.050599999999999</v>
      </c>
      <c r="G350" s="72">
        <v>43.538899999999998</v>
      </c>
      <c r="H350" s="72">
        <v>43.150799999999997</v>
      </c>
      <c r="I350" s="68"/>
      <c r="J350" s="68"/>
      <c r="K350" s="69"/>
      <c r="L350" s="29"/>
      <c r="M350" s="81"/>
      <c r="N350" s="46">
        <v>31.0519</v>
      </c>
      <c r="O350" s="72">
        <v>43.539400000000001</v>
      </c>
      <c r="P350" s="72">
        <v>43.152099999999997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-1.300000000000523E-3</v>
      </c>
      <c r="AE350" s="46">
        <f t="shared" si="19"/>
        <v>-5.0000000000238742E-4</v>
      </c>
      <c r="AF350" s="46">
        <f t="shared" si="19"/>
        <v>-1.300000000000523E-3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39.034700000000001</v>
      </c>
      <c r="G351" s="45">
        <v>47.324199999999998</v>
      </c>
      <c r="H351" s="45">
        <v>46.804200000000002</v>
      </c>
      <c r="I351" s="66"/>
      <c r="J351" s="66"/>
      <c r="K351" s="67"/>
      <c r="L351" s="29"/>
      <c r="M351" s="70"/>
      <c r="N351" s="45">
        <v>39.038600000000002</v>
      </c>
      <c r="O351" s="45">
        <v>47.3217</v>
      </c>
      <c r="P351" s="45">
        <v>46.804000000000002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-3.9000000000015689E-3</v>
      </c>
      <c r="AE351" s="45">
        <f t="shared" si="19"/>
        <v>2.4999999999977263E-3</v>
      </c>
      <c r="AF351" s="45">
        <f t="shared" si="19"/>
        <v>1.9999999999953388E-4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36.0518</v>
      </c>
      <c r="G352" s="46">
        <v>45.742899999999999</v>
      </c>
      <c r="H352" s="46">
        <v>45.269199999999998</v>
      </c>
      <c r="I352" s="66"/>
      <c r="J352" s="66"/>
      <c r="K352" s="67"/>
      <c r="L352" s="29"/>
      <c r="M352" s="70"/>
      <c r="N352" s="46">
        <v>36.0518</v>
      </c>
      <c r="O352" s="46">
        <v>45.7423</v>
      </c>
      <c r="P352" s="46">
        <v>45.268000000000001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0</v>
      </c>
      <c r="AE352" s="46">
        <f t="shared" si="19"/>
        <v>5.9999999999860165E-4</v>
      </c>
      <c r="AF352" s="46">
        <f t="shared" si="19"/>
        <v>1.1999999999972033E-3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33.434600000000003</v>
      </c>
      <c r="G353" s="46">
        <v>44.312899999999999</v>
      </c>
      <c r="H353" s="46">
        <v>43.915300000000002</v>
      </c>
      <c r="I353" s="66"/>
      <c r="J353" s="66"/>
      <c r="K353" s="67"/>
      <c r="L353" s="29"/>
      <c r="M353" s="70"/>
      <c r="N353" s="46">
        <v>33.434199999999997</v>
      </c>
      <c r="O353" s="46">
        <v>44.315199999999997</v>
      </c>
      <c r="P353" s="46">
        <v>43.913400000000003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4.000000000061732E-4</v>
      </c>
      <c r="AE353" s="46">
        <f t="shared" si="19"/>
        <v>-2.2999999999981924E-3</v>
      </c>
      <c r="AF353" s="46">
        <f t="shared" si="19"/>
        <v>1.8999999999991246E-3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31.0623</v>
      </c>
      <c r="G354" s="72">
        <v>43.4739</v>
      </c>
      <c r="H354" s="72">
        <v>43.081800000000001</v>
      </c>
      <c r="I354" s="68"/>
      <c r="J354" s="68"/>
      <c r="K354" s="69"/>
      <c r="L354" s="29"/>
      <c r="M354" s="81"/>
      <c r="N354" s="46">
        <v>31.064399999999999</v>
      </c>
      <c r="O354" s="72">
        <v>43.4724</v>
      </c>
      <c r="P354" s="72">
        <v>43.081400000000002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-2.0999999999986585E-3</v>
      </c>
      <c r="AE354" s="46">
        <f t="shared" si="19"/>
        <v>1.5000000000000568E-3</v>
      </c>
      <c r="AF354" s="46">
        <f t="shared" si="19"/>
        <v>3.9999999999906777E-4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38.960999999999999</v>
      </c>
      <c r="G355" s="45">
        <v>46.353700000000003</v>
      </c>
      <c r="H355" s="45">
        <v>46.561399999999999</v>
      </c>
      <c r="I355" s="66"/>
      <c r="J355" s="66"/>
      <c r="K355" s="67"/>
      <c r="L355" s="29"/>
      <c r="M355" s="70"/>
      <c r="N355" s="45">
        <v>38.959899999999998</v>
      </c>
      <c r="O355" s="45">
        <v>46.320399999999999</v>
      </c>
      <c r="P355" s="45">
        <v>46.552500000000002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1.1000000000009891E-3</v>
      </c>
      <c r="AE355" s="45">
        <f t="shared" si="19"/>
        <v>3.3300000000004104E-2</v>
      </c>
      <c r="AF355" s="45">
        <f t="shared" si="19"/>
        <v>8.8999999999970214E-3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36.0319</v>
      </c>
      <c r="G356" s="46">
        <v>45.000999999999998</v>
      </c>
      <c r="H356" s="46">
        <v>45.070700000000002</v>
      </c>
      <c r="I356" s="66"/>
      <c r="J356" s="66"/>
      <c r="K356" s="67"/>
      <c r="L356" s="29"/>
      <c r="M356" s="70"/>
      <c r="N356" s="46">
        <v>36.0306</v>
      </c>
      <c r="O356" s="46">
        <v>44.993600000000001</v>
      </c>
      <c r="P356" s="46">
        <v>45.064799999999998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1.300000000000523E-3</v>
      </c>
      <c r="AE356" s="46">
        <f t="shared" si="19"/>
        <v>7.3999999999969646E-3</v>
      </c>
      <c r="AF356" s="46">
        <f t="shared" si="19"/>
        <v>5.9000000000040131E-3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33.431199999999997</v>
      </c>
      <c r="G357" s="46">
        <v>43.722999999999999</v>
      </c>
      <c r="H357" s="46">
        <v>43.579700000000003</v>
      </c>
      <c r="I357" s="66"/>
      <c r="J357" s="66"/>
      <c r="K357" s="67"/>
      <c r="L357" s="29"/>
      <c r="M357" s="70"/>
      <c r="N357" s="46">
        <v>33.429600000000001</v>
      </c>
      <c r="O357" s="46">
        <v>43.724499999999999</v>
      </c>
      <c r="P357" s="46">
        <v>43.5916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1.5999999999962711E-3</v>
      </c>
      <c r="AE357" s="46">
        <f t="shared" si="19"/>
        <v>-1.5000000000000568E-3</v>
      </c>
      <c r="AF357" s="46">
        <f t="shared" si="19"/>
        <v>-1.1899999999997135E-2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31.049600000000002</v>
      </c>
      <c r="G358" s="72">
        <v>42.976199999999999</v>
      </c>
      <c r="H358" s="72">
        <v>42.654899999999998</v>
      </c>
      <c r="I358" s="68"/>
      <c r="J358" s="68"/>
      <c r="K358" s="69"/>
      <c r="L358" s="29"/>
      <c r="M358" s="81"/>
      <c r="N358" s="72">
        <v>31.0501</v>
      </c>
      <c r="O358" s="72">
        <v>42.958199999999998</v>
      </c>
      <c r="P358" s="72">
        <v>42.678800000000003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-4.9999999999883471E-4</v>
      </c>
      <c r="AE358" s="72">
        <f t="shared" si="19"/>
        <v>1.8000000000000682E-2</v>
      </c>
      <c r="AF358" s="72">
        <f t="shared" si="19"/>
        <v>-2.3900000000004695E-2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38.596499999999999</v>
      </c>
      <c r="G359" s="45">
        <v>45.950600000000001</v>
      </c>
      <c r="H359" s="45">
        <v>46.253799999999998</v>
      </c>
      <c r="I359" s="66"/>
      <c r="J359" s="66"/>
      <c r="K359" s="67"/>
      <c r="L359" s="29"/>
      <c r="M359" s="70"/>
      <c r="N359" s="45">
        <v>38.598799999999997</v>
      </c>
      <c r="O359" s="45">
        <v>45.8857</v>
      </c>
      <c r="P359" s="45">
        <v>46.247900000000001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-2.2999999999981924E-3</v>
      </c>
      <c r="AE359" s="45">
        <f t="shared" si="19"/>
        <v>6.4900000000001512E-2</v>
      </c>
      <c r="AF359" s="45">
        <f t="shared" si="19"/>
        <v>5.8999999999969077E-3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35.8172</v>
      </c>
      <c r="G360" s="46">
        <v>44.681699999999999</v>
      </c>
      <c r="H360" s="46">
        <v>44.820599999999999</v>
      </c>
      <c r="I360" s="66"/>
      <c r="J360" s="66"/>
      <c r="K360" s="67"/>
      <c r="L360" s="29"/>
      <c r="M360" s="70"/>
      <c r="N360" s="46">
        <v>35.814799999999998</v>
      </c>
      <c r="O360" s="46">
        <v>44.6738</v>
      </c>
      <c r="P360" s="46">
        <v>44.823300000000003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2.400000000001512E-3</v>
      </c>
      <c r="AE360" s="46">
        <f t="shared" si="19"/>
        <v>7.899999999999352E-3</v>
      </c>
      <c r="AF360" s="46">
        <f t="shared" si="19"/>
        <v>-2.7000000000043656E-3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33.295900000000003</v>
      </c>
      <c r="G361" s="46">
        <v>43.520099999999999</v>
      </c>
      <c r="H361" s="46">
        <v>43.411700000000003</v>
      </c>
      <c r="I361" s="66"/>
      <c r="J361" s="66"/>
      <c r="K361" s="67"/>
      <c r="L361" s="29"/>
      <c r="M361" s="70"/>
      <c r="N361" s="46">
        <v>33.296100000000003</v>
      </c>
      <c r="O361" s="46">
        <v>43.505299999999998</v>
      </c>
      <c r="P361" s="46">
        <v>43.402900000000002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-1.9999999999953388E-4</v>
      </c>
      <c r="AE361" s="46">
        <f t="shared" si="19"/>
        <v>1.4800000000001035E-2</v>
      </c>
      <c r="AF361" s="46">
        <f t="shared" si="19"/>
        <v>8.8000000000008072E-3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30.966799999999999</v>
      </c>
      <c r="G362" s="72">
        <v>42.802700000000002</v>
      </c>
      <c r="H362" s="72">
        <v>42.438499999999998</v>
      </c>
      <c r="I362" s="68"/>
      <c r="J362" s="68"/>
      <c r="K362" s="69"/>
      <c r="L362" s="29"/>
      <c r="M362" s="81"/>
      <c r="N362" s="72">
        <v>30.972200000000001</v>
      </c>
      <c r="O362" s="72">
        <v>42.776800000000001</v>
      </c>
      <c r="P362" s="72">
        <v>42.478999999999999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-5.4000000000016257E-3</v>
      </c>
      <c r="AE362" s="72">
        <f t="shared" si="19"/>
        <v>2.5900000000000034E-2</v>
      </c>
      <c r="AF362" s="72">
        <f t="shared" si="19"/>
        <v>-4.0500000000001535E-2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6803.7824000000001</v>
      </c>
      <c r="F363" s="70"/>
      <c r="G363" s="70"/>
      <c r="H363" s="70"/>
      <c r="I363" s="45">
        <v>50770.77</v>
      </c>
      <c r="J363" s="45">
        <v>106.53</v>
      </c>
      <c r="K363" s="45">
        <v>727.72</v>
      </c>
      <c r="L363" s="29"/>
      <c r="M363" s="45">
        <v>6803.5136000000002</v>
      </c>
      <c r="N363" s="70"/>
      <c r="O363" s="70"/>
      <c r="P363" s="70"/>
      <c r="Q363" s="45">
        <v>50583.75</v>
      </c>
      <c r="R363" s="45">
        <v>106.73</v>
      </c>
      <c r="S363" s="45">
        <v>726.34</v>
      </c>
      <c r="U363" s="8"/>
      <c r="V363" s="9"/>
      <c r="W363" s="10"/>
      <c r="X363" s="29"/>
      <c r="Y363" s="61">
        <f>GEOMEAN(Q363:Q366)/GEOMEAN(I363:I366)</f>
        <v>0.99460079602656837</v>
      </c>
      <c r="Z363" s="61">
        <f>GEOMEAN(R363:R366)/GEOMEAN(J363:J366)</f>
        <v>1.0024268361164026</v>
      </c>
      <c r="AA363" s="57">
        <f>GEOMEAN(S363:S366)/GEOMEAN(K363:K366)</f>
        <v>0.99674507025501402</v>
      </c>
      <c r="AC363" s="45">
        <f>E363 -M363</f>
        <v>0.26879999999982829</v>
      </c>
      <c r="AD363" s="70"/>
      <c r="AE363" s="70"/>
      <c r="AF363" s="70"/>
      <c r="AG363" s="45">
        <f t="shared" ref="AG363:AI366" si="21">I363 -Q363</f>
        <v>187.0199999999968</v>
      </c>
      <c r="AH363" s="45">
        <f t="shared" si="21"/>
        <v>-0.20000000000000284</v>
      </c>
      <c r="AI363" s="45">
        <f t="shared" si="21"/>
        <v>1.3799999999999955</v>
      </c>
    </row>
    <row r="364" spans="1:35" ht="12">
      <c r="B364" s="36"/>
      <c r="C364" s="29"/>
      <c r="D364" s="32">
        <v>30</v>
      </c>
      <c r="E364" s="46">
        <v>2804.6464000000001</v>
      </c>
      <c r="F364" s="70"/>
      <c r="G364" s="70"/>
      <c r="H364" s="70"/>
      <c r="I364" s="46">
        <v>38979.269999999997</v>
      </c>
      <c r="J364" s="46">
        <v>96.8</v>
      </c>
      <c r="K364" s="46">
        <v>736.86</v>
      </c>
      <c r="L364" s="29"/>
      <c r="M364" s="46">
        <v>2805.4551999999999</v>
      </c>
      <c r="N364" s="70"/>
      <c r="O364" s="70"/>
      <c r="P364" s="70"/>
      <c r="Q364" s="46">
        <v>38911.14</v>
      </c>
      <c r="R364" s="46">
        <v>96.7</v>
      </c>
      <c r="S364" s="46">
        <v>723.56</v>
      </c>
      <c r="U364" s="41"/>
      <c r="V364" s="42"/>
      <c r="W364" s="43"/>
      <c r="X364" s="29"/>
      <c r="Y364" s="24"/>
      <c r="Z364" s="24"/>
      <c r="AA364" s="27"/>
      <c r="AC364" s="46">
        <f>E364 -M364</f>
        <v>-0.80879999999979191</v>
      </c>
      <c r="AD364" s="70"/>
      <c r="AE364" s="70"/>
      <c r="AF364" s="70"/>
      <c r="AG364" s="46">
        <f t="shared" si="21"/>
        <v>68.129999999997381</v>
      </c>
      <c r="AH364" s="46">
        <f t="shared" si="21"/>
        <v>9.9999999999994316E-2</v>
      </c>
      <c r="AI364" s="46">
        <f t="shared" si="21"/>
        <v>13.300000000000068</v>
      </c>
    </row>
    <row r="365" spans="1:35" ht="12">
      <c r="B365" s="36"/>
      <c r="C365" s="29"/>
      <c r="D365" s="32">
        <v>35</v>
      </c>
      <c r="E365" s="46">
        <v>1272.5368000000001</v>
      </c>
      <c r="F365" s="70"/>
      <c r="G365" s="70"/>
      <c r="H365" s="70"/>
      <c r="I365" s="46">
        <v>32777.03</v>
      </c>
      <c r="J365" s="46">
        <v>90.95</v>
      </c>
      <c r="K365" s="46">
        <v>724.66</v>
      </c>
      <c r="L365" s="29"/>
      <c r="M365" s="46">
        <v>1271.8208</v>
      </c>
      <c r="N365" s="70"/>
      <c r="O365" s="70"/>
      <c r="P365" s="70"/>
      <c r="Q365" s="46">
        <v>32444.12</v>
      </c>
      <c r="R365" s="46">
        <v>91.55</v>
      </c>
      <c r="S365" s="46">
        <v>726.27</v>
      </c>
      <c r="U365" s="17"/>
      <c r="V365" s="18"/>
      <c r="W365" s="19"/>
      <c r="X365" s="29"/>
      <c r="Y365" s="24"/>
      <c r="Z365" s="24"/>
      <c r="AA365" s="27"/>
      <c r="AC365" s="46">
        <f>E365 -M365</f>
        <v>0.71600000000012187</v>
      </c>
      <c r="AD365" s="70"/>
      <c r="AE365" s="70"/>
      <c r="AF365" s="70"/>
      <c r="AG365" s="46">
        <f t="shared" si="21"/>
        <v>332.90999999999985</v>
      </c>
      <c r="AH365" s="46">
        <f t="shared" si="21"/>
        <v>-0.59999999999999432</v>
      </c>
      <c r="AI365" s="46">
        <f t="shared" si="21"/>
        <v>-1.6100000000000136</v>
      </c>
    </row>
    <row r="366" spans="1:35" ht="12.75" thickBot="1">
      <c r="A366" s="54"/>
      <c r="B366" s="52"/>
      <c r="C366" s="53"/>
      <c r="D366" s="71">
        <v>40</v>
      </c>
      <c r="E366" s="72">
        <v>594.40800000000002</v>
      </c>
      <c r="F366" s="81"/>
      <c r="G366" s="81"/>
      <c r="H366" s="81"/>
      <c r="I366" s="72">
        <v>28673.59</v>
      </c>
      <c r="J366" s="72">
        <v>87.69</v>
      </c>
      <c r="K366" s="72">
        <v>729.83</v>
      </c>
      <c r="L366" s="29"/>
      <c r="M366" s="72">
        <v>594.37360000000001</v>
      </c>
      <c r="N366" s="81"/>
      <c r="O366" s="81"/>
      <c r="P366" s="81"/>
      <c r="Q366" s="72">
        <v>28501.87</v>
      </c>
      <c r="R366" s="72">
        <v>87.89</v>
      </c>
      <c r="S366" s="72">
        <v>733.38</v>
      </c>
      <c r="U366" s="85"/>
      <c r="V366" s="86"/>
      <c r="W366" s="87"/>
      <c r="X366" s="29"/>
      <c r="Y366" s="49"/>
      <c r="Z366" s="49"/>
      <c r="AA366" s="54"/>
      <c r="AC366" s="72">
        <f>E366 -M366</f>
        <v>3.4400000000005093E-2</v>
      </c>
      <c r="AD366" s="81"/>
      <c r="AE366" s="81"/>
      <c r="AF366" s="81"/>
      <c r="AG366" s="72">
        <f t="shared" si="21"/>
        <v>171.72000000000116</v>
      </c>
      <c r="AH366" s="72">
        <f t="shared" si="21"/>
        <v>-0.20000000000000284</v>
      </c>
      <c r="AI366" s="72">
        <f t="shared" si="21"/>
        <v>-3.5499999999999545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4180.3231999999998</v>
      </c>
      <c r="F367" s="45">
        <v>41.485900000000001</v>
      </c>
      <c r="G367" s="45">
        <v>46.598300000000002</v>
      </c>
      <c r="H367" s="45">
        <v>46.046999999999997</v>
      </c>
      <c r="I367" s="79"/>
      <c r="J367" s="79"/>
      <c r="K367" s="80"/>
      <c r="L367" s="29"/>
      <c r="M367" s="45">
        <v>4180.3231999999998</v>
      </c>
      <c r="N367" s="45">
        <v>41.485900000000001</v>
      </c>
      <c r="O367" s="45">
        <v>46.598300000000002</v>
      </c>
      <c r="P367" s="45">
        <v>46.046999999999997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2104.3735999999999</v>
      </c>
      <c r="F368" s="46">
        <v>38.4925</v>
      </c>
      <c r="G368" s="46">
        <v>44.9009</v>
      </c>
      <c r="H368" s="46">
        <v>44.109400000000001</v>
      </c>
      <c r="I368" s="66"/>
      <c r="J368" s="66"/>
      <c r="K368" s="67"/>
      <c r="L368" s="29"/>
      <c r="M368" s="46">
        <v>2104.3735999999999</v>
      </c>
      <c r="N368" s="46">
        <v>38.4925</v>
      </c>
      <c r="O368" s="46">
        <v>44.9009</v>
      </c>
      <c r="P368" s="46">
        <v>44.109400000000001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1035.5175999999999</v>
      </c>
      <c r="F369" s="46">
        <v>35.668199999999999</v>
      </c>
      <c r="G369" s="46">
        <v>43.259900000000002</v>
      </c>
      <c r="H369" s="46">
        <v>42.222999999999999</v>
      </c>
      <c r="I369" s="66"/>
      <c r="J369" s="66"/>
      <c r="K369" s="67"/>
      <c r="L369" s="29"/>
      <c r="M369" s="46">
        <v>1035.5175999999999</v>
      </c>
      <c r="N369" s="46">
        <v>35.668199999999999</v>
      </c>
      <c r="O369" s="46">
        <v>43.259900000000002</v>
      </c>
      <c r="P369" s="46">
        <v>42.222999999999999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496.5992</v>
      </c>
      <c r="F370" s="46">
        <v>33.197800000000001</v>
      </c>
      <c r="G370" s="46">
        <v>42.278399999999998</v>
      </c>
      <c r="H370" s="46">
        <v>40.967799999999997</v>
      </c>
      <c r="I370" s="66"/>
      <c r="J370" s="66"/>
      <c r="K370" s="67"/>
      <c r="L370" s="29"/>
      <c r="M370" s="46">
        <v>496.5992</v>
      </c>
      <c r="N370" s="46">
        <v>33.197800000000001</v>
      </c>
      <c r="O370" s="46">
        <v>42.278399999999998</v>
      </c>
      <c r="P370" s="46">
        <v>40.967799999999997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520.75840000000005</v>
      </c>
      <c r="F371" s="45">
        <v>40.921500000000002</v>
      </c>
      <c r="G371" s="45">
        <v>46.507100000000001</v>
      </c>
      <c r="H371" s="45">
        <v>45.7958</v>
      </c>
      <c r="I371" s="79"/>
      <c r="J371" s="79"/>
      <c r="K371" s="80"/>
      <c r="L371" s="29"/>
      <c r="M371" s="45">
        <v>521.11680000000001</v>
      </c>
      <c r="N371" s="45">
        <v>40.921799999999998</v>
      </c>
      <c r="O371" s="45">
        <v>46.506399999999999</v>
      </c>
      <c r="P371" s="45">
        <v>45.796500000000002</v>
      </c>
      <c r="Q371" s="79"/>
      <c r="R371" s="79"/>
      <c r="S371" s="80"/>
      <c r="U371" s="8">
        <f>bdrate($E371:$E374,F371:F374,$M371:$M374,N371:N374)</f>
        <v>-5.0056885999871792E-4</v>
      </c>
      <c r="V371" s="9">
        <f>bdrate($E371:$E374,G371:G374,$M371:$M374,O371:O374)</f>
        <v>7.0403572671673409E-4</v>
      </c>
      <c r="W371" s="10">
        <f>bdrate($E371:$E374,H371:H374,$M371:$M374,P371:P374)</f>
        <v>-1.7574357912264471E-3</v>
      </c>
      <c r="X371" s="29"/>
      <c r="Y371" s="24"/>
      <c r="Z371" s="24"/>
      <c r="AA371" s="27"/>
      <c r="AC371" s="45">
        <f t="shared" si="25"/>
        <v>-0.35839999999996053</v>
      </c>
      <c r="AD371" s="45">
        <f t="shared" si="22"/>
        <v>-2.9999999999574811E-4</v>
      </c>
      <c r="AE371" s="45">
        <f t="shared" si="23"/>
        <v>7.0000000000192131E-4</v>
      </c>
      <c r="AF371" s="45">
        <f t="shared" si="24"/>
        <v>-7.0000000000192131E-4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216.30719999999999</v>
      </c>
      <c r="F372" s="46">
        <v>38.079500000000003</v>
      </c>
      <c r="G372" s="46">
        <v>44.846600000000002</v>
      </c>
      <c r="H372" s="46">
        <v>43.9405</v>
      </c>
      <c r="I372" s="66"/>
      <c r="J372" s="66"/>
      <c r="K372" s="67"/>
      <c r="L372" s="29"/>
      <c r="M372" s="46">
        <v>216.31120000000001</v>
      </c>
      <c r="N372" s="46">
        <v>38.080100000000002</v>
      </c>
      <c r="O372" s="46">
        <v>44.845199999999998</v>
      </c>
      <c r="P372" s="46">
        <v>43.943899999999999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-4.0000000000190994E-3</v>
      </c>
      <c r="AD372" s="46">
        <f t="shared" si="22"/>
        <v>-5.9999999999860165E-4</v>
      </c>
      <c r="AE372" s="46">
        <f t="shared" si="23"/>
        <v>1.4000000000038426E-3</v>
      </c>
      <c r="AF372" s="46">
        <f t="shared" si="24"/>
        <v>-3.3999999999991815E-3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101.8648</v>
      </c>
      <c r="F373" s="46">
        <v>35.387799999999999</v>
      </c>
      <c r="G373" s="46">
        <v>43.259</v>
      </c>
      <c r="H373" s="46">
        <v>42.161000000000001</v>
      </c>
      <c r="I373" s="66"/>
      <c r="J373" s="66"/>
      <c r="K373" s="67"/>
      <c r="L373" s="29"/>
      <c r="M373" s="46">
        <v>101.71599999999999</v>
      </c>
      <c r="N373" s="46">
        <v>35.388500000000001</v>
      </c>
      <c r="O373" s="46">
        <v>43.256</v>
      </c>
      <c r="P373" s="46">
        <v>42.1661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0.14880000000000848</v>
      </c>
      <c r="AD373" s="46">
        <f t="shared" si="22"/>
        <v>-7.0000000000192131E-4</v>
      </c>
      <c r="AE373" s="46">
        <f t="shared" si="23"/>
        <v>3.0000000000001137E-3</v>
      </c>
      <c r="AF373" s="46">
        <f t="shared" si="24"/>
        <v>-5.0999999999987722E-3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49.363199999999999</v>
      </c>
      <c r="F374" s="46">
        <v>32.981499999999997</v>
      </c>
      <c r="G374" s="46">
        <v>42.269199999999998</v>
      </c>
      <c r="H374" s="46">
        <v>40.871200000000002</v>
      </c>
      <c r="I374" s="66"/>
      <c r="J374" s="66"/>
      <c r="K374" s="67"/>
      <c r="L374" s="29"/>
      <c r="M374" s="46">
        <v>49.424799999999998</v>
      </c>
      <c r="N374" s="46">
        <v>32.983600000000003</v>
      </c>
      <c r="O374" s="46">
        <v>42.268700000000003</v>
      </c>
      <c r="P374" s="46">
        <v>40.871000000000002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-6.1599999999998545E-2</v>
      </c>
      <c r="AD374" s="46">
        <f t="shared" si="22"/>
        <v>-2.1000000000057639E-3</v>
      </c>
      <c r="AE374" s="46">
        <f t="shared" si="23"/>
        <v>4.99999999995282E-4</v>
      </c>
      <c r="AF374" s="46">
        <f t="shared" si="24"/>
        <v>1.9999999999953388E-4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525.12800000000004</v>
      </c>
      <c r="F375" s="45">
        <v>40.930300000000003</v>
      </c>
      <c r="G375" s="45">
        <v>46.497</v>
      </c>
      <c r="H375" s="45">
        <v>45.8035</v>
      </c>
      <c r="I375" s="79"/>
      <c r="J375" s="79"/>
      <c r="K375" s="80"/>
      <c r="L375" s="29"/>
      <c r="M375" s="45">
        <v>524.50879999999995</v>
      </c>
      <c r="N375" s="45">
        <v>40.9298</v>
      </c>
      <c r="O375" s="45">
        <v>46.496699999999997</v>
      </c>
      <c r="P375" s="45">
        <v>45.802500000000002</v>
      </c>
      <c r="Q375" s="79"/>
      <c r="R375" s="79"/>
      <c r="S375" s="80"/>
      <c r="U375" s="8">
        <f>bdrate($E375:$E378,F375:F378,$M375:$M378,N375:N378)</f>
        <v>-4.9583164960531612E-4</v>
      </c>
      <c r="V375" s="9">
        <f>bdrate($E375:$E378,G375:G378,$M375:$M378,O375:O378)</f>
        <v>3.0992858107925514E-4</v>
      </c>
      <c r="W375" s="10">
        <f>bdrate($E375:$E378,H375:H378,$M375:$M378,P375:P378)</f>
        <v>3.5197471649706102E-4</v>
      </c>
      <c r="X375" s="29"/>
      <c r="Y375" s="24"/>
      <c r="Z375" s="24"/>
      <c r="AA375" s="27"/>
      <c r="AB375" s="24"/>
      <c r="AC375" s="45">
        <f t="shared" si="25"/>
        <v>0.61920000000009168</v>
      </c>
      <c r="AD375" s="45">
        <f t="shared" si="22"/>
        <v>5.0000000000238742E-4</v>
      </c>
      <c r="AE375" s="45">
        <f t="shared" si="23"/>
        <v>3.0000000000285354E-4</v>
      </c>
      <c r="AF375" s="45">
        <f t="shared" si="24"/>
        <v>9.9999999999766942E-4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217.41040000000001</v>
      </c>
      <c r="F376" s="46">
        <v>38.089199999999998</v>
      </c>
      <c r="G376" s="46">
        <v>44.829700000000003</v>
      </c>
      <c r="H376" s="46">
        <v>43.9512</v>
      </c>
      <c r="I376" s="66"/>
      <c r="J376" s="66"/>
      <c r="K376" s="67"/>
      <c r="L376" s="29"/>
      <c r="M376" s="46">
        <v>217.6232</v>
      </c>
      <c r="N376" s="46">
        <v>38.0899</v>
      </c>
      <c r="O376" s="46">
        <v>44.828400000000002</v>
      </c>
      <c r="P376" s="46">
        <v>43.948500000000003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-0.21279999999998722</v>
      </c>
      <c r="AD376" s="46">
        <f t="shared" si="22"/>
        <v>-7.0000000000192131E-4</v>
      </c>
      <c r="AE376" s="46">
        <f t="shared" si="23"/>
        <v>1.300000000000523E-3</v>
      </c>
      <c r="AF376" s="46">
        <f t="shared" si="24"/>
        <v>2.6999999999972601E-3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103.5792</v>
      </c>
      <c r="F377" s="46">
        <v>35.400500000000001</v>
      </c>
      <c r="G377" s="46">
        <v>43.243299999999998</v>
      </c>
      <c r="H377" s="46">
        <v>42.169199999999996</v>
      </c>
      <c r="I377" s="66"/>
      <c r="J377" s="66"/>
      <c r="K377" s="67"/>
      <c r="L377" s="29"/>
      <c r="M377" s="46">
        <v>103.4432</v>
      </c>
      <c r="N377" s="46">
        <v>35.400599999999997</v>
      </c>
      <c r="O377" s="46">
        <v>43.242800000000003</v>
      </c>
      <c r="P377" s="46">
        <v>42.168599999999998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0.13599999999999568</v>
      </c>
      <c r="AD377" s="46">
        <f t="shared" si="22"/>
        <v>-9.9999999996214228E-5</v>
      </c>
      <c r="AE377" s="46">
        <f t="shared" si="23"/>
        <v>4.99999999995282E-4</v>
      </c>
      <c r="AF377" s="46">
        <f t="shared" si="24"/>
        <v>5.9999999999860165E-4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51.096800000000002</v>
      </c>
      <c r="F378" s="72">
        <v>32.9893</v>
      </c>
      <c r="G378" s="72">
        <v>42.2378</v>
      </c>
      <c r="H378" s="72">
        <v>40.876199999999997</v>
      </c>
      <c r="I378" s="68"/>
      <c r="J378" s="68"/>
      <c r="K378" s="69"/>
      <c r="L378" s="29"/>
      <c r="M378" s="72">
        <v>50.987200000000001</v>
      </c>
      <c r="N378" s="72">
        <v>32.988100000000003</v>
      </c>
      <c r="O378" s="72">
        <v>42.234400000000001</v>
      </c>
      <c r="P378" s="72">
        <v>40.875300000000003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0.10960000000000036</v>
      </c>
      <c r="AD378" s="72">
        <f t="shared" si="22"/>
        <v>1.1999999999972033E-3</v>
      </c>
      <c r="AE378" s="72">
        <f t="shared" si="23"/>
        <v>3.3999999999991815E-3</v>
      </c>
      <c r="AF378" s="72">
        <f t="shared" si="24"/>
        <v>8.9999999999434976E-4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451.42160000000001</v>
      </c>
      <c r="F379" s="45">
        <v>38.746400000000001</v>
      </c>
      <c r="G379" s="78"/>
      <c r="H379" s="78"/>
      <c r="I379" s="79"/>
      <c r="J379" s="79"/>
      <c r="K379" s="80"/>
      <c r="L379" s="29"/>
      <c r="M379" s="45">
        <v>451.63760000000002</v>
      </c>
      <c r="N379" s="45">
        <v>38.753599999999999</v>
      </c>
      <c r="O379" s="78"/>
      <c r="P379" s="78"/>
      <c r="Q379" s="79"/>
      <c r="R379" s="79"/>
      <c r="S379" s="80"/>
      <c r="U379" s="8">
        <f>bdrate($E379:$E382,F379:F382,$M379:$M382,N379:N382)</f>
        <v>-6.2478895996731509E-4</v>
      </c>
      <c r="V379" s="9"/>
      <c r="W379" s="10"/>
      <c r="X379" s="29"/>
      <c r="Y379" s="24"/>
      <c r="Z379" s="24"/>
      <c r="AA379" s="27"/>
      <c r="AB379" s="24"/>
      <c r="AC379" s="45">
        <f t="shared" si="25"/>
        <v>-0.21600000000000819</v>
      </c>
      <c r="AD379" s="45">
        <f t="shared" si="22"/>
        <v>-7.1999999999974307E-3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147.90880000000001</v>
      </c>
      <c r="F380" s="46">
        <v>35.661499999999997</v>
      </c>
      <c r="G380" s="70"/>
      <c r="H380" s="70"/>
      <c r="I380" s="66"/>
      <c r="J380" s="66"/>
      <c r="K380" s="67"/>
      <c r="L380" s="29"/>
      <c r="M380" s="46">
        <v>148.42959999999999</v>
      </c>
      <c r="N380" s="46">
        <v>35.6614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-0.52079999999997995</v>
      </c>
      <c r="AD380" s="46">
        <f t="shared" si="22"/>
        <v>9.9999999996214228E-5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54.619199999999999</v>
      </c>
      <c r="F381" s="46">
        <v>33.134</v>
      </c>
      <c r="G381" s="70"/>
      <c r="H381" s="70"/>
      <c r="I381" s="66"/>
      <c r="J381" s="66"/>
      <c r="K381" s="67"/>
      <c r="L381" s="29"/>
      <c r="M381" s="46">
        <v>54.406399999999998</v>
      </c>
      <c r="N381" s="46">
        <v>33.136600000000001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0.21280000000000143</v>
      </c>
      <c r="AD381" s="46">
        <f t="shared" si="22"/>
        <v>-2.6000000000010459E-3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21.9072</v>
      </c>
      <c r="F382" s="46">
        <v>30.727</v>
      </c>
      <c r="G382" s="70"/>
      <c r="H382" s="70"/>
      <c r="I382" s="66"/>
      <c r="J382" s="66"/>
      <c r="K382" s="67"/>
      <c r="L382" s="29"/>
      <c r="M382" s="46">
        <v>22.091999999999999</v>
      </c>
      <c r="N382" s="46">
        <v>30.754100000000001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-0.18479999999999919</v>
      </c>
      <c r="AD382" s="46">
        <f t="shared" si="22"/>
        <v>-2.710000000000079E-2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190.45840000000001</v>
      </c>
      <c r="F383" s="45">
        <v>37.809600000000003</v>
      </c>
      <c r="G383" s="78"/>
      <c r="H383" s="78"/>
      <c r="I383" s="79"/>
      <c r="J383" s="79"/>
      <c r="K383" s="80"/>
      <c r="L383" s="29"/>
      <c r="M383" s="45">
        <v>189.9752</v>
      </c>
      <c r="N383" s="45">
        <v>37.805399999999999</v>
      </c>
      <c r="O383" s="78"/>
      <c r="P383" s="78"/>
      <c r="Q383" s="79"/>
      <c r="R383" s="79"/>
      <c r="S383" s="80"/>
      <c r="U383" s="8">
        <f>bdrate($E383:$E386,F383:F386,$M383:$M386,N383:N386)</f>
        <v>-1.7156458721240275E-3</v>
      </c>
      <c r="V383" s="9"/>
      <c r="W383" s="10"/>
      <c r="X383" s="29"/>
      <c r="Y383" s="24"/>
      <c r="Z383" s="24"/>
      <c r="AA383" s="27"/>
      <c r="AB383" s="24"/>
      <c r="AC383" s="45">
        <f t="shared" si="25"/>
        <v>0.48320000000001073</v>
      </c>
      <c r="AD383" s="45">
        <f t="shared" si="22"/>
        <v>4.2000000000044224E-3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54.584800000000001</v>
      </c>
      <c r="F384" s="46">
        <v>35.016100000000002</v>
      </c>
      <c r="G384" s="70"/>
      <c r="H384" s="70"/>
      <c r="I384" s="66"/>
      <c r="J384" s="66"/>
      <c r="K384" s="67"/>
      <c r="L384" s="29"/>
      <c r="M384" s="46">
        <v>54.800800000000002</v>
      </c>
      <c r="N384" s="46">
        <v>35.018999999999998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-0.21600000000000108</v>
      </c>
      <c r="AD384" s="46">
        <f t="shared" si="22"/>
        <v>-2.899999999996794E-3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21.564</v>
      </c>
      <c r="F385" s="46">
        <v>32.696199999999997</v>
      </c>
      <c r="G385" s="70"/>
      <c r="H385" s="70"/>
      <c r="I385" s="66"/>
      <c r="J385" s="66"/>
      <c r="K385" s="67"/>
      <c r="L385" s="29"/>
      <c r="M385" s="46">
        <v>21.504000000000001</v>
      </c>
      <c r="N385" s="46">
        <v>32.693199999999997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5.9999999999998721E-2</v>
      </c>
      <c r="AD385" s="46">
        <f t="shared" si="22"/>
        <v>3.0000000000001137E-3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10.107200000000001</v>
      </c>
      <c r="F386" s="46">
        <v>30.4346</v>
      </c>
      <c r="G386" s="70"/>
      <c r="H386" s="70"/>
      <c r="I386" s="66"/>
      <c r="J386" s="66"/>
      <c r="K386" s="67"/>
      <c r="L386" s="29"/>
      <c r="M386" s="46">
        <v>10.0984</v>
      </c>
      <c r="N386" s="46">
        <v>30.496600000000001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8.8000000000008072E-3</v>
      </c>
      <c r="AD386" s="46">
        <f t="shared" si="22"/>
        <v>-6.2000000000001165E-2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189.316</v>
      </c>
      <c r="F387" s="45">
        <v>37.598199999999999</v>
      </c>
      <c r="G387" s="78"/>
      <c r="H387" s="78"/>
      <c r="I387" s="79"/>
      <c r="J387" s="79"/>
      <c r="K387" s="80"/>
      <c r="L387" s="29"/>
      <c r="M387" s="45">
        <v>189.2704</v>
      </c>
      <c r="N387" s="45">
        <v>37.588299999999997</v>
      </c>
      <c r="O387" s="78"/>
      <c r="P387" s="78"/>
      <c r="Q387" s="79"/>
      <c r="R387" s="79"/>
      <c r="S387" s="80"/>
      <c r="U387" s="8">
        <f>bdrate($E387:$E390,F387:F390,$M387:$M390,N387:N390)</f>
        <v>-5.1507339646261752E-3</v>
      </c>
      <c r="V387" s="9"/>
      <c r="W387" s="10"/>
      <c r="X387" s="29"/>
      <c r="Y387" s="24"/>
      <c r="Z387" s="24"/>
      <c r="AA387" s="27"/>
      <c r="AB387" s="24"/>
      <c r="AC387" s="45">
        <f t="shared" si="25"/>
        <v>4.5600000000007412E-2</v>
      </c>
      <c r="AD387" s="45">
        <f t="shared" si="22"/>
        <v>9.9000000000017963E-3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54.42</v>
      </c>
      <c r="F388" s="46">
        <v>34.7438</v>
      </c>
      <c r="G388" s="70"/>
      <c r="H388" s="70"/>
      <c r="I388" s="66"/>
      <c r="J388" s="66"/>
      <c r="K388" s="67"/>
      <c r="L388" s="29"/>
      <c r="M388" s="46">
        <v>54.831200000000003</v>
      </c>
      <c r="N388" s="46">
        <v>34.771599999999999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-0.4112000000000009</v>
      </c>
      <c r="AD388" s="46">
        <f t="shared" si="22"/>
        <v>-2.7799999999999159E-2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21.651199999999999</v>
      </c>
      <c r="F389" s="46">
        <v>32.483800000000002</v>
      </c>
      <c r="G389" s="70"/>
      <c r="H389" s="70"/>
      <c r="I389" s="66"/>
      <c r="J389" s="66"/>
      <c r="K389" s="67"/>
      <c r="L389" s="29"/>
      <c r="M389" s="46">
        <v>21.672000000000001</v>
      </c>
      <c r="N389" s="46">
        <v>32.482100000000003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-2.0800000000001262E-2</v>
      </c>
      <c r="AD389" s="46">
        <f t="shared" si="22"/>
        <v>1.6999999999995907E-3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10.235200000000001</v>
      </c>
      <c r="F390" s="46">
        <v>30.2164</v>
      </c>
      <c r="G390" s="70"/>
      <c r="H390" s="70"/>
      <c r="I390" s="66"/>
      <c r="J390" s="66"/>
      <c r="K390" s="67"/>
      <c r="L390" s="29"/>
      <c r="M390" s="46">
        <v>9.9207999999999998</v>
      </c>
      <c r="N390" s="46">
        <v>30.2469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0.3144000000000009</v>
      </c>
      <c r="AD390" s="46">
        <f t="shared" si="22"/>
        <v>-3.0499999999999972E-2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40.671900000000001</v>
      </c>
      <c r="G391" s="45">
        <v>46.659599999999998</v>
      </c>
      <c r="H391" s="45">
        <v>46.352200000000003</v>
      </c>
      <c r="I391" s="79"/>
      <c r="J391" s="79"/>
      <c r="K391" s="80"/>
      <c r="L391" s="29"/>
      <c r="M391" s="78"/>
      <c r="N391" s="45">
        <v>40.671999999999997</v>
      </c>
      <c r="O391" s="45">
        <v>46.656700000000001</v>
      </c>
      <c r="P391" s="45">
        <v>46.366100000000003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-9.9999999996214228E-5</v>
      </c>
      <c r="AE391" s="45">
        <f t="shared" ref="AE391:AE414" si="26">G391 -O391</f>
        <v>2.899999999996794E-3</v>
      </c>
      <c r="AF391" s="45">
        <f t="shared" ref="AF391:AF414" si="27">H391 -P391</f>
        <v>-1.3899999999999579E-2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37.911200000000001</v>
      </c>
      <c r="G392" s="46">
        <v>45.063200000000002</v>
      </c>
      <c r="H392" s="46">
        <v>44.505099999999999</v>
      </c>
      <c r="I392" s="66"/>
      <c r="J392" s="66"/>
      <c r="K392" s="67"/>
      <c r="L392" s="29"/>
      <c r="M392" s="70"/>
      <c r="N392" s="46">
        <v>37.909100000000002</v>
      </c>
      <c r="O392" s="46">
        <v>45.070599999999999</v>
      </c>
      <c r="P392" s="46">
        <v>44.5062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2.0999999999986585E-3</v>
      </c>
      <c r="AE392" s="46">
        <f t="shared" si="26"/>
        <v>-7.3999999999969646E-3</v>
      </c>
      <c r="AF392" s="46">
        <f t="shared" si="27"/>
        <v>-1.1000000000009891E-3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35.258299999999998</v>
      </c>
      <c r="G393" s="46">
        <v>43.432899999999997</v>
      </c>
      <c r="H393" s="46">
        <v>42.568199999999997</v>
      </c>
      <c r="I393" s="66"/>
      <c r="J393" s="66"/>
      <c r="K393" s="67"/>
      <c r="L393" s="29"/>
      <c r="M393" s="70"/>
      <c r="N393" s="46">
        <v>35.259799999999998</v>
      </c>
      <c r="O393" s="46">
        <v>43.419699999999999</v>
      </c>
      <c r="P393" s="46">
        <v>42.573700000000002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-1.5000000000000568E-3</v>
      </c>
      <c r="AE393" s="46">
        <f t="shared" si="26"/>
        <v>1.3199999999997658E-2</v>
      </c>
      <c r="AF393" s="46">
        <f t="shared" si="27"/>
        <v>-5.5000000000049454E-3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32.870399999999997</v>
      </c>
      <c r="G394" s="72">
        <v>42.385599999999997</v>
      </c>
      <c r="H394" s="72">
        <v>41.203800000000001</v>
      </c>
      <c r="I394" s="68"/>
      <c r="J394" s="68"/>
      <c r="K394" s="69"/>
      <c r="L394" s="29"/>
      <c r="M394" s="81"/>
      <c r="N394" s="72">
        <v>32.872100000000003</v>
      </c>
      <c r="O394" s="72">
        <v>42.384999999999998</v>
      </c>
      <c r="P394" s="72">
        <v>41.2121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-1.7000000000066962E-3</v>
      </c>
      <c r="AE394" s="72">
        <f t="shared" si="26"/>
        <v>5.9999999999860165E-4</v>
      </c>
      <c r="AF394" s="72">
        <f t="shared" si="27"/>
        <v>-8.2999999999984198E-3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40.856000000000002</v>
      </c>
      <c r="G395" s="45">
        <v>47.143900000000002</v>
      </c>
      <c r="H395" s="45">
        <v>46.466200000000001</v>
      </c>
      <c r="I395" s="66"/>
      <c r="J395" s="66"/>
      <c r="K395" s="67"/>
      <c r="L395" s="29"/>
      <c r="M395" s="70"/>
      <c r="N395" s="45">
        <v>40.857900000000001</v>
      </c>
      <c r="O395" s="45">
        <v>47.165300000000002</v>
      </c>
      <c r="P395" s="45">
        <v>46.4801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-1.8999999999991246E-3</v>
      </c>
      <c r="AE395" s="45">
        <f t="shared" si="26"/>
        <v>-2.1399999999999864E-2</v>
      </c>
      <c r="AF395" s="45">
        <f t="shared" si="27"/>
        <v>-1.3899999999999579E-2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38.049199999999999</v>
      </c>
      <c r="G396" s="46">
        <v>45.473300000000002</v>
      </c>
      <c r="H396" s="46">
        <v>44.579900000000002</v>
      </c>
      <c r="I396" s="66"/>
      <c r="J396" s="66"/>
      <c r="K396" s="67"/>
      <c r="L396" s="29"/>
      <c r="M396" s="70"/>
      <c r="N396" s="46">
        <v>38.0456</v>
      </c>
      <c r="O396" s="46">
        <v>45.467300000000002</v>
      </c>
      <c r="P396" s="46">
        <v>44.588000000000001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3.5999999999987153E-3</v>
      </c>
      <c r="AE396" s="46">
        <f t="shared" si="26"/>
        <v>6.0000000000002274E-3</v>
      </c>
      <c r="AF396" s="46">
        <f t="shared" si="27"/>
        <v>-8.0999999999988859E-3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35.343000000000004</v>
      </c>
      <c r="G397" s="46">
        <v>43.688899999999997</v>
      </c>
      <c r="H397" s="46">
        <v>42.645600000000002</v>
      </c>
      <c r="I397" s="66"/>
      <c r="J397" s="66"/>
      <c r="K397" s="67"/>
      <c r="L397" s="29"/>
      <c r="M397" s="70"/>
      <c r="N397" s="46">
        <v>35.344499999999996</v>
      </c>
      <c r="O397" s="46">
        <v>43.689799999999998</v>
      </c>
      <c r="P397" s="46">
        <v>42.6601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-1.4999999999929514E-3</v>
      </c>
      <c r="AE397" s="46">
        <f t="shared" si="26"/>
        <v>-9.0000000000145519E-4</v>
      </c>
      <c r="AF397" s="46">
        <f t="shared" si="27"/>
        <v>-1.4499999999998181E-2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32.916400000000003</v>
      </c>
      <c r="G398" s="72">
        <v>42.507599999999996</v>
      </c>
      <c r="H398" s="72">
        <v>41.280999999999999</v>
      </c>
      <c r="I398" s="68"/>
      <c r="J398" s="68"/>
      <c r="K398" s="69"/>
      <c r="L398" s="29"/>
      <c r="M398" s="81"/>
      <c r="N398" s="46">
        <v>32.918799999999997</v>
      </c>
      <c r="O398" s="72">
        <v>42.500999999999998</v>
      </c>
      <c r="P398" s="72">
        <v>41.287100000000002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-2.3999999999944066E-3</v>
      </c>
      <c r="AE398" s="46">
        <f t="shared" si="26"/>
        <v>6.599999999998829E-3</v>
      </c>
      <c r="AF398" s="46">
        <f t="shared" si="27"/>
        <v>-6.100000000003547E-3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41.075600000000001</v>
      </c>
      <c r="G399" s="45">
        <v>47.628900000000002</v>
      </c>
      <c r="H399" s="45">
        <v>47.213299999999997</v>
      </c>
      <c r="I399" s="66"/>
      <c r="J399" s="66"/>
      <c r="K399" s="67"/>
      <c r="L399" s="29"/>
      <c r="M399" s="70"/>
      <c r="N399" s="45">
        <v>41.073900000000002</v>
      </c>
      <c r="O399" s="45">
        <v>47.6282</v>
      </c>
      <c r="P399" s="45">
        <v>47.214599999999997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1.6999999999995907E-3</v>
      </c>
      <c r="AE399" s="45">
        <f t="shared" si="26"/>
        <v>7.0000000000192131E-4</v>
      </c>
      <c r="AF399" s="45">
        <f t="shared" si="27"/>
        <v>-1.300000000000523E-3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38.181100000000001</v>
      </c>
      <c r="G400" s="46">
        <v>45.808900000000001</v>
      </c>
      <c r="H400" s="46">
        <v>45.129899999999999</v>
      </c>
      <c r="I400" s="66"/>
      <c r="J400" s="66"/>
      <c r="K400" s="67"/>
      <c r="L400" s="29"/>
      <c r="M400" s="70"/>
      <c r="N400" s="46">
        <v>38.177999999999997</v>
      </c>
      <c r="O400" s="46">
        <v>45.8063</v>
      </c>
      <c r="P400" s="46">
        <v>45.130400000000002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3.1000000000034333E-3</v>
      </c>
      <c r="AE400" s="46">
        <f t="shared" si="26"/>
        <v>2.6000000000010459E-3</v>
      </c>
      <c r="AF400" s="46">
        <f t="shared" si="27"/>
        <v>-5.0000000000238742E-4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35.430999999999997</v>
      </c>
      <c r="G401" s="46">
        <v>43.979199999999999</v>
      </c>
      <c r="H401" s="46">
        <v>43.049900000000001</v>
      </c>
      <c r="I401" s="66"/>
      <c r="J401" s="66"/>
      <c r="K401" s="67"/>
      <c r="L401" s="29"/>
      <c r="M401" s="70"/>
      <c r="N401" s="46">
        <v>35.433300000000003</v>
      </c>
      <c r="O401" s="46">
        <v>43.978299999999997</v>
      </c>
      <c r="P401" s="46">
        <v>43.053600000000003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-2.3000000000052978E-3</v>
      </c>
      <c r="AE401" s="46">
        <f t="shared" si="26"/>
        <v>9.0000000000145519E-4</v>
      </c>
      <c r="AF401" s="46">
        <f t="shared" si="27"/>
        <v>-3.700000000002035E-3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32.988700000000001</v>
      </c>
      <c r="G402" s="72">
        <v>42.757800000000003</v>
      </c>
      <c r="H402" s="72">
        <v>41.604100000000003</v>
      </c>
      <c r="I402" s="68"/>
      <c r="J402" s="68"/>
      <c r="K402" s="69"/>
      <c r="L402" s="29"/>
      <c r="M402" s="81"/>
      <c r="N402" s="46">
        <v>32.987699999999997</v>
      </c>
      <c r="O402" s="72">
        <v>42.75</v>
      </c>
      <c r="P402" s="72">
        <v>41.6051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1.0000000000047748E-3</v>
      </c>
      <c r="AE402" s="46">
        <f t="shared" si="26"/>
        <v>7.8000000000031378E-3</v>
      </c>
      <c r="AF402" s="46">
        <f t="shared" si="27"/>
        <v>-9.9999999999766942E-4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41.067500000000003</v>
      </c>
      <c r="G403" s="45">
        <v>47.686399999999999</v>
      </c>
      <c r="H403" s="45">
        <v>47.236400000000003</v>
      </c>
      <c r="I403" s="66"/>
      <c r="J403" s="66"/>
      <c r="K403" s="67"/>
      <c r="L403" s="29"/>
      <c r="M403" s="70"/>
      <c r="N403" s="45">
        <v>41.068600000000004</v>
      </c>
      <c r="O403" s="45">
        <v>47.685200000000002</v>
      </c>
      <c r="P403" s="45">
        <v>47.236899999999999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-1.1000000000009891E-3</v>
      </c>
      <c r="AE403" s="45">
        <f t="shared" si="26"/>
        <v>1.1999999999972033E-3</v>
      </c>
      <c r="AF403" s="45">
        <f t="shared" si="27"/>
        <v>-4.99999999995282E-4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38.177</v>
      </c>
      <c r="G404" s="46">
        <v>45.873399999999997</v>
      </c>
      <c r="H404" s="46">
        <v>45.1599</v>
      </c>
      <c r="I404" s="66"/>
      <c r="J404" s="66"/>
      <c r="K404" s="67"/>
      <c r="L404" s="29"/>
      <c r="M404" s="70"/>
      <c r="N404" s="46">
        <v>38.174399999999999</v>
      </c>
      <c r="O404" s="46">
        <v>45.872900000000001</v>
      </c>
      <c r="P404" s="46">
        <v>45.158299999999997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2.6000000000010459E-3</v>
      </c>
      <c r="AE404" s="46">
        <f t="shared" si="26"/>
        <v>4.99999999995282E-4</v>
      </c>
      <c r="AF404" s="46">
        <f t="shared" si="27"/>
        <v>1.6000000000033765E-3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35.429299999999998</v>
      </c>
      <c r="G405" s="46">
        <v>44.045400000000001</v>
      </c>
      <c r="H405" s="46">
        <v>43.081200000000003</v>
      </c>
      <c r="I405" s="66"/>
      <c r="J405" s="66"/>
      <c r="K405" s="67"/>
      <c r="L405" s="29"/>
      <c r="M405" s="70"/>
      <c r="N405" s="46">
        <v>35.432099999999998</v>
      </c>
      <c r="O405" s="46">
        <v>44.051499999999997</v>
      </c>
      <c r="P405" s="46">
        <v>43.084099999999999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-2.8000000000005798E-3</v>
      </c>
      <c r="AE405" s="46">
        <f t="shared" si="26"/>
        <v>-6.0999999999964416E-3</v>
      </c>
      <c r="AF405" s="46">
        <f t="shared" si="27"/>
        <v>-2.899999999996794E-3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32.9863</v>
      </c>
      <c r="G406" s="72">
        <v>42.861800000000002</v>
      </c>
      <c r="H406" s="72">
        <v>41.625799999999998</v>
      </c>
      <c r="I406" s="68"/>
      <c r="J406" s="68"/>
      <c r="K406" s="69"/>
      <c r="L406" s="29"/>
      <c r="M406" s="81"/>
      <c r="N406" s="46">
        <v>32.985700000000001</v>
      </c>
      <c r="O406" s="72">
        <v>42.861199999999997</v>
      </c>
      <c r="P406" s="72">
        <v>41.627099999999999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5.9999999999860165E-4</v>
      </c>
      <c r="AE406" s="46">
        <f t="shared" si="26"/>
        <v>6.0000000000570708E-4</v>
      </c>
      <c r="AF406" s="46">
        <f t="shared" si="27"/>
        <v>-1.300000000000523E-3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40.882199999999997</v>
      </c>
      <c r="G407" s="45">
        <v>46.77</v>
      </c>
      <c r="H407" s="45">
        <v>46.667200000000001</v>
      </c>
      <c r="I407" s="66"/>
      <c r="J407" s="66"/>
      <c r="K407" s="67"/>
      <c r="L407" s="29"/>
      <c r="M407" s="70"/>
      <c r="N407" s="45">
        <v>40.881500000000003</v>
      </c>
      <c r="O407" s="45">
        <v>46.766300000000001</v>
      </c>
      <c r="P407" s="45">
        <v>46.6706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6.9999999999481588E-4</v>
      </c>
      <c r="AE407" s="45">
        <f t="shared" si="26"/>
        <v>3.700000000002035E-3</v>
      </c>
      <c r="AF407" s="45">
        <f t="shared" si="27"/>
        <v>-3.3999999999991815E-3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38.055700000000002</v>
      </c>
      <c r="G408" s="46">
        <v>45.232500000000002</v>
      </c>
      <c r="H408" s="46">
        <v>44.724499999999999</v>
      </c>
      <c r="I408" s="66"/>
      <c r="J408" s="66"/>
      <c r="K408" s="67"/>
      <c r="L408" s="29"/>
      <c r="M408" s="70"/>
      <c r="N408" s="46">
        <v>38.0501</v>
      </c>
      <c r="O408" s="46">
        <v>45.2211</v>
      </c>
      <c r="P408" s="46">
        <v>44.716000000000001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5.6000000000011596E-3</v>
      </c>
      <c r="AE408" s="46">
        <f t="shared" si="26"/>
        <v>1.1400000000001853E-2</v>
      </c>
      <c r="AF408" s="46">
        <f t="shared" si="27"/>
        <v>8.4999999999979536E-3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35.349400000000003</v>
      </c>
      <c r="G409" s="46">
        <v>43.604300000000002</v>
      </c>
      <c r="H409" s="46">
        <v>42.7605</v>
      </c>
      <c r="I409" s="66"/>
      <c r="J409" s="66"/>
      <c r="K409" s="67"/>
      <c r="L409" s="29"/>
      <c r="M409" s="70"/>
      <c r="N409" s="46">
        <v>35.349299999999999</v>
      </c>
      <c r="O409" s="46">
        <v>43.615000000000002</v>
      </c>
      <c r="P409" s="46">
        <v>42.761800000000001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1.0000000000331966E-4</v>
      </c>
      <c r="AE409" s="46">
        <f t="shared" si="26"/>
        <v>-1.0699999999999932E-2</v>
      </c>
      <c r="AF409" s="46">
        <f t="shared" si="27"/>
        <v>-1.300000000000523E-3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32.915199999999999</v>
      </c>
      <c r="G410" s="72">
        <v>42.496600000000001</v>
      </c>
      <c r="H410" s="72">
        <v>41.336199999999998</v>
      </c>
      <c r="I410" s="68"/>
      <c r="J410" s="68"/>
      <c r="K410" s="69"/>
      <c r="L410" s="29"/>
      <c r="M410" s="81"/>
      <c r="N410" s="72">
        <v>32.914700000000003</v>
      </c>
      <c r="O410" s="72">
        <v>42.501899999999999</v>
      </c>
      <c r="P410" s="72">
        <v>41.337699999999998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4.99999999995282E-4</v>
      </c>
      <c r="AE410" s="72">
        <f t="shared" si="26"/>
        <v>-5.2999999999983061E-3</v>
      </c>
      <c r="AF410" s="72">
        <f t="shared" si="27"/>
        <v>-1.5000000000000568E-3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40.701999999999998</v>
      </c>
      <c r="G411" s="45">
        <v>46.513300000000001</v>
      </c>
      <c r="H411" s="45">
        <v>46.5837</v>
      </c>
      <c r="I411" s="66"/>
      <c r="J411" s="66"/>
      <c r="K411" s="67"/>
      <c r="L411" s="29"/>
      <c r="M411" s="70"/>
      <c r="N411" s="45">
        <v>40.703000000000003</v>
      </c>
      <c r="O411" s="45">
        <v>46.529200000000003</v>
      </c>
      <c r="P411" s="45">
        <v>46.6096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-1.0000000000047748E-3</v>
      </c>
      <c r="AE411" s="45">
        <f t="shared" si="26"/>
        <v>-1.5900000000002024E-2</v>
      </c>
      <c r="AF411" s="45">
        <f t="shared" si="27"/>
        <v>-2.5900000000000034E-2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37.924700000000001</v>
      </c>
      <c r="G412" s="46">
        <v>45.046500000000002</v>
      </c>
      <c r="H412" s="46">
        <v>44.676200000000001</v>
      </c>
      <c r="I412" s="66"/>
      <c r="J412" s="66"/>
      <c r="K412" s="67"/>
      <c r="L412" s="29"/>
      <c r="M412" s="70"/>
      <c r="N412" s="46">
        <v>37.921399999999998</v>
      </c>
      <c r="O412" s="46">
        <v>45.0428</v>
      </c>
      <c r="P412" s="46">
        <v>44.658900000000003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3.3000000000029672E-3</v>
      </c>
      <c r="AE412" s="46">
        <f t="shared" si="26"/>
        <v>3.700000000002035E-3</v>
      </c>
      <c r="AF412" s="46">
        <f t="shared" si="27"/>
        <v>1.7299999999998761E-2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35.264800000000001</v>
      </c>
      <c r="G413" s="46">
        <v>43.495800000000003</v>
      </c>
      <c r="H413" s="46">
        <v>42.704900000000002</v>
      </c>
      <c r="I413" s="66"/>
      <c r="J413" s="66"/>
      <c r="K413" s="67"/>
      <c r="L413" s="29"/>
      <c r="M413" s="70"/>
      <c r="N413" s="46">
        <v>35.265300000000003</v>
      </c>
      <c r="O413" s="46">
        <v>43.496299999999998</v>
      </c>
      <c r="P413" s="46">
        <v>42.712499999999999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-5.0000000000238742E-4</v>
      </c>
      <c r="AE413" s="46">
        <f t="shared" si="26"/>
        <v>-4.99999999995282E-4</v>
      </c>
      <c r="AF413" s="46">
        <f t="shared" si="27"/>
        <v>-7.5999999999964984E-3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32.864899999999999</v>
      </c>
      <c r="G414" s="72">
        <v>42.4452</v>
      </c>
      <c r="H414" s="72">
        <v>41.286900000000003</v>
      </c>
      <c r="I414" s="68"/>
      <c r="J414" s="68"/>
      <c r="K414" s="69"/>
      <c r="L414" s="29"/>
      <c r="M414" s="81"/>
      <c r="N414" s="72">
        <v>32.864199999999997</v>
      </c>
      <c r="O414" s="72">
        <v>42.440199999999997</v>
      </c>
      <c r="P414" s="72">
        <v>41.293300000000002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7.0000000000192131E-4</v>
      </c>
      <c r="AE414" s="72">
        <f t="shared" si="26"/>
        <v>5.000000000002558E-3</v>
      </c>
      <c r="AF414" s="72">
        <f t="shared" si="27"/>
        <v>-6.3999999999992951E-3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6063.1959999999999</v>
      </c>
      <c r="F415" s="70"/>
      <c r="G415" s="70"/>
      <c r="H415" s="70"/>
      <c r="I415" s="45">
        <v>64486.06</v>
      </c>
      <c r="J415" s="45">
        <v>123.19</v>
      </c>
      <c r="K415" s="45">
        <v>873.36</v>
      </c>
      <c r="L415" s="29"/>
      <c r="M415" s="45">
        <v>6062.6224000000002</v>
      </c>
      <c r="N415" s="70"/>
      <c r="O415" s="70"/>
      <c r="P415" s="70"/>
      <c r="Q415" s="45">
        <v>63653.58</v>
      </c>
      <c r="R415" s="45">
        <v>116.41</v>
      </c>
      <c r="S415" s="45">
        <v>829.51</v>
      </c>
      <c r="U415" s="8"/>
      <c r="V415" s="9"/>
      <c r="W415" s="10"/>
      <c r="X415" s="29"/>
      <c r="Y415" s="61">
        <f>GEOMEAN(Q415:Q418)/GEOMEAN(I415:I418)</f>
        <v>0.99123311503014644</v>
      </c>
      <c r="Z415" s="61">
        <f>GEOMEAN(R415:R418)/GEOMEAN(J415:J418)</f>
        <v>0.99242734601097915</v>
      </c>
      <c r="AA415" s="57">
        <f>GEOMEAN(S415:S418)/GEOMEAN(K415:K418)</f>
        <v>0.98796757312163153</v>
      </c>
      <c r="AB415" s="24"/>
      <c r="AC415" s="45">
        <f>E415 -M415</f>
        <v>0.57359999999971478</v>
      </c>
      <c r="AD415" s="70"/>
      <c r="AE415" s="70"/>
      <c r="AF415" s="70"/>
      <c r="AG415" s="45">
        <f t="shared" ref="AG415:AI418" si="28">I415 -Q415</f>
        <v>832.47999999999593</v>
      </c>
      <c r="AH415" s="45">
        <f t="shared" si="28"/>
        <v>6.7800000000000011</v>
      </c>
      <c r="AI415" s="45">
        <f t="shared" si="28"/>
        <v>43.850000000000023</v>
      </c>
    </row>
    <row r="416" spans="2:35" ht="12">
      <c r="B416" s="36"/>
      <c r="C416" s="29"/>
      <c r="D416" s="32">
        <v>30</v>
      </c>
      <c r="E416" s="46">
        <v>2800.7952</v>
      </c>
      <c r="F416" s="70"/>
      <c r="G416" s="70"/>
      <c r="H416" s="70"/>
      <c r="I416" s="46">
        <v>48333.69</v>
      </c>
      <c r="J416" s="46">
        <v>112.79</v>
      </c>
      <c r="K416" s="46">
        <v>871.85</v>
      </c>
      <c r="L416" s="29"/>
      <c r="M416" s="46">
        <v>2802.16</v>
      </c>
      <c r="N416" s="70"/>
      <c r="O416" s="70"/>
      <c r="P416" s="70"/>
      <c r="Q416" s="46">
        <v>48156.35</v>
      </c>
      <c r="R416" s="46">
        <v>114.13</v>
      </c>
      <c r="S416" s="46">
        <v>871.54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-1.3647999999998319</v>
      </c>
      <c r="AD416" s="70"/>
      <c r="AE416" s="70"/>
      <c r="AF416" s="70"/>
      <c r="AG416" s="46">
        <f t="shared" si="28"/>
        <v>177.34000000000378</v>
      </c>
      <c r="AH416" s="46">
        <f t="shared" si="28"/>
        <v>-1.3399999999999892</v>
      </c>
      <c r="AI416" s="46">
        <f t="shared" si="28"/>
        <v>0.31000000000005912</v>
      </c>
    </row>
    <row r="417" spans="1:35" ht="12">
      <c r="B417" s="36"/>
      <c r="C417" s="29"/>
      <c r="D417" s="32">
        <v>35</v>
      </c>
      <c r="E417" s="46">
        <v>1344.5863999999999</v>
      </c>
      <c r="F417" s="70"/>
      <c r="G417" s="70"/>
      <c r="H417" s="70"/>
      <c r="I417" s="46">
        <v>40040.18</v>
      </c>
      <c r="J417" s="46">
        <v>109.14</v>
      </c>
      <c r="K417" s="46">
        <v>870.62</v>
      </c>
      <c r="L417" s="29"/>
      <c r="M417" s="46">
        <v>1344.0496000000001</v>
      </c>
      <c r="N417" s="70"/>
      <c r="O417" s="70"/>
      <c r="P417" s="70"/>
      <c r="Q417" s="46">
        <v>39485.17</v>
      </c>
      <c r="R417" s="46">
        <v>109.6</v>
      </c>
      <c r="S417" s="46">
        <v>871.77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0.53679999999985739</v>
      </c>
      <c r="AD417" s="70"/>
      <c r="AE417" s="70"/>
      <c r="AF417" s="70"/>
      <c r="AG417" s="46">
        <f t="shared" si="28"/>
        <v>555.01000000000204</v>
      </c>
      <c r="AH417" s="46">
        <f t="shared" si="28"/>
        <v>-0.45999999999999375</v>
      </c>
      <c r="AI417" s="46">
        <f t="shared" si="28"/>
        <v>-1.1499999999999773</v>
      </c>
    </row>
    <row r="418" spans="1:35" ht="12.75" thickBot="1">
      <c r="A418" s="54"/>
      <c r="B418" s="52"/>
      <c r="C418" s="53"/>
      <c r="D418" s="71">
        <v>40</v>
      </c>
      <c r="E418" s="72">
        <v>645.0992</v>
      </c>
      <c r="F418" s="81"/>
      <c r="G418" s="81"/>
      <c r="H418" s="81"/>
      <c r="I418" s="72">
        <v>33619.120000000003</v>
      </c>
      <c r="J418" s="72">
        <v>104.5</v>
      </c>
      <c r="K418" s="72">
        <v>868.98</v>
      </c>
      <c r="L418" s="29"/>
      <c r="M418" s="72">
        <v>644.91279999999995</v>
      </c>
      <c r="N418" s="81"/>
      <c r="O418" s="81"/>
      <c r="P418" s="81"/>
      <c r="Q418" s="72">
        <v>33465.01</v>
      </c>
      <c r="R418" s="72">
        <v>105.57</v>
      </c>
      <c r="S418" s="72">
        <v>870.83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0.18640000000004875</v>
      </c>
      <c r="AD418" s="81"/>
      <c r="AE418" s="81"/>
      <c r="AF418" s="81"/>
      <c r="AG418" s="72">
        <f t="shared" si="28"/>
        <v>154.11000000000058</v>
      </c>
      <c r="AH418" s="72">
        <f t="shared" si="28"/>
        <v>-1.0699999999999932</v>
      </c>
      <c r="AI418" s="72">
        <f t="shared" si="28"/>
        <v>-1.8500000000000227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19698.592085533324</v>
      </c>
      <c r="J420" s="37">
        <f>GEOMEAN(J51:J54,J103:J106,J155:J158)</f>
        <v>43.98138209077311</v>
      </c>
      <c r="K420" s="39">
        <f>GEOMEAN(K51:K54,K103:K106,K155:K158)</f>
        <v>335.34343874287867</v>
      </c>
      <c r="M420" s="35"/>
      <c r="N420" s="22"/>
      <c r="O420" s="22"/>
      <c r="P420" s="22"/>
      <c r="Q420" s="37">
        <f>GEOMEAN(Q51:Q54,Q103:Q106,Q155:Q158)</f>
        <v>19743.169197976837</v>
      </c>
      <c r="R420" s="37">
        <f>GEOMEAN(R51:R54,R103:R106,R155:R158)</f>
        <v>42.880315169710784</v>
      </c>
      <c r="S420" s="39">
        <f>GEOMEAN(S51:S54,S103:S106,S155:S158)</f>
        <v>334.03650680390376</v>
      </c>
      <c r="AA420" s="20" t="s">
        <v>63</v>
      </c>
      <c r="AB420" s="35">
        <f>SUM(AD420:AI420)</f>
        <v>5024.1166999999914</v>
      </c>
      <c r="AC420" s="35">
        <f t="array" ref="AC420">SUM(ABS(AC3:AC418))</f>
        <v>42.99879999999996</v>
      </c>
      <c r="AD420" s="35">
        <f t="array" ref="AD420">SUM(ABS(AD3:AD418))</f>
        <v>3.4658999999999835</v>
      </c>
      <c r="AE420" s="35">
        <f t="array" ref="AE420">SUM(ABS(AE3:AE418))</f>
        <v>1.7632999999999583</v>
      </c>
      <c r="AF420" s="35">
        <f t="array" ref="AF420">SUM(ABS(AF3:AF418))</f>
        <v>1.9474999999999767</v>
      </c>
      <c r="AG420" s="35">
        <f t="array" ref="AG420">SUM(ABS(AG3:AG418))</f>
        <v>4808.6999999999916</v>
      </c>
      <c r="AH420" s="35">
        <f t="array" ref="AH420">SUM(ABS(AH3:AH418))</f>
        <v>44.699999999999974</v>
      </c>
      <c r="AI420" s="35">
        <f t="array" ref="AI420">SUM(ABS(AI3:AI418))</f>
        <v>163.54000000000008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31829.846852479866</v>
      </c>
      <c r="J421" s="38">
        <f>GEOMEAN(J207:J210,J259:J262,J311:J314,J363:J366)</f>
        <v>83.513348192396236</v>
      </c>
      <c r="K421" s="40">
        <f>GEOMEAN(K207:K210,K259:K262,K311:K314,K363:K366)</f>
        <v>687.64634812894553</v>
      </c>
      <c r="M421" s="36"/>
      <c r="N421" s="24"/>
      <c r="O421" s="24"/>
      <c r="P421" s="24"/>
      <c r="Q421" s="38">
        <f>GEOMEAN(Q207:Q210,Q259:Q262,Q311:Q314,Q363:Q366)</f>
        <v>31754.014490771682</v>
      </c>
      <c r="R421" s="38">
        <f>GEOMEAN(R207:R210,R259:R262,R311:R314,R363:R366)</f>
        <v>83.610802755041817</v>
      </c>
      <c r="S421" s="40">
        <f>GEOMEAN(S207:S210,S259:S262,S311:S314,S363:S366)</f>
        <v>689.39904748832066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25913.169556057106</v>
      </c>
      <c r="J422" s="73">
        <f>GEOMEAN(J51:J54,J103:J106,J155:J158,J207:J210,J259:J262,J311:J314,J363:J366)</f>
        <v>63.446009861743967</v>
      </c>
      <c r="K422" s="74">
        <f>GEOMEAN(K51:K54,K103:K106,K155:K158,K207:K210,K259:K262,K311:K314,K363:K366)</f>
        <v>505.48036020510654</v>
      </c>
      <c r="M422" s="52"/>
      <c r="N422" s="49"/>
      <c r="O422" s="49"/>
      <c r="P422" s="49"/>
      <c r="Q422" s="73">
        <f>GEOMEAN(Q51:Q54,Q103:Q106,Q155:Q158,Q207:Q210,Q259:Q262,Q311:Q314,Q363:Q366)</f>
        <v>25902.954823698514</v>
      </c>
      <c r="R422" s="73">
        <f>GEOMEAN(R51:R54,R103:R106,R155:R158,R207:R210,R259:R262,R311:R314,R363:R366)</f>
        <v>62.802189167287786</v>
      </c>
      <c r="S422" s="74">
        <f>GEOMEAN(S51:S54,S103:S106,S155:S158,S207:S210,S259:S262,S311:S314,S363:S366)</f>
        <v>505.3697196113734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1.0022629593145518</v>
      </c>
      <c r="R423" s="47">
        <f t="shared" si="29"/>
        <v>0.97496515869397116</v>
      </c>
      <c r="S423" s="48">
        <f t="shared" si="29"/>
        <v>0.99610270609774176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0.99761757063866374</v>
      </c>
      <c r="R424" s="47">
        <f t="shared" si="29"/>
        <v>1.0011669339663052</v>
      </c>
      <c r="S424" s="48">
        <f t="shared" si="29"/>
        <v>1.0025488383151371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0.99960580922621234</v>
      </c>
      <c r="R425" s="50">
        <f t="shared" si="29"/>
        <v>0.98985246360079793</v>
      </c>
      <c r="S425" s="51">
        <f t="shared" si="29"/>
        <v>0.99978111791783908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1148.5896</v>
      </c>
      <c r="F430" s="78">
        <f t="shared" ref="F430:H433" si="30">AVERAGE(F3,F7)</f>
        <v>42.661450000000002</v>
      </c>
      <c r="G430" s="78">
        <f t="shared" si="30"/>
        <v>43.253450000000001</v>
      </c>
      <c r="H430" s="78">
        <f t="shared" si="30"/>
        <v>43.5486</v>
      </c>
      <c r="I430" s="79"/>
      <c r="J430" s="79"/>
      <c r="K430" s="80"/>
      <c r="L430" s="29"/>
      <c r="M430" s="82">
        <f>M3+M7</f>
        <v>1148.684</v>
      </c>
      <c r="N430" s="78">
        <f t="shared" ref="N430:P433" si="31">AVERAGE(N3,N7)</f>
        <v>42.661099999999998</v>
      </c>
      <c r="O430" s="78">
        <f t="shared" si="31"/>
        <v>43.253299999999996</v>
      </c>
      <c r="P430" s="78">
        <f t="shared" si="31"/>
        <v>43.547049999999999</v>
      </c>
      <c r="Q430" s="79"/>
      <c r="R430" s="79"/>
      <c r="S430" s="80"/>
      <c r="U430" s="8">
        <f>bdrate($E430:$E433,F430:F433,$M430:$M433,N430:N433)</f>
        <v>-1.1259268298369207E-4</v>
      </c>
      <c r="V430" s="9">
        <f>bdrate($E430:$E433,G430:G433,$M430:$M433,O430:O433)</f>
        <v>-2.489385754603779E-4</v>
      </c>
      <c r="W430" s="10">
        <f>bdrate($E430:$E433,H430:H433,$M430:$M433,P430:P433)</f>
        <v>4.054024905426612E-4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605.08879999999999</v>
      </c>
      <c r="F431" s="70">
        <f t="shared" si="30"/>
        <v>40.481349999999999</v>
      </c>
      <c r="G431" s="70">
        <f t="shared" si="30"/>
        <v>41.980450000000005</v>
      </c>
      <c r="H431" s="70">
        <f t="shared" si="30"/>
        <v>41.932149999999993</v>
      </c>
      <c r="I431" s="66"/>
      <c r="J431" s="66"/>
      <c r="K431" s="67"/>
      <c r="L431" s="29"/>
      <c r="M431" s="83">
        <f>M4+M8</f>
        <v>605.05039999999997</v>
      </c>
      <c r="N431" s="70">
        <f t="shared" si="31"/>
        <v>40.481999999999999</v>
      </c>
      <c r="O431" s="70">
        <f t="shared" si="31"/>
        <v>41.982950000000002</v>
      </c>
      <c r="P431" s="70">
        <f t="shared" si="31"/>
        <v>41.929699999999997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341.91359999999997</v>
      </c>
      <c r="F432" s="70">
        <f t="shared" si="30"/>
        <v>37.8874</v>
      </c>
      <c r="G432" s="70">
        <f t="shared" si="30"/>
        <v>40.601100000000002</v>
      </c>
      <c r="H432" s="70">
        <f t="shared" si="30"/>
        <v>40.2821</v>
      </c>
      <c r="I432" s="66"/>
      <c r="J432" s="66"/>
      <c r="K432" s="67"/>
      <c r="L432" s="29"/>
      <c r="M432" s="83">
        <f>M5+M9</f>
        <v>341.80160000000001</v>
      </c>
      <c r="N432" s="70">
        <f t="shared" si="31"/>
        <v>37.886600000000001</v>
      </c>
      <c r="O432" s="70">
        <f t="shared" si="31"/>
        <v>40.59975</v>
      </c>
      <c r="P432" s="70">
        <f t="shared" si="31"/>
        <v>40.280699999999996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201.72479999999999</v>
      </c>
      <c r="F433" s="81">
        <f t="shared" si="30"/>
        <v>35.113500000000002</v>
      </c>
      <c r="G433" s="81">
        <f t="shared" si="30"/>
        <v>39.511400000000002</v>
      </c>
      <c r="H433" s="81">
        <f t="shared" si="30"/>
        <v>39.001950000000001</v>
      </c>
      <c r="I433" s="68"/>
      <c r="J433" s="68"/>
      <c r="K433" s="69"/>
      <c r="L433" s="29"/>
      <c r="M433" s="84">
        <f>M6+M10</f>
        <v>201.61599999999999</v>
      </c>
      <c r="N433" s="81">
        <f t="shared" si="31"/>
        <v>35.109899999999996</v>
      </c>
      <c r="O433" s="81">
        <f t="shared" si="31"/>
        <v>39.508250000000004</v>
      </c>
      <c r="P433" s="81">
        <f t="shared" si="31"/>
        <v>39.003100000000003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1448.6552000000001</v>
      </c>
      <c r="F434" s="78">
        <f t="shared" ref="F434:H437" si="32">AVERAGE(F3,F7,F11)</f>
        <v>42.408066666666663</v>
      </c>
      <c r="G434" s="78">
        <f t="shared" si="32"/>
        <v>43.016699999999993</v>
      </c>
      <c r="H434" s="78">
        <f t="shared" si="32"/>
        <v>43.318566666666669</v>
      </c>
      <c r="I434" s="79"/>
      <c r="J434" s="79"/>
      <c r="K434" s="80"/>
      <c r="L434" s="29"/>
      <c r="M434" s="78">
        <f>M3+M7+M11</f>
        <v>1448.6823999999999</v>
      </c>
      <c r="N434" s="78">
        <f t="shared" ref="N434:P437" si="33">AVERAGE(N3,N7,N11)</f>
        <v>42.409233333333333</v>
      </c>
      <c r="O434" s="78">
        <f t="shared" si="33"/>
        <v>43.017333333333333</v>
      </c>
      <c r="P434" s="78">
        <f t="shared" si="33"/>
        <v>43.319099999999999</v>
      </c>
      <c r="Q434" s="79"/>
      <c r="R434" s="79"/>
      <c r="S434" s="80"/>
      <c r="U434" s="8">
        <f>bdrate($E434:$E437,F434:F437,$M434:$M437,N434:N437)</f>
        <v>-3.2764722696654314E-4</v>
      </c>
      <c r="V434" s="9">
        <f>bdrate($E434:$E437,G434:G437,$M434:$M437,O434:O437)</f>
        <v>-2.9013642977471221E-5</v>
      </c>
      <c r="W434" s="10">
        <f>bdrate($E434:$E437,H434:H437,$M434:$M437,P434:P437)</f>
        <v>2.1813654901747803E-4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741.31439999999998</v>
      </c>
      <c r="F435" s="70">
        <f t="shared" si="32"/>
        <v>40.212566666666667</v>
      </c>
      <c r="G435" s="70">
        <f t="shared" si="32"/>
        <v>41.727366666666676</v>
      </c>
      <c r="H435" s="70">
        <f t="shared" si="32"/>
        <v>41.725333333333332</v>
      </c>
      <c r="I435" s="66"/>
      <c r="J435" s="66"/>
      <c r="K435" s="67"/>
      <c r="L435" s="29"/>
      <c r="M435" s="70">
        <f>M4+M8+M12</f>
        <v>741.08320000000003</v>
      </c>
      <c r="N435" s="70">
        <f t="shared" si="33"/>
        <v>40.211866666666666</v>
      </c>
      <c r="O435" s="70">
        <f t="shared" si="33"/>
        <v>41.728400000000001</v>
      </c>
      <c r="P435" s="70">
        <f t="shared" si="33"/>
        <v>41.721799999999995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412.92639999999994</v>
      </c>
      <c r="F436" s="70">
        <f t="shared" si="32"/>
        <v>37.627000000000002</v>
      </c>
      <c r="G436" s="70">
        <f t="shared" si="32"/>
        <v>40.425033333333339</v>
      </c>
      <c r="H436" s="70">
        <f t="shared" si="32"/>
        <v>40.138866666666665</v>
      </c>
      <c r="I436" s="66"/>
      <c r="J436" s="66"/>
      <c r="K436" s="67"/>
      <c r="L436" s="29"/>
      <c r="M436" s="70">
        <f>M5+M9+M13</f>
        <v>412.67920000000004</v>
      </c>
      <c r="N436" s="70">
        <f t="shared" si="33"/>
        <v>37.62746666666667</v>
      </c>
      <c r="O436" s="70">
        <f t="shared" si="33"/>
        <v>40.421700000000001</v>
      </c>
      <c r="P436" s="70">
        <f t="shared" si="33"/>
        <v>40.138233333333325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239.464</v>
      </c>
      <c r="F437" s="81">
        <f t="shared" si="32"/>
        <v>34.877900000000004</v>
      </c>
      <c r="G437" s="81">
        <f t="shared" si="32"/>
        <v>39.338266666666669</v>
      </c>
      <c r="H437" s="81">
        <f t="shared" si="32"/>
        <v>38.868266666666671</v>
      </c>
      <c r="I437" s="68"/>
      <c r="J437" s="68"/>
      <c r="K437" s="69"/>
      <c r="L437" s="29"/>
      <c r="M437" s="81">
        <f>M6+M10+M14</f>
        <v>239.38399999999999</v>
      </c>
      <c r="N437" s="81">
        <f t="shared" si="33"/>
        <v>34.874333333333333</v>
      </c>
      <c r="O437" s="81">
        <f t="shared" si="33"/>
        <v>39.337666666666671</v>
      </c>
      <c r="P437" s="81">
        <f t="shared" si="33"/>
        <v>38.869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1351.3815999999999</v>
      </c>
      <c r="F438" s="78">
        <f t="shared" ref="F438:H441" si="34">AVERAGE(F27,F31,F35)</f>
        <v>42.771700000000003</v>
      </c>
      <c r="G438" s="78">
        <f t="shared" si="34"/>
        <v>45.63816666666667</v>
      </c>
      <c r="H438" s="78">
        <f t="shared" si="34"/>
        <v>45.512133333333338</v>
      </c>
      <c r="I438" s="79"/>
      <c r="J438" s="79"/>
      <c r="K438" s="80"/>
      <c r="L438" s="29"/>
      <c r="M438" s="82">
        <f>M3+M7+M15+M19</f>
        <v>1351.1487999999999</v>
      </c>
      <c r="N438" s="78">
        <f t="shared" ref="N438:P441" si="35">AVERAGE(N27,N31,N35)</f>
        <v>42.7712</v>
      </c>
      <c r="O438" s="78">
        <f t="shared" si="35"/>
        <v>45.638766666666669</v>
      </c>
      <c r="P438" s="78">
        <f t="shared" si="35"/>
        <v>45.508000000000003</v>
      </c>
      <c r="Q438" s="79"/>
      <c r="R438" s="79"/>
      <c r="S438" s="80"/>
      <c r="U438" s="8">
        <f>bdrate($E438:$E441,F438:F441,$M438:$M441,N438:N441)</f>
        <v>-3.1592397588142695E-4</v>
      </c>
      <c r="V438" s="9">
        <f>bdrate($E438:$E441,G438:G441,$M438:$M441,O438:O441)</f>
        <v>-4.5327934177508133E-4</v>
      </c>
      <c r="W438" s="10">
        <f>bdrate($E438:$E441,H438:H441,$M438:$M441,P438:P441)</f>
        <v>-4.9416905800736544E-6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671.95519999999999</v>
      </c>
      <c r="F439" s="70">
        <f t="shared" si="34"/>
        <v>40.555133333333337</v>
      </c>
      <c r="G439" s="70">
        <f t="shared" si="34"/>
        <v>43.97206666666667</v>
      </c>
      <c r="H439" s="70">
        <f t="shared" si="34"/>
        <v>43.504433333333338</v>
      </c>
      <c r="I439" s="66"/>
      <c r="J439" s="66"/>
      <c r="K439" s="67"/>
      <c r="L439" s="29"/>
      <c r="M439" s="83">
        <f>M4+M8+M16+M20</f>
        <v>671.83680000000004</v>
      </c>
      <c r="N439" s="70">
        <f t="shared" si="35"/>
        <v>40.556966666666661</v>
      </c>
      <c r="O439" s="70">
        <f t="shared" si="35"/>
        <v>43.972800000000007</v>
      </c>
      <c r="P439" s="70">
        <f t="shared" si="35"/>
        <v>43.502199999999995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370.62799999999999</v>
      </c>
      <c r="F440" s="70">
        <f t="shared" si="34"/>
        <v>38.0092</v>
      </c>
      <c r="G440" s="70">
        <f t="shared" si="34"/>
        <v>42.17966666666667</v>
      </c>
      <c r="H440" s="70">
        <f t="shared" si="34"/>
        <v>41.513733333333327</v>
      </c>
      <c r="I440" s="66"/>
      <c r="J440" s="66"/>
      <c r="K440" s="67"/>
      <c r="L440" s="29"/>
      <c r="M440" s="83">
        <f>M5+M9+M17+M21</f>
        <v>370.68640000000005</v>
      </c>
      <c r="N440" s="70">
        <f t="shared" si="35"/>
        <v>38.011366666666667</v>
      </c>
      <c r="O440" s="70">
        <f t="shared" si="35"/>
        <v>42.182366666666667</v>
      </c>
      <c r="P440" s="70">
        <f t="shared" si="35"/>
        <v>41.516866666666665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215.96799999999996</v>
      </c>
      <c r="F441" s="81">
        <f t="shared" si="34"/>
        <v>35.251100000000001</v>
      </c>
      <c r="G441" s="81">
        <f t="shared" si="34"/>
        <v>40.821866666666665</v>
      </c>
      <c r="H441" s="81">
        <f t="shared" si="34"/>
        <v>40.003700000000002</v>
      </c>
      <c r="I441" s="68"/>
      <c r="J441" s="68"/>
      <c r="K441" s="69"/>
      <c r="L441" s="29"/>
      <c r="M441" s="84">
        <f>M6+M10+M18+M22</f>
        <v>215.8416</v>
      </c>
      <c r="N441" s="81">
        <f t="shared" si="35"/>
        <v>35.246233333333329</v>
      </c>
      <c r="O441" s="81">
        <f t="shared" si="35"/>
        <v>40.818733333333334</v>
      </c>
      <c r="P441" s="81">
        <f t="shared" si="35"/>
        <v>40.005499999999998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1753.1248000000001</v>
      </c>
      <c r="F442" s="78">
        <f t="shared" ref="F442:H445" si="36">AVERAGE(F27,F31,F35,F39,F43,F47)</f>
        <v>42.685266666666671</v>
      </c>
      <c r="G442" s="78">
        <f t="shared" si="36"/>
        <v>45.588333333333331</v>
      </c>
      <c r="H442" s="78">
        <f t="shared" si="36"/>
        <v>45.456433333333337</v>
      </c>
      <c r="I442" s="79"/>
      <c r="J442" s="79"/>
      <c r="K442" s="80"/>
      <c r="L442" s="29"/>
      <c r="M442" s="78">
        <f>M51</f>
        <v>1753.1296</v>
      </c>
      <c r="N442" s="78">
        <f t="shared" ref="N442:P445" si="37">AVERAGE(N27,N31,N35,N39,N43,N47)</f>
        <v>42.688066666666678</v>
      </c>
      <c r="O442" s="78">
        <f t="shared" si="37"/>
        <v>45.590033333333338</v>
      </c>
      <c r="P442" s="78">
        <f t="shared" si="37"/>
        <v>45.456583333333334</v>
      </c>
      <c r="Q442" s="79"/>
      <c r="R442" s="79"/>
      <c r="S442" s="80"/>
      <c r="U442" s="8">
        <f>bdrate($E442:$E445,F442:F445,$M442:$M445,N442:N445)</f>
        <v>-8.3278037565992502E-4</v>
      </c>
      <c r="V442" s="9">
        <f>bdrate($E442:$E445,G442:G445,$M442:$M445,O442:O445)</f>
        <v>-4.9216838963073162E-4</v>
      </c>
      <c r="W442" s="10">
        <f>bdrate($E442:$E445,H442:H445,$M442:$M445,P442:P445)</f>
        <v>1.9681260964499181E-4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844.92560000000003</v>
      </c>
      <c r="F443" s="70">
        <f t="shared" si="36"/>
        <v>40.486966666666667</v>
      </c>
      <c r="G443" s="70">
        <f t="shared" si="36"/>
        <v>43.916400000000003</v>
      </c>
      <c r="H443" s="70">
        <f t="shared" si="36"/>
        <v>43.455333333333328</v>
      </c>
      <c r="I443" s="66"/>
      <c r="J443" s="66"/>
      <c r="K443" s="67"/>
      <c r="L443" s="29"/>
      <c r="M443" s="70">
        <f>M52</f>
        <v>844.6952</v>
      </c>
      <c r="N443" s="70">
        <f t="shared" si="37"/>
        <v>40.49113333333333</v>
      </c>
      <c r="O443" s="70">
        <f t="shared" si="37"/>
        <v>43.916216666666664</v>
      </c>
      <c r="P443" s="70">
        <f t="shared" si="37"/>
        <v>43.453300000000006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460.83760000000001</v>
      </c>
      <c r="F444" s="70">
        <f t="shared" si="36"/>
        <v>37.952449999999999</v>
      </c>
      <c r="G444" s="70">
        <f t="shared" si="36"/>
        <v>42.139900000000004</v>
      </c>
      <c r="H444" s="70">
        <f t="shared" si="36"/>
        <v>41.469116666666672</v>
      </c>
      <c r="I444" s="66"/>
      <c r="J444" s="66"/>
      <c r="K444" s="67"/>
      <c r="L444" s="29"/>
      <c r="M444" s="70">
        <f>M53</f>
        <v>460.67360000000002</v>
      </c>
      <c r="N444" s="70">
        <f t="shared" si="37"/>
        <v>37.954533333333337</v>
      </c>
      <c r="O444" s="70">
        <f t="shared" si="37"/>
        <v>42.140500000000003</v>
      </c>
      <c r="P444" s="70">
        <f t="shared" si="37"/>
        <v>41.466866666666668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265.82639999999998</v>
      </c>
      <c r="F445" s="81">
        <f t="shared" si="36"/>
        <v>35.19733333333334</v>
      </c>
      <c r="G445" s="81">
        <f t="shared" si="36"/>
        <v>40.790033333333334</v>
      </c>
      <c r="H445" s="81">
        <f t="shared" si="36"/>
        <v>39.946983333333336</v>
      </c>
      <c r="I445" s="68"/>
      <c r="J445" s="68"/>
      <c r="K445" s="69"/>
      <c r="L445" s="29"/>
      <c r="M445" s="81">
        <f>M54</f>
        <v>265.7192</v>
      </c>
      <c r="N445" s="81">
        <f t="shared" si="37"/>
        <v>35.190816666666663</v>
      </c>
      <c r="O445" s="81">
        <f t="shared" si="37"/>
        <v>40.791316666666667</v>
      </c>
      <c r="P445" s="81">
        <f t="shared" si="37"/>
        <v>39.948349999999998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1351.3815999999999</v>
      </c>
      <c r="F446" s="78">
        <f t="shared" ref="F446:H449" si="39">AVERAGE(F3,F7,F27,F31,F35)</f>
        <v>42.727600000000002</v>
      </c>
      <c r="G446" s="78">
        <f t="shared" si="39"/>
        <v>44.684279999999994</v>
      </c>
      <c r="H446" s="78">
        <f t="shared" si="39"/>
        <v>44.726720000000007</v>
      </c>
      <c r="I446" s="79"/>
      <c r="J446" s="79"/>
      <c r="K446" s="80"/>
      <c r="L446" s="29"/>
      <c r="M446" s="78">
        <f t="shared" ref="M446:M453" si="40">M438</f>
        <v>1351.1487999999999</v>
      </c>
      <c r="N446" s="78">
        <f t="shared" ref="N446:P449" si="41">AVERAGE(N3,N7,N27,N31,N35)</f>
        <v>42.727159999999998</v>
      </c>
      <c r="O446" s="78">
        <f t="shared" si="41"/>
        <v>44.684579999999997</v>
      </c>
      <c r="P446" s="78">
        <f t="shared" si="41"/>
        <v>44.723620000000004</v>
      </c>
      <c r="Q446" s="79"/>
      <c r="R446" s="79"/>
      <c r="S446" s="80"/>
      <c r="U446" s="8">
        <f>bdrate($E446:$E449,F446:F449,$M446:$M449,N446:N449)</f>
        <v>-1.8176030045324865E-4</v>
      </c>
      <c r="V446" s="9">
        <f>bdrate($E446:$E449,G446:G449,$M446:$M449,O446:O449)</f>
        <v>-3.5857146874207491E-4</v>
      </c>
      <c r="W446" s="10">
        <f>bdrate($E446:$E449,H446:H449,$M446:$M449,P446:P449)</f>
        <v>1.8410971989557545E-4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671.95519999999999</v>
      </c>
      <c r="F447" s="70">
        <f t="shared" si="39"/>
        <v>40.525619999999996</v>
      </c>
      <c r="G447" s="70">
        <f t="shared" si="39"/>
        <v>43.175419999999995</v>
      </c>
      <c r="H447" s="70">
        <f t="shared" si="39"/>
        <v>42.875519999999995</v>
      </c>
      <c r="I447" s="66"/>
      <c r="J447" s="66"/>
      <c r="K447" s="67"/>
      <c r="L447" s="29"/>
      <c r="M447" s="70">
        <f t="shared" si="40"/>
        <v>671.83680000000004</v>
      </c>
      <c r="N447" s="70">
        <f t="shared" si="41"/>
        <v>40.526979999999995</v>
      </c>
      <c r="O447" s="70">
        <f t="shared" si="41"/>
        <v>43.176859999999998</v>
      </c>
      <c r="P447" s="70">
        <f t="shared" si="41"/>
        <v>42.873199999999997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370.62799999999999</v>
      </c>
      <c r="F448" s="70">
        <f t="shared" si="39"/>
        <v>37.960479999999997</v>
      </c>
      <c r="G448" s="70">
        <f t="shared" si="39"/>
        <v>41.54824</v>
      </c>
      <c r="H448" s="70">
        <f t="shared" si="39"/>
        <v>41.021079999999998</v>
      </c>
      <c r="I448" s="66"/>
      <c r="J448" s="66"/>
      <c r="K448" s="67"/>
      <c r="L448" s="29"/>
      <c r="M448" s="70">
        <f t="shared" si="40"/>
        <v>370.68640000000005</v>
      </c>
      <c r="N448" s="70">
        <f t="shared" si="41"/>
        <v>37.961460000000002</v>
      </c>
      <c r="O448" s="70">
        <f t="shared" si="41"/>
        <v>41.549320000000002</v>
      </c>
      <c r="P448" s="70">
        <f t="shared" si="41"/>
        <v>41.022400000000005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215.96799999999996</v>
      </c>
      <c r="F449" s="81">
        <f t="shared" si="39"/>
        <v>35.196060000000003</v>
      </c>
      <c r="G449" s="81">
        <f t="shared" si="39"/>
        <v>40.29768</v>
      </c>
      <c r="H449" s="81">
        <f t="shared" si="39"/>
        <v>39.603000000000002</v>
      </c>
      <c r="I449" s="68"/>
      <c r="J449" s="68"/>
      <c r="K449" s="69"/>
      <c r="L449" s="29"/>
      <c r="M449" s="81">
        <f t="shared" si="40"/>
        <v>215.8416</v>
      </c>
      <c r="N449" s="81">
        <f t="shared" si="41"/>
        <v>35.191699999999997</v>
      </c>
      <c r="O449" s="81">
        <f t="shared" si="41"/>
        <v>40.294539999999998</v>
      </c>
      <c r="P449" s="81">
        <f t="shared" si="41"/>
        <v>39.60454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1753.1248000000001</v>
      </c>
      <c r="F450" s="78">
        <f t="shared" ref="F450:H453" si="42">AVERAGE(F3,F7,F11,F27,F31,F35,F39,F43,F47)</f>
        <v>42.592866666666666</v>
      </c>
      <c r="G450" s="78">
        <f t="shared" si="42"/>
        <v>44.731122222222233</v>
      </c>
      <c r="H450" s="78">
        <f t="shared" si="42"/>
        <v>44.743811111111114</v>
      </c>
      <c r="I450" s="79"/>
      <c r="J450" s="79"/>
      <c r="K450" s="80"/>
      <c r="L450" s="29"/>
      <c r="M450" s="78">
        <f t="shared" si="40"/>
        <v>1753.1296</v>
      </c>
      <c r="N450" s="78">
        <f t="shared" ref="N450:P453" si="43">AVERAGE(N3,N7,N11,N27,N31,N35,N39,N43,N47)</f>
        <v>42.595122222222216</v>
      </c>
      <c r="O450" s="78">
        <f t="shared" si="43"/>
        <v>44.732466666666667</v>
      </c>
      <c r="P450" s="78">
        <f t="shared" si="43"/>
        <v>44.744088888888889</v>
      </c>
      <c r="Q450" s="79"/>
      <c r="R450" s="79"/>
      <c r="S450" s="80"/>
      <c r="U450" s="8">
        <f>bdrate($E450:$E453,F450:F453,$M450:$M453,N450:N453)</f>
        <v>-6.3002659833333308E-4</v>
      </c>
      <c r="V450" s="9">
        <f>bdrate($E450:$E453,G450:G453,$M450:$M453,O450:O453)</f>
        <v>-3.3959093227975412E-4</v>
      </c>
      <c r="W450" s="10">
        <f>bdrate($E450:$E453,H450:H453,$M450:$M453,P450:P453)</f>
        <v>2.3908087348667451E-4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844.92560000000003</v>
      </c>
      <c r="F451" s="70">
        <f t="shared" si="42"/>
        <v>40.395499999999998</v>
      </c>
      <c r="G451" s="70">
        <f t="shared" si="42"/>
        <v>43.18672222222223</v>
      </c>
      <c r="H451" s="70">
        <f t="shared" si="42"/>
        <v>42.878666666666653</v>
      </c>
      <c r="I451" s="66"/>
      <c r="J451" s="66"/>
      <c r="K451" s="67"/>
      <c r="L451" s="29"/>
      <c r="M451" s="70">
        <f t="shared" si="40"/>
        <v>844.6952</v>
      </c>
      <c r="N451" s="70">
        <f t="shared" si="43"/>
        <v>40.398044444444444</v>
      </c>
      <c r="O451" s="70">
        <f t="shared" si="43"/>
        <v>43.186944444444435</v>
      </c>
      <c r="P451" s="70">
        <f t="shared" si="43"/>
        <v>42.876133333333335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460.83760000000001</v>
      </c>
      <c r="F452" s="70">
        <f t="shared" si="42"/>
        <v>37.84396666666666</v>
      </c>
      <c r="G452" s="70">
        <f t="shared" si="42"/>
        <v>41.56827777777778</v>
      </c>
      <c r="H452" s="70">
        <f t="shared" si="42"/>
        <v>41.025700000000001</v>
      </c>
      <c r="I452" s="66"/>
      <c r="J452" s="66"/>
      <c r="K452" s="67"/>
      <c r="L452" s="29"/>
      <c r="M452" s="70">
        <f t="shared" si="40"/>
        <v>460.67360000000002</v>
      </c>
      <c r="N452" s="70">
        <f t="shared" si="43"/>
        <v>37.845511111111108</v>
      </c>
      <c r="O452" s="70">
        <f t="shared" si="43"/>
        <v>41.567566666666671</v>
      </c>
      <c r="P452" s="70">
        <f t="shared" si="43"/>
        <v>41.023988888888887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265.82639999999998</v>
      </c>
      <c r="F453" s="81">
        <f t="shared" si="42"/>
        <v>35.090855555555557</v>
      </c>
      <c r="G453" s="81">
        <f t="shared" si="42"/>
        <v>40.306111111111107</v>
      </c>
      <c r="H453" s="81">
        <f t="shared" si="42"/>
        <v>39.587411111111109</v>
      </c>
      <c r="I453" s="68"/>
      <c r="J453" s="68"/>
      <c r="K453" s="69"/>
      <c r="L453" s="29"/>
      <c r="M453" s="81">
        <f t="shared" si="40"/>
        <v>265.7192</v>
      </c>
      <c r="N453" s="81">
        <f t="shared" si="43"/>
        <v>35.085322222222224</v>
      </c>
      <c r="O453" s="81">
        <f t="shared" si="43"/>
        <v>40.306766666666668</v>
      </c>
      <c r="P453" s="81">
        <f t="shared" si="43"/>
        <v>39.588566666666665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1121.3592000000001</v>
      </c>
      <c r="F454" s="78">
        <f t="shared" ref="F454:H457" si="44">AVERAGE(F55,F59)</f>
        <v>43.148150000000001</v>
      </c>
      <c r="G454" s="78">
        <f t="shared" si="44"/>
        <v>44.852800000000002</v>
      </c>
      <c r="H454" s="78">
        <f t="shared" si="44"/>
        <v>44.542299999999997</v>
      </c>
      <c r="I454" s="79"/>
      <c r="J454" s="79"/>
      <c r="K454" s="80"/>
      <c r="L454" s="29"/>
      <c r="M454" s="78">
        <f>M55+M59</f>
        <v>1120.7464</v>
      </c>
      <c r="N454" s="78">
        <f t="shared" ref="N454:P457" si="45">AVERAGE(N55,N59)</f>
        <v>43.146900000000002</v>
      </c>
      <c r="O454" s="78">
        <f t="shared" si="45"/>
        <v>44.852600000000002</v>
      </c>
      <c r="P454" s="78">
        <f t="shared" si="45"/>
        <v>44.541849999999997</v>
      </c>
      <c r="Q454" s="79"/>
      <c r="R454" s="79"/>
      <c r="S454" s="80"/>
      <c r="U454" s="8">
        <f>bdrate($E454:$E457,F454:F457,$M454:$M457,N454:N457)</f>
        <v>2.2071393353551017E-4</v>
      </c>
      <c r="V454" s="9">
        <f>bdrate($E454:$E457,G454:G457,$M454:$M457,O454:O457)</f>
        <v>6.9692951330790898E-4</v>
      </c>
      <c r="W454" s="10">
        <f>bdrate($E454:$E457,H454:H457,$M454:$M457,P454:P457)</f>
        <v>-1.1373030362874514E-3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573.94320000000005</v>
      </c>
      <c r="F455" s="70">
        <f t="shared" si="44"/>
        <v>40.897199999999998</v>
      </c>
      <c r="G455" s="70">
        <f t="shared" si="44"/>
        <v>43.956500000000005</v>
      </c>
      <c r="H455" s="70">
        <f t="shared" si="44"/>
        <v>43.042699999999996</v>
      </c>
      <c r="I455" s="66"/>
      <c r="J455" s="66"/>
      <c r="K455" s="67"/>
      <c r="L455" s="29"/>
      <c r="M455" s="70">
        <f>M56+M60</f>
        <v>573.94960000000003</v>
      </c>
      <c r="N455" s="70">
        <f t="shared" si="45"/>
        <v>40.896149999999999</v>
      </c>
      <c r="O455" s="70">
        <f t="shared" si="45"/>
        <v>43.960800000000006</v>
      </c>
      <c r="P455" s="70">
        <f t="shared" si="45"/>
        <v>43.046399999999998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320.49920000000003</v>
      </c>
      <c r="F456" s="70">
        <f t="shared" si="44"/>
        <v>38.434950000000001</v>
      </c>
      <c r="G456" s="70">
        <f t="shared" si="44"/>
        <v>42.973849999999999</v>
      </c>
      <c r="H456" s="70">
        <f t="shared" si="44"/>
        <v>41.535499999999999</v>
      </c>
      <c r="I456" s="66"/>
      <c r="J456" s="66"/>
      <c r="K456" s="67"/>
      <c r="L456" s="29"/>
      <c r="M456" s="70">
        <f>M57+M61</f>
        <v>320.55200000000002</v>
      </c>
      <c r="N456" s="70">
        <f t="shared" si="45"/>
        <v>38.4343</v>
      </c>
      <c r="O456" s="70">
        <f t="shared" si="45"/>
        <v>42.966999999999999</v>
      </c>
      <c r="P456" s="70">
        <f t="shared" si="45"/>
        <v>41.539100000000005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188.53120000000001</v>
      </c>
      <c r="F457" s="81">
        <f t="shared" si="44"/>
        <v>35.852800000000002</v>
      </c>
      <c r="G457" s="81">
        <f t="shared" si="44"/>
        <v>42.128299999999996</v>
      </c>
      <c r="H457" s="81">
        <f t="shared" si="44"/>
        <v>40.21555</v>
      </c>
      <c r="I457" s="68"/>
      <c r="J457" s="68"/>
      <c r="K457" s="69"/>
      <c r="L457" s="29"/>
      <c r="M457" s="81">
        <f>M58+M62</f>
        <v>188.44480000000001</v>
      </c>
      <c r="N457" s="81">
        <f t="shared" si="45"/>
        <v>35.84995</v>
      </c>
      <c r="O457" s="81">
        <f t="shared" si="45"/>
        <v>42.12435</v>
      </c>
      <c r="P457" s="81">
        <f t="shared" si="45"/>
        <v>40.215449999999997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1413.5512000000001</v>
      </c>
      <c r="F458" s="78">
        <f t="shared" ref="F458:H461" si="46">AVERAGE(F55,F59,F63)</f>
        <v>42.875233333333334</v>
      </c>
      <c r="G458" s="78">
        <f t="shared" si="46"/>
        <v>44.554466666666663</v>
      </c>
      <c r="H458" s="78">
        <f t="shared" si="46"/>
        <v>44.323966666666671</v>
      </c>
      <c r="I458" s="79"/>
      <c r="J458" s="79"/>
      <c r="K458" s="80"/>
      <c r="L458" s="29"/>
      <c r="M458" s="78">
        <f>M55+M59+M63</f>
        <v>1412.3407999999999</v>
      </c>
      <c r="N458" s="78">
        <f t="shared" ref="N458:P461" si="47">AVERAGE(N55,N59,N63)</f>
        <v>42.87316666666667</v>
      </c>
      <c r="O458" s="78">
        <f t="shared" si="47"/>
        <v>44.5533</v>
      </c>
      <c r="P458" s="78">
        <f t="shared" si="47"/>
        <v>44.324666666666666</v>
      </c>
      <c r="Q458" s="79"/>
      <c r="R458" s="79"/>
      <c r="S458" s="80"/>
      <c r="U458" s="8">
        <f>bdrate($E458:$E461,F458:F461,$M458:$M461,N458:N461)</f>
        <v>4.0365164383260321E-4</v>
      </c>
      <c r="V458" s="9">
        <f>bdrate($E458:$E461,G458:G461,$M458:$M461,O458:O461)</f>
        <v>5.3535997444953409E-5</v>
      </c>
      <c r="W458" s="10">
        <f>bdrate($E458:$E461,H458:H461,$M458:$M461,P458:P461)</f>
        <v>-1.088513624801779E-3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702.84640000000002</v>
      </c>
      <c r="F459" s="70">
        <f t="shared" si="46"/>
        <v>40.635466666666666</v>
      </c>
      <c r="G459" s="70">
        <f t="shared" si="46"/>
        <v>43.629633333333338</v>
      </c>
      <c r="H459" s="70">
        <f t="shared" si="46"/>
        <v>42.84279999999999</v>
      </c>
      <c r="I459" s="66"/>
      <c r="J459" s="66"/>
      <c r="K459" s="67"/>
      <c r="L459" s="29"/>
      <c r="M459" s="70">
        <f>M56+M60+M64</f>
        <v>703.2808</v>
      </c>
      <c r="N459" s="70">
        <f t="shared" si="47"/>
        <v>40.634466666666668</v>
      </c>
      <c r="O459" s="70">
        <f t="shared" si="47"/>
        <v>43.634166666666665</v>
      </c>
      <c r="P459" s="70">
        <f t="shared" si="47"/>
        <v>42.8461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387.6472</v>
      </c>
      <c r="F460" s="70">
        <f t="shared" si="46"/>
        <v>38.201533333333337</v>
      </c>
      <c r="G460" s="70">
        <f t="shared" si="46"/>
        <v>42.715566666666668</v>
      </c>
      <c r="H460" s="70">
        <f t="shared" si="46"/>
        <v>41.421533333333336</v>
      </c>
      <c r="I460" s="66"/>
      <c r="J460" s="66"/>
      <c r="K460" s="67"/>
      <c r="L460" s="29"/>
      <c r="M460" s="70">
        <f>M57+M61+M65</f>
        <v>387.76960000000003</v>
      </c>
      <c r="N460" s="70">
        <f t="shared" si="47"/>
        <v>38.201133333333331</v>
      </c>
      <c r="O460" s="70">
        <f t="shared" si="47"/>
        <v>42.713533333333338</v>
      </c>
      <c r="P460" s="70">
        <f t="shared" si="47"/>
        <v>41.426066666666671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224.35600000000002</v>
      </c>
      <c r="F461" s="81">
        <f t="shared" si="46"/>
        <v>35.645666666666671</v>
      </c>
      <c r="G461" s="81">
        <f t="shared" si="46"/>
        <v>41.87983333333333</v>
      </c>
      <c r="H461" s="81">
        <f t="shared" si="46"/>
        <v>40.126233333333339</v>
      </c>
      <c r="I461" s="68"/>
      <c r="J461" s="68"/>
      <c r="K461" s="69"/>
      <c r="L461" s="29"/>
      <c r="M461" s="81">
        <f>M58+M62+M66</f>
        <v>224.2664</v>
      </c>
      <c r="N461" s="81">
        <f t="shared" si="47"/>
        <v>35.64586666666667</v>
      </c>
      <c r="O461" s="81">
        <f t="shared" si="47"/>
        <v>41.8733</v>
      </c>
      <c r="P461" s="81">
        <f t="shared" si="47"/>
        <v>40.125999999999998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1365.7336</v>
      </c>
      <c r="F462" s="78">
        <f t="shared" ref="F462:H465" si="48">AVERAGE(F79,F83,F87)</f>
        <v>43.291533333333327</v>
      </c>
      <c r="G462" s="78">
        <f t="shared" si="48"/>
        <v>47.22076666666667</v>
      </c>
      <c r="H462" s="78">
        <f t="shared" si="48"/>
        <v>46.309266666666666</v>
      </c>
      <c r="I462" s="79"/>
      <c r="J462" s="79"/>
      <c r="K462" s="80"/>
      <c r="L462" s="29"/>
      <c r="M462" s="78">
        <f>M55+M59+M67+M71</f>
        <v>1364.8471999999999</v>
      </c>
      <c r="N462" s="78">
        <f t="shared" ref="N462:P465" si="49">AVERAGE(N79,N83,N87)</f>
        <v>43.29463333333333</v>
      </c>
      <c r="O462" s="78">
        <f t="shared" si="49"/>
        <v>47.212033333333331</v>
      </c>
      <c r="P462" s="78">
        <f t="shared" si="49"/>
        <v>46.308833333333332</v>
      </c>
      <c r="Q462" s="79"/>
      <c r="R462" s="79"/>
      <c r="S462" s="80"/>
      <c r="U462" s="8">
        <f>bdrate($E462:$E465,F462:F465,$M462:$M465,N462:N465)</f>
        <v>-1.196124786799091E-3</v>
      </c>
      <c r="V462" s="9">
        <f>bdrate($E462:$E465,G462:G465,$M462:$M465,O462:O465)</f>
        <v>8.5407480787358381E-4</v>
      </c>
      <c r="W462" s="10">
        <f>bdrate($E462:$E465,H462:H465,$M462:$M465,P462:P465)</f>
        <v>-1.5119648070004432E-3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657.35120000000006</v>
      </c>
      <c r="F463" s="70">
        <f t="shared" si="48"/>
        <v>40.988033333333334</v>
      </c>
      <c r="G463" s="70">
        <f t="shared" si="48"/>
        <v>46.038733333333333</v>
      </c>
      <c r="H463" s="70">
        <f t="shared" si="48"/>
        <v>44.533200000000001</v>
      </c>
      <c r="I463" s="66"/>
      <c r="J463" s="66"/>
      <c r="K463" s="67"/>
      <c r="L463" s="29"/>
      <c r="M463" s="70">
        <f>M56+M60+M68+M72</f>
        <v>657.52</v>
      </c>
      <c r="N463" s="70">
        <f t="shared" si="49"/>
        <v>40.990600000000001</v>
      </c>
      <c r="O463" s="70">
        <f t="shared" si="49"/>
        <v>46.050699999999999</v>
      </c>
      <c r="P463" s="70">
        <f t="shared" si="49"/>
        <v>44.532699999999998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356.48400000000004</v>
      </c>
      <c r="F464" s="70">
        <f t="shared" si="48"/>
        <v>38.542566666666666</v>
      </c>
      <c r="G464" s="70">
        <f t="shared" si="48"/>
        <v>44.766833333333331</v>
      </c>
      <c r="H464" s="70">
        <f t="shared" si="48"/>
        <v>42.801799999999993</v>
      </c>
      <c r="I464" s="66"/>
      <c r="J464" s="66"/>
      <c r="K464" s="67"/>
      <c r="L464" s="29"/>
      <c r="M464" s="70">
        <f>M57+M61+M69+M73</f>
        <v>356.49360000000001</v>
      </c>
      <c r="N464" s="70">
        <f t="shared" si="49"/>
        <v>38.550366666666669</v>
      </c>
      <c r="O464" s="70">
        <f t="shared" si="49"/>
        <v>44.755433333333336</v>
      </c>
      <c r="P464" s="70">
        <f t="shared" si="49"/>
        <v>42.812933333333341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205.8</v>
      </c>
      <c r="F465" s="81">
        <f t="shared" si="48"/>
        <v>35.986566666666668</v>
      </c>
      <c r="G465" s="81">
        <f t="shared" si="48"/>
        <v>43.780866666666668</v>
      </c>
      <c r="H465" s="81">
        <f t="shared" si="48"/>
        <v>41.309899999999999</v>
      </c>
      <c r="I465" s="68"/>
      <c r="J465" s="68"/>
      <c r="K465" s="69"/>
      <c r="L465" s="29"/>
      <c r="M465" s="81">
        <f>M58+M62+M70+M74</f>
        <v>205.55600000000001</v>
      </c>
      <c r="N465" s="81">
        <f t="shared" si="49"/>
        <v>35.985500000000002</v>
      </c>
      <c r="O465" s="81">
        <f t="shared" si="49"/>
        <v>43.769266666666674</v>
      </c>
      <c r="P465" s="81">
        <f t="shared" si="49"/>
        <v>41.312533333333334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1789.9248</v>
      </c>
      <c r="F466" s="78">
        <f t="shared" ref="F466:H469" si="50">AVERAGE(F79,F83,F87,F91,F95,F99)</f>
        <v>43.17433333333333</v>
      </c>
      <c r="G466" s="78">
        <f t="shared" si="50"/>
        <v>47.059650000000005</v>
      </c>
      <c r="H466" s="78">
        <f t="shared" si="50"/>
        <v>46.314766666666664</v>
      </c>
      <c r="I466" s="79"/>
      <c r="J466" s="79"/>
      <c r="K466" s="80"/>
      <c r="L466" s="29"/>
      <c r="M466" s="78">
        <f>M103</f>
        <v>1787.9184</v>
      </c>
      <c r="N466" s="78">
        <f t="shared" ref="N466:P469" si="51">AVERAGE(N79,N83,N87,N91,N95,N99)</f>
        <v>43.172699999999999</v>
      </c>
      <c r="O466" s="78">
        <f t="shared" si="51"/>
        <v>47.054883333333329</v>
      </c>
      <c r="P466" s="78">
        <f t="shared" si="51"/>
        <v>46.314349999999997</v>
      </c>
      <c r="Q466" s="79"/>
      <c r="R466" s="79"/>
      <c r="S466" s="80"/>
      <c r="U466" s="8">
        <f>bdrate($E466:$E469,F466:F469,$M466:$M469,N466:N469)</f>
        <v>-2.6608137909611695E-4</v>
      </c>
      <c r="V466" s="9">
        <f>bdrate($E466:$E469,G466:G469,$M466:$M469,O466:O469)</f>
        <v>-4.4191287527595158E-4</v>
      </c>
      <c r="W466" s="10">
        <f>bdrate($E466:$E469,H466:H469,$M466:$M469,P466:P469)</f>
        <v>-1.6252130746080562E-3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832.92319999999995</v>
      </c>
      <c r="F467" s="70">
        <f t="shared" si="50"/>
        <v>40.882449999999999</v>
      </c>
      <c r="G467" s="70">
        <f t="shared" si="50"/>
        <v>45.916683333333332</v>
      </c>
      <c r="H467" s="70">
        <f t="shared" si="50"/>
        <v>44.538900000000005</v>
      </c>
      <c r="I467" s="66"/>
      <c r="J467" s="66"/>
      <c r="K467" s="67"/>
      <c r="L467" s="29"/>
      <c r="M467" s="70">
        <f>M104</f>
        <v>833.83920000000001</v>
      </c>
      <c r="N467" s="70">
        <f t="shared" si="51"/>
        <v>40.882350000000002</v>
      </c>
      <c r="O467" s="70">
        <f t="shared" si="51"/>
        <v>45.926783333333333</v>
      </c>
      <c r="P467" s="70">
        <f t="shared" si="51"/>
        <v>44.54013333333333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446.74639999999999</v>
      </c>
      <c r="F468" s="70">
        <f t="shared" si="50"/>
        <v>38.441083333333331</v>
      </c>
      <c r="G468" s="70">
        <f t="shared" si="50"/>
        <v>44.705333333333336</v>
      </c>
      <c r="H468" s="70">
        <f t="shared" si="50"/>
        <v>42.803366666666669</v>
      </c>
      <c r="I468" s="66"/>
      <c r="J468" s="66"/>
      <c r="K468" s="67"/>
      <c r="L468" s="29"/>
      <c r="M468" s="70">
        <f>M105</f>
        <v>446.74560000000002</v>
      </c>
      <c r="N468" s="70">
        <f t="shared" si="51"/>
        <v>38.446150000000003</v>
      </c>
      <c r="O468" s="70">
        <f t="shared" si="51"/>
        <v>44.701983333333338</v>
      </c>
      <c r="P468" s="70">
        <f t="shared" si="51"/>
        <v>42.816100000000006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255.57919999999999</v>
      </c>
      <c r="F469" s="81">
        <f t="shared" si="50"/>
        <v>35.886716666666665</v>
      </c>
      <c r="G469" s="81">
        <f t="shared" si="50"/>
        <v>43.732166666666664</v>
      </c>
      <c r="H469" s="81">
        <f t="shared" si="50"/>
        <v>41.296816666666665</v>
      </c>
      <c r="I469" s="68"/>
      <c r="J469" s="68"/>
      <c r="K469" s="69"/>
      <c r="L469" s="29"/>
      <c r="M469" s="81">
        <f>M106</f>
        <v>255.36959999999999</v>
      </c>
      <c r="N469" s="81">
        <f t="shared" si="51"/>
        <v>35.887933333333336</v>
      </c>
      <c r="O469" s="81">
        <f t="shared" si="51"/>
        <v>43.722700000000003</v>
      </c>
      <c r="P469" s="81">
        <f t="shared" si="51"/>
        <v>41.297600000000003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1365.7336</v>
      </c>
      <c r="F470" s="78">
        <f t="shared" ref="F470:H473" si="53">AVERAGE(F55,F59,F79,F83,F87)</f>
        <v>43.234180000000002</v>
      </c>
      <c r="G470" s="78">
        <f t="shared" si="53"/>
        <v>46.273580000000003</v>
      </c>
      <c r="H470" s="78">
        <f t="shared" si="53"/>
        <v>45.60248</v>
      </c>
      <c r="I470" s="79"/>
      <c r="J470" s="79"/>
      <c r="K470" s="80"/>
      <c r="L470" s="29"/>
      <c r="M470" s="78">
        <f t="shared" ref="M470:M477" si="54">M462</f>
        <v>1364.8471999999999</v>
      </c>
      <c r="N470" s="78">
        <f t="shared" ref="N470:P473" si="55">AVERAGE(N55,N59,N79,N83,N87)</f>
        <v>43.23554</v>
      </c>
      <c r="O470" s="78">
        <f t="shared" si="55"/>
        <v>46.268259999999998</v>
      </c>
      <c r="P470" s="78">
        <f t="shared" si="55"/>
        <v>45.602040000000002</v>
      </c>
      <c r="Q470" s="79"/>
      <c r="R470" s="79"/>
      <c r="S470" s="80"/>
      <c r="U470" s="8">
        <f>bdrate($E470:$E473,F470:F473,$M470:$M473,N470:N473)</f>
        <v>-6.5480694369335346E-4</v>
      </c>
      <c r="V470" s="9">
        <f>bdrate($E470:$E473,G470:G473,$M470:$M473,O470:O473)</f>
        <v>7.8537684943014163E-4</v>
      </c>
      <c r="W470" s="10">
        <f>bdrate($E470:$E473,H470:H473,$M470:$M473,P470:P473)</f>
        <v>-1.4166593040515485E-3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657.35120000000006</v>
      </c>
      <c r="F471" s="70">
        <f t="shared" si="53"/>
        <v>40.951700000000002</v>
      </c>
      <c r="G471" s="70">
        <f t="shared" si="53"/>
        <v>45.205840000000002</v>
      </c>
      <c r="H471" s="70">
        <f t="shared" si="53"/>
        <v>43.936999999999998</v>
      </c>
      <c r="I471" s="66"/>
      <c r="J471" s="66"/>
      <c r="K471" s="67"/>
      <c r="L471" s="29"/>
      <c r="M471" s="70">
        <f t="shared" si="54"/>
        <v>657.52</v>
      </c>
      <c r="N471" s="70">
        <f t="shared" si="55"/>
        <v>40.952819999999996</v>
      </c>
      <c r="O471" s="70">
        <f t="shared" si="55"/>
        <v>45.214739999999999</v>
      </c>
      <c r="P471" s="70">
        <f t="shared" si="55"/>
        <v>43.938180000000003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356.48400000000004</v>
      </c>
      <c r="F472" s="70">
        <f t="shared" si="53"/>
        <v>38.499520000000004</v>
      </c>
      <c r="G472" s="70">
        <f t="shared" si="53"/>
        <v>44.049639999999997</v>
      </c>
      <c r="H472" s="70">
        <f t="shared" si="53"/>
        <v>42.295280000000005</v>
      </c>
      <c r="I472" s="66"/>
      <c r="J472" s="66"/>
      <c r="K472" s="67"/>
      <c r="L472" s="29"/>
      <c r="M472" s="70">
        <f t="shared" si="54"/>
        <v>356.49360000000001</v>
      </c>
      <c r="N472" s="70">
        <f t="shared" si="55"/>
        <v>38.50394</v>
      </c>
      <c r="O472" s="70">
        <f t="shared" si="55"/>
        <v>44.040059999999997</v>
      </c>
      <c r="P472" s="70">
        <f t="shared" si="55"/>
        <v>42.303399999999996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205.8</v>
      </c>
      <c r="F473" s="81">
        <f t="shared" si="53"/>
        <v>35.933060000000005</v>
      </c>
      <c r="G473" s="81">
        <f t="shared" si="53"/>
        <v>43.119839999999996</v>
      </c>
      <c r="H473" s="81">
        <f t="shared" si="53"/>
        <v>40.872159999999994</v>
      </c>
      <c r="I473" s="68"/>
      <c r="J473" s="68"/>
      <c r="K473" s="69"/>
      <c r="L473" s="29"/>
      <c r="M473" s="81">
        <f t="shared" si="54"/>
        <v>205.55600000000001</v>
      </c>
      <c r="N473" s="81">
        <f t="shared" si="55"/>
        <v>35.931280000000001</v>
      </c>
      <c r="O473" s="81">
        <f t="shared" si="55"/>
        <v>43.1113</v>
      </c>
      <c r="P473" s="81">
        <f t="shared" si="55"/>
        <v>40.873699999999999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1789.9248</v>
      </c>
      <c r="F474" s="78">
        <f t="shared" ref="F474:H477" si="56">AVERAGE(F55,F59,F63,F79,F83,F87,F91,F95,F99)</f>
        <v>43.074633333333331</v>
      </c>
      <c r="G474" s="78">
        <f t="shared" si="56"/>
        <v>46.224588888888889</v>
      </c>
      <c r="H474" s="78">
        <f t="shared" si="56"/>
        <v>45.651166666666668</v>
      </c>
      <c r="I474" s="79"/>
      <c r="J474" s="79"/>
      <c r="K474" s="80"/>
      <c r="L474" s="29"/>
      <c r="M474" s="78">
        <f t="shared" si="54"/>
        <v>1787.9184</v>
      </c>
      <c r="N474" s="78">
        <f t="shared" ref="N474:P477" si="57">AVERAGE(N55,N59,N63,N79,N83,N87,N91,N95,N99)</f>
        <v>43.072855555555563</v>
      </c>
      <c r="O474" s="78">
        <f t="shared" si="57"/>
        <v>46.221022222222217</v>
      </c>
      <c r="P474" s="78">
        <f t="shared" si="57"/>
        <v>45.65112222222222</v>
      </c>
      <c r="Q474" s="79"/>
      <c r="R474" s="79"/>
      <c r="S474" s="80"/>
      <c r="U474" s="8">
        <f>bdrate($E474:$E477,F474:F477,$M474:$M477,N474:N477)</f>
        <v>-5.2474364668819717E-5</v>
      </c>
      <c r="V474" s="9">
        <f>bdrate($E474:$E477,G474:G477,$M474:$M477,O474:O477)</f>
        <v>-3.195900194171708E-4</v>
      </c>
      <c r="W474" s="10">
        <f>bdrate($E474:$E477,H474:H477,$M474:$M477,P474:P477)</f>
        <v>-1.4892894757938535E-3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832.92319999999995</v>
      </c>
      <c r="F475" s="70">
        <f t="shared" si="56"/>
        <v>40.800122222222214</v>
      </c>
      <c r="G475" s="70">
        <f t="shared" si="56"/>
        <v>45.154333333333334</v>
      </c>
      <c r="H475" s="70">
        <f t="shared" si="56"/>
        <v>43.973533333333336</v>
      </c>
      <c r="I475" s="66"/>
      <c r="J475" s="66"/>
      <c r="K475" s="67"/>
      <c r="L475" s="29"/>
      <c r="M475" s="70">
        <f t="shared" si="54"/>
        <v>833.83920000000001</v>
      </c>
      <c r="N475" s="70">
        <f t="shared" si="57"/>
        <v>40.799722222222222</v>
      </c>
      <c r="O475" s="70">
        <f t="shared" si="57"/>
        <v>45.162577777777777</v>
      </c>
      <c r="P475" s="70">
        <f t="shared" si="57"/>
        <v>43.975455555555556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446.74639999999999</v>
      </c>
      <c r="F476" s="70">
        <f t="shared" si="56"/>
        <v>38.361233333333338</v>
      </c>
      <c r="G476" s="70">
        <f t="shared" si="56"/>
        <v>44.042077777777777</v>
      </c>
      <c r="H476" s="70">
        <f t="shared" si="56"/>
        <v>42.342755555555556</v>
      </c>
      <c r="I476" s="66"/>
      <c r="J476" s="66"/>
      <c r="K476" s="67"/>
      <c r="L476" s="29"/>
      <c r="M476" s="70">
        <f t="shared" si="54"/>
        <v>446.74560000000002</v>
      </c>
      <c r="N476" s="70">
        <f t="shared" si="57"/>
        <v>38.364477777777779</v>
      </c>
      <c r="O476" s="70">
        <f t="shared" si="57"/>
        <v>44.039166666666667</v>
      </c>
      <c r="P476" s="70">
        <f t="shared" si="57"/>
        <v>42.352755555555554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255.57919999999999</v>
      </c>
      <c r="F477" s="81">
        <f t="shared" si="56"/>
        <v>35.806366666666669</v>
      </c>
      <c r="G477" s="81">
        <f t="shared" si="56"/>
        <v>43.114722222222227</v>
      </c>
      <c r="H477" s="81">
        <f t="shared" si="56"/>
        <v>40.906622222222218</v>
      </c>
      <c r="I477" s="68"/>
      <c r="J477" s="68"/>
      <c r="K477" s="69"/>
      <c r="L477" s="29"/>
      <c r="M477" s="81">
        <f t="shared" si="54"/>
        <v>255.36959999999999</v>
      </c>
      <c r="N477" s="81">
        <f t="shared" si="57"/>
        <v>35.807244444444443</v>
      </c>
      <c r="O477" s="81">
        <f t="shared" si="57"/>
        <v>43.106233333333336</v>
      </c>
      <c r="P477" s="81">
        <f t="shared" si="57"/>
        <v>40.907066666666665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1255.1080000000002</v>
      </c>
      <c r="F478" s="78">
        <f t="shared" ref="F478:H481" si="58">AVERAGE(F107,F111)</f>
        <v>40.830950000000001</v>
      </c>
      <c r="G478" s="78">
        <f t="shared" si="58"/>
        <v>43.551200000000001</v>
      </c>
      <c r="H478" s="78">
        <f t="shared" si="58"/>
        <v>43.638599999999997</v>
      </c>
      <c r="I478" s="79"/>
      <c r="J478" s="79"/>
      <c r="K478" s="80"/>
      <c r="L478" s="29"/>
      <c r="M478" s="82">
        <f>M107+M111</f>
        <v>1254.4776000000002</v>
      </c>
      <c r="N478" s="78">
        <f t="shared" ref="N478:P481" si="59">AVERAGE(N107,N111)</f>
        <v>40.828950000000006</v>
      </c>
      <c r="O478" s="78">
        <f t="shared" si="59"/>
        <v>43.54945</v>
      </c>
      <c r="P478" s="78">
        <f t="shared" si="59"/>
        <v>43.637500000000003</v>
      </c>
      <c r="Q478" s="79"/>
      <c r="R478" s="79"/>
      <c r="S478" s="80"/>
      <c r="U478" s="8">
        <f>bdrate($E478:$E481,F478:F481,$M478:$M481,N478:N481)</f>
        <v>-2.2634041952251938E-4</v>
      </c>
      <c r="V478" s="9">
        <f>bdrate($E478:$E481,G478:G481,$M478:$M481,O478:O481)</f>
        <v>7.0354346963164005E-4</v>
      </c>
      <c r="W478" s="10">
        <f>bdrate($E478:$E481,H478:H481,$M478:$M481,P478:P481)</f>
        <v>-4.9827054754425504E-4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629.46479999999997</v>
      </c>
      <c r="F479" s="70">
        <f t="shared" si="58"/>
        <v>38.476799999999997</v>
      </c>
      <c r="G479" s="70">
        <f t="shared" si="58"/>
        <v>41.905900000000003</v>
      </c>
      <c r="H479" s="70">
        <f t="shared" si="58"/>
        <v>41.984400000000001</v>
      </c>
      <c r="I479" s="66"/>
      <c r="J479" s="66"/>
      <c r="K479" s="67"/>
      <c r="L479" s="29"/>
      <c r="M479" s="83">
        <f>M108+M112</f>
        <v>629.12159999999994</v>
      </c>
      <c r="N479" s="70">
        <f t="shared" si="59"/>
        <v>38.474850000000004</v>
      </c>
      <c r="O479" s="70">
        <f t="shared" si="59"/>
        <v>41.902299999999997</v>
      </c>
      <c r="P479" s="70">
        <f t="shared" si="59"/>
        <v>41.98545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339.47120000000001</v>
      </c>
      <c r="F480" s="70">
        <f t="shared" si="58"/>
        <v>35.986350000000002</v>
      </c>
      <c r="G480" s="70">
        <f t="shared" si="58"/>
        <v>40.390550000000005</v>
      </c>
      <c r="H480" s="70">
        <f t="shared" si="58"/>
        <v>40.380300000000005</v>
      </c>
      <c r="I480" s="66"/>
      <c r="J480" s="66"/>
      <c r="K480" s="67"/>
      <c r="L480" s="29"/>
      <c r="M480" s="83">
        <f>M109+M113</f>
        <v>339.34479999999996</v>
      </c>
      <c r="N480" s="70">
        <f t="shared" si="59"/>
        <v>35.986750000000001</v>
      </c>
      <c r="O480" s="70">
        <f t="shared" si="59"/>
        <v>40.388100000000001</v>
      </c>
      <c r="P480" s="70">
        <f t="shared" si="59"/>
        <v>40.378600000000006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193.7704</v>
      </c>
      <c r="F481" s="81">
        <f t="shared" si="58"/>
        <v>33.488849999999999</v>
      </c>
      <c r="G481" s="81">
        <f t="shared" si="58"/>
        <v>39.2361</v>
      </c>
      <c r="H481" s="81">
        <f t="shared" si="58"/>
        <v>39.179099999999998</v>
      </c>
      <c r="I481" s="68"/>
      <c r="J481" s="68"/>
      <c r="K481" s="69"/>
      <c r="L481" s="29"/>
      <c r="M481" s="84">
        <f>M110+M114</f>
        <v>193.64879999999999</v>
      </c>
      <c r="N481" s="81">
        <f t="shared" si="59"/>
        <v>33.487899999999996</v>
      </c>
      <c r="O481" s="81">
        <f t="shared" si="59"/>
        <v>39.234200000000001</v>
      </c>
      <c r="P481" s="81">
        <f t="shared" si="59"/>
        <v>39.182000000000002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1603.1752000000001</v>
      </c>
      <c r="F482" s="78">
        <f t="shared" ref="F482:H485" si="60">AVERAGE(F107,F111,F115)</f>
        <v>40.521566666666665</v>
      </c>
      <c r="G482" s="78">
        <f t="shared" si="60"/>
        <v>43.318566666666669</v>
      </c>
      <c r="H482" s="78">
        <f t="shared" si="60"/>
        <v>43.340033333333331</v>
      </c>
      <c r="I482" s="79"/>
      <c r="J482" s="79"/>
      <c r="K482" s="80"/>
      <c r="L482" s="29"/>
      <c r="M482" s="78">
        <f>M107+M111+M115</f>
        <v>1602.3216000000002</v>
      </c>
      <c r="N482" s="78">
        <f t="shared" ref="N482:P485" si="61">AVERAGE(N107,N111,N115)</f>
        <v>40.519666666666673</v>
      </c>
      <c r="O482" s="78">
        <f t="shared" si="61"/>
        <v>43.315100000000001</v>
      </c>
      <c r="P482" s="78">
        <f t="shared" si="61"/>
        <v>43.3414</v>
      </c>
      <c r="Q482" s="79"/>
      <c r="R482" s="79"/>
      <c r="S482" s="80"/>
      <c r="U482" s="8">
        <f>bdrate($E482:$E485,F482:F485,$M482:$M485,N482:N485)</f>
        <v>-2.7951741268084085E-4</v>
      </c>
      <c r="V482" s="9">
        <f>bdrate($E482:$E485,G482:G485,$M482:$M485,O482:O485)</f>
        <v>2.9547022931919464E-4</v>
      </c>
      <c r="W482" s="10">
        <f>bdrate($E482:$E485,H482:H485,$M482:$M485,P482:P485)</f>
        <v>-1.5370154139946468E-3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779.81919999999991</v>
      </c>
      <c r="F483" s="70">
        <f t="shared" si="60"/>
        <v>38.156199999999998</v>
      </c>
      <c r="G483" s="70">
        <f t="shared" si="60"/>
        <v>41.728266666666663</v>
      </c>
      <c r="H483" s="70">
        <f t="shared" si="60"/>
        <v>41.685400000000001</v>
      </c>
      <c r="I483" s="66"/>
      <c r="J483" s="66"/>
      <c r="K483" s="67"/>
      <c r="L483" s="29"/>
      <c r="M483" s="70">
        <f>M108+M112+M116</f>
        <v>779.41919999999993</v>
      </c>
      <c r="N483" s="70">
        <f t="shared" si="61"/>
        <v>38.155300000000004</v>
      </c>
      <c r="O483" s="70">
        <f t="shared" si="61"/>
        <v>41.7224</v>
      </c>
      <c r="P483" s="70">
        <f t="shared" si="61"/>
        <v>41.69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414.96640000000002</v>
      </c>
      <c r="F484" s="70">
        <f t="shared" si="60"/>
        <v>35.679466666666663</v>
      </c>
      <c r="G484" s="70">
        <f t="shared" si="60"/>
        <v>40.2851</v>
      </c>
      <c r="H484" s="70">
        <f t="shared" si="60"/>
        <v>40.140866666666675</v>
      </c>
      <c r="I484" s="66"/>
      <c r="J484" s="66"/>
      <c r="K484" s="67"/>
      <c r="L484" s="29"/>
      <c r="M484" s="70">
        <f>M109+M113+M117</f>
        <v>414.78</v>
      </c>
      <c r="N484" s="70">
        <f t="shared" si="61"/>
        <v>35.678866666666664</v>
      </c>
      <c r="O484" s="70">
        <f t="shared" si="61"/>
        <v>40.288333333333334</v>
      </c>
      <c r="P484" s="70">
        <f t="shared" si="61"/>
        <v>40.141333333333336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233.8528</v>
      </c>
      <c r="F485" s="81">
        <f t="shared" si="60"/>
        <v>33.177266666666668</v>
      </c>
      <c r="G485" s="81">
        <f t="shared" si="60"/>
        <v>39.181366666666669</v>
      </c>
      <c r="H485" s="81">
        <f t="shared" si="60"/>
        <v>38.97976666666667</v>
      </c>
      <c r="I485" s="68"/>
      <c r="J485" s="68"/>
      <c r="K485" s="69"/>
      <c r="L485" s="29"/>
      <c r="M485" s="81">
        <f>M110+M114+M118</f>
        <v>233.72879999999998</v>
      </c>
      <c r="N485" s="81">
        <f t="shared" si="61"/>
        <v>33.177599999999998</v>
      </c>
      <c r="O485" s="81">
        <f t="shared" si="61"/>
        <v>39.182533333333332</v>
      </c>
      <c r="P485" s="81">
        <f t="shared" si="61"/>
        <v>38.980933333333333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1567.8160000000003</v>
      </c>
      <c r="F486" s="78">
        <f t="shared" ref="F486:H489" si="62">AVERAGE(F131,F135,F139)</f>
        <v>40.448933333333336</v>
      </c>
      <c r="G486" s="78">
        <f t="shared" si="62"/>
        <v>45.806133333333328</v>
      </c>
      <c r="H486" s="78">
        <f t="shared" si="62"/>
        <v>45.908666666666669</v>
      </c>
      <c r="I486" s="79"/>
      <c r="J486" s="79"/>
      <c r="K486" s="80"/>
      <c r="L486" s="29"/>
      <c r="M486" s="78">
        <f>M107+M111+M119+M123</f>
        <v>1568.1696000000002</v>
      </c>
      <c r="N486" s="78">
        <f t="shared" ref="N486:P489" si="63">AVERAGE(N131,N135,N139)</f>
        <v>40.446800000000003</v>
      </c>
      <c r="O486" s="78">
        <f t="shared" si="63"/>
        <v>45.801666666666669</v>
      </c>
      <c r="P486" s="78">
        <f t="shared" si="63"/>
        <v>45.898033333333331</v>
      </c>
      <c r="Q486" s="79"/>
      <c r="R486" s="79"/>
      <c r="S486" s="80"/>
      <c r="U486" s="8">
        <f>bdrate($E486:$E489,F486:F489,$M486:$M489,N486:N489)</f>
        <v>4.0758369931315208E-4</v>
      </c>
      <c r="V486" s="9">
        <f>bdrate($E486:$E489,G486:G489,$M486:$M489,O486:O489)</f>
        <v>2.5534651127854247E-3</v>
      </c>
      <c r="W486" s="10">
        <f>bdrate($E486:$E489,H486:H489,$M486:$M489,P486:P489)</f>
        <v>1.5775494285761305E-3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737.06479999999988</v>
      </c>
      <c r="F487" s="70">
        <f t="shared" si="62"/>
        <v>38.209499999999998</v>
      </c>
      <c r="G487" s="70">
        <f t="shared" si="62"/>
        <v>43.98296666666667</v>
      </c>
      <c r="H487" s="70">
        <f t="shared" si="62"/>
        <v>44.030300000000004</v>
      </c>
      <c r="I487" s="66"/>
      <c r="J487" s="66"/>
      <c r="K487" s="67"/>
      <c r="L487" s="29"/>
      <c r="M487" s="70">
        <f>M108+M112+M120+M124</f>
        <v>737.50959999999998</v>
      </c>
      <c r="N487" s="70">
        <f t="shared" si="63"/>
        <v>38.209566666666667</v>
      </c>
      <c r="O487" s="70">
        <f t="shared" si="63"/>
        <v>43.975099999999998</v>
      </c>
      <c r="P487" s="70">
        <f t="shared" si="63"/>
        <v>44.029666666666664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384.26480000000004</v>
      </c>
      <c r="F488" s="70">
        <f t="shared" si="62"/>
        <v>35.837333333333333</v>
      </c>
      <c r="G488" s="70">
        <f t="shared" si="62"/>
        <v>42.203233333333337</v>
      </c>
      <c r="H488" s="70">
        <f t="shared" si="62"/>
        <v>42.12316666666667</v>
      </c>
      <c r="I488" s="66"/>
      <c r="J488" s="66"/>
      <c r="K488" s="67"/>
      <c r="L488" s="29"/>
      <c r="M488" s="70">
        <f>M109+M113+M121+M125</f>
        <v>384.30799999999994</v>
      </c>
      <c r="N488" s="70">
        <f t="shared" si="63"/>
        <v>35.835700000000003</v>
      </c>
      <c r="O488" s="70">
        <f t="shared" si="63"/>
        <v>42.1997</v>
      </c>
      <c r="P488" s="70">
        <f t="shared" si="63"/>
        <v>42.117866666666664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214.06720000000001</v>
      </c>
      <c r="F489" s="81">
        <f t="shared" si="62"/>
        <v>33.382966666666668</v>
      </c>
      <c r="G489" s="81">
        <f t="shared" si="62"/>
        <v>40.762666666666661</v>
      </c>
      <c r="H489" s="81">
        <f t="shared" si="62"/>
        <v>40.671866666666666</v>
      </c>
      <c r="I489" s="68"/>
      <c r="J489" s="68"/>
      <c r="K489" s="69"/>
      <c r="L489" s="29"/>
      <c r="M489" s="81">
        <f>M110+M114+M122+M126</f>
        <v>213.85199999999998</v>
      </c>
      <c r="N489" s="81">
        <f t="shared" si="63"/>
        <v>33.382866666666665</v>
      </c>
      <c r="O489" s="81">
        <f t="shared" si="63"/>
        <v>40.754733333333327</v>
      </c>
      <c r="P489" s="81">
        <f t="shared" si="63"/>
        <v>40.672699999999999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2032.4992</v>
      </c>
      <c r="F490" s="78">
        <f t="shared" ref="F490:H493" si="64">AVERAGE(F131,F135,F139,F143,F147,F151)</f>
        <v>40.418150000000004</v>
      </c>
      <c r="G490" s="78">
        <f t="shared" si="64"/>
        <v>45.712616666666669</v>
      </c>
      <c r="H490" s="78">
        <f t="shared" si="64"/>
        <v>45.760483333333333</v>
      </c>
      <c r="I490" s="79"/>
      <c r="J490" s="79"/>
      <c r="K490" s="80"/>
      <c r="L490" s="29"/>
      <c r="M490" s="78">
        <f>M155</f>
        <v>2033.7031999999999</v>
      </c>
      <c r="N490" s="78">
        <f t="shared" ref="N490:P493" si="65">AVERAGE(N131,N135,N139,N143,N147,N151)</f>
        <v>40.415100000000002</v>
      </c>
      <c r="O490" s="78">
        <f t="shared" si="65"/>
        <v>45.706283333333339</v>
      </c>
      <c r="P490" s="78">
        <f t="shared" si="65"/>
        <v>45.755850000000002</v>
      </c>
      <c r="Q490" s="79"/>
      <c r="R490" s="79"/>
      <c r="S490" s="80"/>
      <c r="U490" s="8">
        <f>bdrate($E490:$E493,F490:F493,$M490:$M493,N490:N493)</f>
        <v>5.3828383367493515E-4</v>
      </c>
      <c r="V490" s="9">
        <f>bdrate($E490:$E493,G490:G493,$M490:$M493,O490:O493)</f>
        <v>1.0117850807254136E-3</v>
      </c>
      <c r="W490" s="10">
        <f>bdrate($E490:$E493,H490:H493,$M490:$M493,P490:P493)</f>
        <v>-1.6403180987578647E-3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929.92639999999994</v>
      </c>
      <c r="F491" s="70">
        <f t="shared" si="64"/>
        <v>38.133933333333331</v>
      </c>
      <c r="G491" s="70">
        <f t="shared" si="64"/>
        <v>43.909500000000001</v>
      </c>
      <c r="H491" s="70">
        <f t="shared" si="64"/>
        <v>43.850433333333335</v>
      </c>
      <c r="I491" s="66"/>
      <c r="J491" s="66"/>
      <c r="K491" s="67"/>
      <c r="L491" s="29"/>
      <c r="M491" s="70">
        <f>M156</f>
        <v>930.24400000000003</v>
      </c>
      <c r="N491" s="70">
        <f t="shared" si="65"/>
        <v>38.132533333333335</v>
      </c>
      <c r="O491" s="70">
        <f t="shared" si="65"/>
        <v>43.903750000000002</v>
      </c>
      <c r="P491" s="70">
        <f t="shared" si="65"/>
        <v>43.859849999999994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481.07679999999999</v>
      </c>
      <c r="F492" s="70">
        <f t="shared" si="64"/>
        <v>35.730266666666665</v>
      </c>
      <c r="G492" s="70">
        <f t="shared" si="64"/>
        <v>42.120049999999999</v>
      </c>
      <c r="H492" s="70">
        <f t="shared" si="64"/>
        <v>41.915549999999996</v>
      </c>
      <c r="I492" s="66"/>
      <c r="J492" s="66"/>
      <c r="K492" s="67"/>
      <c r="L492" s="29"/>
      <c r="M492" s="70">
        <f>M157</f>
        <v>481.15440000000001</v>
      </c>
      <c r="N492" s="70">
        <f t="shared" si="65"/>
        <v>35.729966666666662</v>
      </c>
      <c r="O492" s="70">
        <f t="shared" si="65"/>
        <v>42.124916666666664</v>
      </c>
      <c r="P492" s="70">
        <f t="shared" si="65"/>
        <v>41.919233333333331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267.48880000000003</v>
      </c>
      <c r="F493" s="81">
        <f t="shared" si="64"/>
        <v>33.251849999999997</v>
      </c>
      <c r="G493" s="81">
        <f t="shared" si="64"/>
        <v>40.710749999999997</v>
      </c>
      <c r="H493" s="81">
        <f t="shared" si="64"/>
        <v>40.479100000000003</v>
      </c>
      <c r="I493" s="68"/>
      <c r="J493" s="68"/>
      <c r="K493" s="69"/>
      <c r="L493" s="29"/>
      <c r="M493" s="81">
        <f>M158</f>
        <v>267.39679999999998</v>
      </c>
      <c r="N493" s="81">
        <f t="shared" si="65"/>
        <v>33.251683333333332</v>
      </c>
      <c r="O493" s="81">
        <f t="shared" si="65"/>
        <v>40.709000000000003</v>
      </c>
      <c r="P493" s="81">
        <f t="shared" si="65"/>
        <v>40.484816666666667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1567.8160000000003</v>
      </c>
      <c r="F494" s="78">
        <f t="shared" ref="F494:H497" si="67">AVERAGE(F107,F111,F131,F135,F139)</f>
        <v>40.601739999999999</v>
      </c>
      <c r="G494" s="78">
        <f t="shared" si="67"/>
        <v>44.904159999999997</v>
      </c>
      <c r="H494" s="78">
        <f t="shared" si="67"/>
        <v>45.000639999999997</v>
      </c>
      <c r="I494" s="79"/>
      <c r="J494" s="79"/>
      <c r="K494" s="80"/>
      <c r="L494" s="29"/>
      <c r="M494" s="78">
        <f t="shared" ref="M494:M501" si="68">M486</f>
        <v>1568.1696000000002</v>
      </c>
      <c r="N494" s="78">
        <f t="shared" ref="N494:P497" si="69">AVERAGE(N107,N111,N131,N135,N139)</f>
        <v>40.599660000000007</v>
      </c>
      <c r="O494" s="78">
        <f t="shared" si="69"/>
        <v>44.900780000000012</v>
      </c>
      <c r="P494" s="78">
        <f t="shared" si="69"/>
        <v>44.993819999999999</v>
      </c>
      <c r="Q494" s="79"/>
      <c r="R494" s="79"/>
      <c r="S494" s="80"/>
      <c r="U494" s="8">
        <f>bdrate($E494:$E497,F494:F497,$M494:$M497,N494:N497)</f>
        <v>4.2133539823363542E-4</v>
      </c>
      <c r="V494" s="9">
        <f>bdrate($E494:$E497,G494:G497,$M494:$M497,O494:O497)</f>
        <v>2.1762075993032592E-3</v>
      </c>
      <c r="W494" s="10">
        <f>bdrate($E494:$E497,H494:H497,$M494:$M497,P494:P497)</f>
        <v>1.0861608985115456E-3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737.06479999999988</v>
      </c>
      <c r="F495" s="70">
        <f t="shared" si="67"/>
        <v>38.316420000000001</v>
      </c>
      <c r="G495" s="70">
        <f t="shared" si="67"/>
        <v>43.152140000000003</v>
      </c>
      <c r="H495" s="70">
        <f t="shared" si="67"/>
        <v>43.211940000000006</v>
      </c>
      <c r="I495" s="66"/>
      <c r="J495" s="66"/>
      <c r="K495" s="67"/>
      <c r="L495" s="29"/>
      <c r="M495" s="70">
        <f t="shared" si="68"/>
        <v>737.50959999999998</v>
      </c>
      <c r="N495" s="70">
        <f t="shared" si="69"/>
        <v>38.31568</v>
      </c>
      <c r="O495" s="70">
        <f t="shared" si="69"/>
        <v>43.145980000000002</v>
      </c>
      <c r="P495" s="70">
        <f t="shared" si="69"/>
        <v>43.211979999999997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384.26480000000004</v>
      </c>
      <c r="F496" s="70">
        <f t="shared" si="67"/>
        <v>35.896940000000001</v>
      </c>
      <c r="G496" s="70">
        <f t="shared" si="67"/>
        <v>41.478160000000003</v>
      </c>
      <c r="H496" s="70">
        <f t="shared" si="67"/>
        <v>41.426020000000008</v>
      </c>
      <c r="I496" s="66"/>
      <c r="J496" s="66"/>
      <c r="K496" s="67"/>
      <c r="L496" s="29"/>
      <c r="M496" s="70">
        <f t="shared" si="68"/>
        <v>384.30799999999994</v>
      </c>
      <c r="N496" s="70">
        <f t="shared" si="69"/>
        <v>35.896120000000003</v>
      </c>
      <c r="O496" s="70">
        <f t="shared" si="69"/>
        <v>41.475059999999999</v>
      </c>
      <c r="P496" s="70">
        <f t="shared" si="69"/>
        <v>41.422160000000005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214.06720000000001</v>
      </c>
      <c r="F497" s="81">
        <f t="shared" si="67"/>
        <v>33.425319999999999</v>
      </c>
      <c r="G497" s="81">
        <f t="shared" si="67"/>
        <v>40.152039999999992</v>
      </c>
      <c r="H497" s="81">
        <f t="shared" si="67"/>
        <v>40.074760000000005</v>
      </c>
      <c r="I497" s="68"/>
      <c r="J497" s="68"/>
      <c r="K497" s="69"/>
      <c r="L497" s="29"/>
      <c r="M497" s="81">
        <f t="shared" si="68"/>
        <v>213.85199999999998</v>
      </c>
      <c r="N497" s="81">
        <f t="shared" si="69"/>
        <v>33.424880000000002</v>
      </c>
      <c r="O497" s="81">
        <f t="shared" si="69"/>
        <v>40.146519999999995</v>
      </c>
      <c r="P497" s="81">
        <f t="shared" si="69"/>
        <v>40.076419999999999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2032.4992</v>
      </c>
      <c r="F498" s="78">
        <f t="shared" ref="F498:H501" si="70">AVERAGE(F107,F111,F115,F131,F135,F139,F143,F147,F151)</f>
        <v>40.452622222222224</v>
      </c>
      <c r="G498" s="78">
        <f t="shared" si="70"/>
        <v>44.9146</v>
      </c>
      <c r="H498" s="78">
        <f t="shared" si="70"/>
        <v>44.953666666666663</v>
      </c>
      <c r="I498" s="79"/>
      <c r="J498" s="79"/>
      <c r="K498" s="80"/>
      <c r="L498" s="29"/>
      <c r="M498" s="78">
        <f t="shared" si="68"/>
        <v>2033.7031999999999</v>
      </c>
      <c r="N498" s="78">
        <f t="shared" ref="N498:P501" si="71">AVERAGE(N107,N111,N115,N131,N135,N139,N143,N147,N151)</f>
        <v>40.449955555555562</v>
      </c>
      <c r="O498" s="78">
        <f t="shared" si="71"/>
        <v>44.909222222222219</v>
      </c>
      <c r="P498" s="78">
        <f t="shared" si="71"/>
        <v>44.951033333333335</v>
      </c>
      <c r="Q498" s="79"/>
      <c r="R498" s="79"/>
      <c r="S498" s="80"/>
      <c r="U498" s="8">
        <f>bdrate($E498:$E501,F498:F501,$M498:$M501,N498:N501)</f>
        <v>5.0622148160139879E-4</v>
      </c>
      <c r="V498" s="9">
        <f>bdrate($E498:$E501,G498:G501,$M498:$M501,O498:O501)</f>
        <v>1.0434408401505113E-3</v>
      </c>
      <c r="W498" s="10">
        <f>bdrate($E498:$E501,H498:H501,$M498:$M501,P498:P501)</f>
        <v>-1.41241721377805E-3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929.92639999999994</v>
      </c>
      <c r="F499" s="70">
        <f t="shared" si="70"/>
        <v>38.141355555555556</v>
      </c>
      <c r="G499" s="70">
        <f t="shared" si="70"/>
        <v>43.182422222222222</v>
      </c>
      <c r="H499" s="70">
        <f t="shared" si="70"/>
        <v>43.128755555555557</v>
      </c>
      <c r="I499" s="66"/>
      <c r="J499" s="66"/>
      <c r="K499" s="67"/>
      <c r="L499" s="29"/>
      <c r="M499" s="70">
        <f t="shared" si="68"/>
        <v>930.24400000000003</v>
      </c>
      <c r="N499" s="70">
        <f t="shared" si="71"/>
        <v>38.140122222222224</v>
      </c>
      <c r="O499" s="70">
        <f t="shared" si="71"/>
        <v>43.176633333333335</v>
      </c>
      <c r="P499" s="70">
        <f t="shared" si="71"/>
        <v>43.136566666666667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481.07679999999999</v>
      </c>
      <c r="F500" s="70">
        <f t="shared" si="70"/>
        <v>35.713333333333331</v>
      </c>
      <c r="G500" s="70">
        <f t="shared" si="70"/>
        <v>41.508400000000002</v>
      </c>
      <c r="H500" s="70">
        <f t="shared" si="70"/>
        <v>41.323988888888884</v>
      </c>
      <c r="I500" s="66"/>
      <c r="J500" s="66"/>
      <c r="K500" s="67"/>
      <c r="L500" s="29"/>
      <c r="M500" s="70">
        <f t="shared" si="68"/>
        <v>481.15440000000001</v>
      </c>
      <c r="N500" s="70">
        <f t="shared" si="71"/>
        <v>35.712933333333325</v>
      </c>
      <c r="O500" s="70">
        <f t="shared" si="71"/>
        <v>41.512722222222223</v>
      </c>
      <c r="P500" s="70">
        <f t="shared" si="71"/>
        <v>41.326599999999999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267.48880000000003</v>
      </c>
      <c r="F501" s="81">
        <f t="shared" si="70"/>
        <v>33.226988888888883</v>
      </c>
      <c r="G501" s="81">
        <f t="shared" si="70"/>
        <v>40.200955555555559</v>
      </c>
      <c r="H501" s="81">
        <f t="shared" si="70"/>
        <v>39.979322222222223</v>
      </c>
      <c r="I501" s="68"/>
      <c r="J501" s="68"/>
      <c r="K501" s="69"/>
      <c r="L501" s="29"/>
      <c r="M501" s="81">
        <f t="shared" si="68"/>
        <v>267.39679999999998</v>
      </c>
      <c r="N501" s="81">
        <f t="shared" si="71"/>
        <v>33.226988888888883</v>
      </c>
      <c r="O501" s="81">
        <f t="shared" si="71"/>
        <v>40.200177777777782</v>
      </c>
      <c r="P501" s="81">
        <f t="shared" si="71"/>
        <v>39.98352222222222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4235.8887999999997</v>
      </c>
      <c r="F502" s="78">
        <f t="shared" ref="F502:H505" si="72">AVERAGE(F159,F163)</f>
        <v>40.000149999999998</v>
      </c>
      <c r="G502" s="78">
        <f t="shared" si="72"/>
        <v>45.390950000000004</v>
      </c>
      <c r="H502" s="78">
        <f t="shared" si="72"/>
        <v>46.2363</v>
      </c>
      <c r="I502" s="79"/>
      <c r="J502" s="79"/>
      <c r="K502" s="80"/>
      <c r="L502" s="29"/>
      <c r="M502" s="82">
        <f>M159+M163</f>
        <v>4235.8311999999996</v>
      </c>
      <c r="N502" s="78">
        <f t="shared" ref="N502:P505" si="73">AVERAGE(N159,N163)</f>
        <v>40.000050000000002</v>
      </c>
      <c r="O502" s="78">
        <f t="shared" si="73"/>
        <v>45.390900000000002</v>
      </c>
      <c r="P502" s="78">
        <f t="shared" si="73"/>
        <v>46.236499999999999</v>
      </c>
      <c r="Q502" s="79"/>
      <c r="R502" s="79"/>
      <c r="S502" s="80"/>
      <c r="U502" s="8">
        <f>bdrate($E502:$E505,F502:F505,$M502:$M505,N502:N505)</f>
        <v>-1.7913993470064504E-5</v>
      </c>
      <c r="V502" s="9">
        <f>bdrate($E502:$E505,G502:G505,$M502:$M505,O502:O505)</f>
        <v>-8.8745215751973028E-5</v>
      </c>
      <c r="W502" s="10">
        <f>bdrate($E502:$E505,H502:H505,$M502:$M505,P502:P505)</f>
        <v>-1.049534692383336E-4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1798.9416000000001</v>
      </c>
      <c r="F503" s="70">
        <f t="shared" si="72"/>
        <v>37.645700000000005</v>
      </c>
      <c r="G503" s="70">
        <f t="shared" si="72"/>
        <v>43.597850000000001</v>
      </c>
      <c r="H503" s="70">
        <f t="shared" si="72"/>
        <v>44.434150000000002</v>
      </c>
      <c r="I503" s="66"/>
      <c r="J503" s="66"/>
      <c r="K503" s="67"/>
      <c r="L503" s="29"/>
      <c r="M503" s="83">
        <f>M160+M164</f>
        <v>1799.4792000000002</v>
      </c>
      <c r="N503" s="70">
        <f t="shared" si="73"/>
        <v>37.64555</v>
      </c>
      <c r="O503" s="70">
        <f t="shared" si="73"/>
        <v>43.5974</v>
      </c>
      <c r="P503" s="70">
        <f t="shared" si="73"/>
        <v>44.434399999999997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830.92879999999991</v>
      </c>
      <c r="F504" s="70">
        <f t="shared" si="72"/>
        <v>35.501300000000001</v>
      </c>
      <c r="G504" s="70">
        <f t="shared" si="72"/>
        <v>41.797800000000002</v>
      </c>
      <c r="H504" s="70">
        <f t="shared" si="72"/>
        <v>42.626049999999999</v>
      </c>
      <c r="I504" s="66"/>
      <c r="J504" s="66"/>
      <c r="K504" s="67"/>
      <c r="L504" s="29"/>
      <c r="M504" s="83">
        <f>M161+M165</f>
        <v>830.77279999999996</v>
      </c>
      <c r="N504" s="70">
        <f t="shared" si="73"/>
        <v>35.501550000000002</v>
      </c>
      <c r="O504" s="70">
        <f t="shared" si="73"/>
        <v>41.799050000000001</v>
      </c>
      <c r="P504" s="70">
        <f t="shared" si="73"/>
        <v>42.626400000000004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400.00560000000002</v>
      </c>
      <c r="F505" s="81">
        <f t="shared" si="72"/>
        <v>33.378500000000003</v>
      </c>
      <c r="G505" s="81">
        <f t="shared" si="72"/>
        <v>40.559049999999999</v>
      </c>
      <c r="H505" s="81">
        <f t="shared" si="72"/>
        <v>41.392749999999999</v>
      </c>
      <c r="I505" s="68"/>
      <c r="J505" s="68"/>
      <c r="K505" s="69"/>
      <c r="L505" s="29"/>
      <c r="M505" s="84">
        <f>M162+M166</f>
        <v>399.79759999999999</v>
      </c>
      <c r="N505" s="81">
        <f t="shared" si="73"/>
        <v>33.378450000000001</v>
      </c>
      <c r="O505" s="81">
        <f t="shared" si="73"/>
        <v>40.558900000000001</v>
      </c>
      <c r="P505" s="81">
        <f t="shared" si="73"/>
        <v>41.392849999999996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4779.2911999999997</v>
      </c>
      <c r="F506" s="78">
        <f t="shared" ref="F506:H509" si="74">AVERAGE(F159,F163,F167)</f>
        <v>39.903533333333336</v>
      </c>
      <c r="G506" s="78">
        <f t="shared" si="74"/>
        <v>45.354333333333336</v>
      </c>
      <c r="H506" s="78">
        <f t="shared" si="74"/>
        <v>46.202966666666669</v>
      </c>
      <c r="I506" s="79"/>
      <c r="J506" s="79"/>
      <c r="K506" s="80"/>
      <c r="L506" s="29"/>
      <c r="M506" s="78">
        <f>M159+M163+M167</f>
        <v>4779.7215999999999</v>
      </c>
      <c r="N506" s="78">
        <f t="shared" ref="N506:P509" si="75">AVERAGE(N159,N163,N167)</f>
        <v>39.903766666666662</v>
      </c>
      <c r="O506" s="78">
        <f t="shared" si="75"/>
        <v>45.354366666666671</v>
      </c>
      <c r="P506" s="78">
        <f t="shared" si="75"/>
        <v>46.203599999999994</v>
      </c>
      <c r="Q506" s="79"/>
      <c r="R506" s="79"/>
      <c r="S506" s="80"/>
      <c r="U506" s="8">
        <f>bdrate($E506:$E509,F506:F509,$M506:$M509,N506:N509)</f>
        <v>9.0176726830204501E-5</v>
      </c>
      <c r="V506" s="9">
        <f>bdrate($E506:$E509,G506:G509,$M506:$M509,O506:O509)</f>
        <v>-1.4925045186109376E-4</v>
      </c>
      <c r="W506" s="10">
        <f>bdrate($E506:$E509,H506:H509,$M506:$M509,P506:P509)</f>
        <v>-1.5599404561583707E-4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1990.2832000000001</v>
      </c>
      <c r="F507" s="70">
        <f t="shared" si="74"/>
        <v>37.573900000000002</v>
      </c>
      <c r="G507" s="70">
        <f t="shared" si="74"/>
        <v>43.573433333333334</v>
      </c>
      <c r="H507" s="70">
        <f t="shared" si="74"/>
        <v>44.412399999999998</v>
      </c>
      <c r="I507" s="66"/>
      <c r="J507" s="66"/>
      <c r="K507" s="67"/>
      <c r="L507" s="29"/>
      <c r="M507" s="70">
        <f>M160+M164+M168</f>
        <v>1990.9136000000003</v>
      </c>
      <c r="N507" s="70">
        <f t="shared" si="75"/>
        <v>37.573433333333334</v>
      </c>
      <c r="O507" s="70">
        <f t="shared" si="75"/>
        <v>43.573500000000003</v>
      </c>
      <c r="P507" s="70">
        <f t="shared" si="75"/>
        <v>44.413066666666658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909.45439999999985</v>
      </c>
      <c r="F508" s="70">
        <f t="shared" si="74"/>
        <v>35.447300000000006</v>
      </c>
      <c r="G508" s="70">
        <f t="shared" si="74"/>
        <v>41.784199999999998</v>
      </c>
      <c r="H508" s="70">
        <f t="shared" si="74"/>
        <v>42.615199999999994</v>
      </c>
      <c r="I508" s="66"/>
      <c r="J508" s="66"/>
      <c r="K508" s="67"/>
      <c r="L508" s="29"/>
      <c r="M508" s="70">
        <f>M161+M165+M169</f>
        <v>909.20399999999995</v>
      </c>
      <c r="N508" s="70">
        <f t="shared" si="75"/>
        <v>35.446933333333334</v>
      </c>
      <c r="O508" s="70">
        <f t="shared" si="75"/>
        <v>41.785033333333331</v>
      </c>
      <c r="P508" s="70">
        <f t="shared" si="75"/>
        <v>42.615066666666671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436.81760000000003</v>
      </c>
      <c r="F509" s="81">
        <f t="shared" si="74"/>
        <v>33.334166666666668</v>
      </c>
      <c r="G509" s="81">
        <f t="shared" si="74"/>
        <v>40.544199999999996</v>
      </c>
      <c r="H509" s="81">
        <f t="shared" si="74"/>
        <v>41.380633333333328</v>
      </c>
      <c r="I509" s="68"/>
      <c r="J509" s="68"/>
      <c r="K509" s="69"/>
      <c r="L509" s="29"/>
      <c r="M509" s="81">
        <f>M162+M166+M170</f>
        <v>436.536</v>
      </c>
      <c r="N509" s="81">
        <f t="shared" si="75"/>
        <v>33.333466666666666</v>
      </c>
      <c r="O509" s="81">
        <f t="shared" si="75"/>
        <v>40.5441</v>
      </c>
      <c r="P509" s="81">
        <f t="shared" si="75"/>
        <v>41.380699999999997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4624.1239999999998</v>
      </c>
      <c r="F510" s="78">
        <f t="shared" ref="F510:H513" si="76">AVERAGE(F183,F187,F191)</f>
        <v>40.054600000000001</v>
      </c>
      <c r="G510" s="78">
        <f t="shared" si="76"/>
        <v>46.593633333333337</v>
      </c>
      <c r="H510" s="78">
        <f t="shared" si="76"/>
        <v>47.015533333333337</v>
      </c>
      <c r="I510" s="79"/>
      <c r="J510" s="79"/>
      <c r="K510" s="80"/>
      <c r="L510" s="29"/>
      <c r="M510" s="78">
        <f>M159+M163+M171+M175</f>
        <v>4624.1367999999993</v>
      </c>
      <c r="N510" s="78">
        <f t="shared" ref="N510:P513" si="77">AVERAGE(N183,N187,N191)</f>
        <v>40.056066666666666</v>
      </c>
      <c r="O510" s="78">
        <f t="shared" si="77"/>
        <v>46.596566666666661</v>
      </c>
      <c r="P510" s="78">
        <f t="shared" si="77"/>
        <v>47.01486666666667</v>
      </c>
      <c r="Q510" s="79"/>
      <c r="R510" s="79"/>
      <c r="S510" s="80"/>
      <c r="U510" s="8">
        <f>bdrate($E510:$E513,F510:F513,$M510:$M513,N510:N513)</f>
        <v>4.1154913134722193E-4</v>
      </c>
      <c r="V510" s="9">
        <f>bdrate($E510:$E513,G510:G513,$M510:$M513,O510:O513)</f>
        <v>-1.9089685506903376E-3</v>
      </c>
      <c r="W510" s="10">
        <f>bdrate($E510:$E513,H510:H513,$M510:$M513,P510:P513)</f>
        <v>4.6565473416075864E-3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1926.3584000000001</v>
      </c>
      <c r="F511" s="70">
        <f t="shared" si="76"/>
        <v>37.737166666666667</v>
      </c>
      <c r="G511" s="70">
        <f t="shared" si="76"/>
        <v>44.819433333333336</v>
      </c>
      <c r="H511" s="70">
        <f t="shared" si="76"/>
        <v>45.38216666666667</v>
      </c>
      <c r="I511" s="66"/>
      <c r="J511" s="66"/>
      <c r="K511" s="67"/>
      <c r="L511" s="29"/>
      <c r="M511" s="70">
        <f>M160+M164+M172+M176</f>
        <v>1926.1000000000001</v>
      </c>
      <c r="N511" s="70">
        <f t="shared" si="77"/>
        <v>37.736066666666666</v>
      </c>
      <c r="O511" s="70">
        <f t="shared" si="77"/>
        <v>44.82063333333334</v>
      </c>
      <c r="P511" s="70">
        <f t="shared" si="77"/>
        <v>45.361433333333331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879.9455999999999</v>
      </c>
      <c r="F512" s="70">
        <f t="shared" si="76"/>
        <v>35.598266666666667</v>
      </c>
      <c r="G512" s="70">
        <f t="shared" si="76"/>
        <v>42.872700000000002</v>
      </c>
      <c r="H512" s="70">
        <f t="shared" si="76"/>
        <v>43.550800000000002</v>
      </c>
      <c r="I512" s="66"/>
      <c r="J512" s="66"/>
      <c r="K512" s="67"/>
      <c r="L512" s="29"/>
      <c r="M512" s="70">
        <f>M161+M165+M173+M177</f>
        <v>879.88639999999987</v>
      </c>
      <c r="N512" s="70">
        <f t="shared" si="77"/>
        <v>35.595200000000006</v>
      </c>
      <c r="O512" s="70">
        <f t="shared" si="77"/>
        <v>42.878933333333329</v>
      </c>
      <c r="P512" s="70">
        <f t="shared" si="77"/>
        <v>43.544866666666671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420.88960000000003</v>
      </c>
      <c r="F513" s="81">
        <f t="shared" si="76"/>
        <v>33.470700000000001</v>
      </c>
      <c r="G513" s="81">
        <f t="shared" si="76"/>
        <v>41.512166666666666</v>
      </c>
      <c r="H513" s="81">
        <f t="shared" si="76"/>
        <v>42.230133333333335</v>
      </c>
      <c r="I513" s="68"/>
      <c r="J513" s="68"/>
      <c r="K513" s="69"/>
      <c r="L513" s="29"/>
      <c r="M513" s="81">
        <f>M162+M166+M174+M178</f>
        <v>420.66399999999999</v>
      </c>
      <c r="N513" s="81">
        <f t="shared" si="77"/>
        <v>33.468833333333336</v>
      </c>
      <c r="O513" s="81">
        <f t="shared" si="77"/>
        <v>41.518300000000004</v>
      </c>
      <c r="P513" s="81">
        <f t="shared" si="77"/>
        <v>42.235566666666664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5276.6736000000001</v>
      </c>
      <c r="F514" s="78">
        <f t="shared" ref="F514:H517" si="78">AVERAGE(F183,F187,F191,F195,F199,F203)</f>
        <v>40.052416666666666</v>
      </c>
      <c r="G514" s="78">
        <f t="shared" si="78"/>
        <v>46.558566666666671</v>
      </c>
      <c r="H514" s="78">
        <f t="shared" si="78"/>
        <v>47.066450000000003</v>
      </c>
      <c r="I514" s="79"/>
      <c r="J514" s="79"/>
      <c r="K514" s="80"/>
      <c r="L514" s="29"/>
      <c r="M514" s="78">
        <f>M207</f>
        <v>5276.5216</v>
      </c>
      <c r="N514" s="78">
        <f t="shared" ref="N514:P517" si="79">AVERAGE(N183,N187,N191,N195,N199,N203)</f>
        <v>40.050883333333331</v>
      </c>
      <c r="O514" s="78">
        <f t="shared" si="79"/>
        <v>46.560683333333323</v>
      </c>
      <c r="P514" s="78">
        <f t="shared" si="79"/>
        <v>47.072583333333334</v>
      </c>
      <c r="Q514" s="79"/>
      <c r="R514" s="79"/>
      <c r="S514" s="80"/>
      <c r="U514" s="8">
        <f>bdrate($E514:$E517,F514:F517,$M514:$M517,N514:N517)</f>
        <v>-7.6256618780190522E-5</v>
      </c>
      <c r="V514" s="9">
        <f>bdrate($E514:$E517,G514:G517,$M514:$M517,O514:O517)</f>
        <v>-2.5351777195372627E-3</v>
      </c>
      <c r="W514" s="10">
        <f>bdrate($E514:$E517,H514:H517,$M514:$M517,P514:P517)</f>
        <v>2.3228971497673001E-3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2153.308</v>
      </c>
      <c r="F515" s="70">
        <f t="shared" si="78"/>
        <v>37.722783333333332</v>
      </c>
      <c r="G515" s="70">
        <f t="shared" si="78"/>
        <v>44.790233333333333</v>
      </c>
      <c r="H515" s="70">
        <f t="shared" si="78"/>
        <v>45.39973333333333</v>
      </c>
      <c r="I515" s="66"/>
      <c r="J515" s="66"/>
      <c r="K515" s="67"/>
      <c r="L515" s="29"/>
      <c r="M515" s="70">
        <f>M208</f>
        <v>2152.94</v>
      </c>
      <c r="N515" s="70">
        <f t="shared" si="79"/>
        <v>37.724850000000004</v>
      </c>
      <c r="O515" s="70">
        <f t="shared" si="79"/>
        <v>44.795566666666666</v>
      </c>
      <c r="P515" s="70">
        <f t="shared" si="79"/>
        <v>45.386299999999999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975.76959999999997</v>
      </c>
      <c r="F516" s="70">
        <f t="shared" si="78"/>
        <v>35.585450000000002</v>
      </c>
      <c r="G516" s="70">
        <f t="shared" si="78"/>
        <v>42.849983333333334</v>
      </c>
      <c r="H516" s="70">
        <f t="shared" si="78"/>
        <v>43.532183333333336</v>
      </c>
      <c r="I516" s="66"/>
      <c r="J516" s="66"/>
      <c r="K516" s="67"/>
      <c r="L516" s="29"/>
      <c r="M516" s="70">
        <f>M209</f>
        <v>975.58799999999997</v>
      </c>
      <c r="N516" s="70">
        <f t="shared" si="79"/>
        <v>35.58325</v>
      </c>
      <c r="O516" s="70">
        <f t="shared" si="79"/>
        <v>42.855649999999997</v>
      </c>
      <c r="P516" s="70">
        <f t="shared" si="79"/>
        <v>43.527650000000001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468.59679999999997</v>
      </c>
      <c r="F517" s="81">
        <f t="shared" si="78"/>
        <v>33.45675</v>
      </c>
      <c r="G517" s="81">
        <f t="shared" si="78"/>
        <v>41.495716666666674</v>
      </c>
      <c r="H517" s="81">
        <f t="shared" si="78"/>
        <v>42.204650000000008</v>
      </c>
      <c r="I517" s="68"/>
      <c r="J517" s="68"/>
      <c r="K517" s="69"/>
      <c r="L517" s="29"/>
      <c r="M517" s="81">
        <f>M210</f>
        <v>468.3168</v>
      </c>
      <c r="N517" s="81">
        <f t="shared" si="79"/>
        <v>33.454933333333337</v>
      </c>
      <c r="O517" s="81">
        <f t="shared" si="79"/>
        <v>41.500466666666668</v>
      </c>
      <c r="P517" s="81">
        <f t="shared" si="79"/>
        <v>42.211616666666664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4624.1239999999998</v>
      </c>
      <c r="F518" s="78">
        <f t="shared" ref="F518:H521" si="81">AVERAGE(F159,F163,F183,F187,F191)</f>
        <v>40.032820000000001</v>
      </c>
      <c r="G518" s="78">
        <f t="shared" si="81"/>
        <v>46.112559999999995</v>
      </c>
      <c r="H518" s="78">
        <f t="shared" si="81"/>
        <v>46.70384</v>
      </c>
      <c r="I518" s="79"/>
      <c r="J518" s="79"/>
      <c r="K518" s="80"/>
      <c r="L518" s="29"/>
      <c r="M518" s="78">
        <f t="shared" ref="M518:M525" si="82">M510</f>
        <v>4624.1367999999993</v>
      </c>
      <c r="N518" s="78">
        <f t="shared" ref="N518:P521" si="83">AVERAGE(N159,N163,N183,N187,N191)</f>
        <v>40.033660000000005</v>
      </c>
      <c r="O518" s="78">
        <f t="shared" si="83"/>
        <v>46.1143</v>
      </c>
      <c r="P518" s="78">
        <f t="shared" si="83"/>
        <v>46.703519999999997</v>
      </c>
      <c r="Q518" s="79"/>
      <c r="R518" s="79"/>
      <c r="S518" s="80"/>
      <c r="U518" s="8">
        <f>bdrate($E518:$E521,F518:F521,$M518:$M521,N518:N521)</f>
        <v>1.888127757772029E-4</v>
      </c>
      <c r="V518" s="9">
        <f>bdrate($E518:$E521,G518:G521,$M518:$M521,O518:O521)</f>
        <v>-1.2596481604152387E-3</v>
      </c>
      <c r="W518" s="10">
        <f>bdrate($E518:$E521,H518:H521,$M518:$M521,P518:P521)</f>
        <v>2.6868606731040856E-3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1926.3584000000001</v>
      </c>
      <c r="F519" s="70">
        <f t="shared" si="81"/>
        <v>37.700580000000002</v>
      </c>
      <c r="G519" s="70">
        <f t="shared" si="81"/>
        <v>44.330799999999996</v>
      </c>
      <c r="H519" s="70">
        <f t="shared" si="81"/>
        <v>45.002960000000009</v>
      </c>
      <c r="I519" s="66"/>
      <c r="J519" s="66"/>
      <c r="K519" s="67"/>
      <c r="L519" s="29"/>
      <c r="M519" s="70">
        <f t="shared" si="82"/>
        <v>1926.1000000000001</v>
      </c>
      <c r="N519" s="70">
        <f t="shared" si="83"/>
        <v>37.699859999999994</v>
      </c>
      <c r="O519" s="70">
        <f t="shared" si="83"/>
        <v>44.331339999999997</v>
      </c>
      <c r="P519" s="70">
        <f t="shared" si="83"/>
        <v>44.99062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879.9455999999999</v>
      </c>
      <c r="F520" s="70">
        <f t="shared" si="81"/>
        <v>35.559480000000001</v>
      </c>
      <c r="G520" s="70">
        <f t="shared" si="81"/>
        <v>42.442740000000001</v>
      </c>
      <c r="H520" s="70">
        <f t="shared" si="81"/>
        <v>43.180899999999994</v>
      </c>
      <c r="I520" s="66"/>
      <c r="J520" s="66"/>
      <c r="K520" s="67"/>
      <c r="L520" s="29"/>
      <c r="M520" s="70">
        <f t="shared" si="82"/>
        <v>879.88639999999987</v>
      </c>
      <c r="N520" s="70">
        <f t="shared" si="83"/>
        <v>35.55774000000001</v>
      </c>
      <c r="O520" s="70">
        <f t="shared" si="83"/>
        <v>42.446980000000003</v>
      </c>
      <c r="P520" s="70">
        <f t="shared" si="83"/>
        <v>43.177480000000003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420.88960000000003</v>
      </c>
      <c r="F521" s="81">
        <f t="shared" si="81"/>
        <v>33.433820000000004</v>
      </c>
      <c r="G521" s="81">
        <f t="shared" si="81"/>
        <v>41.130919999999996</v>
      </c>
      <c r="H521" s="81">
        <f t="shared" si="81"/>
        <v>41.895179999999996</v>
      </c>
      <c r="I521" s="68"/>
      <c r="J521" s="68"/>
      <c r="K521" s="69"/>
      <c r="L521" s="29"/>
      <c r="M521" s="81">
        <f t="shared" si="82"/>
        <v>420.66399999999999</v>
      </c>
      <c r="N521" s="81">
        <f t="shared" si="83"/>
        <v>33.432680000000005</v>
      </c>
      <c r="O521" s="81">
        <f t="shared" si="83"/>
        <v>41.134540000000001</v>
      </c>
      <c r="P521" s="81">
        <f t="shared" si="83"/>
        <v>41.898479999999992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5276.6736000000001</v>
      </c>
      <c r="F522" s="78">
        <f t="shared" ref="F522:H525" si="84">AVERAGE(F159,F163,F167,F183,F187,F191,F195,F199,F203)</f>
        <v>40.002788888888894</v>
      </c>
      <c r="G522" s="78">
        <f t="shared" si="84"/>
        <v>46.157155555555562</v>
      </c>
      <c r="H522" s="78">
        <f t="shared" si="84"/>
        <v>46.778622222222225</v>
      </c>
      <c r="I522" s="79"/>
      <c r="J522" s="79"/>
      <c r="K522" s="80"/>
      <c r="L522" s="29"/>
      <c r="M522" s="78">
        <f t="shared" si="82"/>
        <v>5276.5216</v>
      </c>
      <c r="N522" s="78">
        <f t="shared" ref="N522:P525" si="85">AVERAGE(N159,N163,N167,N183,N187,N191,N195,N199,N203)</f>
        <v>40.001844444444444</v>
      </c>
      <c r="O522" s="78">
        <f t="shared" si="85"/>
        <v>46.158577777777772</v>
      </c>
      <c r="P522" s="78">
        <f t="shared" si="85"/>
        <v>46.782922222222226</v>
      </c>
      <c r="Q522" s="79"/>
      <c r="R522" s="79"/>
      <c r="S522" s="80"/>
      <c r="U522" s="8">
        <f>bdrate($E522:$E525,F522:F525,$M522:$M525,N522:N525)</f>
        <v>-7.6714581609071963E-5</v>
      </c>
      <c r="V522" s="9">
        <f>bdrate($E522:$E525,G522:G525,$M522:$M525,O522:O525)</f>
        <v>-1.8316358457767246E-3</v>
      </c>
      <c r="W522" s="10">
        <f>bdrate($E522:$E525,H522:H525,$M522:$M525,P522:P525)</f>
        <v>1.4433474035075999E-3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2153.308</v>
      </c>
      <c r="F523" s="70">
        <f t="shared" si="84"/>
        <v>37.673155555555553</v>
      </c>
      <c r="G523" s="70">
        <f t="shared" si="84"/>
        <v>44.384633333333333</v>
      </c>
      <c r="H523" s="70">
        <f t="shared" si="84"/>
        <v>45.070622222222227</v>
      </c>
      <c r="I523" s="66"/>
      <c r="J523" s="66"/>
      <c r="K523" s="67"/>
      <c r="L523" s="29"/>
      <c r="M523" s="70">
        <f t="shared" si="82"/>
        <v>2152.94</v>
      </c>
      <c r="N523" s="70">
        <f t="shared" si="85"/>
        <v>37.674377777777778</v>
      </c>
      <c r="O523" s="70">
        <f t="shared" si="85"/>
        <v>44.388211111111112</v>
      </c>
      <c r="P523" s="70">
        <f t="shared" si="85"/>
        <v>45.061888888888888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975.76959999999997</v>
      </c>
      <c r="F524" s="70">
        <f t="shared" si="84"/>
        <v>35.539400000000001</v>
      </c>
      <c r="G524" s="70">
        <f t="shared" si="84"/>
        <v>42.494722222222222</v>
      </c>
      <c r="H524" s="70">
        <f t="shared" si="84"/>
        <v>43.226522222222222</v>
      </c>
      <c r="I524" s="66"/>
      <c r="J524" s="66"/>
      <c r="K524" s="67"/>
      <c r="L524" s="29"/>
      <c r="M524" s="70">
        <f t="shared" si="82"/>
        <v>975.58799999999997</v>
      </c>
      <c r="N524" s="70">
        <f t="shared" si="85"/>
        <v>35.537811111111118</v>
      </c>
      <c r="O524" s="70">
        <f t="shared" si="85"/>
        <v>42.498777777777782</v>
      </c>
      <c r="P524" s="70">
        <f t="shared" si="85"/>
        <v>43.223455555555553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468.59679999999997</v>
      </c>
      <c r="F525" s="81">
        <f t="shared" si="84"/>
        <v>33.415888888888887</v>
      </c>
      <c r="G525" s="81">
        <f t="shared" si="84"/>
        <v>41.178544444444441</v>
      </c>
      <c r="H525" s="81">
        <f t="shared" si="84"/>
        <v>41.929977777777779</v>
      </c>
      <c r="I525" s="68"/>
      <c r="J525" s="68"/>
      <c r="K525" s="69"/>
      <c r="L525" s="29"/>
      <c r="M525" s="81">
        <f t="shared" si="82"/>
        <v>468.3168</v>
      </c>
      <c r="N525" s="81">
        <f t="shared" si="85"/>
        <v>33.414444444444442</v>
      </c>
      <c r="O525" s="81">
        <f t="shared" si="85"/>
        <v>41.181677777777779</v>
      </c>
      <c r="P525" s="81">
        <f t="shared" si="85"/>
        <v>41.934644444444444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1058.8690000000001</v>
      </c>
      <c r="F526" s="78">
        <f t="shared" ref="F526:H529" si="86">AVERAGE(F211,F215)</f>
        <v>41.9739</v>
      </c>
      <c r="G526" s="78">
        <f t="shared" si="86"/>
        <v>48.301099999999998</v>
      </c>
      <c r="H526" s="78">
        <f t="shared" si="86"/>
        <v>47.822000000000003</v>
      </c>
      <c r="I526" s="79"/>
      <c r="J526" s="79"/>
      <c r="K526" s="80"/>
      <c r="L526" s="29"/>
      <c r="M526" s="82">
        <f>M211+M215</f>
        <v>1059.201</v>
      </c>
      <c r="N526" s="78">
        <f t="shared" ref="N526:P529" si="87">AVERAGE(N211,N215)</f>
        <v>41.973050000000001</v>
      </c>
      <c r="O526" s="78">
        <f t="shared" si="87"/>
        <v>48.304450000000003</v>
      </c>
      <c r="P526" s="78">
        <f t="shared" si="87"/>
        <v>47.82255</v>
      </c>
      <c r="Q526" s="79"/>
      <c r="R526" s="79"/>
      <c r="S526" s="80"/>
      <c r="U526" s="8">
        <f>bdrate($E526:$E529,F526:F529,$M526:$M529,N526:N529)</f>
        <v>2.6275972579070661E-4</v>
      </c>
      <c r="V526" s="9">
        <f>bdrate($E526:$E529,G526:G529,$M526:$M529,O526:O529)</f>
        <v>7.8363292711380872E-4</v>
      </c>
      <c r="W526" s="10">
        <f>bdrate($E526:$E529,H526:H529,$M526:$M529,P526:P529)</f>
        <v>-1.3684095892415593E-3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441.315</v>
      </c>
      <c r="F527" s="70">
        <f t="shared" si="86"/>
        <v>40.991550000000004</v>
      </c>
      <c r="G527" s="70">
        <f t="shared" si="86"/>
        <v>47.272649999999999</v>
      </c>
      <c r="H527" s="70">
        <f t="shared" si="86"/>
        <v>46.932749999999999</v>
      </c>
      <c r="I527" s="66"/>
      <c r="J527" s="66"/>
      <c r="K527" s="67"/>
      <c r="L527" s="29"/>
      <c r="M527" s="83">
        <f>M212+M216</f>
        <v>441.30099999999999</v>
      </c>
      <c r="N527" s="70">
        <f t="shared" si="87"/>
        <v>40.992699999999999</v>
      </c>
      <c r="O527" s="70">
        <f t="shared" si="87"/>
        <v>47.268999999999998</v>
      </c>
      <c r="P527" s="70">
        <f t="shared" si="87"/>
        <v>46.937150000000003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224.84300000000002</v>
      </c>
      <c r="F528" s="70">
        <f t="shared" si="86"/>
        <v>39.582799999999999</v>
      </c>
      <c r="G528" s="70">
        <f t="shared" si="86"/>
        <v>45.971350000000001</v>
      </c>
      <c r="H528" s="70">
        <f t="shared" si="86"/>
        <v>45.736800000000002</v>
      </c>
      <c r="I528" s="66"/>
      <c r="J528" s="66"/>
      <c r="K528" s="67"/>
      <c r="L528" s="29"/>
      <c r="M528" s="83">
        <f>M213+M217</f>
        <v>224.792</v>
      </c>
      <c r="N528" s="70">
        <f t="shared" si="87"/>
        <v>39.581499999999998</v>
      </c>
      <c r="O528" s="70">
        <f t="shared" si="87"/>
        <v>45.971600000000002</v>
      </c>
      <c r="P528" s="70">
        <f t="shared" si="87"/>
        <v>45.739049999999999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123.917</v>
      </c>
      <c r="F529" s="81">
        <f t="shared" si="86"/>
        <v>37.821600000000004</v>
      </c>
      <c r="G529" s="81">
        <f t="shared" si="86"/>
        <v>44.843800000000002</v>
      </c>
      <c r="H529" s="81">
        <f t="shared" si="86"/>
        <v>44.631900000000002</v>
      </c>
      <c r="I529" s="68"/>
      <c r="J529" s="68"/>
      <c r="K529" s="69"/>
      <c r="L529" s="29"/>
      <c r="M529" s="84">
        <f>M214+M218</f>
        <v>124.15899999999999</v>
      </c>
      <c r="N529" s="81">
        <f t="shared" si="87"/>
        <v>37.823250000000002</v>
      </c>
      <c r="O529" s="81">
        <f t="shared" si="87"/>
        <v>44.841300000000004</v>
      </c>
      <c r="P529" s="81">
        <f t="shared" si="87"/>
        <v>44.629350000000002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1318.3950000000002</v>
      </c>
      <c r="F530" s="78">
        <f t="shared" ref="F530:H533" si="88">AVERAGE(F211,F215,F219)</f>
        <v>41.878</v>
      </c>
      <c r="G530" s="78">
        <f t="shared" si="88"/>
        <v>47.949833333333338</v>
      </c>
      <c r="H530" s="78">
        <f t="shared" si="88"/>
        <v>47.436666666666667</v>
      </c>
      <c r="I530" s="79"/>
      <c r="J530" s="79"/>
      <c r="K530" s="80"/>
      <c r="L530" s="29"/>
      <c r="M530" s="78">
        <f>M211+M215+M219</f>
        <v>1319.1690000000001</v>
      </c>
      <c r="N530" s="78">
        <f t="shared" ref="N530:P533" si="89">AVERAGE(N211,N215,N219)</f>
        <v>41.877199999999995</v>
      </c>
      <c r="O530" s="78">
        <f t="shared" si="89"/>
        <v>47.955300000000001</v>
      </c>
      <c r="P530" s="78">
        <f t="shared" si="89"/>
        <v>47.434733333333334</v>
      </c>
      <c r="Q530" s="79"/>
      <c r="R530" s="79"/>
      <c r="S530" s="80"/>
      <c r="U530" s="8">
        <f>bdrate($E530:$E533,F530:F533,$M530:$M533,N530:N533)</f>
        <v>3.5750157911818015E-4</v>
      </c>
      <c r="V530" s="9">
        <f>bdrate($E530:$E533,G530:G533,$M530:$M533,O530:O533)</f>
        <v>4.4923157582976714E-4</v>
      </c>
      <c r="W530" s="10">
        <f>bdrate($E530:$E533,H530:H533,$M530:$M533,P530:P533)</f>
        <v>-1.619580371446494E-3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538.58699999999999</v>
      </c>
      <c r="F531" s="70">
        <f t="shared" si="88"/>
        <v>40.9101</v>
      </c>
      <c r="G531" s="70">
        <f t="shared" si="88"/>
        <v>46.952400000000004</v>
      </c>
      <c r="H531" s="70">
        <f t="shared" si="88"/>
        <v>46.460799999999999</v>
      </c>
      <c r="I531" s="66"/>
      <c r="J531" s="66"/>
      <c r="K531" s="67"/>
      <c r="L531" s="29"/>
      <c r="M531" s="70">
        <f>M212+M216+M220</f>
        <v>538.48900000000003</v>
      </c>
      <c r="N531" s="70">
        <f t="shared" si="89"/>
        <v>40.910833333333336</v>
      </c>
      <c r="O531" s="70">
        <f t="shared" si="89"/>
        <v>46.950400000000002</v>
      </c>
      <c r="P531" s="70">
        <f t="shared" si="89"/>
        <v>46.466466666666669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273.14500000000004</v>
      </c>
      <c r="F532" s="70">
        <f t="shared" si="88"/>
        <v>39.520366666666668</v>
      </c>
      <c r="G532" s="70">
        <f t="shared" si="88"/>
        <v>45.770999999999994</v>
      </c>
      <c r="H532" s="70">
        <f t="shared" si="88"/>
        <v>45.351366666666671</v>
      </c>
      <c r="I532" s="66"/>
      <c r="J532" s="66"/>
      <c r="K532" s="67"/>
      <c r="L532" s="29"/>
      <c r="M532" s="70">
        <f>M213+M217+M221</f>
        <v>273.34199999999998</v>
      </c>
      <c r="N532" s="70">
        <f t="shared" si="89"/>
        <v>39.520566666666667</v>
      </c>
      <c r="O532" s="70">
        <f t="shared" si="89"/>
        <v>45.773066666666665</v>
      </c>
      <c r="P532" s="70">
        <f t="shared" si="89"/>
        <v>45.357633333333332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149.42500000000001</v>
      </c>
      <c r="F533" s="81">
        <f t="shared" si="88"/>
        <v>37.765866666666675</v>
      </c>
      <c r="G533" s="81">
        <f t="shared" si="88"/>
        <v>44.696733333333334</v>
      </c>
      <c r="H533" s="81">
        <f t="shared" si="88"/>
        <v>44.249966666666666</v>
      </c>
      <c r="I533" s="68"/>
      <c r="J533" s="68"/>
      <c r="K533" s="69"/>
      <c r="L533" s="29"/>
      <c r="M533" s="81">
        <f>M214+M218+M222</f>
        <v>149.68799999999999</v>
      </c>
      <c r="N533" s="81">
        <f t="shared" si="89"/>
        <v>37.769500000000001</v>
      </c>
      <c r="O533" s="81">
        <f t="shared" si="89"/>
        <v>44.688733333333339</v>
      </c>
      <c r="P533" s="81">
        <f t="shared" si="89"/>
        <v>44.241399999999999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1181.3210000000001</v>
      </c>
      <c r="F534" s="78">
        <f t="shared" ref="F534:H537" si="90">AVERAGE(F235,F239,F243)</f>
        <v>43.202766666666669</v>
      </c>
      <c r="G534" s="78">
        <f t="shared" si="90"/>
        <v>48.79493333333334</v>
      </c>
      <c r="H534" s="78">
        <f t="shared" si="90"/>
        <v>48.147833333333331</v>
      </c>
      <c r="I534" s="79"/>
      <c r="J534" s="79"/>
      <c r="K534" s="80"/>
      <c r="L534" s="29"/>
      <c r="M534" s="78">
        <f>M211+M215+M223+M227</f>
        <v>1181.8500000000001</v>
      </c>
      <c r="N534" s="78">
        <f t="shared" ref="N534:P537" si="91">AVERAGE(N235,N239,N243)</f>
        <v>43.20773333333333</v>
      </c>
      <c r="O534" s="78">
        <f t="shared" si="91"/>
        <v>48.812899999999992</v>
      </c>
      <c r="P534" s="78">
        <f t="shared" si="91"/>
        <v>48.148566666666675</v>
      </c>
      <c r="Q534" s="79"/>
      <c r="R534" s="79"/>
      <c r="S534" s="80"/>
      <c r="U534" s="8">
        <f>bdrate($E534:$E537,F534:F537,$M534:$M537,N534:N537)</f>
        <v>-9.5652335895923812E-5</v>
      </c>
      <c r="V534" s="9">
        <f>bdrate($E534:$E537,G534:G537,$M534:$M537,O534:O537)</f>
        <v>-2.5075672299413876E-3</v>
      </c>
      <c r="W534" s="10">
        <f>bdrate($E534:$E537,H534:H537,$M534:$M537,P534:P537)</f>
        <v>4.8364127541840052E-3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490.81599999999997</v>
      </c>
      <c r="F535" s="70">
        <f t="shared" si="90"/>
        <v>42.003666666666668</v>
      </c>
      <c r="G535" s="70">
        <f t="shared" si="90"/>
        <v>47.68503333333333</v>
      </c>
      <c r="H535" s="70">
        <f t="shared" si="90"/>
        <v>47.310833333333335</v>
      </c>
      <c r="I535" s="66"/>
      <c r="J535" s="66"/>
      <c r="K535" s="67"/>
      <c r="L535" s="29"/>
      <c r="M535" s="70">
        <f>M212+M216+M224+M228</f>
        <v>490.72699999999998</v>
      </c>
      <c r="N535" s="70">
        <f t="shared" si="91"/>
        <v>42.002366666666667</v>
      </c>
      <c r="O535" s="70">
        <f t="shared" si="91"/>
        <v>47.680900000000008</v>
      </c>
      <c r="P535" s="70">
        <f t="shared" si="91"/>
        <v>47.321766666666662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249.339</v>
      </c>
      <c r="F536" s="70">
        <f t="shared" si="90"/>
        <v>40.37983333333333</v>
      </c>
      <c r="G536" s="70">
        <f t="shared" si="90"/>
        <v>46.344000000000001</v>
      </c>
      <c r="H536" s="70">
        <f t="shared" si="90"/>
        <v>46.141133333333336</v>
      </c>
      <c r="I536" s="66"/>
      <c r="J536" s="66"/>
      <c r="K536" s="67"/>
      <c r="L536" s="29"/>
      <c r="M536" s="70">
        <f>M213+M217+M225+M229</f>
        <v>249.39699999999999</v>
      </c>
      <c r="N536" s="70">
        <f t="shared" si="91"/>
        <v>40.381033333333335</v>
      </c>
      <c r="O536" s="70">
        <f t="shared" si="91"/>
        <v>46.354066666666661</v>
      </c>
      <c r="P536" s="70">
        <f t="shared" si="91"/>
        <v>46.114633333333337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137.512</v>
      </c>
      <c r="F537" s="81">
        <f t="shared" si="90"/>
        <v>38.420733333333338</v>
      </c>
      <c r="G537" s="81">
        <f t="shared" si="90"/>
        <v>45.276900000000005</v>
      </c>
      <c r="H537" s="81">
        <f t="shared" si="90"/>
        <v>44.991033333333327</v>
      </c>
      <c r="I537" s="68"/>
      <c r="J537" s="68"/>
      <c r="K537" s="69"/>
      <c r="L537" s="29"/>
      <c r="M537" s="81">
        <f>M214+M218+M226+M230</f>
        <v>137.85899999999998</v>
      </c>
      <c r="N537" s="81">
        <f t="shared" si="91"/>
        <v>38.426099999999998</v>
      </c>
      <c r="O537" s="81">
        <f t="shared" si="91"/>
        <v>45.276166666666676</v>
      </c>
      <c r="P537" s="81">
        <f t="shared" si="91"/>
        <v>44.970966666666662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1494.92</v>
      </c>
      <c r="F538" s="78">
        <f t="shared" ref="F538:H541" si="92">AVERAGE(F235,F239,F243,F247,F251,F255)</f>
        <v>43.255083333333339</v>
      </c>
      <c r="G538" s="78">
        <f t="shared" si="92"/>
        <v>48.659133333333337</v>
      </c>
      <c r="H538" s="78">
        <f t="shared" si="92"/>
        <v>48.468850000000003</v>
      </c>
      <c r="I538" s="79"/>
      <c r="J538" s="79"/>
      <c r="K538" s="80"/>
      <c r="L538" s="29"/>
      <c r="M538" s="78">
        <f>M259</f>
        <v>1495.681</v>
      </c>
      <c r="N538" s="78">
        <f t="shared" ref="N538:P541" si="93">AVERAGE(N235,N239,N243,N247,N251,N255)</f>
        <v>43.256499999999996</v>
      </c>
      <c r="O538" s="78">
        <f t="shared" si="93"/>
        <v>48.666533333333327</v>
      </c>
      <c r="P538" s="78">
        <f t="shared" si="93"/>
        <v>48.466700000000003</v>
      </c>
      <c r="Q538" s="79"/>
      <c r="R538" s="79"/>
      <c r="S538" s="80"/>
      <c r="U538" s="8">
        <f>bdrate($E538:$E541,F538:F541,$M538:$M541,N538:N541)</f>
        <v>4.5199488282832156E-4</v>
      </c>
      <c r="V538" s="9">
        <f>bdrate($E538:$E541,G538:G541,$M538:$M541,O538:O541)</f>
        <v>3.4061606908788455E-3</v>
      </c>
      <c r="W538" s="10">
        <f>bdrate($E538:$E541,H538:H541,$M538:$M541,P538:P541)</f>
        <v>1.7294906198506155E-5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611.64700000000005</v>
      </c>
      <c r="F539" s="70">
        <f t="shared" si="92"/>
        <v>42.068333333333335</v>
      </c>
      <c r="G539" s="70">
        <f t="shared" si="92"/>
        <v>47.583966666666662</v>
      </c>
      <c r="H539" s="70">
        <f t="shared" si="92"/>
        <v>47.523766666666667</v>
      </c>
      <c r="I539" s="66"/>
      <c r="J539" s="66"/>
      <c r="K539" s="67"/>
      <c r="L539" s="29"/>
      <c r="M539" s="70">
        <f>M260</f>
        <v>611.51400000000001</v>
      </c>
      <c r="N539" s="70">
        <f t="shared" si="93"/>
        <v>42.067450000000001</v>
      </c>
      <c r="O539" s="70">
        <f t="shared" si="93"/>
        <v>47.568333333333335</v>
      </c>
      <c r="P539" s="70">
        <f t="shared" si="93"/>
        <v>47.523616666666662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311.56299999999999</v>
      </c>
      <c r="F540" s="70">
        <f t="shared" si="92"/>
        <v>40.463633333333327</v>
      </c>
      <c r="G540" s="70">
        <f t="shared" si="92"/>
        <v>46.295700000000004</v>
      </c>
      <c r="H540" s="70">
        <f t="shared" si="92"/>
        <v>46.310816666666675</v>
      </c>
      <c r="I540" s="66"/>
      <c r="J540" s="66"/>
      <c r="K540" s="67"/>
      <c r="L540" s="29"/>
      <c r="M540" s="70">
        <f>M261</f>
        <v>311.90899999999999</v>
      </c>
      <c r="N540" s="70">
        <f t="shared" si="93"/>
        <v>40.464850000000006</v>
      </c>
      <c r="O540" s="70">
        <f t="shared" si="93"/>
        <v>46.299849999999992</v>
      </c>
      <c r="P540" s="70">
        <f t="shared" si="93"/>
        <v>46.321916666666674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172.97800000000001</v>
      </c>
      <c r="F541" s="81">
        <f t="shared" si="92"/>
        <v>38.514050000000005</v>
      </c>
      <c r="G541" s="81">
        <f t="shared" si="92"/>
        <v>45.229750000000003</v>
      </c>
      <c r="H541" s="81">
        <f t="shared" si="92"/>
        <v>45.152833333333326</v>
      </c>
      <c r="I541" s="68"/>
      <c r="J541" s="68"/>
      <c r="K541" s="69"/>
      <c r="L541" s="29"/>
      <c r="M541" s="81">
        <f>M262</f>
        <v>173.34</v>
      </c>
      <c r="N541" s="81">
        <f t="shared" si="93"/>
        <v>38.519200000000005</v>
      </c>
      <c r="O541" s="81">
        <f t="shared" si="93"/>
        <v>45.221150000000002</v>
      </c>
      <c r="P541" s="81">
        <f t="shared" si="93"/>
        <v>45.129766666666661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1181.3210000000001</v>
      </c>
      <c r="F542" s="78">
        <f t="shared" ref="F542:H545" si="95">AVERAGE(F211,F215,F235,F239,F243)</f>
        <v>42.711220000000004</v>
      </c>
      <c r="G542" s="78">
        <f t="shared" si="95"/>
        <v>48.597400000000007</v>
      </c>
      <c r="H542" s="78">
        <f t="shared" si="95"/>
        <v>48.017499999999998</v>
      </c>
      <c r="I542" s="79"/>
      <c r="J542" s="79"/>
      <c r="K542" s="80"/>
      <c r="L542" s="29"/>
      <c r="M542" s="78">
        <f t="shared" ref="M542:M549" si="96">M534</f>
        <v>1181.8500000000001</v>
      </c>
      <c r="N542" s="78">
        <f t="shared" ref="N542:P545" si="97">AVERAGE(N211,N215,N235,N239,N243)</f>
        <v>42.713859999999997</v>
      </c>
      <c r="O542" s="78">
        <f t="shared" si="97"/>
        <v>48.609519999999996</v>
      </c>
      <c r="P542" s="78">
        <f t="shared" si="97"/>
        <v>48.018160000000002</v>
      </c>
      <c r="Q542" s="79"/>
      <c r="R542" s="79"/>
      <c r="S542" s="80"/>
      <c r="U542" s="8">
        <f>bdrate($E542:$E545,F542:F545,$M542:$M545,N542:N545)</f>
        <v>1.341146091484724E-4</v>
      </c>
      <c r="V542" s="9">
        <f>bdrate($E542:$E545,G542:G545,$M542:$M545,O542:O545)</f>
        <v>-1.1368023265475591E-3</v>
      </c>
      <c r="W542" s="10">
        <f>bdrate($E542:$E545,H542:H545,$M542:$M545,P542:P545)</f>
        <v>2.4140471122722218E-3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490.81599999999997</v>
      </c>
      <c r="F543" s="70">
        <f t="shared" si="95"/>
        <v>41.598820000000003</v>
      </c>
      <c r="G543" s="70">
        <f t="shared" si="95"/>
        <v>47.520079999999993</v>
      </c>
      <c r="H543" s="70">
        <f t="shared" si="95"/>
        <v>47.159599999999998</v>
      </c>
      <c r="I543" s="66"/>
      <c r="J543" s="66"/>
      <c r="K543" s="67"/>
      <c r="L543" s="29"/>
      <c r="M543" s="70">
        <f t="shared" si="96"/>
        <v>490.72699999999998</v>
      </c>
      <c r="N543" s="70">
        <f t="shared" si="97"/>
        <v>41.598500000000001</v>
      </c>
      <c r="O543" s="70">
        <f t="shared" si="97"/>
        <v>47.516140000000007</v>
      </c>
      <c r="P543" s="70">
        <f t="shared" si="97"/>
        <v>47.167919999999995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249.339</v>
      </c>
      <c r="F544" s="70">
        <f t="shared" si="95"/>
        <v>40.061019999999999</v>
      </c>
      <c r="G544" s="70">
        <f t="shared" si="95"/>
        <v>46.194939999999995</v>
      </c>
      <c r="H544" s="70">
        <f t="shared" si="95"/>
        <v>45.979399999999998</v>
      </c>
      <c r="I544" s="66"/>
      <c r="J544" s="66"/>
      <c r="K544" s="67"/>
      <c r="L544" s="29"/>
      <c r="M544" s="70">
        <f t="shared" si="96"/>
        <v>249.39699999999999</v>
      </c>
      <c r="N544" s="70">
        <f t="shared" si="97"/>
        <v>40.061219999999999</v>
      </c>
      <c r="O544" s="70">
        <f t="shared" si="97"/>
        <v>46.201079999999997</v>
      </c>
      <c r="P544" s="70">
        <f t="shared" si="97"/>
        <v>45.964399999999998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137.512</v>
      </c>
      <c r="F545" s="81">
        <f t="shared" si="95"/>
        <v>38.181080000000001</v>
      </c>
      <c r="G545" s="81">
        <f t="shared" si="95"/>
        <v>45.103660000000005</v>
      </c>
      <c r="H545" s="81">
        <f t="shared" si="95"/>
        <v>44.847380000000001</v>
      </c>
      <c r="I545" s="68"/>
      <c r="J545" s="68"/>
      <c r="K545" s="69"/>
      <c r="L545" s="29"/>
      <c r="M545" s="81">
        <f t="shared" si="96"/>
        <v>137.85899999999998</v>
      </c>
      <c r="N545" s="81">
        <f t="shared" si="97"/>
        <v>38.184960000000004</v>
      </c>
      <c r="O545" s="81">
        <f t="shared" si="97"/>
        <v>45.102220000000003</v>
      </c>
      <c r="P545" s="81">
        <f t="shared" si="97"/>
        <v>44.834320000000005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1494.92</v>
      </c>
      <c r="F546" s="78">
        <f t="shared" ref="F546:H549" si="98">AVERAGE(F211,F215,F219,F235,F239,F243,F247,F251,F255)</f>
        <v>42.796055555555554</v>
      </c>
      <c r="G546" s="78">
        <f t="shared" si="98"/>
        <v>48.422700000000006</v>
      </c>
      <c r="H546" s="78">
        <f t="shared" si="98"/>
        <v>48.124788888888887</v>
      </c>
      <c r="I546" s="79"/>
      <c r="J546" s="79"/>
      <c r="K546" s="80"/>
      <c r="L546" s="29"/>
      <c r="M546" s="78">
        <f t="shared" si="96"/>
        <v>1495.681</v>
      </c>
      <c r="N546" s="78">
        <f t="shared" ref="N546:P549" si="99">AVERAGE(N211,N215,N219,N235,N239,N243,N247,N251,N255)</f>
        <v>42.796733333333329</v>
      </c>
      <c r="O546" s="78">
        <f t="shared" si="99"/>
        <v>48.429455555555556</v>
      </c>
      <c r="P546" s="78">
        <f t="shared" si="99"/>
        <v>48.122711111111109</v>
      </c>
      <c r="Q546" s="79"/>
      <c r="R546" s="79"/>
      <c r="S546" s="80"/>
      <c r="U546" s="8">
        <f>bdrate($E546:$E549,F546:F549,$M546:$M549,N546:N549)</f>
        <v>4.9087843065942494E-4</v>
      </c>
      <c r="V546" s="9">
        <f>bdrate($E546:$E549,G546:G549,$M546:$M549,O546:O549)</f>
        <v>2.5011359780835463E-3</v>
      </c>
      <c r="W546" s="10">
        <f>bdrate($E546:$E549,H546:H549,$M546:$M549,P546:P549)</f>
        <v>-4.4926946225243292E-4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611.64700000000005</v>
      </c>
      <c r="F547" s="70">
        <f t="shared" si="98"/>
        <v>41.682255555555557</v>
      </c>
      <c r="G547" s="70">
        <f t="shared" si="98"/>
        <v>47.373444444444452</v>
      </c>
      <c r="H547" s="70">
        <f t="shared" si="98"/>
        <v>47.169444444444444</v>
      </c>
      <c r="I547" s="66"/>
      <c r="J547" s="66"/>
      <c r="K547" s="67"/>
      <c r="L547" s="29"/>
      <c r="M547" s="70">
        <f t="shared" si="96"/>
        <v>611.51400000000001</v>
      </c>
      <c r="N547" s="70">
        <f t="shared" si="99"/>
        <v>41.681911111111113</v>
      </c>
      <c r="O547" s="70">
        <f t="shared" si="99"/>
        <v>47.36235555555556</v>
      </c>
      <c r="P547" s="70">
        <f t="shared" si="99"/>
        <v>47.17123333333334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311.56299999999999</v>
      </c>
      <c r="F548" s="70">
        <f t="shared" si="98"/>
        <v>40.149211111111114</v>
      </c>
      <c r="G548" s="70">
        <f t="shared" si="98"/>
        <v>46.120799999999996</v>
      </c>
      <c r="H548" s="70">
        <f t="shared" si="98"/>
        <v>45.991000000000007</v>
      </c>
      <c r="I548" s="66"/>
      <c r="J548" s="66"/>
      <c r="K548" s="67"/>
      <c r="L548" s="29"/>
      <c r="M548" s="70">
        <f t="shared" si="96"/>
        <v>311.90899999999999</v>
      </c>
      <c r="N548" s="70">
        <f t="shared" si="99"/>
        <v>40.150088888888888</v>
      </c>
      <c r="O548" s="70">
        <f t="shared" si="99"/>
        <v>46.12425555555555</v>
      </c>
      <c r="P548" s="70">
        <f t="shared" si="99"/>
        <v>46.000488888888896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172.97800000000001</v>
      </c>
      <c r="F549" s="81">
        <f t="shared" si="98"/>
        <v>38.264655555555557</v>
      </c>
      <c r="G549" s="81">
        <f t="shared" si="98"/>
        <v>45.052077777777782</v>
      </c>
      <c r="H549" s="81">
        <f t="shared" si="98"/>
        <v>44.85187777777778</v>
      </c>
      <c r="I549" s="68"/>
      <c r="J549" s="68"/>
      <c r="K549" s="69"/>
      <c r="L549" s="29"/>
      <c r="M549" s="81">
        <f t="shared" si="96"/>
        <v>173.34</v>
      </c>
      <c r="N549" s="81">
        <f t="shared" si="99"/>
        <v>38.269300000000008</v>
      </c>
      <c r="O549" s="81">
        <f t="shared" si="99"/>
        <v>45.043677777777773</v>
      </c>
      <c r="P549" s="81">
        <f t="shared" si="99"/>
        <v>44.833644444444445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3141.8592000000003</v>
      </c>
      <c r="F550" s="78">
        <f t="shared" ref="F550:H553" si="100">AVERAGE(F263,F267)</f>
        <v>39.422350000000002</v>
      </c>
      <c r="G550" s="78">
        <f t="shared" si="100"/>
        <v>46.670200000000001</v>
      </c>
      <c r="H550" s="78">
        <f t="shared" si="100"/>
        <v>45.3748</v>
      </c>
      <c r="I550" s="79"/>
      <c r="J550" s="79"/>
      <c r="K550" s="80"/>
      <c r="L550" s="29"/>
      <c r="M550" s="82">
        <f>M263+M267</f>
        <v>3141.7256000000002</v>
      </c>
      <c r="N550" s="78">
        <f t="shared" ref="N550:P553" si="101">AVERAGE(N263,N267)</f>
        <v>39.42295</v>
      </c>
      <c r="O550" s="78">
        <f t="shared" si="101"/>
        <v>46.675399999999996</v>
      </c>
      <c r="P550" s="78">
        <f t="shared" si="101"/>
        <v>45.381900000000002</v>
      </c>
      <c r="Q550" s="79"/>
      <c r="R550" s="79"/>
      <c r="S550" s="80"/>
      <c r="U550" s="8">
        <f>bdrate($E550:$E553,F550:F553,$M550:$M553,N550:N553)</f>
        <v>-1.1738101019231895E-4</v>
      </c>
      <c r="V550" s="9">
        <f>bdrate($E550:$E553,G550:G553,$M550:$M553,O550:O553)</f>
        <v>-7.0567570649493483E-4</v>
      </c>
      <c r="W550" s="10">
        <f>bdrate($E550:$E553,H550:H553,$M550:$M553,P550:P553)</f>
        <v>-7.3429490600540603E-4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1151.9272000000001</v>
      </c>
      <c r="F551" s="70">
        <f t="shared" si="100"/>
        <v>37.518149999999999</v>
      </c>
      <c r="G551" s="70">
        <f t="shared" si="100"/>
        <v>45.238299999999995</v>
      </c>
      <c r="H551" s="70">
        <f t="shared" si="100"/>
        <v>43.826549999999997</v>
      </c>
      <c r="I551" s="66"/>
      <c r="J551" s="66"/>
      <c r="K551" s="67"/>
      <c r="L551" s="29"/>
      <c r="M551" s="83">
        <f>M264+M268</f>
        <v>1151.8607999999999</v>
      </c>
      <c r="N551" s="70">
        <f t="shared" si="101"/>
        <v>37.518149999999999</v>
      </c>
      <c r="O551" s="70">
        <f t="shared" si="101"/>
        <v>45.240200000000002</v>
      </c>
      <c r="P551" s="70">
        <f t="shared" si="101"/>
        <v>43.829099999999997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537.11040000000003</v>
      </c>
      <c r="F552" s="70">
        <f t="shared" si="100"/>
        <v>35.561199999999999</v>
      </c>
      <c r="G552" s="70">
        <f t="shared" si="100"/>
        <v>43.616050000000001</v>
      </c>
      <c r="H552" s="70">
        <f t="shared" si="100"/>
        <v>42.323099999999997</v>
      </c>
      <c r="I552" s="66"/>
      <c r="J552" s="66"/>
      <c r="K552" s="67"/>
      <c r="L552" s="29"/>
      <c r="M552" s="83">
        <f>M265+M269</f>
        <v>537.20799999999997</v>
      </c>
      <c r="N552" s="70">
        <f t="shared" si="101"/>
        <v>35.562100000000001</v>
      </c>
      <c r="O552" s="70">
        <f t="shared" si="101"/>
        <v>43.614699999999999</v>
      </c>
      <c r="P552" s="70">
        <f t="shared" si="101"/>
        <v>42.320599999999999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275.084</v>
      </c>
      <c r="F553" s="81">
        <f t="shared" si="100"/>
        <v>33.515100000000004</v>
      </c>
      <c r="G553" s="81">
        <f t="shared" si="100"/>
        <v>42.40325</v>
      </c>
      <c r="H553" s="81">
        <f t="shared" si="100"/>
        <v>41.245150000000002</v>
      </c>
      <c r="I553" s="68"/>
      <c r="J553" s="68"/>
      <c r="K553" s="69"/>
      <c r="L553" s="29"/>
      <c r="M553" s="84">
        <f>M266+M270</f>
        <v>275.01760000000002</v>
      </c>
      <c r="N553" s="81">
        <f t="shared" si="101"/>
        <v>33.514150000000001</v>
      </c>
      <c r="O553" s="81">
        <f t="shared" si="101"/>
        <v>42.403300000000002</v>
      </c>
      <c r="P553" s="81">
        <f t="shared" si="101"/>
        <v>41.242900000000006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3832.8344000000002</v>
      </c>
      <c r="F554" s="78">
        <f t="shared" ref="F554:H557" si="102">AVERAGE(F263,F267,F271)</f>
        <v>39.252733333333332</v>
      </c>
      <c r="G554" s="78">
        <f t="shared" si="102"/>
        <v>46.58603333333334</v>
      </c>
      <c r="H554" s="78">
        <f t="shared" si="102"/>
        <v>45.625366666666672</v>
      </c>
      <c r="I554" s="79"/>
      <c r="J554" s="79"/>
      <c r="K554" s="80"/>
      <c r="L554" s="29"/>
      <c r="M554" s="78">
        <f>M263+M267+M271</f>
        <v>3832.3176000000003</v>
      </c>
      <c r="N554" s="78">
        <f t="shared" ref="N554:P557" si="103">AVERAGE(N263,N267,N271)</f>
        <v>39.252933333333338</v>
      </c>
      <c r="O554" s="78">
        <f t="shared" si="103"/>
        <v>46.594166666666666</v>
      </c>
      <c r="P554" s="78">
        <f t="shared" si="103"/>
        <v>45.632333333333328</v>
      </c>
      <c r="Q554" s="79"/>
      <c r="R554" s="79"/>
      <c r="S554" s="80"/>
      <c r="U554" s="8">
        <f>bdrate($E554:$E557,F554:F557,$M554:$M557,N554:N557)</f>
        <v>9.5553950594906567E-5</v>
      </c>
      <c r="V554" s="9">
        <f>bdrate($E554:$E557,G554:G557,$M554:$M557,O554:O557)</f>
        <v>-9.3040331017768541E-4</v>
      </c>
      <c r="W554" s="10">
        <f>bdrate($E554:$E557,H554:H557,$M554:$M557,P554:P557)</f>
        <v>-1.4444449077043453E-3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1344.5392000000002</v>
      </c>
      <c r="F555" s="70">
        <f t="shared" si="102"/>
        <v>37.328266666666671</v>
      </c>
      <c r="G555" s="70">
        <f t="shared" si="102"/>
        <v>45.153233333333333</v>
      </c>
      <c r="H555" s="70">
        <f t="shared" si="102"/>
        <v>44.122299999999996</v>
      </c>
      <c r="I555" s="66"/>
      <c r="J555" s="66"/>
      <c r="K555" s="67"/>
      <c r="L555" s="29"/>
      <c r="M555" s="70">
        <f>M264+M268+M272</f>
        <v>1345.0031999999999</v>
      </c>
      <c r="N555" s="70">
        <f t="shared" si="103"/>
        <v>37.328600000000002</v>
      </c>
      <c r="O555" s="70">
        <f t="shared" si="103"/>
        <v>45.155700000000003</v>
      </c>
      <c r="P555" s="70">
        <f t="shared" si="103"/>
        <v>44.123799999999996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611.00080000000003</v>
      </c>
      <c r="F556" s="70">
        <f t="shared" si="102"/>
        <v>35.365900000000003</v>
      </c>
      <c r="G556" s="70">
        <f t="shared" si="102"/>
        <v>43.571133333333336</v>
      </c>
      <c r="H556" s="70">
        <f t="shared" si="102"/>
        <v>42.588366666666666</v>
      </c>
      <c r="I556" s="66"/>
      <c r="J556" s="66"/>
      <c r="K556" s="67"/>
      <c r="L556" s="29"/>
      <c r="M556" s="70">
        <f>M265+M269+M273</f>
        <v>611.10879999999997</v>
      </c>
      <c r="N556" s="70">
        <f t="shared" si="103"/>
        <v>35.365700000000004</v>
      </c>
      <c r="O556" s="70">
        <f t="shared" si="103"/>
        <v>43.568800000000003</v>
      </c>
      <c r="P556" s="70">
        <f t="shared" si="103"/>
        <v>42.590699999999998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306.46559999999999</v>
      </c>
      <c r="F557" s="81">
        <f t="shared" si="102"/>
        <v>33.326566666666672</v>
      </c>
      <c r="G557" s="81">
        <f t="shared" si="102"/>
        <v>42.371333333333332</v>
      </c>
      <c r="H557" s="81">
        <f t="shared" si="102"/>
        <v>41.469100000000005</v>
      </c>
      <c r="I557" s="68"/>
      <c r="J557" s="68"/>
      <c r="K557" s="69"/>
      <c r="L557" s="29"/>
      <c r="M557" s="81">
        <f>M266+M270+M274</f>
        <v>306.22800000000001</v>
      </c>
      <c r="N557" s="81">
        <f t="shared" si="103"/>
        <v>33.324999999999996</v>
      </c>
      <c r="O557" s="81">
        <f t="shared" si="103"/>
        <v>42.37166666666667</v>
      </c>
      <c r="P557" s="81">
        <f t="shared" si="103"/>
        <v>41.469166666666673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3406.1392000000005</v>
      </c>
      <c r="F558" s="78">
        <f t="shared" ref="F558:H561" si="104">AVERAGE(F287,F291,F295)</f>
        <v>40.441833333333335</v>
      </c>
      <c r="G558" s="78">
        <f t="shared" si="104"/>
        <v>47.175833333333337</v>
      </c>
      <c r="H558" s="78">
        <f t="shared" si="104"/>
        <v>46.681199999999997</v>
      </c>
      <c r="I558" s="79"/>
      <c r="J558" s="79"/>
      <c r="K558" s="80"/>
      <c r="L558" s="29"/>
      <c r="M558" s="78">
        <f>M263+M267+M275+M279</f>
        <v>3406.7592</v>
      </c>
      <c r="N558" s="78">
        <f t="shared" ref="N558:P561" si="105">AVERAGE(N287,N291,N295)</f>
        <v>40.442433333333334</v>
      </c>
      <c r="O558" s="78">
        <f t="shared" si="105"/>
        <v>47.189566666666657</v>
      </c>
      <c r="P558" s="78">
        <f t="shared" si="105"/>
        <v>46.665199999999999</v>
      </c>
      <c r="Q558" s="79"/>
      <c r="R558" s="79"/>
      <c r="S558" s="80"/>
      <c r="U558" s="8">
        <f>bdrate($E558:$E561,F558:F561,$M558:$M561,N558:N561)</f>
        <v>-4.7919702717180712E-4</v>
      </c>
      <c r="V558" s="9">
        <f>bdrate($E558:$E561,G558:G561,$M558:$M561,O558:O561)</f>
        <v>4.7277408441475099E-3</v>
      </c>
      <c r="W558" s="10">
        <f>bdrate($E558:$E561,H558:H561,$M558:$M561,P558:P561)</f>
        <v>8.5894601760583278E-4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1226.0872000000002</v>
      </c>
      <c r="F559" s="70">
        <f t="shared" si="104"/>
        <v>38.250933333333329</v>
      </c>
      <c r="G559" s="70">
        <f t="shared" si="104"/>
        <v>45.612633333333328</v>
      </c>
      <c r="H559" s="70">
        <f t="shared" si="104"/>
        <v>45.022933333333334</v>
      </c>
      <c r="I559" s="66"/>
      <c r="J559" s="66"/>
      <c r="K559" s="67"/>
      <c r="L559" s="29"/>
      <c r="M559" s="70">
        <f>M264+M268+M276+M280</f>
        <v>1225.9183999999998</v>
      </c>
      <c r="N559" s="70">
        <f t="shared" si="105"/>
        <v>38.251233333333332</v>
      </c>
      <c r="O559" s="70">
        <f t="shared" si="105"/>
        <v>45.602733333333333</v>
      </c>
      <c r="P559" s="70">
        <f t="shared" si="105"/>
        <v>45.017333333333333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567.02720000000011</v>
      </c>
      <c r="F560" s="70">
        <f t="shared" si="104"/>
        <v>36.124533333333339</v>
      </c>
      <c r="G560" s="70">
        <f t="shared" si="104"/>
        <v>43.969866666666668</v>
      </c>
      <c r="H560" s="70">
        <f t="shared" si="104"/>
        <v>43.437666666666672</v>
      </c>
      <c r="I560" s="66"/>
      <c r="J560" s="66"/>
      <c r="K560" s="67"/>
      <c r="L560" s="29"/>
      <c r="M560" s="70">
        <f>M265+M269+M277+M281</f>
        <v>566.93919999999991</v>
      </c>
      <c r="N560" s="70">
        <f t="shared" si="105"/>
        <v>36.12716666666666</v>
      </c>
      <c r="O560" s="70">
        <f t="shared" si="105"/>
        <v>43.947233333333337</v>
      </c>
      <c r="P560" s="70">
        <f t="shared" si="105"/>
        <v>43.448266666666662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289.58319999999998</v>
      </c>
      <c r="F561" s="81">
        <f t="shared" si="104"/>
        <v>33.947833333333335</v>
      </c>
      <c r="G561" s="81">
        <f t="shared" si="104"/>
        <v>42.6967</v>
      </c>
      <c r="H561" s="81">
        <f t="shared" si="104"/>
        <v>42.301266666666663</v>
      </c>
      <c r="I561" s="68"/>
      <c r="J561" s="68"/>
      <c r="K561" s="69"/>
      <c r="L561" s="29"/>
      <c r="M561" s="81">
        <f>M266+M270+M278+M282</f>
        <v>289.52960000000002</v>
      </c>
      <c r="N561" s="81">
        <f t="shared" si="105"/>
        <v>33.946633333333331</v>
      </c>
      <c r="O561" s="81">
        <f t="shared" si="105"/>
        <v>42.696300000000001</v>
      </c>
      <c r="P561" s="81">
        <f t="shared" si="105"/>
        <v>42.302100000000003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4219.3263999999999</v>
      </c>
      <c r="F562" s="78">
        <f t="shared" ref="F562:H565" si="106">AVERAGE(F287,F291,F295,F299,F303,F307)</f>
        <v>40.400783333333337</v>
      </c>
      <c r="G562" s="78">
        <f t="shared" si="106"/>
        <v>47.046583333333331</v>
      </c>
      <c r="H562" s="78">
        <f t="shared" si="106"/>
        <v>46.709466666666664</v>
      </c>
      <c r="I562" s="79"/>
      <c r="J562" s="79"/>
      <c r="K562" s="80"/>
      <c r="L562" s="29"/>
      <c r="M562" s="78">
        <f>M311</f>
        <v>4219.5888000000004</v>
      </c>
      <c r="N562" s="78">
        <f t="shared" ref="N562:P565" si="107">AVERAGE(N287,N291,N295,N299,N303,N307)</f>
        <v>40.401383333333335</v>
      </c>
      <c r="O562" s="78">
        <f t="shared" si="107"/>
        <v>47.053249999999998</v>
      </c>
      <c r="P562" s="78">
        <f t="shared" si="107"/>
        <v>46.703733333333332</v>
      </c>
      <c r="Q562" s="79"/>
      <c r="R562" s="79"/>
      <c r="S562" s="80"/>
      <c r="U562" s="8">
        <f>bdrate($E562:$E565,F562:F565,$M562:$M565,N562:N565)</f>
        <v>-5.4405896025233602E-5</v>
      </c>
      <c r="V562" s="9">
        <f>bdrate($E562:$E565,G562:G565,$M562:$M565,O562:O565)</f>
        <v>3.2171968447627375E-3</v>
      </c>
      <c r="W562" s="10">
        <f>bdrate($E562:$E565,H562:H565,$M562:$M565,P562:P565)</f>
        <v>-9.2264109486994705E-4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1451.7544</v>
      </c>
      <c r="F563" s="70">
        <f t="shared" si="106"/>
        <v>38.187400000000004</v>
      </c>
      <c r="G563" s="70">
        <f t="shared" si="106"/>
        <v>45.533749999999998</v>
      </c>
      <c r="H563" s="70">
        <f t="shared" si="106"/>
        <v>45.08893333333333</v>
      </c>
      <c r="I563" s="66"/>
      <c r="J563" s="66"/>
      <c r="K563" s="67"/>
      <c r="L563" s="29"/>
      <c r="M563" s="70">
        <f>M312</f>
        <v>1452.116</v>
      </c>
      <c r="N563" s="70">
        <f t="shared" si="107"/>
        <v>38.187583333333329</v>
      </c>
      <c r="O563" s="70">
        <f t="shared" si="107"/>
        <v>45.529266666666672</v>
      </c>
      <c r="P563" s="70">
        <f t="shared" si="107"/>
        <v>45.08508333333333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656.03520000000003</v>
      </c>
      <c r="F564" s="70">
        <f t="shared" si="106"/>
        <v>36.050433333333338</v>
      </c>
      <c r="G564" s="70">
        <f t="shared" si="106"/>
        <v>43.854283333333342</v>
      </c>
      <c r="H564" s="70">
        <f t="shared" si="106"/>
        <v>43.412299999999995</v>
      </c>
      <c r="I564" s="66"/>
      <c r="J564" s="66"/>
      <c r="K564" s="67"/>
      <c r="L564" s="29"/>
      <c r="M564" s="70">
        <f>M313</f>
        <v>656.01199999999994</v>
      </c>
      <c r="N564" s="70">
        <f t="shared" si="107"/>
        <v>36.05128333333333</v>
      </c>
      <c r="O564" s="70">
        <f t="shared" si="107"/>
        <v>43.8384</v>
      </c>
      <c r="P564" s="70">
        <f t="shared" si="107"/>
        <v>43.423233333333336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330.56079999999997</v>
      </c>
      <c r="F565" s="81">
        <f t="shared" si="106"/>
        <v>33.867033333333332</v>
      </c>
      <c r="G565" s="81">
        <f t="shared" si="106"/>
        <v>42.576533333333337</v>
      </c>
      <c r="H565" s="81">
        <f t="shared" si="106"/>
        <v>42.189449999999994</v>
      </c>
      <c r="I565" s="68"/>
      <c r="J565" s="68"/>
      <c r="K565" s="69"/>
      <c r="L565" s="29"/>
      <c r="M565" s="81">
        <f>M314</f>
        <v>330.43360000000001</v>
      </c>
      <c r="N565" s="81">
        <f t="shared" si="107"/>
        <v>33.864716666666673</v>
      </c>
      <c r="O565" s="81">
        <f t="shared" si="107"/>
        <v>42.576983333333338</v>
      </c>
      <c r="P565" s="81">
        <f t="shared" si="107"/>
        <v>42.199033333333325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3406.1392000000005</v>
      </c>
      <c r="F566" s="78">
        <f t="shared" ref="F566:H569" si="109">AVERAGE(F263,F267,F287,F291,F295)</f>
        <v>40.034039999999997</v>
      </c>
      <c r="G566" s="78">
        <f t="shared" si="109"/>
        <v>46.973579999999998</v>
      </c>
      <c r="H566" s="78">
        <f t="shared" si="109"/>
        <v>46.158639999999998</v>
      </c>
      <c r="I566" s="79"/>
      <c r="J566" s="79"/>
      <c r="K566" s="80"/>
      <c r="L566" s="29"/>
      <c r="M566" s="78">
        <f t="shared" ref="M566:M573" si="110">M558</f>
        <v>3406.7592</v>
      </c>
      <c r="N566" s="78">
        <f t="shared" ref="N566:P569" si="111">AVERAGE(N263,N267,N287,N291,N295)</f>
        <v>40.034640000000003</v>
      </c>
      <c r="O566" s="78">
        <f t="shared" si="111"/>
        <v>46.983899999999991</v>
      </c>
      <c r="P566" s="78">
        <f t="shared" si="111"/>
        <v>46.151879999999998</v>
      </c>
      <c r="Q566" s="79"/>
      <c r="R566" s="79"/>
      <c r="S566" s="80"/>
      <c r="U566" s="8">
        <f>bdrate($E566:$E569,F566:F569,$M566:$M569,N566:N569)</f>
        <v>-3.9080679607983448E-4</v>
      </c>
      <c r="V566" s="9">
        <f>bdrate($E566:$E569,G566:G569,$M566:$M569,O566:O569)</f>
        <v>2.5527822544677559E-3</v>
      </c>
      <c r="W566" s="10">
        <f>bdrate($E566:$E569,H566:H569,$M566:$M569,P566:P569)</f>
        <v>1.9786493920603831E-4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1226.0872000000002</v>
      </c>
      <c r="F567" s="70">
        <f t="shared" si="109"/>
        <v>37.957820000000005</v>
      </c>
      <c r="G567" s="70">
        <f t="shared" si="109"/>
        <v>45.462899999999998</v>
      </c>
      <c r="H567" s="70">
        <f t="shared" si="109"/>
        <v>44.544380000000004</v>
      </c>
      <c r="I567" s="66"/>
      <c r="J567" s="66"/>
      <c r="K567" s="67"/>
      <c r="L567" s="29"/>
      <c r="M567" s="70">
        <f t="shared" si="110"/>
        <v>1225.9183999999998</v>
      </c>
      <c r="N567" s="70">
        <f t="shared" si="111"/>
        <v>37.958000000000006</v>
      </c>
      <c r="O567" s="70">
        <f t="shared" si="111"/>
        <v>45.457720000000002</v>
      </c>
      <c r="P567" s="70">
        <f t="shared" si="111"/>
        <v>44.54204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567.02720000000011</v>
      </c>
      <c r="F568" s="70">
        <f t="shared" si="109"/>
        <v>35.8992</v>
      </c>
      <c r="G568" s="70">
        <f t="shared" si="109"/>
        <v>43.828339999999997</v>
      </c>
      <c r="H568" s="70">
        <f t="shared" si="109"/>
        <v>42.991839999999996</v>
      </c>
      <c r="I568" s="66"/>
      <c r="J568" s="66"/>
      <c r="K568" s="67"/>
      <c r="L568" s="29"/>
      <c r="M568" s="70">
        <f t="shared" si="110"/>
        <v>566.93919999999991</v>
      </c>
      <c r="N568" s="70">
        <f t="shared" si="111"/>
        <v>35.901139999999998</v>
      </c>
      <c r="O568" s="70">
        <f t="shared" si="111"/>
        <v>43.814219999999992</v>
      </c>
      <c r="P568" s="70">
        <f t="shared" si="111"/>
        <v>42.997199999999999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289.58319999999998</v>
      </c>
      <c r="F569" s="81">
        <f t="shared" si="109"/>
        <v>33.774740000000001</v>
      </c>
      <c r="G569" s="81">
        <f t="shared" si="109"/>
        <v>42.579320000000003</v>
      </c>
      <c r="H569" s="81">
        <f t="shared" si="109"/>
        <v>41.878819999999997</v>
      </c>
      <c r="I569" s="68"/>
      <c r="J569" s="68"/>
      <c r="K569" s="69"/>
      <c r="L569" s="29"/>
      <c r="M569" s="81">
        <f t="shared" si="110"/>
        <v>289.52960000000002</v>
      </c>
      <c r="N569" s="81">
        <f t="shared" si="111"/>
        <v>33.77364</v>
      </c>
      <c r="O569" s="81">
        <f t="shared" si="111"/>
        <v>42.579099999999997</v>
      </c>
      <c r="P569" s="81">
        <f t="shared" si="111"/>
        <v>41.878419999999998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4219.3263999999999</v>
      </c>
      <c r="F570" s="78">
        <f t="shared" ref="F570:H573" si="112">AVERAGE(F263,F267,F271,F287,F291,F295,F299,F303,F307)</f>
        <v>40.01809999999999</v>
      </c>
      <c r="G570" s="78">
        <f t="shared" si="112"/>
        <v>46.89306666666667</v>
      </c>
      <c r="H570" s="78">
        <f t="shared" si="112"/>
        <v>46.348100000000002</v>
      </c>
      <c r="I570" s="79"/>
      <c r="J570" s="79"/>
      <c r="K570" s="80"/>
      <c r="L570" s="29"/>
      <c r="M570" s="78">
        <f t="shared" si="110"/>
        <v>4219.5888000000004</v>
      </c>
      <c r="N570" s="78">
        <f t="shared" ref="N570:P573" si="113">AVERAGE(N263,N267,N271,N287,N291,N295,N299,N303,N307)</f>
        <v>40.018566666666665</v>
      </c>
      <c r="O570" s="78">
        <f t="shared" si="113"/>
        <v>46.900222222222226</v>
      </c>
      <c r="P570" s="78">
        <f t="shared" si="113"/>
        <v>46.346599999999995</v>
      </c>
      <c r="Q570" s="79"/>
      <c r="R570" s="79"/>
      <c r="S570" s="80"/>
      <c r="U570" s="8">
        <f>bdrate($E570:$E573,F570:F573,$M570:$M573,N570:N573)</f>
        <v>-2.1802266537140902E-5</v>
      </c>
      <c r="V570" s="9">
        <f>bdrate($E570:$E573,G570:G573,$M570:$M573,O570:O573)</f>
        <v>1.8608622250644302E-3</v>
      </c>
      <c r="W570" s="10">
        <f>bdrate($E570:$E573,H570:H573,$M570:$M573,P570:P573)</f>
        <v>-1.1103889236103726E-3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1451.7544</v>
      </c>
      <c r="F571" s="70">
        <f t="shared" si="112"/>
        <v>37.901022222222224</v>
      </c>
      <c r="G571" s="70">
        <f t="shared" si="112"/>
        <v>45.406911111111114</v>
      </c>
      <c r="H571" s="70">
        <f t="shared" si="112"/>
        <v>44.766722222222228</v>
      </c>
      <c r="I571" s="66"/>
      <c r="J571" s="66"/>
      <c r="K571" s="67"/>
      <c r="L571" s="29"/>
      <c r="M571" s="70">
        <f t="shared" si="110"/>
        <v>1452.116</v>
      </c>
      <c r="N571" s="70">
        <f t="shared" si="113"/>
        <v>37.901255555555558</v>
      </c>
      <c r="O571" s="70">
        <f t="shared" si="113"/>
        <v>45.404744444444447</v>
      </c>
      <c r="P571" s="70">
        <f t="shared" si="113"/>
        <v>44.764655555555557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656.03520000000003</v>
      </c>
      <c r="F572" s="70">
        <f t="shared" si="112"/>
        <v>35.822255555555557</v>
      </c>
      <c r="G572" s="70">
        <f t="shared" si="112"/>
        <v>43.759900000000009</v>
      </c>
      <c r="H572" s="70">
        <f t="shared" si="112"/>
        <v>43.137655555555547</v>
      </c>
      <c r="I572" s="66"/>
      <c r="J572" s="66"/>
      <c r="K572" s="67"/>
      <c r="L572" s="29"/>
      <c r="M572" s="70">
        <f t="shared" si="110"/>
        <v>656.01199999999994</v>
      </c>
      <c r="N572" s="70">
        <f t="shared" si="113"/>
        <v>35.82275555555556</v>
      </c>
      <c r="O572" s="70">
        <f t="shared" si="113"/>
        <v>43.748533333333334</v>
      </c>
      <c r="P572" s="70">
        <f t="shared" si="113"/>
        <v>43.145722222222226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330.56079999999997</v>
      </c>
      <c r="F573" s="81">
        <f t="shared" si="112"/>
        <v>33.686877777777781</v>
      </c>
      <c r="G573" s="81">
        <f t="shared" si="112"/>
        <v>42.50813333333334</v>
      </c>
      <c r="H573" s="81">
        <f t="shared" si="112"/>
        <v>41.949333333333328</v>
      </c>
      <c r="I573" s="68"/>
      <c r="J573" s="68"/>
      <c r="K573" s="69"/>
      <c r="L573" s="29"/>
      <c r="M573" s="81">
        <f t="shared" si="110"/>
        <v>330.43360000000001</v>
      </c>
      <c r="N573" s="81">
        <f t="shared" si="113"/>
        <v>33.684811111111109</v>
      </c>
      <c r="O573" s="81">
        <f t="shared" si="113"/>
        <v>42.508544444444439</v>
      </c>
      <c r="P573" s="81">
        <f t="shared" si="113"/>
        <v>41.955744444444441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5537.1592000000001</v>
      </c>
      <c r="F574" s="78">
        <f t="shared" ref="F574:H577" si="114">AVERAGE(F315,F319)</f>
        <v>38.3917</v>
      </c>
      <c r="G574" s="78">
        <f t="shared" si="114"/>
        <v>46.613399999999999</v>
      </c>
      <c r="H574" s="78">
        <f t="shared" si="114"/>
        <v>45.966000000000001</v>
      </c>
      <c r="I574" s="79"/>
      <c r="J574" s="79"/>
      <c r="K574" s="80"/>
      <c r="L574" s="29"/>
      <c r="M574" s="82">
        <f>M315+M319</f>
        <v>5537.8959999999997</v>
      </c>
      <c r="N574" s="78">
        <f t="shared" ref="N574:P577" si="115">AVERAGE(N315,N319)</f>
        <v>38.391599999999997</v>
      </c>
      <c r="O574" s="78">
        <f t="shared" si="115"/>
        <v>46.615399999999994</v>
      </c>
      <c r="P574" s="78">
        <f t="shared" si="115"/>
        <v>45.966149999999999</v>
      </c>
      <c r="Q574" s="79"/>
      <c r="R574" s="79"/>
      <c r="S574" s="80"/>
      <c r="U574" s="8">
        <f>bdrate($E574:$E577,F574:F577,$M574:$M577,N574:N577)</f>
        <v>-1.6353417508652157E-4</v>
      </c>
      <c r="V574" s="9">
        <f>bdrate($E574:$E577,G574:G577,$M574:$M577,O574:O577)</f>
        <v>1.3218410155224625E-4</v>
      </c>
      <c r="W574" s="10">
        <f>bdrate($E574:$E577,H574:H577,$M574:$M577,P574:P577)</f>
        <v>-3.0521072830358431E-4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2325.2512000000002</v>
      </c>
      <c r="F575" s="70">
        <f t="shared" si="114"/>
        <v>35.63165</v>
      </c>
      <c r="G575" s="70">
        <f t="shared" si="114"/>
        <v>45.132850000000005</v>
      </c>
      <c r="H575" s="70">
        <f t="shared" si="114"/>
        <v>44.580600000000004</v>
      </c>
      <c r="I575" s="66"/>
      <c r="J575" s="66"/>
      <c r="K575" s="67"/>
      <c r="L575" s="29"/>
      <c r="M575" s="83">
        <f>M316+M320</f>
        <v>2324.9679999999998</v>
      </c>
      <c r="N575" s="70">
        <f t="shared" si="115"/>
        <v>35.6312</v>
      </c>
      <c r="O575" s="70">
        <f t="shared" si="115"/>
        <v>45.130949999999999</v>
      </c>
      <c r="P575" s="70">
        <f t="shared" si="115"/>
        <v>44.579300000000003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1053.2592</v>
      </c>
      <c r="F576" s="70">
        <f t="shared" si="114"/>
        <v>33.166200000000003</v>
      </c>
      <c r="G576" s="70">
        <f t="shared" si="114"/>
        <v>43.818399999999997</v>
      </c>
      <c r="H576" s="70">
        <f t="shared" si="114"/>
        <v>43.375299999999996</v>
      </c>
      <c r="I576" s="66"/>
      <c r="J576" s="66"/>
      <c r="K576" s="67"/>
      <c r="L576" s="29"/>
      <c r="M576" s="83">
        <f>M317+M321</f>
        <v>1053.0455999999999</v>
      </c>
      <c r="N576" s="70">
        <f t="shared" si="115"/>
        <v>33.167050000000003</v>
      </c>
      <c r="O576" s="70">
        <f t="shared" si="115"/>
        <v>43.818750000000001</v>
      </c>
      <c r="P576" s="70">
        <f t="shared" si="115"/>
        <v>43.376750000000001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488.24080000000004</v>
      </c>
      <c r="F577" s="81">
        <f t="shared" si="114"/>
        <v>30.905349999999999</v>
      </c>
      <c r="G577" s="81">
        <f t="shared" si="114"/>
        <v>43.013249999999999</v>
      </c>
      <c r="H577" s="81">
        <f t="shared" si="114"/>
        <v>42.615400000000001</v>
      </c>
      <c r="I577" s="68"/>
      <c r="J577" s="68"/>
      <c r="K577" s="69"/>
      <c r="L577" s="29"/>
      <c r="M577" s="84">
        <f>M318+M322</f>
        <v>488.03440000000001</v>
      </c>
      <c r="N577" s="81">
        <f t="shared" si="115"/>
        <v>30.904899999999998</v>
      </c>
      <c r="O577" s="81">
        <f t="shared" si="115"/>
        <v>43.013199999999998</v>
      </c>
      <c r="P577" s="81">
        <f t="shared" si="115"/>
        <v>42.6175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6400.0992000000006</v>
      </c>
      <c r="F578" s="78">
        <f t="shared" ref="F578:H581" si="116">AVERAGE(F315,F319,F323)</f>
        <v>38.30916666666667</v>
      </c>
      <c r="G578" s="78">
        <f t="shared" si="116"/>
        <v>46.581133333333334</v>
      </c>
      <c r="H578" s="78">
        <f t="shared" si="116"/>
        <v>45.903099999999995</v>
      </c>
      <c r="I578" s="79"/>
      <c r="J578" s="79"/>
      <c r="K578" s="80"/>
      <c r="L578" s="29"/>
      <c r="M578" s="78">
        <f>M315+M319+M323</f>
        <v>6400.2335999999996</v>
      </c>
      <c r="N578" s="78">
        <f t="shared" ref="N578:P581" si="117">AVERAGE(N315,N319,N323)</f>
        <v>38.309066666666666</v>
      </c>
      <c r="O578" s="78">
        <f t="shared" si="117"/>
        <v>46.582266666666662</v>
      </c>
      <c r="P578" s="78">
        <f t="shared" si="117"/>
        <v>45.90336666666667</v>
      </c>
      <c r="Q578" s="79"/>
      <c r="R578" s="79"/>
      <c r="S578" s="80"/>
      <c r="U578" s="8">
        <f>bdrate($E578:$E581,F578:F581,$M578:$M581,N578:N581)</f>
        <v>-8.7700241165555859E-5</v>
      </c>
      <c r="V578" s="9">
        <f>bdrate($E578:$E581,G578:G581,$M578:$M581,O578:O581)</f>
        <v>7.6360231557881519E-5</v>
      </c>
      <c r="W578" s="10">
        <f>bdrate($E578:$E581,H578:H581,$M578:$M581,P578:P581)</f>
        <v>1.1707811898475917E-4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2628.4512</v>
      </c>
      <c r="F579" s="70">
        <f t="shared" si="116"/>
        <v>35.599466666666665</v>
      </c>
      <c r="G579" s="70">
        <f t="shared" si="116"/>
        <v>45.1036</v>
      </c>
      <c r="H579" s="70">
        <f t="shared" si="116"/>
        <v>44.530866666666668</v>
      </c>
      <c r="I579" s="66"/>
      <c r="J579" s="66"/>
      <c r="K579" s="67"/>
      <c r="L579" s="29"/>
      <c r="M579" s="70">
        <f>M316+M320+M324</f>
        <v>2628.9807999999998</v>
      </c>
      <c r="N579" s="70">
        <f t="shared" si="117"/>
        <v>35.599166666666669</v>
      </c>
      <c r="O579" s="70">
        <f t="shared" si="117"/>
        <v>45.102366666666661</v>
      </c>
      <c r="P579" s="70">
        <f t="shared" si="117"/>
        <v>44.52953333333334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1183.6279999999999</v>
      </c>
      <c r="F580" s="70">
        <f t="shared" si="116"/>
        <v>33.158866666666668</v>
      </c>
      <c r="G580" s="70">
        <f t="shared" si="116"/>
        <v>43.79763333333333</v>
      </c>
      <c r="H580" s="70">
        <f t="shared" si="116"/>
        <v>43.337166666666661</v>
      </c>
      <c r="I580" s="66"/>
      <c r="J580" s="66"/>
      <c r="K580" s="67"/>
      <c r="L580" s="29"/>
      <c r="M580" s="70">
        <f>M317+M321+M325</f>
        <v>1183.192</v>
      </c>
      <c r="N580" s="70">
        <f t="shared" si="117"/>
        <v>33.15956666666667</v>
      </c>
      <c r="O580" s="70">
        <f t="shared" si="117"/>
        <v>43.798733333333331</v>
      </c>
      <c r="P580" s="70">
        <f t="shared" si="117"/>
        <v>43.338266666666669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548.61680000000001</v>
      </c>
      <c r="F581" s="81">
        <f t="shared" si="116"/>
        <v>30.905999999999995</v>
      </c>
      <c r="G581" s="81">
        <f t="shared" si="116"/>
        <v>42.991899999999994</v>
      </c>
      <c r="H581" s="81">
        <f t="shared" si="116"/>
        <v>42.578800000000001</v>
      </c>
      <c r="I581" s="68"/>
      <c r="J581" s="68"/>
      <c r="K581" s="69"/>
      <c r="L581" s="29"/>
      <c r="M581" s="81">
        <f>M318+M322+M326</f>
        <v>548.6576</v>
      </c>
      <c r="N581" s="81">
        <f t="shared" si="117"/>
        <v>30.906433333333336</v>
      </c>
      <c r="O581" s="81">
        <f t="shared" si="117"/>
        <v>42.990766666666666</v>
      </c>
      <c r="P581" s="81">
        <f t="shared" si="117"/>
        <v>42.578600000000002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5842.9536000000007</v>
      </c>
      <c r="F582" s="78">
        <f t="shared" ref="F582:H585" si="118">AVERAGE(F339,F343,F347)</f>
        <v>38.829033333333335</v>
      </c>
      <c r="G582" s="78">
        <f t="shared" si="118"/>
        <v>46.971133333333334</v>
      </c>
      <c r="H582" s="78">
        <f t="shared" si="118"/>
        <v>46.11676666666667</v>
      </c>
      <c r="I582" s="79"/>
      <c r="J582" s="79"/>
      <c r="K582" s="80"/>
      <c r="L582" s="29"/>
      <c r="M582" s="78">
        <f>M315+M319+M327+M331</f>
        <v>5843.2663999999995</v>
      </c>
      <c r="N582" s="78">
        <f t="shared" ref="N582:P585" si="119">AVERAGE(N339,N343,N347)</f>
        <v>38.826900000000002</v>
      </c>
      <c r="O582" s="78">
        <f t="shared" si="119"/>
        <v>46.993733333333331</v>
      </c>
      <c r="P582" s="78">
        <f t="shared" si="119"/>
        <v>46.11493333333334</v>
      </c>
      <c r="Q582" s="79"/>
      <c r="R582" s="79"/>
      <c r="S582" s="80"/>
      <c r="U582" s="8">
        <f>bdrate($E582:$E585,F582:F585,$M582:$M585,N582:N585)</f>
        <v>-8.1596710818976348E-4</v>
      </c>
      <c r="V582" s="9">
        <f>bdrate($E582:$E585,G582:G585,$M582:$M585,O582:O585)</f>
        <v>-1.4860829076297488E-3</v>
      </c>
      <c r="W582" s="10">
        <f>bdrate($E582:$E585,H582:H585,$M582:$M585,P582:P585)</f>
        <v>5.6590646468834827E-4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2457.9367999999999</v>
      </c>
      <c r="F583" s="70">
        <f t="shared" si="118"/>
        <v>35.912199999999991</v>
      </c>
      <c r="G583" s="70">
        <f t="shared" si="118"/>
        <v>45.542133333333332</v>
      </c>
      <c r="H583" s="70">
        <f t="shared" si="118"/>
        <v>44.822699999999998</v>
      </c>
      <c r="I583" s="66"/>
      <c r="J583" s="66"/>
      <c r="K583" s="67"/>
      <c r="L583" s="29"/>
      <c r="M583" s="70">
        <f>M316+M320+M328+M332</f>
        <v>2457.8824</v>
      </c>
      <c r="N583" s="70">
        <f t="shared" si="119"/>
        <v>35.914133333333332</v>
      </c>
      <c r="O583" s="70">
        <f t="shared" si="119"/>
        <v>45.531133333333337</v>
      </c>
      <c r="P583" s="70">
        <f t="shared" si="119"/>
        <v>44.812866666666672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1117.7920000000001</v>
      </c>
      <c r="F584" s="70">
        <f t="shared" si="118"/>
        <v>33.323233333333327</v>
      </c>
      <c r="G584" s="70">
        <f t="shared" si="118"/>
        <v>44.208466666666673</v>
      </c>
      <c r="H584" s="70">
        <f t="shared" si="118"/>
        <v>43.698833333333333</v>
      </c>
      <c r="I584" s="66"/>
      <c r="J584" s="66"/>
      <c r="K584" s="67"/>
      <c r="L584" s="29"/>
      <c r="M584" s="70">
        <f>M317+M321+M329+M333</f>
        <v>1117.4823999999999</v>
      </c>
      <c r="N584" s="70">
        <f t="shared" si="119"/>
        <v>33.327766666666662</v>
      </c>
      <c r="O584" s="70">
        <f t="shared" si="119"/>
        <v>44.215633333333336</v>
      </c>
      <c r="P584" s="70">
        <f t="shared" si="119"/>
        <v>43.712366666666668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519.06080000000009</v>
      </c>
      <c r="F585" s="81">
        <f t="shared" si="118"/>
        <v>30.972533333333335</v>
      </c>
      <c r="G585" s="81">
        <f t="shared" si="118"/>
        <v>43.409533333333322</v>
      </c>
      <c r="H585" s="81">
        <f t="shared" si="118"/>
        <v>42.967533333333336</v>
      </c>
      <c r="I585" s="68"/>
      <c r="J585" s="68"/>
      <c r="K585" s="69"/>
      <c r="L585" s="29"/>
      <c r="M585" s="81">
        <f>M318+M322+M330+M334</f>
        <v>518.72800000000007</v>
      </c>
      <c r="N585" s="81">
        <f t="shared" si="119"/>
        <v>30.972966666666668</v>
      </c>
      <c r="O585" s="81">
        <f t="shared" si="119"/>
        <v>43.417033333333336</v>
      </c>
      <c r="P585" s="81">
        <f t="shared" si="119"/>
        <v>42.95793333333333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6803.7824000000001</v>
      </c>
      <c r="F586" s="78">
        <f t="shared" ref="F586:H589" si="120">AVERAGE(F339,F343,F347,F351,F355,F359)</f>
        <v>38.846550000000001</v>
      </c>
      <c r="G586" s="78">
        <f t="shared" si="120"/>
        <v>46.756983333333331</v>
      </c>
      <c r="H586" s="78">
        <f t="shared" si="120"/>
        <v>46.328283333333331</v>
      </c>
      <c r="I586" s="79"/>
      <c r="J586" s="79"/>
      <c r="K586" s="80"/>
      <c r="L586" s="29"/>
      <c r="M586" s="78">
        <f>M363</f>
        <v>6803.5136000000002</v>
      </c>
      <c r="N586" s="78">
        <f t="shared" ref="N586:P589" si="121">AVERAGE(N339,N343,N347,N351,N355,N359)</f>
        <v>38.846333333333327</v>
      </c>
      <c r="O586" s="78">
        <f t="shared" si="121"/>
        <v>46.7515</v>
      </c>
      <c r="P586" s="78">
        <f t="shared" si="121"/>
        <v>46.324866666666672</v>
      </c>
      <c r="Q586" s="79"/>
      <c r="R586" s="79"/>
      <c r="S586" s="80"/>
      <c r="U586" s="8">
        <f>bdrate($E586:$E589,F586:F589,$M586:$M589,N586:N589)</f>
        <v>-3.8732807225105859E-4</v>
      </c>
      <c r="V586" s="9">
        <f>bdrate($E586:$E589,G586:G589,$M586:$M589,O586:O589)</f>
        <v>2.6819813608889298E-3</v>
      </c>
      <c r="W586" s="10">
        <f>bdrate($E586:$E589,H586:H589,$M586:$M589,P586:P589)</f>
        <v>-2.6396699293251835E-4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2804.6464000000001</v>
      </c>
      <c r="F587" s="70">
        <f t="shared" si="120"/>
        <v>35.939583333333331</v>
      </c>
      <c r="G587" s="70">
        <f t="shared" si="120"/>
        <v>45.341999999999992</v>
      </c>
      <c r="H587" s="70">
        <f t="shared" si="120"/>
        <v>44.938099999999999</v>
      </c>
      <c r="I587" s="66"/>
      <c r="J587" s="66"/>
      <c r="K587" s="67"/>
      <c r="L587" s="29"/>
      <c r="M587" s="70">
        <f>M364</f>
        <v>2805.4551999999999</v>
      </c>
      <c r="N587" s="70">
        <f t="shared" si="121"/>
        <v>35.939933333333329</v>
      </c>
      <c r="O587" s="70">
        <f t="shared" si="121"/>
        <v>45.333850000000005</v>
      </c>
      <c r="P587" s="70">
        <f t="shared" si="121"/>
        <v>44.932449999999996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1272.5368000000001</v>
      </c>
      <c r="F588" s="70">
        <f t="shared" si="120"/>
        <v>33.355233333333331</v>
      </c>
      <c r="G588" s="70">
        <f t="shared" si="120"/>
        <v>44.030233333333342</v>
      </c>
      <c r="H588" s="70">
        <f t="shared" si="120"/>
        <v>43.667200000000001</v>
      </c>
      <c r="I588" s="66"/>
      <c r="J588" s="66"/>
      <c r="K588" s="67"/>
      <c r="L588" s="29"/>
      <c r="M588" s="70">
        <f>M365</f>
        <v>1271.8208</v>
      </c>
      <c r="N588" s="70">
        <f t="shared" si="121"/>
        <v>33.357199999999999</v>
      </c>
      <c r="O588" s="70">
        <f t="shared" si="121"/>
        <v>44.031983333333336</v>
      </c>
      <c r="P588" s="70">
        <f t="shared" si="121"/>
        <v>43.674166666666672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594.40800000000002</v>
      </c>
      <c r="F589" s="81">
        <f t="shared" si="120"/>
        <v>30.999383333333338</v>
      </c>
      <c r="G589" s="81">
        <f t="shared" si="120"/>
        <v>43.246900000000004</v>
      </c>
      <c r="H589" s="81">
        <f t="shared" si="120"/>
        <v>42.846299999999992</v>
      </c>
      <c r="I589" s="68"/>
      <c r="J589" s="68"/>
      <c r="K589" s="69"/>
      <c r="L589" s="29"/>
      <c r="M589" s="81">
        <f>M366</f>
        <v>594.37360000000001</v>
      </c>
      <c r="N589" s="81">
        <f t="shared" si="121"/>
        <v>31.000933333333336</v>
      </c>
      <c r="O589" s="81">
        <f t="shared" si="121"/>
        <v>43.243083333333338</v>
      </c>
      <c r="P589" s="81">
        <f t="shared" si="121"/>
        <v>42.852166666666669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5842.9536000000007</v>
      </c>
      <c r="F590" s="78">
        <f t="shared" ref="F590:H593" si="123">AVERAGE(F315,F319,F339,F343,F347)</f>
        <v>38.6541</v>
      </c>
      <c r="G590" s="78">
        <f t="shared" si="123"/>
        <v>46.828040000000001</v>
      </c>
      <c r="H590" s="78">
        <f t="shared" si="123"/>
        <v>46.056460000000001</v>
      </c>
      <c r="I590" s="79"/>
      <c r="J590" s="79"/>
      <c r="K590" s="80"/>
      <c r="L590" s="29"/>
      <c r="M590" s="78">
        <f t="shared" ref="M590:M597" si="124">M582</f>
        <v>5843.2663999999995</v>
      </c>
      <c r="N590" s="78">
        <f t="shared" ref="N590:P593" si="125">AVERAGE(N315,N319,N339,N343,N347)</f>
        <v>38.652779999999993</v>
      </c>
      <c r="O590" s="78">
        <f t="shared" si="125"/>
        <v>46.842399999999998</v>
      </c>
      <c r="P590" s="78">
        <f t="shared" si="125"/>
        <v>46.055420000000005</v>
      </c>
      <c r="Q590" s="79"/>
      <c r="R590" s="79"/>
      <c r="S590" s="80"/>
      <c r="U590" s="8">
        <f>bdrate($E590:$E593,F590:F593,$M590:$M593,N590:N593)</f>
        <v>-5.7042659970396592E-4</v>
      </c>
      <c r="V590" s="9">
        <f>bdrate($E590:$E593,G590:G593,$M590:$M593,O590:O593)</f>
        <v>-8.34069012358718E-4</v>
      </c>
      <c r="W590" s="10">
        <f>bdrate($E590:$E593,H590:H593,$M590:$M593,P590:P593)</f>
        <v>2.0575170332093329E-4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2457.9367999999999</v>
      </c>
      <c r="F591" s="70">
        <f t="shared" si="123"/>
        <v>35.799979999999998</v>
      </c>
      <c r="G591" s="70">
        <f t="shared" si="123"/>
        <v>45.378420000000006</v>
      </c>
      <c r="H591" s="70">
        <f t="shared" si="123"/>
        <v>44.725859999999997</v>
      </c>
      <c r="I591" s="66"/>
      <c r="J591" s="66"/>
      <c r="K591" s="67"/>
      <c r="L591" s="29"/>
      <c r="M591" s="70">
        <f t="shared" si="124"/>
        <v>2457.8824</v>
      </c>
      <c r="N591" s="70">
        <f t="shared" si="125"/>
        <v>35.800960000000003</v>
      </c>
      <c r="O591" s="70">
        <f t="shared" si="125"/>
        <v>45.371060000000007</v>
      </c>
      <c r="P591" s="70">
        <f t="shared" si="125"/>
        <v>44.719439999999999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1117.7920000000001</v>
      </c>
      <c r="F592" s="70">
        <f t="shared" si="123"/>
        <v>33.260419999999996</v>
      </c>
      <c r="G592" s="70">
        <f t="shared" si="123"/>
        <v>44.052440000000004</v>
      </c>
      <c r="H592" s="70">
        <f t="shared" si="123"/>
        <v>43.569419999999994</v>
      </c>
      <c r="I592" s="66"/>
      <c r="J592" s="66"/>
      <c r="K592" s="67"/>
      <c r="L592" s="29"/>
      <c r="M592" s="70">
        <f t="shared" si="124"/>
        <v>1117.4823999999999</v>
      </c>
      <c r="N592" s="70">
        <f t="shared" si="125"/>
        <v>33.263480000000001</v>
      </c>
      <c r="O592" s="70">
        <f t="shared" si="125"/>
        <v>44.05688</v>
      </c>
      <c r="P592" s="70">
        <f t="shared" si="125"/>
        <v>43.578119999999998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519.06080000000009</v>
      </c>
      <c r="F593" s="81">
        <f t="shared" si="123"/>
        <v>30.945659999999997</v>
      </c>
      <c r="G593" s="81">
        <f t="shared" si="123"/>
        <v>43.251020000000004</v>
      </c>
      <c r="H593" s="81">
        <f t="shared" si="123"/>
        <v>42.826679999999996</v>
      </c>
      <c r="I593" s="68"/>
      <c r="J593" s="68"/>
      <c r="K593" s="69"/>
      <c r="L593" s="29"/>
      <c r="M593" s="81">
        <f t="shared" si="124"/>
        <v>518.72800000000007</v>
      </c>
      <c r="N593" s="81">
        <f t="shared" si="125"/>
        <v>30.945739999999994</v>
      </c>
      <c r="O593" s="81">
        <f t="shared" si="125"/>
        <v>43.255499999999998</v>
      </c>
      <c r="P593" s="81">
        <f t="shared" si="125"/>
        <v>42.821759999999998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6803.7824000000001</v>
      </c>
      <c r="F594" s="78">
        <f t="shared" ref="F594:H597" si="126">AVERAGE(F315,F319,F323,F339,F343,F347,F351,F355,F359)</f>
        <v>38.667422222222228</v>
      </c>
      <c r="G594" s="78">
        <f t="shared" si="126"/>
        <v>46.698366666666665</v>
      </c>
      <c r="H594" s="78">
        <f t="shared" si="126"/>
        <v>46.18655555555555</v>
      </c>
      <c r="I594" s="79"/>
      <c r="J594" s="79"/>
      <c r="K594" s="80"/>
      <c r="L594" s="29"/>
      <c r="M594" s="78">
        <f t="shared" si="124"/>
        <v>6803.5136000000002</v>
      </c>
      <c r="N594" s="78">
        <f t="shared" ref="N594:P597" si="127">AVERAGE(N315,N319,N323,N339,N343,N347,N351,N355,N359)</f>
        <v>38.667244444444442</v>
      </c>
      <c r="O594" s="78">
        <f t="shared" si="127"/>
        <v>46.69508888888889</v>
      </c>
      <c r="P594" s="78">
        <f t="shared" si="127"/>
        <v>46.184366666666676</v>
      </c>
      <c r="Q594" s="79"/>
      <c r="R594" s="79"/>
      <c r="S594" s="80"/>
      <c r="U594" s="8">
        <f>bdrate($E594:$E597,F594:F597,$M594:$M597,N594:N597)</f>
        <v>-3.0878826666969061E-4</v>
      </c>
      <c r="V594" s="9">
        <f>bdrate($E594:$E597,G594:G597,$M594:$M597,O594:O597)</f>
        <v>1.790055648795974E-3</v>
      </c>
      <c r="W594" s="10">
        <f>bdrate($E594:$E597,H594:H597,$M594:$M597,P594:P597)</f>
        <v>-1.4928490868137967E-4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2804.6464000000001</v>
      </c>
      <c r="F595" s="70">
        <f t="shared" si="126"/>
        <v>35.826211111111114</v>
      </c>
      <c r="G595" s="70">
        <f t="shared" si="126"/>
        <v>45.26253333333333</v>
      </c>
      <c r="H595" s="70">
        <f t="shared" si="126"/>
        <v>44.802355555555557</v>
      </c>
      <c r="I595" s="66"/>
      <c r="J595" s="66"/>
      <c r="K595" s="67"/>
      <c r="L595" s="29"/>
      <c r="M595" s="70">
        <f t="shared" si="124"/>
        <v>2805.4551999999999</v>
      </c>
      <c r="N595" s="70">
        <f t="shared" si="127"/>
        <v>35.826344444444445</v>
      </c>
      <c r="O595" s="70">
        <f t="shared" si="127"/>
        <v>45.256688888888888</v>
      </c>
      <c r="P595" s="70">
        <f t="shared" si="127"/>
        <v>44.798144444444446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1272.5368000000001</v>
      </c>
      <c r="F596" s="70">
        <f t="shared" si="126"/>
        <v>33.289777777777779</v>
      </c>
      <c r="G596" s="70">
        <f t="shared" si="126"/>
        <v>43.952700000000007</v>
      </c>
      <c r="H596" s="70">
        <f t="shared" si="126"/>
        <v>43.557188888888888</v>
      </c>
      <c r="I596" s="66"/>
      <c r="J596" s="66"/>
      <c r="K596" s="67"/>
      <c r="L596" s="29"/>
      <c r="M596" s="70">
        <f t="shared" si="124"/>
        <v>1271.8208</v>
      </c>
      <c r="N596" s="70">
        <f t="shared" si="127"/>
        <v>33.291322222222227</v>
      </c>
      <c r="O596" s="70">
        <f t="shared" si="127"/>
        <v>43.954233333333327</v>
      </c>
      <c r="P596" s="70">
        <f t="shared" si="127"/>
        <v>43.562200000000004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594.40800000000002</v>
      </c>
      <c r="F597" s="81">
        <f t="shared" si="126"/>
        <v>30.968255555555555</v>
      </c>
      <c r="G597" s="81">
        <f t="shared" si="126"/>
        <v>43.161900000000003</v>
      </c>
      <c r="H597" s="81">
        <f t="shared" si="126"/>
        <v>42.757133333333321</v>
      </c>
      <c r="I597" s="68"/>
      <c r="J597" s="68"/>
      <c r="K597" s="69"/>
      <c r="L597" s="29"/>
      <c r="M597" s="81">
        <f t="shared" si="124"/>
        <v>594.37360000000001</v>
      </c>
      <c r="N597" s="81">
        <f t="shared" si="127"/>
        <v>30.969433333333331</v>
      </c>
      <c r="O597" s="81">
        <f t="shared" si="127"/>
        <v>43.158977777777771</v>
      </c>
      <c r="P597" s="81">
        <f t="shared" si="127"/>
        <v>42.760977777777782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4701.0815999999995</v>
      </c>
      <c r="F598" s="78">
        <f t="shared" ref="F598:H601" si="128">AVERAGE(F367,F371)</f>
        <v>41.203699999999998</v>
      </c>
      <c r="G598" s="78">
        <f t="shared" si="128"/>
        <v>46.552700000000002</v>
      </c>
      <c r="H598" s="78">
        <f t="shared" si="128"/>
        <v>45.921399999999998</v>
      </c>
      <c r="I598" s="79"/>
      <c r="J598" s="79"/>
      <c r="K598" s="80"/>
      <c r="L598" s="29"/>
      <c r="M598" s="78">
        <f>M367+M371</f>
        <v>4701.4399999999996</v>
      </c>
      <c r="N598" s="78">
        <f t="shared" ref="N598:P601" si="129">AVERAGE(N367,N371)</f>
        <v>41.203850000000003</v>
      </c>
      <c r="O598" s="78">
        <f t="shared" si="129"/>
        <v>46.552350000000004</v>
      </c>
      <c r="P598" s="78">
        <f t="shared" si="129"/>
        <v>45.921750000000003</v>
      </c>
      <c r="Q598" s="79"/>
      <c r="R598" s="79"/>
      <c r="S598" s="80"/>
      <c r="U598" s="8">
        <f>bdrate($E598:$E601,F598:F601,$M598:$M601,N598:N601)</f>
        <v>-1.285077956267866E-4</v>
      </c>
      <c r="V598" s="9">
        <f>bdrate($E598:$E601,G598:G601,$M598:$M601,O598:O601)</f>
        <v>4.2326200306841422E-4</v>
      </c>
      <c r="W598" s="10">
        <f>bdrate($E598:$E601,H598:H601,$M598:$M601,P598:P601)</f>
        <v>-7.0551137848584577E-4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2320.6808000000001</v>
      </c>
      <c r="F599" s="70">
        <f t="shared" si="128"/>
        <v>38.286000000000001</v>
      </c>
      <c r="G599" s="70">
        <f t="shared" si="128"/>
        <v>44.873750000000001</v>
      </c>
      <c r="H599" s="70">
        <f t="shared" si="128"/>
        <v>44.024950000000004</v>
      </c>
      <c r="I599" s="66"/>
      <c r="J599" s="66"/>
      <c r="K599" s="67"/>
      <c r="L599" s="29"/>
      <c r="M599" s="70">
        <f>M368+M372</f>
        <v>2320.6848</v>
      </c>
      <c r="N599" s="70">
        <f t="shared" si="129"/>
        <v>38.286299999999997</v>
      </c>
      <c r="O599" s="70">
        <f t="shared" si="129"/>
        <v>44.873049999999999</v>
      </c>
      <c r="P599" s="70">
        <f t="shared" si="129"/>
        <v>44.026650000000004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1137.3824</v>
      </c>
      <c r="F600" s="70">
        <f t="shared" si="128"/>
        <v>35.527999999999999</v>
      </c>
      <c r="G600" s="70">
        <f t="shared" si="128"/>
        <v>43.259450000000001</v>
      </c>
      <c r="H600" s="70">
        <f t="shared" si="128"/>
        <v>42.192</v>
      </c>
      <c r="I600" s="66"/>
      <c r="J600" s="66"/>
      <c r="K600" s="67"/>
      <c r="L600" s="29"/>
      <c r="M600" s="70">
        <f>M369+M373</f>
        <v>1137.2335999999998</v>
      </c>
      <c r="N600" s="70">
        <f t="shared" si="129"/>
        <v>35.528350000000003</v>
      </c>
      <c r="O600" s="70">
        <f t="shared" si="129"/>
        <v>43.257950000000001</v>
      </c>
      <c r="P600" s="70">
        <f t="shared" si="129"/>
        <v>42.19455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545.9624</v>
      </c>
      <c r="F601" s="81">
        <f t="shared" si="128"/>
        <v>33.089649999999999</v>
      </c>
      <c r="G601" s="81">
        <f t="shared" si="128"/>
        <v>42.273799999999994</v>
      </c>
      <c r="H601" s="81">
        <f t="shared" si="128"/>
        <v>40.919499999999999</v>
      </c>
      <c r="I601" s="68"/>
      <c r="J601" s="68"/>
      <c r="K601" s="69"/>
      <c r="L601" s="29"/>
      <c r="M601" s="81">
        <f>M370+M374</f>
        <v>546.024</v>
      </c>
      <c r="N601" s="81">
        <f t="shared" si="129"/>
        <v>33.090699999999998</v>
      </c>
      <c r="O601" s="81">
        <f t="shared" si="129"/>
        <v>42.27355</v>
      </c>
      <c r="P601" s="81">
        <f t="shared" si="129"/>
        <v>40.919399999999996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5226.2095999999992</v>
      </c>
      <c r="F602" s="78">
        <f t="shared" ref="F602:H605" si="130">AVERAGE(F367,F371,F375)</f>
        <v>41.112566666666666</v>
      </c>
      <c r="G602" s="78">
        <f t="shared" si="130"/>
        <v>46.53413333333333</v>
      </c>
      <c r="H602" s="78">
        <f t="shared" si="130"/>
        <v>45.882100000000001</v>
      </c>
      <c r="I602" s="79"/>
      <c r="J602" s="79"/>
      <c r="K602" s="80"/>
      <c r="L602" s="29"/>
      <c r="M602" s="78">
        <f>M367+M371+M375</f>
        <v>5225.9487999999992</v>
      </c>
      <c r="N602" s="78">
        <f t="shared" ref="N602:P605" si="131">AVERAGE(N367,N371,N375)</f>
        <v>41.112500000000004</v>
      </c>
      <c r="O602" s="78">
        <f t="shared" si="131"/>
        <v>46.533800000000006</v>
      </c>
      <c r="P602" s="78">
        <f t="shared" si="131"/>
        <v>45.882000000000005</v>
      </c>
      <c r="Q602" s="79"/>
      <c r="R602" s="79"/>
      <c r="S602" s="80"/>
      <c r="U602" s="8">
        <f>bdrate($E602:$E605,F602:F605,$M602:$M605,N602:N605)</f>
        <v>-1.4054331307444823E-4</v>
      </c>
      <c r="V602" s="9">
        <f>bdrate($E602:$E605,G602:G605,$M602:$M605,O602:O605)</f>
        <v>4.5130414808802755E-4</v>
      </c>
      <c r="W602" s="10">
        <f>bdrate($E602:$E605,H602:H605,$M602:$M605,P602:P605)</f>
        <v>-2.9618447694912398E-4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2538.0912000000003</v>
      </c>
      <c r="F603" s="70">
        <f t="shared" si="130"/>
        <v>38.220400000000005</v>
      </c>
      <c r="G603" s="70">
        <f t="shared" si="130"/>
        <v>44.859066666666671</v>
      </c>
      <c r="H603" s="70">
        <f t="shared" si="130"/>
        <v>44.000366666666672</v>
      </c>
      <c r="I603" s="66"/>
      <c r="J603" s="66"/>
      <c r="K603" s="67"/>
      <c r="L603" s="29"/>
      <c r="M603" s="70">
        <f>M368+M372+M376</f>
        <v>2538.308</v>
      </c>
      <c r="N603" s="70">
        <f t="shared" si="131"/>
        <v>38.220833333333331</v>
      </c>
      <c r="O603" s="70">
        <f t="shared" si="131"/>
        <v>44.858166666666669</v>
      </c>
      <c r="P603" s="70">
        <f t="shared" si="131"/>
        <v>44.000599999999999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1240.9615999999999</v>
      </c>
      <c r="F604" s="70">
        <f t="shared" si="130"/>
        <v>35.485500000000002</v>
      </c>
      <c r="G604" s="70">
        <f t="shared" si="130"/>
        <v>43.254066666666667</v>
      </c>
      <c r="H604" s="70">
        <f t="shared" si="130"/>
        <v>42.184400000000004</v>
      </c>
      <c r="I604" s="66"/>
      <c r="J604" s="66"/>
      <c r="K604" s="67"/>
      <c r="L604" s="29"/>
      <c r="M604" s="70">
        <f>M369+M373+M377</f>
        <v>1240.6767999999997</v>
      </c>
      <c r="N604" s="70">
        <f t="shared" si="131"/>
        <v>35.48576666666667</v>
      </c>
      <c r="O604" s="70">
        <f t="shared" si="131"/>
        <v>43.252900000000004</v>
      </c>
      <c r="P604" s="70">
        <f t="shared" si="131"/>
        <v>42.185899999999997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597.05920000000003</v>
      </c>
      <c r="F605" s="81">
        <f t="shared" si="130"/>
        <v>33.056199999999997</v>
      </c>
      <c r="G605" s="81">
        <f t="shared" si="130"/>
        <v>42.261799999999994</v>
      </c>
      <c r="H605" s="81">
        <f t="shared" si="130"/>
        <v>40.905066666666663</v>
      </c>
      <c r="I605" s="68"/>
      <c r="J605" s="68"/>
      <c r="K605" s="69"/>
      <c r="L605" s="29"/>
      <c r="M605" s="81">
        <f>M370+M374+M378</f>
        <v>597.01120000000003</v>
      </c>
      <c r="N605" s="81">
        <f t="shared" si="131"/>
        <v>33.0565</v>
      </c>
      <c r="O605" s="81">
        <f t="shared" si="131"/>
        <v>42.2605</v>
      </c>
      <c r="P605" s="81">
        <f t="shared" si="131"/>
        <v>40.904699999999998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5342.9615999999996</v>
      </c>
      <c r="F606" s="78">
        <f t="shared" ref="F606:H609" si="132">AVERAGE(F391,F395,F399)</f>
        <v>40.86783333333333</v>
      </c>
      <c r="G606" s="78">
        <f t="shared" si="132"/>
        <v>47.144133333333336</v>
      </c>
      <c r="H606" s="78">
        <f t="shared" si="132"/>
        <v>46.677233333333334</v>
      </c>
      <c r="I606" s="79"/>
      <c r="J606" s="79"/>
      <c r="K606" s="80"/>
      <c r="L606" s="29"/>
      <c r="M606" s="78">
        <f>M367+M371+M379+M383</f>
        <v>5343.0527999999995</v>
      </c>
      <c r="N606" s="78">
        <f t="shared" ref="N606:P609" si="133">AVERAGE(N391,N395,N399)</f>
        <v>40.867933333333333</v>
      </c>
      <c r="O606" s="78">
        <f t="shared" si="133"/>
        <v>47.150066666666667</v>
      </c>
      <c r="P606" s="78">
        <f t="shared" si="133"/>
        <v>46.686933333333336</v>
      </c>
      <c r="Q606" s="79"/>
      <c r="R606" s="79"/>
      <c r="S606" s="80"/>
      <c r="U606" s="8">
        <f>bdrate($E606:$E609,F606:F609,$M606:$M609,N606:N609)</f>
        <v>1.3667942510653397E-4</v>
      </c>
      <c r="V606" s="9">
        <f>bdrate($E606:$E609,G606:G609,$M606:$M609,O606:O609)</f>
        <v>8.3894538088791215E-4</v>
      </c>
      <c r="W606" s="10">
        <f>bdrate($E606:$E609,H606:H609,$M606:$M609,P606:P609)</f>
        <v>-2.4478469140205572E-3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2523.1744000000003</v>
      </c>
      <c r="F607" s="70">
        <f t="shared" si="132"/>
        <v>38.047166666666662</v>
      </c>
      <c r="G607" s="70">
        <f t="shared" si="132"/>
        <v>45.448466666666668</v>
      </c>
      <c r="H607" s="70">
        <f t="shared" si="132"/>
        <v>44.738300000000002</v>
      </c>
      <c r="I607" s="66"/>
      <c r="J607" s="66"/>
      <c r="K607" s="67"/>
      <c r="L607" s="29"/>
      <c r="M607" s="70">
        <f>M368+M372+M380+M384</f>
        <v>2523.9151999999999</v>
      </c>
      <c r="N607" s="70">
        <f t="shared" si="133"/>
        <v>38.044233333333331</v>
      </c>
      <c r="O607" s="70">
        <f t="shared" si="133"/>
        <v>45.448066666666669</v>
      </c>
      <c r="P607" s="70">
        <f t="shared" si="133"/>
        <v>44.741533333333336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1213.5656000000001</v>
      </c>
      <c r="F608" s="70">
        <f t="shared" si="132"/>
        <v>35.344100000000005</v>
      </c>
      <c r="G608" s="70">
        <f t="shared" si="132"/>
        <v>43.700333333333333</v>
      </c>
      <c r="H608" s="70">
        <f t="shared" si="132"/>
        <v>42.754566666666669</v>
      </c>
      <c r="I608" s="66"/>
      <c r="J608" s="66"/>
      <c r="K608" s="67"/>
      <c r="L608" s="29"/>
      <c r="M608" s="70">
        <f>M369+M373+M381+M385</f>
        <v>1213.1439999999998</v>
      </c>
      <c r="N608" s="70">
        <f t="shared" si="133"/>
        <v>35.345866666666666</v>
      </c>
      <c r="O608" s="70">
        <f t="shared" si="133"/>
        <v>43.695933333333329</v>
      </c>
      <c r="P608" s="70">
        <f t="shared" si="133"/>
        <v>42.762466666666661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577.97680000000003</v>
      </c>
      <c r="F609" s="81">
        <f t="shared" si="132"/>
        <v>32.925166666666662</v>
      </c>
      <c r="G609" s="81">
        <f t="shared" si="132"/>
        <v>42.550333333333334</v>
      </c>
      <c r="H609" s="81">
        <f t="shared" si="132"/>
        <v>41.362966666666672</v>
      </c>
      <c r="I609" s="68"/>
      <c r="J609" s="68"/>
      <c r="K609" s="69"/>
      <c r="L609" s="29"/>
      <c r="M609" s="81">
        <f>M370+M374+M382+M386</f>
        <v>578.21439999999996</v>
      </c>
      <c r="N609" s="81">
        <f t="shared" si="133"/>
        <v>32.926199999999994</v>
      </c>
      <c r="O609" s="81">
        <f t="shared" si="133"/>
        <v>42.545333333333332</v>
      </c>
      <c r="P609" s="81">
        <f t="shared" si="133"/>
        <v>41.368099999999998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6063.1959999999999</v>
      </c>
      <c r="F610" s="78">
        <f t="shared" ref="F610:H613" si="134">AVERAGE(F391,F395,F399,F403,F407,F411)</f>
        <v>40.875866666666667</v>
      </c>
      <c r="G610" s="78">
        <f t="shared" si="134"/>
        <v>47.067016666666667</v>
      </c>
      <c r="H610" s="78">
        <f t="shared" si="134"/>
        <v>46.753166666666665</v>
      </c>
      <c r="I610" s="79"/>
      <c r="J610" s="79"/>
      <c r="K610" s="80"/>
      <c r="L610" s="29"/>
      <c r="M610" s="78">
        <f>M415</f>
        <v>6062.6224000000002</v>
      </c>
      <c r="N610" s="78">
        <f t="shared" ref="N610:P613" si="135">AVERAGE(N391,N395,N399,N403,N407,N411)</f>
        <v>40.876150000000003</v>
      </c>
      <c r="O610" s="78">
        <f t="shared" si="135"/>
        <v>47.07181666666667</v>
      </c>
      <c r="P610" s="78">
        <f t="shared" si="135"/>
        <v>46.762983333333331</v>
      </c>
      <c r="Q610" s="79"/>
      <c r="R610" s="79"/>
      <c r="S610" s="80"/>
      <c r="U610" s="8">
        <f>bdrate($E610:$E613,F610:F613,$M610:$M613,N610:N613)</f>
        <v>2.1499080068809739E-4</v>
      </c>
      <c r="V610" s="9">
        <f>bdrate($E610:$E613,G610:G613,$M610:$M613,O610:O613)</f>
        <v>3.0779186665674807E-4</v>
      </c>
      <c r="W610" s="10">
        <f>bdrate($E610:$E613,H610:H613,$M610:$M613,P610:P613)</f>
        <v>-1.1259410836496064E-3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2800.7952</v>
      </c>
      <c r="F611" s="70">
        <f t="shared" si="134"/>
        <v>38.049816666666665</v>
      </c>
      <c r="G611" s="70">
        <f t="shared" si="134"/>
        <v>45.4163</v>
      </c>
      <c r="H611" s="70">
        <f t="shared" si="134"/>
        <v>44.79591666666667</v>
      </c>
      <c r="I611" s="66"/>
      <c r="J611" s="66"/>
      <c r="K611" s="67"/>
      <c r="L611" s="29"/>
      <c r="M611" s="70">
        <f>M416</f>
        <v>2802.16</v>
      </c>
      <c r="N611" s="70">
        <f t="shared" si="135"/>
        <v>38.046433333333333</v>
      </c>
      <c r="O611" s="70">
        <f t="shared" si="135"/>
        <v>45.413499999999999</v>
      </c>
      <c r="P611" s="70">
        <f t="shared" si="135"/>
        <v>44.792966666666672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1344.5863999999999</v>
      </c>
      <c r="F612" s="70">
        <f t="shared" si="134"/>
        <v>35.345966666666669</v>
      </c>
      <c r="G612" s="70">
        <f t="shared" si="134"/>
        <v>43.707749999999997</v>
      </c>
      <c r="H612" s="70">
        <f t="shared" si="134"/>
        <v>42.801716666666664</v>
      </c>
      <c r="I612" s="66"/>
      <c r="J612" s="66"/>
      <c r="K612" s="67"/>
      <c r="L612" s="29"/>
      <c r="M612" s="70">
        <f>M417</f>
        <v>1344.0496000000001</v>
      </c>
      <c r="N612" s="70">
        <f t="shared" si="135"/>
        <v>35.347383333333333</v>
      </c>
      <c r="O612" s="70">
        <f t="shared" si="135"/>
        <v>43.708433333333339</v>
      </c>
      <c r="P612" s="70">
        <f t="shared" si="135"/>
        <v>42.807633333333335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645.0992</v>
      </c>
      <c r="F613" s="81">
        <f t="shared" si="134"/>
        <v>32.923650000000002</v>
      </c>
      <c r="G613" s="81">
        <f t="shared" si="134"/>
        <v>42.575766666666667</v>
      </c>
      <c r="H613" s="81">
        <f t="shared" si="134"/>
        <v>41.389633333333329</v>
      </c>
      <c r="I613" s="68"/>
      <c r="J613" s="68"/>
      <c r="K613" s="69"/>
      <c r="L613" s="29"/>
      <c r="M613" s="81">
        <f>M418</f>
        <v>644.91279999999995</v>
      </c>
      <c r="N613" s="81">
        <f t="shared" si="135"/>
        <v>32.923866666666669</v>
      </c>
      <c r="O613" s="81">
        <f t="shared" si="135"/>
        <v>42.573216666666667</v>
      </c>
      <c r="P613" s="81">
        <f t="shared" si="135"/>
        <v>41.39373333333333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5342.9615999999996</v>
      </c>
      <c r="F614" s="78">
        <f t="shared" ref="F614:H617" si="137">AVERAGE(F367,F371,F391,F395,F399)</f>
        <v>41.002179999999996</v>
      </c>
      <c r="G614" s="78">
        <f t="shared" si="137"/>
        <v>46.907560000000004</v>
      </c>
      <c r="H614" s="78">
        <f t="shared" si="137"/>
        <v>46.374900000000004</v>
      </c>
      <c r="I614" s="79"/>
      <c r="J614" s="79"/>
      <c r="K614" s="80"/>
      <c r="L614" s="29"/>
      <c r="M614" s="78">
        <f t="shared" ref="M614:M621" si="138">M606</f>
        <v>5343.0527999999995</v>
      </c>
      <c r="N614" s="78">
        <f t="shared" ref="N614:P617" si="139">AVERAGE(N367,N371,N391,N395,N399)</f>
        <v>41.002300000000005</v>
      </c>
      <c r="O614" s="78">
        <f t="shared" si="139"/>
        <v>46.910980000000002</v>
      </c>
      <c r="P614" s="78">
        <f t="shared" si="139"/>
        <v>46.380859999999998</v>
      </c>
      <c r="Q614" s="79"/>
      <c r="R614" s="79"/>
      <c r="S614" s="80"/>
      <c r="U614" s="8">
        <f>bdrate($E614:$E617,F614:F617,$M614:$M617,N614:N617)</f>
        <v>5.5973109021945078E-5</v>
      </c>
      <c r="V614" s="9">
        <f>bdrate($E614:$E617,G614:G617,$M614:$M617,O614:O617)</f>
        <v>7.1650992518956791E-4</v>
      </c>
      <c r="W614" s="10">
        <f>bdrate($E614:$E617,H614:H617,$M614:$M617,P614:P617)</f>
        <v>-1.7530310949713801E-3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2523.1744000000003</v>
      </c>
      <c r="F615" s="70">
        <f t="shared" si="137"/>
        <v>38.142700000000005</v>
      </c>
      <c r="G615" s="70">
        <f t="shared" si="137"/>
        <v>45.218579999999996</v>
      </c>
      <c r="H615" s="70">
        <f t="shared" si="137"/>
        <v>44.452960000000004</v>
      </c>
      <c r="I615" s="66"/>
      <c r="J615" s="66"/>
      <c r="K615" s="67"/>
      <c r="L615" s="29"/>
      <c r="M615" s="70">
        <f t="shared" si="138"/>
        <v>2523.9151999999999</v>
      </c>
      <c r="N615" s="70">
        <f t="shared" si="139"/>
        <v>38.141059999999996</v>
      </c>
      <c r="O615" s="70">
        <f t="shared" si="139"/>
        <v>45.218059999999994</v>
      </c>
      <c r="P615" s="70">
        <f t="shared" si="139"/>
        <v>44.455580000000005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1213.5656000000001</v>
      </c>
      <c r="F616" s="70">
        <f t="shared" si="137"/>
        <v>35.417659999999998</v>
      </c>
      <c r="G616" s="70">
        <f t="shared" si="137"/>
        <v>43.523979999999995</v>
      </c>
      <c r="H616" s="70">
        <f t="shared" si="137"/>
        <v>42.529540000000004</v>
      </c>
      <c r="I616" s="66"/>
      <c r="J616" s="66"/>
      <c r="K616" s="67"/>
      <c r="L616" s="29"/>
      <c r="M616" s="70">
        <f t="shared" si="138"/>
        <v>1213.1439999999998</v>
      </c>
      <c r="N616" s="70">
        <f t="shared" si="139"/>
        <v>35.418860000000002</v>
      </c>
      <c r="O616" s="70">
        <f t="shared" si="139"/>
        <v>43.520739999999996</v>
      </c>
      <c r="P616" s="70">
        <f t="shared" si="139"/>
        <v>42.535300000000007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577.97680000000003</v>
      </c>
      <c r="F617" s="81">
        <f t="shared" si="137"/>
        <v>32.990960000000001</v>
      </c>
      <c r="G617" s="81">
        <f t="shared" si="137"/>
        <v>42.439719999999994</v>
      </c>
      <c r="H617" s="81">
        <f t="shared" si="137"/>
        <v>41.185580000000002</v>
      </c>
      <c r="I617" s="68"/>
      <c r="J617" s="68"/>
      <c r="K617" s="69"/>
      <c r="L617" s="29"/>
      <c r="M617" s="81">
        <f t="shared" si="138"/>
        <v>578.21439999999996</v>
      </c>
      <c r="N617" s="81">
        <f t="shared" si="139"/>
        <v>32.991999999999997</v>
      </c>
      <c r="O617" s="81">
        <f t="shared" si="139"/>
        <v>42.436619999999998</v>
      </c>
      <c r="P617" s="81">
        <f t="shared" si="139"/>
        <v>41.18862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6063.1959999999999</v>
      </c>
      <c r="F618" s="78">
        <f t="shared" ref="F618:H621" si="140">AVERAGE(F367,F371,F375,F391,F395,F399,F403,F407,F411)</f>
        <v>40.954766666666671</v>
      </c>
      <c r="G618" s="78">
        <f t="shared" si="140"/>
        <v>46.889388888888888</v>
      </c>
      <c r="H618" s="78">
        <f t="shared" si="140"/>
        <v>46.462811111111108</v>
      </c>
      <c r="I618" s="79"/>
      <c r="J618" s="79"/>
      <c r="K618" s="80"/>
      <c r="L618" s="29"/>
      <c r="M618" s="78">
        <f t="shared" si="138"/>
        <v>6062.6224000000002</v>
      </c>
      <c r="N618" s="78">
        <f t="shared" ref="N618:P621" si="141">AVERAGE(N367,N371,N375,N391,N395,N399,N403,N407,N411)</f>
        <v>40.954933333333344</v>
      </c>
      <c r="O618" s="78">
        <f t="shared" si="141"/>
        <v>46.892477777777778</v>
      </c>
      <c r="P618" s="78">
        <f t="shared" si="141"/>
        <v>46.469322222222225</v>
      </c>
      <c r="Q618" s="79"/>
      <c r="R618" s="79"/>
      <c r="S618" s="80"/>
      <c r="U618" s="8">
        <f>bdrate($E618:$E621,F618:F621,$M618:$M621,N618:N621)</f>
        <v>1.1985547618320602E-4</v>
      </c>
      <c r="V618" s="9">
        <f>bdrate($E618:$E621,G618:G621,$M618:$M621,O618:O621)</f>
        <v>3.964772320235177E-4</v>
      </c>
      <c r="W618" s="10">
        <f>bdrate($E618:$E621,H618:H621,$M618:$M621,P618:P621)</f>
        <v>-8.312908927923246E-4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2800.7952</v>
      </c>
      <c r="F619" s="70">
        <f t="shared" si="140"/>
        <v>38.106677777777776</v>
      </c>
      <c r="G619" s="70">
        <f t="shared" si="140"/>
        <v>45.230555555555554</v>
      </c>
      <c r="H619" s="70">
        <f t="shared" si="140"/>
        <v>44.53073333333333</v>
      </c>
      <c r="I619" s="66"/>
      <c r="J619" s="66"/>
      <c r="K619" s="67"/>
      <c r="L619" s="29"/>
      <c r="M619" s="70">
        <f t="shared" si="138"/>
        <v>2802.16</v>
      </c>
      <c r="N619" s="70">
        <f t="shared" si="141"/>
        <v>38.10456666666667</v>
      </c>
      <c r="O619" s="70">
        <f t="shared" si="141"/>
        <v>45.228388888888887</v>
      </c>
      <c r="P619" s="70">
        <f t="shared" si="141"/>
        <v>44.528844444444445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1344.5863999999999</v>
      </c>
      <c r="F620" s="70">
        <f t="shared" si="140"/>
        <v>35.392477777777771</v>
      </c>
      <c r="G620" s="70">
        <f t="shared" si="140"/>
        <v>43.55652222222222</v>
      </c>
      <c r="H620" s="70">
        <f t="shared" si="140"/>
        <v>42.595944444444442</v>
      </c>
      <c r="I620" s="66"/>
      <c r="J620" s="66"/>
      <c r="K620" s="67"/>
      <c r="L620" s="29"/>
      <c r="M620" s="70">
        <f t="shared" si="138"/>
        <v>1344.0496000000001</v>
      </c>
      <c r="N620" s="70">
        <f t="shared" si="141"/>
        <v>35.39351111111111</v>
      </c>
      <c r="O620" s="70">
        <f t="shared" si="141"/>
        <v>43.556588888888889</v>
      </c>
      <c r="P620" s="70">
        <f t="shared" si="141"/>
        <v>42.600388888888887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645.0992</v>
      </c>
      <c r="F621" s="81">
        <f t="shared" si="140"/>
        <v>32.967833333333331</v>
      </c>
      <c r="G621" s="81">
        <f t="shared" si="140"/>
        <v>42.471111111111114</v>
      </c>
      <c r="H621" s="81">
        <f t="shared" si="140"/>
        <v>41.228111111111112</v>
      </c>
      <c r="I621" s="68"/>
      <c r="J621" s="68"/>
      <c r="K621" s="69"/>
      <c r="L621" s="29"/>
      <c r="M621" s="81">
        <f t="shared" si="138"/>
        <v>644.91279999999995</v>
      </c>
      <c r="N621" s="81">
        <f t="shared" si="141"/>
        <v>32.968077777777779</v>
      </c>
      <c r="O621" s="81">
        <f t="shared" si="141"/>
        <v>42.468977777777773</v>
      </c>
      <c r="P621" s="81">
        <f t="shared" si="141"/>
        <v>41.230722222222219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2015-02-25T00:23:59Z</dcterms:modified>
</cp:coreProperties>
</file>