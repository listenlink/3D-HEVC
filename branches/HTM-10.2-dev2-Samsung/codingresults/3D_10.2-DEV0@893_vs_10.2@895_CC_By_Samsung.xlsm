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3600" yWindow="1665" windowWidth="31065" windowHeight="18240" tabRatio="547"/>
  </bookViews>
  <sheets>
    <sheet name="summary (auto)" sheetId="27" r:id="rId1"/>
    <sheet name="experimental data" sheetId="21" r:id="rId2"/>
    <sheet name="raw data" sheetId="25" r:id="rId3"/>
  </sheets>
  <functionGroups/>
  <definedNames>
    <definedName name="results_rd" localSheetId="2">'raw data'!$A$1:$BA$33</definedName>
    <definedName name="results_rd" localSheetId="2">'raw data'!$A$1:$BA$33</definedName>
    <definedName name="results_rd_1" localSheetId="2">'raw data'!#REF!</definedName>
  </definedNames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connections.xml><?xml version="1.0" encoding="utf-8"?>
<connections xmlns="http://schemas.openxmlformats.org/spreadsheetml/2006/main">
  <connection id="1" name="results_rd" type="6" refreshedVersion="0" background="1" saveData="1">
    <textPr fileType="mac" codePage="1143" sourceFile="Macintosh HD:Users:jaeger:Documents:Simulation Results:HTM 10.0:HTM-10.2-dev2-RWTH+H0057+H0072:results_rd.csv" comma="1">
      <textFields count="5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<sst xmlns="http://schemas.openxmlformats.org/spreadsheetml/2006/main" count="331" uniqueCount="147">
  <si>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</si>
  <si>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</si>
  <si>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</si>
  <si>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</si>
  <si>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</si>
  <si>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</si>
  <si>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</si>
  <si>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</si>
  <si>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</si>
  <si>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</si>
  <si>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</si>
  <si>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</si>
  <si>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</si>
  <si>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</si>
  <si>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</si>
  <si>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</si>
  <si>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</si>
  <si>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</si>
  <si>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</si>
  <si>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</si>
  <si>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</si>
  <si>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</si>
  <si>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</si>
  <si>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</si>
  <si>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</si>
  <si>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</si>
  <si>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</si>
  <si>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</si>
  <si>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</si>
  <si>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</si>
  <si>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</si>
  <si>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</si>
  <si>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</si>
  <si>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</si>
  <si>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</si>
  <si>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</si>
  <si>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</si>
  <si>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</si>
  <si>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</si>
  <si>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</si>
  <si>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</si>
  <si>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</si>
  <si>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</si>
  <si>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</si>
  <si>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</si>
  <si>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</si>
  <si>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</si>
  <si>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</si>
  <si>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</si>
  <si>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</si>
  <si>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</si>
  <si>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</si>
  <si>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</si>
  <si>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</si>
  <si>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</si>
  <si>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</si>
  <si>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</si>
  <si>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</si>
  <si>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</si>
  <si>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</si>
  <si>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</si>
  <si>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</si>
  <si>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SeqClass</t>
  </si>
  <si>
    <t xml:space="preserve"> Bitstream</t>
  </si>
  <si>
    <t xml:space="preserve"> Total Rate [kbps]</t>
  </si>
  <si>
    <t xml:space="preserve"> T0 Rate [kbps]</t>
  </si>
  <si>
    <t xml:space="preserve"> T0 Y-PSNR [dB]</t>
  </si>
  <si>
    <t xml:space="preserve"> T0 U-PSNR [dB]</t>
  </si>
  <si>
    <t xml:space="preserve"> T0 V-PSNR [dB]</t>
  </si>
  <si>
    <t xml:space="preserve"> T1 Rate [kbps]</t>
  </si>
  <si>
    <t xml:space="preserve"> T1 Y-PSNR [dB]</t>
  </si>
  <si>
    <t xml:space="preserve"> T1 U-PSNR [dB]</t>
  </si>
  <si>
    <t xml:space="preserve"> T1 V-PSNR [dB]</t>
  </si>
  <si>
    <t xml:space="preserve"> T2 Rate [kbps]</t>
  </si>
  <si>
    <t xml:space="preserve"> T2 Y-PSNR [dB]</t>
  </si>
  <si>
    <t xml:space="preserve"> T2 U-PSNR [dB]</t>
  </si>
  <si>
    <t xml:space="preserve"> T2 V-PSNR [dB]</t>
  </si>
  <si>
    <t xml:space="preserve"> D0 Rate [kbps]</t>
  </si>
  <si>
    <t xml:space="preserve"> D0 PSNR [dB]</t>
  </si>
  <si>
    <t xml:space="preserve"> D1 Rate [kbps]</t>
  </si>
  <si>
    <t xml:space="preserve"> D1 PSNR [dB]</t>
  </si>
  <si>
    <t xml:space="preserve"> D2 Rate [kbps]</t>
  </si>
  <si>
    <t xml:space="preserve"> D2 PSNR [dB]</t>
  </si>
  <si>
    <t xml:space="preserve"> S0 Y-PSNR [dB]</t>
  </si>
  <si>
    <t xml:space="preserve"> S0 U-PSNR [dB]</t>
  </si>
  <si>
    <t xml:space="preserve"> S0 V-PSNR [dB]</t>
  </si>
  <si>
    <t xml:space="preserve"> S1 Y-PSNR [dB]</t>
  </si>
  <si>
    <t xml:space="preserve"> S1 U-PSNR [dB]</t>
  </si>
  <si>
    <t xml:space="preserve"> S1 V-PSNR [dB]</t>
  </si>
  <si>
    <t xml:space="preserve"> S2 Y-PSNR [dB]</t>
  </si>
  <si>
    <t xml:space="preserve"> S2 U-PSNR [dB]</t>
  </si>
  <si>
    <t xml:space="preserve"> S2 V-PSNR [dB]</t>
  </si>
  <si>
    <t xml:space="preserve"> S3 Y-PSNR [dB]</t>
  </si>
  <si>
    <t xml:space="preserve"> S3 U-PSNR [dB]</t>
  </si>
  <si>
    <t xml:space="preserve"> S3 V-PSNR [dB]</t>
  </si>
  <si>
    <t xml:space="preserve"> S4 Y-PSNR [dB]</t>
  </si>
  <si>
    <t xml:space="preserve"> S4 U-PSNR [dB]</t>
  </si>
  <si>
    <t xml:space="preserve"> S4 V-PSNR [dB]</t>
  </si>
  <si>
    <t xml:space="preserve"> S5 Y-PSNR [dB]</t>
  </si>
  <si>
    <t xml:space="preserve"> S5 U-PSNR [dB]</t>
  </si>
  <si>
    <t xml:space="preserve"> S5 V-PSNR [dB]</t>
  </si>
  <si>
    <t xml:space="preserve"> Match T0</t>
  </si>
  <si>
    <t xml:space="preserve"> Match T1</t>
  </si>
  <si>
    <t xml:space="preserve"> Match T2</t>
  </si>
  <si>
    <t xml:space="preserve"> Match D0</t>
  </si>
  <si>
    <t xml:space="preserve"> Match D1</t>
  </si>
  <si>
    <t xml:space="preserve"> Match D2</t>
  </si>
  <si>
    <t xml:space="preserve"> Pixels</t>
  </si>
  <si>
    <t xml:space="preserve"> Lines</t>
  </si>
  <si>
    <t xml:space="preserve"> Frame rate</t>
  </si>
  <si>
    <t xml:space="preserve"> Decoded Frames</t>
  </si>
  <si>
    <t xml:space="preserve"> inputBitDepth</t>
  </si>
  <si>
    <t xml:space="preserve"> outputBitDepth</t>
  </si>
  <si>
    <t xml:space="preserve"> encTime</t>
  </si>
  <si>
    <t xml:space="preserve"> decTime</t>
  </si>
  <si>
    <t xml:space="preserve"> Poznan_Hall2_1920x1088_25_3V_baseCfg_3view+depth_FTBE200_QP25+34+25+34+25+34</t>
  </si>
  <si>
    <t xml:space="preserve"> Poznan_Hall2_1920x1088_25_3V_baseCfg_3view+depth_FTBE200_QP30+39+30+39+30+39</t>
  </si>
  <si>
    <t xml:space="preserve"> Poznan_Hall2_1920x1088_25_3V_baseCfg_3view+depth_FTBE200_QP35+42+35+42+35+42</t>
  </si>
  <si>
    <t xml:space="preserve"> Poznan_Hall2_1920x1088_25_3V_baseCfg_3view+depth_FTBE200_QP40+45+40+45+40+45</t>
  </si>
  <si>
    <t xml:space="preserve"> Poznan_Street_1920x1088_25_3V_baseCfg_3view+depth_FTBE250_QP25+34+25+34+25+34</t>
  </si>
  <si>
    <t xml:space="preserve"> Poznan_Street_1920x1088_25_3V_baseCfg_3view+depth_FTBE250_QP30+39+30+39+30+39</t>
  </si>
  <si>
    <t xml:space="preserve"> Poznan_Street_1920x1088_25_3V_baseCfg_3view+depth_FTBE250_QP35+42+35+42+35+42</t>
  </si>
  <si>
    <t xml:space="preserve"> Poznan_Street_1920x1088_25_3V_baseCfg_3view+depth_FTBE250_QP40+45+40+45+40+45</t>
  </si>
  <si>
    <t xml:space="preserve"> Undo_Dancer_1920x1088_25_3V_baseCfg_3view+depth_FTBE250_QP25+34+25+34+25+34</t>
  </si>
  <si>
    <t xml:space="preserve"> Undo_Dancer_1920x1088_25_3V_baseCfg_3view+depth_FTBE250_QP30+39+30+39+30+39</t>
  </si>
  <si>
    <t xml:space="preserve"> Undo_Dancer_1920x1088_25_3V_baseCfg_3view+depth_FTBE250_QP35+42+35+42+35+42</t>
  </si>
  <si>
    <t xml:space="preserve"> Undo_Dancer_1920x1088_25_3V_baseCfg_3view+depth_FTBE250_QP40+45+40+45+40+45</t>
  </si>
  <si>
    <t xml:space="preserve"> GT_Fly_1920x1088_25_3V_baseCfg_3view+depth_FTBE250_QP25+34+25+34+25+34</t>
  </si>
  <si>
    <t xml:space="preserve"> GT_Fly_1920x1088_25_3V_baseCfg_3view+depth_FTBE250_QP30+39+30+39+30+39</t>
  </si>
  <si>
    <t xml:space="preserve"> GT_Fly_1920x1088_25_3V_baseCfg_3view+depth_FTBE250_QP35+42+35+42+35+42</t>
  </si>
  <si>
    <t xml:space="preserve"> GT_Fly_1920x1088_25_3V_baseCfg_3view+depth_FTBE250_QP40+45+40+45+40+45</t>
  </si>
  <si>
    <t xml:space="preserve"> Kendo_1024x768_30_3V_baseCfg_3view+depth_FTBE300_QP25+34+25+34+25+34</t>
  </si>
  <si>
    <t xml:space="preserve"> Kendo_1024x768_30_3V_baseCfg_3view+depth_FTBE300_QP30+39+30+39+30+39</t>
  </si>
  <si>
    <t xml:space="preserve"> Kendo_1024x768_30_3V_baseCfg_3view+depth_FTBE300_QP35+42+35+42+35+42</t>
  </si>
  <si>
    <t xml:space="preserve"> Kendo_1024x768_30_3V_baseCfg_3view+depth_FTBE300_QP40+45+40+45+40+45</t>
  </si>
  <si>
    <t xml:space="preserve"> Balloons_1024x768_30_3V_baseCfg_3view+depth_FTBE300_QP25+34+25+34+25+34</t>
  </si>
  <si>
    <t xml:space="preserve"> Balloons_1024x768_30_3V_baseCfg_3view+depth_FTBE300_QP30+39+30+39+30+39</t>
  </si>
  <si>
    <t xml:space="preserve"> Balloons_1024x768_30_3V_baseCfg_3view+depth_FTBE300_QP35+42+35+42+35+42</t>
  </si>
  <si>
    <t xml:space="preserve"> Balloons_1024x768_30_3V_baseCfg_3view+depth_FTBE300_QP40+45+40+45+40+45</t>
  </si>
  <si>
    <t xml:space="preserve"> Newspaper_CC_1024x768_30_3V_baseCfg_3view+depth_FTBE300_QP25+34+25+34+25+34</t>
  </si>
  <si>
    <t xml:space="preserve"> Newspaper_CC_1024x768_30_3V_baseCfg_3view+depth_FTBE300_QP30+39+30+39+30+39</t>
  </si>
  <si>
    <t xml:space="preserve"> Newspaper_CC_1024x768_30_3V_baseCfg_3view+depth_FTBE300_QP35+42+35+42+35+42</t>
  </si>
  <si>
    <t xml:space="preserve"> Newspaper_CC_1024x768_30_3V_baseCfg_3view+depth_FTBE300_QP40+45+40+45+40+45</t>
  </si>
  <si>
    <t xml:space="preserve"> Shark_1920x1088_30_3V_baseCfg_3view+depth_FTBE300_QP25+34+25+34+25+34</t>
  </si>
  <si>
    <t xml:space="preserve"> Shark_1920x1088_30_3V_baseCfg_3view+depth_FTBE300_QP30+39+30+39+30+39</t>
  </si>
  <si>
    <t xml:space="preserve"> Shark_1920x1088_30_3V_baseCfg_3view+depth_FTBE300_QP35+42+35+42+35+42</t>
  </si>
  <si>
    <t xml:space="preserve"> Shark_1920x1088_30_3V_baseCfg_3view+depth_FTBE300_QP40+45+40+45+40+45</t>
  </si>
</sst>
</file>

<file path=xl/styles.xml><?xml version="1.0" encoding="utf-8"?>
<styleSheet xmlns="http://schemas.openxmlformats.org/spreadsheetml/2006/main">
  <numFmts count="2">
    <numFmt numFmtId="220" formatCode="0.0%"/>
    <numFmt numFmtId="222" formatCode="0.0000"/>
  </numFmts>
  <fonts count="17">
    <font>
      <sz val="12"/>
      <color theme="1"/>
      <name val="맑은 고딕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b/>
      <sz val="12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b/>
      <sz val="10"/>
      <color theme="1"/>
      <name val="맑은 고딕"/>
      <family val="1"/>
      <scheme val="major"/>
    </font>
    <font>
      <b/>
      <sz val="10"/>
      <color indexed="8"/>
      <name val="맑은 고딕"/>
      <family val="1"/>
      <scheme val="major"/>
    </font>
    <font>
      <b/>
      <sz val="20"/>
      <color theme="1"/>
      <name val="맑은 고딕"/>
      <family val="2"/>
      <scheme val="minor"/>
    </font>
    <font>
      <sz val="12"/>
      <color theme="1" tint="0.499984740745262"/>
      <name val="맑은 고딕"/>
      <family val="2"/>
      <scheme val="minor"/>
    </font>
    <font>
      <sz val="10"/>
      <name val="Arial"/>
      <family val="2"/>
    </font>
    <font>
      <sz val="12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4" fillId="0" borderId="0"/>
  </cellStyleXfs>
  <cellXfs count="17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220" fontId="1" fillId="0" borderId="4" xfId="0" applyNumberFormat="1" applyFont="1" applyBorder="1" applyAlignment="1">
      <alignment horizontal="center"/>
    </xf>
    <xf numFmtId="220" fontId="1" fillId="0" borderId="5" xfId="0" applyNumberFormat="1" applyFont="1" applyBorder="1" applyAlignment="1">
      <alignment horizontal="center"/>
    </xf>
    <xf numFmtId="220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220" fontId="1" fillId="0" borderId="9" xfId="0" applyNumberFormat="1" applyFont="1" applyBorder="1" applyAlignment="1">
      <alignment horizontal="center"/>
    </xf>
    <xf numFmtId="220" fontId="1" fillId="0" borderId="0" xfId="0" applyNumberFormat="1" applyFont="1" applyBorder="1" applyAlignment="1">
      <alignment horizontal="center"/>
    </xf>
    <xf numFmtId="220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222" fontId="6" fillId="2" borderId="5" xfId="0" applyNumberFormat="1" applyFont="1" applyFill="1" applyBorder="1"/>
    <xf numFmtId="222" fontId="6" fillId="2" borderId="0" xfId="0" applyNumberFormat="1" applyFont="1" applyFill="1" applyBorder="1"/>
    <xf numFmtId="220" fontId="6" fillId="0" borderId="0" xfId="0" applyNumberFormat="1" applyFont="1" applyBorder="1"/>
    <xf numFmtId="220" fontId="6" fillId="0" borderId="10" xfId="0" applyNumberFormat="1" applyFont="1" applyBorder="1"/>
    <xf numFmtId="0" fontId="6" fillId="0" borderId="12" xfId="0" applyFont="1" applyBorder="1"/>
    <xf numFmtId="220" fontId="6" fillId="0" borderId="12" xfId="0" applyNumberFormat="1" applyFont="1" applyBorder="1"/>
    <xf numFmtId="220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220" fontId="6" fillId="0" borderId="9" xfId="0" applyNumberFormat="1" applyFont="1" applyBorder="1" applyAlignment="1">
      <alignment horizontal="center"/>
    </xf>
    <xf numFmtId="220" fontId="6" fillId="0" borderId="10" xfId="0" applyNumberFormat="1" applyFont="1" applyBorder="1" applyAlignment="1">
      <alignment horizontal="center"/>
    </xf>
    <xf numFmtId="220" fontId="6" fillId="0" borderId="4" xfId="0" applyNumberFormat="1" applyFont="1" applyBorder="1" applyAlignment="1">
      <alignment horizontal="center"/>
    </xf>
    <xf numFmtId="220" fontId="6" fillId="0" borderId="5" xfId="0" applyNumberFormat="1" applyFont="1" applyBorder="1" applyAlignment="1">
      <alignment horizontal="center"/>
    </xf>
    <xf numFmtId="220" fontId="6" fillId="0" borderId="7" xfId="0" applyNumberFormat="1" applyFont="1" applyBorder="1" applyAlignment="1">
      <alignment horizontal="center"/>
    </xf>
    <xf numFmtId="220" fontId="6" fillId="0" borderId="0" xfId="0" applyNumberFormat="1" applyFont="1" applyBorder="1" applyAlignment="1">
      <alignment horizontal="center"/>
    </xf>
    <xf numFmtId="220" fontId="6" fillId="0" borderId="14" xfId="0" applyNumberFormat="1" applyFont="1" applyBorder="1" applyAlignment="1">
      <alignment horizontal="center"/>
    </xf>
    <xf numFmtId="220" fontId="6" fillId="0" borderId="12" xfId="0" applyNumberFormat="1" applyFont="1" applyBorder="1" applyAlignment="1">
      <alignment horizontal="center"/>
    </xf>
    <xf numFmtId="220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222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222" fontId="6" fillId="2" borderId="12" xfId="0" applyNumberFormat="1" applyFont="1" applyFill="1" applyBorder="1"/>
    <xf numFmtId="2" fontId="6" fillId="0" borderId="12" xfId="0" applyNumberFormat="1" applyFont="1" applyBorder="1"/>
    <xf numFmtId="2" fontId="6" fillId="0" borderId="13" xfId="0" applyNumberFormat="1" applyFont="1" applyBorder="1"/>
    <xf numFmtId="220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222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222" fontId="6" fillId="0" borderId="12" xfId="0" applyNumberFormat="1" applyFont="1" applyFill="1" applyBorder="1"/>
    <xf numFmtId="222" fontId="6" fillId="0" borderId="4" xfId="0" applyNumberFormat="1" applyFont="1" applyFill="1" applyBorder="1"/>
    <xf numFmtId="222" fontId="6" fillId="0" borderId="9" xfId="0" applyNumberFormat="1" applyFont="1" applyFill="1" applyBorder="1"/>
    <xf numFmtId="222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220" fontId="1" fillId="0" borderId="14" xfId="0" applyNumberFormat="1" applyFont="1" applyBorder="1" applyAlignment="1">
      <alignment horizontal="center"/>
    </xf>
    <xf numFmtId="220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220" fontId="10" fillId="0" borderId="1" xfId="0" applyNumberFormat="1" applyFont="1" applyBorder="1" applyAlignment="1">
      <alignment horizontal="center"/>
    </xf>
    <xf numFmtId="220" fontId="10" fillId="0" borderId="2" xfId="0" applyNumberFormat="1" applyFont="1" applyBorder="1" applyAlignment="1">
      <alignment horizontal="center"/>
    </xf>
    <xf numFmtId="220" fontId="10" fillId="0" borderId="14" xfId="0" applyNumberFormat="1" applyFont="1" applyBorder="1" applyAlignment="1">
      <alignment horizontal="center"/>
    </xf>
    <xf numFmtId="220" fontId="10" fillId="0" borderId="13" xfId="0" applyNumberFormat="1" applyFont="1" applyBorder="1" applyAlignment="1">
      <alignment horizontal="center"/>
    </xf>
    <xf numFmtId="220" fontId="9" fillId="0" borderId="12" xfId="0" applyNumberFormat="1" applyFont="1" applyBorder="1" applyAlignment="1">
      <alignment horizontal="center"/>
    </xf>
    <xf numFmtId="220" fontId="9" fillId="0" borderId="13" xfId="0" applyNumberFormat="1" applyFont="1" applyBorder="1" applyAlignment="1">
      <alignment horizontal="center"/>
    </xf>
    <xf numFmtId="0" fontId="11" fillId="0" borderId="0" xfId="0" applyFont="1"/>
    <xf numFmtId="220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220" fontId="6" fillId="0" borderId="15" xfId="0" applyNumberFormat="1" applyFont="1" applyBorder="1" applyAlignment="1">
      <alignment horizontal="center"/>
    </xf>
    <xf numFmtId="220" fontId="6" fillId="0" borderId="16" xfId="0" applyNumberFormat="1" applyFont="1" applyBorder="1" applyAlignment="1">
      <alignment horizontal="center"/>
    </xf>
    <xf numFmtId="220" fontId="6" fillId="0" borderId="17" xfId="0" applyNumberFormat="1" applyFont="1" applyBorder="1" applyAlignment="1">
      <alignment horizontal="center"/>
    </xf>
    <xf numFmtId="220" fontId="9" fillId="0" borderId="17" xfId="0" applyNumberFormat="1" applyFont="1" applyBorder="1" applyAlignment="1">
      <alignment horizontal="center"/>
    </xf>
    <xf numFmtId="220" fontId="10" fillId="0" borderId="12" xfId="0" applyNumberFormat="1" applyFont="1" applyBorder="1" applyAlignment="1">
      <alignment horizontal="center"/>
    </xf>
    <xf numFmtId="0" fontId="6" fillId="3" borderId="4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/>
    </xf>
    <xf numFmtId="0" fontId="5" fillId="0" borderId="0" xfId="0" applyFont="1"/>
    <xf numFmtId="0" fontId="0" fillId="4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5" borderId="4" xfId="0" applyFill="1" applyBorder="1"/>
    <xf numFmtId="0" fontId="0" fillId="5" borderId="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7" borderId="4" xfId="0" applyFill="1" applyBorder="1"/>
    <xf numFmtId="0" fontId="0" fillId="7" borderId="7" xfId="0" applyFill="1" applyBorder="1"/>
    <xf numFmtId="0" fontId="0" fillId="4" borderId="9" xfId="0" applyFill="1" applyBorder="1"/>
    <xf numFmtId="0" fontId="0" fillId="4" borderId="0" xfId="0" applyFill="1" applyBorder="1"/>
    <xf numFmtId="0" fontId="0" fillId="4" borderId="10" xfId="0" applyFill="1" applyBorder="1"/>
    <xf numFmtId="0" fontId="0" fillId="5" borderId="9" xfId="0" applyFill="1" applyBorder="1"/>
    <xf numFmtId="0" fontId="0" fillId="5" borderId="10" xfId="0" applyFill="1" applyBorder="1"/>
    <xf numFmtId="0" fontId="0" fillId="6" borderId="9" xfId="0" applyFill="1" applyBorder="1"/>
    <xf numFmtId="0" fontId="0" fillId="6" borderId="0" xfId="0" applyFill="1" applyBorder="1"/>
    <xf numFmtId="0" fontId="0" fillId="6" borderId="10" xfId="0" applyFill="1" applyBorder="1"/>
    <xf numFmtId="0" fontId="0" fillId="7" borderId="9" xfId="0" applyFill="1" applyBorder="1"/>
    <xf numFmtId="0" fontId="0" fillId="7" borderId="10" xfId="0" applyFill="1" applyBorder="1"/>
    <xf numFmtId="0" fontId="0" fillId="4" borderId="14" xfId="0" applyFill="1" applyBorder="1"/>
    <xf numFmtId="0" fontId="0" fillId="4" borderId="12" xfId="0" applyFill="1" applyBorder="1"/>
    <xf numFmtId="0" fontId="0" fillId="4" borderId="13" xfId="0" applyFill="1" applyBorder="1"/>
    <xf numFmtId="0" fontId="0" fillId="5" borderId="14" xfId="0" applyFill="1" applyBorder="1"/>
    <xf numFmtId="0" fontId="0" fillId="5" borderId="13" xfId="0" applyFill="1" applyBorder="1"/>
    <xf numFmtId="0" fontId="0" fillId="6" borderId="14" xfId="0" applyFill="1" applyBorder="1"/>
    <xf numFmtId="0" fontId="0" fillId="6" borderId="12" xfId="0" applyFill="1" applyBorder="1"/>
    <xf numFmtId="0" fontId="0" fillId="6" borderId="13" xfId="0" applyFill="1" applyBorder="1"/>
    <xf numFmtId="0" fontId="0" fillId="7" borderId="14" xfId="0" applyFill="1" applyBorder="1"/>
    <xf numFmtId="0" fontId="0" fillId="7" borderId="13" xfId="0" applyFill="1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19" xfId="1" applyFill="1" applyBorder="1" applyAlignment="1">
      <alignment horizontal="center"/>
    </xf>
    <xf numFmtId="0" fontId="13" fillId="0" borderId="19" xfId="1" applyBorder="1" applyAlignment="1">
      <alignment horizontal="center"/>
    </xf>
    <xf numFmtId="0" fontId="13" fillId="0" borderId="18" xfId="1" applyBorder="1" applyAlignment="1">
      <alignment horizontal="center"/>
    </xf>
    <xf numFmtId="0" fontId="13" fillId="0" borderId="0" xfId="1" applyFill="1" applyBorder="1" applyAlignment="1">
      <alignment horizontal="center"/>
    </xf>
    <xf numFmtId="0" fontId="13" fillId="0" borderId="0" xfId="1" applyBorder="1" applyAlignment="1">
      <alignment horizontal="center"/>
    </xf>
    <xf numFmtId="0" fontId="13" fillId="0" borderId="20" xfId="1" applyBorder="1" applyAlignment="1">
      <alignment horizontal="center"/>
    </xf>
    <xf numFmtId="0" fontId="13" fillId="0" borderId="22" xfId="1" applyFill="1" applyBorder="1" applyAlignment="1">
      <alignment horizontal="center"/>
    </xf>
    <xf numFmtId="0" fontId="13" fillId="0" borderId="22" xfId="1" applyBorder="1" applyAlignment="1">
      <alignment horizontal="center"/>
    </xf>
    <xf numFmtId="0" fontId="13" fillId="0" borderId="21" xfId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10" fontId="10" fillId="0" borderId="3" xfId="0" applyNumberFormat="1" applyFont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10" fontId="6" fillId="0" borderId="0" xfId="0" applyNumberFormat="1" applyFont="1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results_rd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L16" sqref="L16"/>
    </sheetView>
  </sheetViews>
  <sheetFormatPr defaultColWidth="8.77734375" defaultRowHeight="17.25"/>
  <cols>
    <col min="2" max="2" width="10.6640625" customWidth="1"/>
    <col min="3" max="8" width="10" customWidth="1"/>
    <col min="11" max="11" width="8.77734375" customWidth="1"/>
    <col min="14" max="14" width="10.33203125" style="102" customWidth="1"/>
    <col min="15" max="18" width="9" style="102" customWidth="1"/>
    <col min="19" max="19" width="13" style="102" customWidth="1"/>
    <col min="20" max="20" width="15.109375" style="102" customWidth="1"/>
  </cols>
  <sheetData>
    <row r="2" spans="1:20" ht="31.5">
      <c r="B2" s="100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9"/>
      <c r="C4" s="110" t="s">
        <v>26</v>
      </c>
      <c r="D4" s="111" t="s">
        <v>27</v>
      </c>
      <c r="E4" s="112" t="s">
        <v>28</v>
      </c>
      <c r="F4" s="113" t="s">
        <v>58</v>
      </c>
      <c r="G4" s="114" t="s">
        <v>59</v>
      </c>
      <c r="H4" s="115" t="s">
        <v>60</v>
      </c>
      <c r="I4" s="111" t="s">
        <v>42</v>
      </c>
      <c r="J4" s="116" t="s">
        <v>43</v>
      </c>
      <c r="K4" s="112" t="s">
        <v>44</v>
      </c>
      <c r="M4" s="25"/>
      <c r="N4" s="25"/>
      <c r="O4"/>
      <c r="P4"/>
      <c r="Q4"/>
      <c r="R4"/>
      <c r="S4"/>
      <c r="T4"/>
    </row>
    <row r="5" spans="1:20">
      <c r="A5" s="90"/>
      <c r="B5" s="35" t="str">
        <f>'experimental data'!B3</f>
        <v>Balloons</v>
      </c>
      <c r="C5" s="162">
        <f>'experimental data'!U3</f>
        <v>0</v>
      </c>
      <c r="D5" s="163">
        <f>'experimental data'!U7</f>
        <v>-1.1874480255820163E-3</v>
      </c>
      <c r="E5" s="164">
        <f>'experimental data'!U11</f>
        <v>-1.1974945422132954E-3</v>
      </c>
      <c r="F5" s="162">
        <f>'experimental data'!U434</f>
        <v>-2.2411850135595213E-4</v>
      </c>
      <c r="G5" s="163">
        <f>bdrate('experimental data'!E450:E453,'experimental data'!F434:F437,'experimental data'!M450:M453,'experimental data'!N434:N437)</f>
        <v>-3.8521730976759372E-4</v>
      </c>
      <c r="H5" s="164">
        <f>'experimental data'!U442</f>
        <v>-6.4599625422034901E-4</v>
      </c>
      <c r="I5" s="59">
        <f>'experimental data'!Y51</f>
        <v>0.48236953695533857</v>
      </c>
      <c r="J5" s="104">
        <f>'experimental data'!Z51</f>
        <v>0.41791249496026472</v>
      </c>
      <c r="K5" s="60" t="e">
        <f>'experimental data'!AA51</f>
        <v>#NUM!</v>
      </c>
      <c r="L5" s="90"/>
      <c r="M5" s="61"/>
      <c r="N5" s="61"/>
      <c r="O5"/>
      <c r="P5"/>
      <c r="Q5"/>
      <c r="R5"/>
      <c r="S5"/>
      <c r="T5"/>
    </row>
    <row r="6" spans="1:20">
      <c r="A6" s="90"/>
      <c r="B6" s="36" t="str">
        <f>'experimental data'!B55</f>
        <v>Kendo</v>
      </c>
      <c r="C6" s="165">
        <f>'experimental data'!U55</f>
        <v>0</v>
      </c>
      <c r="D6" s="166">
        <f>'experimental data'!U59</f>
        <v>8.61242255498329E-4</v>
      </c>
      <c r="E6" s="167">
        <f>'experimental data'!U63</f>
        <v>-1.5687802251530547E-3</v>
      </c>
      <c r="F6" s="165">
        <f>'experimental data'!U458</f>
        <v>8.5480046145836042E-6</v>
      </c>
      <c r="G6" s="166">
        <f>bdrate('experimental data'!E474:E477,'experimental data'!F458:F461,'experimental data'!M474:M477,'experimental data'!N458:N461)</f>
        <v>9.1252713751321934E-5</v>
      </c>
      <c r="H6" s="167">
        <f>'experimental data'!U466</f>
        <v>2.5702984379494254E-4</v>
      </c>
      <c r="I6" s="61">
        <f>'experimental data'!Y103</f>
        <v>0.68012845081118822</v>
      </c>
      <c r="J6" s="105">
        <f>'experimental data'!Z103</f>
        <v>0.73230978460678764</v>
      </c>
      <c r="K6" s="57" t="e">
        <f>'experimental data'!AA103</f>
        <v>#NUM!</v>
      </c>
      <c r="L6" s="90"/>
      <c r="M6" s="61"/>
      <c r="N6" s="61"/>
      <c r="O6"/>
      <c r="P6"/>
      <c r="Q6"/>
      <c r="R6"/>
      <c r="S6"/>
      <c r="T6"/>
    </row>
    <row r="7" spans="1:20">
      <c r="A7" s="90"/>
      <c r="B7" s="36" t="str">
        <f>'experimental data'!B107</f>
        <v>Newspaper_CC</v>
      </c>
      <c r="C7" s="165">
        <f>'experimental data'!U107</f>
        <v>0</v>
      </c>
      <c r="D7" s="166">
        <f>'experimental data'!U111</f>
        <v>-7.2808391210965606E-4</v>
      </c>
      <c r="E7" s="167">
        <f>'experimental data'!U115</f>
        <v>-1.451912957184498E-3</v>
      </c>
      <c r="F7" s="165">
        <f>'experimental data'!U482</f>
        <v>-3.44557018348568E-4</v>
      </c>
      <c r="G7" s="166">
        <f>bdrate('experimental data'!E498:E501,'experimental data'!F482:F485,'experimental data'!M498:M501,'experimental data'!N482:N485)</f>
        <v>-1.4523910867270118E-4</v>
      </c>
      <c r="H7" s="167">
        <f>'experimental data'!U490</f>
        <v>-1.06890390566583E-3</v>
      </c>
      <c r="I7" s="61">
        <f>'experimental data'!Y155</f>
        <v>0.48541886536923567</v>
      </c>
      <c r="J7" s="105">
        <f>'experimental data'!Z155</f>
        <v>0.45667963517180304</v>
      </c>
      <c r="K7" s="57" t="e">
        <f>'experimental data'!AA155</f>
        <v>#NUM!</v>
      </c>
      <c r="L7" s="90"/>
      <c r="M7" s="177"/>
      <c r="N7" s="61"/>
      <c r="O7"/>
      <c r="P7"/>
      <c r="Q7"/>
      <c r="R7"/>
      <c r="S7"/>
      <c r="T7"/>
    </row>
    <row r="8" spans="1:20">
      <c r="A8" s="90"/>
      <c r="B8" s="36" t="str">
        <f>'experimental data'!B159</f>
        <v>GT_Fly</v>
      </c>
      <c r="C8" s="165">
        <f>'experimental data'!U159</f>
        <v>0</v>
      </c>
      <c r="D8" s="166">
        <f>'experimental data'!U163</f>
        <v>-1.9422020247478189E-3</v>
      </c>
      <c r="E8" s="167">
        <f>'experimental data'!U167</f>
        <v>5.834499804240334E-4</v>
      </c>
      <c r="F8" s="165">
        <f>'experimental data'!U506</f>
        <v>-1.4651518206221237E-4</v>
      </c>
      <c r="G8" s="166">
        <f>bdrate('experimental data'!E522:E525,'experimental data'!F506:F509,'experimental data'!M522:M525,'experimental data'!N506:N509)</f>
        <v>-1.4881479794415231E-4</v>
      </c>
      <c r="H8" s="167">
        <f>'experimental data'!U514</f>
        <v>-1.7887976553887519E-5</v>
      </c>
      <c r="I8" s="61">
        <f>'experimental data'!Y207</f>
        <v>0.47524886956346041</v>
      </c>
      <c r="J8" s="105">
        <f>'experimental data'!Z207</f>
        <v>0.45651189725693125</v>
      </c>
      <c r="K8" s="57" t="e">
        <f>'experimental data'!AA207</f>
        <v>#NUM!</v>
      </c>
      <c r="L8" s="90"/>
      <c r="M8" s="61"/>
      <c r="N8" s="61"/>
      <c r="O8"/>
      <c r="P8"/>
      <c r="Q8"/>
      <c r="R8"/>
      <c r="S8"/>
      <c r="T8"/>
    </row>
    <row r="9" spans="1:20">
      <c r="A9" s="90"/>
      <c r="B9" s="36" t="str">
        <f>'experimental data'!B211</f>
        <v>Poznan_Hall2</v>
      </c>
      <c r="C9" s="165">
        <f>'experimental data'!U211</f>
        <v>0</v>
      </c>
      <c r="D9" s="166">
        <f>'experimental data'!U215</f>
        <v>9.9729229949674369E-4</v>
      </c>
      <c r="E9" s="167">
        <f>'experimental data'!U219</f>
        <v>-2.8460510934980032E-3</v>
      </c>
      <c r="F9" s="165">
        <f>'experimental data'!U530</f>
        <v>-2.0602840233363562E-4</v>
      </c>
      <c r="G9" s="166">
        <f>bdrate('experimental data'!E546:E549,'experimental data'!F530:F533,'experimental data'!M546:M549,'experimental data'!N530:N533)</f>
        <v>-1.3998276623450323E-4</v>
      </c>
      <c r="H9" s="167">
        <f>'experimental data'!U538</f>
        <v>-1.097773929920276E-3</v>
      </c>
      <c r="I9" s="61">
        <f>'experimental data'!Y259</f>
        <v>0.9622207904365202</v>
      </c>
      <c r="J9" s="105">
        <f>'experimental data'!Z259</f>
        <v>1.0047031224463245</v>
      </c>
      <c r="K9" s="57" t="e">
        <f>'experimental data'!AA259</f>
        <v>#NUM!</v>
      </c>
      <c r="L9" s="90"/>
      <c r="M9" s="61"/>
      <c r="N9" s="61"/>
      <c r="O9"/>
      <c r="P9"/>
      <c r="Q9"/>
      <c r="R9"/>
      <c r="S9"/>
      <c r="T9"/>
    </row>
    <row r="10" spans="1:20">
      <c r="A10" s="90"/>
      <c r="B10" s="36" t="str">
        <f>'experimental data'!B263</f>
        <v>Poznan_Street</v>
      </c>
      <c r="C10" s="165">
        <f>'experimental data'!U263</f>
        <v>0</v>
      </c>
      <c r="D10" s="166">
        <f>'experimental data'!U267</f>
        <v>-2.1377913826504669E-3</v>
      </c>
      <c r="E10" s="167">
        <f>'experimental data'!U271</f>
        <v>-8.3936484169255809E-4</v>
      </c>
      <c r="F10" s="165">
        <f>'experimental data'!U554</f>
        <v>-3.9281325365436714E-4</v>
      </c>
      <c r="G10" s="166">
        <f>bdrate('experimental data'!E570:E573,'experimental data'!F554:F557,'experimental data'!M570:M573,'experimental data'!N554:N557)</f>
        <v>-4.0883008834469159E-4</v>
      </c>
      <c r="H10" s="167">
        <f>'experimental data'!U562</f>
        <v>-4.3682697657587699E-4</v>
      </c>
      <c r="I10" s="61">
        <f>'experimental data'!Y311</f>
        <v>0.84848316949956426</v>
      </c>
      <c r="J10" s="105">
        <f>'experimental data'!Z311</f>
        <v>0.75774444257229545</v>
      </c>
      <c r="K10" s="57" t="e">
        <f>'experimental data'!AA311</f>
        <v>#NUM!</v>
      </c>
      <c r="L10" s="90"/>
      <c r="M10" s="61"/>
      <c r="N10" s="61"/>
      <c r="O10"/>
      <c r="P10"/>
      <c r="Q10"/>
      <c r="R10"/>
      <c r="S10"/>
      <c r="T10"/>
    </row>
    <row r="11" spans="1:20">
      <c r="A11" s="90"/>
      <c r="B11" s="36" t="str">
        <f>'experimental data'!B315</f>
        <v>Undo_Dancer</v>
      </c>
      <c r="C11" s="165">
        <f>'experimental data'!U315</f>
        <v>0</v>
      </c>
      <c r="D11" s="166">
        <f>'experimental data'!U319</f>
        <v>-7.0930569265614807E-4</v>
      </c>
      <c r="E11" s="167">
        <f>'experimental data'!U323</f>
        <v>4.0807828128031076E-4</v>
      </c>
      <c r="F11" s="165">
        <f>'experimental data'!U578</f>
        <v>-8.7632120261194046E-5</v>
      </c>
      <c r="G11" s="166">
        <f>bdrate('experimental data'!E594:E597,'experimental data'!F578:F581,'experimental data'!M594:M597,'experimental data'!N578:N581)</f>
        <v>-1.4871885743383828E-4</v>
      </c>
      <c r="H11" s="167">
        <f>'experimental data'!U586</f>
        <v>3.0581144385521952E-4</v>
      </c>
      <c r="I11" s="61">
        <f>'experimental data'!Y363</f>
        <v>0.59051841022299978</v>
      </c>
      <c r="J11" s="105">
        <f>'experimental data'!Z363</f>
        <v>0.52750684987929874</v>
      </c>
      <c r="K11" s="57" t="e">
        <f>'experimental data'!AA363</f>
        <v>#NUM!</v>
      </c>
      <c r="L11" s="90"/>
      <c r="M11" s="61"/>
      <c r="N11" s="61"/>
      <c r="O11"/>
      <c r="P11"/>
      <c r="Q11"/>
      <c r="R11"/>
      <c r="S11"/>
      <c r="T11"/>
    </row>
    <row r="12" spans="1:20" ht="18" thickBot="1">
      <c r="A12" s="90"/>
      <c r="B12" s="52" t="str">
        <f>'experimental data'!B598</f>
        <v>Shark</v>
      </c>
      <c r="C12" s="168">
        <f>'experimental data'!U367</f>
        <v>0</v>
      </c>
      <c r="D12" s="169">
        <f>'experimental data'!U371</f>
        <v>-7.1170533252173929E-4</v>
      </c>
      <c r="E12" s="170">
        <f>'experimental data'!U375</f>
        <v>-6.9464520483508707E-4</v>
      </c>
      <c r="F12" s="168">
        <f>'experimental data'!U602</f>
        <v>-1.1515155451879977E-4</v>
      </c>
      <c r="G12" s="169">
        <f>bdrate('experimental data'!E618:E621,'experimental data'!F602:F605,'experimental data'!M618:M621,'experimental data'!N602:N605)</f>
        <v>-1.4966623114542887E-4</v>
      </c>
      <c r="H12" s="170">
        <f>'experimental data'!U610</f>
        <v>-6.5742480446551177E-5</v>
      </c>
      <c r="I12" s="63">
        <f>'experimental data'!Y415</f>
        <v>0.47667588752717455</v>
      </c>
      <c r="J12" s="106">
        <f>'experimental data'!Z415</f>
        <v>0.46999201191261258</v>
      </c>
      <c r="K12" s="64" t="e">
        <f>'experimental data'!AA415</f>
        <v>#NUM!</v>
      </c>
      <c r="N12"/>
      <c r="O12"/>
      <c r="P12"/>
      <c r="Q12"/>
      <c r="R12"/>
      <c r="S12"/>
      <c r="T12"/>
    </row>
    <row r="13" spans="1:20">
      <c r="A13" s="90"/>
      <c r="B13" s="35" t="s">
        <v>18</v>
      </c>
      <c r="C13" s="162">
        <f t="shared" ref="C13:K13" si="0">AVERAGE(C5:C7)</f>
        <v>0</v>
      </c>
      <c r="D13" s="163">
        <f t="shared" si="0"/>
        <v>-3.514298940644478E-4</v>
      </c>
      <c r="E13" s="164">
        <f t="shared" si="0"/>
        <v>-1.4060625748502826E-3</v>
      </c>
      <c r="F13" s="162">
        <f t="shared" si="0"/>
        <v>-1.867091716966455E-4</v>
      </c>
      <c r="G13" s="163">
        <f t="shared" si="0"/>
        <v>-1.4640123489632431E-4</v>
      </c>
      <c r="H13" s="164">
        <f t="shared" si="0"/>
        <v>-4.8595677203041215E-4</v>
      </c>
      <c r="I13" s="58">
        <f t="shared" si="0"/>
        <v>0.54930561771192088</v>
      </c>
      <c r="J13" s="104">
        <f t="shared" si="0"/>
        <v>0.53563397157961845</v>
      </c>
      <c r="K13" s="60" t="e">
        <f t="shared" si="0"/>
        <v>#NUM!</v>
      </c>
      <c r="L13" s="90"/>
      <c r="M13" s="61"/>
      <c r="N13" s="61"/>
      <c r="O13"/>
      <c r="P13"/>
      <c r="Q13"/>
      <c r="R13"/>
      <c r="S13"/>
      <c r="T13"/>
    </row>
    <row r="14" spans="1:20" ht="18" thickBot="1">
      <c r="A14" s="90"/>
      <c r="B14" s="36" t="s">
        <v>19</v>
      </c>
      <c r="C14" s="165">
        <f>AVERAGE(C8:C12)</f>
        <v>0</v>
      </c>
      <c r="D14" s="166">
        <f t="shared" ref="D14:K14" si="1">AVERAGE(D8:D12)</f>
        <v>-9.007424266158859E-4</v>
      </c>
      <c r="E14" s="167">
        <f t="shared" si="1"/>
        <v>-6.7770657566426087E-4</v>
      </c>
      <c r="F14" s="168">
        <f t="shared" si="1"/>
        <v>-1.896281025660418E-4</v>
      </c>
      <c r="G14" s="169">
        <f t="shared" si="1"/>
        <v>-1.9920254822052285E-4</v>
      </c>
      <c r="H14" s="170">
        <f t="shared" si="1"/>
        <v>-2.6248398392827446E-4</v>
      </c>
      <c r="I14" s="62">
        <f t="shared" si="1"/>
        <v>0.67062942544994386</v>
      </c>
      <c r="J14" s="106">
        <f t="shared" si="1"/>
        <v>0.64329166481349254</v>
      </c>
      <c r="K14" s="64" t="e">
        <f t="shared" si="1"/>
        <v>#NUM!</v>
      </c>
      <c r="L14" s="90"/>
      <c r="M14" s="61"/>
      <c r="N14" s="61"/>
      <c r="O14"/>
      <c r="P14"/>
      <c r="Q14"/>
      <c r="R14"/>
      <c r="S14"/>
      <c r="T14"/>
    </row>
    <row r="15" spans="1:20" ht="18" thickBot="1">
      <c r="A15" s="90"/>
      <c r="B15" s="93" t="s">
        <v>34</v>
      </c>
      <c r="C15" s="171">
        <f>AVERAGE(C5:C12)</f>
        <v>0</v>
      </c>
      <c r="D15" s="172">
        <f t="shared" ref="D15:K15" si="2">AVERAGE(D5:D12)</f>
        <v>-6.947502269090966E-4</v>
      </c>
      <c r="E15" s="173">
        <f t="shared" si="2"/>
        <v>-9.5084007535901904E-4</v>
      </c>
      <c r="F15" s="174">
        <f t="shared" si="2"/>
        <v>-1.8853350349001818E-4</v>
      </c>
      <c r="G15" s="175">
        <f t="shared" si="2"/>
        <v>-1.7940205572394841E-4</v>
      </c>
      <c r="H15" s="176">
        <f t="shared" si="2"/>
        <v>-3.4628627946657609E-4</v>
      </c>
      <c r="I15" s="98">
        <f>AVERAGE(I5:I12)</f>
        <v>0.62513299754818519</v>
      </c>
      <c r="J15" s="107">
        <f t="shared" si="2"/>
        <v>0.60292002985078974</v>
      </c>
      <c r="K15" s="99" t="e">
        <f t="shared" si="2"/>
        <v>#NUM!</v>
      </c>
      <c r="M15" s="101"/>
      <c r="N15" s="101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31.5">
      <c r="B18" s="100" t="s">
        <v>46</v>
      </c>
      <c r="N18"/>
      <c r="O18"/>
      <c r="P18"/>
      <c r="Q18"/>
      <c r="R18"/>
      <c r="S18"/>
      <c r="T18"/>
    </row>
    <row r="19" spans="1:20" ht="18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09"/>
      <c r="C20" s="110" t="s">
        <v>26</v>
      </c>
      <c r="D20" s="111" t="s">
        <v>27</v>
      </c>
      <c r="E20" s="113" t="s">
        <v>58</v>
      </c>
      <c r="F20" s="114" t="s">
        <v>59</v>
      </c>
      <c r="G20" s="115" t="s">
        <v>60</v>
      </c>
      <c r="I20" s="61"/>
      <c r="J20" s="61"/>
      <c r="N20"/>
      <c r="O20"/>
      <c r="P20"/>
      <c r="Q20"/>
      <c r="R20"/>
      <c r="S20"/>
      <c r="T20"/>
    </row>
    <row r="21" spans="1:20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-1.1874480255820163E-3</v>
      </c>
      <c r="E21" s="8">
        <f>'experimental data'!U430</f>
        <v>-4.162610736113681E-5</v>
      </c>
      <c r="F21" s="9">
        <f>bdrate('experimental data'!E446:E449,'experimental data'!F430:F433,'experimental data'!M446:M449,'experimental data'!N430:N433)</f>
        <v>-6.0716188444942532E-5</v>
      </c>
      <c r="G21" s="10">
        <f>'experimental data'!U438</f>
        <v>-6.919032672478842E-4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8.61242255498329E-4</v>
      </c>
      <c r="E22" s="17">
        <f>'experimental data'!U454</f>
        <v>2.3605213628719035E-4</v>
      </c>
      <c r="F22" s="18">
        <f>bdrate('experimental data'!E470:E473,'experimental data'!F454:F457,'experimental data'!M470:M473,'experimental data'!N454:N457)</f>
        <v>2.8456578726276938E-4</v>
      </c>
      <c r="G22" s="19">
        <f>'experimental data'!U462</f>
        <v>-2.0023055417828228E-4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-7.2808391210965606E-4</v>
      </c>
      <c r="E23" s="17">
        <f>'experimental data'!U478</f>
        <v>-2.5676539323493675E-4</v>
      </c>
      <c r="F23" s="18">
        <f>bdrate('experimental data'!E494:E497,'experimental data'!F478:F481,'experimental data'!M494:M497,'experimental data'!N478:N481)</f>
        <v>-2.2770793630810804E-4</v>
      </c>
      <c r="G23" s="19">
        <f>'experimental data'!U486</f>
        <v>-1.6864708787506233E-3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-1.9422020247478189E-3</v>
      </c>
      <c r="E24" s="17">
        <f>'experimental data'!U502</f>
        <v>-1.9992041792715742E-4</v>
      </c>
      <c r="F24" s="18">
        <f>bdrate('experimental data'!E518:E521,'experimental data'!F502:F505,'experimental data'!M518:M521,'experimental data'!N502:N505)</f>
        <v>-1.6274911942781856E-4</v>
      </c>
      <c r="G24" s="19">
        <f>'experimental data'!U510</f>
        <v>2.3789502848092781E-5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9.9729229949674369E-4</v>
      </c>
      <c r="E25" s="17">
        <f>'experimental data'!U526</f>
        <v>4.0011752022883762E-4</v>
      </c>
      <c r="F25" s="18">
        <f>bdrate('experimental data'!E542:E545,'experimental data'!F526:F529,'experimental data'!M542:M545,'experimental data'!N526:N529)</f>
        <v>3.6280824571166548E-4</v>
      </c>
      <c r="G25" s="19">
        <f>'experimental data'!U534</f>
        <v>-9.9177735363742414E-4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-2.1377913826504669E-3</v>
      </c>
      <c r="E26" s="17">
        <f>'experimental data'!U550</f>
        <v>-3.6510867673422709E-4</v>
      </c>
      <c r="F26" s="18">
        <f>bdrate('experimental data'!E566:E569,'experimental data'!F550:F553,'experimental data'!M566:M569,'experimental data'!N550:N553)</f>
        <v>-3.5696499212234389E-4</v>
      </c>
      <c r="G26" s="19">
        <f>'experimental data'!U558</f>
        <v>-4.6693910208539524E-4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-7.0930569265614807E-4</v>
      </c>
      <c r="E27" s="17">
        <f>'experimental data'!U574</f>
        <v>-9.4488422090810431E-5</v>
      </c>
      <c r="F27" s="18">
        <f>bdrate('experimental data'!E590:E593,'experimental data'!F574:F577,'experimental data'!M590:M593,'experimental data'!N574:N577)</f>
        <v>-1.2337462099887286E-4</v>
      </c>
      <c r="G27" s="19">
        <f>'experimental data'!U582</f>
        <v>3.8789592783694538E-4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8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-7.1170533252173929E-4</v>
      </c>
      <c r="E28" s="91">
        <f>'experimental data'!U598</f>
        <v>-2.4314139760450715E-5</v>
      </c>
      <c r="F28" s="75">
        <f>bdrate('experimental data'!E614:E617,'experimental data'!F598:F601,'experimental data'!M614:M617,'experimental data'!N598:N601)</f>
        <v>-8.4805059981984954E-5</v>
      </c>
      <c r="G28" s="92">
        <f>'experimental data'!U606</f>
        <v>1.8044315255005827E-4</v>
      </c>
      <c r="H28" s="18"/>
      <c r="I28" s="61"/>
      <c r="J28" s="61"/>
      <c r="K28" s="61"/>
      <c r="L28" s="90"/>
      <c r="M28" s="90"/>
    </row>
    <row r="29" spans="1:20">
      <c r="A29" s="90"/>
      <c r="B29" s="35" t="s">
        <v>18</v>
      </c>
      <c r="C29" s="8">
        <f>AVERAGE(C21:C23)</f>
        <v>0</v>
      </c>
      <c r="D29" s="9">
        <f>AVERAGE(D21:D23)</f>
        <v>-3.514298940644478E-4</v>
      </c>
      <c r="E29" s="8">
        <f>AVERAGE(E21:E23)</f>
        <v>-2.0779788102961067E-5</v>
      </c>
      <c r="F29" s="9">
        <f>AVERAGE(F21:F23)</f>
        <v>-1.2861124967603981E-6</v>
      </c>
      <c r="G29" s="10">
        <f>AVERAGE(G21:G23)</f>
        <v>-8.5953490005892996E-4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8" thickBot="1">
      <c r="A30" s="90"/>
      <c r="B30" s="36" t="s">
        <v>19</v>
      </c>
      <c r="C30" s="17">
        <f>AVERAGE(C24:C28)</f>
        <v>0</v>
      </c>
      <c r="D30" s="18">
        <f>AVERAGE(D24:D28)</f>
        <v>-9.007424266158859E-4</v>
      </c>
      <c r="E30" s="91">
        <f>AVERAGE(E24:E28)</f>
        <v>-5.6742827256761608E-5</v>
      </c>
      <c r="F30" s="75">
        <f>AVERAGE(F24:F28)</f>
        <v>-7.3017109363870955E-5</v>
      </c>
      <c r="G30" s="92">
        <f>AVERAGE(G24:G28)</f>
        <v>-1.733175744975446E-4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8" thickBot="1">
      <c r="A31" s="90"/>
      <c r="B31" s="93" t="s">
        <v>34</v>
      </c>
      <c r="C31" s="94">
        <f>AVERAGE(C21:C28)</f>
        <v>0</v>
      </c>
      <c r="D31" s="95">
        <f>AVERAGE(D21:D28)</f>
        <v>-6.947502269090966E-4</v>
      </c>
      <c r="E31" s="96">
        <f>AVERAGE(E21:E28)</f>
        <v>-4.3256687574086405E-5</v>
      </c>
      <c r="F31" s="108">
        <f>AVERAGE(F21:F28)</f>
        <v>-4.6117985538704498E-5</v>
      </c>
      <c r="G31" s="97">
        <f>AVERAGE(G21:G28)</f>
        <v>-4.3064907158306409E-4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3"/>
    </row>
    <row r="58" spans="1:14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3"/>
    </row>
    <row r="59" spans="1:14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3"/>
    </row>
    <row r="60" spans="1:14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3"/>
    </row>
    <row r="61" spans="1:14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3"/>
    </row>
    <row r="62" spans="1:14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3"/>
    </row>
    <row r="63" spans="1:14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3"/>
    </row>
    <row r="64" spans="1:14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3"/>
    </row>
    <row r="65" spans="1:14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3"/>
    </row>
    <row r="66" spans="1:14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3"/>
    </row>
    <row r="67" spans="1:14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3"/>
    </row>
    <row r="68" spans="1:14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3"/>
    </row>
    <row r="69" spans="1:14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3"/>
    </row>
    <row r="70" spans="1:14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3"/>
    </row>
    <row r="71" spans="1:14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3"/>
    </row>
    <row r="72" spans="1:14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3"/>
    </row>
    <row r="73" spans="1:14">
      <c r="A73" s="90"/>
      <c r="I73" s="61"/>
      <c r="J73" s="61"/>
      <c r="K73" s="61"/>
      <c r="L73" s="90"/>
      <c r="M73" s="90"/>
      <c r="N73" s="103"/>
    </row>
    <row r="74" spans="1:14">
      <c r="A74" s="90"/>
      <c r="I74" s="61"/>
      <c r="J74" s="61"/>
      <c r="K74" s="61"/>
      <c r="L74" s="90"/>
      <c r="M74" s="90"/>
      <c r="N74" s="103"/>
    </row>
    <row r="75" spans="1:14">
      <c r="A75" s="90"/>
      <c r="I75" s="61"/>
      <c r="J75" s="61"/>
      <c r="K75" s="61"/>
      <c r="L75" s="90"/>
      <c r="M75" s="90"/>
      <c r="N75" s="103"/>
    </row>
    <row r="76" spans="1:14">
      <c r="A76" s="90"/>
      <c r="I76" s="61"/>
      <c r="J76" s="61"/>
      <c r="K76" s="61"/>
      <c r="L76" s="90"/>
      <c r="M76" s="90"/>
      <c r="N76" s="103"/>
    </row>
    <row r="77" spans="1:14">
      <c r="A77" s="90"/>
      <c r="I77" s="61"/>
      <c r="J77" s="61"/>
      <c r="K77" s="61"/>
      <c r="L77" s="90"/>
      <c r="M77" s="90"/>
      <c r="N77" s="103"/>
    </row>
    <row r="78" spans="1:14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3"/>
    </row>
    <row r="79" spans="1:14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3"/>
    </row>
    <row r="80" spans="1:14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3"/>
    </row>
    <row r="81" spans="1:14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3"/>
    </row>
    <row r="82" spans="1:14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3"/>
    </row>
    <row r="83" spans="1:14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3"/>
    </row>
    <row r="84" spans="1:14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3"/>
    </row>
    <row r="85" spans="1:14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3"/>
    </row>
    <row r="86" spans="1:14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3"/>
    </row>
    <row r="87" spans="1:14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3"/>
    </row>
    <row r="88" spans="1:14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3"/>
    </row>
    <row r="89" spans="1:14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3"/>
    </row>
    <row r="90" spans="1:14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3"/>
    </row>
    <row r="91" spans="1:14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3"/>
    </row>
    <row r="92" spans="1:14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3"/>
    </row>
    <row r="93" spans="1:14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3"/>
    </row>
    <row r="94" spans="1:14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3"/>
    </row>
    <row r="95" spans="1:14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3"/>
    </row>
    <row r="96" spans="1:14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3"/>
    </row>
    <row r="97" spans="1:14">
      <c r="A97" s="90"/>
      <c r="I97" s="61"/>
      <c r="J97" s="61"/>
      <c r="K97" s="61"/>
      <c r="L97" s="90"/>
      <c r="M97" s="90"/>
      <c r="N97" s="103"/>
    </row>
    <row r="98" spans="1:14">
      <c r="A98" s="90"/>
      <c r="I98" s="61"/>
      <c r="J98" s="61"/>
      <c r="K98" s="61"/>
      <c r="L98" s="90"/>
      <c r="M98" s="90"/>
      <c r="N98" s="103"/>
    </row>
    <row r="99" spans="1:14">
      <c r="A99" s="90"/>
      <c r="I99" s="61"/>
      <c r="J99" s="61"/>
      <c r="K99" s="61"/>
      <c r="L99" s="90"/>
      <c r="M99" s="90"/>
      <c r="N99" s="103"/>
    </row>
    <row r="100" spans="1:14">
      <c r="A100" s="90"/>
      <c r="I100" s="61"/>
      <c r="J100" s="61"/>
      <c r="K100" s="61"/>
      <c r="L100" s="90"/>
      <c r="M100" s="90"/>
      <c r="N100" s="103"/>
    </row>
    <row r="101" spans="1:14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3"/>
    </row>
    <row r="102" spans="1:14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3"/>
    </row>
    <row r="103" spans="1:14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3"/>
    </row>
    <row r="104" spans="1:14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3"/>
    </row>
    <row r="105" spans="1:14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3"/>
    </row>
    <row r="106" spans="1:14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3"/>
    </row>
    <row r="107" spans="1:14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3"/>
    </row>
    <row r="108" spans="1:14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3"/>
    </row>
    <row r="110" spans="1:14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3"/>
    </row>
    <row r="111" spans="1:14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3"/>
    </row>
    <row r="112" spans="1:14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3"/>
    </row>
    <row r="113" spans="1:14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3"/>
    </row>
    <row r="114" spans="1:14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3"/>
    </row>
    <row r="115" spans="1:14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3"/>
    </row>
    <row r="116" spans="1:14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3"/>
    </row>
    <row r="117" spans="1:14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3"/>
    </row>
    <row r="118" spans="1:14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3"/>
    </row>
    <row r="119" spans="1:14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3"/>
    </row>
    <row r="120" spans="1:14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3"/>
    </row>
    <row r="121" spans="1:14">
      <c r="A121" s="90"/>
      <c r="I121" s="61"/>
      <c r="J121" s="61"/>
      <c r="K121" s="61"/>
      <c r="L121" s="90"/>
      <c r="M121" s="90"/>
      <c r="N121" s="103"/>
    </row>
    <row r="122" spans="1:14">
      <c r="A122" s="90"/>
      <c r="I122" s="61"/>
      <c r="J122" s="61"/>
      <c r="K122" s="61"/>
      <c r="L122" s="90"/>
      <c r="M122" s="90"/>
      <c r="N122" s="103"/>
    </row>
    <row r="123" spans="1:14">
      <c r="A123" s="90"/>
      <c r="I123" s="61"/>
      <c r="J123" s="61"/>
      <c r="K123" s="61"/>
      <c r="L123" s="90"/>
      <c r="M123" s="90"/>
      <c r="N123" s="103"/>
    </row>
    <row r="124" spans="1:14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3"/>
    </row>
    <row r="125" spans="1:14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3"/>
    </row>
    <row r="126" spans="1:14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3"/>
    </row>
    <row r="127" spans="1:14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3"/>
    </row>
    <row r="128" spans="1:14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3"/>
    </row>
    <row r="129" spans="1:14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3"/>
    </row>
    <row r="130" spans="1:14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3"/>
    </row>
    <row r="131" spans="1:14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3"/>
    </row>
    <row r="132" spans="1:14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3"/>
    </row>
    <row r="133" spans="1:14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3"/>
    </row>
    <row r="134" spans="1:14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3"/>
    </row>
    <row r="135" spans="1:14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3"/>
    </row>
    <row r="136" spans="1:14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3"/>
    </row>
    <row r="137" spans="1:14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3"/>
    </row>
    <row r="138" spans="1:14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3"/>
    </row>
    <row r="139" spans="1:14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3"/>
    </row>
    <row r="140" spans="1:14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3"/>
    </row>
    <row r="141" spans="1:14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3"/>
    </row>
    <row r="142" spans="1:14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3"/>
    </row>
    <row r="143" spans="1:14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3"/>
    </row>
    <row r="144" spans="1:14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3"/>
    </row>
    <row r="145" spans="1:14">
      <c r="A145" s="90"/>
      <c r="I145" s="61"/>
      <c r="J145" s="61"/>
      <c r="K145" s="61"/>
      <c r="L145" s="90"/>
      <c r="M145" s="90"/>
      <c r="N145" s="103"/>
    </row>
    <row r="146" spans="1:14">
      <c r="A146" s="90"/>
      <c r="I146" s="61"/>
      <c r="J146" s="61"/>
      <c r="K146" s="61"/>
      <c r="L146" s="90"/>
      <c r="M146" s="90"/>
      <c r="N146" s="103"/>
    </row>
    <row r="147" spans="1:14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3"/>
    </row>
    <row r="148" spans="1:14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3"/>
    </row>
    <row r="149" spans="1:14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3"/>
    </row>
    <row r="150" spans="1:14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3"/>
    </row>
    <row r="151" spans="1:14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3"/>
    </row>
    <row r="152" spans="1:14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3"/>
    </row>
    <row r="153" spans="1:14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3"/>
    </row>
    <row r="154" spans="1:14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3"/>
    </row>
    <row r="155" spans="1:14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3"/>
    </row>
    <row r="156" spans="1:14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3"/>
    </row>
    <row r="157" spans="1:14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3"/>
    </row>
    <row r="158" spans="1:14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3"/>
    </row>
    <row r="159" spans="1:14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3"/>
    </row>
    <row r="160" spans="1:14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3"/>
    </row>
    <row r="162" spans="1:14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3"/>
    </row>
    <row r="163" spans="1:14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3"/>
    </row>
    <row r="164" spans="1:14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3"/>
    </row>
    <row r="165" spans="1:14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3"/>
    </row>
    <row r="166" spans="1:14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3"/>
    </row>
    <row r="167" spans="1:14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3"/>
    </row>
    <row r="168" spans="1:14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3"/>
    </row>
    <row r="169" spans="1:14">
      <c r="A169" s="90"/>
      <c r="I169" s="61"/>
      <c r="J169" s="61"/>
      <c r="K169" s="61"/>
      <c r="L169" s="90"/>
      <c r="M169" s="90"/>
      <c r="N169" s="103"/>
    </row>
    <row r="170" spans="1:14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3"/>
    </row>
    <row r="171" spans="1:14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3"/>
    </row>
    <row r="172" spans="1:14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3"/>
    </row>
    <row r="173" spans="1:14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3"/>
    </row>
    <row r="174" spans="1:14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3"/>
    </row>
    <row r="175" spans="1:14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3"/>
    </row>
    <row r="176" spans="1:14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3"/>
    </row>
    <row r="177" spans="1:14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3"/>
    </row>
    <row r="178" spans="1:14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3"/>
    </row>
    <row r="179" spans="1:14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3"/>
    </row>
    <row r="180" spans="1:14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3"/>
    </row>
    <row r="181" spans="1:14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3"/>
    </row>
    <row r="182" spans="1:14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3"/>
    </row>
    <row r="183" spans="1:14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3"/>
    </row>
    <row r="184" spans="1:14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3"/>
    </row>
    <row r="185" spans="1:14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3"/>
    </row>
    <row r="186" spans="1:14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3"/>
    </row>
    <row r="187" spans="1:14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3"/>
    </row>
    <row r="188" spans="1:14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3"/>
    </row>
    <row r="189" spans="1:14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3"/>
    </row>
    <row r="190" spans="1:14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3"/>
    </row>
    <row r="191" spans="1:14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3"/>
    </row>
    <row r="192" spans="1:14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3"/>
    </row>
    <row r="193" spans="1:14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3"/>
    </row>
    <row r="194" spans="1:14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3"/>
    </row>
    <row r="195" spans="1:14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3"/>
    </row>
    <row r="196" spans="1:14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3"/>
    </row>
    <row r="197" spans="1:14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3"/>
    </row>
    <row r="198" spans="1:14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3"/>
    </row>
    <row r="199" spans="1:14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3"/>
    </row>
    <row r="200" spans="1:14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3"/>
    </row>
    <row r="201" spans="1:14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3"/>
    </row>
    <row r="202" spans="1:14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3"/>
    </row>
    <row r="203" spans="1:14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3"/>
    </row>
    <row r="204" spans="1:14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3"/>
    </row>
    <row r="205" spans="1:14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3"/>
    </row>
    <row r="206" spans="1:14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3"/>
    </row>
    <row r="207" spans="1:14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3"/>
    </row>
    <row r="208" spans="1:14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3"/>
    </row>
    <row r="209" spans="1:14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3"/>
    </row>
    <row r="210" spans="1:14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3"/>
    </row>
    <row r="211" spans="1:14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3"/>
    </row>
    <row r="212" spans="1:14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3"/>
    </row>
    <row r="266" spans="1:14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3"/>
    </row>
    <row r="267" spans="1:14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3"/>
    </row>
    <row r="268" spans="1:14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3"/>
    </row>
    <row r="269" spans="1:14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3"/>
    </row>
    <row r="270" spans="1:14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3"/>
    </row>
    <row r="271" spans="1:14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3"/>
    </row>
    <row r="272" spans="1:14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3"/>
    </row>
    <row r="273" spans="1:14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3"/>
    </row>
    <row r="274" spans="1:14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3"/>
    </row>
    <row r="275" spans="1:14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3"/>
    </row>
    <row r="276" spans="1:14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3"/>
    </row>
    <row r="277" spans="1:14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3"/>
    </row>
    <row r="278" spans="1:14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3"/>
    </row>
    <row r="279" spans="1:14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3"/>
    </row>
    <row r="280" spans="1:14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3"/>
    </row>
    <row r="281" spans="1:14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3"/>
    </row>
    <row r="282" spans="1:14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3"/>
    </row>
    <row r="283" spans="1:14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3"/>
    </row>
    <row r="284" spans="1:14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3"/>
    </row>
    <row r="285" spans="1:14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3"/>
    </row>
    <row r="286" spans="1:14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3"/>
    </row>
    <row r="287" spans="1:14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3"/>
    </row>
    <row r="288" spans="1:14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3"/>
    </row>
    <row r="289" spans="1:14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3"/>
    </row>
    <row r="290" spans="1:14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3"/>
    </row>
    <row r="291" spans="1:14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3"/>
    </row>
    <row r="292" spans="1:14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3"/>
    </row>
    <row r="293" spans="1:14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3"/>
    </row>
    <row r="294" spans="1:14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3"/>
    </row>
    <row r="295" spans="1:14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3"/>
    </row>
    <row r="296" spans="1:14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3"/>
    </row>
    <row r="297" spans="1:14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3"/>
    </row>
    <row r="298" spans="1:14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3"/>
    </row>
    <row r="299" spans="1:14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3"/>
    </row>
    <row r="300" spans="1:14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3"/>
    </row>
    <row r="301" spans="1:14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3"/>
    </row>
    <row r="302" spans="1:14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3"/>
    </row>
    <row r="303" spans="1:14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3"/>
    </row>
    <row r="304" spans="1:14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3"/>
    </row>
    <row r="305" spans="1: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3"/>
    </row>
    <row r="306" spans="1: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3"/>
    </row>
    <row r="307" spans="1: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3"/>
    </row>
    <row r="308" spans="1: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3"/>
    </row>
    <row r="309" spans="1: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3"/>
    </row>
    <row r="310" spans="1: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3"/>
    </row>
    <row r="311" spans="1: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3"/>
    </row>
    <row r="312" spans="1: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3"/>
    </row>
    <row r="313" spans="1: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3"/>
    </row>
    <row r="314" spans="1: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3"/>
    </row>
    <row r="315" spans="1: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3"/>
    </row>
    <row r="316" spans="1: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3"/>
      <c r="O317" s="103"/>
    </row>
    <row r="318" spans="1: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3"/>
      <c r="O318" s="103"/>
    </row>
    <row r="319" spans="1: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3"/>
      <c r="O319" s="103"/>
    </row>
    <row r="320" spans="1: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3"/>
      <c r="O320" s="103"/>
    </row>
    <row r="321" spans="1: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3"/>
      <c r="O321" s="103"/>
    </row>
    <row r="322" spans="1: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3"/>
      <c r="O322" s="103"/>
    </row>
    <row r="323" spans="1: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3"/>
      <c r="O323" s="103"/>
    </row>
    <row r="324" spans="1: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3"/>
      <c r="O324" s="103"/>
    </row>
    <row r="325" spans="1: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3"/>
      <c r="O325" s="103"/>
    </row>
    <row r="326" spans="1: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3"/>
      <c r="O326" s="103"/>
    </row>
    <row r="327" spans="1: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3"/>
      <c r="O327" s="103"/>
    </row>
    <row r="328" spans="1: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3"/>
      <c r="O328" s="103"/>
    </row>
    <row r="329" spans="1: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3"/>
      <c r="O329" s="103"/>
    </row>
    <row r="330" spans="1: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3"/>
      <c r="O330" s="103"/>
    </row>
    <row r="331" spans="1: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3"/>
      <c r="O331" s="103"/>
    </row>
    <row r="332" spans="1: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3"/>
      <c r="O332" s="103"/>
    </row>
    <row r="333" spans="1: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3"/>
      <c r="O333" s="103"/>
    </row>
    <row r="334" spans="1: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3"/>
      <c r="O334" s="103"/>
    </row>
    <row r="335" spans="1: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3"/>
      <c r="O335" s="103"/>
    </row>
    <row r="336" spans="1: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3"/>
      <c r="O336" s="103"/>
    </row>
    <row r="337" spans="1: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3"/>
      <c r="O337" s="103"/>
    </row>
    <row r="338" spans="1: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3"/>
      <c r="O338" s="103"/>
    </row>
    <row r="339" spans="1: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3"/>
      <c r="O339" s="103"/>
    </row>
    <row r="340" spans="1: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3"/>
      <c r="O340" s="103"/>
    </row>
    <row r="341" spans="1: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3"/>
      <c r="O341" s="103"/>
    </row>
    <row r="342" spans="1: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3"/>
      <c r="O342" s="103"/>
    </row>
    <row r="343" spans="1: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3"/>
      <c r="O343" s="103"/>
    </row>
    <row r="344" spans="1: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3"/>
      <c r="O344" s="103"/>
    </row>
    <row r="345" spans="1: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3"/>
      <c r="O345" s="103"/>
    </row>
    <row r="346" spans="1: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3"/>
      <c r="O346" s="103"/>
    </row>
    <row r="347" spans="1: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3"/>
      <c r="O347" s="103"/>
    </row>
    <row r="348" spans="1: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3"/>
      <c r="O348" s="103"/>
    </row>
    <row r="349" spans="1: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3"/>
      <c r="O349" s="103"/>
    </row>
    <row r="350" spans="1: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3"/>
      <c r="O350" s="103"/>
    </row>
    <row r="351" spans="1: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3"/>
      <c r="O351" s="103"/>
    </row>
    <row r="352" spans="1: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3"/>
      <c r="O352" s="103"/>
    </row>
    <row r="353" spans="1: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3"/>
      <c r="O353" s="103"/>
    </row>
    <row r="354" spans="1: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3"/>
      <c r="O354" s="103"/>
    </row>
    <row r="355" spans="1: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3"/>
      <c r="O355" s="103"/>
    </row>
    <row r="356" spans="1: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3"/>
      <c r="O356" s="103"/>
    </row>
    <row r="357" spans="1: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3"/>
      <c r="O357" s="103"/>
    </row>
    <row r="358" spans="1: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3"/>
      <c r="O358" s="103"/>
    </row>
    <row r="359" spans="1: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3"/>
      <c r="O359" s="103"/>
    </row>
    <row r="360" spans="1: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3"/>
      <c r="O360" s="103"/>
    </row>
    <row r="361" spans="1: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3"/>
      <c r="O361" s="103"/>
    </row>
    <row r="362" spans="1: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3"/>
      <c r="O362" s="103"/>
    </row>
    <row r="363" spans="1: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3"/>
      <c r="O363" s="103"/>
    </row>
    <row r="364" spans="1: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3"/>
      <c r="O364" s="103"/>
    </row>
    <row r="365" spans="1: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3"/>
      <c r="O365" s="103"/>
    </row>
    <row r="366" spans="1: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3"/>
      <c r="O366" s="103"/>
    </row>
    <row r="367" spans="1: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3"/>
      <c r="O367" s="103"/>
    </row>
    <row r="368" spans="1: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3"/>
      <c r="O368" s="103"/>
    </row>
    <row r="369" spans="1: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3"/>
      <c r="O369" s="103"/>
    </row>
    <row r="370" spans="1: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3"/>
      <c r="O370" s="103"/>
    </row>
    <row r="371" spans="1: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3"/>
      <c r="O371" s="103"/>
    </row>
    <row r="372" spans="1: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3"/>
      <c r="O372" s="103"/>
    </row>
    <row r="373" spans="1: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3"/>
      <c r="O373" s="103"/>
    </row>
    <row r="374" spans="1: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3"/>
      <c r="O374" s="103"/>
    </row>
    <row r="375" spans="1: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3"/>
      <c r="O375" s="103"/>
    </row>
    <row r="376" spans="1: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3"/>
      <c r="O376" s="103"/>
    </row>
    <row r="377" spans="1: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3"/>
      <c r="O377" s="103"/>
    </row>
    <row r="378" spans="1: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3"/>
      <c r="O378" s="103"/>
    </row>
    <row r="379" spans="1: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3"/>
      <c r="O379" s="103"/>
    </row>
    <row r="380" spans="1: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3"/>
      <c r="O380" s="103"/>
    </row>
    <row r="381" spans="1: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3"/>
      <c r="O381" s="103"/>
    </row>
    <row r="382" spans="1: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3"/>
      <c r="O382" s="103"/>
    </row>
    <row r="383" spans="1: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3"/>
      <c r="O383" s="103"/>
    </row>
    <row r="384" spans="1: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3"/>
      <c r="O384" s="103"/>
    </row>
    <row r="385" spans="1: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3"/>
      <c r="O385" s="103"/>
    </row>
    <row r="386" spans="1: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3"/>
      <c r="O386" s="103"/>
    </row>
    <row r="387" spans="1: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3"/>
      <c r="O387" s="103"/>
    </row>
    <row r="388" spans="1: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3"/>
      <c r="O388" s="103"/>
    </row>
    <row r="389" spans="1: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3"/>
      <c r="O389" s="103"/>
    </row>
    <row r="390" spans="1: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3"/>
      <c r="O390" s="103"/>
    </row>
    <row r="391" spans="1: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3"/>
      <c r="O391" s="103"/>
    </row>
    <row r="392" spans="1: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3"/>
      <c r="O392" s="103"/>
    </row>
    <row r="393" spans="1: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3"/>
      <c r="O393" s="103"/>
    </row>
    <row r="394" spans="1: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3"/>
      <c r="O394" s="103"/>
    </row>
    <row r="395" spans="1: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3"/>
      <c r="O395" s="103"/>
    </row>
    <row r="396" spans="1: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3"/>
      <c r="O396" s="103"/>
    </row>
    <row r="397" spans="1: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3"/>
      <c r="O397" s="103"/>
    </row>
    <row r="398" spans="1: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3"/>
      <c r="O398" s="103"/>
    </row>
    <row r="399" spans="1: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3"/>
      <c r="O399" s="103"/>
    </row>
    <row r="400" spans="1: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3"/>
      <c r="O400" s="103"/>
    </row>
    <row r="401" spans="1: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3"/>
      <c r="O401" s="103"/>
    </row>
    <row r="402" spans="1: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3"/>
      <c r="O402" s="103"/>
    </row>
    <row r="403" spans="1: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3"/>
      <c r="O403" s="103"/>
    </row>
    <row r="404" spans="1: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3"/>
      <c r="O404" s="103"/>
    </row>
    <row r="405" spans="1: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3"/>
      <c r="O405" s="103"/>
    </row>
    <row r="406" spans="1: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3"/>
      <c r="O406" s="103"/>
    </row>
    <row r="407" spans="1: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3"/>
      <c r="O407" s="103"/>
    </row>
    <row r="408" spans="1: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3"/>
      <c r="O408" s="103"/>
    </row>
    <row r="409" spans="1: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3"/>
      <c r="O409" s="103"/>
    </row>
    <row r="410" spans="1: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3"/>
      <c r="O410" s="103"/>
    </row>
    <row r="411" spans="1: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3"/>
      <c r="O411" s="103"/>
    </row>
    <row r="412" spans="1: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3"/>
      <c r="O412" s="103"/>
    </row>
    <row r="413" spans="1: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3"/>
      <c r="O413" s="103"/>
    </row>
    <row r="414" spans="1: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3"/>
      <c r="O414" s="103"/>
    </row>
    <row r="415" spans="1: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3"/>
      <c r="O415" s="103"/>
    </row>
    <row r="416" spans="1: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3"/>
      <c r="O416" s="103"/>
    </row>
    <row r="417" spans="1: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3"/>
      <c r="O417" s="103"/>
    </row>
    <row r="418" spans="1: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3"/>
      <c r="O418" s="103"/>
    </row>
    <row r="419" spans="1: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3"/>
      <c r="O419" s="103"/>
    </row>
    <row r="420" spans="1: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3"/>
      <c r="O420" s="103"/>
    </row>
    <row r="421" spans="1: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3"/>
      <c r="O421" s="103"/>
    </row>
    <row r="422" spans="1: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3"/>
      <c r="O422" s="103"/>
    </row>
    <row r="423" spans="1: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3"/>
      <c r="O423" s="103"/>
    </row>
    <row r="424" spans="1: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3"/>
      <c r="O424" s="103"/>
    </row>
    <row r="425" spans="1: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3"/>
      <c r="O425" s="103"/>
    </row>
    <row r="426" spans="1: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3"/>
      <c r="O426" s="103"/>
    </row>
    <row r="427" spans="1: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3"/>
      <c r="O427" s="103"/>
    </row>
    <row r="428" spans="1: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3"/>
      <c r="O428" s="103"/>
    </row>
    <row r="429" spans="1: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3"/>
      <c r="O429" s="103"/>
    </row>
    <row r="430" spans="1: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3"/>
      <c r="O430" s="103"/>
    </row>
    <row r="431" spans="1: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3"/>
      <c r="O431" s="103"/>
    </row>
    <row r="432" spans="1: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3"/>
      <c r="O432" s="103"/>
    </row>
    <row r="433" spans="1: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3"/>
      <c r="O433" s="103"/>
    </row>
    <row r="434" spans="1: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3"/>
      <c r="O434" s="103"/>
    </row>
    <row r="435" spans="1: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3"/>
      <c r="O435" s="103"/>
    </row>
    <row r="436" spans="1: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3"/>
      <c r="O436" s="103"/>
    </row>
    <row r="437" spans="1: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3"/>
      <c r="O437" s="103"/>
    </row>
    <row r="438" spans="1: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3"/>
      <c r="O438" s="103"/>
    </row>
    <row r="439" spans="1: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3"/>
      <c r="O439" s="103"/>
    </row>
    <row r="440" spans="1: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3"/>
      <c r="O440" s="103"/>
    </row>
    <row r="441" spans="1: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3"/>
      <c r="O441" s="103"/>
    </row>
    <row r="442" spans="1: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3"/>
      <c r="O442" s="103"/>
    </row>
    <row r="443" spans="1: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3"/>
      <c r="O443" s="103"/>
    </row>
    <row r="444" spans="1: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3"/>
      <c r="O444" s="103"/>
    </row>
    <row r="445" spans="1: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3"/>
      <c r="O445" s="103"/>
    </row>
    <row r="446" spans="1: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3"/>
      <c r="O446" s="103"/>
    </row>
    <row r="447" spans="1: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3"/>
      <c r="O447" s="103"/>
    </row>
    <row r="448" spans="1: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3"/>
      <c r="O448" s="103"/>
    </row>
    <row r="449" spans="1: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3"/>
      <c r="O449" s="103"/>
    </row>
    <row r="450" spans="1: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3"/>
      <c r="O450" s="103"/>
    </row>
    <row r="451" spans="1: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3"/>
      <c r="O451" s="103"/>
    </row>
    <row r="452" spans="1: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3"/>
      <c r="O452" s="103"/>
    </row>
    <row r="453" spans="1: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3"/>
      <c r="O453" s="103"/>
    </row>
    <row r="454" spans="1: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3"/>
      <c r="O454" s="103"/>
    </row>
    <row r="455" spans="1: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3"/>
      <c r="O455" s="103"/>
    </row>
    <row r="456" spans="1: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3"/>
      <c r="O456" s="103"/>
    </row>
    <row r="457" spans="1: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3"/>
      <c r="O457" s="103"/>
    </row>
    <row r="458" spans="1: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3"/>
      <c r="O458" s="103"/>
    </row>
    <row r="459" spans="1: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3"/>
      <c r="O459" s="103"/>
    </row>
    <row r="460" spans="1: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3"/>
      <c r="O460" s="103"/>
    </row>
    <row r="461" spans="1: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3"/>
      <c r="O461" s="103"/>
    </row>
    <row r="462" spans="1: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3"/>
      <c r="O462" s="103"/>
    </row>
    <row r="463" spans="1: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3"/>
      <c r="O463" s="103"/>
    </row>
    <row r="464" spans="1: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3"/>
      <c r="O464" s="103"/>
    </row>
    <row r="465" spans="1: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3"/>
      <c r="O465" s="103"/>
    </row>
    <row r="466" spans="1: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3"/>
      <c r="O466" s="103"/>
    </row>
    <row r="467" spans="1: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3"/>
      <c r="O467" s="103"/>
    </row>
    <row r="468" spans="1: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3"/>
      <c r="O468" s="103"/>
    </row>
    <row r="469" spans="1: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3"/>
      <c r="O469" s="103"/>
    </row>
    <row r="470" spans="1: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3"/>
      <c r="O470" s="103"/>
    </row>
    <row r="471" spans="1: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3"/>
      <c r="O471" s="103"/>
    </row>
    <row r="472" spans="1: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3"/>
      <c r="O472" s="103"/>
    </row>
    <row r="473" spans="1: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3"/>
      <c r="O473" s="103"/>
    </row>
    <row r="474" spans="1: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3"/>
      <c r="O474" s="103"/>
    </row>
    <row r="475" spans="1: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3"/>
      <c r="O475" s="103"/>
    </row>
    <row r="476" spans="1: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3"/>
      <c r="O476" s="103"/>
    </row>
    <row r="477" spans="1: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3"/>
      <c r="O477" s="103"/>
    </row>
    <row r="478" spans="1: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3"/>
      <c r="O478" s="103"/>
    </row>
    <row r="479" spans="1: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3"/>
      <c r="O479" s="103"/>
    </row>
    <row r="480" spans="1: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3"/>
      <c r="O480" s="103"/>
    </row>
    <row r="481" spans="1: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3"/>
      <c r="O481" s="103"/>
    </row>
    <row r="482" spans="1: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3"/>
      <c r="O482" s="103"/>
    </row>
    <row r="483" spans="1: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3"/>
      <c r="O483" s="103"/>
    </row>
    <row r="484" spans="1: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3"/>
      <c r="O484" s="103"/>
    </row>
    <row r="485" spans="1: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3"/>
      <c r="O485" s="103"/>
    </row>
    <row r="486" spans="1: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3"/>
      <c r="O486" s="103"/>
    </row>
    <row r="487" spans="1: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3"/>
      <c r="O487" s="103"/>
    </row>
    <row r="488" spans="1: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3"/>
      <c r="O488" s="103"/>
    </row>
    <row r="489" spans="1: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3"/>
      <c r="O489" s="103"/>
    </row>
    <row r="490" spans="1: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3"/>
      <c r="O490" s="103"/>
    </row>
    <row r="491" spans="1: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3"/>
      <c r="O491" s="103"/>
    </row>
    <row r="492" spans="1: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3"/>
      <c r="O492" s="103"/>
    </row>
    <row r="493" spans="1: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3"/>
      <c r="O493" s="103"/>
    </row>
    <row r="494" spans="1: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3"/>
      <c r="O494" s="103"/>
    </row>
    <row r="495" spans="1: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3"/>
      <c r="O495" s="103"/>
    </row>
    <row r="496" spans="1: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3"/>
      <c r="O496" s="103"/>
    </row>
    <row r="497" spans="1: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3"/>
      <c r="O497" s="103"/>
    </row>
    <row r="498" spans="1: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3"/>
      <c r="O498" s="103"/>
    </row>
    <row r="499" spans="1: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3"/>
      <c r="O499" s="103"/>
    </row>
    <row r="500" spans="1: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3"/>
      <c r="O500" s="103"/>
    </row>
    <row r="501" spans="1: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3"/>
      <c r="O501" s="103"/>
    </row>
    <row r="502" spans="1: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3"/>
      <c r="O502" s="103"/>
    </row>
    <row r="503" spans="1: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3"/>
      <c r="O503" s="103"/>
    </row>
    <row r="504" spans="1: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3"/>
      <c r="O504" s="103"/>
    </row>
    <row r="505" spans="1: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3"/>
      <c r="O505" s="103"/>
    </row>
    <row r="506" spans="1: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3"/>
      <c r="O506" s="103"/>
    </row>
    <row r="507" spans="1: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3"/>
      <c r="O507" s="103"/>
    </row>
    <row r="508" spans="1: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3"/>
      <c r="O508" s="103"/>
    </row>
    <row r="509" spans="1: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3"/>
      <c r="O509" s="103"/>
    </row>
    <row r="510" spans="1: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3"/>
      <c r="O510" s="103"/>
    </row>
    <row r="511" spans="1: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3"/>
      <c r="O511" s="103"/>
    </row>
    <row r="512" spans="1: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3"/>
      <c r="O512" s="103"/>
    </row>
    <row r="513" spans="1: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3"/>
      <c r="O513" s="103"/>
    </row>
    <row r="514" spans="1: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3"/>
      <c r="O514" s="103"/>
    </row>
    <row r="515" spans="1: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3"/>
      <c r="O515" s="103"/>
    </row>
    <row r="516" spans="1: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3"/>
      <c r="O516" s="103"/>
    </row>
    <row r="517" spans="1: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3"/>
      <c r="O517" s="103"/>
    </row>
    <row r="518" spans="1: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3"/>
      <c r="O518" s="103"/>
    </row>
    <row r="519" spans="1: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3"/>
      <c r="O519" s="103"/>
    </row>
    <row r="520" spans="1: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3"/>
      <c r="O520" s="103"/>
    </row>
    <row r="521" spans="1: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3"/>
      <c r="O521" s="103"/>
    </row>
    <row r="522" spans="1: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3"/>
      <c r="O522" s="103"/>
    </row>
    <row r="523" spans="1: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3"/>
      <c r="O523" s="103"/>
    </row>
    <row r="524" spans="1: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3"/>
      <c r="O524" s="103"/>
    </row>
    <row r="525" spans="1: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3"/>
      <c r="O525" s="103"/>
    </row>
    <row r="526" spans="1: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3"/>
      <c r="O526" s="103"/>
    </row>
    <row r="527" spans="1: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3"/>
      <c r="O527" s="103"/>
    </row>
    <row r="528" spans="1: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3"/>
      <c r="O528" s="103"/>
    </row>
    <row r="529" spans="1: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3"/>
      <c r="O529" s="103"/>
    </row>
    <row r="530" spans="1: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3"/>
      <c r="O530" s="103"/>
    </row>
    <row r="531" spans="1: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3"/>
      <c r="O531" s="103"/>
    </row>
    <row r="532" spans="1: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3"/>
      <c r="O532" s="103"/>
    </row>
    <row r="533" spans="1: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3"/>
      <c r="O533" s="103"/>
    </row>
    <row r="534" spans="1: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3"/>
      <c r="O534" s="103"/>
    </row>
    <row r="535" spans="1: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3"/>
      <c r="O535" s="103"/>
    </row>
    <row r="536" spans="1: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3"/>
      <c r="O536" s="103"/>
    </row>
    <row r="537" spans="1: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3"/>
      <c r="O537" s="103"/>
    </row>
    <row r="538" spans="1: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3"/>
      <c r="O538" s="103"/>
    </row>
    <row r="539" spans="1: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3"/>
      <c r="O539" s="103"/>
    </row>
    <row r="540" spans="1: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3"/>
      <c r="O540" s="103"/>
    </row>
    <row r="541" spans="1: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3"/>
      <c r="O541" s="103"/>
    </row>
    <row r="542" spans="1: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3"/>
      <c r="O542" s="103"/>
    </row>
    <row r="543" spans="1: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3"/>
      <c r="O543" s="103"/>
    </row>
    <row r="544" spans="1: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3"/>
      <c r="O544" s="103"/>
    </row>
    <row r="545" spans="1: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3"/>
      <c r="O545" s="103"/>
    </row>
    <row r="546" spans="1: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3"/>
      <c r="O546" s="103"/>
    </row>
    <row r="547" spans="1: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3"/>
      <c r="O547" s="103"/>
    </row>
    <row r="548" spans="1: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3"/>
      <c r="O548" s="103"/>
    </row>
    <row r="549" spans="1: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3"/>
      <c r="O549" s="103"/>
    </row>
    <row r="550" spans="1: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3"/>
      <c r="O550" s="103"/>
    </row>
    <row r="551" spans="1: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3"/>
      <c r="O551" s="103"/>
    </row>
    <row r="552" spans="1: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3"/>
      <c r="O552" s="103"/>
    </row>
    <row r="553" spans="1: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3"/>
      <c r="O553" s="103"/>
    </row>
    <row r="554" spans="1: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3"/>
      <c r="O554" s="103"/>
    </row>
    <row r="555" spans="1: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3"/>
      <c r="O555" s="103"/>
    </row>
    <row r="556" spans="1: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3"/>
      <c r="O556" s="103"/>
    </row>
    <row r="557" spans="1: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3"/>
      <c r="O557" s="103"/>
    </row>
    <row r="558" spans="1: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3"/>
      <c r="O558" s="103"/>
    </row>
    <row r="559" spans="1: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3"/>
      <c r="O559" s="103"/>
    </row>
    <row r="560" spans="1: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3"/>
      <c r="O560" s="103"/>
    </row>
    <row r="561" spans="1: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3"/>
      <c r="O561" s="103"/>
    </row>
    <row r="562" spans="1: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3"/>
      <c r="O562" s="103"/>
    </row>
    <row r="563" spans="1: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3"/>
      <c r="O563" s="103"/>
    </row>
    <row r="564" spans="1: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3"/>
      <c r="O564" s="103"/>
    </row>
    <row r="565" spans="1: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3"/>
      <c r="O565" s="103"/>
    </row>
    <row r="566" spans="1: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3"/>
      <c r="O566" s="103"/>
    </row>
    <row r="567" spans="1: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3"/>
      <c r="O567" s="103"/>
    </row>
    <row r="568" spans="1: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3"/>
      <c r="O568" s="103"/>
    </row>
    <row r="569" spans="1: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3"/>
      <c r="O569" s="103"/>
    </row>
    <row r="570" spans="1: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3"/>
      <c r="O570" s="103"/>
    </row>
    <row r="571" spans="1: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3"/>
      <c r="O571" s="103"/>
    </row>
    <row r="572" spans="1: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3"/>
      <c r="O572" s="103"/>
    </row>
    <row r="573" spans="1: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3"/>
      <c r="O573" s="103"/>
    </row>
    <row r="574" spans="1: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3"/>
      <c r="O574" s="103"/>
    </row>
    <row r="575" spans="1: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3"/>
      <c r="O575" s="103"/>
    </row>
    <row r="576" spans="1: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3"/>
      <c r="O576" s="103"/>
    </row>
    <row r="577" spans="1: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3"/>
      <c r="O577" s="103"/>
    </row>
    <row r="578" spans="1: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3"/>
      <c r="O578" s="103"/>
    </row>
    <row r="579" spans="1: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3"/>
      <c r="O579" s="103"/>
    </row>
    <row r="580" spans="1: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3"/>
      <c r="O580" s="103"/>
    </row>
    <row r="581" spans="1: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3"/>
      <c r="O581" s="103"/>
    </row>
    <row r="582" spans="1: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3"/>
      <c r="O582" s="103"/>
    </row>
    <row r="583" spans="1: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3"/>
      <c r="O583" s="103"/>
    </row>
    <row r="584" spans="1: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3"/>
      <c r="O584" s="103"/>
    </row>
    <row r="585" spans="1: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3"/>
      <c r="O585" s="103"/>
    </row>
    <row r="586" spans="1: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3"/>
      <c r="O586" s="103"/>
    </row>
    <row r="587" spans="1: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3"/>
      <c r="O587" s="103"/>
    </row>
    <row r="588" spans="1: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3"/>
      <c r="O588" s="103"/>
    </row>
    <row r="589" spans="1: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3"/>
      <c r="O589" s="103"/>
    </row>
    <row r="590" spans="1: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3"/>
      <c r="O590" s="103"/>
    </row>
    <row r="591" spans="1: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3"/>
      <c r="O591" s="103"/>
    </row>
    <row r="592" spans="1: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3"/>
      <c r="O592" s="103"/>
    </row>
    <row r="593" spans="1: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3"/>
      <c r="O593" s="103"/>
    </row>
    <row r="594" spans="1: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3"/>
      <c r="O594" s="103"/>
    </row>
    <row r="595" spans="1: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3"/>
      <c r="O595" s="103"/>
    </row>
    <row r="596" spans="1: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3"/>
      <c r="O596" s="103"/>
    </row>
    <row r="597" spans="1: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3"/>
      <c r="O597" s="103"/>
    </row>
    <row r="598" spans="1: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3"/>
      <c r="O598" s="103"/>
    </row>
    <row r="599" spans="1: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3"/>
      <c r="O599" s="103"/>
    </row>
    <row r="600" spans="1: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3"/>
      <c r="O600" s="103"/>
    </row>
    <row r="601" spans="1: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3"/>
      <c r="O601" s="103"/>
    </row>
    <row r="602" spans="1: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3"/>
      <c r="O602" s="103"/>
    </row>
    <row r="603" spans="1: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3"/>
      <c r="O603" s="103"/>
    </row>
    <row r="604" spans="1: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3"/>
      <c r="O604" s="103"/>
    </row>
    <row r="605" spans="1: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3"/>
      <c r="O605" s="103"/>
    </row>
    <row r="606" spans="1: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3"/>
      <c r="O606" s="103"/>
    </row>
    <row r="607" spans="1: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3"/>
      <c r="O607" s="103"/>
    </row>
    <row r="608" spans="1: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3"/>
      <c r="O608" s="103"/>
    </row>
    <row r="609" spans="1: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3"/>
      <c r="O609" s="103"/>
    </row>
    <row r="610" spans="1: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3"/>
      <c r="O610" s="103"/>
    </row>
    <row r="611" spans="1: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3"/>
      <c r="O611" s="103"/>
    </row>
    <row r="612" spans="1: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3"/>
      <c r="O612" s="103"/>
    </row>
    <row r="613" spans="1: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3"/>
      <c r="O613" s="103"/>
    </row>
    <row r="614" spans="1: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3"/>
      <c r="O614" s="103"/>
    </row>
    <row r="615" spans="1: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3"/>
      <c r="O615" s="103"/>
    </row>
    <row r="616" spans="1: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3"/>
      <c r="O616" s="103"/>
    </row>
    <row r="617" spans="1: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3"/>
      <c r="O617" s="103"/>
    </row>
    <row r="618" spans="1: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3"/>
      <c r="O618" s="103"/>
    </row>
    <row r="619" spans="1: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3"/>
      <c r="O619" s="103"/>
    </row>
    <row r="620" spans="1: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3"/>
      <c r="O620" s="103"/>
    </row>
    <row r="621" spans="1: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3"/>
      <c r="O621" s="103"/>
    </row>
    <row r="622" spans="1: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3"/>
      <c r="O622" s="103"/>
    </row>
    <row r="623" spans="1: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3"/>
      <c r="O623" s="103"/>
    </row>
    <row r="624" spans="1: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3"/>
      <c r="O624" s="103"/>
    </row>
    <row r="625" spans="1: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3"/>
      <c r="O625" s="103"/>
    </row>
    <row r="626" spans="1: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3"/>
      <c r="O626" s="103"/>
    </row>
    <row r="627" spans="1: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3"/>
      <c r="O627" s="103"/>
    </row>
    <row r="628" spans="1: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3"/>
      <c r="O628" s="103"/>
    </row>
    <row r="629" spans="1: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3"/>
      <c r="O629" s="103"/>
    </row>
    <row r="630" spans="1: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3"/>
      <c r="O630" s="103"/>
    </row>
    <row r="631" spans="1: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3"/>
      <c r="O631" s="103"/>
    </row>
    <row r="632" spans="1: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3"/>
      <c r="O632" s="103"/>
    </row>
    <row r="633" spans="1: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3"/>
      <c r="O633" s="103"/>
    </row>
    <row r="634" spans="1: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3"/>
      <c r="O634" s="103"/>
    </row>
    <row r="635" spans="1: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3"/>
      <c r="O635" s="103"/>
    </row>
    <row r="636" spans="1: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3"/>
      <c r="O636" s="103"/>
    </row>
    <row r="637" spans="1: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3"/>
      <c r="O637" s="103"/>
    </row>
    <row r="638" spans="1: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3"/>
      <c r="O638" s="103"/>
    </row>
    <row r="639" spans="1: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3"/>
      <c r="O639" s="103"/>
    </row>
    <row r="640" spans="1: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3"/>
      <c r="O640" s="103"/>
    </row>
    <row r="641" spans="1: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3"/>
      <c r="O641" s="103"/>
    </row>
    <row r="642" spans="1: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3"/>
      <c r="O642" s="103"/>
    </row>
    <row r="643" spans="1: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3"/>
      <c r="O643" s="103"/>
    </row>
    <row r="644" spans="1: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3"/>
      <c r="O644" s="103"/>
    </row>
    <row r="645" spans="1: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3"/>
      <c r="O645" s="103"/>
    </row>
    <row r="646" spans="1: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3"/>
      <c r="O646" s="103"/>
    </row>
    <row r="647" spans="1: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3"/>
      <c r="O647" s="103"/>
    </row>
    <row r="648" spans="1: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3"/>
      <c r="O648" s="103"/>
    </row>
    <row r="649" spans="1: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3"/>
      <c r="O649" s="103"/>
    </row>
    <row r="650" spans="1: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3"/>
      <c r="O650" s="103"/>
    </row>
    <row r="651" spans="1: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3"/>
      <c r="O651" s="103"/>
    </row>
    <row r="652" spans="1: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3"/>
      <c r="O652" s="103"/>
    </row>
    <row r="653" spans="1: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3"/>
      <c r="O653" s="103"/>
    </row>
    <row r="654" spans="1: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3"/>
      <c r="O654" s="103"/>
    </row>
    <row r="655" spans="1: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3"/>
      <c r="O655" s="103"/>
    </row>
    <row r="656" spans="1: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3"/>
      <c r="O656" s="103"/>
    </row>
    <row r="657" spans="1: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3"/>
      <c r="O657" s="103"/>
    </row>
    <row r="658" spans="1: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3"/>
      <c r="O658" s="103"/>
    </row>
    <row r="659" spans="1: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3"/>
      <c r="O659" s="103"/>
    </row>
    <row r="660" spans="1: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3"/>
      <c r="O660" s="103"/>
    </row>
    <row r="661" spans="1: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3"/>
      <c r="O661" s="103"/>
    </row>
    <row r="662" spans="1: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3"/>
      <c r="O662" s="103"/>
    </row>
    <row r="663" spans="1: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3"/>
      <c r="O663" s="103"/>
    </row>
    <row r="664" spans="1: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3"/>
      <c r="O664" s="103"/>
    </row>
    <row r="665" spans="1: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3"/>
      <c r="O665" s="103"/>
    </row>
    <row r="666" spans="1: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3"/>
      <c r="O666" s="103"/>
    </row>
    <row r="667" spans="1: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3"/>
      <c r="O667" s="103"/>
    </row>
    <row r="668" spans="1: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3"/>
      <c r="O668" s="103"/>
    </row>
    <row r="669" spans="1: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3"/>
      <c r="O669" s="103"/>
    </row>
    <row r="670" spans="1: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3"/>
      <c r="O670" s="103"/>
    </row>
    <row r="671" spans="1: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3"/>
      <c r="O671" s="103"/>
    </row>
    <row r="672" spans="1: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3"/>
      <c r="O672" s="103"/>
    </row>
    <row r="673" spans="1: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3"/>
      <c r="O673" s="103"/>
    </row>
    <row r="674" spans="1: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3"/>
      <c r="O674" s="103"/>
    </row>
    <row r="675" spans="1: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3"/>
      <c r="O675" s="103"/>
    </row>
    <row r="676" spans="1: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3"/>
      <c r="O676" s="103"/>
    </row>
    <row r="677" spans="1: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3"/>
      <c r="O677" s="103"/>
    </row>
    <row r="678" spans="1: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3"/>
      <c r="O678" s="103"/>
    </row>
    <row r="679" spans="1: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3"/>
      <c r="O679" s="103"/>
    </row>
    <row r="680" spans="1: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3"/>
      <c r="O680" s="103"/>
    </row>
    <row r="681" spans="1: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3"/>
      <c r="O681" s="103"/>
    </row>
    <row r="682" spans="1: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3"/>
      <c r="O682" s="103"/>
    </row>
    <row r="683" spans="1: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3"/>
      <c r="O683" s="103"/>
    </row>
    <row r="684" spans="1: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3"/>
      <c r="O684" s="103"/>
    </row>
    <row r="685" spans="1: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3"/>
      <c r="O685" s="103"/>
    </row>
    <row r="686" spans="1: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3"/>
      <c r="O686" s="103"/>
    </row>
    <row r="687" spans="1: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3"/>
      <c r="O687" s="103"/>
    </row>
    <row r="688" spans="1: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3"/>
      <c r="O688" s="103"/>
    </row>
    <row r="689" spans="1: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3"/>
      <c r="O689" s="103"/>
    </row>
    <row r="690" spans="1: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3"/>
      <c r="O690" s="103"/>
    </row>
    <row r="691" spans="1: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3"/>
      <c r="O691" s="103"/>
    </row>
    <row r="692" spans="1: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3"/>
      <c r="O692" s="103"/>
    </row>
    <row r="693" spans="1: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3"/>
      <c r="O693" s="103"/>
    </row>
    <row r="694" spans="1: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3"/>
      <c r="O694" s="103"/>
    </row>
    <row r="695" spans="1: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3"/>
      <c r="O695" s="103"/>
    </row>
    <row r="696" spans="1: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3"/>
      <c r="O696" s="103"/>
    </row>
    <row r="697" spans="1: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3"/>
      <c r="O697" s="103"/>
    </row>
    <row r="698" spans="1: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3"/>
      <c r="O698" s="103"/>
    </row>
    <row r="699" spans="1: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3"/>
      <c r="O699" s="103"/>
    </row>
    <row r="700" spans="1: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3"/>
      <c r="O700" s="103"/>
    </row>
    <row r="701" spans="1: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3"/>
      <c r="O701" s="103"/>
    </row>
    <row r="702" spans="1: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3"/>
      <c r="O702" s="103"/>
    </row>
    <row r="703" spans="1: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3"/>
      <c r="O703" s="103"/>
    </row>
    <row r="704" spans="1: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3"/>
      <c r="O704" s="103"/>
    </row>
    <row r="705" spans="1: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3"/>
      <c r="O705" s="103"/>
    </row>
    <row r="706" spans="1: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3"/>
      <c r="O706" s="103"/>
    </row>
    <row r="707" spans="1: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3"/>
      <c r="O707" s="103"/>
    </row>
    <row r="708" spans="1: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3"/>
      <c r="O708" s="103"/>
    </row>
    <row r="709" spans="1: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3"/>
      <c r="O709" s="103"/>
    </row>
    <row r="710" spans="1: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3"/>
      <c r="O710" s="103"/>
    </row>
    <row r="711" spans="1: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3"/>
      <c r="O711" s="103"/>
    </row>
    <row r="712" spans="1: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3"/>
      <c r="O712" s="103"/>
    </row>
    <row r="713" spans="1: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3"/>
      <c r="O713" s="103"/>
    </row>
    <row r="714" spans="1: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3"/>
      <c r="O714" s="103"/>
    </row>
    <row r="715" spans="1: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3"/>
      <c r="O715" s="103"/>
    </row>
    <row r="716" spans="1: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3"/>
      <c r="O716" s="103"/>
    </row>
    <row r="717" spans="1: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3"/>
      <c r="O717" s="103"/>
    </row>
    <row r="718" spans="1: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3"/>
      <c r="O718" s="103"/>
    </row>
    <row r="719" spans="1: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3"/>
      <c r="O719" s="103"/>
    </row>
    <row r="720" spans="1: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3"/>
      <c r="O720" s="103"/>
    </row>
    <row r="721" spans="1: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3"/>
      <c r="O721" s="103"/>
    </row>
    <row r="722" spans="1: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3"/>
      <c r="O722" s="103"/>
    </row>
    <row r="723" spans="1: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3"/>
      <c r="O723" s="103"/>
    </row>
    <row r="724" spans="1: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3"/>
      <c r="O724" s="103"/>
    </row>
    <row r="725" spans="1: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3"/>
      <c r="O725" s="103"/>
    </row>
    <row r="726" spans="1: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3"/>
      <c r="O726" s="103"/>
    </row>
    <row r="727" spans="1: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3"/>
      <c r="O727" s="103"/>
    </row>
    <row r="728" spans="1: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3"/>
      <c r="O728" s="103"/>
    </row>
    <row r="729" spans="1: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3"/>
      <c r="O729" s="103"/>
    </row>
    <row r="730" spans="1: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3"/>
      <c r="O730" s="103"/>
    </row>
    <row r="731" spans="1: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3"/>
      <c r="O731" s="103"/>
    </row>
    <row r="732" spans="1: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3"/>
      <c r="O732" s="103"/>
    </row>
    <row r="733" spans="1: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3"/>
      <c r="O733" s="103"/>
    </row>
    <row r="734" spans="1: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3"/>
      <c r="O734" s="103"/>
    </row>
    <row r="735" spans="1: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3"/>
      <c r="O735" s="103"/>
    </row>
    <row r="736" spans="1: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3"/>
      <c r="O736" s="103"/>
    </row>
    <row r="737" spans="1: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3"/>
      <c r="O737" s="103"/>
    </row>
    <row r="738" spans="1: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3"/>
      <c r="O738" s="103"/>
    </row>
    <row r="739" spans="1: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3"/>
      <c r="O739" s="103"/>
    </row>
    <row r="740" spans="1: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3"/>
      <c r="O740" s="103"/>
    </row>
    <row r="741" spans="1: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3"/>
      <c r="O741" s="103"/>
    </row>
    <row r="742" spans="1: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3"/>
      <c r="O742" s="103"/>
    </row>
    <row r="743" spans="1: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3"/>
      <c r="O743" s="103"/>
    </row>
    <row r="744" spans="1: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3"/>
      <c r="O744" s="103"/>
    </row>
    <row r="745" spans="1: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3"/>
      <c r="O745" s="103"/>
    </row>
    <row r="746" spans="1: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3"/>
      <c r="O746" s="103"/>
    </row>
    <row r="747" spans="1: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3"/>
      <c r="O747" s="103"/>
    </row>
    <row r="748" spans="1: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3"/>
      <c r="O748" s="103"/>
    </row>
    <row r="749" spans="1: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3"/>
      <c r="O749" s="103"/>
    </row>
    <row r="750" spans="1: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3"/>
      <c r="O750" s="103"/>
    </row>
    <row r="751" spans="1: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3"/>
      <c r="O751" s="103"/>
    </row>
    <row r="752" spans="1: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3"/>
      <c r="O752" s="103"/>
    </row>
    <row r="753" spans="1: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3"/>
      <c r="O753" s="103"/>
    </row>
    <row r="754" spans="1: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3"/>
      <c r="O754" s="103"/>
    </row>
    <row r="755" spans="1: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3"/>
      <c r="O755" s="103"/>
    </row>
    <row r="756" spans="1: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3"/>
      <c r="O756" s="103"/>
    </row>
    <row r="757" spans="1: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3"/>
      <c r="O757" s="103"/>
    </row>
    <row r="758" spans="1: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3"/>
      <c r="O758" s="103"/>
    </row>
    <row r="759" spans="1: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3"/>
      <c r="O759" s="103"/>
    </row>
    <row r="760" spans="1: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3"/>
      <c r="O760" s="103"/>
    </row>
    <row r="761" spans="1: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3"/>
      <c r="O761" s="103"/>
    </row>
    <row r="762" spans="1: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3"/>
      <c r="O762" s="103"/>
    </row>
    <row r="763" spans="1: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3"/>
      <c r="O763" s="103"/>
    </row>
    <row r="764" spans="1: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3"/>
      <c r="O764" s="103"/>
    </row>
    <row r="765" spans="1: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3"/>
      <c r="O765" s="103"/>
    </row>
    <row r="766" spans="1: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3"/>
      <c r="O766" s="103"/>
    </row>
    <row r="767" spans="1: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3"/>
      <c r="O767" s="103"/>
    </row>
    <row r="768" spans="1: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3"/>
      <c r="O768" s="103"/>
    </row>
    <row r="769" spans="1: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3"/>
      <c r="O769" s="103"/>
    </row>
    <row r="770" spans="1: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3"/>
      <c r="O770" s="103"/>
    </row>
    <row r="771" spans="1: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3"/>
      <c r="O771" s="103"/>
    </row>
    <row r="772" spans="1: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3"/>
      <c r="O772" s="103"/>
    </row>
    <row r="773" spans="1: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3"/>
      <c r="O773" s="103"/>
    </row>
    <row r="774" spans="1: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3"/>
      <c r="O774" s="103"/>
    </row>
    <row r="775" spans="1: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3"/>
      <c r="O775" s="103"/>
    </row>
    <row r="776" spans="1: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3"/>
      <c r="O776" s="103"/>
    </row>
    <row r="777" spans="1: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3"/>
      <c r="O777" s="103"/>
    </row>
    <row r="778" spans="1: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3"/>
      <c r="O778" s="103"/>
    </row>
    <row r="779" spans="1: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3"/>
      <c r="O779" s="103"/>
    </row>
    <row r="780" spans="1: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3"/>
      <c r="O780" s="103"/>
    </row>
    <row r="781" spans="1: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3"/>
      <c r="O781" s="103"/>
    </row>
    <row r="782" spans="1: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3"/>
      <c r="O782" s="103"/>
    </row>
    <row r="783" spans="1: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3"/>
      <c r="O783" s="103"/>
    </row>
    <row r="784" spans="1: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3"/>
      <c r="O784" s="103"/>
    </row>
    <row r="785" spans="1: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3"/>
      <c r="O785" s="103"/>
    </row>
    <row r="786" spans="1: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3"/>
      <c r="O786" s="103"/>
    </row>
    <row r="787" spans="1: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3"/>
      <c r="O787" s="103"/>
    </row>
    <row r="788" spans="1: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3"/>
      <c r="O788" s="103"/>
    </row>
    <row r="789" spans="1: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3"/>
      <c r="O789" s="103"/>
    </row>
    <row r="790" spans="1: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3"/>
      <c r="O790" s="103"/>
    </row>
    <row r="791" spans="1: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3"/>
      <c r="O791" s="103"/>
    </row>
    <row r="792" spans="1: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3"/>
      <c r="O792" s="103"/>
    </row>
    <row r="793" spans="1: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3"/>
      <c r="O793" s="103"/>
    </row>
    <row r="794" spans="1: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3"/>
      <c r="O794" s="103"/>
    </row>
    <row r="795" spans="1: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3"/>
      <c r="O795" s="103"/>
    </row>
    <row r="796" spans="1: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3"/>
      <c r="O796" s="103"/>
    </row>
    <row r="797" spans="1: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3"/>
      <c r="O797" s="103"/>
    </row>
    <row r="798" spans="1: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3"/>
      <c r="O798" s="103"/>
    </row>
    <row r="799" spans="1: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3"/>
      <c r="O799" s="103"/>
    </row>
    <row r="800" spans="1: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3"/>
      <c r="O800" s="103"/>
    </row>
    <row r="801" spans="1: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3"/>
      <c r="O801" s="103"/>
    </row>
    <row r="802" spans="1: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3"/>
      <c r="O802" s="103"/>
    </row>
    <row r="803" spans="1: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3"/>
      <c r="O803" s="103"/>
    </row>
    <row r="804" spans="1: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3"/>
      <c r="O804" s="103"/>
    </row>
    <row r="805" spans="1: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3"/>
      <c r="O805" s="103"/>
    </row>
    <row r="806" spans="1: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3"/>
      <c r="O806" s="103"/>
    </row>
    <row r="807" spans="1: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3"/>
      <c r="O807" s="103"/>
    </row>
    <row r="808" spans="1: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3"/>
      <c r="O808" s="103"/>
    </row>
    <row r="809" spans="1: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3"/>
      <c r="O809" s="103"/>
    </row>
    <row r="810" spans="1: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3"/>
      <c r="O810" s="103"/>
    </row>
    <row r="811" spans="1: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3"/>
      <c r="O811" s="103"/>
    </row>
    <row r="812" spans="1: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3"/>
      <c r="O812" s="103"/>
    </row>
    <row r="813" spans="1: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3"/>
      <c r="O813" s="103"/>
    </row>
    <row r="814" spans="1: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3"/>
      <c r="O814" s="103"/>
    </row>
    <row r="815" spans="1: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3"/>
      <c r="O815" s="103"/>
    </row>
    <row r="816" spans="1: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3"/>
      <c r="O816" s="103"/>
    </row>
    <row r="817" spans="1: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3"/>
      <c r="O817" s="103"/>
    </row>
    <row r="818" spans="1: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3"/>
      <c r="O818" s="103"/>
    </row>
    <row r="819" spans="1: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3"/>
      <c r="O819" s="103"/>
    </row>
    <row r="820" spans="1: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3"/>
      <c r="O820" s="103"/>
    </row>
    <row r="821" spans="1: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3"/>
      <c r="O821" s="103"/>
    </row>
    <row r="822" spans="1: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3"/>
      <c r="O822" s="103"/>
    </row>
    <row r="823" spans="1: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3"/>
      <c r="O823" s="103"/>
    </row>
    <row r="824" spans="1: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3"/>
      <c r="O824" s="103"/>
    </row>
    <row r="825" spans="1: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3"/>
      <c r="O825" s="103"/>
    </row>
    <row r="826" spans="1: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3"/>
      <c r="O826" s="103"/>
    </row>
    <row r="827" spans="1: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3"/>
      <c r="O827" s="103"/>
    </row>
    <row r="828" spans="1: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3"/>
      <c r="O828" s="103"/>
    </row>
    <row r="829" spans="1: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3"/>
      <c r="O829" s="103"/>
    </row>
    <row r="830" spans="1: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3"/>
      <c r="O830" s="103"/>
    </row>
    <row r="831" spans="1: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3"/>
      <c r="O831" s="103"/>
    </row>
    <row r="832" spans="1: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3"/>
      <c r="O832" s="103"/>
    </row>
    <row r="833" spans="1: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3"/>
      <c r="O833" s="103"/>
    </row>
    <row r="834" spans="1: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3"/>
      <c r="O834" s="103"/>
    </row>
    <row r="835" spans="1: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3"/>
      <c r="O835" s="103"/>
    </row>
    <row r="836" spans="1: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3"/>
      <c r="O836" s="103"/>
    </row>
    <row r="837" spans="1: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3"/>
      <c r="O837" s="103"/>
    </row>
    <row r="838" spans="1: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3"/>
      <c r="O838" s="103"/>
    </row>
    <row r="839" spans="1: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3"/>
      <c r="O839" s="103"/>
    </row>
    <row r="840" spans="1: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3"/>
      <c r="O840" s="103"/>
    </row>
    <row r="841" spans="1: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3"/>
      <c r="O841" s="103"/>
    </row>
    <row r="842" spans="1: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3"/>
      <c r="O842" s="103"/>
    </row>
    <row r="843" spans="1: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3"/>
      <c r="O843" s="103"/>
    </row>
    <row r="844" spans="1: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3"/>
      <c r="O844" s="103"/>
    </row>
    <row r="845" spans="1: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3"/>
      <c r="O845" s="103"/>
    </row>
    <row r="846" spans="1: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3"/>
      <c r="O846" s="103"/>
    </row>
    <row r="847" spans="1: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3"/>
      <c r="O847" s="103"/>
    </row>
    <row r="848" spans="1: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3"/>
      <c r="O848" s="103"/>
    </row>
    <row r="849" spans="1: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3"/>
      <c r="O849" s="103"/>
    </row>
    <row r="850" spans="1: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3"/>
      <c r="O850" s="103"/>
    </row>
    <row r="851" spans="1: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3"/>
      <c r="O851" s="103"/>
    </row>
    <row r="852" spans="1: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3"/>
      <c r="O852" s="103"/>
    </row>
    <row r="853" spans="1: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3"/>
      <c r="O853" s="103"/>
    </row>
    <row r="854" spans="1: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3"/>
      <c r="O854" s="103"/>
    </row>
    <row r="855" spans="1: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3"/>
      <c r="O855" s="103"/>
    </row>
    <row r="856" spans="1: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3"/>
      <c r="O856" s="103"/>
    </row>
    <row r="857" spans="1: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3"/>
      <c r="O857" s="103"/>
    </row>
    <row r="858" spans="1: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3"/>
      <c r="O858" s="103"/>
    </row>
    <row r="859" spans="1: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3"/>
      <c r="O859" s="103"/>
    </row>
    <row r="860" spans="1: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3"/>
      <c r="O860" s="103"/>
    </row>
    <row r="861" spans="1: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3"/>
      <c r="O861" s="103"/>
    </row>
    <row r="862" spans="1: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3"/>
      <c r="O862" s="103"/>
    </row>
    <row r="863" spans="1: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3"/>
      <c r="O863" s="103"/>
    </row>
    <row r="864" spans="1: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3"/>
      <c r="O864" s="103"/>
    </row>
    <row r="865" spans="1: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3"/>
      <c r="O865" s="103"/>
    </row>
    <row r="866" spans="1: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3"/>
      <c r="O866" s="103"/>
    </row>
    <row r="867" spans="1: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3"/>
      <c r="O867" s="103"/>
    </row>
    <row r="868" spans="1: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3"/>
      <c r="O868" s="103"/>
    </row>
    <row r="869" spans="1: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3"/>
      <c r="O869" s="103"/>
    </row>
    <row r="870" spans="1: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3"/>
      <c r="O870" s="103"/>
    </row>
    <row r="871" spans="1: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3"/>
      <c r="O871" s="103"/>
    </row>
    <row r="872" spans="1: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3"/>
      <c r="O872" s="103"/>
    </row>
    <row r="873" spans="1: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3"/>
      <c r="O873" s="103"/>
    </row>
    <row r="874" spans="1: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3"/>
      <c r="O874" s="103"/>
    </row>
    <row r="875" spans="1: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3"/>
      <c r="O875" s="103"/>
    </row>
    <row r="876" spans="1: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3"/>
      <c r="O876" s="103"/>
    </row>
    <row r="877" spans="1: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3"/>
      <c r="O877" s="103"/>
    </row>
    <row r="878" spans="1: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3"/>
      <c r="O878" s="103"/>
    </row>
    <row r="879" spans="1: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3"/>
      <c r="O879" s="103"/>
    </row>
    <row r="880" spans="1: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3"/>
      <c r="O880" s="103"/>
    </row>
    <row r="881" spans="1: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3"/>
      <c r="O881" s="103"/>
    </row>
    <row r="882" spans="1: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3"/>
      <c r="O882" s="103"/>
    </row>
    <row r="883" spans="1: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3"/>
      <c r="O883" s="103"/>
    </row>
    <row r="884" spans="1: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3"/>
      <c r="O884" s="103"/>
    </row>
    <row r="885" spans="1: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3"/>
      <c r="O885" s="103"/>
    </row>
    <row r="886" spans="1: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3"/>
      <c r="O886" s="103"/>
    </row>
    <row r="887" spans="1: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3"/>
      <c r="O887" s="103"/>
    </row>
    <row r="888" spans="1: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3"/>
      <c r="O888" s="103"/>
    </row>
    <row r="889" spans="1: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3"/>
      <c r="O889" s="103"/>
    </row>
    <row r="890" spans="1: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3"/>
      <c r="O890" s="103"/>
    </row>
    <row r="891" spans="1: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3"/>
      <c r="O891" s="103"/>
    </row>
    <row r="892" spans="1: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3"/>
      <c r="O892" s="103"/>
    </row>
    <row r="893" spans="1: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3"/>
      <c r="O893" s="103"/>
    </row>
    <row r="894" spans="1: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3"/>
      <c r="O894" s="103"/>
    </row>
    <row r="895" spans="1: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3"/>
      <c r="O895" s="103"/>
    </row>
    <row r="896" spans="1: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3"/>
      <c r="O896" s="103"/>
    </row>
    <row r="897" spans="1: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3"/>
      <c r="O897" s="103"/>
    </row>
    <row r="898" spans="1: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3"/>
      <c r="O898" s="103"/>
    </row>
    <row r="899" spans="1: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3"/>
      <c r="O899" s="103"/>
    </row>
    <row r="900" spans="1: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3"/>
      <c r="O900" s="103"/>
    </row>
    <row r="901" spans="1: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3"/>
      <c r="O901" s="103"/>
    </row>
    <row r="902" spans="1: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3"/>
      <c r="O902" s="103"/>
    </row>
    <row r="903" spans="1: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3"/>
      <c r="O903" s="103"/>
    </row>
    <row r="904" spans="1: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3"/>
      <c r="O904" s="103"/>
    </row>
    <row r="905" spans="1: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3"/>
      <c r="O905" s="103"/>
    </row>
    <row r="906" spans="1: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3"/>
      <c r="O906" s="103"/>
    </row>
    <row r="907" spans="1: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3"/>
      <c r="O907" s="103"/>
    </row>
    <row r="908" spans="1: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3"/>
      <c r="O908" s="103"/>
    </row>
    <row r="909" spans="1: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3"/>
      <c r="O909" s="103"/>
    </row>
    <row r="910" spans="1: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3"/>
      <c r="O910" s="103"/>
    </row>
    <row r="911" spans="1: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3"/>
      <c r="O911" s="103"/>
    </row>
    <row r="912" spans="1: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3"/>
      <c r="O912" s="103"/>
    </row>
    <row r="913" spans="1: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3"/>
      <c r="O913" s="103"/>
    </row>
    <row r="914" spans="1: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3"/>
      <c r="O914" s="103"/>
    </row>
    <row r="915" spans="1: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3"/>
      <c r="O915" s="103"/>
    </row>
    <row r="916" spans="1: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3"/>
      <c r="O916" s="103"/>
    </row>
    <row r="917" spans="1: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3"/>
      <c r="O917" s="103"/>
    </row>
    <row r="918" spans="1: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3"/>
      <c r="O918" s="103"/>
    </row>
    <row r="919" spans="1: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3"/>
      <c r="O919" s="103"/>
    </row>
    <row r="920" spans="1: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3"/>
      <c r="O920" s="103"/>
    </row>
    <row r="921" spans="1: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3"/>
      <c r="O921" s="103"/>
    </row>
    <row r="922" spans="1: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3"/>
      <c r="O922" s="103"/>
    </row>
    <row r="923" spans="1: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3"/>
      <c r="O923" s="103"/>
    </row>
    <row r="924" spans="1: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3"/>
      <c r="O924" s="103"/>
    </row>
    <row r="925" spans="1: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3"/>
      <c r="O925" s="103"/>
    </row>
    <row r="926" spans="1: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3"/>
      <c r="O926" s="103"/>
    </row>
    <row r="927" spans="1: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3"/>
      <c r="O927" s="103"/>
    </row>
    <row r="928" spans="1: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3"/>
      <c r="O928" s="103"/>
    </row>
    <row r="929" spans="1: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3"/>
      <c r="O929" s="103"/>
    </row>
    <row r="930" spans="1: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3"/>
      <c r="O930" s="103"/>
    </row>
    <row r="931" spans="1: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3"/>
      <c r="O931" s="103"/>
    </row>
    <row r="932" spans="1: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3"/>
      <c r="O932" s="103"/>
    </row>
    <row r="933" spans="1: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3"/>
      <c r="O933" s="103"/>
    </row>
    <row r="934" spans="1: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3"/>
      <c r="O934" s="103"/>
    </row>
    <row r="935" spans="1: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3"/>
      <c r="O935" s="103"/>
    </row>
    <row r="936" spans="1: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3"/>
      <c r="O936" s="103"/>
    </row>
    <row r="937" spans="1: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3"/>
      <c r="O937" s="103"/>
    </row>
    <row r="938" spans="1: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3"/>
      <c r="O938" s="103"/>
    </row>
    <row r="939" spans="1: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3"/>
      <c r="O939" s="103"/>
    </row>
    <row r="940" spans="1: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3"/>
      <c r="O940" s="103"/>
    </row>
    <row r="941" spans="1: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3"/>
      <c r="O941" s="103"/>
    </row>
    <row r="942" spans="1: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3"/>
      <c r="O942" s="103"/>
    </row>
    <row r="943" spans="1: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3"/>
      <c r="O943" s="103"/>
    </row>
    <row r="944" spans="1: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3"/>
      <c r="O944" s="103"/>
    </row>
    <row r="945" spans="1: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3"/>
      <c r="O945" s="103"/>
    </row>
    <row r="946" spans="1: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3"/>
      <c r="O946" s="103"/>
    </row>
    <row r="947" spans="1: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3"/>
      <c r="O947" s="103"/>
    </row>
    <row r="948" spans="1: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3"/>
      <c r="O948" s="103"/>
    </row>
    <row r="949" spans="1: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3"/>
      <c r="O949" s="103"/>
    </row>
    <row r="950" spans="1: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3"/>
      <c r="O950" s="103"/>
    </row>
    <row r="951" spans="1: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3"/>
      <c r="O951" s="103"/>
    </row>
    <row r="952" spans="1: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3"/>
      <c r="O952" s="103"/>
    </row>
    <row r="953" spans="1: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3"/>
      <c r="O953" s="103"/>
    </row>
    <row r="954" spans="1: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3"/>
      <c r="O954" s="103"/>
    </row>
    <row r="955" spans="1: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3"/>
      <c r="O955" s="103"/>
    </row>
    <row r="956" spans="1: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3"/>
      <c r="O956" s="103"/>
    </row>
    <row r="957" spans="1: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3"/>
      <c r="O957" s="103"/>
    </row>
    <row r="958" spans="1: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3"/>
      <c r="O958" s="103"/>
    </row>
    <row r="959" spans="1: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3"/>
      <c r="O959" s="103"/>
    </row>
    <row r="960" spans="1: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3"/>
      <c r="O960" s="103"/>
    </row>
    <row r="961" spans="1: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3"/>
      <c r="O961" s="103"/>
    </row>
    <row r="962" spans="1: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3"/>
      <c r="O962" s="103"/>
    </row>
    <row r="963" spans="1: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3"/>
      <c r="O963" s="103"/>
    </row>
    <row r="964" spans="1: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3"/>
      <c r="O964" s="103"/>
    </row>
    <row r="965" spans="1: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3"/>
      <c r="O965" s="103"/>
    </row>
    <row r="966" spans="1: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3"/>
      <c r="O966" s="103"/>
    </row>
    <row r="967" spans="1: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3"/>
      <c r="O967" s="103"/>
    </row>
    <row r="968" spans="1: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3"/>
      <c r="O968" s="103"/>
    </row>
    <row r="969" spans="1: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3"/>
      <c r="O969" s="103"/>
    </row>
    <row r="970" spans="1: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3"/>
      <c r="O970" s="103"/>
    </row>
    <row r="971" spans="1: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3"/>
      <c r="O971" s="103"/>
    </row>
    <row r="972" spans="1: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3"/>
      <c r="O972" s="103"/>
    </row>
    <row r="973" spans="1: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3"/>
      <c r="O973" s="103"/>
    </row>
    <row r="974" spans="1: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3"/>
      <c r="O974" s="103"/>
    </row>
    <row r="975" spans="1: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3"/>
      <c r="O975" s="103"/>
    </row>
    <row r="976" spans="1: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3"/>
      <c r="O976" s="103"/>
    </row>
    <row r="977" spans="1: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3"/>
      <c r="O977" s="103"/>
    </row>
    <row r="978" spans="1: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3"/>
      <c r="O978" s="103"/>
    </row>
    <row r="979" spans="1: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3"/>
      <c r="O979" s="103"/>
    </row>
    <row r="980" spans="1: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3"/>
      <c r="O980" s="103"/>
    </row>
    <row r="981" spans="1: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3"/>
      <c r="O981" s="103"/>
    </row>
    <row r="982" spans="1: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3"/>
      <c r="O982" s="103"/>
    </row>
    <row r="983" spans="1: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3"/>
      <c r="O983" s="103"/>
    </row>
    <row r="984" spans="1: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3"/>
      <c r="O984" s="103"/>
    </row>
    <row r="985" spans="1: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3"/>
      <c r="O985" s="103"/>
    </row>
    <row r="986" spans="1: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3"/>
      <c r="O986" s="103"/>
    </row>
    <row r="987" spans="1: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3"/>
      <c r="O987" s="103"/>
    </row>
    <row r="988" spans="1: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3"/>
      <c r="O988" s="103"/>
    </row>
    <row r="989" spans="1: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3"/>
      <c r="O989" s="103"/>
    </row>
    <row r="990" spans="1: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3"/>
      <c r="O990" s="103"/>
    </row>
    <row r="991" spans="1: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3"/>
      <c r="O991" s="103"/>
    </row>
    <row r="992" spans="1: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3"/>
      <c r="O992" s="103"/>
    </row>
    <row r="993" spans="1: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3"/>
      <c r="O993" s="103"/>
    </row>
    <row r="994" spans="1: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3"/>
      <c r="O994" s="103"/>
    </row>
    <row r="995" spans="1: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3"/>
      <c r="O995" s="103"/>
    </row>
    <row r="996" spans="1: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3"/>
      <c r="O996" s="103"/>
    </row>
    <row r="997" spans="1: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3"/>
      <c r="O997" s="103"/>
    </row>
    <row r="998" spans="1: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3"/>
      <c r="O998" s="103"/>
    </row>
    <row r="999" spans="1: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3"/>
      <c r="O999" s="103"/>
    </row>
    <row r="1000" spans="1: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3"/>
      <c r="O1000" s="103"/>
    </row>
    <row r="1001" spans="1: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3"/>
      <c r="O1001" s="103"/>
    </row>
    <row r="1002" spans="1: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3"/>
      <c r="O1002" s="103"/>
    </row>
    <row r="1003" spans="1: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3"/>
      <c r="O1003" s="103"/>
    </row>
    <row r="1004" spans="1: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3"/>
      <c r="O1004" s="103"/>
    </row>
    <row r="1005" spans="1: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3"/>
      <c r="O1005" s="103"/>
    </row>
    <row r="1006" spans="1: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3"/>
      <c r="O1006" s="103"/>
    </row>
    <row r="1007" spans="1: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3"/>
      <c r="O1007" s="103"/>
    </row>
    <row r="1008" spans="1: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3"/>
      <c r="O1008" s="103"/>
    </row>
    <row r="1009" spans="1: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3"/>
      <c r="O1009" s="103"/>
    </row>
    <row r="1010" spans="1: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3"/>
      <c r="O1010" s="103"/>
    </row>
    <row r="1011" spans="1: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3"/>
      <c r="O1011" s="103"/>
    </row>
    <row r="1012" spans="1: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3"/>
      <c r="O1012" s="103"/>
    </row>
    <row r="1013" spans="1: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3"/>
      <c r="O1013" s="103"/>
    </row>
    <row r="1014" spans="1: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3"/>
      <c r="O1014" s="103"/>
    </row>
    <row r="1015" spans="1: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3"/>
      <c r="O1015" s="103"/>
    </row>
    <row r="1016" spans="1: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3"/>
      <c r="O1016" s="103"/>
    </row>
    <row r="1017" spans="1: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3"/>
      <c r="O1017" s="103"/>
    </row>
    <row r="1018" spans="1: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3"/>
      <c r="O1018" s="103"/>
    </row>
    <row r="1019" spans="1: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3"/>
      <c r="O1019" s="103"/>
    </row>
    <row r="1020" spans="1: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3"/>
      <c r="O1020" s="103"/>
    </row>
    <row r="1021" spans="1: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3"/>
      <c r="O1021" s="103"/>
    </row>
    <row r="1022" spans="1: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3"/>
      <c r="O1022" s="103"/>
    </row>
    <row r="1023" spans="1: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3"/>
      <c r="O1023" s="103"/>
    </row>
    <row r="1024" spans="1: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3"/>
      <c r="O1024" s="103"/>
    </row>
    <row r="1025" spans="1: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3"/>
      <c r="O1025" s="103"/>
    </row>
    <row r="1026" spans="1: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3"/>
      <c r="O1026" s="103"/>
    </row>
    <row r="1027" spans="1: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3"/>
      <c r="O1027" s="103"/>
    </row>
    <row r="1028" spans="1: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3"/>
      <c r="O1028" s="103"/>
    </row>
    <row r="1029" spans="1: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3"/>
      <c r="O1029" s="103"/>
    </row>
    <row r="1030" spans="1: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3"/>
      <c r="O1030" s="103"/>
    </row>
    <row r="1031" spans="1: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3"/>
      <c r="O1031" s="103"/>
    </row>
    <row r="1032" spans="1: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3"/>
      <c r="O1032" s="103"/>
    </row>
    <row r="1033" spans="1: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3"/>
      <c r="O1033" s="103"/>
    </row>
    <row r="1034" spans="1: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3"/>
      <c r="O1034" s="103"/>
    </row>
    <row r="1035" spans="1: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3"/>
      <c r="O1035" s="103"/>
    </row>
    <row r="1036" spans="1: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3"/>
      <c r="O1036" s="103"/>
    </row>
    <row r="1037" spans="1: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3"/>
      <c r="O1037" s="103"/>
    </row>
    <row r="1038" spans="1: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3"/>
      <c r="O1038" s="103"/>
    </row>
    <row r="1039" spans="1: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3"/>
      <c r="O1039" s="103"/>
    </row>
    <row r="1040" spans="1: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3"/>
      <c r="O1040" s="103"/>
    </row>
    <row r="1041" spans="1: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3"/>
      <c r="O1041" s="103"/>
    </row>
    <row r="1042" spans="1: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3"/>
      <c r="O1042" s="103"/>
    </row>
    <row r="1043" spans="1: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3"/>
      <c r="O1043" s="103"/>
    </row>
    <row r="1044" spans="1: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3"/>
      <c r="O1044" s="103"/>
    </row>
    <row r="1045" spans="1: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3"/>
      <c r="O1045" s="103"/>
    </row>
    <row r="1046" spans="1: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3"/>
      <c r="O1046" s="103"/>
    </row>
    <row r="1047" spans="1: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3"/>
      <c r="O1047" s="103"/>
    </row>
    <row r="1048" spans="1: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3"/>
      <c r="O1048" s="103"/>
    </row>
    <row r="1049" spans="1: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3"/>
      <c r="O1049" s="103"/>
    </row>
    <row r="1050" spans="1: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3"/>
      <c r="O1050" s="103"/>
    </row>
    <row r="1051" spans="1: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3"/>
      <c r="O1051" s="103"/>
    </row>
    <row r="1052" spans="1: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3"/>
      <c r="O1052" s="103"/>
    </row>
    <row r="1053" spans="1: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3"/>
      <c r="O1053" s="103"/>
    </row>
    <row r="1054" spans="1: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3"/>
      <c r="O1054" s="103"/>
    </row>
    <row r="1055" spans="1: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3"/>
      <c r="O1055" s="103"/>
    </row>
    <row r="1056" spans="1: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3"/>
      <c r="O1056" s="103"/>
    </row>
    <row r="1057" spans="1: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3"/>
      <c r="O1057" s="103"/>
    </row>
    <row r="1058" spans="1: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3"/>
      <c r="O1058" s="103"/>
    </row>
    <row r="1059" spans="1: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3"/>
      <c r="O1059" s="103"/>
    </row>
    <row r="1060" spans="1: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3"/>
      <c r="O1060" s="103"/>
    </row>
    <row r="1061" spans="1: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3"/>
      <c r="O1061" s="103"/>
    </row>
    <row r="1062" spans="1: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3"/>
      <c r="O1062" s="103"/>
    </row>
    <row r="1063" spans="1: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3"/>
      <c r="O1063" s="103"/>
    </row>
    <row r="1064" spans="1: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3"/>
      <c r="O1064" s="103"/>
    </row>
    <row r="1065" spans="1: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3"/>
      <c r="O1065" s="103"/>
    </row>
    <row r="1066" spans="1: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3"/>
      <c r="O1066" s="103"/>
    </row>
    <row r="1067" spans="1: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3"/>
      <c r="O1067" s="103"/>
    </row>
    <row r="1068" spans="1: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3"/>
      <c r="O1068" s="103"/>
    </row>
    <row r="1069" spans="1: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3"/>
      <c r="O1069" s="103"/>
    </row>
    <row r="1070" spans="1: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3"/>
      <c r="O1070" s="103"/>
    </row>
    <row r="1071" spans="1: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3"/>
      <c r="O1071" s="103"/>
    </row>
    <row r="1072" spans="1: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3"/>
      <c r="O1072" s="103"/>
    </row>
    <row r="1073" spans="1: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3"/>
      <c r="O1073" s="103"/>
    </row>
    <row r="1074" spans="1: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3"/>
      <c r="O1074" s="103"/>
    </row>
    <row r="1075" spans="1: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3"/>
      <c r="O1075" s="103"/>
    </row>
    <row r="1076" spans="1: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3"/>
      <c r="O1076" s="103"/>
    </row>
    <row r="1077" spans="1: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3"/>
      <c r="O1077" s="103"/>
    </row>
    <row r="1078" spans="1: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3"/>
      <c r="O1078" s="103"/>
    </row>
    <row r="1079" spans="1: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3"/>
      <c r="O1079" s="103"/>
    </row>
    <row r="1080" spans="1: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3"/>
      <c r="O1080" s="103"/>
    </row>
    <row r="1081" spans="1: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3"/>
      <c r="O1081" s="103"/>
    </row>
    <row r="1082" spans="1: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3"/>
      <c r="O1082" s="103"/>
    </row>
    <row r="1083" spans="1: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3"/>
      <c r="O1083" s="103"/>
    </row>
    <row r="1084" spans="1: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3"/>
      <c r="O1084" s="103"/>
    </row>
    <row r="1085" spans="1: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3"/>
      <c r="O1085" s="103"/>
    </row>
    <row r="1086" spans="1: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3"/>
      <c r="O1086" s="103"/>
    </row>
    <row r="1087" spans="1: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3"/>
      <c r="O1087" s="103"/>
    </row>
    <row r="1088" spans="1: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3"/>
      <c r="O1088" s="103"/>
    </row>
    <row r="1089" spans="1: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3"/>
      <c r="O1089" s="103"/>
    </row>
    <row r="1090" spans="1: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3"/>
      <c r="O1090" s="103"/>
    </row>
    <row r="1091" spans="1: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3"/>
      <c r="O1091" s="103"/>
    </row>
    <row r="1092" spans="1: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3"/>
      <c r="O1092" s="103"/>
    </row>
    <row r="1093" spans="1: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3"/>
      <c r="O1093" s="103"/>
    </row>
    <row r="1094" spans="1: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3"/>
      <c r="O1094" s="103"/>
    </row>
    <row r="1095" spans="1: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3"/>
      <c r="O1095" s="103"/>
    </row>
    <row r="1096" spans="1: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3"/>
      <c r="O1096" s="103"/>
    </row>
    <row r="1097" spans="1: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3"/>
      <c r="O1097" s="103"/>
    </row>
    <row r="1098" spans="1: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3"/>
      <c r="O1098" s="103"/>
    </row>
    <row r="1099" spans="1: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3"/>
      <c r="O1099" s="103"/>
    </row>
    <row r="1100" spans="1: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3"/>
      <c r="O1100" s="103"/>
    </row>
    <row r="1101" spans="1: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3"/>
      <c r="O1101" s="103"/>
    </row>
    <row r="1102" spans="1: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3"/>
      <c r="O1102" s="103"/>
    </row>
    <row r="1103" spans="1: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3"/>
      <c r="O1103" s="103"/>
    </row>
    <row r="1104" spans="1: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3"/>
      <c r="O1104" s="103"/>
    </row>
    <row r="1105" spans="1: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3"/>
      <c r="O1105" s="103"/>
    </row>
    <row r="1106" spans="1: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3"/>
      <c r="O1106" s="103"/>
    </row>
    <row r="1107" spans="1: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3"/>
      <c r="O1107" s="103"/>
    </row>
    <row r="1108" spans="1: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3"/>
      <c r="O1108" s="103"/>
    </row>
    <row r="1109" spans="1: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3"/>
      <c r="O1109" s="103"/>
    </row>
    <row r="1110" spans="1: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3"/>
      <c r="O1110" s="103"/>
    </row>
    <row r="1111" spans="1: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3"/>
      <c r="O1111" s="103"/>
    </row>
    <row r="1112" spans="1: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3"/>
      <c r="O1112" s="103"/>
    </row>
    <row r="1113" spans="1: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3"/>
      <c r="O1113" s="103"/>
    </row>
    <row r="1114" spans="1: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3"/>
      <c r="O1114" s="103"/>
    </row>
    <row r="1115" spans="1: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3"/>
      <c r="O1115" s="103"/>
    </row>
    <row r="1116" spans="1: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3"/>
      <c r="O1116" s="103"/>
    </row>
    <row r="1117" spans="1: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3"/>
      <c r="O1117" s="103"/>
    </row>
    <row r="1118" spans="1: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3"/>
      <c r="O1118" s="103"/>
    </row>
    <row r="1119" spans="1: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3"/>
      <c r="O1119" s="103"/>
    </row>
    <row r="1120" spans="1: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3"/>
      <c r="O1120" s="103"/>
    </row>
    <row r="1121" spans="1: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3"/>
      <c r="O1121" s="103"/>
    </row>
    <row r="1122" spans="1: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3"/>
      <c r="O1122" s="103"/>
    </row>
    <row r="1123" spans="1: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3"/>
      <c r="O1123" s="103"/>
    </row>
    <row r="1124" spans="1: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3"/>
      <c r="O1124" s="103"/>
    </row>
    <row r="1125" spans="1: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3"/>
      <c r="O1125" s="103"/>
    </row>
    <row r="1126" spans="1: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3"/>
      <c r="O1126" s="103"/>
    </row>
    <row r="1127" spans="1: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3"/>
      <c r="O1127" s="103"/>
    </row>
    <row r="1128" spans="1: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3"/>
      <c r="O1128" s="103"/>
    </row>
    <row r="1129" spans="1: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3"/>
      <c r="O1129" s="103"/>
    </row>
    <row r="1130" spans="1: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3"/>
      <c r="O1130" s="103"/>
    </row>
    <row r="1131" spans="1: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3"/>
      <c r="O1131" s="103"/>
    </row>
    <row r="1132" spans="1: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3"/>
      <c r="O1132" s="103"/>
    </row>
    <row r="1133" spans="1: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3"/>
      <c r="O1133" s="103"/>
    </row>
    <row r="1134" spans="1: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3"/>
      <c r="O1134" s="103"/>
    </row>
    <row r="1135" spans="1: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3"/>
      <c r="O1135" s="103"/>
    </row>
    <row r="1136" spans="1: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3"/>
      <c r="O1136" s="103"/>
    </row>
    <row r="1137" spans="1: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3"/>
      <c r="O1137" s="103"/>
    </row>
    <row r="1138" spans="1: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3"/>
      <c r="O1138" s="103"/>
    </row>
    <row r="1139" spans="1: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3"/>
      <c r="O1139" s="103"/>
    </row>
    <row r="1140" spans="1: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3"/>
      <c r="O1140" s="103"/>
    </row>
    <row r="1141" spans="1: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3"/>
      <c r="O1141" s="103"/>
    </row>
    <row r="1142" spans="1: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3"/>
      <c r="O1142" s="103"/>
    </row>
    <row r="1143" spans="1: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3"/>
      <c r="O1143" s="103"/>
    </row>
    <row r="1144" spans="1: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3"/>
      <c r="O1144" s="103"/>
    </row>
    <row r="1145" spans="1: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3"/>
      <c r="O1145" s="103"/>
    </row>
    <row r="1146" spans="1: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3"/>
      <c r="O1146" s="103"/>
    </row>
    <row r="1147" spans="1: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3"/>
      <c r="O1147" s="103"/>
    </row>
    <row r="1148" spans="1: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3"/>
      <c r="O1148" s="103"/>
    </row>
    <row r="1149" spans="1: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3"/>
      <c r="O1149" s="103"/>
    </row>
    <row r="1150" spans="1: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3"/>
      <c r="O1150" s="103"/>
    </row>
    <row r="1151" spans="1: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3"/>
      <c r="O1151" s="103"/>
    </row>
    <row r="1152" spans="1: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3"/>
      <c r="O1152" s="103"/>
    </row>
    <row r="1153" spans="1: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3"/>
      <c r="O1153" s="103"/>
    </row>
    <row r="1154" spans="1: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3"/>
      <c r="O1154" s="103"/>
    </row>
    <row r="1155" spans="1: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3"/>
      <c r="O1155" s="103"/>
    </row>
    <row r="1156" spans="1: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3"/>
      <c r="O1156" s="103"/>
    </row>
    <row r="1157" spans="1: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3"/>
      <c r="O1157" s="103"/>
    </row>
    <row r="1158" spans="1: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3"/>
      <c r="O1158" s="103"/>
    </row>
    <row r="1159" spans="1: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3"/>
      <c r="O1159" s="103"/>
    </row>
    <row r="1160" spans="1: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3"/>
      <c r="O1160" s="103"/>
    </row>
    <row r="1161" spans="1: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3"/>
      <c r="O1161" s="103"/>
    </row>
    <row r="1162" spans="1: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3"/>
      <c r="O1162" s="103"/>
    </row>
    <row r="1163" spans="1: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3"/>
      <c r="O1163" s="103"/>
    </row>
    <row r="1164" spans="1: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3"/>
      <c r="O1164" s="103"/>
    </row>
    <row r="1165" spans="1: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3"/>
      <c r="O1165" s="103"/>
    </row>
    <row r="1166" spans="1: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3"/>
      <c r="O1166" s="103"/>
    </row>
    <row r="1167" spans="1: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3"/>
      <c r="O1167" s="103"/>
    </row>
    <row r="1168" spans="1: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3"/>
      <c r="O1168" s="103"/>
    </row>
    <row r="1169" spans="1: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3"/>
      <c r="O1169" s="103"/>
    </row>
    <row r="1170" spans="1: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3"/>
      <c r="O1170" s="103"/>
    </row>
    <row r="1171" spans="1: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3"/>
      <c r="O1171" s="103"/>
    </row>
    <row r="1172" spans="1: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3"/>
      <c r="O1172" s="103"/>
    </row>
    <row r="1173" spans="1: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3"/>
      <c r="O1173" s="103"/>
    </row>
    <row r="1174" spans="1: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3"/>
      <c r="O1174" s="103"/>
    </row>
    <row r="1175" spans="1: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3"/>
      <c r="O1175" s="103"/>
    </row>
    <row r="1176" spans="1: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3"/>
      <c r="O1176" s="103"/>
    </row>
    <row r="1177" spans="1: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3"/>
      <c r="O1177" s="103"/>
    </row>
    <row r="1178" spans="1: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3"/>
      <c r="O1178" s="103"/>
    </row>
    <row r="1179" spans="1: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3"/>
      <c r="O1179" s="103"/>
    </row>
    <row r="1180" spans="1: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3"/>
      <c r="O1180" s="103"/>
    </row>
    <row r="1181" spans="1: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3"/>
      <c r="O1181" s="103"/>
    </row>
    <row r="1182" spans="1: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3"/>
      <c r="O1182" s="103"/>
    </row>
    <row r="1183" spans="1: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3"/>
      <c r="O1183" s="103"/>
    </row>
    <row r="1184" spans="1: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3"/>
      <c r="O1184" s="103"/>
    </row>
    <row r="1185" spans="1: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3"/>
      <c r="O1185" s="103"/>
    </row>
    <row r="1186" spans="1: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3"/>
      <c r="O1186" s="103"/>
    </row>
    <row r="1187" spans="1: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3"/>
      <c r="O1187" s="103"/>
    </row>
    <row r="1188" spans="1: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3"/>
      <c r="O1188" s="103"/>
    </row>
    <row r="1189" spans="1: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3"/>
      <c r="O1189" s="103"/>
    </row>
    <row r="1190" spans="1: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3"/>
      <c r="O1190" s="103"/>
    </row>
    <row r="1191" spans="1: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3"/>
      <c r="O1191" s="103"/>
    </row>
    <row r="1192" spans="1: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3"/>
      <c r="O1192" s="103"/>
    </row>
    <row r="1193" spans="1: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3"/>
      <c r="O1193" s="103"/>
    </row>
    <row r="1194" spans="1: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3"/>
      <c r="O1194" s="103"/>
    </row>
    <row r="1195" spans="1: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3"/>
      <c r="O1195" s="103"/>
    </row>
    <row r="1196" spans="1: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3"/>
      <c r="O1196" s="103"/>
    </row>
    <row r="1197" spans="1: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3"/>
      <c r="O1197" s="103"/>
    </row>
    <row r="1198" spans="1: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3"/>
      <c r="O1198" s="103"/>
    </row>
    <row r="1199" spans="1: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3"/>
      <c r="O1199" s="103"/>
    </row>
    <row r="1200" spans="1: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3"/>
      <c r="O1200" s="103"/>
    </row>
    <row r="1201" spans="1: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3"/>
      <c r="O1201" s="103"/>
    </row>
    <row r="1202" spans="1: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3"/>
      <c r="O1202" s="103"/>
    </row>
    <row r="1203" spans="1: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3"/>
      <c r="O1203" s="103"/>
    </row>
    <row r="1204" spans="1: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3"/>
      <c r="O1204" s="103"/>
    </row>
    <row r="1205" spans="1: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3"/>
      <c r="O1205" s="103"/>
    </row>
    <row r="1206" spans="1: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3"/>
      <c r="O1206" s="103"/>
    </row>
    <row r="1207" spans="1: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3"/>
      <c r="O1207" s="103"/>
    </row>
    <row r="1208" spans="1: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3"/>
      <c r="O1208" s="103"/>
    </row>
    <row r="1209" spans="1: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3"/>
      <c r="O1209" s="103"/>
    </row>
    <row r="1210" spans="1: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3"/>
      <c r="O1210" s="103"/>
    </row>
    <row r="1211" spans="1: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3"/>
      <c r="O1211" s="103"/>
    </row>
    <row r="1212" spans="1: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3"/>
      <c r="O1212" s="103"/>
    </row>
    <row r="1213" spans="1: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3"/>
      <c r="O1213" s="103"/>
    </row>
    <row r="1214" spans="1: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3"/>
      <c r="O1214" s="103"/>
    </row>
    <row r="1215" spans="1: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3"/>
      <c r="O1215" s="103"/>
    </row>
    <row r="1216" spans="1: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3"/>
      <c r="O1216" s="103"/>
    </row>
    <row r="1217" spans="1: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3"/>
      <c r="O1217" s="103"/>
    </row>
    <row r="1218" spans="1: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3"/>
      <c r="O1218" s="103"/>
    </row>
    <row r="1219" spans="1: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3"/>
      <c r="O1219" s="103"/>
    </row>
    <row r="1220" spans="1: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3"/>
      <c r="O1220" s="103"/>
    </row>
    <row r="1221" spans="1: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3"/>
      <c r="O1221" s="103"/>
    </row>
    <row r="1222" spans="1: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3"/>
      <c r="O1222" s="103"/>
    </row>
    <row r="1223" spans="1: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3"/>
      <c r="O1223" s="103"/>
    </row>
    <row r="1224" spans="1: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3"/>
      <c r="O1224" s="103"/>
    </row>
    <row r="1225" spans="1: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3"/>
      <c r="O1225" s="103"/>
    </row>
    <row r="1226" spans="1: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3"/>
      <c r="O1226" s="103"/>
    </row>
    <row r="1227" spans="1: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3"/>
      <c r="O1227" s="103"/>
    </row>
    <row r="1228" spans="1: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3"/>
      <c r="O1228" s="103"/>
    </row>
    <row r="1229" spans="1: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3"/>
      <c r="O1229" s="103"/>
    </row>
    <row r="1230" spans="1: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3"/>
      <c r="O1230" s="103"/>
    </row>
    <row r="1231" spans="1: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3"/>
      <c r="O1231" s="103"/>
    </row>
    <row r="1232" spans="1: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3"/>
      <c r="O1232" s="103"/>
    </row>
    <row r="1233" spans="1: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3"/>
      <c r="O1233" s="103"/>
    </row>
    <row r="1234" spans="1: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3"/>
      <c r="O1234" s="103"/>
    </row>
    <row r="1235" spans="1: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3"/>
      <c r="O1235" s="103"/>
    </row>
    <row r="1236" spans="1: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3"/>
      <c r="O1236" s="103"/>
    </row>
    <row r="1237" spans="1: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3"/>
      <c r="O1237" s="103"/>
    </row>
    <row r="1238" spans="1: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3"/>
      <c r="O1238" s="103"/>
    </row>
    <row r="1239" spans="1: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3"/>
      <c r="O1239" s="103"/>
    </row>
    <row r="1240" spans="1: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3"/>
      <c r="O1240" s="103"/>
    </row>
    <row r="1241" spans="1: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3"/>
      <c r="O1241" s="103"/>
    </row>
    <row r="1242" spans="1: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3"/>
      <c r="O1242" s="103"/>
    </row>
    <row r="1243" spans="1: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3"/>
      <c r="O1243" s="103"/>
    </row>
    <row r="1244" spans="1: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3"/>
      <c r="O1244" s="103"/>
    </row>
    <row r="1245" spans="1: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3"/>
      <c r="O1245" s="103"/>
    </row>
    <row r="1246" spans="1: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3"/>
      <c r="O1246" s="103"/>
    </row>
    <row r="1247" spans="1: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3"/>
      <c r="O1247" s="103"/>
    </row>
    <row r="1248" spans="1: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3"/>
      <c r="O1248" s="103"/>
    </row>
    <row r="1249" spans="1: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3"/>
      <c r="O1249" s="103"/>
    </row>
    <row r="1250" spans="1: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3"/>
      <c r="O1250" s="103"/>
    </row>
    <row r="1251" spans="1: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3"/>
      <c r="O1251" s="103"/>
    </row>
    <row r="1252" spans="1: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3"/>
      <c r="O1252" s="103"/>
    </row>
    <row r="1253" spans="1: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3"/>
      <c r="O1253" s="103"/>
    </row>
    <row r="1254" spans="1: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3"/>
      <c r="O1254" s="103"/>
    </row>
    <row r="1255" spans="1: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3"/>
      <c r="O1255" s="103"/>
    </row>
    <row r="1256" spans="1: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3"/>
      <c r="O1256" s="103"/>
    </row>
    <row r="1257" spans="1: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3"/>
      <c r="O1257" s="103"/>
    </row>
    <row r="1258" spans="1: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3"/>
      <c r="O1258" s="103"/>
    </row>
    <row r="1259" spans="1: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3"/>
      <c r="O1259" s="103"/>
    </row>
    <row r="1260" spans="1: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3"/>
      <c r="O1260" s="103"/>
    </row>
    <row r="1261" spans="1: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3"/>
      <c r="O1261" s="103"/>
    </row>
    <row r="1262" spans="1: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3"/>
      <c r="O1262" s="103"/>
    </row>
    <row r="1263" spans="1: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3"/>
      <c r="O1263" s="103"/>
    </row>
    <row r="1264" spans="1: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3"/>
      <c r="O1264" s="103"/>
    </row>
    <row r="1265" spans="1: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3"/>
      <c r="O1265" s="103"/>
    </row>
    <row r="1266" spans="1: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3"/>
      <c r="O1266" s="103"/>
    </row>
    <row r="1267" spans="1: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3"/>
      <c r="O1267" s="103"/>
    </row>
    <row r="1268" spans="1: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3"/>
      <c r="O1268" s="103"/>
    </row>
    <row r="1269" spans="1: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3"/>
      <c r="O1269" s="103"/>
    </row>
    <row r="1270" spans="1: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3"/>
      <c r="O1270" s="103"/>
    </row>
    <row r="1271" spans="1: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3"/>
      <c r="O1271" s="103"/>
    </row>
    <row r="1272" spans="1: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3"/>
      <c r="O1272" s="103"/>
    </row>
    <row r="1273" spans="1: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3"/>
      <c r="O1273" s="103"/>
    </row>
    <row r="1274" spans="1: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3"/>
      <c r="O1274" s="103"/>
    </row>
    <row r="1275" spans="1: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3"/>
      <c r="O1275" s="103"/>
    </row>
    <row r="1276" spans="1: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3"/>
      <c r="O1276" s="103"/>
    </row>
    <row r="1277" spans="1: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3"/>
      <c r="O1277" s="103"/>
    </row>
    <row r="1278" spans="1: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3"/>
      <c r="O1278" s="103"/>
    </row>
    <row r="1279" spans="1: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3"/>
      <c r="O1279" s="103"/>
    </row>
    <row r="1280" spans="1: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3"/>
      <c r="O1280" s="103"/>
    </row>
    <row r="1281" spans="1: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3"/>
      <c r="O1281" s="103"/>
    </row>
    <row r="1282" spans="1: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3"/>
      <c r="O1282" s="103"/>
    </row>
    <row r="1283" spans="1: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3"/>
      <c r="O1283" s="103"/>
    </row>
    <row r="1284" spans="1: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3"/>
      <c r="O1284" s="103"/>
    </row>
    <row r="1285" spans="1: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3"/>
      <c r="O1285" s="103"/>
    </row>
    <row r="1286" spans="1: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3"/>
      <c r="O1286" s="103"/>
    </row>
    <row r="1287" spans="1: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3"/>
      <c r="O1287" s="103"/>
    </row>
    <row r="1288" spans="1: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3"/>
      <c r="O1288" s="103"/>
    </row>
    <row r="1289" spans="1: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3"/>
      <c r="O1289" s="103"/>
    </row>
    <row r="1290" spans="1: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3"/>
      <c r="O1290" s="103"/>
    </row>
    <row r="1291" spans="1: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3"/>
      <c r="O1291" s="103"/>
    </row>
    <row r="1292" spans="1: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3"/>
      <c r="O1292" s="103"/>
    </row>
    <row r="1293" spans="1: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3"/>
      <c r="O1293" s="103"/>
    </row>
    <row r="1294" spans="1: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3"/>
      <c r="O1294" s="103"/>
    </row>
    <row r="1295" spans="1: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3"/>
      <c r="O1295" s="103"/>
    </row>
    <row r="1296" spans="1: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3"/>
      <c r="O1296" s="103"/>
    </row>
    <row r="1297" spans="1: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3"/>
      <c r="O1297" s="103"/>
    </row>
    <row r="1298" spans="1: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3"/>
      <c r="O1298" s="103"/>
    </row>
    <row r="1299" spans="1: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3"/>
      <c r="O1299" s="103"/>
    </row>
    <row r="1300" spans="1: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3"/>
      <c r="O1300" s="103"/>
    </row>
    <row r="1301" spans="1: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3"/>
      <c r="O1301" s="103"/>
    </row>
    <row r="1302" spans="1: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3"/>
      <c r="O1302" s="103"/>
    </row>
    <row r="1303" spans="1: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3"/>
      <c r="O1303" s="103"/>
    </row>
    <row r="1304" spans="1: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3"/>
      <c r="O1304" s="103"/>
    </row>
    <row r="1305" spans="1: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3"/>
      <c r="O1305" s="103"/>
    </row>
    <row r="1306" spans="1: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3"/>
      <c r="O1306" s="103"/>
    </row>
    <row r="1307" spans="1: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3"/>
      <c r="O1307" s="103"/>
    </row>
    <row r="1308" spans="1: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3"/>
      <c r="O1308" s="103"/>
    </row>
    <row r="1309" spans="1: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3"/>
      <c r="O1309" s="103"/>
    </row>
    <row r="1310" spans="1: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3"/>
      <c r="O1310" s="103"/>
    </row>
    <row r="1311" spans="1: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3"/>
      <c r="O1311" s="103"/>
    </row>
    <row r="1312" spans="1: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3"/>
      <c r="O1312" s="103"/>
    </row>
    <row r="1313" spans="1: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3"/>
      <c r="O1313" s="103"/>
    </row>
    <row r="1314" spans="1: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3"/>
      <c r="O1314" s="103"/>
    </row>
    <row r="1315" spans="1: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3"/>
      <c r="O1315" s="103"/>
    </row>
    <row r="1316" spans="1: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3"/>
      <c r="O1316" s="103"/>
    </row>
    <row r="1317" spans="1: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3"/>
      <c r="O1317" s="103"/>
    </row>
    <row r="1318" spans="1: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3"/>
      <c r="O1318" s="103"/>
    </row>
    <row r="1319" spans="1: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3"/>
      <c r="O1319" s="103"/>
    </row>
    <row r="1320" spans="1: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3"/>
      <c r="O1320" s="103"/>
    </row>
    <row r="1321" spans="1: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3"/>
      <c r="O1321" s="103"/>
    </row>
    <row r="1322" spans="1: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3"/>
      <c r="O1322" s="103"/>
    </row>
    <row r="1323" spans="1: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3"/>
      <c r="O1323" s="103"/>
    </row>
    <row r="1324" spans="1: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3"/>
      <c r="O1324" s="103"/>
    </row>
    <row r="1325" spans="1: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3"/>
      <c r="O1325" s="103"/>
    </row>
    <row r="1326" spans="1: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3"/>
      <c r="O1326" s="103"/>
    </row>
    <row r="1327" spans="1: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3"/>
      <c r="O1327" s="103"/>
    </row>
    <row r="1328" spans="1: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3"/>
      <c r="O1328" s="103"/>
    </row>
    <row r="1329" spans="1: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3"/>
      <c r="O1329" s="103"/>
    </row>
    <row r="1330" spans="1: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3"/>
      <c r="O1330" s="103"/>
    </row>
    <row r="1331" spans="1: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3"/>
      <c r="O1331" s="103"/>
    </row>
    <row r="1332" spans="1: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3"/>
      <c r="O1332" s="103"/>
    </row>
    <row r="1333" spans="1: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3"/>
      <c r="O1333" s="103"/>
    </row>
    <row r="1334" spans="1: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3"/>
      <c r="O1334" s="103"/>
    </row>
    <row r="1335" spans="1: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3"/>
      <c r="O1335" s="103"/>
    </row>
    <row r="1336" spans="1: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3"/>
      <c r="O1336" s="103"/>
    </row>
    <row r="1337" spans="1: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3"/>
      <c r="O1337" s="103"/>
    </row>
    <row r="1338" spans="1: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3"/>
      <c r="O1338" s="103"/>
    </row>
    <row r="1339" spans="1: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3"/>
      <c r="O1339" s="103"/>
    </row>
    <row r="1340" spans="1: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3"/>
      <c r="O1340" s="103"/>
    </row>
    <row r="1341" spans="1: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3"/>
      <c r="O1341" s="103"/>
    </row>
    <row r="1342" spans="1: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3"/>
      <c r="O1342" s="103"/>
    </row>
    <row r="1343" spans="1: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3"/>
      <c r="O1343" s="103"/>
    </row>
    <row r="1344" spans="1: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3"/>
      <c r="O1344" s="103"/>
    </row>
    <row r="1345" spans="1: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3"/>
      <c r="O1345" s="103"/>
    </row>
    <row r="1346" spans="1: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3"/>
      <c r="O1346" s="103"/>
    </row>
    <row r="1347" spans="1: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3"/>
      <c r="O1347" s="103"/>
    </row>
    <row r="1348" spans="1: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3"/>
      <c r="O1348" s="103"/>
    </row>
    <row r="1349" spans="1: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3"/>
      <c r="O1349" s="103"/>
    </row>
    <row r="1350" spans="1: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3"/>
      <c r="O1350" s="103"/>
    </row>
    <row r="1351" spans="1: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3"/>
      <c r="O1351" s="103"/>
    </row>
    <row r="1352" spans="1: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3"/>
      <c r="O1352" s="103"/>
    </row>
    <row r="1353" spans="1: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3"/>
      <c r="O1353" s="103"/>
    </row>
    <row r="1354" spans="1: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3"/>
      <c r="O1354" s="103"/>
    </row>
    <row r="1355" spans="1: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3"/>
      <c r="O1355" s="103"/>
    </row>
    <row r="1356" spans="1: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3"/>
      <c r="O1356" s="103"/>
    </row>
    <row r="1357" spans="1: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3"/>
      <c r="O1357" s="103"/>
    </row>
    <row r="1358" spans="1: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3"/>
      <c r="O1358" s="103"/>
    </row>
    <row r="1359" spans="1: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3"/>
      <c r="O1359" s="103"/>
    </row>
    <row r="1360" spans="1: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3"/>
      <c r="O1360" s="103"/>
    </row>
    <row r="1361" spans="1: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3"/>
      <c r="O1361" s="103"/>
    </row>
    <row r="1362" spans="1: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3"/>
      <c r="O1362" s="103"/>
    </row>
    <row r="1363" spans="1: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3"/>
      <c r="O1363" s="103"/>
    </row>
    <row r="1364" spans="1: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3"/>
      <c r="O1364" s="103"/>
    </row>
    <row r="1365" spans="1: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3"/>
      <c r="O1365" s="103"/>
    </row>
    <row r="1366" spans="1: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3"/>
      <c r="O1366" s="103"/>
    </row>
    <row r="1367" spans="1: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3"/>
      <c r="O1367" s="103"/>
    </row>
    <row r="1368" spans="1: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3"/>
      <c r="O1368" s="103"/>
    </row>
    <row r="1369" spans="1: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3"/>
      <c r="O1369" s="103"/>
    </row>
    <row r="1370" spans="1: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3"/>
      <c r="O1370" s="103"/>
    </row>
    <row r="1371" spans="1: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3"/>
      <c r="O1371" s="103"/>
    </row>
    <row r="1372" spans="1: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3"/>
      <c r="O1372" s="103"/>
    </row>
    <row r="1373" spans="1: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3"/>
      <c r="O1373" s="103"/>
    </row>
    <row r="1374" spans="1: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3"/>
      <c r="O1374" s="103"/>
    </row>
    <row r="1375" spans="1: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3"/>
      <c r="O1375" s="103"/>
    </row>
    <row r="1376" spans="1: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3"/>
      <c r="O1376" s="103"/>
    </row>
    <row r="1377" spans="1: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3"/>
      <c r="O1377" s="103"/>
    </row>
    <row r="1378" spans="1: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3"/>
      <c r="O1378" s="103"/>
    </row>
    <row r="1379" spans="1: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3"/>
      <c r="O1379" s="103"/>
    </row>
    <row r="1380" spans="1: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3"/>
      <c r="O1380" s="103"/>
    </row>
    <row r="1381" spans="1: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3"/>
      <c r="O1381" s="103"/>
    </row>
    <row r="1382" spans="1: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3"/>
      <c r="O1382" s="103"/>
    </row>
    <row r="1383" spans="1: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3"/>
      <c r="O1383" s="103"/>
    </row>
    <row r="1384" spans="1: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3"/>
      <c r="O1384" s="103"/>
    </row>
    <row r="1385" spans="1: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3"/>
      <c r="O1385" s="103"/>
    </row>
    <row r="1386" spans="1: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3"/>
      <c r="O1386" s="103"/>
    </row>
    <row r="1387" spans="1: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3"/>
      <c r="O1387" s="103"/>
    </row>
    <row r="1388" spans="1: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3"/>
      <c r="O1388" s="103"/>
    </row>
    <row r="1389" spans="1: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3"/>
      <c r="O1389" s="103"/>
    </row>
    <row r="1390" spans="1: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3"/>
      <c r="O1390" s="103"/>
    </row>
    <row r="1391" spans="1: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3"/>
      <c r="O1391" s="103"/>
    </row>
    <row r="1392" spans="1: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3"/>
      <c r="O1392" s="103"/>
    </row>
    <row r="1393" spans="1: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3"/>
      <c r="O1393" s="103"/>
    </row>
    <row r="1394" spans="1: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3"/>
      <c r="O1394" s="103"/>
    </row>
    <row r="1395" spans="1: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3"/>
      <c r="O1395" s="103"/>
    </row>
    <row r="1396" spans="1: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3"/>
      <c r="O1396" s="103"/>
    </row>
    <row r="1397" spans="1: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3"/>
      <c r="O1397" s="103"/>
    </row>
    <row r="1398" spans="1: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3"/>
      <c r="O1398" s="103"/>
    </row>
    <row r="1399" spans="1: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3"/>
      <c r="O1399" s="103"/>
    </row>
    <row r="1400" spans="1: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3"/>
      <c r="O1400" s="103"/>
    </row>
    <row r="1401" spans="1: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3"/>
      <c r="O1401" s="103"/>
    </row>
    <row r="1402" spans="1: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3"/>
      <c r="O1402" s="103"/>
    </row>
    <row r="1403" spans="1: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3"/>
      <c r="O1403" s="103"/>
    </row>
    <row r="1404" spans="1: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3"/>
      <c r="O1404" s="103"/>
    </row>
    <row r="1405" spans="1: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3"/>
      <c r="O1405" s="103"/>
    </row>
    <row r="1406" spans="1: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3"/>
      <c r="O1406" s="103"/>
    </row>
    <row r="1407" spans="1: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3"/>
      <c r="O1407" s="103"/>
    </row>
    <row r="1408" spans="1: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3"/>
      <c r="O1408" s="103"/>
    </row>
    <row r="1409" spans="1: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3"/>
      <c r="O1409" s="103"/>
    </row>
    <row r="1410" spans="1: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3"/>
      <c r="O1410" s="103"/>
    </row>
    <row r="1411" spans="1: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3"/>
      <c r="O1411" s="103"/>
    </row>
    <row r="1412" spans="1: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3"/>
      <c r="O1412" s="103"/>
    </row>
    <row r="1413" spans="1: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3"/>
      <c r="O1413" s="103"/>
    </row>
    <row r="1414" spans="1: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3"/>
      <c r="O1414" s="103"/>
    </row>
    <row r="1415" spans="1: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3"/>
      <c r="O1415" s="103"/>
    </row>
    <row r="1416" spans="1: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3"/>
      <c r="O1416" s="103"/>
    </row>
    <row r="1417" spans="1: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3"/>
      <c r="O1417" s="103"/>
    </row>
    <row r="1418" spans="1: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3"/>
      <c r="O1418" s="103"/>
    </row>
    <row r="1419" spans="1: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3"/>
      <c r="O1419" s="103"/>
    </row>
    <row r="1420" spans="1: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3"/>
      <c r="O1420" s="103"/>
    </row>
    <row r="1421" spans="1: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3"/>
      <c r="O1421" s="103"/>
    </row>
    <row r="1422" spans="1: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3"/>
      <c r="O1422" s="103"/>
    </row>
    <row r="1423" spans="1: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3"/>
      <c r="O1423" s="103"/>
    </row>
    <row r="1424" spans="1: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3"/>
      <c r="O1424" s="103"/>
    </row>
    <row r="1425" spans="1: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3"/>
      <c r="O1425" s="103"/>
    </row>
    <row r="1426" spans="1: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3"/>
      <c r="O1426" s="103"/>
    </row>
    <row r="1427" spans="1: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3"/>
      <c r="O1427" s="103"/>
    </row>
    <row r="1428" spans="1: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3"/>
      <c r="O1428" s="103"/>
    </row>
    <row r="1429" spans="1: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3"/>
      <c r="O1429" s="103"/>
    </row>
    <row r="1430" spans="1: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3"/>
      <c r="O1430" s="103"/>
    </row>
    <row r="1431" spans="1: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3"/>
      <c r="O1431" s="103"/>
    </row>
    <row r="1432" spans="1: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3"/>
      <c r="O1432" s="103"/>
    </row>
    <row r="1433" spans="1: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3"/>
      <c r="O1433" s="103"/>
    </row>
    <row r="1434" spans="1: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3"/>
      <c r="O1434" s="103"/>
    </row>
    <row r="1435" spans="1: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3"/>
      <c r="O1435" s="103"/>
    </row>
    <row r="1436" spans="1: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3"/>
      <c r="O1436" s="103"/>
    </row>
    <row r="1437" spans="1: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3"/>
      <c r="O1437" s="103"/>
    </row>
    <row r="1438" spans="1: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3"/>
      <c r="O1438" s="103"/>
    </row>
    <row r="1439" spans="1: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3"/>
      <c r="O1439" s="103"/>
    </row>
    <row r="1440" spans="1: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3"/>
      <c r="O1440" s="103"/>
    </row>
    <row r="1441" spans="1: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3"/>
      <c r="O1441" s="103"/>
    </row>
    <row r="1442" spans="1: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3"/>
      <c r="O1442" s="103"/>
    </row>
    <row r="1443" spans="1: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3"/>
      <c r="O1443" s="103"/>
    </row>
    <row r="1444" spans="1: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3"/>
      <c r="O1444" s="103"/>
    </row>
    <row r="1445" spans="1: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3"/>
      <c r="O1445" s="103"/>
    </row>
    <row r="1446" spans="1: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3"/>
      <c r="O1446" s="103"/>
    </row>
    <row r="1447" spans="1: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3"/>
      <c r="O1447" s="103"/>
    </row>
    <row r="1448" spans="1: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3"/>
      <c r="O1448" s="103"/>
    </row>
    <row r="1449" spans="1: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3"/>
      <c r="O1449" s="103"/>
    </row>
    <row r="1450" spans="1: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3"/>
      <c r="O1450" s="103"/>
    </row>
    <row r="1451" spans="1: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3"/>
      <c r="O1451" s="103"/>
    </row>
    <row r="1452" spans="1: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3"/>
      <c r="O1452" s="103"/>
    </row>
    <row r="1453" spans="1: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3"/>
      <c r="O1453" s="103"/>
    </row>
    <row r="1454" spans="1: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3"/>
      <c r="O1454" s="103"/>
    </row>
    <row r="1455" spans="1: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3"/>
      <c r="O1455" s="103"/>
    </row>
    <row r="1456" spans="1: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3"/>
      <c r="O1456" s="103"/>
    </row>
    <row r="1457" spans="1: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3"/>
      <c r="O1457" s="103"/>
    </row>
    <row r="1458" spans="1: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3"/>
      <c r="O1458" s="103"/>
    </row>
    <row r="1459" spans="1: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3"/>
      <c r="O1459" s="103"/>
    </row>
    <row r="1460" spans="1: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3"/>
      <c r="O1460" s="103"/>
    </row>
    <row r="1461" spans="1: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3"/>
      <c r="O1461" s="103"/>
    </row>
    <row r="1462" spans="1: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3"/>
      <c r="O1462" s="103"/>
    </row>
    <row r="1463" spans="1: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3"/>
      <c r="O1463" s="103"/>
    </row>
    <row r="1464" spans="1: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3"/>
      <c r="O1464" s="103"/>
    </row>
    <row r="1465" spans="1: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3"/>
      <c r="O1465" s="103"/>
    </row>
    <row r="1466" spans="1: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3"/>
      <c r="O1466" s="103"/>
    </row>
    <row r="1467" spans="1: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3"/>
      <c r="O1467" s="103"/>
    </row>
    <row r="1468" spans="1: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3"/>
      <c r="O1468" s="103"/>
    </row>
    <row r="1469" spans="1: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3"/>
      <c r="O1469" s="103"/>
    </row>
    <row r="1470" spans="1: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3"/>
      <c r="O1470" s="103"/>
    </row>
    <row r="1471" spans="1: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3"/>
      <c r="O1471" s="103"/>
    </row>
    <row r="1472" spans="1: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3"/>
      <c r="O1472" s="103"/>
    </row>
    <row r="1473" spans="1: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3"/>
      <c r="O1473" s="103"/>
    </row>
    <row r="1474" spans="1: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3"/>
      <c r="O1474" s="103"/>
    </row>
    <row r="1475" spans="1: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3"/>
      <c r="O1475" s="103"/>
    </row>
    <row r="1476" spans="1: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3"/>
      <c r="O1476" s="103"/>
    </row>
    <row r="1477" spans="1: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3"/>
      <c r="O1477" s="103"/>
    </row>
    <row r="1478" spans="1: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3"/>
      <c r="O1478" s="103"/>
    </row>
    <row r="1479" spans="1: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3"/>
      <c r="O1479" s="103"/>
    </row>
    <row r="1480" spans="1: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3"/>
      <c r="O1480" s="103"/>
    </row>
    <row r="1481" spans="1: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3"/>
      <c r="O1481" s="103"/>
    </row>
    <row r="1482" spans="1: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3"/>
      <c r="O1482" s="103"/>
    </row>
    <row r="1483" spans="1: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3"/>
      <c r="O1483" s="103"/>
    </row>
    <row r="1484" spans="1: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3"/>
      <c r="O1484" s="103"/>
    </row>
    <row r="1485" spans="1: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3"/>
      <c r="O1485" s="103"/>
    </row>
    <row r="1486" spans="1: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3"/>
      <c r="O1486" s="103"/>
    </row>
    <row r="1487" spans="1: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3"/>
      <c r="O1487" s="103"/>
    </row>
    <row r="1488" spans="1: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3"/>
      <c r="O1488" s="103"/>
    </row>
    <row r="1489" spans="1: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3"/>
      <c r="O1489" s="103"/>
    </row>
    <row r="1490" spans="1: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3"/>
      <c r="O1490" s="103"/>
    </row>
    <row r="1491" spans="1: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3"/>
      <c r="O1491" s="103"/>
    </row>
    <row r="1492" spans="1: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3"/>
      <c r="O1492" s="103"/>
    </row>
    <row r="1493" spans="1: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3"/>
      <c r="O1493" s="103"/>
    </row>
    <row r="1494" spans="1: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3"/>
      <c r="O1494" s="103"/>
    </row>
    <row r="1495" spans="1: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3"/>
      <c r="O1495" s="103"/>
    </row>
    <row r="1496" spans="1: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3"/>
      <c r="O1496" s="103"/>
    </row>
    <row r="1497" spans="1: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3"/>
      <c r="O1497" s="103"/>
    </row>
    <row r="1498" spans="1: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3"/>
      <c r="O1498" s="103"/>
    </row>
    <row r="1499" spans="1: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3"/>
      <c r="O1499" s="103"/>
    </row>
    <row r="1500" spans="1: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3"/>
      <c r="O1500" s="103"/>
    </row>
    <row r="1501" spans="1: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3"/>
      <c r="O1501" s="103"/>
    </row>
    <row r="1502" spans="1: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3"/>
      <c r="O1502" s="103"/>
    </row>
    <row r="1503" spans="1: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3"/>
      <c r="O1503" s="103"/>
    </row>
    <row r="1504" spans="1: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3"/>
      <c r="O1504" s="103"/>
    </row>
    <row r="1505" spans="1: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3"/>
      <c r="O1505" s="103"/>
    </row>
    <row r="1506" spans="1: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3"/>
      <c r="O1506" s="103"/>
    </row>
    <row r="1507" spans="1: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3"/>
      <c r="O1507" s="103"/>
    </row>
    <row r="1508" spans="1: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3"/>
      <c r="O1508" s="103"/>
    </row>
    <row r="1509" spans="1: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3"/>
      <c r="O1509" s="103"/>
    </row>
    <row r="1510" spans="1: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3"/>
      <c r="O1510" s="103"/>
    </row>
    <row r="1511" spans="1: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3"/>
      <c r="O1511" s="103"/>
    </row>
    <row r="1512" spans="1: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3"/>
      <c r="O1512" s="103"/>
    </row>
    <row r="1513" spans="1: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3"/>
      <c r="O1513" s="103"/>
    </row>
    <row r="1514" spans="1: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3"/>
      <c r="O1514" s="103"/>
    </row>
    <row r="1515" spans="1: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3"/>
      <c r="O1515" s="103"/>
    </row>
    <row r="1516" spans="1: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3"/>
      <c r="O1516" s="103"/>
    </row>
    <row r="1517" spans="1: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3"/>
      <c r="O1517" s="103"/>
    </row>
    <row r="1518" spans="1: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3"/>
      <c r="O1518" s="103"/>
    </row>
    <row r="1519" spans="1: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3"/>
      <c r="O1519" s="103"/>
    </row>
    <row r="1520" spans="1: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3"/>
      <c r="O1520" s="103"/>
    </row>
    <row r="1521" spans="1: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3"/>
      <c r="O1521" s="103"/>
    </row>
    <row r="1522" spans="1: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3"/>
      <c r="O1522" s="103"/>
    </row>
    <row r="1523" spans="1: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3"/>
      <c r="O1523" s="103"/>
    </row>
    <row r="1524" spans="1: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3"/>
      <c r="O1524" s="103"/>
    </row>
    <row r="1525" spans="1: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3"/>
      <c r="O1525" s="103"/>
    </row>
    <row r="1526" spans="1: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3"/>
      <c r="O1526" s="103"/>
    </row>
    <row r="1527" spans="1: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3"/>
      <c r="O1527" s="103"/>
    </row>
    <row r="1528" spans="1: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3"/>
      <c r="O1528" s="103"/>
    </row>
    <row r="1529" spans="1: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3"/>
      <c r="O1529" s="103"/>
    </row>
    <row r="1530" spans="1: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3"/>
      <c r="O1530" s="103"/>
    </row>
    <row r="1531" spans="1: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3"/>
      <c r="O1531" s="103"/>
    </row>
    <row r="1532" spans="1: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3"/>
      <c r="O1532" s="103"/>
    </row>
    <row r="1533" spans="1: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3"/>
      <c r="O1533" s="103"/>
    </row>
    <row r="1534" spans="1: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3"/>
      <c r="O1534" s="103"/>
    </row>
    <row r="1535" spans="1: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3"/>
      <c r="O1535" s="103"/>
    </row>
    <row r="1536" spans="1: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3"/>
      <c r="O1536" s="103"/>
    </row>
    <row r="1537" spans="1: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3"/>
      <c r="O1537" s="103"/>
    </row>
    <row r="1538" spans="1: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3"/>
      <c r="O1538" s="103"/>
    </row>
    <row r="1539" spans="1: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3"/>
      <c r="O1539" s="103"/>
    </row>
    <row r="1540" spans="1: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3"/>
      <c r="O1540" s="103"/>
    </row>
    <row r="1541" spans="1: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3"/>
      <c r="O1541" s="103"/>
    </row>
    <row r="1542" spans="1: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3"/>
      <c r="O1542" s="103"/>
    </row>
    <row r="1543" spans="1: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3"/>
      <c r="O1543" s="103"/>
    </row>
    <row r="1544" spans="1: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3"/>
      <c r="O1544" s="103"/>
    </row>
    <row r="1545" spans="1: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3"/>
      <c r="O1545" s="103"/>
    </row>
    <row r="1546" spans="1: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3"/>
      <c r="O1546" s="103"/>
    </row>
    <row r="1547" spans="1: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3"/>
      <c r="O1547" s="103"/>
    </row>
    <row r="1548" spans="1: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3"/>
      <c r="O1548" s="103"/>
    </row>
    <row r="1549" spans="1: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3"/>
      <c r="O1549" s="103"/>
    </row>
    <row r="1550" spans="1: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3"/>
      <c r="O1550" s="103"/>
    </row>
    <row r="1551" spans="1: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3"/>
      <c r="O1551" s="103"/>
    </row>
    <row r="1552" spans="1: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3"/>
      <c r="O1552" s="103"/>
    </row>
    <row r="1553" spans="1: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3"/>
      <c r="O1553" s="103"/>
    </row>
    <row r="1554" spans="1: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3"/>
      <c r="O1554" s="103"/>
    </row>
    <row r="1555" spans="1: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3"/>
      <c r="O1555" s="103"/>
    </row>
    <row r="1556" spans="1: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3"/>
      <c r="O1556" s="103"/>
    </row>
    <row r="1557" spans="1: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3"/>
      <c r="O1557" s="103"/>
    </row>
    <row r="1558" spans="1: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3"/>
      <c r="O1558" s="103"/>
    </row>
    <row r="1559" spans="1: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3"/>
      <c r="O1559" s="103"/>
    </row>
    <row r="1560" spans="1: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3"/>
      <c r="O1560" s="103"/>
    </row>
    <row r="1561" spans="1: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3"/>
      <c r="O1561" s="103"/>
    </row>
    <row r="1562" spans="1: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3"/>
      <c r="O1562" s="103"/>
    </row>
    <row r="1563" spans="1: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3"/>
      <c r="O1563" s="103"/>
    </row>
    <row r="1564" spans="1: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3"/>
      <c r="O1564" s="103"/>
    </row>
    <row r="1565" spans="1: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3"/>
      <c r="O1565" s="103"/>
    </row>
    <row r="1566" spans="1: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3"/>
      <c r="O1566" s="103"/>
    </row>
    <row r="1567" spans="1: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3"/>
      <c r="O1567" s="103"/>
    </row>
    <row r="1568" spans="1: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3"/>
      <c r="O1568" s="103"/>
    </row>
    <row r="1569" spans="1: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3"/>
      <c r="O1569" s="103"/>
    </row>
    <row r="1570" spans="1: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3"/>
      <c r="O1570" s="103"/>
    </row>
    <row r="1571" spans="1: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3"/>
      <c r="O1571" s="103"/>
    </row>
    <row r="1572" spans="1: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3"/>
      <c r="O1572" s="103"/>
    </row>
    <row r="1573" spans="1: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3"/>
      <c r="O1573" s="103"/>
    </row>
    <row r="1574" spans="1: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3"/>
      <c r="O1574" s="103"/>
    </row>
    <row r="1575" spans="1: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3"/>
      <c r="O1575" s="103"/>
    </row>
    <row r="1576" spans="1: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3"/>
      <c r="O1576" s="103"/>
    </row>
    <row r="1577" spans="1: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3"/>
      <c r="O1577" s="103"/>
    </row>
    <row r="1578" spans="1: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3"/>
      <c r="O1578" s="103"/>
    </row>
    <row r="1579" spans="1: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3"/>
      <c r="O1579" s="103"/>
    </row>
    <row r="1580" spans="1: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3"/>
      <c r="O1580" s="103"/>
    </row>
    <row r="1581" spans="1: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3"/>
      <c r="O1581" s="103"/>
    </row>
    <row r="1582" spans="1: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3"/>
      <c r="O1582" s="103"/>
    </row>
    <row r="1583" spans="1: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3"/>
      <c r="O1583" s="103"/>
    </row>
    <row r="1584" spans="1: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3"/>
      <c r="O1584" s="103"/>
    </row>
    <row r="1585" spans="1: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3"/>
      <c r="O1585" s="103"/>
    </row>
    <row r="1586" spans="1: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3"/>
      <c r="O1586" s="103"/>
    </row>
    <row r="1587" spans="1: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3"/>
      <c r="O1587" s="103"/>
    </row>
    <row r="1588" spans="1: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3"/>
      <c r="O1588" s="103"/>
    </row>
    <row r="1589" spans="1: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3"/>
      <c r="O1589" s="103"/>
    </row>
    <row r="1590" spans="1: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3"/>
      <c r="O1590" s="103"/>
    </row>
    <row r="1591" spans="1: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3"/>
      <c r="O1591" s="103"/>
    </row>
    <row r="1592" spans="1: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3"/>
      <c r="O1592" s="103"/>
    </row>
    <row r="1593" spans="1: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3"/>
      <c r="O1593" s="103"/>
    </row>
    <row r="1594" spans="1: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3"/>
      <c r="O1594" s="103"/>
    </row>
    <row r="1595" spans="1: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3"/>
      <c r="O1595" s="103"/>
    </row>
    <row r="1596" spans="1: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3"/>
      <c r="O1596" s="103"/>
    </row>
    <row r="1597" spans="1: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3"/>
      <c r="O1597" s="103"/>
    </row>
    <row r="1598" spans="1: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3"/>
      <c r="O1598" s="103"/>
    </row>
    <row r="1599" spans="1: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3"/>
      <c r="O1599" s="103"/>
    </row>
    <row r="1600" spans="1: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3"/>
      <c r="O1600" s="103"/>
    </row>
    <row r="1601" spans="1: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3"/>
      <c r="O1601" s="103"/>
    </row>
    <row r="1602" spans="1: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3"/>
      <c r="O1602" s="103"/>
    </row>
    <row r="1603" spans="1: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3"/>
      <c r="O1603" s="103"/>
    </row>
    <row r="1604" spans="1: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3"/>
      <c r="O1604" s="103"/>
    </row>
    <row r="1605" spans="1: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3"/>
      <c r="O1605" s="103"/>
    </row>
    <row r="1606" spans="1: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3"/>
      <c r="O1606" s="103"/>
    </row>
    <row r="1607" spans="1: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3"/>
      <c r="O1607" s="103"/>
    </row>
    <row r="1608" spans="1: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3"/>
      <c r="O1608" s="103"/>
    </row>
    <row r="1609" spans="1: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3"/>
      <c r="O1609" s="103"/>
    </row>
    <row r="1610" spans="1: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3"/>
      <c r="O1610" s="103"/>
    </row>
    <row r="1611" spans="1: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3"/>
      <c r="O1611" s="103"/>
    </row>
    <row r="1612" spans="1: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3"/>
      <c r="O1612" s="103"/>
    </row>
    <row r="1613" spans="1: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3"/>
      <c r="O1613" s="103"/>
    </row>
    <row r="1614" spans="1: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3"/>
      <c r="O1614" s="103"/>
    </row>
    <row r="1615" spans="1: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3"/>
      <c r="O1615" s="103"/>
    </row>
    <row r="1616" spans="1: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3"/>
      <c r="O1616" s="103"/>
    </row>
    <row r="1617" spans="1: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3"/>
      <c r="O1617" s="103"/>
    </row>
    <row r="1618" spans="1: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3"/>
      <c r="O1618" s="103"/>
    </row>
    <row r="1619" spans="1: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3"/>
      <c r="O1619" s="103"/>
    </row>
    <row r="1620" spans="1: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3"/>
      <c r="O1620" s="103"/>
    </row>
    <row r="1621" spans="1: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3"/>
      <c r="O1621" s="103"/>
    </row>
    <row r="1622" spans="1: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3"/>
      <c r="O1622" s="103"/>
    </row>
    <row r="1623" spans="1: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3"/>
      <c r="O1623" s="103"/>
    </row>
    <row r="1624" spans="1: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3"/>
      <c r="O1624" s="103"/>
    </row>
    <row r="1625" spans="1: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3"/>
      <c r="O1625" s="103"/>
    </row>
    <row r="1626" spans="1: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3"/>
      <c r="O1626" s="103"/>
    </row>
    <row r="1627" spans="1: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3"/>
      <c r="O1627" s="103"/>
    </row>
    <row r="1628" spans="1: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3"/>
      <c r="O1628" s="103"/>
    </row>
    <row r="1629" spans="1: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3"/>
      <c r="O1629" s="103"/>
    </row>
    <row r="1630" spans="1: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3"/>
      <c r="O1630" s="103"/>
    </row>
    <row r="1631" spans="1: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3"/>
      <c r="O1631" s="103"/>
    </row>
    <row r="1632" spans="1: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3"/>
      <c r="O1632" s="103"/>
    </row>
    <row r="1633" spans="1: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3"/>
      <c r="O1633" s="103"/>
    </row>
    <row r="1634" spans="1: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3"/>
      <c r="O1634" s="103"/>
    </row>
    <row r="1635" spans="1: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3"/>
      <c r="O1635" s="103"/>
    </row>
    <row r="1636" spans="1: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3"/>
      <c r="O1636" s="103"/>
    </row>
    <row r="1637" spans="1: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3"/>
      <c r="O1637" s="103"/>
    </row>
    <row r="1638" spans="1: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3"/>
      <c r="O1638" s="103"/>
    </row>
    <row r="1639" spans="1: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3"/>
      <c r="O1639" s="103"/>
    </row>
    <row r="1640" spans="1: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3"/>
      <c r="O1640" s="103"/>
    </row>
    <row r="1641" spans="1: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3"/>
      <c r="O1641" s="103"/>
    </row>
    <row r="1642" spans="1: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3"/>
      <c r="O1642" s="103"/>
    </row>
    <row r="1643" spans="1: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3"/>
      <c r="O1643" s="103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3"/>
      <c r="O1644" s="103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3"/>
      <c r="O1645" s="103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3"/>
      <c r="O1646" s="103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3"/>
      <c r="O1647" s="103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3"/>
      <c r="O1648" s="103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3"/>
      <c r="O1649" s="103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3"/>
      <c r="O1650" s="103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3"/>
      <c r="O1651" s="103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3"/>
      <c r="O1652" s="103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3"/>
      <c r="O1653" s="103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3"/>
      <c r="O1654" s="103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3"/>
      <c r="O1655" s="103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3"/>
      <c r="O1656" s="103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3"/>
      <c r="O1657" s="103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3"/>
      <c r="O1658" s="103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3"/>
      <c r="O1659" s="103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3"/>
      <c r="O1660" s="103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3"/>
      <c r="O1661" s="103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3"/>
      <c r="O1662" s="103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3"/>
      <c r="O1663" s="103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3"/>
      <c r="O1664" s="103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3"/>
      <c r="O1665" s="103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3"/>
      <c r="O1666" s="103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3"/>
      <c r="O1667" s="103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3"/>
      <c r="O1668" s="103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3"/>
      <c r="O1669" s="103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3"/>
      <c r="O1670" s="103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3"/>
      <c r="O1671" s="103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3"/>
      <c r="O1672" s="103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3"/>
      <c r="O1673" s="103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3"/>
      <c r="O1674" s="103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3"/>
      <c r="O1675" s="103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3"/>
      <c r="O1676" s="103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3"/>
      <c r="O1677" s="103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3"/>
      <c r="O1678" s="103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3"/>
      <c r="O1679" s="103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3"/>
      <c r="O1680" s="103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3"/>
      <c r="O1681" s="103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3"/>
      <c r="O1682" s="103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3"/>
      <c r="O1683" s="103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3"/>
      <c r="O1684" s="103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3"/>
      <c r="O1685" s="103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3"/>
      <c r="O1686" s="103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3"/>
      <c r="O1687" s="103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3"/>
      <c r="O1688" s="103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3"/>
      <c r="O1689" s="103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3"/>
      <c r="O1690" s="103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3"/>
      <c r="O1691" s="103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3"/>
      <c r="O1692" s="103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3"/>
      <c r="O1693" s="103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3"/>
      <c r="O1694" s="103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3"/>
      <c r="O1695" s="103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3"/>
      <c r="O1696" s="103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3"/>
      <c r="O1697" s="103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3"/>
      <c r="O1698" s="103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3"/>
      <c r="O1699" s="103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3"/>
      <c r="O1700" s="103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3"/>
      <c r="O1701" s="103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3"/>
      <c r="O1702" s="103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3"/>
      <c r="O1703" s="103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3"/>
      <c r="O1704" s="103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3"/>
      <c r="O1705" s="103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3"/>
      <c r="O1706" s="103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3"/>
      <c r="O1707" s="103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3"/>
      <c r="O1708" s="103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3"/>
      <c r="O1709" s="103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3"/>
      <c r="O1710" s="103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3"/>
      <c r="O1711" s="103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3"/>
      <c r="O1712" s="103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3"/>
      <c r="O1713" s="103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3"/>
      <c r="O1714" s="103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3"/>
      <c r="O1715" s="103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3"/>
      <c r="O1716" s="103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3"/>
      <c r="O1717" s="103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3"/>
      <c r="O1718" s="103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3"/>
      <c r="O1719" s="103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3"/>
      <c r="O1720" s="103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3"/>
      <c r="O1721" s="103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3"/>
      <c r="O1722" s="103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3"/>
      <c r="O1723" s="103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3"/>
      <c r="O1724" s="103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3"/>
      <c r="O1725" s="103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3"/>
      <c r="O1726" s="103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3"/>
      <c r="O1727" s="103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3"/>
      <c r="O1728" s="103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3"/>
      <c r="O1729" s="103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3"/>
      <c r="O1730" s="103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3"/>
      <c r="O1731" s="103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3"/>
      <c r="O1732" s="103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3"/>
      <c r="O1733" s="103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3"/>
      <c r="O1734" s="103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3"/>
      <c r="O1735" s="103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3"/>
      <c r="O1736" s="103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3"/>
      <c r="O1737" s="103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3"/>
      <c r="O1738" s="103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3"/>
      <c r="O1739" s="103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3"/>
      <c r="O1740" s="103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3"/>
      <c r="O1741" s="103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3"/>
      <c r="O1742" s="103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3"/>
      <c r="O1743" s="103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3"/>
      <c r="O1744" s="103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3"/>
      <c r="O1745" s="103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3"/>
      <c r="O1746" s="103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3"/>
      <c r="O1747" s="103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3"/>
      <c r="O1748" s="103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3"/>
      <c r="O1749" s="103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3"/>
      <c r="O1750" s="103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3"/>
      <c r="O1751" s="103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3"/>
      <c r="O1752" s="103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3"/>
      <c r="O1753" s="103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3"/>
      <c r="O1754" s="103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3"/>
      <c r="O1755" s="103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3"/>
      <c r="O1756" s="103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3"/>
      <c r="O1757" s="103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3"/>
      <c r="O1758" s="103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3"/>
      <c r="O1759" s="103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3"/>
      <c r="O1760" s="103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3"/>
      <c r="O1761" s="103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3"/>
      <c r="O1762" s="103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3"/>
      <c r="O1763" s="103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3"/>
      <c r="O1764" s="103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3"/>
      <c r="O1765" s="103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3"/>
      <c r="O1766" s="103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3"/>
      <c r="O1767" s="103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3"/>
      <c r="O1768" s="103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3"/>
      <c r="O1769" s="103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3"/>
      <c r="O1770" s="103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3"/>
      <c r="O1771" s="103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3"/>
      <c r="O1772" s="103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3"/>
      <c r="O1773" s="103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3"/>
      <c r="O1774" s="103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3"/>
      <c r="O1775" s="103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3"/>
      <c r="O1776" s="103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3"/>
      <c r="O1777" s="103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3"/>
      <c r="O1778" s="103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3"/>
      <c r="O1779" s="103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3"/>
      <c r="O1780" s="103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3"/>
      <c r="O1781" s="103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3"/>
      <c r="O1782" s="103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3"/>
      <c r="O1783" s="103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3"/>
      <c r="O1784" s="103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3"/>
      <c r="O1785" s="103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3"/>
      <c r="O1786" s="103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3"/>
      <c r="O1787" s="103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3"/>
      <c r="O1788" s="103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3"/>
      <c r="O1789" s="103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3"/>
      <c r="O1790" s="103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3"/>
      <c r="O1791" s="103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3"/>
      <c r="O1792" s="103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3"/>
      <c r="O1793" s="103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3"/>
      <c r="O1794" s="103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3"/>
      <c r="O1795" s="103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3"/>
      <c r="O1796" s="103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3"/>
      <c r="O1797" s="103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3"/>
      <c r="O1798" s="103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3"/>
      <c r="O1799" s="103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3"/>
      <c r="O1800" s="103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3"/>
      <c r="O1801" s="103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3"/>
      <c r="O1802" s="103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3"/>
      <c r="O1803" s="103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3"/>
      <c r="O1804" s="103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3"/>
      <c r="O1805" s="103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3"/>
      <c r="O1806" s="103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3"/>
      <c r="O1807" s="103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3"/>
      <c r="O1808" s="103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3"/>
      <c r="O1809" s="103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3"/>
      <c r="O1810" s="103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3"/>
      <c r="O1811" s="103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3"/>
      <c r="O1812" s="103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3"/>
      <c r="O1813" s="103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3"/>
      <c r="O1814" s="103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3"/>
      <c r="O1815" s="103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3"/>
      <c r="O1816" s="103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3"/>
      <c r="O1817" s="103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3"/>
      <c r="O1818" s="103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3"/>
      <c r="O1819" s="103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3"/>
      <c r="O1820" s="103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3"/>
      <c r="O1821" s="103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3"/>
      <c r="O1822" s="103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3"/>
      <c r="O1823" s="103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3"/>
      <c r="O1824" s="103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3"/>
      <c r="O1825" s="103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3"/>
      <c r="O1826" s="103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3"/>
      <c r="O1827" s="103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3"/>
      <c r="O1828" s="103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3"/>
      <c r="O1829" s="103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3"/>
      <c r="O1830" s="103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3"/>
      <c r="O1831" s="103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3"/>
      <c r="O1832" s="103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3"/>
      <c r="O1833" s="103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3"/>
      <c r="O1834" s="103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3"/>
      <c r="O1835" s="103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3"/>
      <c r="O1836" s="103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3"/>
      <c r="O1837" s="103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3"/>
      <c r="O1838" s="103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3"/>
      <c r="O1839" s="103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3"/>
      <c r="O1840" s="103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3"/>
      <c r="O1841" s="103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3"/>
      <c r="O1842" s="103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3"/>
      <c r="O1843" s="103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3"/>
      <c r="O1844" s="103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3"/>
      <c r="O1845" s="103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3"/>
      <c r="O1846" s="103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3"/>
      <c r="O1847" s="103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3"/>
      <c r="O1848" s="103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3"/>
      <c r="O1849" s="103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3"/>
      <c r="O1850" s="103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3"/>
      <c r="O1851" s="103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3"/>
      <c r="O1852" s="103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3"/>
      <c r="O1853" s="103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3"/>
      <c r="O1854" s="103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3"/>
      <c r="O1855" s="103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3"/>
      <c r="O1856" s="103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3"/>
      <c r="O1857" s="103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3"/>
      <c r="O1858" s="103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3"/>
      <c r="O1859" s="103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3"/>
      <c r="O1860" s="103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3"/>
      <c r="O1861" s="103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3"/>
      <c r="O1862" s="103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3"/>
      <c r="O1863" s="103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3"/>
      <c r="O1864" s="103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3"/>
      <c r="O1865" s="103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3"/>
      <c r="O1866" s="103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3"/>
      <c r="O1867" s="103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3"/>
      <c r="O1868" s="103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3"/>
      <c r="O1869" s="103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3"/>
      <c r="O1870" s="103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3"/>
      <c r="O1871" s="103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3"/>
      <c r="O1872" s="103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3"/>
      <c r="O1873" s="103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3"/>
      <c r="O1874" s="103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3"/>
      <c r="O1875" s="103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3"/>
      <c r="O1876" s="103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3"/>
      <c r="O1877" s="103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3"/>
      <c r="O1878" s="103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3"/>
      <c r="O1879" s="103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3"/>
      <c r="O1880" s="103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3"/>
      <c r="O1881" s="103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3"/>
      <c r="O1882" s="103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3"/>
      <c r="O1883" s="103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3"/>
      <c r="O1884" s="103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3"/>
      <c r="O1885" s="103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3"/>
      <c r="O1886" s="103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3"/>
      <c r="O1887" s="103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3"/>
      <c r="O1888" s="103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3"/>
      <c r="O1889" s="103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3"/>
      <c r="O1890" s="103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3"/>
      <c r="O1891" s="103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3"/>
      <c r="O1892" s="103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3"/>
      <c r="O1893" s="103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3"/>
      <c r="O1894" s="103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3"/>
      <c r="O1895" s="103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3"/>
      <c r="O1896" s="103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3"/>
      <c r="O1897" s="103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3"/>
      <c r="O1898" s="103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3"/>
      <c r="O1899" s="103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3"/>
      <c r="O1900" s="103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3"/>
      <c r="O1901" s="103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3"/>
      <c r="O1902" s="103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3"/>
      <c r="O1903" s="103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3"/>
      <c r="O1904" s="103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3"/>
      <c r="O1905" s="103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3"/>
      <c r="O1906" s="103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3"/>
      <c r="O1907" s="103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3"/>
      <c r="O1908" s="103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3"/>
      <c r="O1909" s="103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3"/>
      <c r="O1910" s="103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3"/>
      <c r="O1911" s="103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3"/>
      <c r="O1912" s="103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3"/>
      <c r="O1913" s="103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3"/>
      <c r="O1914" s="103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3"/>
      <c r="O1915" s="103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3"/>
      <c r="O1916" s="103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3"/>
      <c r="O1917" s="103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3"/>
      <c r="O1918" s="103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3"/>
      <c r="O1919" s="103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3"/>
      <c r="O1920" s="103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3"/>
      <c r="O1921" s="103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3"/>
      <c r="O1922" s="103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3"/>
      <c r="O1923" s="103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3"/>
      <c r="O1924" s="103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3"/>
      <c r="O1925" s="103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3"/>
      <c r="O1926" s="103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3"/>
      <c r="O1927" s="103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3"/>
      <c r="O1928" s="103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3"/>
      <c r="O1929" s="103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3"/>
      <c r="O1930" s="103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3"/>
      <c r="O1931" s="103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3"/>
      <c r="O1932" s="103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3"/>
      <c r="O1933" s="103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3"/>
      <c r="O1934" s="103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3"/>
      <c r="O1935" s="103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3"/>
      <c r="O1936" s="103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3"/>
      <c r="O1937" s="103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3"/>
      <c r="O1938" s="103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3"/>
      <c r="O1939" s="103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3"/>
      <c r="O1940" s="103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3"/>
      <c r="O1941" s="103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3"/>
      <c r="O1942" s="103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3"/>
      <c r="O1943" s="103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3"/>
      <c r="O1944" s="103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3"/>
      <c r="O1945" s="103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3"/>
      <c r="O1946" s="103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3"/>
      <c r="O1947" s="103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3"/>
      <c r="O1948" s="103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3"/>
      <c r="O1949" s="103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3"/>
      <c r="O1950" s="103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3"/>
      <c r="O1951" s="103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3"/>
      <c r="O1952" s="103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3"/>
      <c r="O1953" s="103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3"/>
      <c r="O1954" s="103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3"/>
      <c r="O1955" s="103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3"/>
      <c r="O1956" s="103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3"/>
      <c r="O1957" s="103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3"/>
      <c r="O1958" s="103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3"/>
      <c r="O1959" s="103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3"/>
      <c r="O1960" s="103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3"/>
      <c r="O1961" s="103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3"/>
      <c r="O1962" s="103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3"/>
      <c r="O1963" s="103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3"/>
      <c r="O1964" s="103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3"/>
      <c r="O1965" s="103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3"/>
      <c r="O1966" s="103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3"/>
      <c r="O1967" s="103"/>
    </row>
  </sheetData>
  <phoneticPr fontId="16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777343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50" t="s">
        <v>2</v>
      </c>
      <c r="F1" s="150"/>
      <c r="G1" s="150"/>
      <c r="H1" s="150"/>
      <c r="I1" s="150"/>
      <c r="J1" s="150"/>
      <c r="K1" s="151"/>
      <c r="L1" s="11"/>
      <c r="M1" s="152" t="s">
        <v>3</v>
      </c>
      <c r="N1" s="150"/>
      <c r="O1" s="150"/>
      <c r="P1" s="150"/>
      <c r="Q1" s="150"/>
      <c r="R1" s="150"/>
      <c r="S1" s="151"/>
      <c r="T1" s="34"/>
      <c r="U1" s="152" t="s">
        <v>10</v>
      </c>
      <c r="V1" s="150"/>
      <c r="W1" s="151"/>
      <c r="X1" s="29"/>
      <c r="Y1" s="148" t="s">
        <v>1</v>
      </c>
      <c r="Z1" s="148"/>
      <c r="AA1" s="149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45">
        <v>878.05759999999998</v>
      </c>
      <c r="F3" s="45">
        <v>43.095300000000002</v>
      </c>
      <c r="G3" s="45">
        <v>43.405999999999999</v>
      </c>
      <c r="H3" s="45">
        <v>43.974600000000002</v>
      </c>
      <c r="I3" s="79"/>
      <c r="J3" s="79"/>
      <c r="K3" s="80"/>
      <c r="L3" s="29"/>
      <c r="M3" s="153">
        <v>878.05759999999998</v>
      </c>
      <c r="N3" s="153">
        <v>43.095300000000002</v>
      </c>
      <c r="O3" s="153">
        <v>43.405999999999999</v>
      </c>
      <c r="P3" s="153">
        <v>43.974600000000002</v>
      </c>
      <c r="Q3" s="153"/>
      <c r="R3" s="154"/>
      <c r="S3" s="155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46">
        <v>481.55200000000002</v>
      </c>
      <c r="F4" s="46">
        <v>41.046100000000003</v>
      </c>
      <c r="G4" s="46">
        <v>42.135899999999999</v>
      </c>
      <c r="H4" s="46">
        <v>42.337499999999999</v>
      </c>
      <c r="I4" s="66"/>
      <c r="J4" s="66"/>
      <c r="K4" s="67"/>
      <c r="L4" s="29"/>
      <c r="M4" s="156">
        <v>481.55200000000002</v>
      </c>
      <c r="N4" s="156">
        <v>41.046100000000003</v>
      </c>
      <c r="O4" s="156">
        <v>42.135899999999999</v>
      </c>
      <c r="P4" s="156">
        <v>42.337499999999999</v>
      </c>
      <c r="Q4" s="156"/>
      <c r="R4" s="157"/>
      <c r="S4" s="158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46">
        <v>277.3152</v>
      </c>
      <c r="F5" s="46">
        <v>38.459400000000002</v>
      </c>
      <c r="G5" s="46">
        <v>40.651200000000003</v>
      </c>
      <c r="H5" s="46">
        <v>40.526899999999998</v>
      </c>
      <c r="I5" s="66"/>
      <c r="J5" s="66"/>
      <c r="K5" s="67"/>
      <c r="L5" s="29"/>
      <c r="M5" s="156">
        <v>277.3152</v>
      </c>
      <c r="N5" s="156">
        <v>38.459400000000002</v>
      </c>
      <c r="O5" s="156">
        <v>40.651200000000003</v>
      </c>
      <c r="P5" s="156">
        <v>40.526899999999998</v>
      </c>
      <c r="Q5" s="156"/>
      <c r="R5" s="157"/>
      <c r="S5" s="158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46">
        <v>167.92080000000001</v>
      </c>
      <c r="F6" s="46">
        <v>35.64</v>
      </c>
      <c r="G6" s="46">
        <v>39.566600000000001</v>
      </c>
      <c r="H6" s="46">
        <v>39.223599999999998</v>
      </c>
      <c r="I6" s="66"/>
      <c r="J6" s="66"/>
      <c r="K6" s="67"/>
      <c r="L6" s="29"/>
      <c r="M6" s="159">
        <v>167.92080000000001</v>
      </c>
      <c r="N6" s="159">
        <v>35.64</v>
      </c>
      <c r="O6" s="159">
        <v>39.566600000000001</v>
      </c>
      <c r="P6" s="159">
        <v>39.223599999999998</v>
      </c>
      <c r="Q6" s="159"/>
      <c r="R6" s="160"/>
      <c r="S6" s="161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45">
        <v>268.35840000000002</v>
      </c>
      <c r="F7" s="45">
        <v>42.223700000000001</v>
      </c>
      <c r="G7" s="45">
        <v>43.105200000000004</v>
      </c>
      <c r="H7" s="45">
        <v>43.129300000000001</v>
      </c>
      <c r="I7" s="79"/>
      <c r="J7" s="79"/>
      <c r="K7" s="80"/>
      <c r="L7" s="29"/>
      <c r="M7" s="156">
        <v>268.42160000000001</v>
      </c>
      <c r="N7" s="156">
        <v>42.222999999999999</v>
      </c>
      <c r="O7" s="156">
        <v>43.1053</v>
      </c>
      <c r="P7" s="156">
        <v>43.130600000000001</v>
      </c>
      <c r="Q7" s="156"/>
      <c r="R7" s="157"/>
      <c r="S7" s="158"/>
      <c r="U7" s="8">
        <f>bdrate($E7:$E10,F7:F10,$M7:$M10,N7:N10)</f>
        <v>-1.1874480255820163E-3</v>
      </c>
      <c r="V7" s="9">
        <f>bdrate($E7:$E10,G7:G10,$M7:$M10,O7:O10)</f>
        <v>-1.5838967350024769E-3</v>
      </c>
      <c r="W7" s="10">
        <f>bdrate($E7:$E10,H7:H10,$M7:$M10,P7:P10)</f>
        <v>-7.9253408946988735E-4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46">
        <v>122.572</v>
      </c>
      <c r="F8" s="46">
        <v>39.905900000000003</v>
      </c>
      <c r="G8" s="46">
        <v>41.824399999999997</v>
      </c>
      <c r="H8" s="46">
        <v>41.542400000000001</v>
      </c>
      <c r="I8" s="66"/>
      <c r="J8" s="66"/>
      <c r="K8" s="67"/>
      <c r="L8" s="29"/>
      <c r="M8" s="156">
        <v>122.4272</v>
      </c>
      <c r="N8" s="156">
        <v>39.902799999999999</v>
      </c>
      <c r="O8" s="156">
        <v>41.821199999999997</v>
      </c>
      <c r="P8" s="156">
        <v>41.537799999999997</v>
      </c>
      <c r="Q8" s="156"/>
      <c r="R8" s="157"/>
      <c r="S8" s="158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46">
        <v>64.044799999999995</v>
      </c>
      <c r="F9" s="46">
        <v>37.306699999999999</v>
      </c>
      <c r="G9" s="46">
        <v>40.558999999999997</v>
      </c>
      <c r="H9" s="46">
        <v>40.0533</v>
      </c>
      <c r="I9" s="66"/>
      <c r="J9" s="66"/>
      <c r="K9" s="67"/>
      <c r="L9" s="29"/>
      <c r="M9" s="156">
        <v>63.800800000000002</v>
      </c>
      <c r="N9" s="156">
        <v>37.302100000000003</v>
      </c>
      <c r="O9" s="156">
        <v>40.559899999999999</v>
      </c>
      <c r="P9" s="156">
        <v>40.053699999999999</v>
      </c>
      <c r="Q9" s="156"/>
      <c r="R9" s="157"/>
      <c r="S9" s="158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46">
        <v>33.589599999999997</v>
      </c>
      <c r="F10" s="46">
        <v>34.588099999999997</v>
      </c>
      <c r="G10" s="46">
        <v>39.466000000000001</v>
      </c>
      <c r="H10" s="46">
        <v>38.813000000000002</v>
      </c>
      <c r="I10" s="66"/>
      <c r="J10" s="66"/>
      <c r="K10" s="67"/>
      <c r="L10" s="29"/>
      <c r="M10" s="156">
        <v>33.576799999999999</v>
      </c>
      <c r="N10" s="156">
        <v>34.588200000000001</v>
      </c>
      <c r="O10" s="156">
        <v>39.47</v>
      </c>
      <c r="P10" s="156">
        <v>38.808</v>
      </c>
      <c r="Q10" s="156"/>
      <c r="R10" s="157"/>
      <c r="S10" s="158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45">
        <v>297.49680000000001</v>
      </c>
      <c r="F11" s="45">
        <v>41.892699999999998</v>
      </c>
      <c r="G11" s="45">
        <v>42.544199999999996</v>
      </c>
      <c r="H11" s="45">
        <v>42.868899999999996</v>
      </c>
      <c r="I11" s="79"/>
      <c r="J11" s="79"/>
      <c r="K11" s="80"/>
      <c r="L11" s="29"/>
      <c r="M11" s="153">
        <v>297.82960000000003</v>
      </c>
      <c r="N11" s="153">
        <v>41.893900000000002</v>
      </c>
      <c r="O11" s="153">
        <v>42.548699999999997</v>
      </c>
      <c r="P11" s="153">
        <v>42.872500000000002</v>
      </c>
      <c r="Q11" s="153"/>
      <c r="R11" s="154"/>
      <c r="S11" s="155"/>
      <c r="U11" s="8">
        <f>bdrate($E11:$E14,F11:F14,$M11:$M14,N11:N14)</f>
        <v>-1.1974945422132954E-3</v>
      </c>
      <c r="V11" s="9">
        <f>bdrate($E11:$E14,G11:G14,$M11:$M14,O11:O14)</f>
        <v>6.5467897959536892E-4</v>
      </c>
      <c r="W11" s="10">
        <f>bdrate($E11:$E14,H11:H14,$M11:$M14,P11:P14)</f>
        <v>-1.886933058902418E-3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46">
        <v>135.52959999999999</v>
      </c>
      <c r="F12" s="46">
        <v>39.662399999999998</v>
      </c>
      <c r="G12" s="46">
        <v>41.223599999999998</v>
      </c>
      <c r="H12" s="46">
        <v>41.302399999999999</v>
      </c>
      <c r="I12" s="66"/>
      <c r="J12" s="66"/>
      <c r="K12" s="67"/>
      <c r="L12" s="29"/>
      <c r="M12" s="156">
        <v>135.476</v>
      </c>
      <c r="N12" s="156">
        <v>39.661099999999998</v>
      </c>
      <c r="O12" s="156">
        <v>41.217700000000001</v>
      </c>
      <c r="P12" s="156">
        <v>41.303699999999999</v>
      </c>
      <c r="Q12" s="156"/>
      <c r="R12" s="157"/>
      <c r="S12" s="158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46">
        <v>70.717600000000004</v>
      </c>
      <c r="F13" s="46">
        <v>37.109400000000001</v>
      </c>
      <c r="G13" s="46">
        <v>40.069499999999998</v>
      </c>
      <c r="H13" s="46">
        <v>39.871099999999998</v>
      </c>
      <c r="I13" s="66"/>
      <c r="J13" s="66"/>
      <c r="K13" s="67"/>
      <c r="L13" s="29"/>
      <c r="M13" s="156">
        <v>70.473600000000005</v>
      </c>
      <c r="N13" s="156">
        <v>37.106299999999997</v>
      </c>
      <c r="O13" s="156">
        <v>40.062899999999999</v>
      </c>
      <c r="P13" s="156">
        <v>39.872</v>
      </c>
      <c r="Q13" s="156"/>
      <c r="R13" s="157"/>
      <c r="S13" s="158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3"/>
      <c r="D14" s="71">
        <v>40</v>
      </c>
      <c r="E14" s="72">
        <v>37.255200000000002</v>
      </c>
      <c r="F14" s="72">
        <v>34.397599999999997</v>
      </c>
      <c r="G14" s="72">
        <v>39.006100000000004</v>
      </c>
      <c r="H14" s="72">
        <v>38.607599999999998</v>
      </c>
      <c r="I14" s="68"/>
      <c r="J14" s="68"/>
      <c r="K14" s="69"/>
      <c r="L14" s="29"/>
      <c r="M14" s="159">
        <v>37.183199999999999</v>
      </c>
      <c r="N14" s="159">
        <v>34.394300000000001</v>
      </c>
      <c r="O14" s="159">
        <v>39.009900000000002</v>
      </c>
      <c r="P14" s="159">
        <v>38.604599999999998</v>
      </c>
      <c r="Q14" s="159"/>
      <c r="R14" s="160"/>
      <c r="S14" s="161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45">
        <v>116.16160000000001</v>
      </c>
      <c r="F15" s="45">
        <v>39.516199999999998</v>
      </c>
      <c r="G15" s="78"/>
      <c r="H15" s="78"/>
      <c r="I15" s="79"/>
      <c r="J15" s="79"/>
      <c r="K15" s="80"/>
      <c r="L15" s="29"/>
      <c r="M15" s="153">
        <v>116.16160000000001</v>
      </c>
      <c r="N15" s="153">
        <v>39.516199999999998</v>
      </c>
      <c r="O15" s="153"/>
      <c r="P15" s="153"/>
      <c r="Q15" s="153"/>
      <c r="R15" s="154"/>
      <c r="S15" s="155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46">
        <v>38.908799999999999</v>
      </c>
      <c r="F16" s="46">
        <v>36.397399999999998</v>
      </c>
      <c r="G16" s="70"/>
      <c r="H16" s="70"/>
      <c r="I16" s="66"/>
      <c r="J16" s="66"/>
      <c r="K16" s="67"/>
      <c r="L16" s="29"/>
      <c r="M16" s="156">
        <v>38.908799999999999</v>
      </c>
      <c r="N16" s="156">
        <v>36.397399999999998</v>
      </c>
      <c r="O16" s="156"/>
      <c r="P16" s="156"/>
      <c r="Q16" s="156"/>
      <c r="R16" s="157"/>
      <c r="S16" s="158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46">
        <v>16.7728</v>
      </c>
      <c r="F17" s="46">
        <v>33.870600000000003</v>
      </c>
      <c r="G17" s="70"/>
      <c r="H17" s="70"/>
      <c r="I17" s="66"/>
      <c r="J17" s="66"/>
      <c r="K17" s="67"/>
      <c r="L17" s="29"/>
      <c r="M17" s="156">
        <v>16.7728</v>
      </c>
      <c r="N17" s="156">
        <v>33.870600000000003</v>
      </c>
      <c r="O17" s="156"/>
      <c r="P17" s="156"/>
      <c r="Q17" s="156"/>
      <c r="R17" s="157"/>
      <c r="S17" s="158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46">
        <v>8.4695999999999998</v>
      </c>
      <c r="F18" s="46">
        <v>31.441299999999998</v>
      </c>
      <c r="G18" s="70"/>
      <c r="H18" s="70"/>
      <c r="I18" s="66"/>
      <c r="J18" s="66"/>
      <c r="K18" s="67"/>
      <c r="L18" s="29"/>
      <c r="M18" s="159">
        <v>8.4695999999999998</v>
      </c>
      <c r="N18" s="159">
        <v>31.441299999999998</v>
      </c>
      <c r="O18" s="159"/>
      <c r="P18" s="159"/>
      <c r="Q18" s="159"/>
      <c r="R18" s="160"/>
      <c r="S18" s="161"/>
      <c r="U18" s="17"/>
      <c r="V18" s="18"/>
      <c r="W18" s="19"/>
      <c r="X18" s="29"/>
      <c r="Y18" s="61"/>
      <c r="Z18" s="61"/>
      <c r="AA18" s="57"/>
    </row>
    <row r="19" spans="1:27" ht="12.75">
      <c r="A19" s="27"/>
      <c r="B19" s="36"/>
      <c r="C19" s="28" t="s">
        <v>30</v>
      </c>
      <c r="D19" s="31">
        <v>34</v>
      </c>
      <c r="E19" s="45">
        <v>85.730400000000003</v>
      </c>
      <c r="F19" s="45">
        <v>37.421599999999998</v>
      </c>
      <c r="G19" s="78"/>
      <c r="H19" s="78"/>
      <c r="I19" s="79"/>
      <c r="J19" s="79"/>
      <c r="K19" s="80"/>
      <c r="L19" s="29"/>
      <c r="M19" s="153">
        <v>85.846400000000003</v>
      </c>
      <c r="N19" s="153">
        <v>37.423299999999998</v>
      </c>
      <c r="O19" s="153"/>
      <c r="P19" s="153"/>
      <c r="Q19" s="153"/>
      <c r="R19" s="154"/>
      <c r="S19" s="155"/>
      <c r="U19" s="8">
        <f>bdrate($E19:$E22,F19:F22,$M19:$M22,N19:N22)</f>
        <v>3.3784091860966647E-4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46">
        <v>28.08</v>
      </c>
      <c r="F20" s="46">
        <v>34.451099999999997</v>
      </c>
      <c r="G20" s="70"/>
      <c r="H20" s="70"/>
      <c r="I20" s="66"/>
      <c r="J20" s="66"/>
      <c r="K20" s="67"/>
      <c r="L20" s="29"/>
      <c r="M20" s="156">
        <v>27.871200000000002</v>
      </c>
      <c r="N20" s="156">
        <v>34.407699999999998</v>
      </c>
      <c r="O20" s="156"/>
      <c r="P20" s="156"/>
      <c r="Q20" s="156"/>
      <c r="R20" s="157"/>
      <c r="S20" s="158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46">
        <v>11.9976</v>
      </c>
      <c r="F21" s="46">
        <v>31.924499999999998</v>
      </c>
      <c r="G21" s="70"/>
      <c r="H21" s="70"/>
      <c r="I21" s="66"/>
      <c r="J21" s="66"/>
      <c r="K21" s="67"/>
      <c r="L21" s="29"/>
      <c r="M21" s="156">
        <v>12.084</v>
      </c>
      <c r="N21" s="156">
        <v>31.956199999999999</v>
      </c>
      <c r="O21" s="156"/>
      <c r="P21" s="156"/>
      <c r="Q21" s="156"/>
      <c r="R21" s="157"/>
      <c r="S21" s="158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46">
        <v>5.8079999999999998</v>
      </c>
      <c r="F22" s="46">
        <v>29.3596</v>
      </c>
      <c r="G22" s="70"/>
      <c r="H22" s="70"/>
      <c r="I22" s="66"/>
      <c r="J22" s="66"/>
      <c r="K22" s="67"/>
      <c r="L22" s="29"/>
      <c r="M22" s="159">
        <v>5.7055999999999996</v>
      </c>
      <c r="N22" s="159">
        <v>29.354800000000001</v>
      </c>
      <c r="O22" s="159"/>
      <c r="P22" s="159"/>
      <c r="Q22" s="159"/>
      <c r="R22" s="160"/>
      <c r="S22" s="161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45">
        <v>96.029600000000002</v>
      </c>
      <c r="F23" s="45">
        <v>36.7468</v>
      </c>
      <c r="G23" s="78"/>
      <c r="H23" s="78"/>
      <c r="I23" s="79"/>
      <c r="J23" s="79"/>
      <c r="K23" s="80"/>
      <c r="L23" s="29"/>
      <c r="M23" s="153">
        <v>95.82</v>
      </c>
      <c r="N23" s="153">
        <v>36.736199999999997</v>
      </c>
      <c r="O23" s="153"/>
      <c r="P23" s="153"/>
      <c r="Q23" s="153"/>
      <c r="R23" s="154"/>
      <c r="S23" s="155"/>
      <c r="U23" s="8">
        <f>bdrate($E23:$E26,F23:F26,$M23:$M26,N23:N26)</f>
        <v>2.2441182652674918E-3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46">
        <v>30.8232</v>
      </c>
      <c r="F24" s="46">
        <v>33.583399999999997</v>
      </c>
      <c r="G24" s="70"/>
      <c r="H24" s="70"/>
      <c r="I24" s="66"/>
      <c r="J24" s="66"/>
      <c r="K24" s="67"/>
      <c r="L24" s="29"/>
      <c r="M24" s="156">
        <v>30.428000000000001</v>
      </c>
      <c r="N24" s="156">
        <v>33.564500000000002</v>
      </c>
      <c r="O24" s="156"/>
      <c r="P24" s="156"/>
      <c r="Q24" s="156"/>
      <c r="R24" s="157"/>
      <c r="S24" s="158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46">
        <v>13.0992</v>
      </c>
      <c r="F25" s="46">
        <v>31.020700000000001</v>
      </c>
      <c r="G25" s="70"/>
      <c r="H25" s="70"/>
      <c r="I25" s="66"/>
      <c r="J25" s="66"/>
      <c r="K25" s="67"/>
      <c r="L25" s="29"/>
      <c r="M25" s="156">
        <v>13.103199999999999</v>
      </c>
      <c r="N25" s="156">
        <v>30.976900000000001</v>
      </c>
      <c r="O25" s="156"/>
      <c r="P25" s="156"/>
      <c r="Q25" s="156"/>
      <c r="R25" s="157"/>
      <c r="S25" s="158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46">
        <v>6.2808000000000002</v>
      </c>
      <c r="F26" s="46">
        <v>28.171199999999999</v>
      </c>
      <c r="G26" s="70"/>
      <c r="H26" s="70"/>
      <c r="I26" s="66"/>
      <c r="J26" s="66"/>
      <c r="K26" s="67"/>
      <c r="L26" s="29"/>
      <c r="M26" s="159">
        <v>6.2584</v>
      </c>
      <c r="N26" s="159">
        <v>28.159300000000002</v>
      </c>
      <c r="O26" s="159"/>
      <c r="P26" s="159"/>
      <c r="Q26" s="159"/>
      <c r="R26" s="160"/>
      <c r="S26" s="161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78"/>
      <c r="F27" s="45">
        <v>42.322200000000002</v>
      </c>
      <c r="G27" s="45">
        <v>45.353099999999998</v>
      </c>
      <c r="H27" s="45">
        <v>45.085500000000003</v>
      </c>
      <c r="I27" s="79"/>
      <c r="J27" s="79"/>
      <c r="K27" s="80"/>
      <c r="L27" s="29"/>
      <c r="M27" s="153"/>
      <c r="N27" s="153">
        <v>42.318100000000001</v>
      </c>
      <c r="O27" s="153">
        <v>45.356200000000001</v>
      </c>
      <c r="P27" s="153">
        <v>45.083799999999997</v>
      </c>
      <c r="Q27" s="153"/>
      <c r="R27" s="154"/>
      <c r="S27" s="155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70"/>
      <c r="F28" s="46">
        <v>40.114199999999997</v>
      </c>
      <c r="G28" s="46">
        <v>43.7254</v>
      </c>
      <c r="H28" s="46">
        <v>43.137</v>
      </c>
      <c r="I28" s="66"/>
      <c r="J28" s="66"/>
      <c r="K28" s="67"/>
      <c r="L28" s="29"/>
      <c r="M28" s="156"/>
      <c r="N28" s="156">
        <v>40.117800000000003</v>
      </c>
      <c r="O28" s="156">
        <v>43.716700000000003</v>
      </c>
      <c r="P28" s="156">
        <v>43.120800000000003</v>
      </c>
      <c r="Q28" s="156"/>
      <c r="R28" s="157"/>
      <c r="S28" s="158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70"/>
      <c r="F29" s="46">
        <v>37.610799999999998</v>
      </c>
      <c r="G29" s="46">
        <v>42.067300000000003</v>
      </c>
      <c r="H29" s="46">
        <v>41.295499999999997</v>
      </c>
      <c r="I29" s="66"/>
      <c r="J29" s="66"/>
      <c r="K29" s="67"/>
      <c r="L29" s="29"/>
      <c r="M29" s="156"/>
      <c r="N29" s="156">
        <v>37.614199999999997</v>
      </c>
      <c r="O29" s="156">
        <v>42.064399999999999</v>
      </c>
      <c r="P29" s="156">
        <v>41.2973</v>
      </c>
      <c r="Q29" s="156"/>
      <c r="R29" s="157"/>
      <c r="S29" s="158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3"/>
      <c r="D30" s="71">
        <v>40</v>
      </c>
      <c r="E30" s="81"/>
      <c r="F30" s="72">
        <v>34.933599999999998</v>
      </c>
      <c r="G30" s="72">
        <v>40.723399999999998</v>
      </c>
      <c r="H30" s="72">
        <v>39.830300000000001</v>
      </c>
      <c r="I30" s="68"/>
      <c r="J30" s="68"/>
      <c r="K30" s="69"/>
      <c r="L30" s="29"/>
      <c r="M30" s="159"/>
      <c r="N30" s="159">
        <v>34.931399999999996</v>
      </c>
      <c r="O30" s="159">
        <v>40.728700000000003</v>
      </c>
      <c r="P30" s="159">
        <v>39.832700000000003</v>
      </c>
      <c r="Q30" s="159"/>
      <c r="R30" s="160"/>
      <c r="S30" s="161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70"/>
      <c r="F31" s="45">
        <v>42.9268</v>
      </c>
      <c r="G31" s="45">
        <v>45.954500000000003</v>
      </c>
      <c r="H31" s="45">
        <v>45.767099999999999</v>
      </c>
      <c r="I31" s="66"/>
      <c r="J31" s="66"/>
      <c r="K31" s="67"/>
      <c r="L31" s="29"/>
      <c r="M31" s="153"/>
      <c r="N31" s="153">
        <v>42.927900000000001</v>
      </c>
      <c r="O31" s="153">
        <v>45.9572</v>
      </c>
      <c r="P31" s="153">
        <v>45.7654</v>
      </c>
      <c r="Q31" s="153"/>
      <c r="R31" s="154"/>
      <c r="S31" s="155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70"/>
      <c r="F32" s="46">
        <v>40.622999999999998</v>
      </c>
      <c r="G32" s="46">
        <v>44.206899999999997</v>
      </c>
      <c r="H32" s="46">
        <v>43.697299999999998</v>
      </c>
      <c r="I32" s="66"/>
      <c r="J32" s="66"/>
      <c r="K32" s="67"/>
      <c r="L32" s="29"/>
      <c r="M32" s="156"/>
      <c r="N32" s="156">
        <v>40.627099999999999</v>
      </c>
      <c r="O32" s="156">
        <v>44.202100000000002</v>
      </c>
      <c r="P32" s="156">
        <v>43.685899999999997</v>
      </c>
      <c r="Q32" s="156"/>
      <c r="R32" s="157"/>
      <c r="S32" s="158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70"/>
      <c r="F33" s="46">
        <v>38.044899999999998</v>
      </c>
      <c r="G33" s="46">
        <v>42.364699999999999</v>
      </c>
      <c r="H33" s="46">
        <v>41.650799999999997</v>
      </c>
      <c r="I33" s="66"/>
      <c r="J33" s="66"/>
      <c r="K33" s="67"/>
      <c r="L33" s="29"/>
      <c r="M33" s="156"/>
      <c r="N33" s="156">
        <v>38.047800000000002</v>
      </c>
      <c r="O33" s="156">
        <v>42.363900000000001</v>
      </c>
      <c r="P33" s="156">
        <v>41.650199999999998</v>
      </c>
      <c r="Q33" s="156"/>
      <c r="R33" s="157"/>
      <c r="S33" s="158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3"/>
      <c r="D34" s="71">
        <v>40</v>
      </c>
      <c r="E34" s="81"/>
      <c r="F34" s="46">
        <v>35.279200000000003</v>
      </c>
      <c r="G34" s="72">
        <v>40.953600000000002</v>
      </c>
      <c r="H34" s="72">
        <v>40.102200000000003</v>
      </c>
      <c r="I34" s="68"/>
      <c r="J34" s="68"/>
      <c r="K34" s="69"/>
      <c r="L34" s="29"/>
      <c r="M34" s="159"/>
      <c r="N34" s="159">
        <v>35.280999999999999</v>
      </c>
      <c r="O34" s="159">
        <v>40.9529</v>
      </c>
      <c r="P34" s="159">
        <v>40.107500000000002</v>
      </c>
      <c r="Q34" s="159"/>
      <c r="R34" s="160"/>
      <c r="S34" s="161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70"/>
      <c r="F35" s="45">
        <v>43.0563</v>
      </c>
      <c r="G35" s="45">
        <v>45.575800000000001</v>
      </c>
      <c r="H35" s="45">
        <v>45.693600000000004</v>
      </c>
      <c r="I35" s="66"/>
      <c r="J35" s="66"/>
      <c r="K35" s="67"/>
      <c r="L35" s="29"/>
      <c r="M35" s="153"/>
      <c r="N35" s="153">
        <v>43.048900000000003</v>
      </c>
      <c r="O35" s="153">
        <v>45.578600000000002</v>
      </c>
      <c r="P35" s="153">
        <v>45.694200000000002</v>
      </c>
      <c r="Q35" s="153"/>
      <c r="R35" s="154"/>
      <c r="S35" s="155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70"/>
      <c r="F36" s="46">
        <v>40.907400000000003</v>
      </c>
      <c r="G36" s="46">
        <v>43.953600000000002</v>
      </c>
      <c r="H36" s="46">
        <v>43.714399999999998</v>
      </c>
      <c r="I36" s="66"/>
      <c r="J36" s="66"/>
      <c r="K36" s="67"/>
      <c r="L36" s="29"/>
      <c r="M36" s="156"/>
      <c r="N36" s="156">
        <v>40.9011</v>
      </c>
      <c r="O36" s="156">
        <v>43.950299999999999</v>
      </c>
      <c r="P36" s="156">
        <v>43.712600000000002</v>
      </c>
      <c r="Q36" s="156"/>
      <c r="R36" s="157"/>
      <c r="S36" s="158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70"/>
      <c r="F37" s="46">
        <v>38.3399</v>
      </c>
      <c r="G37" s="46">
        <v>42.126300000000001</v>
      </c>
      <c r="H37" s="46">
        <v>41.634799999999998</v>
      </c>
      <c r="I37" s="66"/>
      <c r="J37" s="66"/>
      <c r="K37" s="67"/>
      <c r="L37" s="29"/>
      <c r="M37" s="156"/>
      <c r="N37" s="156">
        <v>38.345999999999997</v>
      </c>
      <c r="O37" s="156">
        <v>42.124499999999998</v>
      </c>
      <c r="P37" s="156">
        <v>41.636200000000002</v>
      </c>
      <c r="Q37" s="156"/>
      <c r="R37" s="157"/>
      <c r="S37" s="158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3"/>
      <c r="D38" s="71">
        <v>40</v>
      </c>
      <c r="E38" s="81"/>
      <c r="F38" s="46">
        <v>35.555</v>
      </c>
      <c r="G38" s="72">
        <v>40.811</v>
      </c>
      <c r="H38" s="72">
        <v>40.114800000000002</v>
      </c>
      <c r="I38" s="68"/>
      <c r="J38" s="68"/>
      <c r="K38" s="69"/>
      <c r="L38" s="29"/>
      <c r="M38" s="159"/>
      <c r="N38" s="159">
        <v>35.556199999999997</v>
      </c>
      <c r="O38" s="159">
        <v>40.808599999999998</v>
      </c>
      <c r="P38" s="159">
        <v>40.116799999999998</v>
      </c>
      <c r="Q38" s="159"/>
      <c r="R38" s="160"/>
      <c r="S38" s="161"/>
      <c r="U38" s="17"/>
      <c r="V38" s="18"/>
      <c r="W38" s="19"/>
      <c r="X38" s="29"/>
      <c r="Z38" s="61"/>
      <c r="AA38" s="57"/>
    </row>
    <row r="39" spans="1:27" ht="12.75">
      <c r="A39" s="27"/>
      <c r="B39" s="36"/>
      <c r="C39" s="29" t="s">
        <v>50</v>
      </c>
      <c r="D39" s="32">
        <v>25</v>
      </c>
      <c r="E39" s="70"/>
      <c r="F39" s="45">
        <v>42.9497</v>
      </c>
      <c r="G39" s="45">
        <v>45.589500000000001</v>
      </c>
      <c r="H39" s="45">
        <v>45.666899999999998</v>
      </c>
      <c r="I39" s="66"/>
      <c r="J39" s="66"/>
      <c r="K39" s="67"/>
      <c r="L39" s="29"/>
      <c r="M39" s="153"/>
      <c r="N39" s="153">
        <v>42.949199999999998</v>
      </c>
      <c r="O39" s="153">
        <v>45.590499999999999</v>
      </c>
      <c r="P39" s="153">
        <v>45.667499999999997</v>
      </c>
      <c r="Q39" s="153"/>
      <c r="R39" s="154"/>
      <c r="S39" s="155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70"/>
      <c r="F40" s="46">
        <v>40.797499999999999</v>
      </c>
      <c r="G40" s="46">
        <v>43.9604</v>
      </c>
      <c r="H40" s="46">
        <v>43.694699999999997</v>
      </c>
      <c r="I40" s="66"/>
      <c r="J40" s="66"/>
      <c r="K40" s="67"/>
      <c r="L40" s="29"/>
      <c r="M40" s="156"/>
      <c r="N40" s="156">
        <v>40.799999999999997</v>
      </c>
      <c r="O40" s="156">
        <v>43.9572</v>
      </c>
      <c r="P40" s="156">
        <v>43.694899999999997</v>
      </c>
      <c r="Q40" s="156"/>
      <c r="R40" s="157"/>
      <c r="S40" s="158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70"/>
      <c r="F41" s="46">
        <v>38.2468</v>
      </c>
      <c r="G41" s="46">
        <v>42.133099999999999</v>
      </c>
      <c r="H41" s="46">
        <v>41.615600000000001</v>
      </c>
      <c r="I41" s="66"/>
      <c r="J41" s="66"/>
      <c r="K41" s="67"/>
      <c r="L41" s="29"/>
      <c r="M41" s="156"/>
      <c r="N41" s="156">
        <v>38.245600000000003</v>
      </c>
      <c r="O41" s="156">
        <v>42.135100000000001</v>
      </c>
      <c r="P41" s="156">
        <v>41.622300000000003</v>
      </c>
      <c r="Q41" s="156"/>
      <c r="R41" s="157"/>
      <c r="S41" s="158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3"/>
      <c r="D42" s="71">
        <v>40</v>
      </c>
      <c r="E42" s="81"/>
      <c r="F42" s="46">
        <v>35.4557</v>
      </c>
      <c r="G42" s="72">
        <v>40.808900000000001</v>
      </c>
      <c r="H42" s="72">
        <v>40.091700000000003</v>
      </c>
      <c r="I42" s="68"/>
      <c r="J42" s="68"/>
      <c r="K42" s="69"/>
      <c r="L42" s="29"/>
      <c r="M42" s="159"/>
      <c r="N42" s="159">
        <v>35.452500000000001</v>
      </c>
      <c r="O42" s="159">
        <v>40.807899999999997</v>
      </c>
      <c r="P42" s="159">
        <v>40.087200000000003</v>
      </c>
      <c r="Q42" s="159"/>
      <c r="R42" s="160"/>
      <c r="S42" s="161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70"/>
      <c r="F43" s="45">
        <v>42.762700000000002</v>
      </c>
      <c r="G43" s="45">
        <v>45.889899999999997</v>
      </c>
      <c r="H43" s="45">
        <v>45.651299999999999</v>
      </c>
      <c r="I43" s="66"/>
      <c r="J43" s="66"/>
      <c r="K43" s="67"/>
      <c r="L43" s="29"/>
      <c r="M43" s="154"/>
      <c r="N43" s="154">
        <v>42.768900000000002</v>
      </c>
      <c r="O43" s="154">
        <v>45.885899999999999</v>
      </c>
      <c r="P43" s="154">
        <v>45.656999999999996</v>
      </c>
      <c r="Q43" s="154"/>
      <c r="R43" s="154"/>
      <c r="S43" s="155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70"/>
      <c r="F44" s="46">
        <v>40.509799999999998</v>
      </c>
      <c r="G44" s="46">
        <v>44.142000000000003</v>
      </c>
      <c r="H44" s="46">
        <v>43.578200000000002</v>
      </c>
      <c r="I44" s="66"/>
      <c r="J44" s="66"/>
      <c r="K44" s="67"/>
      <c r="L44" s="29"/>
      <c r="M44" s="157"/>
      <c r="N44" s="157">
        <v>40.504100000000001</v>
      </c>
      <c r="O44" s="157">
        <v>44.136699999999998</v>
      </c>
      <c r="P44" s="157">
        <v>43.579900000000002</v>
      </c>
      <c r="Q44" s="157"/>
      <c r="R44" s="157"/>
      <c r="S44" s="158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70"/>
      <c r="F45" s="46">
        <v>37.950000000000003</v>
      </c>
      <c r="G45" s="46">
        <v>42.304000000000002</v>
      </c>
      <c r="H45" s="46">
        <v>41.542400000000001</v>
      </c>
      <c r="I45" s="66"/>
      <c r="J45" s="66"/>
      <c r="K45" s="67"/>
      <c r="L45" s="29"/>
      <c r="M45" s="157"/>
      <c r="N45" s="157">
        <v>37.9452</v>
      </c>
      <c r="O45" s="157">
        <v>42.3033</v>
      </c>
      <c r="P45" s="157">
        <v>41.554000000000002</v>
      </c>
      <c r="Q45" s="157"/>
      <c r="R45" s="157"/>
      <c r="S45" s="158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3"/>
      <c r="D46" s="71">
        <v>40</v>
      </c>
      <c r="E46" s="81"/>
      <c r="F46" s="72">
        <v>35.182600000000001</v>
      </c>
      <c r="G46" s="72">
        <v>40.9315</v>
      </c>
      <c r="H46" s="72">
        <v>39.985300000000002</v>
      </c>
      <c r="I46" s="68"/>
      <c r="J46" s="68"/>
      <c r="K46" s="69"/>
      <c r="L46" s="29"/>
      <c r="M46" s="160"/>
      <c r="N46" s="160">
        <v>35.177700000000002</v>
      </c>
      <c r="O46" s="160">
        <v>40.938099999999999</v>
      </c>
      <c r="P46" s="160">
        <v>39.978099999999998</v>
      </c>
      <c r="Q46" s="160"/>
      <c r="R46" s="160"/>
      <c r="S46" s="161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70"/>
      <c r="F47" s="45">
        <v>42.093899999999998</v>
      </c>
      <c r="G47" s="45">
        <v>45.155099999999997</v>
      </c>
      <c r="H47" s="45">
        <v>44.8962</v>
      </c>
      <c r="I47" s="66"/>
      <c r="J47" s="66"/>
      <c r="K47" s="67"/>
      <c r="L47" s="29"/>
      <c r="M47" s="154"/>
      <c r="N47" s="154">
        <v>42.090899999999998</v>
      </c>
      <c r="O47" s="154">
        <v>45.148200000000003</v>
      </c>
      <c r="P47" s="154">
        <v>44.900100000000002</v>
      </c>
      <c r="Q47" s="154"/>
      <c r="R47" s="154"/>
      <c r="S47" s="155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70"/>
      <c r="F48" s="46">
        <v>39.956699999999998</v>
      </c>
      <c r="G48" s="46">
        <v>43.488</v>
      </c>
      <c r="H48" s="46">
        <v>42.949599999999997</v>
      </c>
      <c r="I48" s="66"/>
      <c r="J48" s="66"/>
      <c r="K48" s="67"/>
      <c r="L48" s="29"/>
      <c r="M48" s="157"/>
      <c r="N48" s="157">
        <v>39.954000000000001</v>
      </c>
      <c r="O48" s="157">
        <v>43.478999999999999</v>
      </c>
      <c r="P48" s="157">
        <v>42.959699999999998</v>
      </c>
      <c r="Q48" s="157"/>
      <c r="R48" s="157"/>
      <c r="S48" s="158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70"/>
      <c r="F49" s="46">
        <v>37.486800000000002</v>
      </c>
      <c r="G49" s="46">
        <v>41.864100000000001</v>
      </c>
      <c r="H49" s="46">
        <v>41.133099999999999</v>
      </c>
      <c r="I49" s="66"/>
      <c r="J49" s="66"/>
      <c r="K49" s="67"/>
      <c r="L49" s="29"/>
      <c r="M49" s="157"/>
      <c r="N49" s="157">
        <v>37.482900000000001</v>
      </c>
      <c r="O49" s="157">
        <v>41.859299999999998</v>
      </c>
      <c r="P49" s="157">
        <v>41.145000000000003</v>
      </c>
      <c r="Q49" s="157"/>
      <c r="R49" s="157"/>
      <c r="S49" s="158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3"/>
      <c r="D50" s="71">
        <v>40</v>
      </c>
      <c r="E50" s="81"/>
      <c r="F50" s="72">
        <v>34.804299999999998</v>
      </c>
      <c r="G50" s="72">
        <v>40.590600000000002</v>
      </c>
      <c r="H50" s="72">
        <v>39.658000000000001</v>
      </c>
      <c r="I50" s="68"/>
      <c r="J50" s="68"/>
      <c r="K50" s="69"/>
      <c r="L50" s="29"/>
      <c r="M50" s="160"/>
      <c r="N50" s="160">
        <v>34.802500000000002</v>
      </c>
      <c r="O50" s="160">
        <v>40.598100000000002</v>
      </c>
      <c r="P50" s="160">
        <v>39.657200000000003</v>
      </c>
      <c r="Q50" s="160"/>
      <c r="R50" s="160"/>
      <c r="S50" s="161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45">
        <v>1747.6248000000001</v>
      </c>
      <c r="F51" s="70"/>
      <c r="G51" s="70"/>
      <c r="H51" s="70"/>
      <c r="I51" s="45">
        <v>51143.58</v>
      </c>
      <c r="J51" s="45">
        <v>122.76</v>
      </c>
      <c r="K51" s="45"/>
      <c r="L51" s="29"/>
      <c r="M51" s="157">
        <v>1747.9272000000001</v>
      </c>
      <c r="N51" s="157"/>
      <c r="O51" s="157"/>
      <c r="P51" s="157"/>
      <c r="Q51" s="157">
        <v>24787.23</v>
      </c>
      <c r="R51" s="157">
        <v>56.91</v>
      </c>
      <c r="S51" s="158">
        <v>332.02</v>
      </c>
      <c r="U51" s="8"/>
      <c r="V51" s="9"/>
      <c r="W51" s="10"/>
      <c r="X51" s="29"/>
      <c r="Y51" s="61">
        <f>GEOMEAN(Q51:Q54)/GEOMEAN(I51:I54)</f>
        <v>0.48236953695533857</v>
      </c>
      <c r="Z51" s="61">
        <f>GEOMEAN(R51:R54)/GEOMEAN(J51:J54)</f>
        <v>0.41791249496026472</v>
      </c>
      <c r="AA51" s="57" t="e">
        <f>GEOMEAN(S51:S54)/GEOMEAN(K51:K54)</f>
        <v>#NUM!</v>
      </c>
    </row>
    <row r="52" spans="1:27" ht="12.75">
      <c r="A52" s="27"/>
      <c r="B52" s="36"/>
      <c r="C52" s="29"/>
      <c r="D52" s="32">
        <v>30</v>
      </c>
      <c r="E52" s="46">
        <v>843.25599999999997</v>
      </c>
      <c r="F52" s="70"/>
      <c r="G52" s="70"/>
      <c r="H52" s="70"/>
      <c r="I52" s="46">
        <v>38903.83</v>
      </c>
      <c r="J52" s="46">
        <v>113.87</v>
      </c>
      <c r="K52" s="46"/>
      <c r="L52" s="29"/>
      <c r="M52" s="157">
        <v>842.45360000000005</v>
      </c>
      <c r="N52" s="157"/>
      <c r="O52" s="157"/>
      <c r="P52" s="157"/>
      <c r="Q52" s="157">
        <v>19166.47</v>
      </c>
      <c r="R52" s="157">
        <v>44.41</v>
      </c>
      <c r="S52" s="158">
        <v>333.79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46">
        <v>459.73759999999999</v>
      </c>
      <c r="F53" s="70"/>
      <c r="G53" s="70"/>
      <c r="H53" s="70"/>
      <c r="I53" s="46">
        <v>34267.230000000003</v>
      </c>
      <c r="J53" s="46">
        <v>106.43</v>
      </c>
      <c r="K53" s="46"/>
      <c r="L53" s="29"/>
      <c r="M53" s="157">
        <v>459.34</v>
      </c>
      <c r="N53" s="157"/>
      <c r="O53" s="157"/>
      <c r="P53" s="157"/>
      <c r="Q53" s="157">
        <v>16240.52</v>
      </c>
      <c r="R53" s="157">
        <v>40.770000000000003</v>
      </c>
      <c r="S53" s="158">
        <v>327.20999999999998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2"/>
      <c r="C54" s="53"/>
      <c r="D54" s="71">
        <v>40</v>
      </c>
      <c r="E54" s="72">
        <v>265.11439999999999</v>
      </c>
      <c r="F54" s="81"/>
      <c r="G54" s="81"/>
      <c r="H54" s="81"/>
      <c r="I54" s="72">
        <v>30293.39</v>
      </c>
      <c r="J54" s="72">
        <v>98.43</v>
      </c>
      <c r="K54" s="72"/>
      <c r="L54" s="29"/>
      <c r="M54" s="160">
        <v>264.90480000000002</v>
      </c>
      <c r="N54" s="160"/>
      <c r="O54" s="160"/>
      <c r="P54" s="160"/>
      <c r="Q54" s="160">
        <v>14493.05</v>
      </c>
      <c r="R54" s="160">
        <v>43.35</v>
      </c>
      <c r="S54" s="161">
        <v>331.47</v>
      </c>
      <c r="U54" s="85"/>
      <c r="V54" s="86"/>
      <c r="W54" s="87"/>
      <c r="X54" s="29"/>
      <c r="Y54" s="49"/>
      <c r="Z54" s="49"/>
      <c r="AA54" s="54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45">
        <v>846.29520000000002</v>
      </c>
      <c r="F55" s="45">
        <v>43.603400000000001</v>
      </c>
      <c r="G55" s="45">
        <v>44.9589</v>
      </c>
      <c r="H55" s="45">
        <v>44.931199999999997</v>
      </c>
      <c r="I55" s="79"/>
      <c r="J55" s="79"/>
      <c r="K55" s="80"/>
      <c r="L55" s="29"/>
      <c r="M55" s="153">
        <v>846.29520000000002</v>
      </c>
      <c r="N55" s="153">
        <v>43.603400000000001</v>
      </c>
      <c r="O55" s="153">
        <v>44.9589</v>
      </c>
      <c r="P55" s="153">
        <v>44.931199999999997</v>
      </c>
      <c r="Q55" s="153"/>
      <c r="R55" s="154"/>
      <c r="S55" s="155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46">
        <v>450.75119999999998</v>
      </c>
      <c r="F56" s="46">
        <v>41.433599999999998</v>
      </c>
      <c r="G56" s="46">
        <v>44.113999999999997</v>
      </c>
      <c r="H56" s="46">
        <v>43.451300000000003</v>
      </c>
      <c r="I56" s="66"/>
      <c r="J56" s="66"/>
      <c r="K56" s="67"/>
      <c r="L56" s="29"/>
      <c r="M56" s="156">
        <v>450.75119999999998</v>
      </c>
      <c r="N56" s="156">
        <v>41.433599999999998</v>
      </c>
      <c r="O56" s="156">
        <v>44.113999999999997</v>
      </c>
      <c r="P56" s="156">
        <v>43.451300000000003</v>
      </c>
      <c r="Q56" s="156"/>
      <c r="R56" s="157"/>
      <c r="S56" s="158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46">
        <v>255.928</v>
      </c>
      <c r="F57" s="46">
        <v>38.940899999999999</v>
      </c>
      <c r="G57" s="46">
        <v>43.061300000000003</v>
      </c>
      <c r="H57" s="46">
        <v>41.776499999999999</v>
      </c>
      <c r="I57" s="66"/>
      <c r="J57" s="66"/>
      <c r="K57" s="67"/>
      <c r="L57" s="29"/>
      <c r="M57" s="156">
        <v>255.928</v>
      </c>
      <c r="N57" s="156">
        <v>38.940899999999999</v>
      </c>
      <c r="O57" s="156">
        <v>43.061300000000003</v>
      </c>
      <c r="P57" s="156">
        <v>41.776499999999999</v>
      </c>
      <c r="Q57" s="156"/>
      <c r="R57" s="157"/>
      <c r="S57" s="158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46">
        <v>153.756</v>
      </c>
      <c r="F58" s="46">
        <v>36.325200000000002</v>
      </c>
      <c r="G58" s="46">
        <v>42.263399999999997</v>
      </c>
      <c r="H58" s="46">
        <v>40.448300000000003</v>
      </c>
      <c r="I58" s="66"/>
      <c r="J58" s="66"/>
      <c r="K58" s="67"/>
      <c r="L58" s="29"/>
      <c r="M58" s="159">
        <v>153.756</v>
      </c>
      <c r="N58" s="159">
        <v>36.325200000000002</v>
      </c>
      <c r="O58" s="159">
        <v>42.263399999999997</v>
      </c>
      <c r="P58" s="159">
        <v>40.448300000000003</v>
      </c>
      <c r="Q58" s="159"/>
      <c r="R58" s="160"/>
      <c r="S58" s="161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45">
        <v>273.37920000000003</v>
      </c>
      <c r="F59" s="45">
        <v>42.687399999999997</v>
      </c>
      <c r="G59" s="45">
        <v>44.739100000000001</v>
      </c>
      <c r="H59" s="45">
        <v>44.156999999999996</v>
      </c>
      <c r="I59" s="79"/>
      <c r="J59" s="79"/>
      <c r="K59" s="80"/>
      <c r="L59" s="29"/>
      <c r="M59" s="156">
        <v>273.46879999999999</v>
      </c>
      <c r="N59" s="156">
        <v>42.687100000000001</v>
      </c>
      <c r="O59" s="156">
        <v>44.739699999999999</v>
      </c>
      <c r="P59" s="156">
        <v>44.149700000000003</v>
      </c>
      <c r="Q59" s="156"/>
      <c r="R59" s="157"/>
      <c r="S59" s="158"/>
      <c r="U59" s="8">
        <f>bdrate($E59:$E62,F59:F62,$M59:$M62,N59:N62)</f>
        <v>8.61242255498329E-4</v>
      </c>
      <c r="V59" s="9">
        <f>bdrate($E59:$E62,G59:G62,$M59:$M62,O59:O62)</f>
        <v>2.133692012438404E-3</v>
      </c>
      <c r="W59" s="10">
        <f>bdrate($E59:$E62,H59:H62,$M59:$M62,P59:P62)</f>
        <v>7.4095710914079405E-4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46">
        <v>122.1096</v>
      </c>
      <c r="F60" s="46">
        <v>40.359900000000003</v>
      </c>
      <c r="G60" s="46">
        <v>43.805399999999999</v>
      </c>
      <c r="H60" s="46">
        <v>42.6614</v>
      </c>
      <c r="I60" s="66"/>
      <c r="J60" s="66"/>
      <c r="K60" s="67"/>
      <c r="L60" s="29"/>
      <c r="M60" s="156">
        <v>122.2688</v>
      </c>
      <c r="N60" s="156">
        <v>40.362400000000001</v>
      </c>
      <c r="O60" s="156">
        <v>43.803600000000003</v>
      </c>
      <c r="P60" s="156">
        <v>42.664099999999998</v>
      </c>
      <c r="Q60" s="156"/>
      <c r="R60" s="157"/>
      <c r="S60" s="158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46">
        <v>63.686399999999999</v>
      </c>
      <c r="F61" s="46">
        <v>37.910400000000003</v>
      </c>
      <c r="G61" s="46">
        <v>42.890799999999999</v>
      </c>
      <c r="H61" s="46">
        <v>41.304699999999997</v>
      </c>
      <c r="I61" s="66"/>
      <c r="J61" s="66"/>
      <c r="K61" s="67"/>
      <c r="L61" s="29"/>
      <c r="M61" s="156">
        <v>63.682400000000001</v>
      </c>
      <c r="N61" s="156">
        <v>37.905700000000003</v>
      </c>
      <c r="O61" s="156">
        <v>42.886200000000002</v>
      </c>
      <c r="P61" s="156">
        <v>41.304400000000001</v>
      </c>
      <c r="Q61" s="156"/>
      <c r="R61" s="157"/>
      <c r="S61" s="158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46">
        <v>34.328000000000003</v>
      </c>
      <c r="F62" s="46">
        <v>35.3703</v>
      </c>
      <c r="G62" s="46">
        <v>41.997599999999998</v>
      </c>
      <c r="H62" s="46">
        <v>40.029899999999998</v>
      </c>
      <c r="I62" s="66"/>
      <c r="J62" s="66"/>
      <c r="K62" s="67"/>
      <c r="L62" s="29"/>
      <c r="M62" s="156">
        <v>34.364800000000002</v>
      </c>
      <c r="N62" s="156">
        <v>35.369199999999999</v>
      </c>
      <c r="O62" s="156">
        <v>41.999499999999998</v>
      </c>
      <c r="P62" s="156">
        <v>40.029899999999998</v>
      </c>
      <c r="Q62" s="156"/>
      <c r="R62" s="157"/>
      <c r="S62" s="158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45">
        <v>289.50799999999998</v>
      </c>
      <c r="F63" s="45">
        <v>42.322899999999997</v>
      </c>
      <c r="G63" s="45">
        <v>43.944299999999998</v>
      </c>
      <c r="H63" s="45">
        <v>43.887999999999998</v>
      </c>
      <c r="I63" s="79"/>
      <c r="J63" s="79"/>
      <c r="K63" s="80"/>
      <c r="L63" s="29"/>
      <c r="M63" s="153">
        <v>290.0872</v>
      </c>
      <c r="N63" s="153">
        <v>42.325000000000003</v>
      </c>
      <c r="O63" s="153">
        <v>43.945099999999996</v>
      </c>
      <c r="P63" s="153">
        <v>43.896099999999997</v>
      </c>
      <c r="Q63" s="153"/>
      <c r="R63" s="154"/>
      <c r="S63" s="155"/>
      <c r="U63" s="8">
        <f>bdrate($E63:$E66,F63:F66,$M63:$M66,N63:N66)</f>
        <v>-1.5687802251530547E-3</v>
      </c>
      <c r="V63" s="9">
        <f>bdrate($E63:$E66,G63:G66,$M63:$M66,O63:O66)</f>
        <v>-1.6795551933905806E-3</v>
      </c>
      <c r="W63" s="10">
        <f>bdrate($E63:$E66,H63:H66,$M63:$M66,P63:P66)</f>
        <v>-1.7912503375159261E-3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46">
        <v>128.55359999999999</v>
      </c>
      <c r="F64" s="46">
        <v>40.111199999999997</v>
      </c>
      <c r="G64" s="46">
        <v>42.962400000000002</v>
      </c>
      <c r="H64" s="46">
        <v>42.464700000000001</v>
      </c>
      <c r="I64" s="66"/>
      <c r="J64" s="66"/>
      <c r="K64" s="67"/>
      <c r="L64" s="29"/>
      <c r="M64" s="156">
        <v>128.40719999999999</v>
      </c>
      <c r="N64" s="156">
        <v>40.110599999999998</v>
      </c>
      <c r="O64" s="156">
        <v>42.963200000000001</v>
      </c>
      <c r="P64" s="156">
        <v>42.46</v>
      </c>
      <c r="Q64" s="156"/>
      <c r="R64" s="157"/>
      <c r="S64" s="158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46">
        <v>66.716800000000006</v>
      </c>
      <c r="F65" s="46">
        <v>37.730899999999998</v>
      </c>
      <c r="G65" s="46">
        <v>42.1982</v>
      </c>
      <c r="H65" s="46">
        <v>41.204099999999997</v>
      </c>
      <c r="I65" s="66"/>
      <c r="J65" s="66"/>
      <c r="K65" s="67"/>
      <c r="L65" s="29"/>
      <c r="M65" s="156">
        <v>66.400800000000004</v>
      </c>
      <c r="N65" s="156">
        <v>37.723399999999998</v>
      </c>
      <c r="O65" s="156">
        <v>42.192300000000003</v>
      </c>
      <c r="P65" s="156">
        <v>41.205199999999998</v>
      </c>
      <c r="Q65" s="156"/>
      <c r="R65" s="157"/>
      <c r="S65" s="158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3"/>
      <c r="D66" s="71">
        <v>40</v>
      </c>
      <c r="E66" s="72">
        <v>35.371200000000002</v>
      </c>
      <c r="F66" s="72">
        <v>35.220999999999997</v>
      </c>
      <c r="G66" s="72">
        <v>41.411299999999997</v>
      </c>
      <c r="H66" s="72">
        <v>39.979599999999998</v>
      </c>
      <c r="I66" s="68"/>
      <c r="J66" s="68"/>
      <c r="K66" s="69"/>
      <c r="L66" s="29"/>
      <c r="M66" s="159">
        <v>35.292000000000002</v>
      </c>
      <c r="N66" s="159">
        <v>35.219799999999999</v>
      </c>
      <c r="O66" s="159">
        <v>41.421799999999998</v>
      </c>
      <c r="P66" s="159">
        <v>39.9773</v>
      </c>
      <c r="Q66" s="159"/>
      <c r="R66" s="160"/>
      <c r="S66" s="161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45">
        <v>138</v>
      </c>
      <c r="F67" s="45">
        <v>39.056899999999999</v>
      </c>
      <c r="G67" s="78"/>
      <c r="H67" s="78"/>
      <c r="I67" s="79"/>
      <c r="J67" s="79"/>
      <c r="K67" s="80"/>
      <c r="L67" s="29"/>
      <c r="M67" s="153">
        <v>138</v>
      </c>
      <c r="N67" s="153">
        <v>39.056899999999999</v>
      </c>
      <c r="O67" s="153"/>
      <c r="P67" s="153"/>
      <c r="Q67" s="153"/>
      <c r="R67" s="154"/>
      <c r="S67" s="155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46">
        <v>48.198399999999999</v>
      </c>
      <c r="F68" s="46">
        <v>35.012700000000002</v>
      </c>
      <c r="G68" s="70"/>
      <c r="H68" s="70"/>
      <c r="I68" s="66"/>
      <c r="J68" s="66"/>
      <c r="K68" s="67"/>
      <c r="L68" s="29"/>
      <c r="M68" s="156">
        <v>48.198399999999999</v>
      </c>
      <c r="N68" s="156">
        <v>35.012700000000002</v>
      </c>
      <c r="O68" s="156"/>
      <c r="P68" s="156"/>
      <c r="Q68" s="156"/>
      <c r="R68" s="157"/>
      <c r="S68" s="158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46">
        <v>20.837599999999998</v>
      </c>
      <c r="F69" s="46">
        <v>31.982800000000001</v>
      </c>
      <c r="G69" s="70"/>
      <c r="H69" s="70"/>
      <c r="I69" s="66"/>
      <c r="J69" s="66"/>
      <c r="K69" s="67"/>
      <c r="L69" s="29"/>
      <c r="M69" s="156">
        <v>20.837599999999998</v>
      </c>
      <c r="N69" s="156">
        <v>31.982800000000001</v>
      </c>
      <c r="O69" s="156"/>
      <c r="P69" s="156"/>
      <c r="Q69" s="156"/>
      <c r="R69" s="157"/>
      <c r="S69" s="158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46">
        <v>9.9992000000000001</v>
      </c>
      <c r="F70" s="46">
        <v>29.476700000000001</v>
      </c>
      <c r="G70" s="70"/>
      <c r="H70" s="70"/>
      <c r="I70" s="66"/>
      <c r="J70" s="66"/>
      <c r="K70" s="67"/>
      <c r="L70" s="29"/>
      <c r="M70" s="159">
        <v>9.9992000000000001</v>
      </c>
      <c r="N70" s="159">
        <v>29.476700000000001</v>
      </c>
      <c r="O70" s="159"/>
      <c r="P70" s="159"/>
      <c r="Q70" s="159"/>
      <c r="R70" s="160"/>
      <c r="S70" s="161"/>
      <c r="U70" s="17"/>
      <c r="V70" s="18"/>
      <c r="W70" s="19"/>
      <c r="X70" s="29"/>
      <c r="Y70" s="61"/>
      <c r="Z70" s="61"/>
      <c r="AA70" s="57"/>
    </row>
    <row r="71" spans="1:27" ht="12.75">
      <c r="A71" s="27"/>
      <c r="B71" s="36"/>
      <c r="C71" s="28" t="s">
        <v>30</v>
      </c>
      <c r="D71" s="31">
        <v>34</v>
      </c>
      <c r="E71" s="45">
        <v>107.58320000000001</v>
      </c>
      <c r="F71" s="45">
        <v>36.038699999999999</v>
      </c>
      <c r="G71" s="78"/>
      <c r="H71" s="78"/>
      <c r="I71" s="79"/>
      <c r="J71" s="79"/>
      <c r="K71" s="80"/>
      <c r="L71" s="29"/>
      <c r="M71" s="153">
        <v>107.2632</v>
      </c>
      <c r="N71" s="153">
        <v>36.015700000000002</v>
      </c>
      <c r="O71" s="153"/>
      <c r="P71" s="153"/>
      <c r="Q71" s="153"/>
      <c r="R71" s="154"/>
      <c r="S71" s="155"/>
      <c r="U71" s="8">
        <f>bdrate($E71:$E74,F71:F74,$M71:$M74,N71:N74)</f>
        <v>1.12354781652102E-3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46">
        <v>35.280799999999999</v>
      </c>
      <c r="F72" s="46">
        <v>32.046900000000001</v>
      </c>
      <c r="G72" s="70"/>
      <c r="H72" s="70"/>
      <c r="I72" s="66"/>
      <c r="J72" s="66"/>
      <c r="K72" s="67"/>
      <c r="L72" s="29"/>
      <c r="M72" s="156">
        <v>35.374400000000001</v>
      </c>
      <c r="N72" s="156">
        <v>32.044400000000003</v>
      </c>
      <c r="O72" s="156"/>
      <c r="P72" s="156"/>
      <c r="Q72" s="156"/>
      <c r="R72" s="157"/>
      <c r="S72" s="158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46">
        <v>15.3184</v>
      </c>
      <c r="F73" s="46">
        <v>29.375599999999999</v>
      </c>
      <c r="G73" s="70"/>
      <c r="H73" s="70"/>
      <c r="I73" s="66"/>
      <c r="J73" s="66"/>
      <c r="K73" s="67"/>
      <c r="L73" s="29"/>
      <c r="M73" s="156">
        <v>15.333600000000001</v>
      </c>
      <c r="N73" s="156">
        <v>29.391400000000001</v>
      </c>
      <c r="O73" s="156"/>
      <c r="P73" s="156"/>
      <c r="Q73" s="156"/>
      <c r="R73" s="157"/>
      <c r="S73" s="158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46">
        <v>7.3536000000000001</v>
      </c>
      <c r="F74" s="46">
        <v>26.872699999999998</v>
      </c>
      <c r="G74" s="70"/>
      <c r="H74" s="70"/>
      <c r="I74" s="66"/>
      <c r="J74" s="66"/>
      <c r="K74" s="67"/>
      <c r="L74" s="29"/>
      <c r="M74" s="159">
        <v>7.3879999999999999</v>
      </c>
      <c r="N74" s="159">
        <v>26.883900000000001</v>
      </c>
      <c r="O74" s="159"/>
      <c r="P74" s="159"/>
      <c r="Q74" s="159"/>
      <c r="R74" s="160"/>
      <c r="S74" s="161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45">
        <v>124.8616</v>
      </c>
      <c r="F75" s="45">
        <v>35.160400000000003</v>
      </c>
      <c r="G75" s="78"/>
      <c r="H75" s="78"/>
      <c r="I75" s="79"/>
      <c r="J75" s="79"/>
      <c r="K75" s="80"/>
      <c r="L75" s="29"/>
      <c r="M75" s="153">
        <v>124.636</v>
      </c>
      <c r="N75" s="153">
        <v>35.152999999999999</v>
      </c>
      <c r="O75" s="153"/>
      <c r="P75" s="153"/>
      <c r="Q75" s="153"/>
      <c r="R75" s="154"/>
      <c r="S75" s="155"/>
      <c r="U75" s="8">
        <f>bdrate($E75:$E78,F75:F78,$M75:$M78,N75:N78)</f>
        <v>3.4218675942510046E-4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46">
        <v>40.436799999999998</v>
      </c>
      <c r="F76" s="46">
        <v>31.360900000000001</v>
      </c>
      <c r="G76" s="70"/>
      <c r="H76" s="70"/>
      <c r="I76" s="66"/>
      <c r="J76" s="66"/>
      <c r="K76" s="67"/>
      <c r="L76" s="29"/>
      <c r="M76" s="156">
        <v>40.386400000000002</v>
      </c>
      <c r="N76" s="156">
        <v>31.359100000000002</v>
      </c>
      <c r="O76" s="156"/>
      <c r="P76" s="156"/>
      <c r="Q76" s="156"/>
      <c r="R76" s="157"/>
      <c r="S76" s="158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46">
        <v>17.2408</v>
      </c>
      <c r="F77" s="46">
        <v>28.656700000000001</v>
      </c>
      <c r="G77" s="70"/>
      <c r="H77" s="70"/>
      <c r="I77" s="66"/>
      <c r="J77" s="66"/>
      <c r="K77" s="67"/>
      <c r="L77" s="29"/>
      <c r="M77" s="156">
        <v>17.2256</v>
      </c>
      <c r="N77" s="156">
        <v>28.65</v>
      </c>
      <c r="O77" s="156"/>
      <c r="P77" s="156"/>
      <c r="Q77" s="156"/>
      <c r="R77" s="157"/>
      <c r="S77" s="158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46">
        <v>8.0640000000000001</v>
      </c>
      <c r="F78" s="46">
        <v>26.055800000000001</v>
      </c>
      <c r="G78" s="70"/>
      <c r="H78" s="70"/>
      <c r="I78" s="66"/>
      <c r="J78" s="66"/>
      <c r="K78" s="67"/>
      <c r="L78" s="29"/>
      <c r="M78" s="159">
        <v>8.1440000000000001</v>
      </c>
      <c r="N78" s="159">
        <v>26.0825</v>
      </c>
      <c r="O78" s="159"/>
      <c r="P78" s="159"/>
      <c r="Q78" s="159"/>
      <c r="R78" s="160"/>
      <c r="S78" s="161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78"/>
      <c r="F79" s="45">
        <v>42.763100000000001</v>
      </c>
      <c r="G79" s="45">
        <v>46.995800000000003</v>
      </c>
      <c r="H79" s="45">
        <v>45.790300000000002</v>
      </c>
      <c r="I79" s="79"/>
      <c r="J79" s="79"/>
      <c r="K79" s="80"/>
      <c r="L79" s="29"/>
      <c r="M79" s="153"/>
      <c r="N79" s="153">
        <v>42.761099999999999</v>
      </c>
      <c r="O79" s="153">
        <v>46.972900000000003</v>
      </c>
      <c r="P79" s="153">
        <v>45.784100000000002</v>
      </c>
      <c r="Q79" s="153"/>
      <c r="R79" s="154"/>
      <c r="S79" s="155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70"/>
      <c r="F80" s="46">
        <v>40.519399999999997</v>
      </c>
      <c r="G80" s="46">
        <v>45.822699999999998</v>
      </c>
      <c r="H80" s="46">
        <v>44.042400000000001</v>
      </c>
      <c r="I80" s="66"/>
      <c r="J80" s="66"/>
      <c r="K80" s="67"/>
      <c r="L80" s="29"/>
      <c r="M80" s="156"/>
      <c r="N80" s="156">
        <v>40.518300000000004</v>
      </c>
      <c r="O80" s="156">
        <v>45.807099999999998</v>
      </c>
      <c r="P80" s="156">
        <v>44.048900000000003</v>
      </c>
      <c r="Q80" s="156"/>
      <c r="R80" s="157"/>
      <c r="S80" s="158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70"/>
      <c r="F81" s="46">
        <v>38.153700000000001</v>
      </c>
      <c r="G81" s="46">
        <v>44.642200000000003</v>
      </c>
      <c r="H81" s="46">
        <v>42.4694</v>
      </c>
      <c r="I81" s="66"/>
      <c r="J81" s="66"/>
      <c r="K81" s="67"/>
      <c r="L81" s="29"/>
      <c r="M81" s="156"/>
      <c r="N81" s="156">
        <v>38.154200000000003</v>
      </c>
      <c r="O81" s="156">
        <v>44.650300000000001</v>
      </c>
      <c r="P81" s="156">
        <v>42.478499999999997</v>
      </c>
      <c r="Q81" s="156"/>
      <c r="R81" s="157"/>
      <c r="S81" s="158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3"/>
      <c r="D82" s="71">
        <v>40</v>
      </c>
      <c r="E82" s="81"/>
      <c r="F82" s="72">
        <v>35.6813</v>
      </c>
      <c r="G82" s="72">
        <v>43.662300000000002</v>
      </c>
      <c r="H82" s="72">
        <v>41.061300000000003</v>
      </c>
      <c r="I82" s="68"/>
      <c r="J82" s="68"/>
      <c r="K82" s="69"/>
      <c r="L82" s="29"/>
      <c r="M82" s="159"/>
      <c r="N82" s="159">
        <v>35.681899999999999</v>
      </c>
      <c r="O82" s="159">
        <v>43.680999999999997</v>
      </c>
      <c r="P82" s="159">
        <v>41.074399999999997</v>
      </c>
      <c r="Q82" s="159"/>
      <c r="R82" s="160"/>
      <c r="S82" s="161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70"/>
      <c r="F83" s="45">
        <v>43.462899999999998</v>
      </c>
      <c r="G83" s="45">
        <v>47.590899999999998</v>
      </c>
      <c r="H83" s="45">
        <v>46.607399999999998</v>
      </c>
      <c r="I83" s="66"/>
      <c r="J83" s="66"/>
      <c r="K83" s="67"/>
      <c r="L83" s="29"/>
      <c r="M83" s="153"/>
      <c r="N83" s="153">
        <v>43.463799999999999</v>
      </c>
      <c r="O83" s="153">
        <v>47.589399999999998</v>
      </c>
      <c r="P83" s="153">
        <v>46.607999999999997</v>
      </c>
      <c r="Q83" s="153"/>
      <c r="R83" s="154"/>
      <c r="S83" s="155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70"/>
      <c r="F84" s="46">
        <v>41.0687</v>
      </c>
      <c r="G84" s="46">
        <v>46.318899999999999</v>
      </c>
      <c r="H84" s="46">
        <v>44.760899999999999</v>
      </c>
      <c r="I84" s="66"/>
      <c r="J84" s="66"/>
      <c r="K84" s="67"/>
      <c r="L84" s="29"/>
      <c r="M84" s="156"/>
      <c r="N84" s="156">
        <v>41.075899999999997</v>
      </c>
      <c r="O84" s="156">
        <v>46.322200000000002</v>
      </c>
      <c r="P84" s="156">
        <v>44.770899999999997</v>
      </c>
      <c r="Q84" s="156"/>
      <c r="R84" s="157"/>
      <c r="S84" s="158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70"/>
      <c r="F85" s="46">
        <v>38.5779</v>
      </c>
      <c r="G85" s="46">
        <v>44.962600000000002</v>
      </c>
      <c r="H85" s="46">
        <v>42.961300000000001</v>
      </c>
      <c r="I85" s="66"/>
      <c r="J85" s="66"/>
      <c r="K85" s="67"/>
      <c r="L85" s="29"/>
      <c r="M85" s="156"/>
      <c r="N85" s="156">
        <v>38.582999999999998</v>
      </c>
      <c r="O85" s="156">
        <v>44.962299999999999</v>
      </c>
      <c r="P85" s="156">
        <v>42.9724</v>
      </c>
      <c r="Q85" s="156"/>
      <c r="R85" s="157"/>
      <c r="S85" s="158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3"/>
      <c r="D86" s="71">
        <v>40</v>
      </c>
      <c r="E86" s="81"/>
      <c r="F86" s="46">
        <v>36.001600000000003</v>
      </c>
      <c r="G86" s="72">
        <v>43.914700000000003</v>
      </c>
      <c r="H86" s="72">
        <v>41.457700000000003</v>
      </c>
      <c r="I86" s="68"/>
      <c r="J86" s="68"/>
      <c r="K86" s="69"/>
      <c r="L86" s="29"/>
      <c r="M86" s="159"/>
      <c r="N86" s="159">
        <v>36.002699999999997</v>
      </c>
      <c r="O86" s="159">
        <v>43.924500000000002</v>
      </c>
      <c r="P86" s="159">
        <v>41.461300000000001</v>
      </c>
      <c r="Q86" s="159"/>
      <c r="R86" s="160"/>
      <c r="S86" s="161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70"/>
      <c r="F87" s="45">
        <v>43.640099999999997</v>
      </c>
      <c r="G87" s="45">
        <v>47.042900000000003</v>
      </c>
      <c r="H87" s="45">
        <v>46.529000000000003</v>
      </c>
      <c r="I87" s="66"/>
      <c r="J87" s="66"/>
      <c r="K87" s="67"/>
      <c r="L87" s="29"/>
      <c r="M87" s="153"/>
      <c r="N87" s="153">
        <v>43.641199999999998</v>
      </c>
      <c r="O87" s="153">
        <v>47.041899999999998</v>
      </c>
      <c r="P87" s="153">
        <v>46.531100000000002</v>
      </c>
      <c r="Q87" s="153"/>
      <c r="R87" s="154"/>
      <c r="S87" s="155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70"/>
      <c r="F88" s="46">
        <v>41.350499999999997</v>
      </c>
      <c r="G88" s="46">
        <v>45.995699999999999</v>
      </c>
      <c r="H88" s="46">
        <v>44.802100000000003</v>
      </c>
      <c r="I88" s="66"/>
      <c r="J88" s="66"/>
      <c r="K88" s="67"/>
      <c r="L88" s="29"/>
      <c r="M88" s="156"/>
      <c r="N88" s="156">
        <v>41.354300000000002</v>
      </c>
      <c r="O88" s="156">
        <v>45.9938</v>
      </c>
      <c r="P88" s="156">
        <v>44.804299999999998</v>
      </c>
      <c r="Q88" s="156"/>
      <c r="R88" s="157"/>
      <c r="S88" s="158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70"/>
      <c r="F89" s="46">
        <v>38.849899999999998</v>
      </c>
      <c r="G89" s="46">
        <v>44.704700000000003</v>
      </c>
      <c r="H89" s="46">
        <v>42.953099999999999</v>
      </c>
      <c r="I89" s="66"/>
      <c r="J89" s="66"/>
      <c r="K89" s="67"/>
      <c r="L89" s="29"/>
      <c r="M89" s="156"/>
      <c r="N89" s="156">
        <v>38.845999999999997</v>
      </c>
      <c r="O89" s="156">
        <v>44.712800000000001</v>
      </c>
      <c r="P89" s="156">
        <v>42.956299999999999</v>
      </c>
      <c r="Q89" s="156"/>
      <c r="R89" s="157"/>
      <c r="S89" s="158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3"/>
      <c r="D90" s="71">
        <v>40</v>
      </c>
      <c r="E90" s="81"/>
      <c r="F90" s="46">
        <v>36.241599999999998</v>
      </c>
      <c r="G90" s="72">
        <v>43.762799999999999</v>
      </c>
      <c r="H90" s="72">
        <v>41.462800000000001</v>
      </c>
      <c r="I90" s="68"/>
      <c r="J90" s="68"/>
      <c r="K90" s="69"/>
      <c r="L90" s="29"/>
      <c r="M90" s="159"/>
      <c r="N90" s="159">
        <v>36.238999999999997</v>
      </c>
      <c r="O90" s="159">
        <v>43.763399999999997</v>
      </c>
      <c r="P90" s="159">
        <v>41.464100000000002</v>
      </c>
      <c r="Q90" s="159"/>
      <c r="R90" s="160"/>
      <c r="S90" s="161"/>
      <c r="U90" s="17"/>
      <c r="V90" s="18"/>
      <c r="W90" s="19"/>
      <c r="X90" s="29"/>
      <c r="Z90" s="61"/>
      <c r="AA90" s="57"/>
    </row>
    <row r="91" spans="1:27" ht="12.75">
      <c r="A91" s="27"/>
      <c r="B91" s="36"/>
      <c r="C91" s="29" t="s">
        <v>50</v>
      </c>
      <c r="D91" s="32">
        <v>25</v>
      </c>
      <c r="E91" s="70"/>
      <c r="F91" s="45">
        <v>43.4709</v>
      </c>
      <c r="G91" s="45">
        <v>47.0274</v>
      </c>
      <c r="H91" s="45">
        <v>46.585599999999999</v>
      </c>
      <c r="I91" s="66"/>
      <c r="J91" s="66"/>
      <c r="K91" s="67"/>
      <c r="L91" s="29"/>
      <c r="M91" s="153"/>
      <c r="N91" s="153">
        <v>43.466200000000001</v>
      </c>
      <c r="O91" s="153">
        <v>47.029000000000003</v>
      </c>
      <c r="P91" s="153">
        <v>46.583300000000001</v>
      </c>
      <c r="Q91" s="153"/>
      <c r="R91" s="154"/>
      <c r="S91" s="155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70"/>
      <c r="F92" s="46">
        <v>41.192900000000002</v>
      </c>
      <c r="G92" s="46">
        <v>46.0214</v>
      </c>
      <c r="H92" s="46">
        <v>44.852800000000002</v>
      </c>
      <c r="I92" s="66"/>
      <c r="J92" s="66"/>
      <c r="K92" s="67"/>
      <c r="L92" s="29"/>
      <c r="M92" s="156"/>
      <c r="N92" s="156">
        <v>41.193100000000001</v>
      </c>
      <c r="O92" s="156">
        <v>46.016199999999998</v>
      </c>
      <c r="P92" s="156">
        <v>44.8551</v>
      </c>
      <c r="Q92" s="156"/>
      <c r="R92" s="157"/>
      <c r="S92" s="158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70"/>
      <c r="F93" s="46">
        <v>38.698300000000003</v>
      </c>
      <c r="G93" s="46">
        <v>44.755699999999997</v>
      </c>
      <c r="H93" s="46">
        <v>42.976799999999997</v>
      </c>
      <c r="I93" s="66"/>
      <c r="J93" s="66"/>
      <c r="K93" s="67"/>
      <c r="L93" s="29"/>
      <c r="M93" s="156"/>
      <c r="N93" s="156">
        <v>38.695500000000003</v>
      </c>
      <c r="O93" s="156">
        <v>44.755800000000001</v>
      </c>
      <c r="P93" s="156">
        <v>42.974899999999998</v>
      </c>
      <c r="Q93" s="156"/>
      <c r="R93" s="157"/>
      <c r="S93" s="158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3"/>
      <c r="D94" s="71">
        <v>40</v>
      </c>
      <c r="E94" s="81"/>
      <c r="F94" s="46">
        <v>36.0839</v>
      </c>
      <c r="G94" s="72">
        <v>43.781399999999998</v>
      </c>
      <c r="H94" s="72">
        <v>41.438299999999998</v>
      </c>
      <c r="I94" s="68"/>
      <c r="J94" s="68"/>
      <c r="K94" s="69"/>
      <c r="L94" s="29"/>
      <c r="M94" s="159"/>
      <c r="N94" s="159">
        <v>36.087600000000002</v>
      </c>
      <c r="O94" s="159">
        <v>43.785299999999999</v>
      </c>
      <c r="P94" s="159">
        <v>41.445999999999998</v>
      </c>
      <c r="Q94" s="159"/>
      <c r="R94" s="160"/>
      <c r="S94" s="161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70"/>
      <c r="F95" s="45">
        <v>43.219200000000001</v>
      </c>
      <c r="G95" s="45">
        <v>47.278399999999998</v>
      </c>
      <c r="H95" s="45">
        <v>46.585799999999999</v>
      </c>
      <c r="I95" s="66"/>
      <c r="J95" s="66"/>
      <c r="K95" s="67"/>
      <c r="L95" s="29"/>
      <c r="M95" s="154"/>
      <c r="N95" s="154">
        <v>43.199800000000003</v>
      </c>
      <c r="O95" s="154">
        <v>47.278199999999998</v>
      </c>
      <c r="P95" s="154">
        <v>46.576700000000002</v>
      </c>
      <c r="Q95" s="154"/>
      <c r="R95" s="154"/>
      <c r="S95" s="155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70"/>
      <c r="F96" s="46">
        <v>40.853900000000003</v>
      </c>
      <c r="G96" s="46">
        <v>46.130899999999997</v>
      </c>
      <c r="H96" s="46">
        <v>44.755200000000002</v>
      </c>
      <c r="I96" s="66"/>
      <c r="J96" s="66"/>
      <c r="K96" s="67"/>
      <c r="L96" s="29"/>
      <c r="M96" s="157"/>
      <c r="N96" s="157">
        <v>40.846800000000002</v>
      </c>
      <c r="O96" s="157">
        <v>46.124499999999998</v>
      </c>
      <c r="P96" s="157">
        <v>44.753999999999998</v>
      </c>
      <c r="Q96" s="157"/>
      <c r="R96" s="157"/>
      <c r="S96" s="158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70"/>
      <c r="F97" s="46">
        <v>38.369199999999999</v>
      </c>
      <c r="G97" s="46">
        <v>44.929200000000002</v>
      </c>
      <c r="H97" s="46">
        <v>42.978200000000001</v>
      </c>
      <c r="I97" s="66"/>
      <c r="J97" s="66"/>
      <c r="K97" s="67"/>
      <c r="L97" s="29"/>
      <c r="M97" s="157"/>
      <c r="N97" s="157">
        <v>38.363900000000001</v>
      </c>
      <c r="O97" s="157">
        <v>44.927199999999999</v>
      </c>
      <c r="P97" s="157">
        <v>42.967700000000001</v>
      </c>
      <c r="Q97" s="157"/>
      <c r="R97" s="157"/>
      <c r="S97" s="158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3"/>
      <c r="D98" s="71">
        <v>40</v>
      </c>
      <c r="E98" s="81"/>
      <c r="F98" s="72">
        <v>35.781599999999997</v>
      </c>
      <c r="G98" s="72">
        <v>43.8934</v>
      </c>
      <c r="H98" s="72">
        <v>41.398099999999999</v>
      </c>
      <c r="I98" s="68"/>
      <c r="J98" s="68"/>
      <c r="K98" s="69"/>
      <c r="L98" s="29"/>
      <c r="M98" s="160"/>
      <c r="N98" s="160">
        <v>35.786799999999999</v>
      </c>
      <c r="O98" s="160">
        <v>43.891500000000001</v>
      </c>
      <c r="P98" s="160">
        <v>41.406599999999997</v>
      </c>
      <c r="Q98" s="160"/>
      <c r="R98" s="160"/>
      <c r="S98" s="161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70"/>
      <c r="F99" s="45">
        <v>42.457099999999997</v>
      </c>
      <c r="G99" s="45">
        <v>46.328699999999998</v>
      </c>
      <c r="H99" s="45">
        <v>45.747799999999998</v>
      </c>
      <c r="I99" s="66"/>
      <c r="J99" s="66"/>
      <c r="K99" s="67"/>
      <c r="L99" s="29"/>
      <c r="M99" s="154"/>
      <c r="N99" s="154">
        <v>42.4497</v>
      </c>
      <c r="O99" s="154">
        <v>46.330100000000002</v>
      </c>
      <c r="P99" s="154">
        <v>45.740099999999998</v>
      </c>
      <c r="Q99" s="154"/>
      <c r="R99" s="154"/>
      <c r="S99" s="155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70"/>
      <c r="F100" s="46">
        <v>40.2761</v>
      </c>
      <c r="G100" s="46">
        <v>45.206099999999999</v>
      </c>
      <c r="H100" s="46">
        <v>44.026400000000002</v>
      </c>
      <c r="I100" s="66"/>
      <c r="J100" s="66"/>
      <c r="K100" s="67"/>
      <c r="L100" s="29"/>
      <c r="M100" s="157"/>
      <c r="N100" s="157">
        <v>40.269399999999997</v>
      </c>
      <c r="O100" s="157">
        <v>45.205500000000001</v>
      </c>
      <c r="P100" s="157">
        <v>44.0246</v>
      </c>
      <c r="Q100" s="157"/>
      <c r="R100" s="157"/>
      <c r="S100" s="158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70"/>
      <c r="F101" s="46">
        <v>37.928400000000003</v>
      </c>
      <c r="G101" s="46">
        <v>44.217799999999997</v>
      </c>
      <c r="H101" s="46">
        <v>42.479599999999998</v>
      </c>
      <c r="I101" s="66"/>
      <c r="J101" s="66"/>
      <c r="K101" s="67"/>
      <c r="L101" s="29"/>
      <c r="M101" s="157"/>
      <c r="N101" s="157">
        <v>37.922800000000002</v>
      </c>
      <c r="O101" s="157">
        <v>44.218499999999999</v>
      </c>
      <c r="P101" s="157">
        <v>42.471800000000002</v>
      </c>
      <c r="Q101" s="157"/>
      <c r="R101" s="157"/>
      <c r="S101" s="158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3"/>
      <c r="D102" s="71">
        <v>40</v>
      </c>
      <c r="E102" s="81"/>
      <c r="F102" s="72">
        <v>35.434800000000003</v>
      </c>
      <c r="G102" s="72">
        <v>43.2926</v>
      </c>
      <c r="H102" s="72">
        <v>41.017899999999997</v>
      </c>
      <c r="I102" s="68"/>
      <c r="J102" s="68"/>
      <c r="K102" s="69"/>
      <c r="L102" s="29"/>
      <c r="M102" s="160"/>
      <c r="N102" s="160">
        <v>35.428699999999999</v>
      </c>
      <c r="O102" s="160">
        <v>43.301400000000001</v>
      </c>
      <c r="P102" s="160">
        <v>41.014400000000002</v>
      </c>
      <c r="Q102" s="160"/>
      <c r="R102" s="160"/>
      <c r="S102" s="161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45">
        <v>1785.4176</v>
      </c>
      <c r="F103" s="70"/>
      <c r="G103" s="70"/>
      <c r="H103" s="70"/>
      <c r="I103" s="45">
        <v>29295.58</v>
      </c>
      <c r="J103" s="45">
        <v>47</v>
      </c>
      <c r="K103" s="45"/>
      <c r="L103" s="29"/>
      <c r="M103" s="157">
        <v>1785.5408</v>
      </c>
      <c r="N103" s="157"/>
      <c r="O103" s="157"/>
      <c r="P103" s="157"/>
      <c r="Q103" s="157">
        <v>28535.29</v>
      </c>
      <c r="R103" s="157">
        <v>58.12</v>
      </c>
      <c r="S103" s="158">
        <v>331.59</v>
      </c>
      <c r="U103" s="8"/>
      <c r="V103" s="9"/>
      <c r="W103" s="10"/>
      <c r="X103" s="29"/>
      <c r="Y103" s="61">
        <f>GEOMEAN(Q103:Q106)/GEOMEAN(I103:I106)</f>
        <v>0.68012845081118822</v>
      </c>
      <c r="Z103" s="61">
        <f>GEOMEAN(R103:R106)/GEOMEAN(J103:J106)</f>
        <v>0.73230978460678764</v>
      </c>
      <c r="AA103" s="57" t="e">
        <f>GEOMEAN(S103:S106)/GEOMEAN(K103:K106)</f>
        <v>#NUM!</v>
      </c>
    </row>
    <row r="104" spans="1:27" ht="12.75">
      <c r="A104" s="27"/>
      <c r="B104" s="36"/>
      <c r="C104" s="29"/>
      <c r="D104" s="32">
        <v>30</v>
      </c>
      <c r="E104" s="46">
        <v>831.12080000000003</v>
      </c>
      <c r="F104" s="70"/>
      <c r="G104" s="70"/>
      <c r="H104" s="70"/>
      <c r="I104" s="46">
        <v>22940.37</v>
      </c>
      <c r="J104" s="46">
        <v>45.33</v>
      </c>
      <c r="K104" s="46"/>
      <c r="L104" s="29"/>
      <c r="M104" s="157">
        <v>831.17679999999996</v>
      </c>
      <c r="N104" s="157"/>
      <c r="O104" s="157"/>
      <c r="P104" s="157"/>
      <c r="Q104" s="157">
        <v>22031.599999999999</v>
      </c>
      <c r="R104" s="157">
        <v>49.93</v>
      </c>
      <c r="S104" s="158">
        <v>329.75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46">
        <v>445.51839999999999</v>
      </c>
      <c r="F105" s="70"/>
      <c r="G105" s="70"/>
      <c r="H105" s="70"/>
      <c r="I105" s="46">
        <v>38310.800000000003</v>
      </c>
      <c r="J105" s="46">
        <v>103.94</v>
      </c>
      <c r="K105" s="46"/>
      <c r="L105" s="29"/>
      <c r="M105" s="157">
        <v>445.19839999999999</v>
      </c>
      <c r="N105" s="157"/>
      <c r="O105" s="157"/>
      <c r="P105" s="157"/>
      <c r="Q105" s="157">
        <v>18625.43</v>
      </c>
      <c r="R105" s="157">
        <v>43.21</v>
      </c>
      <c r="S105" s="158">
        <v>327.98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2"/>
      <c r="C106" s="53"/>
      <c r="D106" s="71">
        <v>40</v>
      </c>
      <c r="E106" s="72">
        <v>254.66239999999999</v>
      </c>
      <c r="F106" s="81"/>
      <c r="G106" s="81"/>
      <c r="H106" s="81"/>
      <c r="I106" s="72">
        <v>34320.300000000003</v>
      </c>
      <c r="J106" s="72">
        <v>92.46</v>
      </c>
      <c r="K106" s="72"/>
      <c r="L106" s="29"/>
      <c r="M106" s="160">
        <v>254.73439999999999</v>
      </c>
      <c r="N106" s="160"/>
      <c r="O106" s="160"/>
      <c r="P106" s="160"/>
      <c r="Q106" s="160">
        <v>16147.45</v>
      </c>
      <c r="R106" s="160">
        <v>46.96</v>
      </c>
      <c r="S106" s="161">
        <v>326.25</v>
      </c>
      <c r="U106" s="85"/>
      <c r="V106" s="86"/>
      <c r="W106" s="87"/>
      <c r="X106" s="29"/>
      <c r="Y106" s="49"/>
      <c r="Z106" s="49"/>
      <c r="AA106" s="54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949.1848</v>
      </c>
      <c r="F107" s="45">
        <v>41.356299999999997</v>
      </c>
      <c r="G107" s="45">
        <v>44.151299999999999</v>
      </c>
      <c r="H107" s="45">
        <v>44.212400000000002</v>
      </c>
      <c r="I107" s="79"/>
      <c r="J107" s="79"/>
      <c r="K107" s="80"/>
      <c r="L107" s="29"/>
      <c r="M107" s="153">
        <v>949.1848</v>
      </c>
      <c r="N107" s="153">
        <v>41.356299999999997</v>
      </c>
      <c r="O107" s="153">
        <v>44.151299999999999</v>
      </c>
      <c r="P107" s="153">
        <v>44.212400000000002</v>
      </c>
      <c r="Q107" s="153"/>
      <c r="R107" s="154"/>
      <c r="S107" s="155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46">
        <v>499.90800000000002</v>
      </c>
      <c r="F108" s="46">
        <v>38.991500000000002</v>
      </c>
      <c r="G108" s="46">
        <v>42.521900000000002</v>
      </c>
      <c r="H108" s="46">
        <v>42.534399999999998</v>
      </c>
      <c r="I108" s="66"/>
      <c r="J108" s="66"/>
      <c r="K108" s="67"/>
      <c r="L108" s="29"/>
      <c r="M108" s="156">
        <v>499.90800000000002</v>
      </c>
      <c r="N108" s="156">
        <v>38.991500000000002</v>
      </c>
      <c r="O108" s="156">
        <v>42.521900000000002</v>
      </c>
      <c r="P108" s="156">
        <v>42.534399999999998</v>
      </c>
      <c r="Q108" s="156"/>
      <c r="R108" s="157"/>
      <c r="S108" s="158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46">
        <v>275.40719999999999</v>
      </c>
      <c r="F109" s="46">
        <v>36.451599999999999</v>
      </c>
      <c r="G109" s="46">
        <v>40.753500000000003</v>
      </c>
      <c r="H109" s="46">
        <v>40.705300000000001</v>
      </c>
      <c r="I109" s="66"/>
      <c r="J109" s="66"/>
      <c r="K109" s="67"/>
      <c r="L109" s="29"/>
      <c r="M109" s="156">
        <v>275.40719999999999</v>
      </c>
      <c r="N109" s="156">
        <v>36.451599999999999</v>
      </c>
      <c r="O109" s="156">
        <v>40.753500000000003</v>
      </c>
      <c r="P109" s="156">
        <v>40.705300000000001</v>
      </c>
      <c r="Q109" s="156"/>
      <c r="R109" s="157"/>
      <c r="S109" s="158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46">
        <v>159.29040000000001</v>
      </c>
      <c r="F110" s="46">
        <v>33.872100000000003</v>
      </c>
      <c r="G110" s="46">
        <v>39.514000000000003</v>
      </c>
      <c r="H110" s="46">
        <v>39.404200000000003</v>
      </c>
      <c r="I110" s="66"/>
      <c r="J110" s="66"/>
      <c r="K110" s="67"/>
      <c r="L110" s="29"/>
      <c r="M110" s="159">
        <v>159.29040000000001</v>
      </c>
      <c r="N110" s="159">
        <v>33.872100000000003</v>
      </c>
      <c r="O110" s="159">
        <v>39.514000000000003</v>
      </c>
      <c r="P110" s="159">
        <v>39.404200000000003</v>
      </c>
      <c r="Q110" s="159"/>
      <c r="R110" s="160"/>
      <c r="S110" s="161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45">
        <v>303.84559999999999</v>
      </c>
      <c r="F111" s="45">
        <v>40.302799999999998</v>
      </c>
      <c r="G111" s="45">
        <v>42.9452</v>
      </c>
      <c r="H111" s="45">
        <v>43.064300000000003</v>
      </c>
      <c r="I111" s="79"/>
      <c r="J111" s="79"/>
      <c r="K111" s="80"/>
      <c r="L111" s="29"/>
      <c r="M111" s="156">
        <v>304.24239999999998</v>
      </c>
      <c r="N111" s="156">
        <v>40.300699999999999</v>
      </c>
      <c r="O111" s="156">
        <v>42.948099999999997</v>
      </c>
      <c r="P111" s="156">
        <v>43.0715</v>
      </c>
      <c r="Q111" s="156"/>
      <c r="R111" s="157"/>
      <c r="S111" s="158"/>
      <c r="U111" s="8">
        <f>bdrate($E111:$E114,F111:F114,$M111:$M114,N111:N114)</f>
        <v>-7.2808391210965606E-4</v>
      </c>
      <c r="V111" s="9">
        <f>bdrate($E111:$E114,G111:G114,$M111:$M114,O111:O114)</f>
        <v>2.2446511651283974E-3</v>
      </c>
      <c r="W111" s="10">
        <f>bdrate($E111:$E114,H111:H114,$M111:$M114,P111:P114)</f>
        <v>4.8315922348640683E-4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46">
        <v>129.70079999999999</v>
      </c>
      <c r="F112" s="46">
        <v>37.9634</v>
      </c>
      <c r="G112" s="46">
        <v>41.309100000000001</v>
      </c>
      <c r="H112" s="46">
        <v>41.443100000000001</v>
      </c>
      <c r="I112" s="66"/>
      <c r="J112" s="66"/>
      <c r="K112" s="67"/>
      <c r="L112" s="29"/>
      <c r="M112" s="156">
        <v>129.51439999999999</v>
      </c>
      <c r="N112" s="156">
        <v>37.965400000000002</v>
      </c>
      <c r="O112" s="156">
        <v>41.300199999999997</v>
      </c>
      <c r="P112" s="156">
        <v>41.441800000000001</v>
      </c>
      <c r="Q112" s="156"/>
      <c r="R112" s="157"/>
      <c r="S112" s="158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46">
        <v>64.1096</v>
      </c>
      <c r="F113" s="46">
        <v>35.525599999999997</v>
      </c>
      <c r="G113" s="46">
        <v>40.0214</v>
      </c>
      <c r="H113" s="46">
        <v>40.061399999999999</v>
      </c>
      <c r="I113" s="66"/>
      <c r="J113" s="66"/>
      <c r="K113" s="67"/>
      <c r="L113" s="29"/>
      <c r="M113" s="156">
        <v>64.091999999999999</v>
      </c>
      <c r="N113" s="156">
        <v>35.528199999999998</v>
      </c>
      <c r="O113" s="156">
        <v>40.017099999999999</v>
      </c>
      <c r="P113" s="156">
        <v>40.0533</v>
      </c>
      <c r="Q113" s="156"/>
      <c r="R113" s="157"/>
      <c r="S113" s="158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46">
        <v>34.479999999999997</v>
      </c>
      <c r="F114" s="46">
        <v>33.109000000000002</v>
      </c>
      <c r="G114" s="46">
        <v>38.972299999999997</v>
      </c>
      <c r="H114" s="46">
        <v>38.955599999999997</v>
      </c>
      <c r="I114" s="66"/>
      <c r="J114" s="66"/>
      <c r="K114" s="67"/>
      <c r="L114" s="29"/>
      <c r="M114" s="156">
        <v>34.540799999999997</v>
      </c>
      <c r="N114" s="156">
        <v>33.1111</v>
      </c>
      <c r="O114" s="156">
        <v>38.972799999999999</v>
      </c>
      <c r="P114" s="156">
        <v>38.96</v>
      </c>
      <c r="Q114" s="156"/>
      <c r="R114" s="157"/>
      <c r="S114" s="158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45">
        <v>347.47120000000001</v>
      </c>
      <c r="F115" s="45">
        <v>39.898600000000002</v>
      </c>
      <c r="G115" s="45">
        <v>42.849899999999998</v>
      </c>
      <c r="H115" s="45">
        <v>42.748800000000003</v>
      </c>
      <c r="I115" s="79"/>
      <c r="J115" s="79"/>
      <c r="K115" s="80"/>
      <c r="L115" s="29"/>
      <c r="M115" s="153">
        <v>347.988</v>
      </c>
      <c r="N115" s="153">
        <v>39.900399999999998</v>
      </c>
      <c r="O115" s="153">
        <v>42.853499999999997</v>
      </c>
      <c r="P115" s="153">
        <v>42.741799999999998</v>
      </c>
      <c r="Q115" s="153"/>
      <c r="R115" s="154"/>
      <c r="S115" s="155"/>
      <c r="U115" s="8">
        <f>bdrate($E115:$E118,F115:F118,$M115:$M118,N115:N118)</f>
        <v>-1.451912957184498E-3</v>
      </c>
      <c r="V115" s="9">
        <f>bdrate($E115:$E118,G115:G118,$M115:$M118,O115:O118)</f>
        <v>-2.9473142525164864E-3</v>
      </c>
      <c r="W115" s="10">
        <f>bdrate($E115:$E118,H115:H118,$M115:$M118,P115:P118)</f>
        <v>-1.1690262915238225E-3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46">
        <v>150.3192</v>
      </c>
      <c r="F116" s="46">
        <v>37.522199999999998</v>
      </c>
      <c r="G116" s="46">
        <v>41.358899999999998</v>
      </c>
      <c r="H116" s="46">
        <v>41.091099999999997</v>
      </c>
      <c r="I116" s="66"/>
      <c r="J116" s="66"/>
      <c r="K116" s="67"/>
      <c r="L116" s="29"/>
      <c r="M116" s="156">
        <v>149.81120000000001</v>
      </c>
      <c r="N116" s="156">
        <v>37.515300000000003</v>
      </c>
      <c r="O116" s="156">
        <v>41.364800000000002</v>
      </c>
      <c r="P116" s="156">
        <v>41.095199999999998</v>
      </c>
      <c r="Q116" s="156"/>
      <c r="R116" s="157"/>
      <c r="S116" s="158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46">
        <v>75.127200000000002</v>
      </c>
      <c r="F117" s="46">
        <v>35.061300000000003</v>
      </c>
      <c r="G117" s="46">
        <v>40.092799999999997</v>
      </c>
      <c r="H117" s="46">
        <v>39.675199999999997</v>
      </c>
      <c r="I117" s="66"/>
      <c r="J117" s="66"/>
      <c r="K117" s="67"/>
      <c r="L117" s="29"/>
      <c r="M117" s="156">
        <v>74.753600000000006</v>
      </c>
      <c r="N117" s="156">
        <v>35.057499999999997</v>
      </c>
      <c r="O117" s="156">
        <v>40.084800000000001</v>
      </c>
      <c r="P117" s="156">
        <v>39.665900000000001</v>
      </c>
      <c r="Q117" s="156"/>
      <c r="R117" s="157"/>
      <c r="S117" s="158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3"/>
      <c r="D118" s="71">
        <v>40</v>
      </c>
      <c r="E118" s="72">
        <v>39.799999999999997</v>
      </c>
      <c r="F118" s="72">
        <v>32.548200000000001</v>
      </c>
      <c r="G118" s="72">
        <v>39.088999999999999</v>
      </c>
      <c r="H118" s="72">
        <v>38.587699999999998</v>
      </c>
      <c r="I118" s="68"/>
      <c r="J118" s="68"/>
      <c r="K118" s="69"/>
      <c r="L118" s="29"/>
      <c r="M118" s="159">
        <v>39.9696</v>
      </c>
      <c r="N118" s="159">
        <v>32.552199999999999</v>
      </c>
      <c r="O118" s="159">
        <v>39.0931</v>
      </c>
      <c r="P118" s="159">
        <v>38.586500000000001</v>
      </c>
      <c r="Q118" s="159"/>
      <c r="R118" s="160"/>
      <c r="S118" s="161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45">
        <v>188.11680000000001</v>
      </c>
      <c r="F119" s="45">
        <v>38.281500000000001</v>
      </c>
      <c r="G119" s="78"/>
      <c r="H119" s="78"/>
      <c r="I119" s="79"/>
      <c r="J119" s="79"/>
      <c r="K119" s="80"/>
      <c r="L119" s="29"/>
      <c r="M119" s="153">
        <v>188.11680000000001</v>
      </c>
      <c r="N119" s="153">
        <v>38.281500000000001</v>
      </c>
      <c r="O119" s="153"/>
      <c r="P119" s="153"/>
      <c r="Q119" s="153"/>
      <c r="R119" s="154"/>
      <c r="S119" s="155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46">
        <v>63.389600000000002</v>
      </c>
      <c r="F120" s="46">
        <v>35.013399999999997</v>
      </c>
      <c r="G120" s="70"/>
      <c r="H120" s="70"/>
      <c r="I120" s="66"/>
      <c r="J120" s="66"/>
      <c r="K120" s="67"/>
      <c r="L120" s="29"/>
      <c r="M120" s="156">
        <v>63.389600000000002</v>
      </c>
      <c r="N120" s="156">
        <v>35.013399999999997</v>
      </c>
      <c r="O120" s="156"/>
      <c r="P120" s="156"/>
      <c r="Q120" s="156"/>
      <c r="R120" s="157"/>
      <c r="S120" s="158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46">
        <v>26.0472</v>
      </c>
      <c r="F121" s="46">
        <v>32.409500000000001</v>
      </c>
      <c r="G121" s="70"/>
      <c r="H121" s="70"/>
      <c r="I121" s="66"/>
      <c r="J121" s="66"/>
      <c r="K121" s="67"/>
      <c r="L121" s="29"/>
      <c r="M121" s="156">
        <v>26.0472</v>
      </c>
      <c r="N121" s="156">
        <v>32.409500000000001</v>
      </c>
      <c r="O121" s="156"/>
      <c r="P121" s="156"/>
      <c r="Q121" s="156"/>
      <c r="R121" s="157"/>
      <c r="S121" s="158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46">
        <v>11.861599999999999</v>
      </c>
      <c r="F122" s="46">
        <v>29.662800000000001</v>
      </c>
      <c r="G122" s="70"/>
      <c r="H122" s="70"/>
      <c r="I122" s="66"/>
      <c r="J122" s="66"/>
      <c r="K122" s="67"/>
      <c r="L122" s="29"/>
      <c r="M122" s="159">
        <v>11.861599999999999</v>
      </c>
      <c r="N122" s="159">
        <v>29.662800000000001</v>
      </c>
      <c r="O122" s="159"/>
      <c r="P122" s="159"/>
      <c r="Q122" s="159"/>
      <c r="R122" s="160"/>
      <c r="S122" s="161"/>
      <c r="U122" s="17"/>
      <c r="V122" s="18"/>
      <c r="W122" s="19"/>
      <c r="X122" s="29"/>
      <c r="Y122" s="61"/>
      <c r="Z122" s="61"/>
      <c r="AA122" s="57"/>
    </row>
    <row r="123" spans="1:27" ht="12.75">
      <c r="A123" s="27"/>
      <c r="B123" s="36"/>
      <c r="C123" s="28" t="s">
        <v>30</v>
      </c>
      <c r="D123" s="31">
        <v>34</v>
      </c>
      <c r="E123" s="45">
        <v>123.6696</v>
      </c>
      <c r="F123" s="45">
        <v>37.210799999999999</v>
      </c>
      <c r="G123" s="78"/>
      <c r="H123" s="78"/>
      <c r="I123" s="79"/>
      <c r="J123" s="79"/>
      <c r="K123" s="80"/>
      <c r="L123" s="29"/>
      <c r="M123" s="153">
        <v>123.9936</v>
      </c>
      <c r="N123" s="153">
        <v>37.212600000000002</v>
      </c>
      <c r="O123" s="153"/>
      <c r="P123" s="153"/>
      <c r="Q123" s="153"/>
      <c r="R123" s="154"/>
      <c r="S123" s="155"/>
      <c r="U123" s="8">
        <f>bdrate($E123:$E126,F123:F126,$M123:$M126,N123:N126)</f>
        <v>-2.8084557814128663E-3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46">
        <v>43.6248</v>
      </c>
      <c r="F124" s="46">
        <v>34.158499999999997</v>
      </c>
      <c r="G124" s="70"/>
      <c r="H124" s="70"/>
      <c r="I124" s="66"/>
      <c r="J124" s="66"/>
      <c r="K124" s="67"/>
      <c r="L124" s="29"/>
      <c r="M124" s="156">
        <v>43.847999999999999</v>
      </c>
      <c r="N124" s="156">
        <v>34.177199999999999</v>
      </c>
      <c r="O124" s="156"/>
      <c r="P124" s="156"/>
      <c r="Q124" s="156"/>
      <c r="R124" s="157"/>
      <c r="S124" s="158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46">
        <v>18.9056</v>
      </c>
      <c r="F125" s="46">
        <v>31.5594</v>
      </c>
      <c r="G125" s="70"/>
      <c r="H125" s="70"/>
      <c r="I125" s="66"/>
      <c r="J125" s="66"/>
      <c r="K125" s="67"/>
      <c r="L125" s="29"/>
      <c r="M125" s="156">
        <v>18.7776</v>
      </c>
      <c r="N125" s="156">
        <v>31.559200000000001</v>
      </c>
      <c r="O125" s="156"/>
      <c r="P125" s="156"/>
      <c r="Q125" s="156"/>
      <c r="R125" s="157"/>
      <c r="S125" s="158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46">
        <v>8.4920000000000009</v>
      </c>
      <c r="F126" s="46">
        <v>28.546600000000002</v>
      </c>
      <c r="G126" s="70"/>
      <c r="H126" s="70"/>
      <c r="I126" s="66"/>
      <c r="J126" s="66"/>
      <c r="K126" s="67"/>
      <c r="L126" s="29"/>
      <c r="M126" s="159">
        <v>8.5327999999999999</v>
      </c>
      <c r="N126" s="159">
        <v>28.573699999999999</v>
      </c>
      <c r="O126" s="159"/>
      <c r="P126" s="159"/>
      <c r="Q126" s="159"/>
      <c r="R126" s="160"/>
      <c r="S126" s="161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45">
        <v>111.1568</v>
      </c>
      <c r="F127" s="45">
        <v>37.107599999999998</v>
      </c>
      <c r="G127" s="78"/>
      <c r="H127" s="78"/>
      <c r="I127" s="79"/>
      <c r="J127" s="79"/>
      <c r="K127" s="80"/>
      <c r="L127" s="29"/>
      <c r="M127" s="153">
        <v>111.568</v>
      </c>
      <c r="N127" s="153">
        <v>37.148899999999998</v>
      </c>
      <c r="O127" s="153"/>
      <c r="P127" s="153"/>
      <c r="Q127" s="153"/>
      <c r="R127" s="154"/>
      <c r="S127" s="155"/>
      <c r="U127" s="8">
        <f>bdrate($E127:$E130,F127:F130,$M127:$M130,N127:N130)</f>
        <v>-3.7976993859342167E-3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46">
        <v>36.409599999999998</v>
      </c>
      <c r="F128" s="46">
        <v>34.154800000000002</v>
      </c>
      <c r="G128" s="70"/>
      <c r="H128" s="70"/>
      <c r="I128" s="66"/>
      <c r="J128" s="66"/>
      <c r="K128" s="67"/>
      <c r="L128" s="29"/>
      <c r="M128" s="156">
        <v>36.3504</v>
      </c>
      <c r="N128" s="156">
        <v>34.178899999999999</v>
      </c>
      <c r="O128" s="156"/>
      <c r="P128" s="156"/>
      <c r="Q128" s="156"/>
      <c r="R128" s="157"/>
      <c r="S128" s="158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46">
        <v>15.495200000000001</v>
      </c>
      <c r="F129" s="46">
        <v>31.671800000000001</v>
      </c>
      <c r="G129" s="70"/>
      <c r="H129" s="70"/>
      <c r="I129" s="66"/>
      <c r="J129" s="66"/>
      <c r="K129" s="67"/>
      <c r="L129" s="29"/>
      <c r="M129" s="156">
        <v>15.608000000000001</v>
      </c>
      <c r="N129" s="156">
        <v>31.6831</v>
      </c>
      <c r="O129" s="156"/>
      <c r="P129" s="156"/>
      <c r="Q129" s="156"/>
      <c r="R129" s="157"/>
      <c r="S129" s="158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46">
        <v>7.5864000000000003</v>
      </c>
      <c r="F130" s="46">
        <v>28.952999999999999</v>
      </c>
      <c r="G130" s="70"/>
      <c r="H130" s="70"/>
      <c r="I130" s="66"/>
      <c r="J130" s="66"/>
      <c r="K130" s="67"/>
      <c r="L130" s="29"/>
      <c r="M130" s="159">
        <v>7.5864000000000003</v>
      </c>
      <c r="N130" s="159">
        <v>28.933800000000002</v>
      </c>
      <c r="O130" s="159"/>
      <c r="P130" s="159"/>
      <c r="Q130" s="159"/>
      <c r="R130" s="160"/>
      <c r="S130" s="161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78"/>
      <c r="F131" s="45">
        <v>39.906100000000002</v>
      </c>
      <c r="G131" s="45">
        <v>45.249400000000001</v>
      </c>
      <c r="H131" s="45">
        <v>45.429900000000004</v>
      </c>
      <c r="I131" s="79"/>
      <c r="J131" s="79"/>
      <c r="K131" s="80"/>
      <c r="L131" s="29"/>
      <c r="M131" s="153"/>
      <c r="N131" s="153">
        <v>39.914299999999997</v>
      </c>
      <c r="O131" s="153">
        <v>45.257199999999997</v>
      </c>
      <c r="P131" s="153">
        <v>45.4407</v>
      </c>
      <c r="Q131" s="153"/>
      <c r="R131" s="154"/>
      <c r="S131" s="155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70"/>
      <c r="F132" s="46">
        <v>37.7774</v>
      </c>
      <c r="G132" s="46">
        <v>43.468800000000002</v>
      </c>
      <c r="H132" s="46">
        <v>43.628</v>
      </c>
      <c r="I132" s="66"/>
      <c r="J132" s="66"/>
      <c r="K132" s="67"/>
      <c r="L132" s="29"/>
      <c r="M132" s="156"/>
      <c r="N132" s="156">
        <v>37.781500000000001</v>
      </c>
      <c r="O132" s="156">
        <v>43.462400000000002</v>
      </c>
      <c r="P132" s="156">
        <v>43.626600000000003</v>
      </c>
      <c r="Q132" s="156"/>
      <c r="R132" s="157"/>
      <c r="S132" s="158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70"/>
      <c r="F133" s="46">
        <v>35.502099999999999</v>
      </c>
      <c r="G133" s="46">
        <v>41.872</v>
      </c>
      <c r="H133" s="46">
        <v>41.905099999999997</v>
      </c>
      <c r="I133" s="66"/>
      <c r="J133" s="66"/>
      <c r="K133" s="67"/>
      <c r="L133" s="29"/>
      <c r="M133" s="156"/>
      <c r="N133" s="156">
        <v>35.507899999999999</v>
      </c>
      <c r="O133" s="156">
        <v>41.872399999999999</v>
      </c>
      <c r="P133" s="156">
        <v>41.893900000000002</v>
      </c>
      <c r="Q133" s="156"/>
      <c r="R133" s="157"/>
      <c r="S133" s="158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3"/>
      <c r="D134" s="71">
        <v>40</v>
      </c>
      <c r="E134" s="81"/>
      <c r="F134" s="72">
        <v>33.131599999999999</v>
      </c>
      <c r="G134" s="72">
        <v>40.540900000000001</v>
      </c>
      <c r="H134" s="72">
        <v>40.5334</v>
      </c>
      <c r="I134" s="68"/>
      <c r="J134" s="68"/>
      <c r="K134" s="69"/>
      <c r="L134" s="29"/>
      <c r="M134" s="159"/>
      <c r="N134" s="159">
        <v>33.1295</v>
      </c>
      <c r="O134" s="159">
        <v>40.538200000000003</v>
      </c>
      <c r="P134" s="159">
        <v>40.534799999999997</v>
      </c>
      <c r="Q134" s="159"/>
      <c r="R134" s="160"/>
      <c r="S134" s="161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70"/>
      <c r="F135" s="45">
        <v>40.4559</v>
      </c>
      <c r="G135" s="45">
        <v>46.110100000000003</v>
      </c>
      <c r="H135" s="45">
        <v>46.160499999999999</v>
      </c>
      <c r="I135" s="66"/>
      <c r="J135" s="66"/>
      <c r="K135" s="67"/>
      <c r="L135" s="29"/>
      <c r="M135" s="153"/>
      <c r="N135" s="153">
        <v>40.459299999999999</v>
      </c>
      <c r="O135" s="153">
        <v>46.116100000000003</v>
      </c>
      <c r="P135" s="153">
        <v>46.164000000000001</v>
      </c>
      <c r="Q135" s="153"/>
      <c r="R135" s="154"/>
      <c r="S135" s="155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70"/>
      <c r="F136" s="46">
        <v>38.181600000000003</v>
      </c>
      <c r="G136" s="46">
        <v>44.244500000000002</v>
      </c>
      <c r="H136" s="46">
        <v>44.235399999999998</v>
      </c>
      <c r="I136" s="66"/>
      <c r="J136" s="66"/>
      <c r="K136" s="67"/>
      <c r="L136" s="29"/>
      <c r="M136" s="156"/>
      <c r="N136" s="156">
        <v>38.193399999999997</v>
      </c>
      <c r="O136" s="156">
        <v>44.239800000000002</v>
      </c>
      <c r="P136" s="156">
        <v>44.239800000000002</v>
      </c>
      <c r="Q136" s="156"/>
      <c r="R136" s="157"/>
      <c r="S136" s="158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70"/>
      <c r="F137" s="46">
        <v>35.797199999999997</v>
      </c>
      <c r="G137" s="46">
        <v>42.375399999999999</v>
      </c>
      <c r="H137" s="46">
        <v>42.267400000000002</v>
      </c>
      <c r="I137" s="66"/>
      <c r="J137" s="66"/>
      <c r="K137" s="67"/>
      <c r="L137" s="29"/>
      <c r="M137" s="156"/>
      <c r="N137" s="156">
        <v>35.799999999999997</v>
      </c>
      <c r="O137" s="156">
        <v>42.380299999999998</v>
      </c>
      <c r="P137" s="156">
        <v>42.263100000000001</v>
      </c>
      <c r="Q137" s="156"/>
      <c r="R137" s="157"/>
      <c r="S137" s="158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3"/>
      <c r="D138" s="71">
        <v>40</v>
      </c>
      <c r="E138" s="81"/>
      <c r="F138" s="46">
        <v>33.3232</v>
      </c>
      <c r="G138" s="72">
        <v>40.909700000000001</v>
      </c>
      <c r="H138" s="72">
        <v>40.769799999999996</v>
      </c>
      <c r="I138" s="68"/>
      <c r="J138" s="68"/>
      <c r="K138" s="69"/>
      <c r="L138" s="29"/>
      <c r="M138" s="159"/>
      <c r="N138" s="159">
        <v>33.327599999999997</v>
      </c>
      <c r="O138" s="159">
        <v>40.907499999999999</v>
      </c>
      <c r="P138" s="159">
        <v>40.767099999999999</v>
      </c>
      <c r="Q138" s="159"/>
      <c r="R138" s="160"/>
      <c r="S138" s="161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70"/>
      <c r="F139" s="45">
        <v>40.940399999999997</v>
      </c>
      <c r="G139" s="45">
        <v>46.022599999999997</v>
      </c>
      <c r="H139" s="45">
        <v>46.0899</v>
      </c>
      <c r="I139" s="66"/>
      <c r="J139" s="66"/>
      <c r="K139" s="67"/>
      <c r="L139" s="29"/>
      <c r="M139" s="153"/>
      <c r="N139" s="153">
        <v>40.9514</v>
      </c>
      <c r="O139" s="153">
        <v>46.0259</v>
      </c>
      <c r="P139" s="153">
        <v>46.091500000000003</v>
      </c>
      <c r="Q139" s="153"/>
      <c r="R139" s="154"/>
      <c r="S139" s="155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70"/>
      <c r="F140" s="46">
        <v>38.6477</v>
      </c>
      <c r="G140" s="46">
        <v>44.256</v>
      </c>
      <c r="H140" s="46">
        <v>44.230800000000002</v>
      </c>
      <c r="I140" s="66"/>
      <c r="J140" s="66"/>
      <c r="K140" s="67"/>
      <c r="L140" s="29"/>
      <c r="M140" s="156"/>
      <c r="N140" s="156">
        <v>38.655299999999997</v>
      </c>
      <c r="O140" s="156">
        <v>44.256100000000004</v>
      </c>
      <c r="P140" s="156">
        <v>44.229500000000002</v>
      </c>
      <c r="Q140" s="156"/>
      <c r="R140" s="157"/>
      <c r="S140" s="158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70"/>
      <c r="F141" s="46">
        <v>36.1877</v>
      </c>
      <c r="G141" s="46">
        <v>42.314399999999999</v>
      </c>
      <c r="H141" s="46">
        <v>42.191299999999998</v>
      </c>
      <c r="I141" s="66"/>
      <c r="J141" s="66"/>
      <c r="K141" s="67"/>
      <c r="L141" s="29"/>
      <c r="M141" s="156"/>
      <c r="N141" s="156">
        <v>36.192799999999998</v>
      </c>
      <c r="O141" s="156">
        <v>42.318800000000003</v>
      </c>
      <c r="P141" s="156">
        <v>42.188899999999997</v>
      </c>
      <c r="Q141" s="156"/>
      <c r="R141" s="157"/>
      <c r="S141" s="158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3"/>
      <c r="D142" s="71">
        <v>40</v>
      </c>
      <c r="E142" s="81"/>
      <c r="F142" s="46">
        <v>33.6785</v>
      </c>
      <c r="G142" s="72">
        <v>40.851199999999999</v>
      </c>
      <c r="H142" s="72">
        <v>40.6967</v>
      </c>
      <c r="I142" s="68"/>
      <c r="J142" s="68"/>
      <c r="K142" s="69"/>
      <c r="L142" s="29"/>
      <c r="M142" s="159"/>
      <c r="N142" s="159">
        <v>33.679600000000001</v>
      </c>
      <c r="O142" s="159">
        <v>40.848999999999997</v>
      </c>
      <c r="P142" s="159">
        <v>40.698700000000002</v>
      </c>
      <c r="Q142" s="159"/>
      <c r="R142" s="160"/>
      <c r="S142" s="161"/>
      <c r="U142" s="17"/>
      <c r="V142" s="18"/>
      <c r="W142" s="19"/>
      <c r="X142" s="29"/>
      <c r="Z142" s="61"/>
      <c r="AA142" s="57"/>
    </row>
    <row r="143" spans="1:27" ht="12.75">
      <c r="A143" s="27"/>
      <c r="B143" s="36"/>
      <c r="C143" s="29" t="s">
        <v>50</v>
      </c>
      <c r="D143" s="32">
        <v>25</v>
      </c>
      <c r="E143" s="70"/>
      <c r="F143" s="45">
        <v>40.905500000000004</v>
      </c>
      <c r="G143" s="45">
        <v>45.869799999999998</v>
      </c>
      <c r="H143" s="45">
        <v>45.9377</v>
      </c>
      <c r="I143" s="66"/>
      <c r="J143" s="66"/>
      <c r="K143" s="67"/>
      <c r="L143" s="29"/>
      <c r="M143" s="153"/>
      <c r="N143" s="153">
        <v>40.901200000000003</v>
      </c>
      <c r="O143" s="153">
        <v>45.869900000000001</v>
      </c>
      <c r="P143" s="153">
        <v>45.933199999999999</v>
      </c>
      <c r="Q143" s="153"/>
      <c r="R143" s="154"/>
      <c r="S143" s="155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70"/>
      <c r="F144" s="46">
        <v>38.592799999999997</v>
      </c>
      <c r="G144" s="46">
        <v>44.063299999999998</v>
      </c>
      <c r="H144" s="46">
        <v>44.041899999999998</v>
      </c>
      <c r="I144" s="66"/>
      <c r="J144" s="66"/>
      <c r="K144" s="67"/>
      <c r="L144" s="29"/>
      <c r="M144" s="156"/>
      <c r="N144" s="156">
        <v>38.591200000000001</v>
      </c>
      <c r="O144" s="156">
        <v>44.065600000000003</v>
      </c>
      <c r="P144" s="156">
        <v>44.040500000000002</v>
      </c>
      <c r="Q144" s="156"/>
      <c r="R144" s="157"/>
      <c r="S144" s="158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70"/>
      <c r="F145" s="46">
        <v>36.125599999999999</v>
      </c>
      <c r="G145" s="46">
        <v>42.1477</v>
      </c>
      <c r="H145" s="46">
        <v>41.976300000000002</v>
      </c>
      <c r="I145" s="66"/>
      <c r="J145" s="66"/>
      <c r="K145" s="67"/>
      <c r="L145" s="29"/>
      <c r="M145" s="156"/>
      <c r="N145" s="156">
        <v>36.126800000000003</v>
      </c>
      <c r="O145" s="156">
        <v>42.144100000000002</v>
      </c>
      <c r="P145" s="156">
        <v>41.975099999999998</v>
      </c>
      <c r="Q145" s="156"/>
      <c r="R145" s="157"/>
      <c r="S145" s="158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3"/>
      <c r="D146" s="71">
        <v>40</v>
      </c>
      <c r="E146" s="81"/>
      <c r="F146" s="46">
        <v>33.599400000000003</v>
      </c>
      <c r="G146" s="72">
        <v>40.7179</v>
      </c>
      <c r="H146" s="72">
        <v>40.494399999999999</v>
      </c>
      <c r="I146" s="68"/>
      <c r="J146" s="68"/>
      <c r="K146" s="69"/>
      <c r="L146" s="29"/>
      <c r="M146" s="159"/>
      <c r="N146" s="159">
        <v>33.6006</v>
      </c>
      <c r="O146" s="159">
        <v>40.721499999999999</v>
      </c>
      <c r="P146" s="159">
        <v>40.491199999999999</v>
      </c>
      <c r="Q146" s="159"/>
      <c r="R146" s="160"/>
      <c r="S146" s="161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70"/>
      <c r="F147" s="45">
        <v>40.290500000000002</v>
      </c>
      <c r="G147" s="45">
        <v>45.890099999999997</v>
      </c>
      <c r="H147" s="45">
        <v>45.868200000000002</v>
      </c>
      <c r="I147" s="66"/>
      <c r="J147" s="66"/>
      <c r="K147" s="67"/>
      <c r="L147" s="29"/>
      <c r="M147" s="154"/>
      <c r="N147" s="154">
        <v>40.286900000000003</v>
      </c>
      <c r="O147" s="154">
        <v>45.8962</v>
      </c>
      <c r="P147" s="154">
        <v>45.859699999999997</v>
      </c>
      <c r="Q147" s="154"/>
      <c r="R147" s="154"/>
      <c r="S147" s="155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70"/>
      <c r="F148" s="46">
        <v>37.978499999999997</v>
      </c>
      <c r="G148" s="46">
        <v>44.046300000000002</v>
      </c>
      <c r="H148" s="46">
        <v>43.8735</v>
      </c>
      <c r="I148" s="66"/>
      <c r="J148" s="66"/>
      <c r="K148" s="67"/>
      <c r="L148" s="29"/>
      <c r="M148" s="157"/>
      <c r="N148" s="157">
        <v>37.982500000000002</v>
      </c>
      <c r="O148" s="157">
        <v>44.051400000000001</v>
      </c>
      <c r="P148" s="157">
        <v>43.868699999999997</v>
      </c>
      <c r="Q148" s="157"/>
      <c r="R148" s="157"/>
      <c r="S148" s="158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70"/>
      <c r="F149" s="46">
        <v>35.558500000000002</v>
      </c>
      <c r="G149" s="46">
        <v>42.214700000000001</v>
      </c>
      <c r="H149" s="46">
        <v>41.8566</v>
      </c>
      <c r="I149" s="66"/>
      <c r="J149" s="66"/>
      <c r="K149" s="67"/>
      <c r="L149" s="29"/>
      <c r="M149" s="157"/>
      <c r="N149" s="157">
        <v>35.567700000000002</v>
      </c>
      <c r="O149" s="157">
        <v>42.207500000000003</v>
      </c>
      <c r="P149" s="157">
        <v>41.8504</v>
      </c>
      <c r="Q149" s="157"/>
      <c r="R149" s="157"/>
      <c r="S149" s="158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3"/>
      <c r="D150" s="71">
        <v>40</v>
      </c>
      <c r="E150" s="81"/>
      <c r="F150" s="72">
        <v>33.079300000000003</v>
      </c>
      <c r="G150" s="72">
        <v>40.791499999999999</v>
      </c>
      <c r="H150" s="72">
        <v>40.372700000000002</v>
      </c>
      <c r="I150" s="68"/>
      <c r="J150" s="68"/>
      <c r="K150" s="69"/>
      <c r="L150" s="29"/>
      <c r="M150" s="160"/>
      <c r="N150" s="160">
        <v>33.076500000000003</v>
      </c>
      <c r="O150" s="160">
        <v>40.796300000000002</v>
      </c>
      <c r="P150" s="160">
        <v>40.369500000000002</v>
      </c>
      <c r="Q150" s="160"/>
      <c r="R150" s="160"/>
      <c r="S150" s="161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70"/>
      <c r="F151" s="45">
        <v>39.943899999999999</v>
      </c>
      <c r="G151" s="45">
        <v>45.077300000000001</v>
      </c>
      <c r="H151" s="45">
        <v>45.049399999999999</v>
      </c>
      <c r="I151" s="66"/>
      <c r="J151" s="66"/>
      <c r="K151" s="67"/>
      <c r="L151" s="29"/>
      <c r="M151" s="154"/>
      <c r="N151" s="154">
        <v>39.941800000000001</v>
      </c>
      <c r="O151" s="154">
        <v>45.081600000000002</v>
      </c>
      <c r="P151" s="154">
        <v>45.037199999999999</v>
      </c>
      <c r="Q151" s="154"/>
      <c r="R151" s="154"/>
      <c r="S151" s="155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70"/>
      <c r="F152" s="46">
        <v>37.616599999999998</v>
      </c>
      <c r="G152" s="46">
        <v>43.355499999999999</v>
      </c>
      <c r="H152" s="46">
        <v>43.120899999999999</v>
      </c>
      <c r="I152" s="66"/>
      <c r="J152" s="66"/>
      <c r="K152" s="67"/>
      <c r="L152" s="29"/>
      <c r="M152" s="157"/>
      <c r="N152" s="157">
        <v>37.608499999999999</v>
      </c>
      <c r="O152" s="157">
        <v>43.362299999999998</v>
      </c>
      <c r="P152" s="157">
        <v>43.117400000000004</v>
      </c>
      <c r="Q152" s="157"/>
      <c r="R152" s="157"/>
      <c r="S152" s="158"/>
      <c r="T152" s="65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70"/>
      <c r="F153" s="46">
        <v>35.190100000000001</v>
      </c>
      <c r="G153" s="46">
        <v>41.776499999999999</v>
      </c>
      <c r="H153" s="46">
        <v>41.334699999999998</v>
      </c>
      <c r="I153" s="66"/>
      <c r="J153" s="66"/>
      <c r="K153" s="67"/>
      <c r="L153" s="29"/>
      <c r="M153" s="157"/>
      <c r="N153" s="157">
        <v>35.186</v>
      </c>
      <c r="O153" s="157">
        <v>41.767800000000001</v>
      </c>
      <c r="P153" s="157">
        <v>41.325200000000002</v>
      </c>
      <c r="Q153" s="157"/>
      <c r="R153" s="157"/>
      <c r="S153" s="158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3"/>
      <c r="D154" s="71">
        <v>40</v>
      </c>
      <c r="E154" s="81"/>
      <c r="F154" s="72">
        <v>32.701099999999997</v>
      </c>
      <c r="G154" s="72">
        <v>40.504899999999999</v>
      </c>
      <c r="H154" s="72">
        <v>39.973300000000002</v>
      </c>
      <c r="I154" s="68"/>
      <c r="J154" s="68"/>
      <c r="K154" s="69"/>
      <c r="L154" s="29"/>
      <c r="M154" s="160"/>
      <c r="N154" s="160">
        <v>32.7012</v>
      </c>
      <c r="O154" s="160">
        <v>40.510300000000001</v>
      </c>
      <c r="P154" s="160">
        <v>39.971899999999998</v>
      </c>
      <c r="Q154" s="160"/>
      <c r="R154" s="160"/>
      <c r="S154" s="161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45">
        <v>2029.2352000000001</v>
      </c>
      <c r="F155" s="70"/>
      <c r="G155" s="70"/>
      <c r="H155" s="70"/>
      <c r="I155" s="45">
        <v>46391.360000000001</v>
      </c>
      <c r="J155" s="45">
        <v>106.03</v>
      </c>
      <c r="K155" s="45"/>
      <c r="L155" s="29"/>
      <c r="M155" s="157">
        <v>2030.884</v>
      </c>
      <c r="N155" s="157"/>
      <c r="O155" s="157"/>
      <c r="P155" s="157"/>
      <c r="Q155" s="157">
        <v>22902.05</v>
      </c>
      <c r="R155" s="157">
        <v>51.34</v>
      </c>
      <c r="S155" s="158">
        <v>330.98</v>
      </c>
      <c r="T155" s="24"/>
      <c r="U155" s="8"/>
      <c r="V155" s="9"/>
      <c r="W155" s="10"/>
      <c r="X155" s="29"/>
      <c r="Y155" s="61">
        <f>GEOMEAN(Q155:Q158)/GEOMEAN(I155:I158)</f>
        <v>0.48541886536923567</v>
      </c>
      <c r="Z155" s="61">
        <f>GEOMEAN(R155:R158)/GEOMEAN(J155:J158)</f>
        <v>0.45667963517180304</v>
      </c>
      <c r="AA155" s="57" t="e">
        <f>GEOMEAN(S155:S158)/GEOMEAN(K155:K158)</f>
        <v>#NUM!</v>
      </c>
      <c r="AB155" s="24"/>
    </row>
    <row r="156" spans="1:28" ht="12.75">
      <c r="B156" s="36"/>
      <c r="C156" s="29"/>
      <c r="D156" s="32">
        <v>30</v>
      </c>
      <c r="E156" s="46">
        <v>929.14239999999995</v>
      </c>
      <c r="F156" s="70"/>
      <c r="G156" s="70"/>
      <c r="H156" s="70"/>
      <c r="I156" s="46">
        <v>38146.03</v>
      </c>
      <c r="J156" s="46">
        <v>101.81</v>
      </c>
      <c r="K156" s="46"/>
      <c r="L156" s="29"/>
      <c r="M156" s="157">
        <v>928.61199999999997</v>
      </c>
      <c r="N156" s="157"/>
      <c r="O156" s="157"/>
      <c r="P156" s="157"/>
      <c r="Q156" s="157">
        <v>18260.97</v>
      </c>
      <c r="R156" s="157">
        <v>45.58</v>
      </c>
      <c r="S156" s="158">
        <v>330.08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46">
        <v>480.88240000000002</v>
      </c>
      <c r="F157" s="70"/>
      <c r="G157" s="70"/>
      <c r="H157" s="70"/>
      <c r="I157" s="46">
        <v>33461.64</v>
      </c>
      <c r="J157" s="46">
        <v>93.91</v>
      </c>
      <c r="K157" s="46"/>
      <c r="L157" s="29"/>
      <c r="M157" s="157">
        <v>480.476</v>
      </c>
      <c r="N157" s="157"/>
      <c r="O157" s="157"/>
      <c r="P157" s="157"/>
      <c r="Q157" s="157">
        <v>15981.98</v>
      </c>
      <c r="R157" s="157">
        <v>42.1</v>
      </c>
      <c r="S157" s="158">
        <v>335.24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2"/>
      <c r="C158" s="53"/>
      <c r="D158" s="71">
        <v>40</v>
      </c>
      <c r="E158" s="72">
        <v>267.30079999999998</v>
      </c>
      <c r="F158" s="81"/>
      <c r="G158" s="81"/>
      <c r="H158" s="81"/>
      <c r="I158" s="72">
        <v>29086.959999999999</v>
      </c>
      <c r="J158" s="72">
        <v>91.94</v>
      </c>
      <c r="K158" s="72"/>
      <c r="L158" s="29"/>
      <c r="M158" s="160">
        <v>267.572</v>
      </c>
      <c r="N158" s="160"/>
      <c r="O158" s="160"/>
      <c r="P158" s="160"/>
      <c r="Q158" s="160">
        <v>14307.7</v>
      </c>
      <c r="R158" s="160">
        <v>41.15</v>
      </c>
      <c r="S158" s="161">
        <v>333.43</v>
      </c>
      <c r="T158" s="24"/>
      <c r="U158" s="85"/>
      <c r="V158" s="86"/>
      <c r="W158" s="87"/>
      <c r="X158" s="29"/>
      <c r="Y158" s="49"/>
      <c r="Z158" s="49"/>
      <c r="AA158" s="54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3712.8879999999999</v>
      </c>
      <c r="F159" s="45">
        <v>40.254600000000003</v>
      </c>
      <c r="G159" s="45">
        <v>45.456800000000001</v>
      </c>
      <c r="H159" s="45">
        <v>46.298999999999999</v>
      </c>
      <c r="I159" s="79"/>
      <c r="J159" s="79"/>
      <c r="K159" s="80"/>
      <c r="L159" s="29"/>
      <c r="M159" s="153">
        <v>3712.8879999999999</v>
      </c>
      <c r="N159" s="153">
        <v>40.254600000000003</v>
      </c>
      <c r="O159" s="153">
        <v>45.456800000000001</v>
      </c>
      <c r="P159" s="153">
        <v>46.298999999999999</v>
      </c>
      <c r="Q159" s="153"/>
      <c r="R159" s="154"/>
      <c r="S159" s="155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46">
        <v>1615.7592</v>
      </c>
      <c r="F160" s="46">
        <v>37.819699999999997</v>
      </c>
      <c r="G160" s="46">
        <v>43.633099999999999</v>
      </c>
      <c r="H160" s="46">
        <v>44.465400000000002</v>
      </c>
      <c r="I160" s="66"/>
      <c r="J160" s="66"/>
      <c r="K160" s="67"/>
      <c r="L160" s="29"/>
      <c r="M160" s="156">
        <v>1615.7592</v>
      </c>
      <c r="N160" s="156">
        <v>37.819699999999997</v>
      </c>
      <c r="O160" s="156">
        <v>43.633099999999999</v>
      </c>
      <c r="P160" s="156">
        <v>44.465400000000002</v>
      </c>
      <c r="Q160" s="156"/>
      <c r="R160" s="157"/>
      <c r="S160" s="158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46">
        <v>755.71600000000001</v>
      </c>
      <c r="F161" s="46">
        <v>35.622599999999998</v>
      </c>
      <c r="G161" s="46">
        <v>41.8003</v>
      </c>
      <c r="H161" s="46">
        <v>42.614400000000003</v>
      </c>
      <c r="I161" s="66"/>
      <c r="J161" s="66"/>
      <c r="K161" s="67"/>
      <c r="L161" s="29"/>
      <c r="M161" s="156">
        <v>755.71600000000001</v>
      </c>
      <c r="N161" s="156">
        <v>35.622599999999998</v>
      </c>
      <c r="O161" s="156">
        <v>41.8003</v>
      </c>
      <c r="P161" s="156">
        <v>42.614400000000003</v>
      </c>
      <c r="Q161" s="156"/>
      <c r="R161" s="157"/>
      <c r="S161" s="158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46">
        <v>365.31439999999998</v>
      </c>
      <c r="F162" s="46">
        <v>33.465200000000003</v>
      </c>
      <c r="G162" s="46">
        <v>40.564399999999999</v>
      </c>
      <c r="H162" s="46">
        <v>41.401600000000002</v>
      </c>
      <c r="I162" s="66"/>
      <c r="J162" s="66"/>
      <c r="K162" s="67"/>
      <c r="L162" s="29"/>
      <c r="M162" s="159">
        <v>365.31439999999998</v>
      </c>
      <c r="N162" s="159">
        <v>33.465200000000003</v>
      </c>
      <c r="O162" s="159">
        <v>40.564399999999999</v>
      </c>
      <c r="P162" s="159">
        <v>41.401600000000002</v>
      </c>
      <c r="Q162" s="159"/>
      <c r="R162" s="160"/>
      <c r="S162" s="161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45">
        <v>525.34479999999996</v>
      </c>
      <c r="F163" s="45">
        <v>39.743099999999998</v>
      </c>
      <c r="G163" s="45">
        <v>45.329599999999999</v>
      </c>
      <c r="H163" s="45">
        <v>46.180399999999999</v>
      </c>
      <c r="I163" s="79"/>
      <c r="J163" s="79"/>
      <c r="K163" s="80"/>
      <c r="L163" s="29"/>
      <c r="M163" s="156">
        <v>524.68320000000006</v>
      </c>
      <c r="N163" s="156">
        <v>39.742600000000003</v>
      </c>
      <c r="O163" s="156">
        <v>45.329300000000003</v>
      </c>
      <c r="P163" s="156">
        <v>46.180700000000002</v>
      </c>
      <c r="Q163" s="156"/>
      <c r="R163" s="157"/>
      <c r="S163" s="158"/>
      <c r="T163" s="24"/>
      <c r="U163" s="8">
        <f>bdrate($E163:$E166,F163:F166,$M163:$M166,N163:N166)</f>
        <v>-1.9422020247478189E-3</v>
      </c>
      <c r="V163" s="9">
        <f>bdrate($E163:$E166,G163:G166,$M163:$M166,O163:O166)</f>
        <v>-2.173973523028061E-3</v>
      </c>
      <c r="W163" s="10">
        <f>bdrate($E163:$E166,H163:H166,$M163:$M166,P163:P166)</f>
        <v>-2.0398351274099058E-3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46">
        <v>183.19200000000001</v>
      </c>
      <c r="F164" s="46">
        <v>37.466500000000003</v>
      </c>
      <c r="G164" s="46">
        <v>43.576099999999997</v>
      </c>
      <c r="H164" s="46">
        <v>44.4161</v>
      </c>
      <c r="I164" s="66"/>
      <c r="J164" s="66"/>
      <c r="K164" s="67"/>
      <c r="L164" s="29"/>
      <c r="M164" s="156">
        <v>182.8</v>
      </c>
      <c r="N164" s="156">
        <v>37.4664</v>
      </c>
      <c r="O164" s="156">
        <v>43.5777</v>
      </c>
      <c r="P164" s="156">
        <v>44.417099999999998</v>
      </c>
      <c r="Q164" s="156"/>
      <c r="R164" s="157"/>
      <c r="S164" s="158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46">
        <v>74.726399999999998</v>
      </c>
      <c r="F165" s="46">
        <v>35.381999999999998</v>
      </c>
      <c r="G165" s="46">
        <v>41.7988</v>
      </c>
      <c r="H165" s="46">
        <v>42.625599999999999</v>
      </c>
      <c r="I165" s="66"/>
      <c r="J165" s="66"/>
      <c r="K165" s="67"/>
      <c r="L165" s="29"/>
      <c r="M165" s="156">
        <v>74.654399999999995</v>
      </c>
      <c r="N165" s="156">
        <v>35.383000000000003</v>
      </c>
      <c r="O165" s="156">
        <v>41.799599999999998</v>
      </c>
      <c r="P165" s="156">
        <v>42.625799999999998</v>
      </c>
      <c r="Q165" s="156"/>
      <c r="R165" s="157"/>
      <c r="S165" s="158"/>
      <c r="T165" s="65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46">
        <v>34.394399999999997</v>
      </c>
      <c r="F166" s="46">
        <v>33.295400000000001</v>
      </c>
      <c r="G166" s="46">
        <v>40.565899999999999</v>
      </c>
      <c r="H166" s="46">
        <v>41.408099999999997</v>
      </c>
      <c r="I166" s="66"/>
      <c r="J166" s="66"/>
      <c r="K166" s="67"/>
      <c r="L166" s="29"/>
      <c r="M166" s="156">
        <v>34.234400000000001</v>
      </c>
      <c r="N166" s="156">
        <v>33.293999999999997</v>
      </c>
      <c r="O166" s="156">
        <v>40.563200000000002</v>
      </c>
      <c r="P166" s="156">
        <v>41.406500000000001</v>
      </c>
      <c r="Q166" s="156"/>
      <c r="R166" s="157"/>
      <c r="S166" s="158"/>
      <c r="T166" s="65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45">
        <v>546.81119999999999</v>
      </c>
      <c r="F167" s="45">
        <v>39.706499999999998</v>
      </c>
      <c r="G167" s="45">
        <v>45.288400000000003</v>
      </c>
      <c r="H167" s="45">
        <v>46.144799999999996</v>
      </c>
      <c r="I167" s="79"/>
      <c r="J167" s="79"/>
      <c r="K167" s="80"/>
      <c r="L167" s="29"/>
      <c r="M167" s="153">
        <v>546.33439999999996</v>
      </c>
      <c r="N167" s="153">
        <v>39.706299999999999</v>
      </c>
      <c r="O167" s="153">
        <v>45.288600000000002</v>
      </c>
      <c r="P167" s="153">
        <v>46.144100000000002</v>
      </c>
      <c r="Q167" s="153"/>
      <c r="R167" s="154"/>
      <c r="S167" s="155"/>
      <c r="T167" s="65"/>
      <c r="U167" s="8">
        <f>bdrate($E167:$E170,F167:F170,$M167:$M170,N167:N170)</f>
        <v>5.834499804240334E-4</v>
      </c>
      <c r="V167" s="9">
        <f>bdrate($E167:$E170,G167:G170,$M167:$M170,O167:O170)</f>
        <v>4.1599601553987675E-4</v>
      </c>
      <c r="W167" s="10">
        <f>bdrate($E167:$E170,H167:H170,$M167:$M170,P167:P170)</f>
        <v>4.845390448950937E-4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46">
        <v>192.50640000000001</v>
      </c>
      <c r="F168" s="46">
        <v>37.425899999999999</v>
      </c>
      <c r="G168" s="46">
        <v>43.534500000000001</v>
      </c>
      <c r="H168" s="46">
        <v>44.378999999999998</v>
      </c>
      <c r="I168" s="66"/>
      <c r="J168" s="66"/>
      <c r="K168" s="67"/>
      <c r="L168" s="29"/>
      <c r="M168" s="156">
        <v>192.54079999999999</v>
      </c>
      <c r="N168" s="156">
        <v>37.425400000000003</v>
      </c>
      <c r="O168" s="156">
        <v>43.5351</v>
      </c>
      <c r="P168" s="156">
        <v>44.379199999999997</v>
      </c>
      <c r="Q168" s="156"/>
      <c r="R168" s="157"/>
      <c r="S168" s="158"/>
      <c r="T168" s="65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46">
        <v>78.8352</v>
      </c>
      <c r="F169" s="46">
        <v>35.3354</v>
      </c>
      <c r="G169" s="46">
        <v>41.759</v>
      </c>
      <c r="H169" s="46">
        <v>42.582999999999998</v>
      </c>
      <c r="I169" s="66"/>
      <c r="J169" s="66"/>
      <c r="K169" s="67"/>
      <c r="L169" s="29"/>
      <c r="M169" s="156">
        <v>78.964799999999997</v>
      </c>
      <c r="N169" s="156">
        <v>35.336300000000001</v>
      </c>
      <c r="O169" s="156">
        <v>41.7592</v>
      </c>
      <c r="P169" s="156">
        <v>42.5837</v>
      </c>
      <c r="Q169" s="156"/>
      <c r="R169" s="157"/>
      <c r="S169" s="158"/>
      <c r="T169" s="65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3"/>
      <c r="D170" s="71">
        <v>40</v>
      </c>
      <c r="E170" s="72">
        <v>36.745600000000003</v>
      </c>
      <c r="F170" s="72">
        <v>33.249499999999998</v>
      </c>
      <c r="G170" s="72">
        <v>40.522100000000002</v>
      </c>
      <c r="H170" s="72">
        <v>41.369100000000003</v>
      </c>
      <c r="I170" s="68"/>
      <c r="J170" s="68"/>
      <c r="K170" s="69"/>
      <c r="L170" s="29"/>
      <c r="M170" s="159">
        <v>36.7776</v>
      </c>
      <c r="N170" s="159">
        <v>33.250300000000003</v>
      </c>
      <c r="O170" s="159">
        <v>40.521799999999999</v>
      </c>
      <c r="P170" s="159">
        <v>41.368899999999996</v>
      </c>
      <c r="Q170" s="159"/>
      <c r="R170" s="160"/>
      <c r="S170" s="161"/>
      <c r="T170" s="65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45">
        <v>283.7072</v>
      </c>
      <c r="F171" s="45">
        <v>43.412100000000002</v>
      </c>
      <c r="G171" s="78"/>
      <c r="H171" s="78"/>
      <c r="I171" s="79"/>
      <c r="J171" s="79"/>
      <c r="K171" s="80"/>
      <c r="L171" s="29"/>
      <c r="M171" s="153">
        <v>283.7072</v>
      </c>
      <c r="N171" s="153">
        <v>43.412100000000002</v>
      </c>
      <c r="O171" s="153"/>
      <c r="P171" s="153"/>
      <c r="Q171" s="153"/>
      <c r="R171" s="154"/>
      <c r="S171" s="155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46">
        <v>96.832800000000006</v>
      </c>
      <c r="F172" s="46">
        <v>39.287399999999998</v>
      </c>
      <c r="G172" s="70"/>
      <c r="H172" s="70"/>
      <c r="I172" s="66"/>
      <c r="J172" s="66"/>
      <c r="K172" s="67"/>
      <c r="L172" s="29"/>
      <c r="M172" s="156">
        <v>96.832800000000006</v>
      </c>
      <c r="N172" s="156">
        <v>39.287399999999998</v>
      </c>
      <c r="O172" s="156"/>
      <c r="P172" s="156"/>
      <c r="Q172" s="156"/>
      <c r="R172" s="157"/>
      <c r="S172" s="158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46">
        <v>39.885599999999997</v>
      </c>
      <c r="F173" s="46">
        <v>35.464100000000002</v>
      </c>
      <c r="G173" s="70"/>
      <c r="H173" s="70"/>
      <c r="I173" s="66"/>
      <c r="J173" s="66"/>
      <c r="K173" s="67"/>
      <c r="L173" s="29"/>
      <c r="M173" s="156">
        <v>39.885599999999997</v>
      </c>
      <c r="N173" s="156">
        <v>35.464100000000002</v>
      </c>
      <c r="O173" s="156"/>
      <c r="P173" s="156"/>
      <c r="Q173" s="156"/>
      <c r="R173" s="157"/>
      <c r="S173" s="158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46">
        <v>17.991199999999999</v>
      </c>
      <c r="F174" s="46">
        <v>32.184100000000001</v>
      </c>
      <c r="G174" s="70"/>
      <c r="H174" s="70"/>
      <c r="I174" s="66"/>
      <c r="J174" s="66"/>
      <c r="K174" s="67"/>
      <c r="L174" s="29"/>
      <c r="M174" s="159">
        <v>17.991199999999999</v>
      </c>
      <c r="N174" s="159">
        <v>32.184100000000001</v>
      </c>
      <c r="O174" s="159"/>
      <c r="P174" s="159"/>
      <c r="Q174" s="159"/>
      <c r="R174" s="160"/>
      <c r="S174" s="161"/>
      <c r="T174" s="24"/>
      <c r="U174" s="17"/>
      <c r="V174" s="18"/>
      <c r="W174" s="19"/>
      <c r="X174" s="29"/>
      <c r="Y174" s="61"/>
      <c r="Z174" s="61"/>
      <c r="AA174" s="57"/>
      <c r="AB174" s="24"/>
    </row>
    <row r="175" spans="1:28" ht="12.75">
      <c r="B175" s="36"/>
      <c r="C175" s="28" t="s">
        <v>30</v>
      </c>
      <c r="D175" s="31">
        <v>34</v>
      </c>
      <c r="E175" s="45">
        <v>99.0488</v>
      </c>
      <c r="F175" s="45">
        <v>42.409500000000001</v>
      </c>
      <c r="G175" s="78"/>
      <c r="H175" s="78"/>
      <c r="I175" s="79"/>
      <c r="J175" s="79"/>
      <c r="K175" s="80"/>
      <c r="L175" s="29"/>
      <c r="M175" s="153">
        <v>99.266400000000004</v>
      </c>
      <c r="N175" s="153">
        <v>42.429900000000004</v>
      </c>
      <c r="O175" s="153"/>
      <c r="P175" s="153"/>
      <c r="Q175" s="153"/>
      <c r="R175" s="154"/>
      <c r="S175" s="155"/>
      <c r="T175" s="24"/>
      <c r="U175" s="8">
        <f>bdrate($E175:$E178,F175:F178,$M175:$M178,N175:N178)</f>
        <v>2.5706892512333823E-3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46">
        <v>29.089600000000001</v>
      </c>
      <c r="F176" s="46">
        <v>38.368400000000001</v>
      </c>
      <c r="G176" s="70"/>
      <c r="H176" s="70"/>
      <c r="I176" s="66"/>
      <c r="J176" s="66"/>
      <c r="K176" s="67"/>
      <c r="L176" s="29"/>
      <c r="M176" s="156">
        <v>29.1952</v>
      </c>
      <c r="N176" s="156">
        <v>38.365400000000001</v>
      </c>
      <c r="O176" s="156"/>
      <c r="P176" s="156"/>
      <c r="Q176" s="156"/>
      <c r="R176" s="157"/>
      <c r="S176" s="158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46">
        <v>12.554399999999999</v>
      </c>
      <c r="F177" s="46">
        <v>34.738599999999998</v>
      </c>
      <c r="G177" s="70"/>
      <c r="H177" s="70"/>
      <c r="I177" s="66"/>
      <c r="J177" s="66"/>
      <c r="K177" s="67"/>
      <c r="L177" s="29"/>
      <c r="M177" s="156">
        <v>12.5632</v>
      </c>
      <c r="N177" s="156">
        <v>34.713099999999997</v>
      </c>
      <c r="O177" s="156"/>
      <c r="P177" s="156"/>
      <c r="Q177" s="156"/>
      <c r="R177" s="157"/>
      <c r="S177" s="158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46">
        <v>6.2519999999999998</v>
      </c>
      <c r="F178" s="46">
        <v>31.4605</v>
      </c>
      <c r="G178" s="70"/>
      <c r="H178" s="70"/>
      <c r="I178" s="66"/>
      <c r="J178" s="66"/>
      <c r="K178" s="67"/>
      <c r="L178" s="29"/>
      <c r="M178" s="159">
        <v>6.2304000000000004</v>
      </c>
      <c r="N178" s="159">
        <v>31.476700000000001</v>
      </c>
      <c r="O178" s="159"/>
      <c r="P178" s="159"/>
      <c r="Q178" s="159"/>
      <c r="R178" s="160"/>
      <c r="S178" s="161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45">
        <v>103.00879999999999</v>
      </c>
      <c r="F179" s="45">
        <v>42.332500000000003</v>
      </c>
      <c r="G179" s="78"/>
      <c r="H179" s="78"/>
      <c r="I179" s="79"/>
      <c r="J179" s="79"/>
      <c r="K179" s="80"/>
      <c r="L179" s="29"/>
      <c r="M179" s="153">
        <v>103.1952</v>
      </c>
      <c r="N179" s="153">
        <v>42.361400000000003</v>
      </c>
      <c r="O179" s="153"/>
      <c r="P179" s="153"/>
      <c r="Q179" s="153"/>
      <c r="R179" s="154"/>
      <c r="S179" s="155"/>
      <c r="T179" s="24"/>
      <c r="U179" s="8">
        <f>bdrate($E179:$E182,F179:F182,$M179:$M182,N179:N182)</f>
        <v>-3.9778087802992967E-3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46">
        <v>30.9072</v>
      </c>
      <c r="F180" s="46">
        <v>38.385399999999997</v>
      </c>
      <c r="G180" s="70"/>
      <c r="H180" s="70"/>
      <c r="I180" s="66"/>
      <c r="J180" s="66"/>
      <c r="K180" s="67"/>
      <c r="L180" s="29"/>
      <c r="M180" s="156">
        <v>30.7928</v>
      </c>
      <c r="N180" s="156">
        <v>38.384599999999999</v>
      </c>
      <c r="O180" s="156"/>
      <c r="P180" s="156"/>
      <c r="Q180" s="156"/>
      <c r="R180" s="157"/>
      <c r="S180" s="158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46">
        <v>13.008800000000001</v>
      </c>
      <c r="F181" s="46">
        <v>34.771700000000003</v>
      </c>
      <c r="G181" s="70"/>
      <c r="H181" s="70"/>
      <c r="I181" s="66"/>
      <c r="J181" s="66"/>
      <c r="K181" s="67"/>
      <c r="L181" s="29"/>
      <c r="M181" s="156">
        <v>12.9832</v>
      </c>
      <c r="N181" s="156">
        <v>34.765599999999999</v>
      </c>
      <c r="O181" s="156"/>
      <c r="P181" s="156"/>
      <c r="Q181" s="156"/>
      <c r="R181" s="157"/>
      <c r="S181" s="158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46">
        <v>6.3680000000000003</v>
      </c>
      <c r="F182" s="46">
        <v>31.508500000000002</v>
      </c>
      <c r="G182" s="70"/>
      <c r="H182" s="70"/>
      <c r="I182" s="66"/>
      <c r="J182" s="66"/>
      <c r="K182" s="67"/>
      <c r="L182" s="29"/>
      <c r="M182" s="159">
        <v>6.3311999999999999</v>
      </c>
      <c r="N182" s="159">
        <v>31.535599999999999</v>
      </c>
      <c r="O182" s="159"/>
      <c r="P182" s="159"/>
      <c r="Q182" s="159"/>
      <c r="R182" s="160"/>
      <c r="S182" s="161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78"/>
      <c r="F183" s="45">
        <v>39.837299999999999</v>
      </c>
      <c r="G183" s="45">
        <v>46.536299999999997</v>
      </c>
      <c r="H183" s="45">
        <v>46.4818</v>
      </c>
      <c r="I183" s="79"/>
      <c r="J183" s="79"/>
      <c r="K183" s="80"/>
      <c r="L183" s="29"/>
      <c r="M183" s="153"/>
      <c r="N183" s="153">
        <v>39.835799999999999</v>
      </c>
      <c r="O183" s="153">
        <v>46.537999999999997</v>
      </c>
      <c r="P183" s="153">
        <v>46.512700000000002</v>
      </c>
      <c r="Q183" s="153"/>
      <c r="R183" s="154"/>
      <c r="S183" s="155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70"/>
      <c r="F184" s="46">
        <v>37.589399999999998</v>
      </c>
      <c r="G184" s="46">
        <v>44.742100000000001</v>
      </c>
      <c r="H184" s="46">
        <v>45.074300000000001</v>
      </c>
      <c r="I184" s="66"/>
      <c r="J184" s="66"/>
      <c r="K184" s="67"/>
      <c r="L184" s="29"/>
      <c r="M184" s="156"/>
      <c r="N184" s="156">
        <v>37.589700000000001</v>
      </c>
      <c r="O184" s="156">
        <v>44.753100000000003</v>
      </c>
      <c r="P184" s="156">
        <v>45.096699999999998</v>
      </c>
      <c r="Q184" s="156"/>
      <c r="R184" s="157"/>
      <c r="S184" s="158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70"/>
      <c r="F185" s="46">
        <v>35.505499999999998</v>
      </c>
      <c r="G185" s="46">
        <v>42.771999999999998</v>
      </c>
      <c r="H185" s="46">
        <v>43.377600000000001</v>
      </c>
      <c r="I185" s="66"/>
      <c r="J185" s="66"/>
      <c r="K185" s="67"/>
      <c r="L185" s="29"/>
      <c r="M185" s="156"/>
      <c r="N185" s="156">
        <v>35.505899999999997</v>
      </c>
      <c r="O185" s="156">
        <v>42.792000000000002</v>
      </c>
      <c r="P185" s="156">
        <v>43.393500000000003</v>
      </c>
      <c r="Q185" s="156"/>
      <c r="R185" s="157"/>
      <c r="S185" s="158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3"/>
      <c r="D186" s="71">
        <v>40</v>
      </c>
      <c r="E186" s="81"/>
      <c r="F186" s="72">
        <v>33.409199999999998</v>
      </c>
      <c r="G186" s="72">
        <v>41.396500000000003</v>
      </c>
      <c r="H186" s="72">
        <v>42.146099999999997</v>
      </c>
      <c r="I186" s="68"/>
      <c r="J186" s="68"/>
      <c r="K186" s="69"/>
      <c r="L186" s="29"/>
      <c r="M186" s="159"/>
      <c r="N186" s="159">
        <v>33.408200000000001</v>
      </c>
      <c r="O186" s="159">
        <v>41.425199999999997</v>
      </c>
      <c r="P186" s="159">
        <v>42.155200000000001</v>
      </c>
      <c r="Q186" s="159"/>
      <c r="R186" s="160"/>
      <c r="S186" s="161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70"/>
      <c r="F187" s="45">
        <v>40.018099999999997</v>
      </c>
      <c r="G187" s="45">
        <v>46.325299999999999</v>
      </c>
      <c r="H187" s="45">
        <v>46.770800000000001</v>
      </c>
      <c r="I187" s="66"/>
      <c r="J187" s="66"/>
      <c r="K187" s="67"/>
      <c r="L187" s="29"/>
      <c r="M187" s="153"/>
      <c r="N187" s="153">
        <v>40.0184</v>
      </c>
      <c r="O187" s="153">
        <v>46.322000000000003</v>
      </c>
      <c r="P187" s="153">
        <v>46.779200000000003</v>
      </c>
      <c r="Q187" s="153"/>
      <c r="R187" s="154"/>
      <c r="S187" s="155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70"/>
      <c r="F188" s="46">
        <v>37.731900000000003</v>
      </c>
      <c r="G188" s="46">
        <v>44.668199999999999</v>
      </c>
      <c r="H188" s="46">
        <v>45.214500000000001</v>
      </c>
      <c r="I188" s="66"/>
      <c r="J188" s="66"/>
      <c r="K188" s="67"/>
      <c r="L188" s="29"/>
      <c r="M188" s="156"/>
      <c r="N188" s="156">
        <v>37.729100000000003</v>
      </c>
      <c r="O188" s="156">
        <v>44.668399999999998</v>
      </c>
      <c r="P188" s="156">
        <v>45.225999999999999</v>
      </c>
      <c r="Q188" s="156"/>
      <c r="R188" s="157"/>
      <c r="S188" s="158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70"/>
      <c r="F189" s="46">
        <v>35.6021</v>
      </c>
      <c r="G189" s="46">
        <v>42.802</v>
      </c>
      <c r="H189" s="46">
        <v>43.432299999999998</v>
      </c>
      <c r="I189" s="66"/>
      <c r="J189" s="66"/>
      <c r="K189" s="67"/>
      <c r="L189" s="29"/>
      <c r="M189" s="156"/>
      <c r="N189" s="156">
        <v>35.602600000000002</v>
      </c>
      <c r="O189" s="156">
        <v>42.815399999999997</v>
      </c>
      <c r="P189" s="156">
        <v>43.450499999999998</v>
      </c>
      <c r="Q189" s="156"/>
      <c r="R189" s="157"/>
      <c r="S189" s="158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3"/>
      <c r="D190" s="71">
        <v>40</v>
      </c>
      <c r="E190" s="81"/>
      <c r="F190" s="46">
        <v>33.473199999999999</v>
      </c>
      <c r="G190" s="72">
        <v>41.497500000000002</v>
      </c>
      <c r="H190" s="72">
        <v>42.183900000000001</v>
      </c>
      <c r="I190" s="68"/>
      <c r="J190" s="68"/>
      <c r="K190" s="69"/>
      <c r="L190" s="29"/>
      <c r="M190" s="159"/>
      <c r="N190" s="159">
        <v>33.4726</v>
      </c>
      <c r="O190" s="159">
        <v>41.509599999999999</v>
      </c>
      <c r="P190" s="159">
        <v>42.181100000000001</v>
      </c>
      <c r="Q190" s="159"/>
      <c r="R190" s="160"/>
      <c r="S190" s="161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70"/>
      <c r="F191" s="45">
        <v>40.2727</v>
      </c>
      <c r="G191" s="45">
        <v>46.961799999999997</v>
      </c>
      <c r="H191" s="45">
        <v>47.796399999999998</v>
      </c>
      <c r="I191" s="66"/>
      <c r="J191" s="66"/>
      <c r="K191" s="67"/>
      <c r="L191" s="29"/>
      <c r="M191" s="153"/>
      <c r="N191" s="153">
        <v>40.270899999999997</v>
      </c>
      <c r="O191" s="153">
        <v>46.961799999999997</v>
      </c>
      <c r="P191" s="153">
        <v>47.796500000000002</v>
      </c>
      <c r="Q191" s="153"/>
      <c r="R191" s="154"/>
      <c r="S191" s="155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70"/>
      <c r="F192" s="46">
        <v>37.863399999999999</v>
      </c>
      <c r="G192" s="46">
        <v>45.052799999999998</v>
      </c>
      <c r="H192" s="46">
        <v>45.869700000000002</v>
      </c>
      <c r="I192" s="66"/>
      <c r="J192" s="66"/>
      <c r="K192" s="67"/>
      <c r="L192" s="29"/>
      <c r="M192" s="156"/>
      <c r="N192" s="156">
        <v>37.863799999999998</v>
      </c>
      <c r="O192" s="156">
        <v>45.052500000000002</v>
      </c>
      <c r="P192" s="156">
        <v>45.870199999999997</v>
      </c>
      <c r="Q192" s="156"/>
      <c r="R192" s="157"/>
      <c r="S192" s="158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70"/>
      <c r="F193" s="46">
        <v>35.668500000000002</v>
      </c>
      <c r="G193" s="46">
        <v>43.038699999999999</v>
      </c>
      <c r="H193" s="46">
        <v>43.816699999999997</v>
      </c>
      <c r="I193" s="66"/>
      <c r="J193" s="66"/>
      <c r="K193" s="67"/>
      <c r="L193" s="29"/>
      <c r="M193" s="156"/>
      <c r="N193" s="156">
        <v>35.667900000000003</v>
      </c>
      <c r="O193" s="156">
        <v>43.040100000000002</v>
      </c>
      <c r="P193" s="156">
        <v>43.817599999999999</v>
      </c>
      <c r="Q193" s="156"/>
      <c r="R193" s="157"/>
      <c r="S193" s="158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3"/>
      <c r="D194" s="71">
        <v>40</v>
      </c>
      <c r="E194" s="81"/>
      <c r="F194" s="46">
        <v>33.512</v>
      </c>
      <c r="G194" s="72">
        <v>41.661200000000001</v>
      </c>
      <c r="H194" s="72">
        <v>42.454900000000002</v>
      </c>
      <c r="I194" s="68"/>
      <c r="J194" s="68"/>
      <c r="K194" s="69"/>
      <c r="L194" s="29"/>
      <c r="M194" s="159"/>
      <c r="N194" s="159">
        <v>33.511200000000002</v>
      </c>
      <c r="O194" s="159">
        <v>41.6599</v>
      </c>
      <c r="P194" s="159">
        <v>42.453600000000002</v>
      </c>
      <c r="Q194" s="159"/>
      <c r="R194" s="160"/>
      <c r="S194" s="161"/>
      <c r="U194" s="17"/>
      <c r="V194" s="18"/>
      <c r="W194" s="19"/>
      <c r="X194" s="29"/>
      <c r="Z194" s="61"/>
      <c r="AA194" s="57"/>
    </row>
    <row r="195" spans="2:27" ht="12.75">
      <c r="B195" s="36"/>
      <c r="C195" s="29" t="s">
        <v>50</v>
      </c>
      <c r="D195" s="32">
        <v>25</v>
      </c>
      <c r="E195" s="70"/>
      <c r="F195" s="45">
        <v>40.2515</v>
      </c>
      <c r="G195" s="45">
        <v>46.9604</v>
      </c>
      <c r="H195" s="45">
        <v>47.785600000000002</v>
      </c>
      <c r="I195" s="66"/>
      <c r="J195" s="66"/>
      <c r="K195" s="67"/>
      <c r="L195" s="29"/>
      <c r="M195" s="153"/>
      <c r="N195" s="153">
        <v>40.253799999999998</v>
      </c>
      <c r="O195" s="153">
        <v>46.960799999999999</v>
      </c>
      <c r="P195" s="153">
        <v>47.7866</v>
      </c>
      <c r="Q195" s="153"/>
      <c r="R195" s="154"/>
      <c r="S195" s="155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70"/>
      <c r="F196" s="46">
        <v>37.8476</v>
      </c>
      <c r="G196" s="46">
        <v>45.053400000000003</v>
      </c>
      <c r="H196" s="46">
        <v>45.856900000000003</v>
      </c>
      <c r="I196" s="66"/>
      <c r="J196" s="66"/>
      <c r="K196" s="67"/>
      <c r="L196" s="29"/>
      <c r="M196" s="156"/>
      <c r="N196" s="156">
        <v>37.848599999999998</v>
      </c>
      <c r="O196" s="156">
        <v>45.052599999999998</v>
      </c>
      <c r="P196" s="156">
        <v>45.856499999999997</v>
      </c>
      <c r="Q196" s="156"/>
      <c r="R196" s="157"/>
      <c r="S196" s="158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70"/>
      <c r="F197" s="46">
        <v>35.6601</v>
      </c>
      <c r="G197" s="46">
        <v>43.030500000000004</v>
      </c>
      <c r="H197" s="46">
        <v>43.799500000000002</v>
      </c>
      <c r="I197" s="66"/>
      <c r="J197" s="66"/>
      <c r="K197" s="67"/>
      <c r="L197" s="29"/>
      <c r="M197" s="156"/>
      <c r="N197" s="156">
        <v>35.6599</v>
      </c>
      <c r="O197" s="156">
        <v>43.031199999999998</v>
      </c>
      <c r="P197" s="156">
        <v>43.799599999999998</v>
      </c>
      <c r="Q197" s="156"/>
      <c r="R197" s="157"/>
      <c r="S197" s="158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3"/>
      <c r="D198" s="71">
        <v>40</v>
      </c>
      <c r="E198" s="81"/>
      <c r="F198" s="46">
        <v>33.507300000000001</v>
      </c>
      <c r="G198" s="72">
        <v>41.650700000000001</v>
      </c>
      <c r="H198" s="72">
        <v>42.429699999999997</v>
      </c>
      <c r="I198" s="68"/>
      <c r="J198" s="68"/>
      <c r="K198" s="69"/>
      <c r="L198" s="29"/>
      <c r="M198" s="159"/>
      <c r="N198" s="159">
        <v>33.506599999999999</v>
      </c>
      <c r="O198" s="159">
        <v>41.651600000000002</v>
      </c>
      <c r="P198" s="159">
        <v>42.430100000000003</v>
      </c>
      <c r="Q198" s="159"/>
      <c r="R198" s="160"/>
      <c r="S198" s="161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70"/>
      <c r="F199" s="45">
        <v>40.023400000000002</v>
      </c>
      <c r="G199" s="45">
        <v>46.281100000000002</v>
      </c>
      <c r="H199" s="45">
        <v>47.012500000000003</v>
      </c>
      <c r="I199" s="66"/>
      <c r="J199" s="66"/>
      <c r="K199" s="67"/>
      <c r="L199" s="29"/>
      <c r="M199" s="154"/>
      <c r="N199" s="154">
        <v>40.024299999999997</v>
      </c>
      <c r="O199" s="154">
        <v>46.288400000000003</v>
      </c>
      <c r="P199" s="154">
        <v>47.003900000000002</v>
      </c>
      <c r="Q199" s="154"/>
      <c r="R199" s="154"/>
      <c r="S199" s="155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70"/>
      <c r="F200" s="46">
        <v>37.708599999999997</v>
      </c>
      <c r="G200" s="46">
        <v>44.640099999999997</v>
      </c>
      <c r="H200" s="46">
        <v>45.345300000000002</v>
      </c>
      <c r="I200" s="66"/>
      <c r="J200" s="66"/>
      <c r="K200" s="67"/>
      <c r="L200" s="29"/>
      <c r="M200" s="157"/>
      <c r="N200" s="157">
        <v>37.708399999999997</v>
      </c>
      <c r="O200" s="157">
        <v>44.639899999999997</v>
      </c>
      <c r="P200" s="157">
        <v>45.3354</v>
      </c>
      <c r="Q200" s="157"/>
      <c r="R200" s="157"/>
      <c r="S200" s="158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70"/>
      <c r="F201" s="46">
        <v>35.579500000000003</v>
      </c>
      <c r="G201" s="46">
        <v>42.761600000000001</v>
      </c>
      <c r="H201" s="46">
        <v>43.451599999999999</v>
      </c>
      <c r="I201" s="66"/>
      <c r="J201" s="66"/>
      <c r="K201" s="67"/>
      <c r="L201" s="29"/>
      <c r="M201" s="157"/>
      <c r="N201" s="157">
        <v>35.58</v>
      </c>
      <c r="O201" s="157">
        <v>42.759099999999997</v>
      </c>
      <c r="P201" s="157">
        <v>43.450699999999998</v>
      </c>
      <c r="Q201" s="157"/>
      <c r="R201" s="157"/>
      <c r="S201" s="158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3"/>
      <c r="D202" s="71">
        <v>40</v>
      </c>
      <c r="E202" s="81"/>
      <c r="F202" s="72">
        <v>33.450499999999998</v>
      </c>
      <c r="G202" s="72">
        <v>41.4604</v>
      </c>
      <c r="H202" s="72">
        <v>42.161000000000001</v>
      </c>
      <c r="I202" s="68"/>
      <c r="J202" s="68"/>
      <c r="K202" s="69"/>
      <c r="L202" s="29"/>
      <c r="M202" s="160"/>
      <c r="N202" s="160">
        <v>33.4497</v>
      </c>
      <c r="O202" s="160">
        <v>41.459600000000002</v>
      </c>
      <c r="P202" s="160">
        <v>42.155500000000004</v>
      </c>
      <c r="Q202" s="160"/>
      <c r="R202" s="160"/>
      <c r="S202" s="161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70"/>
      <c r="F203" s="45">
        <v>39.811500000000002</v>
      </c>
      <c r="G203" s="45">
        <v>46.338299999999997</v>
      </c>
      <c r="H203" s="45">
        <v>46.605699999999999</v>
      </c>
      <c r="I203" s="66"/>
      <c r="J203" s="66"/>
      <c r="K203" s="67"/>
      <c r="L203" s="29"/>
      <c r="M203" s="154"/>
      <c r="N203" s="154">
        <v>39.815899999999999</v>
      </c>
      <c r="O203" s="154">
        <v>46.3352</v>
      </c>
      <c r="P203" s="154">
        <v>46.603900000000003</v>
      </c>
      <c r="Q203" s="154"/>
      <c r="R203" s="154"/>
      <c r="S203" s="155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70"/>
      <c r="F204" s="46">
        <v>37.542400000000001</v>
      </c>
      <c r="G204" s="46">
        <v>44.5959</v>
      </c>
      <c r="H204" s="46">
        <v>45.1158</v>
      </c>
      <c r="I204" s="66"/>
      <c r="J204" s="66"/>
      <c r="K204" s="67"/>
      <c r="L204" s="29"/>
      <c r="M204" s="157"/>
      <c r="N204" s="157">
        <v>37.538200000000003</v>
      </c>
      <c r="O204" s="157">
        <v>44.604799999999997</v>
      </c>
      <c r="P204" s="157">
        <v>45.117699999999999</v>
      </c>
      <c r="Q204" s="157"/>
      <c r="R204" s="157"/>
      <c r="S204" s="158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70"/>
      <c r="F205" s="46">
        <v>35.455500000000001</v>
      </c>
      <c r="G205" s="46">
        <v>42.676400000000001</v>
      </c>
      <c r="H205" s="46">
        <v>43.260199999999998</v>
      </c>
      <c r="I205" s="66"/>
      <c r="J205" s="66"/>
      <c r="K205" s="67"/>
      <c r="L205" s="29"/>
      <c r="M205" s="157"/>
      <c r="N205" s="157">
        <v>35.456000000000003</v>
      </c>
      <c r="O205" s="157">
        <v>42.6691</v>
      </c>
      <c r="P205" s="157">
        <v>43.2545</v>
      </c>
      <c r="Q205" s="157"/>
      <c r="R205" s="157"/>
      <c r="S205" s="158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3"/>
      <c r="D206" s="71">
        <v>40</v>
      </c>
      <c r="E206" s="81"/>
      <c r="F206" s="72">
        <v>33.360900000000001</v>
      </c>
      <c r="G206" s="72">
        <v>41.3504</v>
      </c>
      <c r="H206" s="72">
        <v>42.022599999999997</v>
      </c>
      <c r="I206" s="68"/>
      <c r="J206" s="68"/>
      <c r="K206" s="69"/>
      <c r="L206" s="29"/>
      <c r="M206" s="160"/>
      <c r="N206" s="160">
        <v>33.360399999999998</v>
      </c>
      <c r="O206" s="160">
        <v>41.352600000000002</v>
      </c>
      <c r="P206" s="160">
        <v>42.019199999999998</v>
      </c>
      <c r="Q206" s="160"/>
      <c r="R206" s="160"/>
      <c r="S206" s="161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45">
        <v>5275.6391999999996</v>
      </c>
      <c r="F207" s="70"/>
      <c r="G207" s="70"/>
      <c r="H207" s="70"/>
      <c r="I207" s="45">
        <v>115352.98</v>
      </c>
      <c r="J207" s="45">
        <v>247.44</v>
      </c>
      <c r="K207" s="45"/>
      <c r="L207" s="29"/>
      <c r="M207" s="157">
        <v>5274.9048000000003</v>
      </c>
      <c r="N207" s="157"/>
      <c r="O207" s="157"/>
      <c r="P207" s="157"/>
      <c r="Q207" s="157">
        <v>54980.2</v>
      </c>
      <c r="R207" s="157">
        <v>110.28</v>
      </c>
      <c r="S207" s="158">
        <v>734.87</v>
      </c>
      <c r="U207" s="8"/>
      <c r="V207" s="9"/>
      <c r="W207" s="10"/>
      <c r="X207" s="29"/>
      <c r="Y207" s="61">
        <f>GEOMEAN(Q207:Q210)/GEOMEAN(I207:I210)</f>
        <v>0.47524886956346041</v>
      </c>
      <c r="Z207" s="61">
        <f>GEOMEAN(R207:R210)/GEOMEAN(J207:J210)</f>
        <v>0.45651189725693125</v>
      </c>
      <c r="AA207" s="57" t="e">
        <f>GEOMEAN(S207:S210)/GEOMEAN(K207:K210)</f>
        <v>#NUM!</v>
      </c>
    </row>
    <row r="208" spans="2:27" ht="12.75">
      <c r="B208" s="36"/>
      <c r="C208" s="29"/>
      <c r="D208" s="32">
        <v>30</v>
      </c>
      <c r="E208" s="46">
        <v>2153.1176</v>
      </c>
      <c r="F208" s="70"/>
      <c r="G208" s="70"/>
      <c r="H208" s="70"/>
      <c r="I208" s="46">
        <v>83342.91</v>
      </c>
      <c r="J208" s="46">
        <v>231.73</v>
      </c>
      <c r="K208" s="46"/>
      <c r="L208" s="29"/>
      <c r="M208" s="157">
        <v>2152.7512000000002</v>
      </c>
      <c r="N208" s="157"/>
      <c r="O208" s="157"/>
      <c r="P208" s="157"/>
      <c r="Q208" s="157">
        <v>39933.199999999997</v>
      </c>
      <c r="R208" s="157">
        <v>111.14</v>
      </c>
      <c r="S208" s="158">
        <v>743.12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46">
        <v>979.55679999999995</v>
      </c>
      <c r="F209" s="70"/>
      <c r="G209" s="70"/>
      <c r="H209" s="70"/>
      <c r="I209" s="46">
        <v>69256.55</v>
      </c>
      <c r="J209" s="46">
        <v>216.46</v>
      </c>
      <c r="K209" s="46"/>
      <c r="L209" s="29"/>
      <c r="M209" s="157">
        <v>979.59760000000006</v>
      </c>
      <c r="N209" s="157"/>
      <c r="O209" s="157"/>
      <c r="P209" s="157"/>
      <c r="Q209" s="157">
        <v>32831.370000000003</v>
      </c>
      <c r="R209" s="157">
        <v>97.08</v>
      </c>
      <c r="S209" s="158">
        <v>749.5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2"/>
      <c r="C210" s="53"/>
      <c r="D210" s="71">
        <v>40</v>
      </c>
      <c r="E210" s="72">
        <v>471.89600000000002</v>
      </c>
      <c r="F210" s="81"/>
      <c r="G210" s="81"/>
      <c r="H210" s="81"/>
      <c r="I210" s="72">
        <v>59822.86</v>
      </c>
      <c r="J210" s="72">
        <v>228.41</v>
      </c>
      <c r="K210" s="72"/>
      <c r="L210" s="29"/>
      <c r="M210" s="160">
        <v>471.70960000000002</v>
      </c>
      <c r="N210" s="160"/>
      <c r="O210" s="160"/>
      <c r="P210" s="160"/>
      <c r="Q210" s="160">
        <v>28189.05</v>
      </c>
      <c r="R210" s="160">
        <v>103.48</v>
      </c>
      <c r="S210" s="161">
        <v>785.35</v>
      </c>
      <c r="U210" s="85"/>
      <c r="V210" s="86"/>
      <c r="W210" s="87"/>
      <c r="X210" s="29"/>
      <c r="Y210" s="49"/>
      <c r="Z210" s="49"/>
      <c r="AA210" s="54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808.93399999999997</v>
      </c>
      <c r="F211" s="45">
        <v>42.116199999999999</v>
      </c>
      <c r="G211" s="45">
        <v>48.421599999999998</v>
      </c>
      <c r="H211" s="45">
        <v>48.138300000000001</v>
      </c>
      <c r="I211" s="79"/>
      <c r="J211" s="79"/>
      <c r="K211" s="80"/>
      <c r="L211" s="29"/>
      <c r="M211" s="153">
        <v>808.93399999999997</v>
      </c>
      <c r="N211" s="153">
        <v>42.116199999999999</v>
      </c>
      <c r="O211" s="153">
        <v>48.421599999999998</v>
      </c>
      <c r="P211" s="153">
        <v>48.138300000000001</v>
      </c>
      <c r="Q211" s="153"/>
      <c r="R211" s="154"/>
      <c r="S211" s="155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46">
        <v>344.726</v>
      </c>
      <c r="F212" s="46">
        <v>41.148200000000003</v>
      </c>
      <c r="G212" s="46">
        <v>47.462600000000002</v>
      </c>
      <c r="H212" s="46">
        <v>47.2849</v>
      </c>
      <c r="I212" s="66"/>
      <c r="J212" s="66"/>
      <c r="K212" s="67"/>
      <c r="L212" s="29"/>
      <c r="M212" s="156">
        <v>344.726</v>
      </c>
      <c r="N212" s="156">
        <v>41.148200000000003</v>
      </c>
      <c r="O212" s="156">
        <v>47.462600000000002</v>
      </c>
      <c r="P212" s="156">
        <v>47.2849</v>
      </c>
      <c r="Q212" s="156"/>
      <c r="R212" s="157"/>
      <c r="S212" s="158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46">
        <v>177.10499999999999</v>
      </c>
      <c r="F213" s="46">
        <v>39.752499999999998</v>
      </c>
      <c r="G213" s="46">
        <v>46.036099999999998</v>
      </c>
      <c r="H213" s="46">
        <v>45.932899999999997</v>
      </c>
      <c r="I213" s="66"/>
      <c r="J213" s="66"/>
      <c r="K213" s="67"/>
      <c r="L213" s="29"/>
      <c r="M213" s="156">
        <v>177.10499999999999</v>
      </c>
      <c r="N213" s="156">
        <v>39.752499999999998</v>
      </c>
      <c r="O213" s="156">
        <v>46.036099999999998</v>
      </c>
      <c r="P213" s="156">
        <v>45.932899999999997</v>
      </c>
      <c r="Q213" s="156"/>
      <c r="R213" s="157"/>
      <c r="S213" s="158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46">
        <v>98.555999999999997</v>
      </c>
      <c r="F214" s="46">
        <v>38.0139</v>
      </c>
      <c r="G214" s="46">
        <v>44.863199999999999</v>
      </c>
      <c r="H214" s="46">
        <v>44.774999999999999</v>
      </c>
      <c r="I214" s="66"/>
      <c r="J214" s="66"/>
      <c r="K214" s="67"/>
      <c r="L214" s="29"/>
      <c r="M214" s="159">
        <v>98.555999999999997</v>
      </c>
      <c r="N214" s="159">
        <v>38.0139</v>
      </c>
      <c r="O214" s="159">
        <v>44.863199999999999</v>
      </c>
      <c r="P214" s="159">
        <v>44.774999999999999</v>
      </c>
      <c r="Q214" s="159"/>
      <c r="R214" s="160"/>
      <c r="S214" s="161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45">
        <v>248.68</v>
      </c>
      <c r="F215" s="45">
        <v>41.832299999999996</v>
      </c>
      <c r="G215" s="45">
        <v>48.183799999999998</v>
      </c>
      <c r="H215" s="45">
        <v>47.510100000000001</v>
      </c>
      <c r="I215" s="79"/>
      <c r="J215" s="79"/>
      <c r="K215" s="80"/>
      <c r="L215" s="29"/>
      <c r="M215" s="156">
        <v>248.73</v>
      </c>
      <c r="N215" s="156">
        <v>41.831299999999999</v>
      </c>
      <c r="O215" s="156">
        <v>48.183999999999997</v>
      </c>
      <c r="P215" s="156">
        <v>47.511499999999998</v>
      </c>
      <c r="Q215" s="156"/>
      <c r="R215" s="157"/>
      <c r="S215" s="158"/>
      <c r="U215" s="8">
        <f>bdrate($E215:$E218,F215:F218,$M215:$M218,N215:N218)</f>
        <v>9.9729229949674369E-4</v>
      </c>
      <c r="V215" s="9">
        <f>bdrate($E215:$E218,G215:G218,$M215:$M218,O215:O218)</f>
        <v>2.2003302404920433E-3</v>
      </c>
      <c r="W215" s="10">
        <f>bdrate($E215:$E218,H215:H218,$M215:$M218,P215:P218)</f>
        <v>-2.0951962562272275E-3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46">
        <v>96.662999999999997</v>
      </c>
      <c r="F216" s="46">
        <v>40.834699999999998</v>
      </c>
      <c r="G216" s="46">
        <v>47.101700000000001</v>
      </c>
      <c r="H216" s="46">
        <v>46.600499999999997</v>
      </c>
      <c r="I216" s="66"/>
      <c r="J216" s="66"/>
      <c r="K216" s="67"/>
      <c r="L216" s="29"/>
      <c r="M216" s="156">
        <v>96.513999999999996</v>
      </c>
      <c r="N216" s="156">
        <v>40.830100000000002</v>
      </c>
      <c r="O216" s="156">
        <v>47.095599999999997</v>
      </c>
      <c r="P216" s="156">
        <v>46.5974</v>
      </c>
      <c r="Q216" s="156"/>
      <c r="R216" s="157"/>
      <c r="S216" s="158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46">
        <v>47.692999999999998</v>
      </c>
      <c r="F217" s="46">
        <v>39.407800000000002</v>
      </c>
      <c r="G217" s="46">
        <v>45.905200000000001</v>
      </c>
      <c r="H217" s="46">
        <v>45.540599999999998</v>
      </c>
      <c r="I217" s="66"/>
      <c r="J217" s="66"/>
      <c r="K217" s="67"/>
      <c r="L217" s="29"/>
      <c r="M217" s="156">
        <v>47.82</v>
      </c>
      <c r="N217" s="156">
        <v>39.410200000000003</v>
      </c>
      <c r="O217" s="156">
        <v>45.902200000000001</v>
      </c>
      <c r="P217" s="156">
        <v>45.549900000000001</v>
      </c>
      <c r="Q217" s="156"/>
      <c r="R217" s="157"/>
      <c r="S217" s="158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46">
        <v>25.602</v>
      </c>
      <c r="F218" s="46">
        <v>37.635399999999997</v>
      </c>
      <c r="G218" s="46">
        <v>44.845300000000002</v>
      </c>
      <c r="H218" s="46">
        <v>44.49</v>
      </c>
      <c r="I218" s="66"/>
      <c r="J218" s="66"/>
      <c r="K218" s="67"/>
      <c r="L218" s="29"/>
      <c r="M218" s="156">
        <v>25.518000000000001</v>
      </c>
      <c r="N218" s="156">
        <v>37.631900000000002</v>
      </c>
      <c r="O218" s="156">
        <v>44.847499999999997</v>
      </c>
      <c r="P218" s="156">
        <v>44.498600000000003</v>
      </c>
      <c r="Q218" s="156"/>
      <c r="R218" s="157"/>
      <c r="S218" s="158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45">
        <v>258.61399999999998</v>
      </c>
      <c r="F219" s="45">
        <v>41.684699999999999</v>
      </c>
      <c r="G219" s="45">
        <v>47.251300000000001</v>
      </c>
      <c r="H219" s="45">
        <v>46.668500000000002</v>
      </c>
      <c r="I219" s="79"/>
      <c r="J219" s="79"/>
      <c r="K219" s="80"/>
      <c r="L219" s="29"/>
      <c r="M219" s="153">
        <v>257.56900000000002</v>
      </c>
      <c r="N219" s="153">
        <v>41.683799999999998</v>
      </c>
      <c r="O219" s="153">
        <v>47.252600000000001</v>
      </c>
      <c r="P219" s="153">
        <v>46.666899999999998</v>
      </c>
      <c r="Q219" s="153"/>
      <c r="R219" s="154"/>
      <c r="S219" s="155"/>
      <c r="U219" s="8">
        <f>bdrate($E219:$E222,F219:F222,$M219:$M222,N219:N222)</f>
        <v>-2.8460510934980032E-3</v>
      </c>
      <c r="V219" s="9">
        <f>bdrate($E219:$E222,G219:G222,$M219:$M222,O219:O222)</f>
        <v>-4.3969701505708336E-4</v>
      </c>
      <c r="W219" s="10">
        <f>bdrate($E219:$E222,H219:H222,$M219:$M222,P219:P222)</f>
        <v>-4.1262245027580136E-3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46">
        <v>97.457999999999998</v>
      </c>
      <c r="F220" s="46">
        <v>40.746499999999997</v>
      </c>
      <c r="G220" s="46">
        <v>46.324800000000003</v>
      </c>
      <c r="H220" s="46">
        <v>45.544899999999998</v>
      </c>
      <c r="I220" s="66"/>
      <c r="J220" s="66"/>
      <c r="K220" s="67"/>
      <c r="L220" s="29"/>
      <c r="M220" s="156">
        <v>97.277000000000001</v>
      </c>
      <c r="N220" s="156">
        <v>40.744599999999998</v>
      </c>
      <c r="O220" s="156">
        <v>46.3249</v>
      </c>
      <c r="P220" s="156">
        <v>45.553600000000003</v>
      </c>
      <c r="Q220" s="156"/>
      <c r="R220" s="157"/>
      <c r="S220" s="158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46">
        <v>48.537999999999997</v>
      </c>
      <c r="F221" s="46">
        <v>39.384500000000003</v>
      </c>
      <c r="G221" s="46">
        <v>45.380200000000002</v>
      </c>
      <c r="H221" s="46">
        <v>44.588799999999999</v>
      </c>
      <c r="I221" s="66"/>
      <c r="J221" s="66"/>
      <c r="K221" s="67"/>
      <c r="L221" s="29"/>
      <c r="M221" s="156">
        <v>48.363</v>
      </c>
      <c r="N221" s="156">
        <v>39.386400000000002</v>
      </c>
      <c r="O221" s="156">
        <v>45.374899999999997</v>
      </c>
      <c r="P221" s="156">
        <v>44.586799999999997</v>
      </c>
      <c r="Q221" s="156"/>
      <c r="R221" s="157"/>
      <c r="S221" s="158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3"/>
      <c r="D222" s="71">
        <v>40</v>
      </c>
      <c r="E222" s="72">
        <v>25.61</v>
      </c>
      <c r="F222" s="72">
        <v>37.673499999999997</v>
      </c>
      <c r="G222" s="72">
        <v>44.424999999999997</v>
      </c>
      <c r="H222" s="72">
        <v>43.474299999999999</v>
      </c>
      <c r="I222" s="68"/>
      <c r="J222" s="68"/>
      <c r="K222" s="69"/>
      <c r="L222" s="29"/>
      <c r="M222" s="159">
        <v>25.536000000000001</v>
      </c>
      <c r="N222" s="159">
        <v>37.6721</v>
      </c>
      <c r="O222" s="159">
        <v>44.408299999999997</v>
      </c>
      <c r="P222" s="159">
        <v>43.464100000000002</v>
      </c>
      <c r="Q222" s="159"/>
      <c r="R222" s="160"/>
      <c r="S222" s="161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45">
        <v>72.375</v>
      </c>
      <c r="F223" s="45">
        <v>45.882800000000003</v>
      </c>
      <c r="G223" s="78"/>
      <c r="H223" s="78"/>
      <c r="I223" s="79"/>
      <c r="J223" s="79"/>
      <c r="K223" s="80"/>
      <c r="L223" s="29"/>
      <c r="M223" s="153">
        <v>72.375</v>
      </c>
      <c r="N223" s="153">
        <v>45.882800000000003</v>
      </c>
      <c r="O223" s="153"/>
      <c r="P223" s="153"/>
      <c r="Q223" s="153"/>
      <c r="R223" s="154"/>
      <c r="S223" s="155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46">
        <v>30.209</v>
      </c>
      <c r="F224" s="46">
        <v>42.532600000000002</v>
      </c>
      <c r="G224" s="70"/>
      <c r="H224" s="70"/>
      <c r="I224" s="66"/>
      <c r="J224" s="66"/>
      <c r="K224" s="67"/>
      <c r="L224" s="29"/>
      <c r="M224" s="156">
        <v>30.209</v>
      </c>
      <c r="N224" s="156">
        <v>42.532600000000002</v>
      </c>
      <c r="O224" s="156"/>
      <c r="P224" s="156"/>
      <c r="Q224" s="156"/>
      <c r="R224" s="157"/>
      <c r="S224" s="158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46">
        <v>15.42</v>
      </c>
      <c r="F225" s="46">
        <v>39.804400000000001</v>
      </c>
      <c r="G225" s="70"/>
      <c r="H225" s="70"/>
      <c r="I225" s="66"/>
      <c r="J225" s="66"/>
      <c r="K225" s="67"/>
      <c r="L225" s="29"/>
      <c r="M225" s="156">
        <v>15.42</v>
      </c>
      <c r="N225" s="156">
        <v>39.804400000000001</v>
      </c>
      <c r="O225" s="156"/>
      <c r="P225" s="156"/>
      <c r="Q225" s="156"/>
      <c r="R225" s="157"/>
      <c r="S225" s="158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46">
        <v>8.4710000000000001</v>
      </c>
      <c r="F226" s="46">
        <v>36.488999999999997</v>
      </c>
      <c r="G226" s="70"/>
      <c r="H226" s="70"/>
      <c r="I226" s="66"/>
      <c r="J226" s="66"/>
      <c r="K226" s="67"/>
      <c r="L226" s="29"/>
      <c r="M226" s="159">
        <v>8.4710000000000001</v>
      </c>
      <c r="N226" s="159">
        <v>36.488999999999997</v>
      </c>
      <c r="O226" s="159"/>
      <c r="P226" s="159"/>
      <c r="Q226" s="159"/>
      <c r="R226" s="160"/>
      <c r="S226" s="161"/>
      <c r="U226" s="17"/>
      <c r="V226" s="18"/>
      <c r="W226" s="19"/>
      <c r="X226" s="29"/>
      <c r="Y226" s="61"/>
      <c r="Z226" s="61"/>
      <c r="AA226" s="57"/>
    </row>
    <row r="227" spans="2:27" ht="12.75">
      <c r="B227" s="36"/>
      <c r="C227" s="28" t="s">
        <v>30</v>
      </c>
      <c r="D227" s="31">
        <v>34</v>
      </c>
      <c r="E227" s="45">
        <v>50.26</v>
      </c>
      <c r="F227" s="45">
        <v>44.557000000000002</v>
      </c>
      <c r="G227" s="78"/>
      <c r="H227" s="78"/>
      <c r="I227" s="79"/>
      <c r="J227" s="79"/>
      <c r="K227" s="80"/>
      <c r="L227" s="29"/>
      <c r="M227" s="153">
        <v>50.168999999999997</v>
      </c>
      <c r="N227" s="153">
        <v>44.583199999999998</v>
      </c>
      <c r="O227" s="153"/>
      <c r="P227" s="153"/>
      <c r="Q227" s="153"/>
      <c r="R227" s="154"/>
      <c r="S227" s="155"/>
      <c r="U227" s="8">
        <f>bdrate($E227:$E230,F227:F230,$M227:$M230,N227:N230)</f>
        <v>-1.0775521080866879E-3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46">
        <v>19.809999999999999</v>
      </c>
      <c r="F228" s="46">
        <v>41.267000000000003</v>
      </c>
      <c r="G228" s="70"/>
      <c r="H228" s="70"/>
      <c r="I228" s="66"/>
      <c r="J228" s="66"/>
      <c r="K228" s="67"/>
      <c r="L228" s="29"/>
      <c r="M228" s="156">
        <v>19.762</v>
      </c>
      <c r="N228" s="156">
        <v>41.254800000000003</v>
      </c>
      <c r="O228" s="156"/>
      <c r="P228" s="156"/>
      <c r="Q228" s="156"/>
      <c r="R228" s="157"/>
      <c r="S228" s="158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46">
        <v>9.4499999999999993</v>
      </c>
      <c r="F229" s="46">
        <v>38.100900000000003</v>
      </c>
      <c r="G229" s="70"/>
      <c r="H229" s="70"/>
      <c r="I229" s="66"/>
      <c r="J229" s="66"/>
      <c r="K229" s="67"/>
      <c r="L229" s="29"/>
      <c r="M229" s="156">
        <v>9.5</v>
      </c>
      <c r="N229" s="156">
        <v>38.104199999999999</v>
      </c>
      <c r="O229" s="156"/>
      <c r="P229" s="156"/>
      <c r="Q229" s="156"/>
      <c r="R229" s="157"/>
      <c r="S229" s="158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46">
        <v>5.2850000000000001</v>
      </c>
      <c r="F230" s="46">
        <v>35.008600000000001</v>
      </c>
      <c r="G230" s="70"/>
      <c r="H230" s="70"/>
      <c r="I230" s="66"/>
      <c r="J230" s="66"/>
      <c r="K230" s="67"/>
      <c r="L230" s="29"/>
      <c r="M230" s="159">
        <v>5.2089999999999996</v>
      </c>
      <c r="N230" s="159">
        <v>35.008099999999999</v>
      </c>
      <c r="O230" s="159"/>
      <c r="P230" s="159"/>
      <c r="Q230" s="159"/>
      <c r="R230" s="160"/>
      <c r="S230" s="161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45">
        <v>49.396999999999998</v>
      </c>
      <c r="F231" s="45">
        <v>44.317999999999998</v>
      </c>
      <c r="G231" s="78"/>
      <c r="H231" s="78"/>
      <c r="I231" s="79"/>
      <c r="J231" s="79"/>
      <c r="K231" s="80"/>
      <c r="L231" s="29"/>
      <c r="M231" s="153">
        <v>49.290999999999997</v>
      </c>
      <c r="N231" s="153">
        <v>44.315399999999997</v>
      </c>
      <c r="O231" s="153"/>
      <c r="P231" s="153"/>
      <c r="Q231" s="153"/>
      <c r="R231" s="154"/>
      <c r="S231" s="155"/>
      <c r="U231" s="8">
        <f>bdrate($E231:$E234,F231:F234,$M231:$M234,N231:N234)</f>
        <v>-1.116303613715619E-3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46">
        <v>19.006</v>
      </c>
      <c r="F232" s="46">
        <v>41.295200000000001</v>
      </c>
      <c r="G232" s="70"/>
      <c r="H232" s="70"/>
      <c r="I232" s="66"/>
      <c r="J232" s="66"/>
      <c r="K232" s="67"/>
      <c r="L232" s="29"/>
      <c r="M232" s="156">
        <v>19.02</v>
      </c>
      <c r="N232" s="156">
        <v>41.313099999999999</v>
      </c>
      <c r="O232" s="156"/>
      <c r="P232" s="156"/>
      <c r="Q232" s="156"/>
      <c r="R232" s="157"/>
      <c r="S232" s="158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46">
        <v>9.125</v>
      </c>
      <c r="F233" s="46">
        <v>38.537999999999997</v>
      </c>
      <c r="G233" s="70"/>
      <c r="H233" s="70"/>
      <c r="I233" s="66"/>
      <c r="J233" s="66"/>
      <c r="K233" s="67"/>
      <c r="L233" s="29"/>
      <c r="M233" s="156">
        <v>9.1509999999999998</v>
      </c>
      <c r="N233" s="156">
        <v>38.551200000000001</v>
      </c>
      <c r="O233" s="156"/>
      <c r="P233" s="156"/>
      <c r="Q233" s="156"/>
      <c r="R233" s="157"/>
      <c r="S233" s="158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46">
        <v>5.125</v>
      </c>
      <c r="F234" s="46">
        <v>35.645699999999998</v>
      </c>
      <c r="G234" s="70"/>
      <c r="H234" s="70"/>
      <c r="I234" s="66"/>
      <c r="J234" s="66"/>
      <c r="K234" s="67"/>
      <c r="L234" s="29"/>
      <c r="M234" s="159">
        <v>5.1150000000000002</v>
      </c>
      <c r="N234" s="159">
        <v>35.5946</v>
      </c>
      <c r="O234" s="159"/>
      <c r="P234" s="159"/>
      <c r="Q234" s="159"/>
      <c r="R234" s="160"/>
      <c r="S234" s="161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78"/>
      <c r="F235" s="45">
        <v>42.873100000000001</v>
      </c>
      <c r="G235" s="45">
        <v>48.195799999999998</v>
      </c>
      <c r="H235" s="45">
        <v>47.307499999999997</v>
      </c>
      <c r="I235" s="79"/>
      <c r="J235" s="79"/>
      <c r="K235" s="80"/>
      <c r="L235" s="29"/>
      <c r="M235" s="153"/>
      <c r="N235" s="153">
        <v>42.872500000000002</v>
      </c>
      <c r="O235" s="153">
        <v>48.157200000000003</v>
      </c>
      <c r="P235" s="153">
        <v>47.304900000000004</v>
      </c>
      <c r="Q235" s="153"/>
      <c r="R235" s="154"/>
      <c r="S235" s="155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70"/>
      <c r="F236" s="46">
        <v>41.711500000000001</v>
      </c>
      <c r="G236" s="46">
        <v>47.044499999999999</v>
      </c>
      <c r="H236" s="46">
        <v>46.5944</v>
      </c>
      <c r="I236" s="66"/>
      <c r="J236" s="66"/>
      <c r="K236" s="67"/>
      <c r="L236" s="29"/>
      <c r="M236" s="156"/>
      <c r="N236" s="156">
        <v>41.706600000000002</v>
      </c>
      <c r="O236" s="156">
        <v>47.044699999999999</v>
      </c>
      <c r="P236" s="156">
        <v>46.565600000000003</v>
      </c>
      <c r="Q236" s="156"/>
      <c r="R236" s="157"/>
      <c r="S236" s="158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70"/>
      <c r="F237" s="46">
        <v>40.121699999999997</v>
      </c>
      <c r="G237" s="46">
        <v>45.858400000000003</v>
      </c>
      <c r="H237" s="46">
        <v>45.553199999999997</v>
      </c>
      <c r="I237" s="66"/>
      <c r="J237" s="66"/>
      <c r="K237" s="67"/>
      <c r="L237" s="29"/>
      <c r="M237" s="156"/>
      <c r="N237" s="156">
        <v>40.125</v>
      </c>
      <c r="O237" s="156">
        <v>45.862200000000001</v>
      </c>
      <c r="P237" s="156">
        <v>45.5379</v>
      </c>
      <c r="Q237" s="156"/>
      <c r="R237" s="157"/>
      <c r="S237" s="158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3"/>
      <c r="D238" s="71">
        <v>40</v>
      </c>
      <c r="E238" s="81"/>
      <c r="F238" s="72">
        <v>38.204900000000002</v>
      </c>
      <c r="G238" s="72">
        <v>44.905900000000003</v>
      </c>
      <c r="H238" s="72">
        <v>44.432400000000001</v>
      </c>
      <c r="I238" s="68"/>
      <c r="J238" s="68"/>
      <c r="K238" s="69"/>
      <c r="L238" s="29"/>
      <c r="M238" s="159"/>
      <c r="N238" s="159">
        <v>38.199800000000003</v>
      </c>
      <c r="O238" s="159">
        <v>44.8934</v>
      </c>
      <c r="P238" s="159">
        <v>44.433799999999998</v>
      </c>
      <c r="Q238" s="159"/>
      <c r="R238" s="160"/>
      <c r="S238" s="161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70"/>
      <c r="F239" s="45">
        <v>43.610300000000002</v>
      </c>
      <c r="G239" s="45">
        <v>49.083399999999997</v>
      </c>
      <c r="H239" s="45">
        <v>48.475200000000001</v>
      </c>
      <c r="I239" s="66"/>
      <c r="J239" s="66"/>
      <c r="K239" s="67"/>
      <c r="L239" s="29"/>
      <c r="M239" s="153"/>
      <c r="N239" s="153">
        <v>43.610799999999998</v>
      </c>
      <c r="O239" s="153">
        <v>49.057899999999997</v>
      </c>
      <c r="P239" s="153">
        <v>48.479900000000001</v>
      </c>
      <c r="Q239" s="153"/>
      <c r="R239" s="154"/>
      <c r="S239" s="155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70"/>
      <c r="F240" s="46">
        <v>42.298499999999997</v>
      </c>
      <c r="G240" s="46">
        <v>47.863199999999999</v>
      </c>
      <c r="H240" s="46">
        <v>47.54</v>
      </c>
      <c r="I240" s="66"/>
      <c r="J240" s="66"/>
      <c r="K240" s="67"/>
      <c r="L240" s="29"/>
      <c r="M240" s="156"/>
      <c r="N240" s="156">
        <v>42.299100000000003</v>
      </c>
      <c r="O240" s="156">
        <v>47.868600000000001</v>
      </c>
      <c r="P240" s="156">
        <v>47.516100000000002</v>
      </c>
      <c r="Q240" s="156"/>
      <c r="R240" s="157"/>
      <c r="S240" s="158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70"/>
      <c r="F241" s="46">
        <v>40.581299999999999</v>
      </c>
      <c r="G241" s="46">
        <v>46.5154</v>
      </c>
      <c r="H241" s="46">
        <v>46.242100000000001</v>
      </c>
      <c r="I241" s="66"/>
      <c r="J241" s="66"/>
      <c r="K241" s="67"/>
      <c r="L241" s="29"/>
      <c r="M241" s="156"/>
      <c r="N241" s="156">
        <v>40.590200000000003</v>
      </c>
      <c r="O241" s="156">
        <v>46.511099999999999</v>
      </c>
      <c r="P241" s="156">
        <v>46.219900000000003</v>
      </c>
      <c r="Q241" s="156"/>
      <c r="R241" s="157"/>
      <c r="S241" s="158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3"/>
      <c r="D242" s="71">
        <v>40</v>
      </c>
      <c r="E242" s="81"/>
      <c r="F242" s="46">
        <v>38.557099999999998</v>
      </c>
      <c r="G242" s="72">
        <v>45.3217</v>
      </c>
      <c r="H242" s="72">
        <v>44.970100000000002</v>
      </c>
      <c r="I242" s="68"/>
      <c r="J242" s="68"/>
      <c r="K242" s="69"/>
      <c r="L242" s="29"/>
      <c r="M242" s="159"/>
      <c r="N242" s="159">
        <v>38.549399999999999</v>
      </c>
      <c r="O242" s="159">
        <v>45.315899999999999</v>
      </c>
      <c r="P242" s="159">
        <v>44.9771</v>
      </c>
      <c r="Q242" s="159"/>
      <c r="R242" s="160"/>
      <c r="S242" s="161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70"/>
      <c r="F243" s="45">
        <v>43.152900000000002</v>
      </c>
      <c r="G243" s="45">
        <v>49.246299999999998</v>
      </c>
      <c r="H243" s="45">
        <v>48.795299999999997</v>
      </c>
      <c r="I243" s="66"/>
      <c r="J243" s="66"/>
      <c r="K243" s="67"/>
      <c r="L243" s="29"/>
      <c r="M243" s="153"/>
      <c r="N243" s="153">
        <v>43.153399999999998</v>
      </c>
      <c r="O243" s="153">
        <v>49.240400000000001</v>
      </c>
      <c r="P243" s="153">
        <v>48.793199999999999</v>
      </c>
      <c r="Q243" s="153"/>
      <c r="R243" s="154"/>
      <c r="S243" s="155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70"/>
      <c r="F244" s="46">
        <v>41.996499999999997</v>
      </c>
      <c r="G244" s="46">
        <v>48.227899999999998</v>
      </c>
      <c r="H244" s="46">
        <v>47.9131</v>
      </c>
      <c r="I244" s="66"/>
      <c r="J244" s="66"/>
      <c r="K244" s="67"/>
      <c r="L244" s="29"/>
      <c r="M244" s="156"/>
      <c r="N244" s="156">
        <v>42.0047</v>
      </c>
      <c r="O244" s="156">
        <v>48.227899999999998</v>
      </c>
      <c r="P244" s="156">
        <v>47.912500000000001</v>
      </c>
      <c r="Q244" s="156"/>
      <c r="R244" s="157"/>
      <c r="S244" s="158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70"/>
      <c r="F245" s="46">
        <v>40.412999999999997</v>
      </c>
      <c r="G245" s="46">
        <v>46.757199999999997</v>
      </c>
      <c r="H245" s="46">
        <v>46.598700000000001</v>
      </c>
      <c r="I245" s="66"/>
      <c r="J245" s="66"/>
      <c r="K245" s="67"/>
      <c r="L245" s="29"/>
      <c r="M245" s="156"/>
      <c r="N245" s="156">
        <v>40.420099999999998</v>
      </c>
      <c r="O245" s="156">
        <v>46.756</v>
      </c>
      <c r="P245" s="156">
        <v>46.601900000000001</v>
      </c>
      <c r="Q245" s="156"/>
      <c r="R245" s="157"/>
      <c r="S245" s="158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3"/>
      <c r="D246" s="71">
        <v>40</v>
      </c>
      <c r="E246" s="81"/>
      <c r="F246" s="46">
        <v>38.514000000000003</v>
      </c>
      <c r="G246" s="72">
        <v>45.586500000000001</v>
      </c>
      <c r="H246" s="72">
        <v>45.434800000000003</v>
      </c>
      <c r="I246" s="68"/>
      <c r="J246" s="68"/>
      <c r="K246" s="69"/>
      <c r="L246" s="29"/>
      <c r="M246" s="159"/>
      <c r="N246" s="159">
        <v>38.5077</v>
      </c>
      <c r="O246" s="159">
        <v>45.5794</v>
      </c>
      <c r="P246" s="159">
        <v>45.435400000000001</v>
      </c>
      <c r="Q246" s="159"/>
      <c r="R246" s="160"/>
      <c r="S246" s="161"/>
      <c r="U246" s="17"/>
      <c r="V246" s="18"/>
      <c r="W246" s="19"/>
      <c r="X246" s="29"/>
      <c r="Z246" s="61"/>
      <c r="AA246" s="57"/>
    </row>
    <row r="247" spans="2:27" ht="12.75">
      <c r="B247" s="36"/>
      <c r="C247" s="29" t="s">
        <v>50</v>
      </c>
      <c r="D247" s="32">
        <v>25</v>
      </c>
      <c r="E247" s="70"/>
      <c r="F247" s="45">
        <v>43.264699999999998</v>
      </c>
      <c r="G247" s="45">
        <v>49.1111</v>
      </c>
      <c r="H247" s="45">
        <v>49.020099999999999</v>
      </c>
      <c r="I247" s="66"/>
      <c r="J247" s="66"/>
      <c r="K247" s="67"/>
      <c r="L247" s="29"/>
      <c r="M247" s="153"/>
      <c r="N247" s="153">
        <v>43.265000000000001</v>
      </c>
      <c r="O247" s="153">
        <v>49.101999999999997</v>
      </c>
      <c r="P247" s="153">
        <v>49.0199</v>
      </c>
      <c r="Q247" s="153"/>
      <c r="R247" s="154"/>
      <c r="S247" s="155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70"/>
      <c r="F248" s="46">
        <v>42.118299999999998</v>
      </c>
      <c r="G248" s="46">
        <v>48.141199999999998</v>
      </c>
      <c r="H248" s="46">
        <v>48.103299999999997</v>
      </c>
      <c r="I248" s="66"/>
      <c r="J248" s="66"/>
      <c r="K248" s="67"/>
      <c r="L248" s="29"/>
      <c r="M248" s="156"/>
      <c r="N248" s="156">
        <v>42.121400000000001</v>
      </c>
      <c r="O248" s="156">
        <v>48.139600000000002</v>
      </c>
      <c r="P248" s="156">
        <v>48.104999999999997</v>
      </c>
      <c r="Q248" s="156"/>
      <c r="R248" s="157"/>
      <c r="S248" s="158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70"/>
      <c r="F249" s="46">
        <v>40.528399999999998</v>
      </c>
      <c r="G249" s="46">
        <v>46.7423</v>
      </c>
      <c r="H249" s="46">
        <v>46.753</v>
      </c>
      <c r="I249" s="66"/>
      <c r="J249" s="66"/>
      <c r="K249" s="67"/>
      <c r="L249" s="29"/>
      <c r="M249" s="156"/>
      <c r="N249" s="156">
        <v>40.528300000000002</v>
      </c>
      <c r="O249" s="156">
        <v>46.737000000000002</v>
      </c>
      <c r="P249" s="156">
        <v>46.752099999999999</v>
      </c>
      <c r="Q249" s="156"/>
      <c r="R249" s="157"/>
      <c r="S249" s="158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3"/>
      <c r="D250" s="71">
        <v>40</v>
      </c>
      <c r="E250" s="81"/>
      <c r="F250" s="46">
        <v>38.592100000000002</v>
      </c>
      <c r="G250" s="72">
        <v>45.620399999999997</v>
      </c>
      <c r="H250" s="72">
        <v>45.558500000000002</v>
      </c>
      <c r="I250" s="68"/>
      <c r="J250" s="68"/>
      <c r="K250" s="69"/>
      <c r="L250" s="29"/>
      <c r="M250" s="159"/>
      <c r="N250" s="159">
        <v>38.590299999999999</v>
      </c>
      <c r="O250" s="159">
        <v>45.622999999999998</v>
      </c>
      <c r="P250" s="159">
        <v>45.5563</v>
      </c>
      <c r="Q250" s="159"/>
      <c r="R250" s="160"/>
      <c r="S250" s="161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70"/>
      <c r="F251" s="45">
        <v>43.741700000000002</v>
      </c>
      <c r="G251" s="45">
        <v>48.8247</v>
      </c>
      <c r="H251" s="45">
        <v>49.195999999999998</v>
      </c>
      <c r="I251" s="66"/>
      <c r="J251" s="66"/>
      <c r="K251" s="67"/>
      <c r="L251" s="29"/>
      <c r="M251" s="154"/>
      <c r="N251" s="154">
        <v>43.738799999999998</v>
      </c>
      <c r="O251" s="154">
        <v>48.809399999999997</v>
      </c>
      <c r="P251" s="154">
        <v>49.198799999999999</v>
      </c>
      <c r="Q251" s="154"/>
      <c r="R251" s="154"/>
      <c r="S251" s="155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70"/>
      <c r="F252" s="46">
        <v>42.477200000000003</v>
      </c>
      <c r="G252" s="46">
        <v>47.673699999999997</v>
      </c>
      <c r="H252" s="46">
        <v>48.048099999999998</v>
      </c>
      <c r="I252" s="66"/>
      <c r="J252" s="66"/>
      <c r="K252" s="67"/>
      <c r="L252" s="29"/>
      <c r="M252" s="157"/>
      <c r="N252" s="157">
        <v>42.477800000000002</v>
      </c>
      <c r="O252" s="157">
        <v>47.675600000000003</v>
      </c>
      <c r="P252" s="157">
        <v>48.043199999999999</v>
      </c>
      <c r="Q252" s="157"/>
      <c r="R252" s="157"/>
      <c r="S252" s="158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70"/>
      <c r="F253" s="46">
        <v>40.798400000000001</v>
      </c>
      <c r="G253" s="46">
        <v>46.367699999999999</v>
      </c>
      <c r="H253" s="46">
        <v>46.732900000000001</v>
      </c>
      <c r="I253" s="66"/>
      <c r="J253" s="66"/>
      <c r="K253" s="67"/>
      <c r="L253" s="29"/>
      <c r="M253" s="157"/>
      <c r="N253" s="157">
        <v>40.802300000000002</v>
      </c>
      <c r="O253" s="157">
        <v>46.346699999999998</v>
      </c>
      <c r="P253" s="157">
        <v>46.722900000000003</v>
      </c>
      <c r="Q253" s="157"/>
      <c r="R253" s="157"/>
      <c r="S253" s="158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3"/>
      <c r="D254" s="71">
        <v>40</v>
      </c>
      <c r="E254" s="81"/>
      <c r="F254" s="72">
        <v>38.791400000000003</v>
      </c>
      <c r="G254" s="72">
        <v>45.170200000000001</v>
      </c>
      <c r="H254" s="72">
        <v>45.475099999999998</v>
      </c>
      <c r="I254" s="68"/>
      <c r="J254" s="68"/>
      <c r="K254" s="69"/>
      <c r="L254" s="29"/>
      <c r="M254" s="160"/>
      <c r="N254" s="160">
        <v>38.792000000000002</v>
      </c>
      <c r="O254" s="160">
        <v>45.134099999999997</v>
      </c>
      <c r="P254" s="160">
        <v>45.444899999999997</v>
      </c>
      <c r="Q254" s="160"/>
      <c r="R254" s="160"/>
      <c r="S254" s="161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70"/>
      <c r="F255" s="45">
        <v>42.924900000000001</v>
      </c>
      <c r="G255" s="45">
        <v>47.607999999999997</v>
      </c>
      <c r="H255" s="45">
        <v>48.134500000000003</v>
      </c>
      <c r="I255" s="66"/>
      <c r="J255" s="66"/>
      <c r="K255" s="67"/>
      <c r="L255" s="29"/>
      <c r="M255" s="154"/>
      <c r="N255" s="154">
        <v>42.921399999999998</v>
      </c>
      <c r="O255" s="154">
        <v>47.575699999999998</v>
      </c>
      <c r="P255" s="154">
        <v>48.133800000000001</v>
      </c>
      <c r="Q255" s="154"/>
      <c r="R255" s="154"/>
      <c r="S255" s="155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70"/>
      <c r="F256" s="46">
        <v>41.819400000000002</v>
      </c>
      <c r="G256" s="46">
        <v>46.667400000000001</v>
      </c>
      <c r="H256" s="46">
        <v>47.061</v>
      </c>
      <c r="I256" s="66"/>
      <c r="J256" s="66"/>
      <c r="K256" s="67"/>
      <c r="L256" s="29"/>
      <c r="M256" s="157"/>
      <c r="N256" s="157">
        <v>41.817300000000003</v>
      </c>
      <c r="O256" s="157">
        <v>46.640900000000002</v>
      </c>
      <c r="P256" s="157">
        <v>47.054000000000002</v>
      </c>
      <c r="Q256" s="157"/>
      <c r="R256" s="157"/>
      <c r="S256" s="158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70"/>
      <c r="F257" s="46">
        <v>40.293100000000003</v>
      </c>
      <c r="G257" s="46">
        <v>45.6449</v>
      </c>
      <c r="H257" s="46">
        <v>46.006799999999998</v>
      </c>
      <c r="I257" s="66"/>
      <c r="J257" s="66"/>
      <c r="K257" s="67"/>
      <c r="L257" s="29"/>
      <c r="M257" s="157"/>
      <c r="N257" s="157">
        <v>40.2971</v>
      </c>
      <c r="O257" s="157">
        <v>45.602699999999999</v>
      </c>
      <c r="P257" s="157">
        <v>46.010399999999997</v>
      </c>
      <c r="Q257" s="157"/>
      <c r="R257" s="157"/>
      <c r="S257" s="158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3"/>
      <c r="D258" s="71">
        <v>40</v>
      </c>
      <c r="E258" s="81"/>
      <c r="F258" s="72">
        <v>38.4405</v>
      </c>
      <c r="G258" s="72">
        <v>44.658000000000001</v>
      </c>
      <c r="H258" s="72">
        <v>44.852200000000003</v>
      </c>
      <c r="I258" s="68"/>
      <c r="J258" s="68"/>
      <c r="K258" s="69"/>
      <c r="L258" s="29"/>
      <c r="M258" s="160"/>
      <c r="N258" s="160">
        <v>38.440199999999997</v>
      </c>
      <c r="O258" s="160">
        <v>44.633600000000001</v>
      </c>
      <c r="P258" s="160">
        <v>44.829599999999999</v>
      </c>
      <c r="Q258" s="160"/>
      <c r="R258" s="160"/>
      <c r="S258" s="161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45">
        <v>1493.098</v>
      </c>
      <c r="F259" s="70"/>
      <c r="G259" s="70"/>
      <c r="H259" s="70"/>
      <c r="I259" s="45">
        <v>27180.32</v>
      </c>
      <c r="J259" s="45">
        <v>79.099999999999994</v>
      </c>
      <c r="K259" s="45"/>
      <c r="L259" s="29"/>
      <c r="M259" s="157">
        <v>1491.9059999999999</v>
      </c>
      <c r="N259" s="157"/>
      <c r="O259" s="157"/>
      <c r="P259" s="157"/>
      <c r="Q259" s="157">
        <v>26317.79</v>
      </c>
      <c r="R259" s="157">
        <v>83.02</v>
      </c>
      <c r="S259" s="158">
        <v>602.26</v>
      </c>
      <c r="U259" s="8"/>
      <c r="V259" s="9"/>
      <c r="W259" s="10"/>
      <c r="X259" s="29"/>
      <c r="Y259" s="61">
        <f>GEOMEAN(Q259:Q262)/GEOMEAN(I259:I262)</f>
        <v>0.9622207904365202</v>
      </c>
      <c r="Z259" s="61">
        <f>GEOMEAN(R259:R262)/GEOMEAN(J259:J262)</f>
        <v>1.0047031224463245</v>
      </c>
      <c r="AA259" s="57" t="e">
        <f>GEOMEAN(S259:S262)/GEOMEAN(K259:K262)</f>
        <v>#NUM!</v>
      </c>
    </row>
    <row r="260" spans="1:27" ht="12.75">
      <c r="B260" s="36"/>
      <c r="C260" s="29"/>
      <c r="D260" s="32">
        <v>30</v>
      </c>
      <c r="E260" s="46">
        <v>612.71</v>
      </c>
      <c r="F260" s="70"/>
      <c r="G260" s="70"/>
      <c r="H260" s="70"/>
      <c r="I260" s="46">
        <v>21816.240000000002</v>
      </c>
      <c r="J260" s="46">
        <v>75.08</v>
      </c>
      <c r="K260" s="46"/>
      <c r="L260" s="29"/>
      <c r="M260" s="157">
        <v>612.346</v>
      </c>
      <c r="N260" s="157"/>
      <c r="O260" s="157"/>
      <c r="P260" s="157"/>
      <c r="Q260" s="157">
        <v>21082.89</v>
      </c>
      <c r="R260" s="157">
        <v>76.17</v>
      </c>
      <c r="S260" s="158">
        <v>599.69000000000005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46">
        <v>312.16899999999998</v>
      </c>
      <c r="F261" s="70"/>
      <c r="G261" s="70"/>
      <c r="H261" s="70"/>
      <c r="I261" s="46">
        <v>19737.009999999998</v>
      </c>
      <c r="J261" s="46">
        <v>81.75</v>
      </c>
      <c r="K261" s="46"/>
      <c r="L261" s="29"/>
      <c r="M261" s="157">
        <v>312.197</v>
      </c>
      <c r="N261" s="157"/>
      <c r="O261" s="157"/>
      <c r="P261" s="157"/>
      <c r="Q261" s="157">
        <v>18884.8</v>
      </c>
      <c r="R261" s="157">
        <v>70.37</v>
      </c>
      <c r="S261" s="158">
        <v>601.58000000000004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2"/>
      <c r="C262" s="53"/>
      <c r="D262" s="71">
        <v>40</v>
      </c>
      <c r="E262" s="72">
        <v>173.48699999999999</v>
      </c>
      <c r="F262" s="81"/>
      <c r="G262" s="81"/>
      <c r="H262" s="81"/>
      <c r="I262" s="72">
        <v>18429.919999999998</v>
      </c>
      <c r="J262" s="72">
        <v>72.430000000000007</v>
      </c>
      <c r="K262" s="72"/>
      <c r="L262" s="29"/>
      <c r="M262" s="160">
        <v>173.24299999999999</v>
      </c>
      <c r="N262" s="160"/>
      <c r="O262" s="160"/>
      <c r="P262" s="160"/>
      <c r="Q262" s="160">
        <v>17646</v>
      </c>
      <c r="R262" s="160">
        <v>80.52</v>
      </c>
      <c r="S262" s="161">
        <v>598.88</v>
      </c>
      <c r="U262" s="85"/>
      <c r="V262" s="86"/>
      <c r="W262" s="87"/>
      <c r="X262" s="29"/>
      <c r="Y262" s="49"/>
      <c r="Z262" s="49"/>
      <c r="AA262" s="54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2440.0616</v>
      </c>
      <c r="F263" s="45">
        <v>39.862699999999997</v>
      </c>
      <c r="G263" s="45">
        <v>46.750500000000002</v>
      </c>
      <c r="H263" s="45">
        <v>46.033000000000001</v>
      </c>
      <c r="I263" s="79"/>
      <c r="J263" s="79"/>
      <c r="K263" s="80"/>
      <c r="L263" s="29"/>
      <c r="M263" s="153">
        <v>2440.0616</v>
      </c>
      <c r="N263" s="153">
        <v>39.862699999999997</v>
      </c>
      <c r="O263" s="153">
        <v>46.750500000000002</v>
      </c>
      <c r="P263" s="153">
        <v>46.033000000000001</v>
      </c>
      <c r="Q263" s="153"/>
      <c r="R263" s="154"/>
      <c r="S263" s="155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46">
        <v>955.89840000000004</v>
      </c>
      <c r="F264" s="46">
        <v>37.901400000000002</v>
      </c>
      <c r="G264" s="46">
        <v>45.310899999999997</v>
      </c>
      <c r="H264" s="46">
        <v>44.552900000000001</v>
      </c>
      <c r="I264" s="66"/>
      <c r="J264" s="66"/>
      <c r="K264" s="67"/>
      <c r="L264" s="29"/>
      <c r="M264" s="156">
        <v>955.89840000000004</v>
      </c>
      <c r="N264" s="156">
        <v>37.901400000000002</v>
      </c>
      <c r="O264" s="156">
        <v>45.310899999999997</v>
      </c>
      <c r="P264" s="156">
        <v>44.552900000000001</v>
      </c>
      <c r="Q264" s="156"/>
      <c r="R264" s="157"/>
      <c r="S264" s="158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46">
        <v>461.74079999999998</v>
      </c>
      <c r="F265" s="46">
        <v>35.8827</v>
      </c>
      <c r="G265" s="46">
        <v>43.552599999999998</v>
      </c>
      <c r="H265" s="46">
        <v>42.826900000000002</v>
      </c>
      <c r="I265" s="66"/>
      <c r="J265" s="66"/>
      <c r="K265" s="67"/>
      <c r="L265" s="29"/>
      <c r="M265" s="156">
        <v>461.74079999999998</v>
      </c>
      <c r="N265" s="156">
        <v>35.8827</v>
      </c>
      <c r="O265" s="156">
        <v>43.552599999999998</v>
      </c>
      <c r="P265" s="156">
        <v>42.826900000000002</v>
      </c>
      <c r="Q265" s="156"/>
      <c r="R265" s="157"/>
      <c r="S265" s="158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46">
        <v>241.04560000000001</v>
      </c>
      <c r="F266" s="46">
        <v>33.763199999999998</v>
      </c>
      <c r="G266" s="46">
        <v>42.313600000000001</v>
      </c>
      <c r="H266" s="46">
        <v>41.620699999999999</v>
      </c>
      <c r="I266" s="66"/>
      <c r="J266" s="66"/>
      <c r="K266" s="67"/>
      <c r="L266" s="29"/>
      <c r="M266" s="159">
        <v>241.04560000000001</v>
      </c>
      <c r="N266" s="159">
        <v>33.763199999999998</v>
      </c>
      <c r="O266" s="159">
        <v>42.313600000000001</v>
      </c>
      <c r="P266" s="159">
        <v>41.620699999999999</v>
      </c>
      <c r="Q266" s="159"/>
      <c r="R266" s="160"/>
      <c r="S266" s="161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45">
        <v>702.02080000000001</v>
      </c>
      <c r="F267" s="45">
        <v>38.9803</v>
      </c>
      <c r="G267" s="45">
        <v>46.599400000000003</v>
      </c>
      <c r="H267" s="45">
        <v>44.728200000000001</v>
      </c>
      <c r="I267" s="79"/>
      <c r="J267" s="79"/>
      <c r="K267" s="80"/>
      <c r="L267" s="29"/>
      <c r="M267" s="156">
        <v>702.31759999999997</v>
      </c>
      <c r="N267" s="156">
        <v>38.981200000000001</v>
      </c>
      <c r="O267" s="156">
        <v>46.600700000000003</v>
      </c>
      <c r="P267" s="156">
        <v>44.7346</v>
      </c>
      <c r="Q267" s="156"/>
      <c r="R267" s="157"/>
      <c r="S267" s="158"/>
      <c r="U267" s="8">
        <f>bdrate($E267:$E270,F267:F270,$M267:$M270,N267:N270)</f>
        <v>-2.1377913826504669E-3</v>
      </c>
      <c r="V267" s="9">
        <f>bdrate($E267:$E270,G267:G270,$M267:$M270,O267:O270)</f>
        <v>-2.8376908618515939E-3</v>
      </c>
      <c r="W267" s="10">
        <f>bdrate($E267:$E270,H267:H270,$M267:$M270,P267:P270)</f>
        <v>-1.2600694720115158E-3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46">
        <v>195.78</v>
      </c>
      <c r="F268" s="46">
        <v>37.131</v>
      </c>
      <c r="G268" s="46">
        <v>45.1633</v>
      </c>
      <c r="H268" s="46">
        <v>43.098700000000001</v>
      </c>
      <c r="I268" s="66"/>
      <c r="J268" s="66"/>
      <c r="K268" s="67"/>
      <c r="L268" s="29"/>
      <c r="M268" s="156">
        <v>196.0256</v>
      </c>
      <c r="N268" s="156">
        <v>37.1327</v>
      </c>
      <c r="O268" s="156">
        <v>45.167200000000001</v>
      </c>
      <c r="P268" s="156">
        <v>43.105200000000004</v>
      </c>
      <c r="Q268" s="156"/>
      <c r="R268" s="157"/>
      <c r="S268" s="158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46">
        <v>75.656800000000004</v>
      </c>
      <c r="F269" s="46">
        <v>35.238</v>
      </c>
      <c r="G269" s="46">
        <v>43.675899999999999</v>
      </c>
      <c r="H269" s="46">
        <v>41.822499999999998</v>
      </c>
      <c r="I269" s="66"/>
      <c r="J269" s="66"/>
      <c r="K269" s="67"/>
      <c r="L269" s="29"/>
      <c r="M269" s="156">
        <v>75.218400000000003</v>
      </c>
      <c r="N269" s="156">
        <v>35.237900000000003</v>
      </c>
      <c r="O269" s="156">
        <v>43.6755</v>
      </c>
      <c r="P269" s="156">
        <v>41.81</v>
      </c>
      <c r="Q269" s="156"/>
      <c r="R269" s="157"/>
      <c r="S269" s="158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46">
        <v>33.309600000000003</v>
      </c>
      <c r="F270" s="46">
        <v>33.259700000000002</v>
      </c>
      <c r="G270" s="46">
        <v>42.502499999999998</v>
      </c>
      <c r="H270" s="46">
        <v>40.872199999999999</v>
      </c>
      <c r="I270" s="66"/>
      <c r="J270" s="66"/>
      <c r="K270" s="67"/>
      <c r="L270" s="29"/>
      <c r="M270" s="156">
        <v>33.294400000000003</v>
      </c>
      <c r="N270" s="156">
        <v>33.258000000000003</v>
      </c>
      <c r="O270" s="156">
        <v>42.502899999999997</v>
      </c>
      <c r="P270" s="156">
        <v>40.872199999999999</v>
      </c>
      <c r="Q270" s="156"/>
      <c r="R270" s="157"/>
      <c r="S270" s="158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45">
        <v>692.3288</v>
      </c>
      <c r="F271" s="45">
        <v>38.913400000000003</v>
      </c>
      <c r="G271" s="45">
        <v>46.417700000000004</v>
      </c>
      <c r="H271" s="45">
        <v>46.130299999999998</v>
      </c>
      <c r="I271" s="79"/>
      <c r="J271" s="79"/>
      <c r="K271" s="80"/>
      <c r="L271" s="29"/>
      <c r="M271" s="153">
        <v>692.36320000000001</v>
      </c>
      <c r="N271" s="153">
        <v>38.914999999999999</v>
      </c>
      <c r="O271" s="153">
        <v>46.420699999999997</v>
      </c>
      <c r="P271" s="153">
        <v>46.130299999999998</v>
      </c>
      <c r="Q271" s="153"/>
      <c r="R271" s="154"/>
      <c r="S271" s="155"/>
      <c r="U271" s="8">
        <f>bdrate($E271:$E274,F271:F274,$M271:$M274,N271:N274)</f>
        <v>-8.3936484169255809E-4</v>
      </c>
      <c r="V271" s="9">
        <f>bdrate($E271:$E274,G271:G274,$M271:$M274,O271:O274)</f>
        <v>-2.1141878209451903E-3</v>
      </c>
      <c r="W271" s="10">
        <f>bdrate($E271:$E274,H271:H274,$M271:$M274,P271:P274)</f>
        <v>-1.6399720884950897E-3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46">
        <v>193.7216</v>
      </c>
      <c r="F272" s="46">
        <v>36.945700000000002</v>
      </c>
      <c r="G272" s="46">
        <v>44.984699999999997</v>
      </c>
      <c r="H272" s="46">
        <v>44.714199999999998</v>
      </c>
      <c r="I272" s="66"/>
      <c r="J272" s="66"/>
      <c r="K272" s="67"/>
      <c r="L272" s="29"/>
      <c r="M272" s="156">
        <v>193.2056</v>
      </c>
      <c r="N272" s="156">
        <v>36.945700000000002</v>
      </c>
      <c r="O272" s="156">
        <v>44.988799999999998</v>
      </c>
      <c r="P272" s="156">
        <v>44.717399999999998</v>
      </c>
      <c r="Q272" s="156"/>
      <c r="R272" s="157"/>
      <c r="S272" s="158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46">
        <v>73.766400000000004</v>
      </c>
      <c r="F273" s="46">
        <v>34.9709</v>
      </c>
      <c r="G273" s="46">
        <v>43.4831</v>
      </c>
      <c r="H273" s="46">
        <v>43.124699999999997</v>
      </c>
      <c r="I273" s="66"/>
      <c r="J273" s="66"/>
      <c r="K273" s="67"/>
      <c r="L273" s="29"/>
      <c r="M273" s="156">
        <v>73.820800000000006</v>
      </c>
      <c r="N273" s="156">
        <v>34.9696</v>
      </c>
      <c r="O273" s="156">
        <v>43.481000000000002</v>
      </c>
      <c r="P273" s="156">
        <v>43.124499999999998</v>
      </c>
      <c r="Q273" s="156"/>
      <c r="R273" s="157"/>
      <c r="S273" s="158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3"/>
      <c r="D274" s="71">
        <v>40</v>
      </c>
      <c r="E274" s="72">
        <v>31.520800000000001</v>
      </c>
      <c r="F274" s="72">
        <v>32.948300000000003</v>
      </c>
      <c r="G274" s="72">
        <v>42.311700000000002</v>
      </c>
      <c r="H274" s="72">
        <v>41.926000000000002</v>
      </c>
      <c r="I274" s="68"/>
      <c r="J274" s="68"/>
      <c r="K274" s="69"/>
      <c r="L274" s="29"/>
      <c r="M274" s="159">
        <v>31.452000000000002</v>
      </c>
      <c r="N274" s="159">
        <v>32.947000000000003</v>
      </c>
      <c r="O274" s="159">
        <v>42.310699999999997</v>
      </c>
      <c r="P274" s="159">
        <v>41.9223</v>
      </c>
      <c r="Q274" s="159"/>
      <c r="R274" s="160"/>
      <c r="S274" s="161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45">
        <v>162.96080000000001</v>
      </c>
      <c r="F275" s="45">
        <v>43.912700000000001</v>
      </c>
      <c r="G275" s="78"/>
      <c r="H275" s="78"/>
      <c r="I275" s="79"/>
      <c r="J275" s="79"/>
      <c r="K275" s="80"/>
      <c r="L275" s="29"/>
      <c r="M275" s="153">
        <v>162.96080000000001</v>
      </c>
      <c r="N275" s="153">
        <v>43.912700000000001</v>
      </c>
      <c r="O275" s="153"/>
      <c r="P275" s="153"/>
      <c r="Q275" s="153"/>
      <c r="R275" s="154"/>
      <c r="S275" s="155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46">
        <v>49.723999999999997</v>
      </c>
      <c r="F276" s="46">
        <v>40.968200000000003</v>
      </c>
      <c r="G276" s="70"/>
      <c r="H276" s="70"/>
      <c r="I276" s="66"/>
      <c r="J276" s="66"/>
      <c r="K276" s="67"/>
      <c r="L276" s="29"/>
      <c r="M276" s="156">
        <v>49.723999999999997</v>
      </c>
      <c r="N276" s="156">
        <v>40.968200000000003</v>
      </c>
      <c r="O276" s="156"/>
      <c r="P276" s="156"/>
      <c r="Q276" s="156"/>
      <c r="R276" s="157"/>
      <c r="S276" s="158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46">
        <v>21.069600000000001</v>
      </c>
      <c r="F277" s="46">
        <v>37.422400000000003</v>
      </c>
      <c r="G277" s="70"/>
      <c r="H277" s="70"/>
      <c r="I277" s="66"/>
      <c r="J277" s="66"/>
      <c r="K277" s="67"/>
      <c r="L277" s="29"/>
      <c r="M277" s="156">
        <v>21.069600000000001</v>
      </c>
      <c r="N277" s="156">
        <v>37.422400000000003</v>
      </c>
      <c r="O277" s="156"/>
      <c r="P277" s="156"/>
      <c r="Q277" s="156"/>
      <c r="R277" s="157"/>
      <c r="S277" s="158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46">
        <v>11.1784</v>
      </c>
      <c r="F278" s="46">
        <v>35.413200000000003</v>
      </c>
      <c r="G278" s="70"/>
      <c r="H278" s="70"/>
      <c r="I278" s="66"/>
      <c r="J278" s="66"/>
      <c r="K278" s="67"/>
      <c r="L278" s="29"/>
      <c r="M278" s="159">
        <v>11.1784</v>
      </c>
      <c r="N278" s="159">
        <v>35.413200000000003</v>
      </c>
      <c r="O278" s="159"/>
      <c r="P278" s="159"/>
      <c r="Q278" s="159"/>
      <c r="R278" s="160"/>
      <c r="S278" s="161"/>
      <c r="U278" s="17"/>
      <c r="V278" s="18"/>
      <c r="W278" s="19"/>
      <c r="X278" s="29"/>
      <c r="Y278" s="61"/>
      <c r="Z278" s="61"/>
      <c r="AA278" s="57"/>
    </row>
    <row r="279" spans="2:27" ht="12.75">
      <c r="B279" s="36"/>
      <c r="C279" s="28" t="s">
        <v>30</v>
      </c>
      <c r="D279" s="31">
        <v>34</v>
      </c>
      <c r="E279" s="45">
        <v>99.7864</v>
      </c>
      <c r="F279" s="45">
        <v>42.316099999999999</v>
      </c>
      <c r="G279" s="78"/>
      <c r="H279" s="78"/>
      <c r="I279" s="79"/>
      <c r="J279" s="79"/>
      <c r="K279" s="80"/>
      <c r="L279" s="29"/>
      <c r="M279" s="153">
        <v>99.590400000000002</v>
      </c>
      <c r="N279" s="153">
        <v>42.308500000000002</v>
      </c>
      <c r="O279" s="153"/>
      <c r="P279" s="153"/>
      <c r="Q279" s="153"/>
      <c r="R279" s="154"/>
      <c r="S279" s="155"/>
      <c r="U279" s="8">
        <f>bdrate($E279:$E282,F279:F282,$M279:$M282,N279:N282)</f>
        <v>2.7425198118111727E-3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46">
        <v>24.386399999999998</v>
      </c>
      <c r="F280" s="46">
        <v>39.724600000000002</v>
      </c>
      <c r="G280" s="70"/>
      <c r="H280" s="70"/>
      <c r="I280" s="66"/>
      <c r="J280" s="66"/>
      <c r="K280" s="67"/>
      <c r="L280" s="29"/>
      <c r="M280" s="156">
        <v>24.404</v>
      </c>
      <c r="N280" s="156">
        <v>39.711599999999997</v>
      </c>
      <c r="O280" s="156"/>
      <c r="P280" s="156"/>
      <c r="Q280" s="156"/>
      <c r="R280" s="157"/>
      <c r="S280" s="158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46">
        <v>9.4832000000000001</v>
      </c>
      <c r="F281" s="46">
        <v>36.508299999999998</v>
      </c>
      <c r="G281" s="70"/>
      <c r="H281" s="70"/>
      <c r="I281" s="66"/>
      <c r="J281" s="66"/>
      <c r="K281" s="67"/>
      <c r="L281" s="29"/>
      <c r="M281" s="156">
        <v>9.5079999999999991</v>
      </c>
      <c r="N281" s="156">
        <v>36.5092</v>
      </c>
      <c r="O281" s="156"/>
      <c r="P281" s="156"/>
      <c r="Q281" s="156"/>
      <c r="R281" s="157"/>
      <c r="S281" s="158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46">
        <v>4.8472</v>
      </c>
      <c r="F282" s="46">
        <v>34.547800000000002</v>
      </c>
      <c r="G282" s="70"/>
      <c r="H282" s="70"/>
      <c r="I282" s="66"/>
      <c r="J282" s="66"/>
      <c r="K282" s="67"/>
      <c r="L282" s="29"/>
      <c r="M282" s="159">
        <v>4.8120000000000003</v>
      </c>
      <c r="N282" s="159">
        <v>34.560899999999997</v>
      </c>
      <c r="O282" s="159"/>
      <c r="P282" s="159"/>
      <c r="Q282" s="159"/>
      <c r="R282" s="160"/>
      <c r="S282" s="161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45">
        <v>116.11199999999999</v>
      </c>
      <c r="F283" s="45">
        <v>41.7883</v>
      </c>
      <c r="G283" s="78"/>
      <c r="H283" s="78"/>
      <c r="I283" s="79"/>
      <c r="J283" s="79"/>
      <c r="K283" s="80"/>
      <c r="L283" s="29"/>
      <c r="M283" s="153">
        <v>116.2336</v>
      </c>
      <c r="N283" s="153">
        <v>41.779499999999999</v>
      </c>
      <c r="O283" s="153"/>
      <c r="P283" s="153"/>
      <c r="Q283" s="153"/>
      <c r="R283" s="154"/>
      <c r="S283" s="155"/>
      <c r="U283" s="8">
        <f>bdrate($E283:$E286,F283:F286,$M283:$M286,N283:N286)</f>
        <v>3.5194141578736016E-3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46">
        <v>28.308</v>
      </c>
      <c r="F284" s="46">
        <v>39.138599999999997</v>
      </c>
      <c r="G284" s="70"/>
      <c r="H284" s="70"/>
      <c r="I284" s="66"/>
      <c r="J284" s="66"/>
      <c r="K284" s="67"/>
      <c r="L284" s="29"/>
      <c r="M284" s="156">
        <v>28.200800000000001</v>
      </c>
      <c r="N284" s="156">
        <v>39.111199999999997</v>
      </c>
      <c r="O284" s="156"/>
      <c r="P284" s="156"/>
      <c r="Q284" s="156"/>
      <c r="R284" s="157"/>
      <c r="S284" s="158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46">
        <v>10.34</v>
      </c>
      <c r="F285" s="46">
        <v>36.201900000000002</v>
      </c>
      <c r="G285" s="70"/>
      <c r="H285" s="70"/>
      <c r="I285" s="66"/>
      <c r="J285" s="66"/>
      <c r="K285" s="67"/>
      <c r="L285" s="29"/>
      <c r="M285" s="156">
        <v>10.327999999999999</v>
      </c>
      <c r="N285" s="156">
        <v>36.195799999999998</v>
      </c>
      <c r="O285" s="156"/>
      <c r="P285" s="156"/>
      <c r="Q285" s="156"/>
      <c r="R285" s="157"/>
      <c r="S285" s="158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46">
        <v>4.8952</v>
      </c>
      <c r="F286" s="46">
        <v>34.301200000000001</v>
      </c>
      <c r="G286" s="70"/>
      <c r="H286" s="70"/>
      <c r="I286" s="66"/>
      <c r="J286" s="66"/>
      <c r="K286" s="67"/>
      <c r="L286" s="29"/>
      <c r="M286" s="159">
        <v>4.8815999999999997</v>
      </c>
      <c r="N286" s="159">
        <v>34.323700000000002</v>
      </c>
      <c r="O286" s="159"/>
      <c r="P286" s="159"/>
      <c r="Q286" s="159"/>
      <c r="R286" s="160"/>
      <c r="S286" s="161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78"/>
      <c r="F287" s="45">
        <v>40</v>
      </c>
      <c r="G287" s="45">
        <v>46.663499999999999</v>
      </c>
      <c r="H287" s="45">
        <v>45.986800000000002</v>
      </c>
      <c r="I287" s="79"/>
      <c r="J287" s="79"/>
      <c r="K287" s="80"/>
      <c r="L287" s="29"/>
      <c r="M287" s="153"/>
      <c r="N287" s="153">
        <v>40.002400000000002</v>
      </c>
      <c r="O287" s="153">
        <v>46.631799999999998</v>
      </c>
      <c r="P287" s="153">
        <v>46.008899999999997</v>
      </c>
      <c r="Q287" s="153"/>
      <c r="R287" s="154"/>
      <c r="S287" s="155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70"/>
      <c r="F288" s="46">
        <v>37.926299999999998</v>
      </c>
      <c r="G288" s="46">
        <v>45.177399999999999</v>
      </c>
      <c r="H288" s="46">
        <v>44.331499999999998</v>
      </c>
      <c r="I288" s="66"/>
      <c r="J288" s="66"/>
      <c r="K288" s="67"/>
      <c r="L288" s="29"/>
      <c r="M288" s="156"/>
      <c r="N288" s="156">
        <v>37.924799999999998</v>
      </c>
      <c r="O288" s="156">
        <v>45.177799999999998</v>
      </c>
      <c r="P288" s="156">
        <v>44.341799999999999</v>
      </c>
      <c r="Q288" s="156"/>
      <c r="R288" s="157"/>
      <c r="S288" s="158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70"/>
      <c r="F289" s="46">
        <v>35.883600000000001</v>
      </c>
      <c r="G289" s="46">
        <v>43.695500000000003</v>
      </c>
      <c r="H289" s="46">
        <v>42.967700000000001</v>
      </c>
      <c r="I289" s="66"/>
      <c r="J289" s="66"/>
      <c r="K289" s="67"/>
      <c r="L289" s="29"/>
      <c r="M289" s="156"/>
      <c r="N289" s="156">
        <v>35.886699999999998</v>
      </c>
      <c r="O289" s="156">
        <v>43.6877</v>
      </c>
      <c r="P289" s="156">
        <v>42.979199999999999</v>
      </c>
      <c r="Q289" s="156"/>
      <c r="R289" s="157"/>
      <c r="S289" s="158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3"/>
      <c r="D290" s="71">
        <v>40</v>
      </c>
      <c r="E290" s="81"/>
      <c r="F290" s="72">
        <v>33.770400000000002</v>
      </c>
      <c r="G290" s="72">
        <v>42.502699999999997</v>
      </c>
      <c r="H290" s="72">
        <v>42.026600000000002</v>
      </c>
      <c r="I290" s="68"/>
      <c r="J290" s="68"/>
      <c r="K290" s="69"/>
      <c r="L290" s="29"/>
      <c r="M290" s="159"/>
      <c r="N290" s="159">
        <v>33.770800000000001</v>
      </c>
      <c r="O290" s="159">
        <v>42.503700000000002</v>
      </c>
      <c r="P290" s="159">
        <v>42.029499999999999</v>
      </c>
      <c r="Q290" s="159"/>
      <c r="R290" s="160"/>
      <c r="S290" s="161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70"/>
      <c r="F291" s="45">
        <v>40.707599999999999</v>
      </c>
      <c r="G291" s="45">
        <v>47.3658</v>
      </c>
      <c r="H291" s="45">
        <v>46.859499999999997</v>
      </c>
      <c r="I291" s="66"/>
      <c r="J291" s="66"/>
      <c r="K291" s="67"/>
      <c r="L291" s="29"/>
      <c r="M291" s="153"/>
      <c r="N291" s="153">
        <v>40.707999999999998</v>
      </c>
      <c r="O291" s="153">
        <v>47.352800000000002</v>
      </c>
      <c r="P291" s="153">
        <v>46.883200000000002</v>
      </c>
      <c r="Q291" s="153"/>
      <c r="R291" s="154"/>
      <c r="S291" s="155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70"/>
      <c r="F292" s="46">
        <v>38.418500000000002</v>
      </c>
      <c r="G292" s="46">
        <v>45.702300000000001</v>
      </c>
      <c r="H292" s="46">
        <v>45.120800000000003</v>
      </c>
      <c r="I292" s="66"/>
      <c r="J292" s="66"/>
      <c r="K292" s="67"/>
      <c r="L292" s="29"/>
      <c r="M292" s="156"/>
      <c r="N292" s="156">
        <v>38.419199999999996</v>
      </c>
      <c r="O292" s="156">
        <v>45.702599999999997</v>
      </c>
      <c r="P292" s="156">
        <v>45.1312</v>
      </c>
      <c r="Q292" s="156"/>
      <c r="R292" s="157"/>
      <c r="S292" s="158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70"/>
      <c r="F293" s="46">
        <v>36.244999999999997</v>
      </c>
      <c r="G293" s="46">
        <v>44.017899999999997</v>
      </c>
      <c r="H293" s="46">
        <v>43.511400000000002</v>
      </c>
      <c r="I293" s="66"/>
      <c r="J293" s="66"/>
      <c r="K293" s="67"/>
      <c r="L293" s="29"/>
      <c r="M293" s="156"/>
      <c r="N293" s="156">
        <v>36.246400000000001</v>
      </c>
      <c r="O293" s="156">
        <v>44.002600000000001</v>
      </c>
      <c r="P293" s="156">
        <v>43.521999999999998</v>
      </c>
      <c r="Q293" s="156"/>
      <c r="R293" s="157"/>
      <c r="S293" s="158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3"/>
      <c r="D294" s="71">
        <v>40</v>
      </c>
      <c r="E294" s="81"/>
      <c r="F294" s="46">
        <v>34.037599999999998</v>
      </c>
      <c r="G294" s="72">
        <v>42.704900000000002</v>
      </c>
      <c r="H294" s="72">
        <v>42.400700000000001</v>
      </c>
      <c r="I294" s="68"/>
      <c r="J294" s="68"/>
      <c r="K294" s="69"/>
      <c r="L294" s="29"/>
      <c r="M294" s="159"/>
      <c r="N294" s="159">
        <v>34.037700000000001</v>
      </c>
      <c r="O294" s="159">
        <v>42.707299999999996</v>
      </c>
      <c r="P294" s="159">
        <v>42.403300000000002</v>
      </c>
      <c r="Q294" s="159"/>
      <c r="R294" s="160"/>
      <c r="S294" s="161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70"/>
      <c r="F295" s="45">
        <v>40.615900000000003</v>
      </c>
      <c r="G295" s="45">
        <v>47.565300000000001</v>
      </c>
      <c r="H295" s="45">
        <v>47.195999999999998</v>
      </c>
      <c r="I295" s="66"/>
      <c r="J295" s="66"/>
      <c r="K295" s="67"/>
      <c r="L295" s="29"/>
      <c r="M295" s="153"/>
      <c r="N295" s="153">
        <v>40.616599999999998</v>
      </c>
      <c r="O295" s="153">
        <v>47.562100000000001</v>
      </c>
      <c r="P295" s="153">
        <v>47.196300000000001</v>
      </c>
      <c r="Q295" s="153"/>
      <c r="R295" s="154"/>
      <c r="S295" s="155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70"/>
      <c r="F296" s="46">
        <v>38.408900000000003</v>
      </c>
      <c r="G296" s="46">
        <v>46.013199999999998</v>
      </c>
      <c r="H296" s="46">
        <v>45.576599999999999</v>
      </c>
      <c r="I296" s="66"/>
      <c r="J296" s="66"/>
      <c r="K296" s="67"/>
      <c r="L296" s="29"/>
      <c r="M296" s="156"/>
      <c r="N296" s="156">
        <v>38.409300000000002</v>
      </c>
      <c r="O296" s="156">
        <v>46.015900000000002</v>
      </c>
      <c r="P296" s="156">
        <v>45.584000000000003</v>
      </c>
      <c r="Q296" s="156"/>
      <c r="R296" s="157"/>
      <c r="S296" s="158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70"/>
      <c r="F297" s="46">
        <v>36.249299999999998</v>
      </c>
      <c r="G297" s="46">
        <v>44.1873</v>
      </c>
      <c r="H297" s="46">
        <v>43.785600000000002</v>
      </c>
      <c r="I297" s="66"/>
      <c r="J297" s="66"/>
      <c r="K297" s="67"/>
      <c r="L297" s="29"/>
      <c r="M297" s="156"/>
      <c r="N297" s="156">
        <v>36.249600000000001</v>
      </c>
      <c r="O297" s="156">
        <v>44.185899999999997</v>
      </c>
      <c r="P297" s="156">
        <v>43.783099999999997</v>
      </c>
      <c r="Q297" s="156"/>
      <c r="R297" s="157"/>
      <c r="S297" s="158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3"/>
      <c r="D298" s="71">
        <v>40</v>
      </c>
      <c r="E298" s="81"/>
      <c r="F298" s="46">
        <v>34.039900000000003</v>
      </c>
      <c r="G298" s="72">
        <v>42.879800000000003</v>
      </c>
      <c r="H298" s="72">
        <v>42.537799999999997</v>
      </c>
      <c r="I298" s="68"/>
      <c r="J298" s="68"/>
      <c r="K298" s="69"/>
      <c r="L298" s="29"/>
      <c r="M298" s="159"/>
      <c r="N298" s="159">
        <v>34.039700000000003</v>
      </c>
      <c r="O298" s="159">
        <v>42.879399999999997</v>
      </c>
      <c r="P298" s="159">
        <v>42.5383</v>
      </c>
      <c r="Q298" s="159"/>
      <c r="R298" s="160"/>
      <c r="S298" s="161"/>
      <c r="U298" s="17"/>
      <c r="V298" s="18"/>
      <c r="W298" s="19"/>
      <c r="X298" s="29"/>
      <c r="Z298" s="61"/>
      <c r="AA298" s="57"/>
    </row>
    <row r="299" spans="2:27" ht="12.75">
      <c r="B299" s="36"/>
      <c r="C299" s="29" t="s">
        <v>50</v>
      </c>
      <c r="D299" s="32">
        <v>25</v>
      </c>
      <c r="E299" s="70"/>
      <c r="F299" s="45">
        <v>40.568800000000003</v>
      </c>
      <c r="G299" s="45">
        <v>47.481099999999998</v>
      </c>
      <c r="H299" s="45">
        <v>47.010100000000001</v>
      </c>
      <c r="I299" s="66"/>
      <c r="J299" s="66"/>
      <c r="K299" s="67"/>
      <c r="L299" s="29"/>
      <c r="M299" s="153"/>
      <c r="N299" s="153">
        <v>40.570799999999998</v>
      </c>
      <c r="O299" s="153">
        <v>47.4803</v>
      </c>
      <c r="P299" s="153">
        <v>47.010100000000001</v>
      </c>
      <c r="Q299" s="153"/>
      <c r="R299" s="154"/>
      <c r="S299" s="155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70"/>
      <c r="F300" s="46">
        <v>38.350900000000003</v>
      </c>
      <c r="G300" s="46">
        <v>45.9221</v>
      </c>
      <c r="H300" s="46">
        <v>45.381999999999998</v>
      </c>
      <c r="I300" s="66"/>
      <c r="J300" s="66"/>
      <c r="K300" s="67"/>
      <c r="L300" s="29"/>
      <c r="M300" s="156"/>
      <c r="N300" s="156">
        <v>38.349499999999999</v>
      </c>
      <c r="O300" s="156">
        <v>45.924199999999999</v>
      </c>
      <c r="P300" s="156">
        <v>45.381700000000002</v>
      </c>
      <c r="Q300" s="156"/>
      <c r="R300" s="157"/>
      <c r="S300" s="158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70"/>
      <c r="F301" s="46">
        <v>36.185000000000002</v>
      </c>
      <c r="G301" s="46">
        <v>44.083300000000001</v>
      </c>
      <c r="H301" s="46">
        <v>43.551000000000002</v>
      </c>
      <c r="I301" s="66"/>
      <c r="J301" s="66"/>
      <c r="K301" s="67"/>
      <c r="L301" s="29"/>
      <c r="M301" s="156"/>
      <c r="N301" s="156">
        <v>36.184600000000003</v>
      </c>
      <c r="O301" s="156">
        <v>44.083399999999997</v>
      </c>
      <c r="P301" s="156">
        <v>43.551299999999998</v>
      </c>
      <c r="Q301" s="156"/>
      <c r="R301" s="157"/>
      <c r="S301" s="158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3"/>
      <c r="D302" s="71">
        <v>40</v>
      </c>
      <c r="E302" s="81"/>
      <c r="F302" s="46">
        <v>33.963900000000002</v>
      </c>
      <c r="G302" s="72">
        <v>42.745899999999999</v>
      </c>
      <c r="H302" s="72">
        <v>42.279699999999998</v>
      </c>
      <c r="I302" s="68"/>
      <c r="J302" s="68"/>
      <c r="K302" s="69"/>
      <c r="L302" s="29"/>
      <c r="M302" s="159"/>
      <c r="N302" s="159">
        <v>33.963700000000003</v>
      </c>
      <c r="O302" s="159">
        <v>42.745699999999999</v>
      </c>
      <c r="P302" s="159">
        <v>42.279299999999999</v>
      </c>
      <c r="Q302" s="159"/>
      <c r="R302" s="160"/>
      <c r="S302" s="161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70"/>
      <c r="F303" s="45">
        <v>40.605499999999999</v>
      </c>
      <c r="G303" s="45">
        <v>47.0443</v>
      </c>
      <c r="H303" s="45">
        <v>46.818399999999997</v>
      </c>
      <c r="I303" s="66"/>
      <c r="J303" s="66"/>
      <c r="K303" s="67"/>
      <c r="L303" s="29"/>
      <c r="M303" s="154"/>
      <c r="N303" s="154">
        <v>40.601700000000001</v>
      </c>
      <c r="O303" s="154">
        <v>47.033099999999997</v>
      </c>
      <c r="P303" s="154">
        <v>46.817</v>
      </c>
      <c r="Q303" s="154"/>
      <c r="R303" s="154"/>
      <c r="S303" s="155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70"/>
      <c r="F304" s="46">
        <v>38.2669</v>
      </c>
      <c r="G304" s="46">
        <v>45.507899999999999</v>
      </c>
      <c r="H304" s="46">
        <v>45.187100000000001</v>
      </c>
      <c r="I304" s="66"/>
      <c r="J304" s="66"/>
      <c r="K304" s="67"/>
      <c r="L304" s="29"/>
      <c r="M304" s="157"/>
      <c r="N304" s="157">
        <v>38.268999999999998</v>
      </c>
      <c r="O304" s="157">
        <v>45.519100000000002</v>
      </c>
      <c r="P304" s="157">
        <v>45.191000000000003</v>
      </c>
      <c r="Q304" s="157"/>
      <c r="R304" s="157"/>
      <c r="S304" s="158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70"/>
      <c r="F305" s="46">
        <v>36.077500000000001</v>
      </c>
      <c r="G305" s="46">
        <v>43.748199999999997</v>
      </c>
      <c r="H305" s="46">
        <v>43.397399999999998</v>
      </c>
      <c r="I305" s="66"/>
      <c r="J305" s="66"/>
      <c r="K305" s="67"/>
      <c r="L305" s="29"/>
      <c r="M305" s="157"/>
      <c r="N305" s="157">
        <v>36.0764</v>
      </c>
      <c r="O305" s="157">
        <v>43.758099999999999</v>
      </c>
      <c r="P305" s="157">
        <v>43.3917</v>
      </c>
      <c r="Q305" s="157"/>
      <c r="R305" s="157"/>
      <c r="S305" s="158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3"/>
      <c r="D306" s="71">
        <v>40</v>
      </c>
      <c r="E306" s="81"/>
      <c r="F306" s="72">
        <v>33.861899999999999</v>
      </c>
      <c r="G306" s="72">
        <v>42.475000000000001</v>
      </c>
      <c r="H306" s="72">
        <v>42.064500000000002</v>
      </c>
      <c r="I306" s="68"/>
      <c r="J306" s="68"/>
      <c r="K306" s="69"/>
      <c r="L306" s="29"/>
      <c r="M306" s="160"/>
      <c r="N306" s="160">
        <v>33.861699999999999</v>
      </c>
      <c r="O306" s="160">
        <v>42.481299999999997</v>
      </c>
      <c r="P306" s="160">
        <v>42.075000000000003</v>
      </c>
      <c r="Q306" s="160"/>
      <c r="R306" s="160"/>
      <c r="S306" s="161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70"/>
      <c r="F307" s="45">
        <v>39.906399999999998</v>
      </c>
      <c r="G307" s="45">
        <v>46.212299999999999</v>
      </c>
      <c r="H307" s="45">
        <v>46.401800000000001</v>
      </c>
      <c r="I307" s="66"/>
      <c r="J307" s="66"/>
      <c r="K307" s="67"/>
      <c r="L307" s="29"/>
      <c r="M307" s="154"/>
      <c r="N307" s="154">
        <v>39.908099999999997</v>
      </c>
      <c r="O307" s="154">
        <v>46.196199999999997</v>
      </c>
      <c r="P307" s="154">
        <v>46.398099999999999</v>
      </c>
      <c r="Q307" s="154"/>
      <c r="R307" s="154"/>
      <c r="S307" s="155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70"/>
      <c r="F308" s="46">
        <v>37.741900000000001</v>
      </c>
      <c r="G308" s="46">
        <v>44.877000000000002</v>
      </c>
      <c r="H308" s="46">
        <v>44.880400000000002</v>
      </c>
      <c r="I308" s="66"/>
      <c r="J308" s="66"/>
      <c r="K308" s="67"/>
      <c r="L308" s="29"/>
      <c r="M308" s="157"/>
      <c r="N308" s="157">
        <v>37.741700000000002</v>
      </c>
      <c r="O308" s="157">
        <v>44.895800000000001</v>
      </c>
      <c r="P308" s="157">
        <v>44.884500000000003</v>
      </c>
      <c r="Q308" s="157"/>
      <c r="R308" s="157"/>
      <c r="S308" s="158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70"/>
      <c r="F309" s="46">
        <v>35.659999999999997</v>
      </c>
      <c r="G309" s="46">
        <v>43.3322</v>
      </c>
      <c r="H309" s="46">
        <v>43.2014</v>
      </c>
      <c r="I309" s="66"/>
      <c r="J309" s="66"/>
      <c r="K309" s="67"/>
      <c r="L309" s="29"/>
      <c r="M309" s="157"/>
      <c r="N309" s="157">
        <v>35.659399999999998</v>
      </c>
      <c r="O309" s="157">
        <v>43.341200000000001</v>
      </c>
      <c r="P309" s="157">
        <v>43.205800000000004</v>
      </c>
      <c r="Q309" s="157"/>
      <c r="R309" s="157"/>
      <c r="S309" s="158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3"/>
      <c r="D310" s="71">
        <v>40</v>
      </c>
      <c r="E310" s="81"/>
      <c r="F310" s="72">
        <v>33.546700000000001</v>
      </c>
      <c r="G310" s="72">
        <v>42.153500000000001</v>
      </c>
      <c r="H310" s="72">
        <v>41.943600000000004</v>
      </c>
      <c r="I310" s="68"/>
      <c r="J310" s="68"/>
      <c r="K310" s="69"/>
      <c r="L310" s="29"/>
      <c r="M310" s="160"/>
      <c r="N310" s="160">
        <v>33.545699999999997</v>
      </c>
      <c r="O310" s="160">
        <v>42.160800000000002</v>
      </c>
      <c r="P310" s="160">
        <v>41.948999999999998</v>
      </c>
      <c r="Q310" s="160"/>
      <c r="R310" s="160"/>
      <c r="S310" s="161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45">
        <v>4218.1008000000002</v>
      </c>
      <c r="F311" s="70"/>
      <c r="G311" s="70"/>
      <c r="H311" s="70"/>
      <c r="I311" s="45">
        <v>41247.379999999997</v>
      </c>
      <c r="J311" s="45">
        <v>106.06</v>
      </c>
      <c r="K311" s="45"/>
      <c r="L311" s="29"/>
      <c r="M311" s="157">
        <v>4218.3576000000003</v>
      </c>
      <c r="N311" s="157"/>
      <c r="O311" s="157"/>
      <c r="P311" s="157"/>
      <c r="Q311" s="157">
        <v>38975.64</v>
      </c>
      <c r="R311" s="157">
        <v>91.37</v>
      </c>
      <c r="S311" s="158">
        <v>769.44</v>
      </c>
      <c r="U311" s="8"/>
      <c r="V311" s="9"/>
      <c r="W311" s="10"/>
      <c r="X311" s="29"/>
      <c r="Y311" s="61">
        <f>GEOMEAN(Q311:Q314)/GEOMEAN(I311:I314)</f>
        <v>0.84848316949956426</v>
      </c>
      <c r="Z311" s="61">
        <f>GEOMEAN(R311:R314)/GEOMEAN(J311:J314)</f>
        <v>0.75774444257229545</v>
      </c>
      <c r="AA311" s="57" t="e">
        <f>GEOMEAN(S311:S314)/GEOMEAN(K311:K314)</f>
        <v>#NUM!</v>
      </c>
    </row>
    <row r="312" spans="1:27" ht="12.75">
      <c r="B312" s="36"/>
      <c r="C312" s="29"/>
      <c r="D312" s="32">
        <v>30</v>
      </c>
      <c r="E312" s="46">
        <v>1452.6487999999999</v>
      </c>
      <c r="F312" s="70"/>
      <c r="G312" s="70"/>
      <c r="H312" s="70"/>
      <c r="I312" s="46">
        <v>31336.53</v>
      </c>
      <c r="J312" s="46">
        <v>150.16999999999999</v>
      </c>
      <c r="K312" s="46"/>
      <c r="L312" s="29"/>
      <c r="M312" s="157">
        <v>1452.2888</v>
      </c>
      <c r="N312" s="157"/>
      <c r="O312" s="157"/>
      <c r="P312" s="157"/>
      <c r="Q312" s="157">
        <v>30137.53</v>
      </c>
      <c r="R312" s="157">
        <v>103.15</v>
      </c>
      <c r="S312" s="158">
        <v>747.05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46">
        <v>656.88720000000001</v>
      </c>
      <c r="F313" s="70"/>
      <c r="G313" s="70"/>
      <c r="H313" s="70"/>
      <c r="I313" s="46">
        <v>27843.1</v>
      </c>
      <c r="J313" s="46">
        <v>82.94</v>
      </c>
      <c r="K313" s="46"/>
      <c r="L313" s="29"/>
      <c r="M313" s="157">
        <v>656.51599999999996</v>
      </c>
      <c r="N313" s="157"/>
      <c r="O313" s="157"/>
      <c r="P313" s="157"/>
      <c r="Q313" s="157">
        <v>26846.81</v>
      </c>
      <c r="R313" s="157">
        <v>84.06</v>
      </c>
      <c r="S313" s="158">
        <v>744.55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2"/>
      <c r="C314" s="53"/>
      <c r="D314" s="71">
        <v>40</v>
      </c>
      <c r="E314" s="72">
        <v>331.62720000000002</v>
      </c>
      <c r="F314" s="81"/>
      <c r="G314" s="81"/>
      <c r="H314" s="81"/>
      <c r="I314" s="72">
        <v>40795.43</v>
      </c>
      <c r="J314" s="72">
        <v>179.77</v>
      </c>
      <c r="K314" s="72"/>
      <c r="L314" s="29"/>
      <c r="M314" s="160">
        <v>331.49439999999998</v>
      </c>
      <c r="N314" s="160"/>
      <c r="O314" s="160"/>
      <c r="P314" s="160"/>
      <c r="Q314" s="160">
        <v>24129.91</v>
      </c>
      <c r="R314" s="160">
        <v>98.82</v>
      </c>
      <c r="S314" s="161">
        <v>752.72</v>
      </c>
      <c r="U314" s="85"/>
      <c r="V314" s="86"/>
      <c r="W314" s="87"/>
      <c r="X314" s="29"/>
      <c r="Y314" s="49"/>
      <c r="Z314" s="49"/>
      <c r="AA314" s="54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4628.1440000000002</v>
      </c>
      <c r="F315" s="45">
        <v>38.803199999999997</v>
      </c>
      <c r="G315" s="45">
        <v>46.650700000000001</v>
      </c>
      <c r="H315" s="45">
        <v>45.958799999999997</v>
      </c>
      <c r="I315" s="79"/>
      <c r="J315" s="79"/>
      <c r="K315" s="80"/>
      <c r="L315" s="29"/>
      <c r="M315" s="153">
        <v>4628.1440000000002</v>
      </c>
      <c r="N315" s="153">
        <v>38.803199999999997</v>
      </c>
      <c r="O315" s="153">
        <v>46.650700000000001</v>
      </c>
      <c r="P315" s="153">
        <v>45.958799999999997</v>
      </c>
      <c r="Q315" s="153"/>
      <c r="R315" s="154"/>
      <c r="S315" s="155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46">
        <v>2007.308</v>
      </c>
      <c r="F316" s="46">
        <v>35.911799999999999</v>
      </c>
      <c r="G316" s="46">
        <v>45.155500000000004</v>
      </c>
      <c r="H316" s="46">
        <v>44.572600000000001</v>
      </c>
      <c r="I316" s="66"/>
      <c r="J316" s="66"/>
      <c r="K316" s="67"/>
      <c r="L316" s="29"/>
      <c r="M316" s="156">
        <v>2007.308</v>
      </c>
      <c r="N316" s="156">
        <v>35.911799999999999</v>
      </c>
      <c r="O316" s="156">
        <v>45.155500000000004</v>
      </c>
      <c r="P316" s="156">
        <v>44.572600000000001</v>
      </c>
      <c r="Q316" s="156"/>
      <c r="R316" s="157"/>
      <c r="S316" s="158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46">
        <v>916.85599999999999</v>
      </c>
      <c r="F317" s="46">
        <v>33.377400000000002</v>
      </c>
      <c r="G317" s="46">
        <v>43.7864</v>
      </c>
      <c r="H317" s="46">
        <v>43.341200000000001</v>
      </c>
      <c r="I317" s="66"/>
      <c r="J317" s="66"/>
      <c r="K317" s="67"/>
      <c r="L317" s="29"/>
      <c r="M317" s="156">
        <v>916.85599999999999</v>
      </c>
      <c r="N317" s="156">
        <v>33.377400000000002</v>
      </c>
      <c r="O317" s="156">
        <v>43.7864</v>
      </c>
      <c r="P317" s="156">
        <v>43.341200000000001</v>
      </c>
      <c r="Q317" s="156"/>
      <c r="R317" s="157"/>
      <c r="S317" s="158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46">
        <v>425.44720000000001</v>
      </c>
      <c r="F318" s="46">
        <v>31.080500000000001</v>
      </c>
      <c r="G318" s="46">
        <v>42.991700000000002</v>
      </c>
      <c r="H318" s="46">
        <v>42.590800000000002</v>
      </c>
      <c r="I318" s="66"/>
      <c r="J318" s="66"/>
      <c r="K318" s="67"/>
      <c r="L318" s="29"/>
      <c r="M318" s="159">
        <v>425.44720000000001</v>
      </c>
      <c r="N318" s="159">
        <v>31.080500000000001</v>
      </c>
      <c r="O318" s="159">
        <v>42.991700000000002</v>
      </c>
      <c r="P318" s="159">
        <v>42.590800000000002</v>
      </c>
      <c r="Q318" s="159"/>
      <c r="R318" s="160"/>
      <c r="S318" s="161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45">
        <v>911.25519999999995</v>
      </c>
      <c r="F319" s="45">
        <v>37.979599999999998</v>
      </c>
      <c r="G319" s="45">
        <v>46.570700000000002</v>
      </c>
      <c r="H319" s="45">
        <v>45.971800000000002</v>
      </c>
      <c r="I319" s="79"/>
      <c r="J319" s="79"/>
      <c r="K319" s="80"/>
      <c r="L319" s="29"/>
      <c r="M319" s="156">
        <v>910.41600000000005</v>
      </c>
      <c r="N319" s="156">
        <v>37.979100000000003</v>
      </c>
      <c r="O319" s="156">
        <v>46.570399999999999</v>
      </c>
      <c r="P319" s="156">
        <v>45.969499999999996</v>
      </c>
      <c r="Q319" s="156"/>
      <c r="R319" s="157"/>
      <c r="S319" s="158"/>
      <c r="U319" s="8">
        <f>bdrate($E319:$E322,F319:F322,$M319:$M322,N319:N322)</f>
        <v>-7.0930569265614807E-4</v>
      </c>
      <c r="V319" s="9">
        <f>bdrate($E319:$E322,G319:G322,$M319:$M322,O319:O322)</f>
        <v>-1.0492315439056821E-3</v>
      </c>
      <c r="W319" s="10">
        <f>bdrate($E319:$E322,H319:H322,$M319:$M322,P319:P322)</f>
        <v>1.3499948717103916E-3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46">
        <v>319.93119999999999</v>
      </c>
      <c r="F320" s="46">
        <v>35.351700000000001</v>
      </c>
      <c r="G320" s="46">
        <v>45.120899999999999</v>
      </c>
      <c r="H320" s="46">
        <v>44.589799999999997</v>
      </c>
      <c r="I320" s="66"/>
      <c r="J320" s="66"/>
      <c r="K320" s="67"/>
      <c r="L320" s="29"/>
      <c r="M320" s="156">
        <v>319.92959999999999</v>
      </c>
      <c r="N320" s="156">
        <v>35.351900000000001</v>
      </c>
      <c r="O320" s="156">
        <v>45.120699999999999</v>
      </c>
      <c r="P320" s="156">
        <v>44.587299999999999</v>
      </c>
      <c r="Q320" s="156"/>
      <c r="R320" s="157"/>
      <c r="S320" s="158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46">
        <v>136.76159999999999</v>
      </c>
      <c r="F321" s="46">
        <v>32.953200000000002</v>
      </c>
      <c r="G321" s="46">
        <v>43.844799999999999</v>
      </c>
      <c r="H321" s="46">
        <v>43.406999999999996</v>
      </c>
      <c r="I321" s="66"/>
      <c r="J321" s="66"/>
      <c r="K321" s="67"/>
      <c r="L321" s="29"/>
      <c r="M321" s="156">
        <v>136.60079999999999</v>
      </c>
      <c r="N321" s="156">
        <v>32.953200000000002</v>
      </c>
      <c r="O321" s="156">
        <v>43.845799999999997</v>
      </c>
      <c r="P321" s="156">
        <v>43.4071</v>
      </c>
      <c r="Q321" s="156"/>
      <c r="R321" s="157"/>
      <c r="S321" s="158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46">
        <v>62.863999999999997</v>
      </c>
      <c r="F322" s="46">
        <v>30.733899999999998</v>
      </c>
      <c r="G322" s="46">
        <v>43.044499999999999</v>
      </c>
      <c r="H322" s="46">
        <v>42.664499999999997</v>
      </c>
      <c r="I322" s="66"/>
      <c r="J322" s="66"/>
      <c r="K322" s="67"/>
      <c r="L322" s="29"/>
      <c r="M322" s="156">
        <v>62.764800000000001</v>
      </c>
      <c r="N322" s="156">
        <v>30.733699999999999</v>
      </c>
      <c r="O322" s="156">
        <v>43.047899999999998</v>
      </c>
      <c r="P322" s="156">
        <v>42.655000000000001</v>
      </c>
      <c r="Q322" s="156"/>
      <c r="R322" s="157"/>
      <c r="S322" s="158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45">
        <v>867.05359999999996</v>
      </c>
      <c r="F323" s="45">
        <v>38.144599999999997</v>
      </c>
      <c r="G323" s="45">
        <v>46.514600000000002</v>
      </c>
      <c r="H323" s="45">
        <v>45.777999999999999</v>
      </c>
      <c r="I323" s="79"/>
      <c r="J323" s="79"/>
      <c r="K323" s="80"/>
      <c r="L323" s="29"/>
      <c r="M323" s="153">
        <v>866.57839999999999</v>
      </c>
      <c r="N323" s="153">
        <v>38.145000000000003</v>
      </c>
      <c r="O323" s="153">
        <v>46.514200000000002</v>
      </c>
      <c r="P323" s="153">
        <v>45.776400000000002</v>
      </c>
      <c r="Q323" s="153"/>
      <c r="R323" s="154"/>
      <c r="S323" s="155"/>
      <c r="U323" s="8">
        <f>bdrate($E323:$E326,F323:F326,$M323:$M326,N323:N326)</f>
        <v>4.0807828128031076E-4</v>
      </c>
      <c r="V323" s="9">
        <f>bdrate($E323:$E326,G323:G326,$M323:$M326,O323:O326)</f>
        <v>5.1537534119439066E-4</v>
      </c>
      <c r="W323" s="10">
        <f>bdrate($E323:$E326,H323:H326,$M323:$M326,P323:P326)</f>
        <v>-2.4600283888198682E-4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46">
        <v>305.03440000000001</v>
      </c>
      <c r="F324" s="46">
        <v>35.534500000000001</v>
      </c>
      <c r="G324" s="46">
        <v>45.045900000000003</v>
      </c>
      <c r="H324" s="46">
        <v>44.426099999999998</v>
      </c>
      <c r="I324" s="66"/>
      <c r="J324" s="66"/>
      <c r="K324" s="67"/>
      <c r="L324" s="29"/>
      <c r="M324" s="156">
        <v>305.02159999999998</v>
      </c>
      <c r="N324" s="156">
        <v>35.534300000000002</v>
      </c>
      <c r="O324" s="156">
        <v>45.043900000000001</v>
      </c>
      <c r="P324" s="156">
        <v>44.426699999999997</v>
      </c>
      <c r="Q324" s="156"/>
      <c r="R324" s="157"/>
      <c r="S324" s="158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46">
        <v>130.404</v>
      </c>
      <c r="F325" s="46">
        <v>33.140799999999999</v>
      </c>
      <c r="G325" s="46">
        <v>43.754100000000001</v>
      </c>
      <c r="H325" s="46">
        <v>43.258899999999997</v>
      </c>
      <c r="I325" s="66"/>
      <c r="J325" s="66"/>
      <c r="K325" s="67"/>
      <c r="L325" s="29"/>
      <c r="M325" s="156">
        <v>130.708</v>
      </c>
      <c r="N325" s="156">
        <v>33.142299999999999</v>
      </c>
      <c r="O325" s="156">
        <v>43.755000000000003</v>
      </c>
      <c r="P325" s="156">
        <v>43.261299999999999</v>
      </c>
      <c r="Q325" s="156"/>
      <c r="R325" s="157"/>
      <c r="S325" s="158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3"/>
      <c r="D326" s="71">
        <v>40</v>
      </c>
      <c r="E326" s="72">
        <v>60.586399999999998</v>
      </c>
      <c r="F326" s="72">
        <v>30.906199999999998</v>
      </c>
      <c r="G326" s="72">
        <v>42.9557</v>
      </c>
      <c r="H326" s="72">
        <v>42.511400000000002</v>
      </c>
      <c r="I326" s="68"/>
      <c r="J326" s="68"/>
      <c r="K326" s="69"/>
      <c r="L326" s="29"/>
      <c r="M326" s="159">
        <v>60.535200000000003</v>
      </c>
      <c r="N326" s="159">
        <v>30.907299999999999</v>
      </c>
      <c r="O326" s="159">
        <v>42.961300000000001</v>
      </c>
      <c r="P326" s="159">
        <v>42.512999999999998</v>
      </c>
      <c r="Q326" s="159"/>
      <c r="R326" s="160"/>
      <c r="S326" s="161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45">
        <v>207.29679999999999</v>
      </c>
      <c r="F327" s="45">
        <v>47.519599999999997</v>
      </c>
      <c r="G327" s="78"/>
      <c r="H327" s="78"/>
      <c r="I327" s="79"/>
      <c r="J327" s="79"/>
      <c r="K327" s="80"/>
      <c r="L327" s="29"/>
      <c r="M327" s="153">
        <v>207.29679999999999</v>
      </c>
      <c r="N327" s="153">
        <v>47.519599999999997</v>
      </c>
      <c r="O327" s="153"/>
      <c r="P327" s="153"/>
      <c r="Q327" s="153"/>
      <c r="R327" s="154"/>
      <c r="S327" s="155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46">
        <v>93.056799999999996</v>
      </c>
      <c r="F328" s="46">
        <v>42.8932</v>
      </c>
      <c r="G328" s="70"/>
      <c r="H328" s="70"/>
      <c r="I328" s="66"/>
      <c r="J328" s="66"/>
      <c r="K328" s="67"/>
      <c r="L328" s="29"/>
      <c r="M328" s="156">
        <v>93.056799999999996</v>
      </c>
      <c r="N328" s="156">
        <v>42.8932</v>
      </c>
      <c r="O328" s="156"/>
      <c r="P328" s="156"/>
      <c r="Q328" s="156"/>
      <c r="R328" s="157"/>
      <c r="S328" s="158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46">
        <v>45.5336</v>
      </c>
      <c r="F329" s="46">
        <v>39.178699999999999</v>
      </c>
      <c r="G329" s="70"/>
      <c r="H329" s="70"/>
      <c r="I329" s="66"/>
      <c r="J329" s="66"/>
      <c r="K329" s="67"/>
      <c r="L329" s="29"/>
      <c r="M329" s="156">
        <v>45.5336</v>
      </c>
      <c r="N329" s="156">
        <v>39.178699999999999</v>
      </c>
      <c r="O329" s="156"/>
      <c r="P329" s="156"/>
      <c r="Q329" s="156"/>
      <c r="R329" s="157"/>
      <c r="S329" s="158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46">
        <v>21.655200000000001</v>
      </c>
      <c r="F330" s="46">
        <v>35.120699999999999</v>
      </c>
      <c r="G330" s="70"/>
      <c r="H330" s="70"/>
      <c r="I330" s="66"/>
      <c r="J330" s="66"/>
      <c r="K330" s="67"/>
      <c r="L330" s="29"/>
      <c r="M330" s="159">
        <v>21.655200000000001</v>
      </c>
      <c r="N330" s="159">
        <v>35.120699999999999</v>
      </c>
      <c r="O330" s="159"/>
      <c r="P330" s="159"/>
      <c r="Q330" s="159"/>
      <c r="R330" s="160"/>
      <c r="S330" s="161"/>
      <c r="U330" s="17"/>
      <c r="V330" s="18"/>
      <c r="W330" s="19"/>
      <c r="X330" s="29"/>
      <c r="Y330" s="61"/>
      <c r="Z330" s="61"/>
      <c r="AA330" s="57"/>
    </row>
    <row r="331" spans="2:27" ht="12.75">
      <c r="B331" s="36"/>
      <c r="C331" s="28" t="s">
        <v>30</v>
      </c>
      <c r="D331" s="31">
        <v>34</v>
      </c>
      <c r="E331" s="45">
        <v>93.997600000000006</v>
      </c>
      <c r="F331" s="45">
        <v>46.168900000000001</v>
      </c>
      <c r="G331" s="78"/>
      <c r="H331" s="78"/>
      <c r="I331" s="79"/>
      <c r="J331" s="79"/>
      <c r="K331" s="80"/>
      <c r="L331" s="29"/>
      <c r="M331" s="153">
        <v>93.651200000000003</v>
      </c>
      <c r="N331" s="153">
        <v>46.179699999999997</v>
      </c>
      <c r="O331" s="153"/>
      <c r="P331" s="153"/>
      <c r="Q331" s="153"/>
      <c r="R331" s="154"/>
      <c r="S331" s="155"/>
      <c r="U331" s="8">
        <f>bdrate($E331:$E334,F331:F334,$M331:$M334,N331:N334)</f>
        <v>-3.7814820134679517E-3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46">
        <v>37.6768</v>
      </c>
      <c r="F332" s="46">
        <v>41.857500000000002</v>
      </c>
      <c r="G332" s="70"/>
      <c r="H332" s="70"/>
      <c r="I332" s="66"/>
      <c r="J332" s="66"/>
      <c r="K332" s="67"/>
      <c r="L332" s="29"/>
      <c r="M332" s="156">
        <v>37.413600000000002</v>
      </c>
      <c r="N332" s="156">
        <v>41.865600000000001</v>
      </c>
      <c r="O332" s="156"/>
      <c r="P332" s="156"/>
      <c r="Q332" s="156"/>
      <c r="R332" s="157"/>
      <c r="S332" s="158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46">
        <v>19.010400000000001</v>
      </c>
      <c r="F333" s="46">
        <v>38.403599999999997</v>
      </c>
      <c r="G333" s="70"/>
      <c r="H333" s="70"/>
      <c r="I333" s="66"/>
      <c r="J333" s="66"/>
      <c r="K333" s="67"/>
      <c r="L333" s="29"/>
      <c r="M333" s="156">
        <v>19.024000000000001</v>
      </c>
      <c r="N333" s="156">
        <v>38.415900000000001</v>
      </c>
      <c r="O333" s="156"/>
      <c r="P333" s="156"/>
      <c r="Q333" s="156"/>
      <c r="R333" s="157"/>
      <c r="S333" s="158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46">
        <v>9.5327999999999999</v>
      </c>
      <c r="F334" s="46">
        <v>34.552999999999997</v>
      </c>
      <c r="G334" s="70"/>
      <c r="H334" s="70"/>
      <c r="I334" s="66"/>
      <c r="J334" s="66"/>
      <c r="K334" s="67"/>
      <c r="L334" s="29"/>
      <c r="M334" s="159">
        <v>9.5944000000000003</v>
      </c>
      <c r="N334" s="159">
        <v>34.545299999999997</v>
      </c>
      <c r="O334" s="159"/>
      <c r="P334" s="159"/>
      <c r="Q334" s="159"/>
      <c r="R334" s="160"/>
      <c r="S334" s="161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45">
        <v>93.908799999999999</v>
      </c>
      <c r="F335" s="45">
        <v>46.3354</v>
      </c>
      <c r="G335" s="78"/>
      <c r="H335" s="78"/>
      <c r="I335" s="79"/>
      <c r="J335" s="79"/>
      <c r="K335" s="80"/>
      <c r="L335" s="29"/>
      <c r="M335" s="153">
        <v>93.871200000000002</v>
      </c>
      <c r="N335" s="153">
        <v>46.339300000000001</v>
      </c>
      <c r="O335" s="153"/>
      <c r="P335" s="153"/>
      <c r="Q335" s="153"/>
      <c r="R335" s="154"/>
      <c r="S335" s="155"/>
      <c r="U335" s="8">
        <f>bdrate($E335:$E338,F335:F338,$M335:$M338,N335:N338)</f>
        <v>-2.5169345717049874E-3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46">
        <v>38.728000000000002</v>
      </c>
      <c r="F336" s="46">
        <v>41.9848</v>
      </c>
      <c r="G336" s="70"/>
      <c r="H336" s="70"/>
      <c r="I336" s="66"/>
      <c r="J336" s="66"/>
      <c r="K336" s="67"/>
      <c r="L336" s="29"/>
      <c r="M336" s="156">
        <v>38.671999999999997</v>
      </c>
      <c r="N336" s="156">
        <v>41.9803</v>
      </c>
      <c r="O336" s="156"/>
      <c r="P336" s="156"/>
      <c r="Q336" s="156"/>
      <c r="R336" s="157"/>
      <c r="S336" s="158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46">
        <v>19.598400000000002</v>
      </c>
      <c r="F337" s="46">
        <v>38.426900000000003</v>
      </c>
      <c r="G337" s="70"/>
      <c r="H337" s="70"/>
      <c r="I337" s="66"/>
      <c r="J337" s="66"/>
      <c r="K337" s="67"/>
      <c r="L337" s="29"/>
      <c r="M337" s="156">
        <v>19.488800000000001</v>
      </c>
      <c r="N337" s="156">
        <v>38.438699999999997</v>
      </c>
      <c r="O337" s="156"/>
      <c r="P337" s="156"/>
      <c r="Q337" s="156"/>
      <c r="R337" s="157"/>
      <c r="S337" s="158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46">
        <v>10.170400000000001</v>
      </c>
      <c r="F338" s="46">
        <v>34.758699999999997</v>
      </c>
      <c r="G338" s="70"/>
      <c r="H338" s="70"/>
      <c r="I338" s="66"/>
      <c r="J338" s="66"/>
      <c r="K338" s="67"/>
      <c r="L338" s="29"/>
      <c r="M338" s="159">
        <v>10.1968</v>
      </c>
      <c r="N338" s="159">
        <v>34.748899999999999</v>
      </c>
      <c r="O338" s="159"/>
      <c r="P338" s="159"/>
      <c r="Q338" s="159"/>
      <c r="R338" s="160"/>
      <c r="S338" s="161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78"/>
      <c r="F339" s="45">
        <v>38.523000000000003</v>
      </c>
      <c r="G339" s="45">
        <v>46.573399999999999</v>
      </c>
      <c r="H339" s="45">
        <v>45.707000000000001</v>
      </c>
      <c r="I339" s="79"/>
      <c r="J339" s="79"/>
      <c r="K339" s="80"/>
      <c r="L339" s="29"/>
      <c r="M339" s="153"/>
      <c r="N339" s="153">
        <v>38.521099999999997</v>
      </c>
      <c r="O339" s="153">
        <v>46.59</v>
      </c>
      <c r="P339" s="153">
        <v>45.689500000000002</v>
      </c>
      <c r="Q339" s="153"/>
      <c r="R339" s="154"/>
      <c r="S339" s="155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70"/>
      <c r="F340" s="46">
        <v>35.705399999999997</v>
      </c>
      <c r="G340" s="46">
        <v>45.267800000000001</v>
      </c>
      <c r="H340" s="46">
        <v>44.47</v>
      </c>
      <c r="I340" s="66"/>
      <c r="J340" s="66"/>
      <c r="K340" s="67"/>
      <c r="L340" s="29"/>
      <c r="M340" s="156"/>
      <c r="N340" s="156">
        <v>35.7042</v>
      </c>
      <c r="O340" s="156">
        <v>45.258699999999997</v>
      </c>
      <c r="P340" s="156">
        <v>44.478000000000002</v>
      </c>
      <c r="Q340" s="156"/>
      <c r="R340" s="157"/>
      <c r="S340" s="158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70"/>
      <c r="F341" s="46">
        <v>33.180999999999997</v>
      </c>
      <c r="G341" s="46">
        <v>43.976199999999999</v>
      </c>
      <c r="H341" s="46">
        <v>43.485900000000001</v>
      </c>
      <c r="I341" s="66"/>
      <c r="J341" s="66"/>
      <c r="K341" s="67"/>
      <c r="L341" s="29"/>
      <c r="M341" s="156"/>
      <c r="N341" s="156">
        <v>33.178199999999997</v>
      </c>
      <c r="O341" s="156">
        <v>43.9617</v>
      </c>
      <c r="P341" s="156">
        <v>43.483699999999999</v>
      </c>
      <c r="Q341" s="156"/>
      <c r="R341" s="157"/>
      <c r="S341" s="158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3"/>
      <c r="D342" s="71">
        <v>40</v>
      </c>
      <c r="E342" s="81"/>
      <c r="F342" s="72">
        <v>30.8644</v>
      </c>
      <c r="G342" s="72">
        <v>43.252600000000001</v>
      </c>
      <c r="H342" s="72">
        <v>42.763300000000001</v>
      </c>
      <c r="I342" s="68"/>
      <c r="J342" s="68"/>
      <c r="K342" s="69"/>
      <c r="L342" s="29"/>
      <c r="M342" s="159"/>
      <c r="N342" s="159">
        <v>30.864899999999999</v>
      </c>
      <c r="O342" s="159">
        <v>43.257800000000003</v>
      </c>
      <c r="P342" s="159">
        <v>42.758800000000001</v>
      </c>
      <c r="Q342" s="159"/>
      <c r="R342" s="160"/>
      <c r="S342" s="161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70"/>
      <c r="F343" s="45">
        <v>38.922800000000002</v>
      </c>
      <c r="G343" s="45">
        <v>46.933100000000003</v>
      </c>
      <c r="H343" s="45">
        <v>46.085299999999997</v>
      </c>
      <c r="I343" s="66"/>
      <c r="J343" s="66"/>
      <c r="K343" s="67"/>
      <c r="L343" s="29"/>
      <c r="M343" s="153"/>
      <c r="N343" s="153">
        <v>38.9131</v>
      </c>
      <c r="O343" s="153">
        <v>46.954599999999999</v>
      </c>
      <c r="P343" s="153">
        <v>46.055700000000002</v>
      </c>
      <c r="Q343" s="153"/>
      <c r="R343" s="154"/>
      <c r="S343" s="155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70"/>
      <c r="F344" s="46">
        <v>35.976399999999998</v>
      </c>
      <c r="G344" s="46">
        <v>45.528599999999997</v>
      </c>
      <c r="H344" s="46">
        <v>44.793300000000002</v>
      </c>
      <c r="I344" s="66"/>
      <c r="J344" s="66"/>
      <c r="K344" s="67"/>
      <c r="L344" s="29"/>
      <c r="M344" s="156"/>
      <c r="N344" s="156">
        <v>35.972799999999999</v>
      </c>
      <c r="O344" s="156">
        <v>45.526499999999999</v>
      </c>
      <c r="P344" s="156">
        <v>44.804699999999997</v>
      </c>
      <c r="Q344" s="156"/>
      <c r="R344" s="157"/>
      <c r="S344" s="158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70"/>
      <c r="F345" s="46">
        <v>33.370800000000003</v>
      </c>
      <c r="G345" s="46">
        <v>44.1858</v>
      </c>
      <c r="H345" s="46">
        <v>43.716700000000003</v>
      </c>
      <c r="I345" s="66"/>
      <c r="J345" s="66"/>
      <c r="K345" s="67"/>
      <c r="L345" s="29"/>
      <c r="M345" s="156"/>
      <c r="N345" s="156">
        <v>33.369500000000002</v>
      </c>
      <c r="O345" s="156">
        <v>44.173699999999997</v>
      </c>
      <c r="P345" s="156">
        <v>43.7181</v>
      </c>
      <c r="Q345" s="156"/>
      <c r="R345" s="157"/>
      <c r="S345" s="158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3"/>
      <c r="D346" s="71">
        <v>40</v>
      </c>
      <c r="E346" s="81"/>
      <c r="F346" s="46">
        <v>31.001899999999999</v>
      </c>
      <c r="G346" s="72">
        <v>43.405799999999999</v>
      </c>
      <c r="H346" s="72">
        <v>42.984299999999998</v>
      </c>
      <c r="I346" s="68"/>
      <c r="J346" s="68"/>
      <c r="K346" s="69"/>
      <c r="L346" s="29"/>
      <c r="M346" s="159"/>
      <c r="N346" s="159">
        <v>31.002700000000001</v>
      </c>
      <c r="O346" s="159">
        <v>43.420299999999997</v>
      </c>
      <c r="P346" s="159">
        <v>42.975299999999997</v>
      </c>
      <c r="Q346" s="159"/>
      <c r="R346" s="160"/>
      <c r="S346" s="161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70"/>
      <c r="F347" s="45">
        <v>39.020899999999997</v>
      </c>
      <c r="G347" s="45">
        <v>47.396700000000003</v>
      </c>
      <c r="H347" s="45">
        <v>46.811900000000001</v>
      </c>
      <c r="I347" s="66"/>
      <c r="J347" s="66"/>
      <c r="K347" s="67"/>
      <c r="L347" s="29"/>
      <c r="M347" s="153"/>
      <c r="N347" s="153">
        <v>39.011800000000001</v>
      </c>
      <c r="O347" s="153">
        <v>47.396799999999999</v>
      </c>
      <c r="P347" s="153">
        <v>46.811</v>
      </c>
      <c r="Q347" s="153"/>
      <c r="R347" s="154"/>
      <c r="S347" s="155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70"/>
      <c r="F348" s="46">
        <v>36.035899999999998</v>
      </c>
      <c r="G348" s="46">
        <v>45.827599999999997</v>
      </c>
      <c r="H348" s="46">
        <v>45.291600000000003</v>
      </c>
      <c r="I348" s="66"/>
      <c r="J348" s="66"/>
      <c r="K348" s="67"/>
      <c r="L348" s="29"/>
      <c r="M348" s="156"/>
      <c r="N348" s="156">
        <v>36.036700000000003</v>
      </c>
      <c r="O348" s="156">
        <v>45.826500000000003</v>
      </c>
      <c r="P348" s="156">
        <v>45.290199999999999</v>
      </c>
      <c r="Q348" s="156"/>
      <c r="R348" s="157"/>
      <c r="S348" s="158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70"/>
      <c r="F349" s="46">
        <v>33.423000000000002</v>
      </c>
      <c r="G349" s="46">
        <v>44.382800000000003</v>
      </c>
      <c r="H349" s="46">
        <v>43.9621</v>
      </c>
      <c r="I349" s="66"/>
      <c r="J349" s="66"/>
      <c r="K349" s="67"/>
      <c r="L349" s="29"/>
      <c r="M349" s="156"/>
      <c r="N349" s="156">
        <v>33.4251</v>
      </c>
      <c r="O349" s="156">
        <v>44.381300000000003</v>
      </c>
      <c r="P349" s="156">
        <v>43.9617</v>
      </c>
      <c r="Q349" s="156"/>
      <c r="R349" s="157"/>
      <c r="S349" s="158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3"/>
      <c r="D350" s="71">
        <v>40</v>
      </c>
      <c r="E350" s="81"/>
      <c r="F350" s="46">
        <v>31.057099999999998</v>
      </c>
      <c r="G350" s="72">
        <v>43.536499999999997</v>
      </c>
      <c r="H350" s="72">
        <v>43.156399999999998</v>
      </c>
      <c r="I350" s="68"/>
      <c r="J350" s="68"/>
      <c r="K350" s="69"/>
      <c r="L350" s="29"/>
      <c r="M350" s="159"/>
      <c r="N350" s="159">
        <v>31.0564</v>
      </c>
      <c r="O350" s="159">
        <v>43.5364</v>
      </c>
      <c r="P350" s="159">
        <v>43.154200000000003</v>
      </c>
      <c r="Q350" s="159"/>
      <c r="R350" s="160"/>
      <c r="S350" s="161"/>
      <c r="U350" s="17"/>
      <c r="V350" s="18"/>
      <c r="W350" s="19"/>
      <c r="X350" s="29"/>
      <c r="Z350" s="61"/>
      <c r="AA350" s="57"/>
    </row>
    <row r="351" spans="2:27" ht="12.75">
      <c r="B351" s="36"/>
      <c r="C351" s="29" t="s">
        <v>50</v>
      </c>
      <c r="D351" s="32">
        <v>25</v>
      </c>
      <c r="E351" s="70"/>
      <c r="F351" s="45">
        <v>39.026800000000001</v>
      </c>
      <c r="G351" s="45">
        <v>47.320500000000003</v>
      </c>
      <c r="H351" s="45">
        <v>46.8035</v>
      </c>
      <c r="I351" s="66"/>
      <c r="J351" s="66"/>
      <c r="K351" s="67"/>
      <c r="L351" s="29"/>
      <c r="M351" s="153"/>
      <c r="N351" s="153">
        <v>39.024299999999997</v>
      </c>
      <c r="O351" s="153">
        <v>47.319499999999998</v>
      </c>
      <c r="P351" s="153">
        <v>46.8033</v>
      </c>
      <c r="Q351" s="153"/>
      <c r="R351" s="154"/>
      <c r="S351" s="155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70"/>
      <c r="F352" s="46">
        <v>36.043500000000002</v>
      </c>
      <c r="G352" s="46">
        <v>45.744399999999999</v>
      </c>
      <c r="H352" s="46">
        <v>45.265599999999999</v>
      </c>
      <c r="I352" s="66"/>
      <c r="J352" s="66"/>
      <c r="K352" s="67"/>
      <c r="L352" s="29"/>
      <c r="M352" s="156"/>
      <c r="N352" s="156">
        <v>36.042400000000001</v>
      </c>
      <c r="O352" s="156">
        <v>45.743200000000002</v>
      </c>
      <c r="P352" s="156">
        <v>45.264499999999998</v>
      </c>
      <c r="Q352" s="156"/>
      <c r="R352" s="157"/>
      <c r="S352" s="158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70"/>
      <c r="F353" s="46">
        <v>33.431800000000003</v>
      </c>
      <c r="G353" s="46">
        <v>44.308</v>
      </c>
      <c r="H353" s="46">
        <v>43.911200000000001</v>
      </c>
      <c r="I353" s="66"/>
      <c r="J353" s="66"/>
      <c r="K353" s="67"/>
      <c r="L353" s="29"/>
      <c r="M353" s="156"/>
      <c r="N353" s="156">
        <v>33.433700000000002</v>
      </c>
      <c r="O353" s="156">
        <v>44.308900000000001</v>
      </c>
      <c r="P353" s="156">
        <v>43.912199999999999</v>
      </c>
      <c r="Q353" s="156"/>
      <c r="R353" s="157"/>
      <c r="S353" s="158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3"/>
      <c r="D354" s="71">
        <v>40</v>
      </c>
      <c r="E354" s="81"/>
      <c r="F354" s="46">
        <v>31.060700000000001</v>
      </c>
      <c r="G354" s="72">
        <v>43.4664</v>
      </c>
      <c r="H354" s="72">
        <v>43.079900000000002</v>
      </c>
      <c r="I354" s="68"/>
      <c r="J354" s="68"/>
      <c r="K354" s="69"/>
      <c r="L354" s="29"/>
      <c r="M354" s="159"/>
      <c r="N354" s="159">
        <v>31.059799999999999</v>
      </c>
      <c r="O354" s="159">
        <v>43.467399999999998</v>
      </c>
      <c r="P354" s="159">
        <v>43.0779</v>
      </c>
      <c r="Q354" s="159"/>
      <c r="R354" s="160"/>
      <c r="S354" s="161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70"/>
      <c r="F355" s="45">
        <v>38.947600000000001</v>
      </c>
      <c r="G355" s="45">
        <v>46.395899999999997</v>
      </c>
      <c r="H355" s="45">
        <v>46.5503</v>
      </c>
      <c r="I355" s="66"/>
      <c r="J355" s="66"/>
      <c r="K355" s="67"/>
      <c r="L355" s="29"/>
      <c r="M355" s="154"/>
      <c r="N355" s="154">
        <v>38.944699999999997</v>
      </c>
      <c r="O355" s="154">
        <v>46.4056</v>
      </c>
      <c r="P355" s="154">
        <v>46.542099999999998</v>
      </c>
      <c r="Q355" s="154"/>
      <c r="R355" s="154"/>
      <c r="S355" s="155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70"/>
      <c r="F356" s="46">
        <v>36.023499999999999</v>
      </c>
      <c r="G356" s="46">
        <v>45.016100000000002</v>
      </c>
      <c r="H356" s="46">
        <v>45.0364</v>
      </c>
      <c r="I356" s="66"/>
      <c r="J356" s="66"/>
      <c r="K356" s="67"/>
      <c r="L356" s="29"/>
      <c r="M356" s="157"/>
      <c r="N356" s="157">
        <v>36.020899999999997</v>
      </c>
      <c r="O356" s="157">
        <v>45.019100000000002</v>
      </c>
      <c r="P356" s="157">
        <v>45.029200000000003</v>
      </c>
      <c r="Q356" s="157"/>
      <c r="R356" s="157"/>
      <c r="S356" s="158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70"/>
      <c r="F357" s="46">
        <v>33.420699999999997</v>
      </c>
      <c r="G357" s="46">
        <v>43.746600000000001</v>
      </c>
      <c r="H357" s="46">
        <v>43.5212</v>
      </c>
      <c r="I357" s="66"/>
      <c r="J357" s="66"/>
      <c r="K357" s="67"/>
      <c r="L357" s="29"/>
      <c r="M357" s="157"/>
      <c r="N357" s="157">
        <v>33.4221</v>
      </c>
      <c r="O357" s="157">
        <v>43.7577</v>
      </c>
      <c r="P357" s="157">
        <v>43.517699999999998</v>
      </c>
      <c r="Q357" s="157"/>
      <c r="R357" s="157"/>
      <c r="S357" s="158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3"/>
      <c r="D358" s="71">
        <v>40</v>
      </c>
      <c r="E358" s="81"/>
      <c r="F358" s="72">
        <v>31.0427</v>
      </c>
      <c r="G358" s="72">
        <v>42.9679</v>
      </c>
      <c r="H358" s="72">
        <v>42.559199999999997</v>
      </c>
      <c r="I358" s="68"/>
      <c r="J358" s="68"/>
      <c r="K358" s="69"/>
      <c r="L358" s="29"/>
      <c r="M358" s="160"/>
      <c r="N358" s="160">
        <v>31.0442</v>
      </c>
      <c r="O358" s="160">
        <v>42.973199999999999</v>
      </c>
      <c r="P358" s="160">
        <v>42.527700000000003</v>
      </c>
      <c r="Q358" s="160"/>
      <c r="R358" s="160"/>
      <c r="S358" s="161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70"/>
      <c r="F359" s="45">
        <v>38.596600000000002</v>
      </c>
      <c r="G359" s="45">
        <v>46.032200000000003</v>
      </c>
      <c r="H359" s="45">
        <v>46.238700000000001</v>
      </c>
      <c r="I359" s="66"/>
      <c r="J359" s="66"/>
      <c r="K359" s="67"/>
      <c r="L359" s="29"/>
      <c r="M359" s="154"/>
      <c r="N359" s="154">
        <v>38.591799999999999</v>
      </c>
      <c r="O359" s="154">
        <v>46.037700000000001</v>
      </c>
      <c r="P359" s="154">
        <v>46.238700000000001</v>
      </c>
      <c r="Q359" s="154"/>
      <c r="R359" s="154"/>
      <c r="S359" s="155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70"/>
      <c r="F360" s="46">
        <v>35.809600000000003</v>
      </c>
      <c r="G360" s="46">
        <v>44.729500000000002</v>
      </c>
      <c r="H360" s="46">
        <v>44.8277</v>
      </c>
      <c r="I360" s="66"/>
      <c r="J360" s="66"/>
      <c r="K360" s="67"/>
      <c r="L360" s="29"/>
      <c r="M360" s="157"/>
      <c r="N360" s="157">
        <v>35.805100000000003</v>
      </c>
      <c r="O360" s="157">
        <v>44.712400000000002</v>
      </c>
      <c r="P360" s="157">
        <v>44.794800000000002</v>
      </c>
      <c r="Q360" s="157"/>
      <c r="R360" s="157"/>
      <c r="S360" s="158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70"/>
      <c r="F361" s="46">
        <v>33.2928</v>
      </c>
      <c r="G361" s="46">
        <v>43.588999999999999</v>
      </c>
      <c r="H361" s="46">
        <v>43.331299999999999</v>
      </c>
      <c r="I361" s="66"/>
      <c r="J361" s="66"/>
      <c r="K361" s="67"/>
      <c r="L361" s="29"/>
      <c r="M361" s="157"/>
      <c r="N361" s="157">
        <v>33.294699999999999</v>
      </c>
      <c r="O361" s="157">
        <v>43.571300000000001</v>
      </c>
      <c r="P361" s="157">
        <v>43.338999999999999</v>
      </c>
      <c r="Q361" s="157"/>
      <c r="R361" s="157"/>
      <c r="S361" s="158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3"/>
      <c r="D362" s="71">
        <v>40</v>
      </c>
      <c r="E362" s="81"/>
      <c r="F362" s="72">
        <v>30.963999999999999</v>
      </c>
      <c r="G362" s="72">
        <v>42.806199999999997</v>
      </c>
      <c r="H362" s="72">
        <v>42.357799999999997</v>
      </c>
      <c r="I362" s="68"/>
      <c r="J362" s="68"/>
      <c r="K362" s="69"/>
      <c r="L362" s="29"/>
      <c r="M362" s="160"/>
      <c r="N362" s="160">
        <v>30.967400000000001</v>
      </c>
      <c r="O362" s="160">
        <v>42.815600000000003</v>
      </c>
      <c r="P362" s="160">
        <v>42.320099999999996</v>
      </c>
      <c r="Q362" s="160"/>
      <c r="R362" s="160"/>
      <c r="S362" s="161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45">
        <v>6806.4863999999998</v>
      </c>
      <c r="F363" s="70"/>
      <c r="G363" s="70"/>
      <c r="H363" s="70"/>
      <c r="I363" s="45">
        <v>76311.759999999995</v>
      </c>
      <c r="J363" s="45">
        <v>205.99</v>
      </c>
      <c r="K363" s="45"/>
      <c r="L363" s="29"/>
      <c r="M363" s="157">
        <v>6804.7879999999996</v>
      </c>
      <c r="N363" s="157"/>
      <c r="O363" s="157"/>
      <c r="P363" s="157"/>
      <c r="Q363" s="157">
        <v>45745.14</v>
      </c>
      <c r="R363" s="157">
        <v>121.98</v>
      </c>
      <c r="S363" s="158">
        <v>740.26</v>
      </c>
      <c r="U363" s="8"/>
      <c r="V363" s="9"/>
      <c r="W363" s="10"/>
      <c r="X363" s="29"/>
      <c r="Y363" s="61">
        <f>GEOMEAN(Q363:Q366)/GEOMEAN(I363:I366)</f>
        <v>0.59051841022299978</v>
      </c>
      <c r="Z363" s="61">
        <f>GEOMEAN(R363:R366)/GEOMEAN(J363:J366)</f>
        <v>0.52750684987929874</v>
      </c>
      <c r="AA363" s="57" t="e">
        <f>GEOMEAN(S363:S366)/GEOMEAN(K363:K366)</f>
        <v>#NUM!</v>
      </c>
    </row>
    <row r="364" spans="1:27" ht="12.75">
      <c r="B364" s="36"/>
      <c r="C364" s="29"/>
      <c r="D364" s="32">
        <v>30</v>
      </c>
      <c r="E364" s="46">
        <v>2806.5655999999999</v>
      </c>
      <c r="F364" s="70"/>
      <c r="G364" s="70"/>
      <c r="H364" s="70"/>
      <c r="I364" s="46">
        <v>60292.37</v>
      </c>
      <c r="J364" s="46">
        <v>198.69</v>
      </c>
      <c r="K364" s="46"/>
      <c r="L364" s="29"/>
      <c r="M364" s="157">
        <v>2806.232</v>
      </c>
      <c r="N364" s="157"/>
      <c r="O364" s="157"/>
      <c r="P364" s="157"/>
      <c r="Q364" s="157">
        <v>35858.82</v>
      </c>
      <c r="R364" s="157">
        <v>110.83</v>
      </c>
      <c r="S364" s="158">
        <v>777.91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46">
        <v>1272.9944</v>
      </c>
      <c r="F365" s="70"/>
      <c r="G365" s="70"/>
      <c r="H365" s="70"/>
      <c r="I365" s="46">
        <v>51025.78</v>
      </c>
      <c r="J365" s="46">
        <v>197.45</v>
      </c>
      <c r="K365" s="46"/>
      <c r="L365" s="29"/>
      <c r="M365" s="157">
        <v>1273.0416</v>
      </c>
      <c r="N365" s="157"/>
      <c r="O365" s="157"/>
      <c r="P365" s="157"/>
      <c r="Q365" s="157">
        <v>29867.02</v>
      </c>
      <c r="R365" s="157">
        <v>95.35</v>
      </c>
      <c r="S365" s="158">
        <v>783.59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4"/>
      <c r="B366" s="52"/>
      <c r="C366" s="53"/>
      <c r="D366" s="71">
        <v>40</v>
      </c>
      <c r="E366" s="72">
        <v>595.08640000000003</v>
      </c>
      <c r="F366" s="81"/>
      <c r="G366" s="81"/>
      <c r="H366" s="81"/>
      <c r="I366" s="72">
        <v>46009.23</v>
      </c>
      <c r="J366" s="72">
        <v>190.78</v>
      </c>
      <c r="K366" s="72"/>
      <c r="L366" s="29"/>
      <c r="M366" s="160">
        <v>595.024</v>
      </c>
      <c r="N366" s="160"/>
      <c r="O366" s="160"/>
      <c r="P366" s="160"/>
      <c r="Q366" s="160">
        <v>26809.54</v>
      </c>
      <c r="R366" s="160">
        <v>92.61</v>
      </c>
      <c r="S366" s="161">
        <v>766.51</v>
      </c>
      <c r="U366" s="85"/>
      <c r="V366" s="86"/>
      <c r="W366" s="87"/>
      <c r="X366" s="29"/>
      <c r="Y366" s="49"/>
      <c r="Z366" s="49"/>
      <c r="AA366" s="54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4178.4160000000002</v>
      </c>
      <c r="F367" s="45">
        <v>41.485799999999998</v>
      </c>
      <c r="G367" s="45">
        <v>46.601900000000001</v>
      </c>
      <c r="H367" s="45">
        <v>46.044899999999998</v>
      </c>
      <c r="I367" s="79"/>
      <c r="J367" s="79"/>
      <c r="K367" s="80"/>
      <c r="L367" s="29"/>
      <c r="M367" s="153">
        <v>4178.4160000000002</v>
      </c>
      <c r="N367" s="153">
        <v>41.485799999999998</v>
      </c>
      <c r="O367" s="153">
        <v>46.601900000000001</v>
      </c>
      <c r="P367" s="153">
        <v>46.044899999999998</v>
      </c>
      <c r="Q367" s="153"/>
      <c r="R367" s="154"/>
      <c r="S367" s="155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46">
        <v>2104.3447999999999</v>
      </c>
      <c r="F368" s="46">
        <v>38.491999999999997</v>
      </c>
      <c r="G368" s="46">
        <v>44.899900000000002</v>
      </c>
      <c r="H368" s="46">
        <v>44.105200000000004</v>
      </c>
      <c r="I368" s="66"/>
      <c r="J368" s="66"/>
      <c r="K368" s="67"/>
      <c r="L368" s="29"/>
      <c r="M368" s="156">
        <v>2104.3447999999999</v>
      </c>
      <c r="N368" s="156">
        <v>38.491999999999997</v>
      </c>
      <c r="O368" s="156">
        <v>44.899900000000002</v>
      </c>
      <c r="P368" s="156">
        <v>44.105200000000004</v>
      </c>
      <c r="Q368" s="156"/>
      <c r="R368" s="157"/>
      <c r="S368" s="158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46">
        <v>1035.6823999999999</v>
      </c>
      <c r="F369" s="46">
        <v>35.669600000000003</v>
      </c>
      <c r="G369" s="46">
        <v>43.255800000000001</v>
      </c>
      <c r="H369" s="46">
        <v>42.232700000000001</v>
      </c>
      <c r="I369" s="66"/>
      <c r="J369" s="66"/>
      <c r="K369" s="67"/>
      <c r="L369" s="29"/>
      <c r="M369" s="156">
        <v>1035.6823999999999</v>
      </c>
      <c r="N369" s="156">
        <v>35.669600000000003</v>
      </c>
      <c r="O369" s="156">
        <v>43.255800000000001</v>
      </c>
      <c r="P369" s="156">
        <v>42.232700000000001</v>
      </c>
      <c r="Q369" s="156"/>
      <c r="R369" s="157"/>
      <c r="S369" s="158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46">
        <v>497.1456</v>
      </c>
      <c r="F370" s="46">
        <v>33.196399999999997</v>
      </c>
      <c r="G370" s="46">
        <v>42.267699999999998</v>
      </c>
      <c r="H370" s="46">
        <v>40.971499999999999</v>
      </c>
      <c r="I370" s="66"/>
      <c r="J370" s="66"/>
      <c r="K370" s="67"/>
      <c r="L370" s="29"/>
      <c r="M370" s="159">
        <v>497.1456</v>
      </c>
      <c r="N370" s="159">
        <v>33.196399999999997</v>
      </c>
      <c r="O370" s="159">
        <v>42.267699999999998</v>
      </c>
      <c r="P370" s="159">
        <v>40.971499999999999</v>
      </c>
      <c r="Q370" s="159"/>
      <c r="R370" s="160"/>
      <c r="S370" s="161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45">
        <v>523.29920000000004</v>
      </c>
      <c r="F371" s="45">
        <v>40.915199999999999</v>
      </c>
      <c r="G371" s="45">
        <v>46.510599999999997</v>
      </c>
      <c r="H371" s="45">
        <v>45.8001</v>
      </c>
      <c r="I371" s="79"/>
      <c r="J371" s="79"/>
      <c r="K371" s="80"/>
      <c r="L371" s="29"/>
      <c r="M371" s="156">
        <v>523.25440000000003</v>
      </c>
      <c r="N371" s="156">
        <v>40.9148</v>
      </c>
      <c r="O371" s="156">
        <v>46.510399999999997</v>
      </c>
      <c r="P371" s="156">
        <v>45.799199999999999</v>
      </c>
      <c r="Q371" s="156"/>
      <c r="R371" s="157"/>
      <c r="S371" s="158"/>
      <c r="U371" s="8">
        <f>bdrate($E371:$E374,F371:F374,$M371:$M374,N371:N374)</f>
        <v>-7.1170533252173929E-4</v>
      </c>
      <c r="V371" s="9">
        <f>bdrate($E371:$E374,G371:G374,$M371:$M374,O371:O374)</f>
        <v>-8.0100797685800362E-4</v>
      </c>
      <c r="W371" s="10">
        <f>bdrate($E371:$E374,H371:H374,$M371:$M374,P371:P374)</f>
        <v>-1.6933332258473044E-3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46">
        <v>217.23759999999999</v>
      </c>
      <c r="F372" s="46">
        <v>38.072899999999997</v>
      </c>
      <c r="G372" s="46">
        <v>44.8459</v>
      </c>
      <c r="H372" s="46">
        <v>43.930300000000003</v>
      </c>
      <c r="I372" s="66"/>
      <c r="J372" s="66"/>
      <c r="K372" s="67"/>
      <c r="L372" s="29"/>
      <c r="M372" s="156">
        <v>216.9752</v>
      </c>
      <c r="N372" s="156">
        <v>38.072200000000002</v>
      </c>
      <c r="O372" s="156">
        <v>44.8459</v>
      </c>
      <c r="P372" s="156">
        <v>43.932400000000001</v>
      </c>
      <c r="Q372" s="156"/>
      <c r="R372" s="157"/>
      <c r="S372" s="158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46">
        <v>102.1032</v>
      </c>
      <c r="F373" s="46">
        <v>35.3855</v>
      </c>
      <c r="G373" s="46">
        <v>43.253</v>
      </c>
      <c r="H373" s="46">
        <v>42.164200000000001</v>
      </c>
      <c r="I373" s="66"/>
      <c r="J373" s="66"/>
      <c r="K373" s="67"/>
      <c r="L373" s="29"/>
      <c r="M373" s="156">
        <v>102.0312</v>
      </c>
      <c r="N373" s="156">
        <v>35.384900000000002</v>
      </c>
      <c r="O373" s="156">
        <v>43.252800000000001</v>
      </c>
      <c r="P373" s="156">
        <v>42.1678</v>
      </c>
      <c r="Q373" s="156"/>
      <c r="R373" s="157"/>
      <c r="S373" s="158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46">
        <v>49.328800000000001</v>
      </c>
      <c r="F374" s="46">
        <v>32.978299999999997</v>
      </c>
      <c r="G374" s="46">
        <v>42.2592</v>
      </c>
      <c r="H374" s="46">
        <v>40.872</v>
      </c>
      <c r="I374" s="66"/>
      <c r="J374" s="66"/>
      <c r="K374" s="67"/>
      <c r="L374" s="29"/>
      <c r="M374" s="156">
        <v>49.287999999999997</v>
      </c>
      <c r="N374" s="156">
        <v>32.979300000000002</v>
      </c>
      <c r="O374" s="156">
        <v>42.2592</v>
      </c>
      <c r="P374" s="156">
        <v>40.870899999999999</v>
      </c>
      <c r="Q374" s="156"/>
      <c r="R374" s="157"/>
      <c r="S374" s="158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45">
        <v>526.60720000000003</v>
      </c>
      <c r="F375" s="45">
        <v>40.9223</v>
      </c>
      <c r="G375" s="45">
        <v>46.5017</v>
      </c>
      <c r="H375" s="45">
        <v>45.801400000000001</v>
      </c>
      <c r="I375" s="79"/>
      <c r="J375" s="79"/>
      <c r="K375" s="80"/>
      <c r="L375" s="29"/>
      <c r="M375" s="153">
        <v>526.46960000000001</v>
      </c>
      <c r="N375" s="153">
        <v>40.921999999999997</v>
      </c>
      <c r="O375" s="153">
        <v>46.500300000000003</v>
      </c>
      <c r="P375" s="153">
        <v>45.800899999999999</v>
      </c>
      <c r="Q375" s="153"/>
      <c r="R375" s="154"/>
      <c r="S375" s="155"/>
      <c r="U375" s="8">
        <f>bdrate($E375:$E378,F375:F378,$M375:$M378,N375:N378)</f>
        <v>-6.9464520483508707E-4</v>
      </c>
      <c r="V375" s="9">
        <f>bdrate($E375:$E378,G375:G378,$M375:$M378,O375:O378)</f>
        <v>-1.2116159088005896E-3</v>
      </c>
      <c r="W375" s="10">
        <f>bdrate($E375:$E378,H375:H378,$M375:$M378,P375:P378)</f>
        <v>-1.3176840757154196E-3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46">
        <v>218.70320000000001</v>
      </c>
      <c r="F376" s="46">
        <v>38.083100000000002</v>
      </c>
      <c r="G376" s="46">
        <v>44.832099999999997</v>
      </c>
      <c r="H376" s="46">
        <v>43.942300000000003</v>
      </c>
      <c r="I376" s="66"/>
      <c r="J376" s="66"/>
      <c r="K376" s="67"/>
      <c r="L376" s="29"/>
      <c r="M376" s="156">
        <v>218.16159999999999</v>
      </c>
      <c r="N376" s="156">
        <v>38.083799999999997</v>
      </c>
      <c r="O376" s="156">
        <v>44.832700000000003</v>
      </c>
      <c r="P376" s="156">
        <v>43.942100000000003</v>
      </c>
      <c r="Q376" s="156"/>
      <c r="R376" s="157"/>
      <c r="S376" s="158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46">
        <v>103.60639999999999</v>
      </c>
      <c r="F377" s="46">
        <v>35.397199999999998</v>
      </c>
      <c r="G377" s="46">
        <v>43.239699999999999</v>
      </c>
      <c r="H377" s="46">
        <v>42.166800000000002</v>
      </c>
      <c r="I377" s="66"/>
      <c r="J377" s="66"/>
      <c r="K377" s="67"/>
      <c r="L377" s="29"/>
      <c r="M377" s="156">
        <v>103.6568</v>
      </c>
      <c r="N377" s="156">
        <v>35.396900000000002</v>
      </c>
      <c r="O377" s="156">
        <v>43.241100000000003</v>
      </c>
      <c r="P377" s="156">
        <v>42.168799999999997</v>
      </c>
      <c r="Q377" s="156"/>
      <c r="R377" s="157"/>
      <c r="S377" s="158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3"/>
      <c r="D378" s="71">
        <v>40</v>
      </c>
      <c r="E378" s="72">
        <v>50.9664</v>
      </c>
      <c r="F378" s="72">
        <v>32.984299999999998</v>
      </c>
      <c r="G378" s="72">
        <v>42.2301</v>
      </c>
      <c r="H378" s="72">
        <v>40.872199999999999</v>
      </c>
      <c r="I378" s="68"/>
      <c r="J378" s="68"/>
      <c r="K378" s="69"/>
      <c r="L378" s="29"/>
      <c r="M378" s="159">
        <v>51.08</v>
      </c>
      <c r="N378" s="159">
        <v>32.985599999999998</v>
      </c>
      <c r="O378" s="159">
        <v>42.231699999999996</v>
      </c>
      <c r="P378" s="159">
        <v>40.878</v>
      </c>
      <c r="Q378" s="159"/>
      <c r="R378" s="160"/>
      <c r="S378" s="161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45">
        <v>449.48320000000001</v>
      </c>
      <c r="F379" s="45">
        <v>38.630899999999997</v>
      </c>
      <c r="G379" s="78"/>
      <c r="H379" s="78"/>
      <c r="I379" s="79"/>
      <c r="J379" s="79"/>
      <c r="K379" s="80"/>
      <c r="L379" s="29"/>
      <c r="M379" s="153">
        <v>449.48320000000001</v>
      </c>
      <c r="N379" s="153">
        <v>38.630899999999997</v>
      </c>
      <c r="O379" s="153"/>
      <c r="P379" s="153"/>
      <c r="Q379" s="153"/>
      <c r="R379" s="154"/>
      <c r="S379" s="155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46">
        <v>147.97280000000001</v>
      </c>
      <c r="F380" s="46">
        <v>35.466000000000001</v>
      </c>
      <c r="G380" s="70"/>
      <c r="H380" s="70"/>
      <c r="I380" s="66"/>
      <c r="J380" s="66"/>
      <c r="K380" s="67"/>
      <c r="L380" s="29"/>
      <c r="M380" s="156">
        <v>147.97280000000001</v>
      </c>
      <c r="N380" s="156">
        <v>35.466000000000001</v>
      </c>
      <c r="O380" s="156"/>
      <c r="P380" s="156"/>
      <c r="Q380" s="156"/>
      <c r="R380" s="157"/>
      <c r="S380" s="158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46">
        <v>55.706400000000002</v>
      </c>
      <c r="F381" s="46">
        <v>32.829300000000003</v>
      </c>
      <c r="G381" s="70"/>
      <c r="H381" s="70"/>
      <c r="I381" s="66"/>
      <c r="J381" s="66"/>
      <c r="K381" s="67"/>
      <c r="L381" s="29"/>
      <c r="M381" s="156">
        <v>55.706400000000002</v>
      </c>
      <c r="N381" s="156">
        <v>32.829300000000003</v>
      </c>
      <c r="O381" s="156"/>
      <c r="P381" s="156"/>
      <c r="Q381" s="156"/>
      <c r="R381" s="157"/>
      <c r="S381" s="158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46">
        <v>23.162400000000002</v>
      </c>
      <c r="F382" s="46">
        <v>30.343699999999998</v>
      </c>
      <c r="G382" s="70"/>
      <c r="H382" s="70"/>
      <c r="I382" s="66"/>
      <c r="J382" s="66"/>
      <c r="K382" s="67"/>
      <c r="L382" s="29"/>
      <c r="M382" s="159">
        <v>23.162400000000002</v>
      </c>
      <c r="N382" s="159">
        <v>30.343699999999998</v>
      </c>
      <c r="O382" s="159"/>
      <c r="P382" s="159"/>
      <c r="Q382" s="159"/>
      <c r="R382" s="160"/>
      <c r="S382" s="161"/>
      <c r="U382" s="17"/>
      <c r="V382" s="18"/>
      <c r="W382" s="19"/>
      <c r="X382" s="29"/>
      <c r="Y382" s="61"/>
      <c r="Z382" s="61"/>
      <c r="AA382" s="57"/>
      <c r="AB382" s="24"/>
      <c r="AC382" s="24"/>
    </row>
    <row r="383" spans="2:29" ht="12.75">
      <c r="B383" s="36"/>
      <c r="C383" s="28" t="s">
        <v>30</v>
      </c>
      <c r="D383" s="31">
        <v>34</v>
      </c>
      <c r="E383" s="45">
        <v>190.85040000000001</v>
      </c>
      <c r="F383" s="45">
        <v>37.739199999999997</v>
      </c>
      <c r="G383" s="78"/>
      <c r="H383" s="78"/>
      <c r="I383" s="79"/>
      <c r="J383" s="79"/>
      <c r="K383" s="80"/>
      <c r="L383" s="29"/>
      <c r="M383" s="153">
        <v>190.85120000000001</v>
      </c>
      <c r="N383" s="153">
        <v>37.734299999999998</v>
      </c>
      <c r="O383" s="153"/>
      <c r="P383" s="153"/>
      <c r="Q383" s="153"/>
      <c r="R383" s="154"/>
      <c r="S383" s="155"/>
      <c r="U383" s="8">
        <f>bdrate($E383:$E386,F383:F386,$M383:$M386,N383:N386)</f>
        <v>-4.0316616750308842E-3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46">
        <v>55.000799999999998</v>
      </c>
      <c r="F384" s="46">
        <v>34.8217</v>
      </c>
      <c r="G384" s="70"/>
      <c r="H384" s="70"/>
      <c r="I384" s="66"/>
      <c r="J384" s="66"/>
      <c r="K384" s="67"/>
      <c r="L384" s="29"/>
      <c r="M384" s="156">
        <v>55.080800000000004</v>
      </c>
      <c r="N384" s="156">
        <v>34.8264</v>
      </c>
      <c r="O384" s="156"/>
      <c r="P384" s="156"/>
      <c r="Q384" s="156"/>
      <c r="R384" s="157"/>
      <c r="S384" s="158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46">
        <v>22.1</v>
      </c>
      <c r="F385" s="46">
        <v>32.346899999999998</v>
      </c>
      <c r="G385" s="70"/>
      <c r="H385" s="70"/>
      <c r="I385" s="66"/>
      <c r="J385" s="66"/>
      <c r="K385" s="67"/>
      <c r="L385" s="29"/>
      <c r="M385" s="156">
        <v>21.911200000000001</v>
      </c>
      <c r="N385" s="156">
        <v>32.347000000000001</v>
      </c>
      <c r="O385" s="156"/>
      <c r="P385" s="156"/>
      <c r="Q385" s="156"/>
      <c r="R385" s="157"/>
      <c r="S385" s="158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46">
        <v>10.7088</v>
      </c>
      <c r="F386" s="46">
        <v>29.9176</v>
      </c>
      <c r="G386" s="70"/>
      <c r="H386" s="70"/>
      <c r="I386" s="66"/>
      <c r="J386" s="66"/>
      <c r="K386" s="67"/>
      <c r="L386" s="29"/>
      <c r="M386" s="159">
        <v>10.5656</v>
      </c>
      <c r="N386" s="159">
        <v>29.907900000000001</v>
      </c>
      <c r="O386" s="159"/>
      <c r="P386" s="159"/>
      <c r="Q386" s="159"/>
      <c r="R386" s="160"/>
      <c r="S386" s="161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45">
        <v>189.61279999999999</v>
      </c>
      <c r="F387" s="45">
        <v>37.497399999999999</v>
      </c>
      <c r="G387" s="78"/>
      <c r="H387" s="78"/>
      <c r="I387" s="79"/>
      <c r="J387" s="79"/>
      <c r="K387" s="80"/>
      <c r="L387" s="29"/>
      <c r="M387" s="153">
        <v>189.96960000000001</v>
      </c>
      <c r="N387" s="153">
        <v>37.499400000000001</v>
      </c>
      <c r="O387" s="153"/>
      <c r="P387" s="153"/>
      <c r="Q387" s="153"/>
      <c r="R387" s="154"/>
      <c r="S387" s="155"/>
      <c r="U387" s="8">
        <f>bdrate($E387:$E390,F387:F390,$M387:$M390,N387:N390)</f>
        <v>-9.3831198658356207E-4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46">
        <v>55.2896</v>
      </c>
      <c r="F388" s="46">
        <v>34.5854</v>
      </c>
      <c r="G388" s="70"/>
      <c r="H388" s="70"/>
      <c r="I388" s="66"/>
      <c r="J388" s="66"/>
      <c r="K388" s="67"/>
      <c r="L388" s="29"/>
      <c r="M388" s="156">
        <v>55.1312</v>
      </c>
      <c r="N388" s="156">
        <v>34.602800000000002</v>
      </c>
      <c r="O388" s="156"/>
      <c r="P388" s="156"/>
      <c r="Q388" s="156"/>
      <c r="R388" s="157"/>
      <c r="S388" s="158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46">
        <v>22.026399999999999</v>
      </c>
      <c r="F389" s="46">
        <v>32.194099999999999</v>
      </c>
      <c r="G389" s="70"/>
      <c r="H389" s="70"/>
      <c r="I389" s="66"/>
      <c r="J389" s="66"/>
      <c r="K389" s="67"/>
      <c r="L389" s="29"/>
      <c r="M389" s="156">
        <v>22.1632</v>
      </c>
      <c r="N389" s="156">
        <v>32.1877</v>
      </c>
      <c r="O389" s="156"/>
      <c r="P389" s="156"/>
      <c r="Q389" s="156"/>
      <c r="R389" s="157"/>
      <c r="S389" s="158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46">
        <v>10.3896</v>
      </c>
      <c r="F390" s="46">
        <v>29.752500000000001</v>
      </c>
      <c r="G390" s="70"/>
      <c r="H390" s="70"/>
      <c r="I390" s="66"/>
      <c r="J390" s="66"/>
      <c r="K390" s="67"/>
      <c r="L390" s="29"/>
      <c r="M390" s="159">
        <v>10.3512</v>
      </c>
      <c r="N390" s="159">
        <v>29.7379</v>
      </c>
      <c r="O390" s="159"/>
      <c r="P390" s="159"/>
      <c r="Q390" s="159"/>
      <c r="R390" s="160"/>
      <c r="S390" s="161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78"/>
      <c r="F391" s="45">
        <v>40.659799999999997</v>
      </c>
      <c r="G391" s="45">
        <v>46.631500000000003</v>
      </c>
      <c r="H391" s="45">
        <v>46.385800000000003</v>
      </c>
      <c r="I391" s="79"/>
      <c r="J391" s="79"/>
      <c r="K391" s="80"/>
      <c r="L391" s="29"/>
      <c r="M391" s="153"/>
      <c r="N391" s="153">
        <v>40.661099999999998</v>
      </c>
      <c r="O391" s="153">
        <v>46.633800000000001</v>
      </c>
      <c r="P391" s="153">
        <v>46.363399999999999</v>
      </c>
      <c r="Q391" s="153"/>
      <c r="R391" s="154"/>
      <c r="S391" s="155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70"/>
      <c r="F392" s="46">
        <v>37.892099999999999</v>
      </c>
      <c r="G392" s="46">
        <v>45.045900000000003</v>
      </c>
      <c r="H392" s="46">
        <v>44.494500000000002</v>
      </c>
      <c r="I392" s="66"/>
      <c r="J392" s="66"/>
      <c r="K392" s="67"/>
      <c r="L392" s="29"/>
      <c r="M392" s="156"/>
      <c r="N392" s="156">
        <v>37.891599999999997</v>
      </c>
      <c r="O392" s="156">
        <v>45.061100000000003</v>
      </c>
      <c r="P392" s="156">
        <v>44.498600000000003</v>
      </c>
      <c r="Q392" s="156"/>
      <c r="R392" s="157"/>
      <c r="S392" s="158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70"/>
      <c r="F393" s="46">
        <v>35.246400000000001</v>
      </c>
      <c r="G393" s="46">
        <v>43.397500000000001</v>
      </c>
      <c r="H393" s="46">
        <v>42.578099999999999</v>
      </c>
      <c r="I393" s="66"/>
      <c r="J393" s="66"/>
      <c r="K393" s="67"/>
      <c r="L393" s="29"/>
      <c r="M393" s="156"/>
      <c r="N393" s="156">
        <v>35.244100000000003</v>
      </c>
      <c r="O393" s="156">
        <v>43.399900000000002</v>
      </c>
      <c r="P393" s="156">
        <v>42.579000000000001</v>
      </c>
      <c r="Q393" s="156"/>
      <c r="R393" s="157"/>
      <c r="S393" s="158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3"/>
      <c r="D394" s="71">
        <v>40</v>
      </c>
      <c r="E394" s="81"/>
      <c r="F394" s="72">
        <v>32.863500000000002</v>
      </c>
      <c r="G394" s="72">
        <v>42.374200000000002</v>
      </c>
      <c r="H394" s="72">
        <v>41.223500000000001</v>
      </c>
      <c r="I394" s="68"/>
      <c r="J394" s="68"/>
      <c r="K394" s="69"/>
      <c r="L394" s="29"/>
      <c r="M394" s="159"/>
      <c r="N394" s="159">
        <v>32.8613</v>
      </c>
      <c r="O394" s="159">
        <v>42.38</v>
      </c>
      <c r="P394" s="159">
        <v>41.2211</v>
      </c>
      <c r="Q394" s="159"/>
      <c r="R394" s="160"/>
      <c r="S394" s="161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70"/>
      <c r="F395" s="45">
        <v>40.843400000000003</v>
      </c>
      <c r="G395" s="45">
        <v>47.150700000000001</v>
      </c>
      <c r="H395" s="45">
        <v>46.520099999999999</v>
      </c>
      <c r="I395" s="66"/>
      <c r="J395" s="66"/>
      <c r="K395" s="67"/>
      <c r="L395" s="29"/>
      <c r="M395" s="153"/>
      <c r="N395" s="153">
        <v>40.846699999999998</v>
      </c>
      <c r="O395" s="153">
        <v>47.144399999999997</v>
      </c>
      <c r="P395" s="153">
        <v>46.506599999999999</v>
      </c>
      <c r="Q395" s="153"/>
      <c r="R395" s="154"/>
      <c r="S395" s="155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70"/>
      <c r="F396" s="46">
        <v>38.030299999999997</v>
      </c>
      <c r="G396" s="46">
        <v>45.452500000000001</v>
      </c>
      <c r="H396" s="46">
        <v>44.615499999999997</v>
      </c>
      <c r="I396" s="66"/>
      <c r="J396" s="66"/>
      <c r="K396" s="67"/>
      <c r="L396" s="29"/>
      <c r="M396" s="156"/>
      <c r="N396" s="156">
        <v>38.028799999999997</v>
      </c>
      <c r="O396" s="156">
        <v>45.442399999999999</v>
      </c>
      <c r="P396" s="156">
        <v>44.622300000000003</v>
      </c>
      <c r="Q396" s="156"/>
      <c r="R396" s="157"/>
      <c r="S396" s="158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70"/>
      <c r="F397" s="46">
        <v>35.329700000000003</v>
      </c>
      <c r="G397" s="46">
        <v>43.647199999999998</v>
      </c>
      <c r="H397" s="46">
        <v>42.658999999999999</v>
      </c>
      <c r="I397" s="66"/>
      <c r="J397" s="66"/>
      <c r="K397" s="67"/>
      <c r="L397" s="29"/>
      <c r="M397" s="156"/>
      <c r="N397" s="156">
        <v>35.328499999999998</v>
      </c>
      <c r="O397" s="156">
        <v>43.643900000000002</v>
      </c>
      <c r="P397" s="156">
        <v>42.6601</v>
      </c>
      <c r="Q397" s="156"/>
      <c r="R397" s="157"/>
      <c r="S397" s="158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3"/>
      <c r="D398" s="71">
        <v>40</v>
      </c>
      <c r="E398" s="81"/>
      <c r="F398" s="46">
        <v>32.909700000000001</v>
      </c>
      <c r="G398" s="72">
        <v>42.502499999999998</v>
      </c>
      <c r="H398" s="72">
        <v>41.311999999999998</v>
      </c>
      <c r="I398" s="68"/>
      <c r="J398" s="68"/>
      <c r="K398" s="69"/>
      <c r="L398" s="29"/>
      <c r="M398" s="159"/>
      <c r="N398" s="159">
        <v>32.906799999999997</v>
      </c>
      <c r="O398" s="159">
        <v>42.507899999999999</v>
      </c>
      <c r="P398" s="159">
        <v>41.312899999999999</v>
      </c>
      <c r="Q398" s="159"/>
      <c r="R398" s="160"/>
      <c r="S398" s="161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70"/>
      <c r="F399" s="45">
        <v>41.062199999999997</v>
      </c>
      <c r="G399" s="45">
        <v>47.626300000000001</v>
      </c>
      <c r="H399" s="45">
        <v>47.210500000000003</v>
      </c>
      <c r="I399" s="66"/>
      <c r="J399" s="66"/>
      <c r="K399" s="67"/>
      <c r="L399" s="29"/>
      <c r="M399" s="153"/>
      <c r="N399" s="153">
        <v>41.063099999999999</v>
      </c>
      <c r="O399" s="153">
        <v>47.627200000000002</v>
      </c>
      <c r="P399" s="153">
        <v>47.2104</v>
      </c>
      <c r="Q399" s="153"/>
      <c r="R399" s="154"/>
      <c r="S399" s="155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70"/>
      <c r="F400" s="46">
        <v>38.1648</v>
      </c>
      <c r="G400" s="46">
        <v>45.797800000000002</v>
      </c>
      <c r="H400" s="46">
        <v>45.128500000000003</v>
      </c>
      <c r="I400" s="66"/>
      <c r="J400" s="66"/>
      <c r="K400" s="67"/>
      <c r="L400" s="29"/>
      <c r="M400" s="156"/>
      <c r="N400" s="156">
        <v>38.164000000000001</v>
      </c>
      <c r="O400" s="156">
        <v>45.797499999999999</v>
      </c>
      <c r="P400" s="156">
        <v>45.1297</v>
      </c>
      <c r="Q400" s="156"/>
      <c r="R400" s="157"/>
      <c r="S400" s="158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70"/>
      <c r="F401" s="46">
        <v>35.423000000000002</v>
      </c>
      <c r="G401" s="46">
        <v>43.961399999999998</v>
      </c>
      <c r="H401" s="46">
        <v>43.058</v>
      </c>
      <c r="I401" s="66"/>
      <c r="J401" s="66"/>
      <c r="K401" s="67"/>
      <c r="L401" s="29"/>
      <c r="M401" s="156"/>
      <c r="N401" s="156">
        <v>35.421300000000002</v>
      </c>
      <c r="O401" s="156">
        <v>43.959200000000003</v>
      </c>
      <c r="P401" s="156">
        <v>43.0563</v>
      </c>
      <c r="Q401" s="156"/>
      <c r="R401" s="157"/>
      <c r="S401" s="158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3"/>
      <c r="D402" s="71">
        <v>40</v>
      </c>
      <c r="E402" s="81"/>
      <c r="F402" s="46">
        <v>32.981200000000001</v>
      </c>
      <c r="G402" s="72">
        <v>42.756</v>
      </c>
      <c r="H402" s="72">
        <v>41.6036</v>
      </c>
      <c r="I402" s="68"/>
      <c r="J402" s="68"/>
      <c r="K402" s="69"/>
      <c r="L402" s="29"/>
      <c r="M402" s="159"/>
      <c r="N402" s="159">
        <v>32.9771</v>
      </c>
      <c r="O402" s="159">
        <v>42.755299999999998</v>
      </c>
      <c r="P402" s="159">
        <v>41.602600000000002</v>
      </c>
      <c r="Q402" s="159"/>
      <c r="R402" s="160"/>
      <c r="S402" s="161"/>
      <c r="U402" s="17"/>
      <c r="V402" s="18"/>
      <c r="W402" s="19"/>
      <c r="X402" s="29"/>
      <c r="Z402" s="61"/>
      <c r="AA402" s="57"/>
      <c r="AB402" s="24"/>
      <c r="AC402" s="24"/>
    </row>
    <row r="403" spans="2:29" ht="12.75">
      <c r="B403" s="36"/>
      <c r="C403" s="29" t="s">
        <v>50</v>
      </c>
      <c r="D403" s="32">
        <v>25</v>
      </c>
      <c r="E403" s="70"/>
      <c r="F403" s="45">
        <v>41.052799999999998</v>
      </c>
      <c r="G403" s="45">
        <v>47.680500000000002</v>
      </c>
      <c r="H403" s="45">
        <v>47.231499999999997</v>
      </c>
      <c r="I403" s="66"/>
      <c r="J403" s="66"/>
      <c r="K403" s="67"/>
      <c r="L403" s="29"/>
      <c r="M403" s="153"/>
      <c r="N403" s="153">
        <v>41.051900000000003</v>
      </c>
      <c r="O403" s="153">
        <v>47.6783</v>
      </c>
      <c r="P403" s="153">
        <v>47.230899999999998</v>
      </c>
      <c r="Q403" s="153"/>
      <c r="R403" s="154"/>
      <c r="S403" s="155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70"/>
      <c r="F404" s="46">
        <v>38.1616</v>
      </c>
      <c r="G404" s="46">
        <v>45.859499999999997</v>
      </c>
      <c r="H404" s="46">
        <v>45.152799999999999</v>
      </c>
      <c r="I404" s="66"/>
      <c r="J404" s="66"/>
      <c r="K404" s="67"/>
      <c r="L404" s="29"/>
      <c r="M404" s="156"/>
      <c r="N404" s="156">
        <v>38.161299999999997</v>
      </c>
      <c r="O404" s="156">
        <v>45.858800000000002</v>
      </c>
      <c r="P404" s="156">
        <v>45.153700000000001</v>
      </c>
      <c r="Q404" s="156"/>
      <c r="R404" s="157"/>
      <c r="S404" s="158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70"/>
      <c r="F405" s="46">
        <v>35.418999999999997</v>
      </c>
      <c r="G405" s="46">
        <v>44.031100000000002</v>
      </c>
      <c r="H405" s="46">
        <v>43.084099999999999</v>
      </c>
      <c r="I405" s="66"/>
      <c r="J405" s="66"/>
      <c r="K405" s="67"/>
      <c r="L405" s="29"/>
      <c r="M405" s="156"/>
      <c r="N405" s="156">
        <v>35.419499999999999</v>
      </c>
      <c r="O405" s="156">
        <v>44.030900000000003</v>
      </c>
      <c r="P405" s="156">
        <v>43.0869</v>
      </c>
      <c r="Q405" s="156"/>
      <c r="R405" s="157"/>
      <c r="S405" s="158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3"/>
      <c r="D406" s="71">
        <v>40</v>
      </c>
      <c r="E406" s="81"/>
      <c r="F406" s="46">
        <v>32.972099999999998</v>
      </c>
      <c r="G406" s="72">
        <v>42.837400000000002</v>
      </c>
      <c r="H406" s="72">
        <v>41.616</v>
      </c>
      <c r="I406" s="68"/>
      <c r="J406" s="68"/>
      <c r="K406" s="69"/>
      <c r="L406" s="29"/>
      <c r="M406" s="159"/>
      <c r="N406" s="159">
        <v>32.971400000000003</v>
      </c>
      <c r="O406" s="159">
        <v>42.833500000000001</v>
      </c>
      <c r="P406" s="159">
        <v>41.614899999999999</v>
      </c>
      <c r="Q406" s="159"/>
      <c r="R406" s="160"/>
      <c r="S406" s="161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70"/>
      <c r="F407" s="45">
        <v>40.863399999999999</v>
      </c>
      <c r="G407" s="45">
        <v>46.7971</v>
      </c>
      <c r="H407" s="45">
        <v>46.657800000000002</v>
      </c>
      <c r="I407" s="66"/>
      <c r="J407" s="66"/>
      <c r="K407" s="67"/>
      <c r="L407" s="29"/>
      <c r="M407" s="154"/>
      <c r="N407" s="154">
        <v>40.865400000000001</v>
      </c>
      <c r="O407" s="154">
        <v>46.7898</v>
      </c>
      <c r="P407" s="154">
        <v>46.646900000000002</v>
      </c>
      <c r="Q407" s="154"/>
      <c r="R407" s="154"/>
      <c r="S407" s="155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70"/>
      <c r="F408" s="46">
        <v>38.0411</v>
      </c>
      <c r="G408" s="46">
        <v>45.227899999999998</v>
      </c>
      <c r="H408" s="46">
        <v>44.713200000000001</v>
      </c>
      <c r="I408" s="66"/>
      <c r="J408" s="66"/>
      <c r="K408" s="67"/>
      <c r="L408" s="29"/>
      <c r="M408" s="157"/>
      <c r="N408" s="157">
        <v>38.041400000000003</v>
      </c>
      <c r="O408" s="157">
        <v>45.217399999999998</v>
      </c>
      <c r="P408" s="157">
        <v>44.7224</v>
      </c>
      <c r="Q408" s="157"/>
      <c r="R408" s="157"/>
      <c r="S408" s="158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70"/>
      <c r="F409" s="46">
        <v>35.339399999999998</v>
      </c>
      <c r="G409" s="46">
        <v>43.595599999999997</v>
      </c>
      <c r="H409" s="46">
        <v>42.749200000000002</v>
      </c>
      <c r="I409" s="66"/>
      <c r="J409" s="66"/>
      <c r="K409" s="67"/>
      <c r="L409" s="29"/>
      <c r="M409" s="157"/>
      <c r="N409" s="157">
        <v>35.3399</v>
      </c>
      <c r="O409" s="157">
        <v>43.600299999999997</v>
      </c>
      <c r="P409" s="157">
        <v>42.752600000000001</v>
      </c>
      <c r="Q409" s="157"/>
      <c r="R409" s="157"/>
      <c r="S409" s="158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3"/>
      <c r="D410" s="71">
        <v>40</v>
      </c>
      <c r="E410" s="81"/>
      <c r="F410" s="72">
        <v>32.900500000000001</v>
      </c>
      <c r="G410" s="72">
        <v>42.481400000000001</v>
      </c>
      <c r="H410" s="72">
        <v>41.3033</v>
      </c>
      <c r="I410" s="68"/>
      <c r="J410" s="68"/>
      <c r="K410" s="69"/>
      <c r="L410" s="29"/>
      <c r="M410" s="160"/>
      <c r="N410" s="160">
        <v>32.901299999999999</v>
      </c>
      <c r="O410" s="160">
        <v>42.4771</v>
      </c>
      <c r="P410" s="160">
        <v>41.305799999999998</v>
      </c>
      <c r="Q410" s="160"/>
      <c r="R410" s="160"/>
      <c r="S410" s="161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70"/>
      <c r="F411" s="45">
        <v>40.6843</v>
      </c>
      <c r="G411" s="45">
        <v>46.615099999999998</v>
      </c>
      <c r="H411" s="45">
        <v>46.610999999999997</v>
      </c>
      <c r="I411" s="66"/>
      <c r="J411" s="66"/>
      <c r="K411" s="67"/>
      <c r="L411" s="29"/>
      <c r="M411" s="154"/>
      <c r="N411" s="154">
        <v>40.6845</v>
      </c>
      <c r="O411" s="154">
        <v>46.612099999999998</v>
      </c>
      <c r="P411" s="154">
        <v>46.626399999999997</v>
      </c>
      <c r="Q411" s="154"/>
      <c r="R411" s="154"/>
      <c r="S411" s="155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70"/>
      <c r="F412" s="46">
        <v>37.909799999999997</v>
      </c>
      <c r="G412" s="46">
        <v>45.084800000000001</v>
      </c>
      <c r="H412" s="46">
        <v>44.6449</v>
      </c>
      <c r="I412" s="66"/>
      <c r="J412" s="66"/>
      <c r="K412" s="67"/>
      <c r="L412" s="29"/>
      <c r="M412" s="157"/>
      <c r="N412" s="157">
        <v>37.911499999999997</v>
      </c>
      <c r="O412" s="157">
        <v>45.081699999999998</v>
      </c>
      <c r="P412" s="157">
        <v>44.639499999999998</v>
      </c>
      <c r="Q412" s="157"/>
      <c r="R412" s="157"/>
      <c r="S412" s="158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70"/>
      <c r="F413" s="46">
        <v>35.258699999999997</v>
      </c>
      <c r="G413" s="46">
        <v>43.5017</v>
      </c>
      <c r="H413" s="46">
        <v>42.691600000000001</v>
      </c>
      <c r="I413" s="66"/>
      <c r="J413" s="66"/>
      <c r="K413" s="67"/>
      <c r="L413" s="29"/>
      <c r="M413" s="157"/>
      <c r="N413" s="157">
        <v>35.258800000000001</v>
      </c>
      <c r="O413" s="157">
        <v>43.499099999999999</v>
      </c>
      <c r="P413" s="157">
        <v>42.693399999999997</v>
      </c>
      <c r="Q413" s="157"/>
      <c r="R413" s="157"/>
      <c r="S413" s="158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3"/>
      <c r="D414" s="71">
        <v>40</v>
      </c>
      <c r="E414" s="81"/>
      <c r="F414" s="72">
        <v>32.857100000000003</v>
      </c>
      <c r="G414" s="72">
        <v>42.445099999999996</v>
      </c>
      <c r="H414" s="72">
        <v>41.253599999999999</v>
      </c>
      <c r="I414" s="68"/>
      <c r="J414" s="68"/>
      <c r="K414" s="69"/>
      <c r="L414" s="29"/>
      <c r="M414" s="160"/>
      <c r="N414" s="160">
        <v>32.858199999999997</v>
      </c>
      <c r="O414" s="160">
        <v>42.445099999999996</v>
      </c>
      <c r="P414" s="160">
        <v>41.2637</v>
      </c>
      <c r="Q414" s="160"/>
      <c r="R414" s="160"/>
      <c r="S414" s="161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45">
        <v>6064.0591999999997</v>
      </c>
      <c r="F415" s="70"/>
      <c r="G415" s="70"/>
      <c r="H415" s="70"/>
      <c r="I415" s="45">
        <v>125127.73</v>
      </c>
      <c r="J415" s="45">
        <v>291.86</v>
      </c>
      <c r="K415" s="45"/>
      <c r="L415" s="29"/>
      <c r="M415" s="157">
        <v>6064.2344000000003</v>
      </c>
      <c r="N415" s="157"/>
      <c r="O415" s="157"/>
      <c r="P415" s="157"/>
      <c r="Q415" s="157">
        <v>60259.61</v>
      </c>
      <c r="R415" s="157">
        <v>147.12</v>
      </c>
      <c r="S415" s="158">
        <v>909.57</v>
      </c>
      <c r="U415" s="8"/>
      <c r="V415" s="9"/>
      <c r="W415" s="10"/>
      <c r="X415" s="29"/>
      <c r="Y415" s="61">
        <f>GEOMEAN(Q415:Q418)/GEOMEAN(I415:I418)</f>
        <v>0.47667588752717455</v>
      </c>
      <c r="Z415" s="61">
        <f>GEOMEAN(R415:R418)/GEOMEAN(J415:J418)</f>
        <v>0.46999201191261258</v>
      </c>
      <c r="AA415" s="57" t="e">
        <f>GEOMEAN(S415:S418)/GEOMEAN(K415:K418)</f>
        <v>#NUM!</v>
      </c>
      <c r="AB415" s="24"/>
      <c r="AC415" s="24"/>
    </row>
    <row r="416" spans="2:29" ht="12.75">
      <c r="B416" s="36"/>
      <c r="C416" s="29"/>
      <c r="D416" s="32">
        <v>30</v>
      </c>
      <c r="E416" s="46">
        <v>2804.3391999999999</v>
      </c>
      <c r="F416" s="70"/>
      <c r="G416" s="70"/>
      <c r="H416" s="70"/>
      <c r="I416" s="46">
        <v>94465.48</v>
      </c>
      <c r="J416" s="46">
        <v>282.52999999999997</v>
      </c>
      <c r="K416" s="46"/>
      <c r="L416" s="29"/>
      <c r="M416" s="157">
        <v>2803.4567999999999</v>
      </c>
      <c r="N416" s="157"/>
      <c r="O416" s="157"/>
      <c r="P416" s="157"/>
      <c r="Q416" s="157">
        <v>45109.23</v>
      </c>
      <c r="R416" s="157">
        <v>117.71</v>
      </c>
      <c r="S416" s="158">
        <v>914.65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46">
        <v>1347.0152</v>
      </c>
      <c r="F417" s="70"/>
      <c r="G417" s="70"/>
      <c r="H417" s="70"/>
      <c r="I417" s="46">
        <v>77908.820000000007</v>
      </c>
      <c r="J417" s="46">
        <v>274.02</v>
      </c>
      <c r="K417" s="46"/>
      <c r="L417" s="29"/>
      <c r="M417" s="157">
        <v>1346.9416000000001</v>
      </c>
      <c r="N417" s="157"/>
      <c r="O417" s="157"/>
      <c r="P417" s="157"/>
      <c r="Q417" s="157">
        <v>37034.699999999997</v>
      </c>
      <c r="R417" s="157">
        <v>131.27000000000001</v>
      </c>
      <c r="S417" s="158">
        <v>901.44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4"/>
      <c r="B418" s="52"/>
      <c r="C418" s="53"/>
      <c r="D418" s="71">
        <v>40</v>
      </c>
      <c r="E418" s="72">
        <v>647.49199999999996</v>
      </c>
      <c r="F418" s="81"/>
      <c r="G418" s="81"/>
      <c r="H418" s="81"/>
      <c r="I418" s="72">
        <v>66943.649999999994</v>
      </c>
      <c r="J418" s="72">
        <v>259.16000000000003</v>
      </c>
      <c r="K418" s="72"/>
      <c r="L418" s="29"/>
      <c r="M418" s="160">
        <v>647.38319999999999</v>
      </c>
      <c r="N418" s="160"/>
      <c r="O418" s="160"/>
      <c r="P418" s="160"/>
      <c r="Q418" s="160">
        <v>31616.58</v>
      </c>
      <c r="R418" s="160">
        <v>125.69</v>
      </c>
      <c r="S418" s="161">
        <v>900.24</v>
      </c>
      <c r="U418" s="85"/>
      <c r="V418" s="86"/>
      <c r="W418" s="87"/>
      <c r="X418" s="29"/>
      <c r="Y418" s="49"/>
      <c r="Z418" s="49"/>
      <c r="AA418" s="54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34789.759922087265</v>
      </c>
      <c r="J420" s="37">
        <f>GEOMEAN(J51:J54,J103:J106,J155:J158)</f>
        <v>89.920653695135016</v>
      </c>
      <c r="K420" s="39" t="e">
        <f>GEOMEAN(K51:K54,K103:K106,K155:K158)</f>
        <v>#NUM!</v>
      </c>
      <c r="M420" s="35"/>
      <c r="N420" s="22"/>
      <c r="O420" s="22"/>
      <c r="P420" s="22"/>
      <c r="Q420" s="37">
        <f>GEOMEAN(Q51:Q54,Q103:Q106,Q155:Q158)</f>
        <v>18857.346759158292</v>
      </c>
      <c r="R420" s="37">
        <f>GEOMEAN(R51:R54,R103:R106,R155:R158)</f>
        <v>46.664870852903078</v>
      </c>
      <c r="S420" s="39">
        <f>GEOMEAN(S51:S54,S103:S106,S155:S158)</f>
        <v>330.80558135846485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42992.787090375314</v>
      </c>
      <c r="J421" s="38">
        <f>GEOMEAN(J207:J210,J259:J262,J311:J314,J363:J366)</f>
        <v>144.59141475125128</v>
      </c>
      <c r="K421" s="40" t="e">
        <f>GEOMEAN(K207:K210,K259:K262,K311:K314,K363:K366)</f>
        <v>#NUM!</v>
      </c>
      <c r="M421" s="36"/>
      <c r="N421" s="24"/>
      <c r="O421" s="24"/>
      <c r="P421" s="24"/>
      <c r="Q421" s="38">
        <f>GEOMEAN(Q207:Q210,Q259:Q262,Q311:Q314,Q363:Q366)</f>
        <v>29744.983045517394</v>
      </c>
      <c r="R421" s="38">
        <f>GEOMEAN(R207:R210,R259:R262,R311:R314,R363:R366)</f>
        <v>94.613407960223114</v>
      </c>
      <c r="S421" s="40">
        <f>GEOMEAN(S207:S210,S259:S262,S311:S314,S363:S366)</f>
        <v>714.95100337888982</v>
      </c>
      <c r="AB421" s="24"/>
      <c r="AC421" s="24"/>
    </row>
    <row r="422" spans="1:29" ht="12.75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39263.675925008378</v>
      </c>
      <c r="J422" s="73">
        <f>GEOMEAN(J51:J54,J103:J106,J155:J158,J207:J210,J259:J262,J311:J314,J363:J366)</f>
        <v>117.96019585096086</v>
      </c>
      <c r="K422" s="74" t="e">
        <f>GEOMEAN(K51:K54,K103:K106,K155:K158,K207:K210,K259:K262,K311:K314,K363:K366)</f>
        <v>#NUM!</v>
      </c>
      <c r="M422" s="52"/>
      <c r="N422" s="49"/>
      <c r="O422" s="49"/>
      <c r="P422" s="49"/>
      <c r="Q422" s="73">
        <f>GEOMEAN(Q51:Q54,Q103:Q106,Q155:Q158,Q207:Q210,Q259:Q262,Q311:Q314,Q363:Q366)</f>
        <v>24467.254409509664</v>
      </c>
      <c r="R422" s="73">
        <f>GEOMEAN(R51:R54,R103:R106,R155:R158,R207:R210,R259:R262,R311:R314,R363:R366)</f>
        <v>69.887141645772928</v>
      </c>
      <c r="S422" s="74">
        <f>GEOMEAN(S51:S54,S103:S106,S155:S158,S207:S210,S259:S262,S311:S314,S363:S366)</f>
        <v>513.8447735739054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0">Q420/I420</f>
        <v>0.54203727767566945</v>
      </c>
      <c r="R423" s="47">
        <f t="shared" si="0"/>
        <v>0.51895609001147414</v>
      </c>
      <c r="S423" s="48" t="e">
        <f t="shared" si="0"/>
        <v>#NUM!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0"/>
        <v>0.69185984576878778</v>
      </c>
      <c r="R424" s="47">
        <f t="shared" si="0"/>
        <v>0.65435010870453036</v>
      </c>
      <c r="S424" s="48" t="e">
        <f t="shared" si="0"/>
        <v>#NUM!</v>
      </c>
      <c r="AB424" s="24"/>
      <c r="AC424" s="24"/>
    </row>
    <row r="425" spans="1:29" ht="12.75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0"/>
        <v>0.62315241334613891</v>
      </c>
      <c r="R425" s="50">
        <f t="shared" si="0"/>
        <v>0.59246376408253187</v>
      </c>
      <c r="S425" s="51" t="e">
        <f t="shared" si="0"/>
        <v>#NUM!</v>
      </c>
      <c r="AB425" s="24"/>
      <c r="AC425" s="24"/>
    </row>
    <row r="426" spans="1:29">
      <c r="AB426" s="24"/>
      <c r="AC426" s="24"/>
    </row>
    <row r="427" spans="1:29" ht="12.75" thickBot="1">
      <c r="A427" s="89" t="s">
        <v>38</v>
      </c>
      <c r="AB427" s="24"/>
      <c r="AC427" s="24"/>
    </row>
    <row r="428" spans="1:29" ht="12.75" thickBot="1">
      <c r="A428" s="7"/>
      <c r="B428" s="88"/>
      <c r="C428" s="7"/>
      <c r="D428" s="28"/>
      <c r="E428" s="150" t="s">
        <v>2</v>
      </c>
      <c r="F428" s="150"/>
      <c r="G428" s="150"/>
      <c r="H428" s="150"/>
      <c r="I428" s="150"/>
      <c r="J428" s="150"/>
      <c r="K428" s="151"/>
      <c r="L428" s="11"/>
      <c r="M428" s="152" t="s">
        <v>3</v>
      </c>
      <c r="N428" s="150"/>
      <c r="O428" s="150"/>
      <c r="P428" s="150"/>
      <c r="Q428" s="150"/>
      <c r="R428" s="150"/>
      <c r="S428" s="151"/>
      <c r="T428" s="34"/>
      <c r="U428" s="152" t="s">
        <v>10</v>
      </c>
      <c r="V428" s="150"/>
      <c r="W428" s="151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1146.4159999999999</v>
      </c>
      <c r="F430" s="78">
        <f t="shared" ref="F430:H433" si="1">AVERAGE(F3,F7)</f>
        <v>42.659500000000001</v>
      </c>
      <c r="G430" s="78">
        <f t="shared" si="1"/>
        <v>43.255600000000001</v>
      </c>
      <c r="H430" s="78">
        <f t="shared" si="1"/>
        <v>43.551950000000005</v>
      </c>
      <c r="I430" s="79"/>
      <c r="J430" s="79"/>
      <c r="K430" s="80"/>
      <c r="L430" s="29"/>
      <c r="M430" s="82">
        <f>M3+M7</f>
        <v>1146.4792</v>
      </c>
      <c r="N430" s="78">
        <f t="shared" ref="N430:P433" si="2">AVERAGE(N3,N7)</f>
        <v>42.659149999999997</v>
      </c>
      <c r="O430" s="78">
        <f t="shared" si="2"/>
        <v>43.255650000000003</v>
      </c>
      <c r="P430" s="78">
        <f t="shared" si="2"/>
        <v>43.552599999999998</v>
      </c>
      <c r="Q430" s="79"/>
      <c r="R430" s="79"/>
      <c r="S430" s="80"/>
      <c r="U430" s="8">
        <f>bdrate($E430:$E433,F430:F433,$M430:$M433,N430:N433)</f>
        <v>-4.162610736113681E-5</v>
      </c>
      <c r="V430" s="9">
        <f>bdrate($E430:$E433,G430:G433,$M430:$M433,O430:O433)</f>
        <v>-2.480028421305569E-4</v>
      </c>
      <c r="W430" s="10">
        <f>bdrate($E430:$E433,H430:H433,$M430:$M433,P430:P433)</f>
        <v>4.8420929251724587E-5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70">
        <f>E4+E8</f>
        <v>604.12400000000002</v>
      </c>
      <c r="F431" s="70">
        <f t="shared" si="1"/>
        <v>40.475999999999999</v>
      </c>
      <c r="G431" s="70">
        <f t="shared" si="1"/>
        <v>41.980149999999995</v>
      </c>
      <c r="H431" s="70">
        <f t="shared" si="1"/>
        <v>41.939949999999996</v>
      </c>
      <c r="I431" s="66"/>
      <c r="J431" s="66"/>
      <c r="K431" s="67"/>
      <c r="L431" s="29"/>
      <c r="M431" s="83">
        <f>M4+M8</f>
        <v>603.97919999999999</v>
      </c>
      <c r="N431" s="70">
        <f t="shared" si="2"/>
        <v>40.474450000000004</v>
      </c>
      <c r="O431" s="70">
        <f t="shared" si="2"/>
        <v>41.978549999999998</v>
      </c>
      <c r="P431" s="70">
        <f t="shared" si="2"/>
        <v>41.937649999999998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70">
        <f>E5+E9</f>
        <v>341.36</v>
      </c>
      <c r="F432" s="70">
        <f t="shared" si="1"/>
        <v>37.883049999999997</v>
      </c>
      <c r="G432" s="70">
        <f t="shared" si="1"/>
        <v>40.6051</v>
      </c>
      <c r="H432" s="70">
        <f t="shared" si="1"/>
        <v>40.290099999999995</v>
      </c>
      <c r="I432" s="66"/>
      <c r="J432" s="66"/>
      <c r="K432" s="67"/>
      <c r="L432" s="29"/>
      <c r="M432" s="83">
        <f>M5+M9</f>
        <v>341.11599999999999</v>
      </c>
      <c r="N432" s="70">
        <f t="shared" si="2"/>
        <v>37.880750000000006</v>
      </c>
      <c r="O432" s="70">
        <f t="shared" si="2"/>
        <v>40.605550000000001</v>
      </c>
      <c r="P432" s="70">
        <f t="shared" si="2"/>
        <v>40.290300000000002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201.5104</v>
      </c>
      <c r="F433" s="81">
        <f t="shared" si="1"/>
        <v>35.114049999999999</v>
      </c>
      <c r="G433" s="81">
        <f t="shared" si="1"/>
        <v>39.516300000000001</v>
      </c>
      <c r="H433" s="81">
        <f t="shared" si="1"/>
        <v>39.018299999999996</v>
      </c>
      <c r="I433" s="68"/>
      <c r="J433" s="68"/>
      <c r="K433" s="69"/>
      <c r="L433" s="29"/>
      <c r="M433" s="84">
        <f>M6+M10</f>
        <v>201.49760000000001</v>
      </c>
      <c r="N433" s="81">
        <f t="shared" si="2"/>
        <v>35.114100000000001</v>
      </c>
      <c r="O433" s="81">
        <f t="shared" si="2"/>
        <v>39.518299999999996</v>
      </c>
      <c r="P433" s="81">
        <f t="shared" si="2"/>
        <v>39.015799999999999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8">
        <f>E3+E7+E11</f>
        <v>1443.9128000000001</v>
      </c>
      <c r="F434" s="78">
        <f t="shared" ref="F434:H437" si="3">AVERAGE(F3,F7,F11)</f>
        <v>42.4039</v>
      </c>
      <c r="G434" s="78">
        <f t="shared" si="3"/>
        <v>43.018466666666662</v>
      </c>
      <c r="H434" s="78">
        <f t="shared" si="3"/>
        <v>43.324266666666666</v>
      </c>
      <c r="I434" s="79"/>
      <c r="J434" s="79"/>
      <c r="K434" s="80"/>
      <c r="L434" s="29"/>
      <c r="M434" s="78">
        <f>M3+M7+M11</f>
        <v>1444.3088</v>
      </c>
      <c r="N434" s="78">
        <f t="shared" ref="N434:P437" si="4">AVERAGE(N3,N7,N11)</f>
        <v>42.404066666666665</v>
      </c>
      <c r="O434" s="78">
        <f t="shared" si="4"/>
        <v>43.02</v>
      </c>
      <c r="P434" s="78">
        <f t="shared" si="4"/>
        <v>43.325899999999997</v>
      </c>
      <c r="Q434" s="79"/>
      <c r="R434" s="79"/>
      <c r="S434" s="80"/>
      <c r="U434" s="8">
        <f>bdrate($E434:$E437,F434:F437,$M434:$M437,N434:N437)</f>
        <v>-2.2411850135595213E-4</v>
      </c>
      <c r="V434" s="9">
        <f>bdrate($E434:$E437,G434:G437,$M434:$M437,O434:O437)</f>
        <v>1.1590911049097485E-4</v>
      </c>
      <c r="W434" s="10">
        <f>bdrate($E434:$E437,H434:H437,$M434:$M437,P434:P437)</f>
        <v>-3.7756850815950926E-4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70">
        <f>E4+E8+E12</f>
        <v>739.65359999999998</v>
      </c>
      <c r="F435" s="70">
        <f t="shared" si="3"/>
        <v>40.204799999999999</v>
      </c>
      <c r="G435" s="70">
        <f t="shared" si="3"/>
        <v>41.727966666666667</v>
      </c>
      <c r="H435" s="70">
        <f t="shared" si="3"/>
        <v>41.72743333333333</v>
      </c>
      <c r="I435" s="66"/>
      <c r="J435" s="66"/>
      <c r="K435" s="67"/>
      <c r="L435" s="29"/>
      <c r="M435" s="70">
        <f>M4+M8+M12</f>
        <v>739.45519999999999</v>
      </c>
      <c r="N435" s="70">
        <f t="shared" si="4"/>
        <v>40.20333333333334</v>
      </c>
      <c r="O435" s="70">
        <f t="shared" si="4"/>
        <v>41.724933333333333</v>
      </c>
      <c r="P435" s="70">
        <f t="shared" si="4"/>
        <v>41.726333333333336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70">
        <f>E5+E9+E13</f>
        <v>412.07760000000002</v>
      </c>
      <c r="F436" s="70">
        <f t="shared" si="3"/>
        <v>37.625166666666665</v>
      </c>
      <c r="G436" s="70">
        <f t="shared" si="3"/>
        <v>40.426566666666666</v>
      </c>
      <c r="H436" s="70">
        <f t="shared" si="3"/>
        <v>40.150433333333332</v>
      </c>
      <c r="I436" s="66"/>
      <c r="J436" s="66"/>
      <c r="K436" s="67"/>
      <c r="L436" s="29"/>
      <c r="M436" s="70">
        <f>M5+M9+M13</f>
        <v>411.58960000000002</v>
      </c>
      <c r="N436" s="70">
        <f t="shared" si="4"/>
        <v>37.622600000000006</v>
      </c>
      <c r="O436" s="70">
        <f t="shared" si="4"/>
        <v>40.424666666666667</v>
      </c>
      <c r="P436" s="70">
        <f t="shared" si="4"/>
        <v>40.150866666666666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238.76560000000001</v>
      </c>
      <c r="F437" s="81">
        <f t="shared" si="3"/>
        <v>34.875233333333334</v>
      </c>
      <c r="G437" s="81">
        <f t="shared" si="3"/>
        <v>39.346233333333338</v>
      </c>
      <c r="H437" s="81">
        <f t="shared" si="3"/>
        <v>38.881399999999992</v>
      </c>
      <c r="I437" s="68"/>
      <c r="J437" s="68"/>
      <c r="K437" s="69"/>
      <c r="L437" s="29"/>
      <c r="M437" s="81">
        <f>M6+M10+M14</f>
        <v>238.6808</v>
      </c>
      <c r="N437" s="81">
        <f t="shared" si="4"/>
        <v>34.874166666666667</v>
      </c>
      <c r="O437" s="81">
        <f t="shared" si="4"/>
        <v>39.348833333333332</v>
      </c>
      <c r="P437" s="81">
        <f t="shared" si="4"/>
        <v>38.878733333333336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82">
        <f>E3+E7+E15+E19</f>
        <v>1348.3079999999998</v>
      </c>
      <c r="F438" s="78">
        <f t="shared" ref="F438:H441" si="5">AVERAGE(F27,F31,F35)</f>
        <v>42.768433333333327</v>
      </c>
      <c r="G438" s="78">
        <f t="shared" si="5"/>
        <v>45.627800000000001</v>
      </c>
      <c r="H438" s="78">
        <f t="shared" si="5"/>
        <v>45.5154</v>
      </c>
      <c r="I438" s="79"/>
      <c r="J438" s="79"/>
      <c r="K438" s="80"/>
      <c r="L438" s="29"/>
      <c r="M438" s="82">
        <f>M3+M7+M15+M19</f>
        <v>1348.4871999999998</v>
      </c>
      <c r="N438" s="78">
        <f t="shared" ref="N438:P441" si="6">AVERAGE(N27,N31,N35)</f>
        <v>42.764966666666673</v>
      </c>
      <c r="O438" s="78">
        <f t="shared" si="6"/>
        <v>45.630666666666663</v>
      </c>
      <c r="P438" s="78">
        <f t="shared" si="6"/>
        <v>45.514466666666664</v>
      </c>
      <c r="Q438" s="79"/>
      <c r="R438" s="79"/>
      <c r="S438" s="80"/>
      <c r="U438" s="8">
        <f>bdrate($E438:$E441,F438:F441,$M438:$M441,N438:N441)</f>
        <v>-6.919032672478842E-4</v>
      </c>
      <c r="V438" s="9">
        <f>bdrate($E438:$E441,G438:G441,$M438:$M441,O438:O441)</f>
        <v>4.7456593139338921E-4</v>
      </c>
      <c r="W438" s="10">
        <f>bdrate($E438:$E441,H438:H441,$M438:$M441,P438:P441)</f>
        <v>7.4307753108393548E-4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3">
        <f>E4+E8+E16+E20</f>
        <v>671.11280000000011</v>
      </c>
      <c r="F439" s="70">
        <f t="shared" si="5"/>
        <v>40.548200000000001</v>
      </c>
      <c r="G439" s="70">
        <f t="shared" si="5"/>
        <v>43.961966666666662</v>
      </c>
      <c r="H439" s="70">
        <f t="shared" si="5"/>
        <v>43.516233333333332</v>
      </c>
      <c r="I439" s="66"/>
      <c r="J439" s="66"/>
      <c r="K439" s="67"/>
      <c r="L439" s="29"/>
      <c r="M439" s="83">
        <f>M4+M8+M16+M20</f>
        <v>670.75920000000008</v>
      </c>
      <c r="N439" s="70">
        <f t="shared" si="6"/>
        <v>40.548666666666669</v>
      </c>
      <c r="O439" s="70">
        <f t="shared" si="6"/>
        <v>43.956366666666668</v>
      </c>
      <c r="P439" s="70">
        <f t="shared" si="6"/>
        <v>43.506433333333341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3">
        <f>E5+E9+E17+E21</f>
        <v>370.13040000000001</v>
      </c>
      <c r="F440" s="70">
        <f t="shared" si="5"/>
        <v>37.998533333333334</v>
      </c>
      <c r="G440" s="70">
        <f t="shared" si="5"/>
        <v>42.186100000000003</v>
      </c>
      <c r="H440" s="70">
        <f t="shared" si="5"/>
        <v>41.527033333333328</v>
      </c>
      <c r="I440" s="66"/>
      <c r="J440" s="66"/>
      <c r="K440" s="67"/>
      <c r="L440" s="29"/>
      <c r="M440" s="83">
        <f>M5+M9+M17+M21</f>
        <v>369.97280000000001</v>
      </c>
      <c r="N440" s="70">
        <f t="shared" si="6"/>
        <v>38.00266666666667</v>
      </c>
      <c r="O440" s="70">
        <f t="shared" si="6"/>
        <v>42.184266666666666</v>
      </c>
      <c r="P440" s="70">
        <f t="shared" si="6"/>
        <v>41.527899999999995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215.78800000000001</v>
      </c>
      <c r="F441" s="81">
        <f t="shared" si="5"/>
        <v>35.255933333333331</v>
      </c>
      <c r="G441" s="81">
        <f t="shared" si="5"/>
        <v>40.829333333333331</v>
      </c>
      <c r="H441" s="81">
        <f t="shared" si="5"/>
        <v>40.015766666666671</v>
      </c>
      <c r="I441" s="68"/>
      <c r="J441" s="68"/>
      <c r="K441" s="69"/>
      <c r="L441" s="29"/>
      <c r="M441" s="84">
        <f>M6+M10+M18+M22</f>
        <v>215.6728</v>
      </c>
      <c r="N441" s="81">
        <f t="shared" si="6"/>
        <v>35.2562</v>
      </c>
      <c r="O441" s="81">
        <f t="shared" si="6"/>
        <v>40.830066666666667</v>
      </c>
      <c r="P441" s="81">
        <f t="shared" si="6"/>
        <v>40.018999999999998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8">
        <f>E51</f>
        <v>1747.6248000000001</v>
      </c>
      <c r="F442" s="78">
        <f t="shared" ref="F442:H445" si="7">AVERAGE(F27,F31,F35,F39,F43,F47)</f>
        <v>42.685266666666671</v>
      </c>
      <c r="G442" s="78">
        <f t="shared" si="7"/>
        <v>45.586316666666669</v>
      </c>
      <c r="H442" s="78">
        <f t="shared" si="7"/>
        <v>45.460100000000004</v>
      </c>
      <c r="I442" s="79"/>
      <c r="J442" s="79"/>
      <c r="K442" s="80"/>
      <c r="L442" s="29"/>
      <c r="M442" s="78">
        <f>M51</f>
        <v>1747.9272000000001</v>
      </c>
      <c r="N442" s="78">
        <f t="shared" ref="N442:P445" si="8">AVERAGE(N27,N31,N35,N39,N43,N47)</f>
        <v>42.683983333333337</v>
      </c>
      <c r="O442" s="78">
        <f t="shared" si="8"/>
        <v>45.586099999999995</v>
      </c>
      <c r="P442" s="78">
        <f t="shared" si="8"/>
        <v>45.461333333333329</v>
      </c>
      <c r="Q442" s="79"/>
      <c r="R442" s="79"/>
      <c r="S442" s="80"/>
      <c r="U442" s="8">
        <f>bdrate($E442:$E445,F442:F445,$M442:$M445,N442:N445)</f>
        <v>-6.4599625422034901E-4</v>
      </c>
      <c r="V442" s="9">
        <f>bdrate($E442:$E445,G442:G445,$M442:$M445,O442:O445)</f>
        <v>2.3652080968927791E-4</v>
      </c>
      <c r="W442" s="10">
        <f>bdrate($E442:$E445,H442:H445,$M442:$M445,P442:P445)</f>
        <v>-1.0163815218258154E-3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70">
        <f>E52</f>
        <v>843.25599999999997</v>
      </c>
      <c r="F443" s="70">
        <f t="shared" si="7"/>
        <v>40.484766666666665</v>
      </c>
      <c r="G443" s="70">
        <f t="shared" si="7"/>
        <v>43.912716666666661</v>
      </c>
      <c r="H443" s="70">
        <f t="shared" si="7"/>
        <v>43.461866666666673</v>
      </c>
      <c r="I443" s="66"/>
      <c r="J443" s="66"/>
      <c r="K443" s="67"/>
      <c r="L443" s="29"/>
      <c r="M443" s="70">
        <f>M52</f>
        <v>842.45360000000005</v>
      </c>
      <c r="N443" s="70">
        <f t="shared" si="8"/>
        <v>40.484016666666669</v>
      </c>
      <c r="O443" s="70">
        <f t="shared" si="8"/>
        <v>43.907000000000004</v>
      </c>
      <c r="P443" s="70">
        <f t="shared" si="8"/>
        <v>43.458966666666669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70">
        <f>E53</f>
        <v>459.73759999999999</v>
      </c>
      <c r="F444" s="70">
        <f t="shared" si="7"/>
        <v>37.946533333333342</v>
      </c>
      <c r="G444" s="70">
        <f t="shared" si="7"/>
        <v>42.143250000000002</v>
      </c>
      <c r="H444" s="70">
        <f t="shared" si="7"/>
        <v>41.478700000000003</v>
      </c>
      <c r="I444" s="66"/>
      <c r="J444" s="66"/>
      <c r="K444" s="67"/>
      <c r="L444" s="29"/>
      <c r="M444" s="70">
        <f>M53</f>
        <v>459.34</v>
      </c>
      <c r="N444" s="70">
        <f t="shared" si="8"/>
        <v>37.946950000000001</v>
      </c>
      <c r="O444" s="70">
        <f t="shared" si="8"/>
        <v>42.141750000000002</v>
      </c>
      <c r="P444" s="70">
        <f t="shared" si="8"/>
        <v>41.484166666666667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265.11439999999999</v>
      </c>
      <c r="F445" s="81">
        <f t="shared" si="7"/>
        <v>35.20173333333333</v>
      </c>
      <c r="G445" s="81">
        <f t="shared" si="7"/>
        <v>40.803166666666662</v>
      </c>
      <c r="H445" s="81">
        <f t="shared" si="7"/>
        <v>39.96371666666667</v>
      </c>
      <c r="I445" s="68"/>
      <c r="J445" s="68"/>
      <c r="K445" s="69"/>
      <c r="L445" s="29"/>
      <c r="M445" s="81">
        <f>M54</f>
        <v>264.90480000000002</v>
      </c>
      <c r="N445" s="81">
        <f t="shared" si="8"/>
        <v>35.20021666666667</v>
      </c>
      <c r="O445" s="81">
        <f t="shared" si="8"/>
        <v>40.805716666666662</v>
      </c>
      <c r="P445" s="81">
        <f t="shared" si="8"/>
        <v>39.963249999999995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>
      <c r="B446" s="29"/>
      <c r="C446" s="28" t="s">
        <v>40</v>
      </c>
      <c r="D446" s="31">
        <v>25</v>
      </c>
      <c r="E446" s="78">
        <f t="shared" ref="E446:E453" si="9">E438</f>
        <v>1348.3079999999998</v>
      </c>
      <c r="F446" s="78">
        <f t="shared" ref="F446:H449" si="10">AVERAGE(F3,F7,F27,F31,F35)</f>
        <v>42.724859999999993</v>
      </c>
      <c r="G446" s="78">
        <f t="shared" si="10"/>
        <v>44.678920000000005</v>
      </c>
      <c r="H446" s="78">
        <f t="shared" si="10"/>
        <v>44.730020000000003</v>
      </c>
      <c r="I446" s="79"/>
      <c r="J446" s="79"/>
      <c r="K446" s="80"/>
      <c r="L446" s="29"/>
      <c r="M446" s="78">
        <f t="shared" ref="M446:M453" si="11">M438</f>
        <v>1348.4871999999998</v>
      </c>
      <c r="N446" s="78">
        <f t="shared" ref="N446:P449" si="12">AVERAGE(N3,N7,N27,N31,N35)</f>
        <v>42.722639999999998</v>
      </c>
      <c r="O446" s="78">
        <f t="shared" si="12"/>
        <v>44.680660000000003</v>
      </c>
      <c r="P446" s="78">
        <f t="shared" si="12"/>
        <v>44.72972</v>
      </c>
      <c r="Q446" s="79"/>
      <c r="R446" s="79"/>
      <c r="S446" s="80"/>
      <c r="U446" s="8">
        <f>bdrate($E446:$E449,F446:F449,$M446:$M449,N446:N449)</f>
        <v>-4.3834507398565759E-4</v>
      </c>
      <c r="V446" s="9">
        <f>bdrate($E446:$E449,G446:G449,$M446:$M449,O446:O449)</f>
        <v>2.1453636923585151E-4</v>
      </c>
      <c r="W446" s="10">
        <f>bdrate($E446:$E449,H446:H449,$M446:$M449,P446:P449)</f>
        <v>4.8211164558153996E-4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70">
        <f t="shared" si="9"/>
        <v>671.11280000000011</v>
      </c>
      <c r="F447" s="70">
        <f t="shared" si="10"/>
        <v>40.51932</v>
      </c>
      <c r="G447" s="70">
        <f t="shared" si="10"/>
        <v>43.169239999999995</v>
      </c>
      <c r="H447" s="70">
        <f t="shared" si="10"/>
        <v>42.885720000000006</v>
      </c>
      <c r="I447" s="66"/>
      <c r="J447" s="66"/>
      <c r="K447" s="67"/>
      <c r="L447" s="29"/>
      <c r="M447" s="70">
        <f t="shared" si="11"/>
        <v>670.75920000000008</v>
      </c>
      <c r="N447" s="70">
        <f t="shared" si="12"/>
        <v>40.518979999999999</v>
      </c>
      <c r="O447" s="70">
        <f t="shared" si="12"/>
        <v>43.165239999999997</v>
      </c>
      <c r="P447" s="70">
        <f t="shared" si="12"/>
        <v>42.878920000000001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70">
        <f t="shared" si="9"/>
        <v>370.13040000000001</v>
      </c>
      <c r="F448" s="70">
        <f t="shared" si="10"/>
        <v>37.95234</v>
      </c>
      <c r="G448" s="70">
        <f t="shared" si="10"/>
        <v>41.553700000000006</v>
      </c>
      <c r="H448" s="70">
        <f t="shared" si="10"/>
        <v>41.032259999999994</v>
      </c>
      <c r="I448" s="66"/>
      <c r="J448" s="66"/>
      <c r="K448" s="67"/>
      <c r="L448" s="29"/>
      <c r="M448" s="70">
        <f t="shared" si="11"/>
        <v>369.97280000000001</v>
      </c>
      <c r="N448" s="70">
        <f t="shared" si="12"/>
        <v>37.953900000000004</v>
      </c>
      <c r="O448" s="70">
        <f t="shared" si="12"/>
        <v>41.552779999999998</v>
      </c>
      <c r="P448" s="70">
        <f t="shared" si="12"/>
        <v>41.032859999999999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9"/>
        <v>215.78800000000001</v>
      </c>
      <c r="F449" s="81">
        <f t="shared" si="10"/>
        <v>35.199179999999998</v>
      </c>
      <c r="G449" s="81">
        <f t="shared" si="10"/>
        <v>40.304119999999998</v>
      </c>
      <c r="H449" s="81">
        <f t="shared" si="10"/>
        <v>39.616779999999999</v>
      </c>
      <c r="I449" s="68"/>
      <c r="J449" s="68"/>
      <c r="K449" s="69"/>
      <c r="L449" s="29"/>
      <c r="M449" s="81">
        <f t="shared" si="11"/>
        <v>215.6728</v>
      </c>
      <c r="N449" s="81">
        <f t="shared" si="12"/>
        <v>35.199359999999999</v>
      </c>
      <c r="O449" s="81">
        <f t="shared" si="12"/>
        <v>40.305359999999993</v>
      </c>
      <c r="P449" s="81">
        <f t="shared" si="12"/>
        <v>39.617719999999998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8">
        <f t="shared" si="9"/>
        <v>1747.6248000000001</v>
      </c>
      <c r="F450" s="78">
        <f t="shared" ref="F450:H453" si="13">AVERAGE(F3,F7,F11,F27,F31,F35,F39,F43,F47)</f>
        <v>42.591477777777783</v>
      </c>
      <c r="G450" s="78">
        <f t="shared" si="13"/>
        <v>44.730366666666669</v>
      </c>
      <c r="H450" s="78">
        <f t="shared" si="13"/>
        <v>44.748155555555556</v>
      </c>
      <c r="I450" s="79"/>
      <c r="J450" s="79"/>
      <c r="K450" s="80"/>
      <c r="L450" s="29"/>
      <c r="M450" s="78">
        <f t="shared" si="11"/>
        <v>1747.9272000000001</v>
      </c>
      <c r="N450" s="78">
        <f t="shared" ref="N450:P453" si="14">AVERAGE(N3,N7,N11,N27,N31,N35,N39,N43,N47)</f>
        <v>42.590677777777771</v>
      </c>
      <c r="O450" s="78">
        <f t="shared" si="14"/>
        <v>44.730733333333333</v>
      </c>
      <c r="P450" s="78">
        <f t="shared" si="14"/>
        <v>44.749522222222225</v>
      </c>
      <c r="Q450" s="79"/>
      <c r="R450" s="79"/>
      <c r="S450" s="80"/>
      <c r="U450" s="8">
        <f>bdrate($E450:$E453,F450:F453,$M450:$M453,N450:N453)</f>
        <v>-5.5846646397372801E-4</v>
      </c>
      <c r="V450" s="9">
        <f>bdrate($E450:$E453,G450:G453,$M450:$M453,O450:O453)</f>
        <v>1.4878050514099961E-4</v>
      </c>
      <c r="W450" s="10">
        <f>bdrate($E450:$E453,H450:H453,$M450:$M453,P450:P453)</f>
        <v>-8.9978644389543394E-4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70">
        <f t="shared" si="9"/>
        <v>843.25599999999997</v>
      </c>
      <c r="F451" s="70">
        <f t="shared" si="13"/>
        <v>40.391444444444438</v>
      </c>
      <c r="G451" s="70">
        <f t="shared" si="13"/>
        <v>43.184466666666665</v>
      </c>
      <c r="H451" s="70">
        <f t="shared" si="13"/>
        <v>42.883722222222218</v>
      </c>
      <c r="I451" s="66"/>
      <c r="J451" s="66"/>
      <c r="K451" s="67"/>
      <c r="L451" s="29"/>
      <c r="M451" s="70">
        <f t="shared" si="11"/>
        <v>842.45360000000005</v>
      </c>
      <c r="N451" s="70">
        <f t="shared" si="14"/>
        <v>40.390455555555555</v>
      </c>
      <c r="O451" s="70">
        <f t="shared" si="14"/>
        <v>43.179644444444449</v>
      </c>
      <c r="P451" s="70">
        <f t="shared" si="14"/>
        <v>42.881422222222227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70">
        <f t="shared" si="9"/>
        <v>459.73759999999999</v>
      </c>
      <c r="F452" s="70">
        <f t="shared" si="13"/>
        <v>37.839411111111104</v>
      </c>
      <c r="G452" s="70">
        <f t="shared" si="13"/>
        <v>41.571022222222219</v>
      </c>
      <c r="H452" s="70">
        <f t="shared" si="13"/>
        <v>41.035944444444446</v>
      </c>
      <c r="I452" s="66"/>
      <c r="J452" s="66"/>
      <c r="K452" s="67"/>
      <c r="L452" s="29"/>
      <c r="M452" s="70">
        <f t="shared" si="11"/>
        <v>459.34</v>
      </c>
      <c r="N452" s="70">
        <f t="shared" si="14"/>
        <v>37.838833333333341</v>
      </c>
      <c r="O452" s="70">
        <f t="shared" si="14"/>
        <v>41.569388888888888</v>
      </c>
      <c r="P452" s="70">
        <f t="shared" si="14"/>
        <v>41.039733333333338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9"/>
        <v>265.11439999999999</v>
      </c>
      <c r="F453" s="81">
        <f t="shared" si="13"/>
        <v>35.092900000000007</v>
      </c>
      <c r="G453" s="81">
        <f t="shared" si="13"/>
        <v>40.317522222222223</v>
      </c>
      <c r="H453" s="81">
        <f t="shared" si="13"/>
        <v>39.602944444444439</v>
      </c>
      <c r="I453" s="68"/>
      <c r="J453" s="68"/>
      <c r="K453" s="69"/>
      <c r="L453" s="29"/>
      <c r="M453" s="81">
        <f t="shared" si="11"/>
        <v>264.90480000000002</v>
      </c>
      <c r="N453" s="81">
        <f t="shared" si="14"/>
        <v>35.091533333333331</v>
      </c>
      <c r="O453" s="81">
        <f t="shared" si="14"/>
        <v>40.32008888888889</v>
      </c>
      <c r="P453" s="81">
        <f t="shared" si="14"/>
        <v>39.601744444444449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8">
        <f>E55+E59</f>
        <v>1119.6744000000001</v>
      </c>
      <c r="F454" s="78">
        <f t="shared" ref="F454:H457" si="15">AVERAGE(F55,F59)</f>
        <v>43.145399999999995</v>
      </c>
      <c r="G454" s="78">
        <f t="shared" si="15"/>
        <v>44.849000000000004</v>
      </c>
      <c r="H454" s="78">
        <f t="shared" si="15"/>
        <v>44.5441</v>
      </c>
      <c r="I454" s="79"/>
      <c r="J454" s="79"/>
      <c r="K454" s="80"/>
      <c r="L454" s="29"/>
      <c r="M454" s="78">
        <f>M55+M59</f>
        <v>1119.7640000000001</v>
      </c>
      <c r="N454" s="78">
        <f t="shared" ref="N454:P457" si="16">AVERAGE(N55,N59)</f>
        <v>43.145250000000004</v>
      </c>
      <c r="O454" s="78">
        <f t="shared" si="16"/>
        <v>44.849299999999999</v>
      </c>
      <c r="P454" s="78">
        <f t="shared" si="16"/>
        <v>44.54045</v>
      </c>
      <c r="Q454" s="79"/>
      <c r="R454" s="79"/>
      <c r="S454" s="80"/>
      <c r="U454" s="8">
        <f>bdrate($E454:$E457,F454:F457,$M454:$M457,N454:N457)</f>
        <v>2.3605213628719035E-4</v>
      </c>
      <c r="V454" s="9">
        <f>bdrate($E454:$E457,G454:G457,$M454:$M457,O454:O457)</f>
        <v>7.8634161933632818E-4</v>
      </c>
      <c r="W454" s="10">
        <f>bdrate($E454:$E457,H454:H457,$M454:$M457,P454:P457)</f>
        <v>1.6541570860240107E-4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70">
        <f>E56+E60</f>
        <v>572.86079999999993</v>
      </c>
      <c r="F455" s="70">
        <f t="shared" si="15"/>
        <v>40.896749999999997</v>
      </c>
      <c r="G455" s="70">
        <f t="shared" si="15"/>
        <v>43.959699999999998</v>
      </c>
      <c r="H455" s="70">
        <f t="shared" si="15"/>
        <v>43.056350000000002</v>
      </c>
      <c r="I455" s="66"/>
      <c r="J455" s="66"/>
      <c r="K455" s="67"/>
      <c r="L455" s="29"/>
      <c r="M455" s="70">
        <f>M56+M60</f>
        <v>573.02</v>
      </c>
      <c r="N455" s="70">
        <f t="shared" si="16"/>
        <v>40.897999999999996</v>
      </c>
      <c r="O455" s="70">
        <f t="shared" si="16"/>
        <v>43.958799999999997</v>
      </c>
      <c r="P455" s="70">
        <f t="shared" si="16"/>
        <v>43.057699999999997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70">
        <f>E57+E61</f>
        <v>319.61439999999999</v>
      </c>
      <c r="F456" s="70">
        <f t="shared" si="15"/>
        <v>38.425650000000005</v>
      </c>
      <c r="G456" s="70">
        <f t="shared" si="15"/>
        <v>42.976050000000001</v>
      </c>
      <c r="H456" s="70">
        <f t="shared" si="15"/>
        <v>41.540599999999998</v>
      </c>
      <c r="I456" s="66"/>
      <c r="J456" s="66"/>
      <c r="K456" s="67"/>
      <c r="L456" s="29"/>
      <c r="M456" s="70">
        <f>M57+M61</f>
        <v>319.61040000000003</v>
      </c>
      <c r="N456" s="70">
        <f t="shared" si="16"/>
        <v>38.423299999999998</v>
      </c>
      <c r="O456" s="70">
        <f t="shared" si="16"/>
        <v>42.973750000000003</v>
      </c>
      <c r="P456" s="70">
        <f t="shared" si="16"/>
        <v>41.54045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188.084</v>
      </c>
      <c r="F457" s="81">
        <f t="shared" si="15"/>
        <v>35.847750000000005</v>
      </c>
      <c r="G457" s="81">
        <f t="shared" si="15"/>
        <v>42.130499999999998</v>
      </c>
      <c r="H457" s="81">
        <f t="shared" si="15"/>
        <v>40.239100000000001</v>
      </c>
      <c r="I457" s="68"/>
      <c r="J457" s="68"/>
      <c r="K457" s="69"/>
      <c r="L457" s="29"/>
      <c r="M457" s="81">
        <f>M58+M62</f>
        <v>188.1208</v>
      </c>
      <c r="N457" s="81">
        <f t="shared" si="16"/>
        <v>35.847200000000001</v>
      </c>
      <c r="O457" s="81">
        <f t="shared" si="16"/>
        <v>42.131450000000001</v>
      </c>
      <c r="P457" s="81">
        <f t="shared" si="16"/>
        <v>40.239100000000001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8">
        <f>E55+E59+E63</f>
        <v>1409.1824000000001</v>
      </c>
      <c r="F458" s="78">
        <f t="shared" ref="F458:H461" si="17">AVERAGE(F55,F59,F63)</f>
        <v>42.871233333333329</v>
      </c>
      <c r="G458" s="78">
        <f t="shared" si="17"/>
        <v>44.547433333333338</v>
      </c>
      <c r="H458" s="78">
        <f t="shared" si="17"/>
        <v>44.325400000000002</v>
      </c>
      <c r="I458" s="79"/>
      <c r="J458" s="79"/>
      <c r="K458" s="80"/>
      <c r="L458" s="29"/>
      <c r="M458" s="78">
        <f>M55+M59+M63</f>
        <v>1409.8512000000001</v>
      </c>
      <c r="N458" s="78">
        <f t="shared" ref="N458:P461" si="18">AVERAGE(N55,N59,N63)</f>
        <v>42.871833333333335</v>
      </c>
      <c r="O458" s="78">
        <f t="shared" si="18"/>
        <v>44.547899999999998</v>
      </c>
      <c r="P458" s="78">
        <f t="shared" si="18"/>
        <v>44.32566666666667</v>
      </c>
      <c r="Q458" s="79"/>
      <c r="R458" s="79"/>
      <c r="S458" s="80"/>
      <c r="U458" s="8">
        <f>bdrate($E458:$E461,F458:F461,$M458:$M461,N458:N461)</f>
        <v>8.5480046145836042E-6</v>
      </c>
      <c r="V458" s="9">
        <f>bdrate($E458:$E461,G458:G461,$M458:$M461,O458:O461)</f>
        <v>3.0395798675297847E-4</v>
      </c>
      <c r="W458" s="10">
        <f>bdrate($E458:$E461,H458:H461,$M458:$M461,P458:P461)</f>
        <v>-1.4991712276712921E-4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70">
        <f>E56+E60+E64</f>
        <v>701.41439999999989</v>
      </c>
      <c r="F459" s="70">
        <f t="shared" si="17"/>
        <v>40.634899999999995</v>
      </c>
      <c r="G459" s="70">
        <f t="shared" si="17"/>
        <v>43.627266666666664</v>
      </c>
      <c r="H459" s="70">
        <f t="shared" si="17"/>
        <v>42.85913333333334</v>
      </c>
      <c r="I459" s="66"/>
      <c r="J459" s="66"/>
      <c r="K459" s="67"/>
      <c r="L459" s="29"/>
      <c r="M459" s="70">
        <f>M56+M60+M64</f>
        <v>701.42719999999997</v>
      </c>
      <c r="N459" s="70">
        <f t="shared" si="18"/>
        <v>40.635533333333335</v>
      </c>
      <c r="O459" s="70">
        <f t="shared" si="18"/>
        <v>43.626933333333334</v>
      </c>
      <c r="P459" s="70">
        <f t="shared" si="18"/>
        <v>42.858466666666665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70">
        <f>E57+E61+E65</f>
        <v>386.33119999999997</v>
      </c>
      <c r="F460" s="70">
        <f t="shared" si="17"/>
        <v>38.194066666666664</v>
      </c>
      <c r="G460" s="70">
        <f t="shared" si="17"/>
        <v>42.716766666666672</v>
      </c>
      <c r="H460" s="70">
        <f t="shared" si="17"/>
        <v>41.428433333333331</v>
      </c>
      <c r="I460" s="66"/>
      <c r="J460" s="66"/>
      <c r="K460" s="67"/>
      <c r="L460" s="29"/>
      <c r="M460" s="70">
        <f>M57+M61+M65</f>
        <v>386.01120000000003</v>
      </c>
      <c r="N460" s="70">
        <f t="shared" si="18"/>
        <v>38.19</v>
      </c>
      <c r="O460" s="70">
        <f t="shared" si="18"/>
        <v>42.713266666666669</v>
      </c>
      <c r="P460" s="70">
        <f t="shared" si="18"/>
        <v>41.428699999999999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223.45519999999999</v>
      </c>
      <c r="F461" s="81">
        <f t="shared" si="17"/>
        <v>35.638833333333338</v>
      </c>
      <c r="G461" s="81">
        <f t="shared" si="17"/>
        <v>41.890766666666664</v>
      </c>
      <c r="H461" s="81">
        <f t="shared" si="17"/>
        <v>40.1526</v>
      </c>
      <c r="I461" s="68"/>
      <c r="J461" s="68"/>
      <c r="K461" s="69"/>
      <c r="L461" s="29"/>
      <c r="M461" s="81">
        <f>M58+M62+M66</f>
        <v>223.4128</v>
      </c>
      <c r="N461" s="81">
        <f t="shared" si="18"/>
        <v>35.638066666666667</v>
      </c>
      <c r="O461" s="81">
        <f t="shared" si="18"/>
        <v>41.8949</v>
      </c>
      <c r="P461" s="81">
        <f t="shared" si="18"/>
        <v>40.151833333333336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8">
        <f>E55+E59+E67+E71</f>
        <v>1365.2576000000001</v>
      </c>
      <c r="F462" s="78">
        <f t="shared" ref="F462:H465" si="19">AVERAGE(F79,F83,F87)</f>
        <v>43.288699999999999</v>
      </c>
      <c r="G462" s="78">
        <f t="shared" si="19"/>
        <v>47.20986666666667</v>
      </c>
      <c r="H462" s="78">
        <f t="shared" si="19"/>
        <v>46.308900000000001</v>
      </c>
      <c r="I462" s="79"/>
      <c r="J462" s="79"/>
      <c r="K462" s="80"/>
      <c r="L462" s="29"/>
      <c r="M462" s="78">
        <f>M55+M59+M67+M71</f>
        <v>1365.0272000000002</v>
      </c>
      <c r="N462" s="78">
        <f t="shared" ref="N462:P465" si="20">AVERAGE(N79,N83,N87)</f>
        <v>43.288699999999999</v>
      </c>
      <c r="O462" s="78">
        <f t="shared" si="20"/>
        <v>47.2014</v>
      </c>
      <c r="P462" s="78">
        <f t="shared" si="20"/>
        <v>46.307733333333339</v>
      </c>
      <c r="Q462" s="79"/>
      <c r="R462" s="79"/>
      <c r="S462" s="80"/>
      <c r="U462" s="8">
        <f>bdrate($E462:$E465,F462:F465,$M462:$M465,N462:N465)</f>
        <v>-2.0023055417828228E-4</v>
      </c>
      <c r="V462" s="9">
        <f>bdrate($E462:$E465,G462:G465,$M462:$M465,O462:O465)</f>
        <v>4.102442861497746E-4</v>
      </c>
      <c r="W462" s="10">
        <f>bdrate($E462:$E465,H462:H465,$M462:$M465,P462:P465)</f>
        <v>-1.9348738175178903E-3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70">
        <f>E56+E60+E68+E72</f>
        <v>656.33999999999992</v>
      </c>
      <c r="F463" s="70">
        <f t="shared" si="19"/>
        <v>40.979533333333329</v>
      </c>
      <c r="G463" s="70">
        <f t="shared" si="19"/>
        <v>46.045766666666658</v>
      </c>
      <c r="H463" s="70">
        <f t="shared" si="19"/>
        <v>44.535133333333334</v>
      </c>
      <c r="I463" s="66"/>
      <c r="J463" s="66"/>
      <c r="K463" s="67"/>
      <c r="L463" s="29"/>
      <c r="M463" s="70">
        <f>M56+M60+M68+M72</f>
        <v>656.59280000000001</v>
      </c>
      <c r="N463" s="70">
        <f t="shared" si="20"/>
        <v>40.982833333333332</v>
      </c>
      <c r="O463" s="70">
        <f t="shared" si="20"/>
        <v>46.041033333333331</v>
      </c>
      <c r="P463" s="70">
        <f t="shared" si="20"/>
        <v>44.541366666666669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70">
        <f>E57+E61+E69+E73</f>
        <v>355.7704</v>
      </c>
      <c r="F464" s="70">
        <f t="shared" si="19"/>
        <v>38.527166666666666</v>
      </c>
      <c r="G464" s="70">
        <f t="shared" si="19"/>
        <v>44.769833333333338</v>
      </c>
      <c r="H464" s="70">
        <f t="shared" si="19"/>
        <v>42.794600000000003</v>
      </c>
      <c r="I464" s="66"/>
      <c r="J464" s="66"/>
      <c r="K464" s="67"/>
      <c r="L464" s="29"/>
      <c r="M464" s="70">
        <f>M57+M61+M69+M73</f>
        <v>355.78160000000003</v>
      </c>
      <c r="N464" s="70">
        <f t="shared" si="20"/>
        <v>38.527733333333337</v>
      </c>
      <c r="O464" s="70">
        <f t="shared" si="20"/>
        <v>44.775133333333336</v>
      </c>
      <c r="P464" s="70">
        <f t="shared" si="20"/>
        <v>42.802399999999999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205.43680000000001</v>
      </c>
      <c r="F465" s="81">
        <f t="shared" si="19"/>
        <v>35.974833333333329</v>
      </c>
      <c r="G465" s="81">
        <f t="shared" si="19"/>
        <v>43.779933333333332</v>
      </c>
      <c r="H465" s="81">
        <f t="shared" si="19"/>
        <v>41.327266666666667</v>
      </c>
      <c r="I465" s="68"/>
      <c r="J465" s="68"/>
      <c r="K465" s="69"/>
      <c r="L465" s="29"/>
      <c r="M465" s="81">
        <f>M58+M62+M70+M74</f>
        <v>205.50800000000001</v>
      </c>
      <c r="N465" s="81">
        <f t="shared" si="20"/>
        <v>35.974533333333333</v>
      </c>
      <c r="O465" s="81">
        <f t="shared" si="20"/>
        <v>43.789633333333335</v>
      </c>
      <c r="P465" s="81">
        <f t="shared" si="20"/>
        <v>41.333266666666667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>
      <c r="B466" s="29"/>
      <c r="C466" s="28" t="s">
        <v>39</v>
      </c>
      <c r="D466" s="31">
        <v>25</v>
      </c>
      <c r="E466" s="78">
        <f>E103</f>
        <v>1785.4176</v>
      </c>
      <c r="F466" s="78">
        <f t="shared" ref="F466:H469" si="21">AVERAGE(F79,F83,F87,F91,F95,F99)</f>
        <v>43.168883333333326</v>
      </c>
      <c r="G466" s="78">
        <f t="shared" si="21"/>
        <v>47.044016666666664</v>
      </c>
      <c r="H466" s="78">
        <f t="shared" si="21"/>
        <v>46.307650000000002</v>
      </c>
      <c r="I466" s="79"/>
      <c r="J466" s="79"/>
      <c r="K466" s="80"/>
      <c r="L466" s="29"/>
      <c r="M466" s="78">
        <f>M103</f>
        <v>1785.5408</v>
      </c>
      <c r="N466" s="78">
        <f t="shared" ref="N466:P469" si="22">AVERAGE(N79,N83,N87,N91,N95,N99)</f>
        <v>43.16363333333333</v>
      </c>
      <c r="O466" s="78">
        <f t="shared" si="22"/>
        <v>47.040249999999993</v>
      </c>
      <c r="P466" s="78">
        <f t="shared" si="22"/>
        <v>46.303883333333339</v>
      </c>
      <c r="Q466" s="79"/>
      <c r="R466" s="79"/>
      <c r="S466" s="80"/>
      <c r="U466" s="8">
        <f>bdrate($E466:$E469,F466:F469,$M466:$M469,N466:N469)</f>
        <v>2.5702984379494254E-4</v>
      </c>
      <c r="V466" s="9">
        <f>bdrate($E466:$E469,G466:G469,$M466:$M469,O466:O469)</f>
        <v>3.0067896504437641E-4</v>
      </c>
      <c r="W466" s="10">
        <f>bdrate($E466:$E469,H466:H469,$M466:$M469,P466:P469)</f>
        <v>-7.043245327191805E-4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70">
        <f>E104</f>
        <v>831.12080000000003</v>
      </c>
      <c r="F467" s="70">
        <f t="shared" si="21"/>
        <v>40.876916666666666</v>
      </c>
      <c r="G467" s="70">
        <f t="shared" si="21"/>
        <v>45.915950000000002</v>
      </c>
      <c r="H467" s="70">
        <f t="shared" si="21"/>
        <v>44.539966666666665</v>
      </c>
      <c r="I467" s="66"/>
      <c r="J467" s="66"/>
      <c r="K467" s="67"/>
      <c r="L467" s="29"/>
      <c r="M467" s="70">
        <f>M104</f>
        <v>831.17679999999996</v>
      </c>
      <c r="N467" s="70">
        <f t="shared" si="22"/>
        <v>40.876299999999993</v>
      </c>
      <c r="O467" s="70">
        <f t="shared" si="22"/>
        <v>45.911549999999998</v>
      </c>
      <c r="P467" s="70">
        <f t="shared" si="22"/>
        <v>44.542966666666665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70">
        <f>E105</f>
        <v>445.51839999999999</v>
      </c>
      <c r="F468" s="70">
        <f t="shared" si="21"/>
        <v>38.429566666666673</v>
      </c>
      <c r="G468" s="70">
        <f t="shared" si="21"/>
        <v>44.702033333333333</v>
      </c>
      <c r="H468" s="70">
        <f t="shared" si="21"/>
        <v>42.803066666666666</v>
      </c>
      <c r="I468" s="66"/>
      <c r="J468" s="66"/>
      <c r="K468" s="67"/>
      <c r="L468" s="29"/>
      <c r="M468" s="70">
        <f>M105</f>
        <v>445.19839999999999</v>
      </c>
      <c r="N468" s="70">
        <f t="shared" si="22"/>
        <v>38.427566666666671</v>
      </c>
      <c r="O468" s="70">
        <f t="shared" si="22"/>
        <v>44.704483333333336</v>
      </c>
      <c r="P468" s="70">
        <f t="shared" si="22"/>
        <v>42.803599999999996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254.66239999999999</v>
      </c>
      <c r="F469" s="81">
        <f t="shared" si="21"/>
        <v>35.870799999999996</v>
      </c>
      <c r="G469" s="81">
        <f t="shared" si="21"/>
        <v>43.717866666666659</v>
      </c>
      <c r="H469" s="81">
        <f t="shared" si="21"/>
        <v>41.306016666666665</v>
      </c>
      <c r="I469" s="68"/>
      <c r="J469" s="68"/>
      <c r="K469" s="69"/>
      <c r="L469" s="29"/>
      <c r="M469" s="81">
        <f>M106</f>
        <v>254.73439999999999</v>
      </c>
      <c r="N469" s="81">
        <f t="shared" si="22"/>
        <v>35.871116666666666</v>
      </c>
      <c r="O469" s="81">
        <f t="shared" si="22"/>
        <v>43.724516666666666</v>
      </c>
      <c r="P469" s="81">
        <f t="shared" si="22"/>
        <v>41.311133333333331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8">
        <f t="shared" ref="E470:E477" si="23">E462</f>
        <v>1365.2576000000001</v>
      </c>
      <c r="F470" s="78">
        <f t="shared" ref="F470:H473" si="24">AVERAGE(F55,F59,F79,F83,F87)</f>
        <v>43.231379999999994</v>
      </c>
      <c r="G470" s="78">
        <f t="shared" si="24"/>
        <v>46.265520000000002</v>
      </c>
      <c r="H470" s="78">
        <f t="shared" si="24"/>
        <v>45.602980000000002</v>
      </c>
      <c r="I470" s="79"/>
      <c r="J470" s="79"/>
      <c r="K470" s="80"/>
      <c r="L470" s="29"/>
      <c r="M470" s="78">
        <f t="shared" ref="M470:M477" si="25">M462</f>
        <v>1365.0272000000002</v>
      </c>
      <c r="N470" s="78">
        <f t="shared" ref="N470:P473" si="26">AVERAGE(N55,N59,N79,N83,N87)</f>
        <v>43.231319999999997</v>
      </c>
      <c r="O470" s="78">
        <f t="shared" si="26"/>
        <v>46.260559999999998</v>
      </c>
      <c r="P470" s="78">
        <f t="shared" si="26"/>
        <v>45.600820000000006</v>
      </c>
      <c r="Q470" s="79"/>
      <c r="R470" s="79"/>
      <c r="S470" s="80"/>
      <c r="U470" s="8">
        <f>bdrate($E470:$E473,F470:F473,$M470:$M473,N470:N473)</f>
        <v>-6.5171991124879369E-6</v>
      </c>
      <c r="V470" s="9">
        <f>bdrate($E470:$E473,G470:G473,$M470:$M473,O470:O473)</f>
        <v>5.6491925323265413E-4</v>
      </c>
      <c r="W470" s="10">
        <f>bdrate($E470:$E473,H470:H473,$M470:$M473,P470:P473)</f>
        <v>-1.1482445350173842E-3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70">
        <f t="shared" si="23"/>
        <v>656.33999999999992</v>
      </c>
      <c r="F471" s="70">
        <f t="shared" si="24"/>
        <v>40.946420000000003</v>
      </c>
      <c r="G471" s="70">
        <f t="shared" si="24"/>
        <v>45.211339999999993</v>
      </c>
      <c r="H471" s="70">
        <f t="shared" si="24"/>
        <v>43.943619999999996</v>
      </c>
      <c r="I471" s="66"/>
      <c r="J471" s="66"/>
      <c r="K471" s="67"/>
      <c r="L471" s="29"/>
      <c r="M471" s="70">
        <f t="shared" si="25"/>
        <v>656.59280000000001</v>
      </c>
      <c r="N471" s="70">
        <f t="shared" si="26"/>
        <v>40.948899999999995</v>
      </c>
      <c r="O471" s="70">
        <f t="shared" si="26"/>
        <v>45.20814</v>
      </c>
      <c r="P471" s="70">
        <f t="shared" si="26"/>
        <v>43.947900000000004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70">
        <f t="shared" si="23"/>
        <v>355.7704</v>
      </c>
      <c r="F472" s="70">
        <f t="shared" si="24"/>
        <v>38.486559999999997</v>
      </c>
      <c r="G472" s="70">
        <f t="shared" si="24"/>
        <v>44.052320000000002</v>
      </c>
      <c r="H472" s="70">
        <f t="shared" si="24"/>
        <v>42.292999999999999</v>
      </c>
      <c r="I472" s="66"/>
      <c r="J472" s="66"/>
      <c r="K472" s="67"/>
      <c r="L472" s="29"/>
      <c r="M472" s="70">
        <f t="shared" si="25"/>
        <v>355.78160000000003</v>
      </c>
      <c r="N472" s="70">
        <f t="shared" si="26"/>
        <v>38.485959999999999</v>
      </c>
      <c r="O472" s="70">
        <f t="shared" si="26"/>
        <v>44.054580000000001</v>
      </c>
      <c r="P472" s="70">
        <f t="shared" si="26"/>
        <v>42.297620000000002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23"/>
        <v>205.43680000000001</v>
      </c>
      <c r="F473" s="81">
        <f t="shared" si="24"/>
        <v>35.923999999999999</v>
      </c>
      <c r="G473" s="81">
        <f t="shared" si="24"/>
        <v>43.120159999999998</v>
      </c>
      <c r="H473" s="81">
        <f t="shared" si="24"/>
        <v>40.89200000000001</v>
      </c>
      <c r="I473" s="68"/>
      <c r="J473" s="68"/>
      <c r="K473" s="69"/>
      <c r="L473" s="29"/>
      <c r="M473" s="81">
        <f t="shared" si="25"/>
        <v>205.50800000000001</v>
      </c>
      <c r="N473" s="81">
        <f t="shared" si="26"/>
        <v>35.9236</v>
      </c>
      <c r="O473" s="81">
        <f t="shared" si="26"/>
        <v>43.126359999999998</v>
      </c>
      <c r="P473" s="81">
        <f t="shared" si="26"/>
        <v>40.895600000000002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8">
        <f t="shared" si="23"/>
        <v>1785.4176</v>
      </c>
      <c r="F474" s="78">
        <f t="shared" ref="F474:H477" si="27">AVERAGE(F55,F59,F63,F79,F83,F87,F91,F95,F99)</f>
        <v>43.069666666666663</v>
      </c>
      <c r="G474" s="78">
        <f t="shared" si="27"/>
        <v>46.211822222222217</v>
      </c>
      <c r="H474" s="78">
        <f t="shared" si="27"/>
        <v>45.646899999999995</v>
      </c>
      <c r="I474" s="79"/>
      <c r="J474" s="79"/>
      <c r="K474" s="80"/>
      <c r="L474" s="29"/>
      <c r="M474" s="78">
        <f t="shared" si="25"/>
        <v>1785.5408</v>
      </c>
      <c r="N474" s="78">
        <f t="shared" ref="N474:P477" si="28">AVERAGE(N55,N59,N63,N79,N83,N87,N91,N95,N99)</f>
        <v>43.06636666666666</v>
      </c>
      <c r="O474" s="78">
        <f t="shared" si="28"/>
        <v>46.209466666666671</v>
      </c>
      <c r="P474" s="78">
        <f t="shared" si="28"/>
        <v>45.64447777777778</v>
      </c>
      <c r="Q474" s="79"/>
      <c r="R474" s="79"/>
      <c r="S474" s="80"/>
      <c r="U474" s="8">
        <f>bdrate($E474:$E477,F474:F477,$M474:$M477,N474:N477)</f>
        <v>2.0232705877765156E-4</v>
      </c>
      <c r="V474" s="9">
        <f>bdrate($E474:$E477,G474:G477,$M474:$M477,O474:O477)</f>
        <v>3.2469239717514142E-4</v>
      </c>
      <c r="W474" s="10">
        <f>bdrate($E474:$E477,H474:H477,$M474:$M477,P474:P477)</f>
        <v>-5.2208549477517074E-4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70">
        <f t="shared" si="23"/>
        <v>831.12080000000003</v>
      </c>
      <c r="F475" s="70">
        <f t="shared" si="27"/>
        <v>40.796244444444447</v>
      </c>
      <c r="G475" s="70">
        <f t="shared" si="27"/>
        <v>45.153055555555547</v>
      </c>
      <c r="H475" s="70">
        <f t="shared" si="27"/>
        <v>43.979688888888887</v>
      </c>
      <c r="I475" s="66"/>
      <c r="J475" s="66"/>
      <c r="K475" s="67"/>
      <c r="L475" s="29"/>
      <c r="M475" s="70">
        <f t="shared" si="25"/>
        <v>831.17679999999996</v>
      </c>
      <c r="N475" s="70">
        <f t="shared" si="28"/>
        <v>40.796044444444448</v>
      </c>
      <c r="O475" s="70">
        <f t="shared" si="28"/>
        <v>45.150011111111112</v>
      </c>
      <c r="P475" s="70">
        <f t="shared" si="28"/>
        <v>43.98146666666667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70">
        <f t="shared" si="23"/>
        <v>445.51839999999999</v>
      </c>
      <c r="F476" s="70">
        <f t="shared" si="27"/>
        <v>38.351066666666668</v>
      </c>
      <c r="G476" s="70">
        <f t="shared" si="27"/>
        <v>44.040277777777781</v>
      </c>
      <c r="H476" s="70">
        <f t="shared" si="27"/>
        <v>42.344855555555554</v>
      </c>
      <c r="I476" s="66"/>
      <c r="J476" s="66"/>
      <c r="K476" s="67"/>
      <c r="L476" s="29"/>
      <c r="M476" s="70">
        <f t="shared" si="25"/>
        <v>445.19839999999999</v>
      </c>
      <c r="N476" s="70">
        <f t="shared" si="28"/>
        <v>38.348377777777777</v>
      </c>
      <c r="O476" s="70">
        <f t="shared" si="28"/>
        <v>44.040744444444442</v>
      </c>
      <c r="P476" s="70">
        <f t="shared" si="28"/>
        <v>42.345300000000002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23"/>
        <v>254.66239999999999</v>
      </c>
      <c r="F477" s="81">
        <f t="shared" si="27"/>
        <v>35.793477777777781</v>
      </c>
      <c r="G477" s="81">
        <f t="shared" si="27"/>
        <v>43.108833333333337</v>
      </c>
      <c r="H477" s="81">
        <f t="shared" si="27"/>
        <v>40.921544444444436</v>
      </c>
      <c r="I477" s="68"/>
      <c r="J477" s="68"/>
      <c r="K477" s="69"/>
      <c r="L477" s="29"/>
      <c r="M477" s="81">
        <f t="shared" si="25"/>
        <v>254.73439999999999</v>
      </c>
      <c r="N477" s="81">
        <f t="shared" si="28"/>
        <v>35.793433333333333</v>
      </c>
      <c r="O477" s="81">
        <f t="shared" si="28"/>
        <v>43.114644444444451</v>
      </c>
      <c r="P477" s="81">
        <f t="shared" si="28"/>
        <v>40.924700000000001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8">
        <f>E107+E111</f>
        <v>1253.0304000000001</v>
      </c>
      <c r="F478" s="78">
        <f t="shared" ref="F478:H481" si="29">AVERAGE(F107,F111)</f>
        <v>40.829549999999998</v>
      </c>
      <c r="G478" s="78">
        <f t="shared" si="29"/>
        <v>43.548249999999996</v>
      </c>
      <c r="H478" s="78">
        <f t="shared" si="29"/>
        <v>43.638350000000003</v>
      </c>
      <c r="I478" s="79"/>
      <c r="J478" s="79"/>
      <c r="K478" s="80"/>
      <c r="L478" s="29"/>
      <c r="M478" s="82">
        <f>M107+M111</f>
        <v>1253.4272000000001</v>
      </c>
      <c r="N478" s="78">
        <f t="shared" ref="N478:P481" si="30">AVERAGE(N107,N111)</f>
        <v>40.828499999999998</v>
      </c>
      <c r="O478" s="78">
        <f t="shared" si="30"/>
        <v>43.549700000000001</v>
      </c>
      <c r="P478" s="78">
        <f t="shared" si="30"/>
        <v>43.641950000000001</v>
      </c>
      <c r="Q478" s="79"/>
      <c r="R478" s="79"/>
      <c r="S478" s="80"/>
      <c r="U478" s="8">
        <f>bdrate($E478:$E481,F478:F481,$M478:$M481,N478:N481)</f>
        <v>-2.5676539323493675E-4</v>
      </c>
      <c r="V478" s="9">
        <f>bdrate($E478:$E481,G478:G481,$M478:$M481,O478:O481)</f>
        <v>9.2532927049537861E-4</v>
      </c>
      <c r="W478" s="10">
        <f>bdrate($E478:$E481,H478:H481,$M478:$M481,P478:P481)</f>
        <v>2.89226512576235E-4</v>
      </c>
      <c r="Y478" s="61"/>
      <c r="Z478" s="61"/>
      <c r="AA478" s="61"/>
      <c r="AB478" s="24"/>
      <c r="AC478" s="24"/>
    </row>
    <row r="479" spans="2:29">
      <c r="B479" s="29"/>
      <c r="C479" s="29"/>
      <c r="D479" s="32">
        <v>30</v>
      </c>
      <c r="E479" s="70">
        <f>E108+E112</f>
        <v>629.60879999999997</v>
      </c>
      <c r="F479" s="70">
        <f t="shared" si="29"/>
        <v>38.477450000000005</v>
      </c>
      <c r="G479" s="70">
        <f t="shared" si="29"/>
        <v>41.915500000000002</v>
      </c>
      <c r="H479" s="70">
        <f t="shared" si="29"/>
        <v>41.988749999999996</v>
      </c>
      <c r="I479" s="66"/>
      <c r="J479" s="66"/>
      <c r="K479" s="67"/>
      <c r="L479" s="29"/>
      <c r="M479" s="83">
        <f>M108+M112</f>
        <v>629.42240000000004</v>
      </c>
      <c r="N479" s="70">
        <f t="shared" si="30"/>
        <v>38.478450000000002</v>
      </c>
      <c r="O479" s="70">
        <f t="shared" si="30"/>
        <v>41.911050000000003</v>
      </c>
      <c r="P479" s="70">
        <f t="shared" si="30"/>
        <v>41.988100000000003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70">
        <f>E109+E113</f>
        <v>339.51679999999999</v>
      </c>
      <c r="F480" s="70">
        <f t="shared" si="29"/>
        <v>35.988599999999998</v>
      </c>
      <c r="G480" s="70">
        <f t="shared" si="29"/>
        <v>40.387450000000001</v>
      </c>
      <c r="H480" s="70">
        <f t="shared" si="29"/>
        <v>40.38335</v>
      </c>
      <c r="I480" s="66"/>
      <c r="J480" s="66"/>
      <c r="K480" s="67"/>
      <c r="L480" s="29"/>
      <c r="M480" s="83">
        <f>M109+M113</f>
        <v>339.49919999999997</v>
      </c>
      <c r="N480" s="70">
        <f t="shared" si="30"/>
        <v>35.989899999999999</v>
      </c>
      <c r="O480" s="70">
        <f t="shared" si="30"/>
        <v>40.385300000000001</v>
      </c>
      <c r="P480" s="70">
        <f t="shared" si="30"/>
        <v>40.379300000000001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193.7704</v>
      </c>
      <c r="F481" s="81">
        <f t="shared" si="29"/>
        <v>33.490549999999999</v>
      </c>
      <c r="G481" s="81">
        <f t="shared" si="29"/>
        <v>39.24315</v>
      </c>
      <c r="H481" s="81">
        <f t="shared" si="29"/>
        <v>39.179900000000004</v>
      </c>
      <c r="I481" s="68"/>
      <c r="J481" s="68"/>
      <c r="K481" s="69"/>
      <c r="L481" s="29"/>
      <c r="M481" s="84">
        <f>M110+M114</f>
        <v>193.8312</v>
      </c>
      <c r="N481" s="81">
        <f t="shared" si="30"/>
        <v>33.491600000000005</v>
      </c>
      <c r="O481" s="81">
        <f t="shared" si="30"/>
        <v>39.243400000000001</v>
      </c>
      <c r="P481" s="81">
        <f t="shared" si="30"/>
        <v>39.182100000000005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8">
        <f>E107+E111+E115</f>
        <v>1600.5016000000001</v>
      </c>
      <c r="F482" s="78">
        <f t="shared" ref="F482:H485" si="31">AVERAGE(F107,F111,F115)</f>
        <v>40.519233333333332</v>
      </c>
      <c r="G482" s="78">
        <f t="shared" si="31"/>
        <v>43.315466666666659</v>
      </c>
      <c r="H482" s="78">
        <f t="shared" si="31"/>
        <v>43.341833333333341</v>
      </c>
      <c r="I482" s="79"/>
      <c r="J482" s="79"/>
      <c r="K482" s="80"/>
      <c r="L482" s="29"/>
      <c r="M482" s="78">
        <f>M107+M111+M115</f>
        <v>1601.4152000000001</v>
      </c>
      <c r="N482" s="78">
        <f t="shared" ref="N482:P485" si="32">AVERAGE(N107,N111,N115)</f>
        <v>40.519133333333336</v>
      </c>
      <c r="O482" s="78">
        <f t="shared" si="32"/>
        <v>43.317633333333333</v>
      </c>
      <c r="P482" s="78">
        <f t="shared" si="32"/>
        <v>43.341900000000003</v>
      </c>
      <c r="Q482" s="79"/>
      <c r="R482" s="79"/>
      <c r="S482" s="80"/>
      <c r="U482" s="8">
        <f>bdrate($E482:$E485,F482:F485,$M482:$M485,N482:N485)</f>
        <v>-3.44557018348568E-4</v>
      </c>
      <c r="V482" s="9">
        <f>bdrate($E482:$E485,G482:G485,$M482:$M485,O482:O485)</f>
        <v>8.0499148170654067E-5</v>
      </c>
      <c r="W482" s="10">
        <f>bdrate($E482:$E485,H482:H485,$M482:$M485,P482:P485)</f>
        <v>1.0504831619351229E-4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70">
        <f>E108+E112+E116</f>
        <v>779.928</v>
      </c>
      <c r="F483" s="70">
        <f t="shared" si="31"/>
        <v>38.159033333333333</v>
      </c>
      <c r="G483" s="70">
        <f t="shared" si="31"/>
        <v>41.729966666666662</v>
      </c>
      <c r="H483" s="70">
        <f t="shared" si="31"/>
        <v>41.68953333333333</v>
      </c>
      <c r="I483" s="66"/>
      <c r="J483" s="66"/>
      <c r="K483" s="67"/>
      <c r="L483" s="29"/>
      <c r="M483" s="70">
        <f>M108+M112+M116</f>
        <v>779.23360000000002</v>
      </c>
      <c r="N483" s="70">
        <f t="shared" si="32"/>
        <v>38.157400000000003</v>
      </c>
      <c r="O483" s="70">
        <f t="shared" si="32"/>
        <v>41.728966666666672</v>
      </c>
      <c r="P483" s="70">
        <f t="shared" si="32"/>
        <v>41.690466666666673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70">
        <f>E109+E113+E117</f>
        <v>414.64400000000001</v>
      </c>
      <c r="F484" s="70">
        <f t="shared" si="31"/>
        <v>35.679499999999997</v>
      </c>
      <c r="G484" s="70">
        <f t="shared" si="31"/>
        <v>40.289233333333335</v>
      </c>
      <c r="H484" s="70">
        <f t="shared" si="31"/>
        <v>40.147300000000001</v>
      </c>
      <c r="I484" s="66"/>
      <c r="J484" s="66"/>
      <c r="K484" s="67"/>
      <c r="L484" s="29"/>
      <c r="M484" s="70">
        <f>M109+M113+M117</f>
        <v>414.25279999999998</v>
      </c>
      <c r="N484" s="70">
        <f t="shared" si="32"/>
        <v>35.679099999999998</v>
      </c>
      <c r="O484" s="70">
        <f t="shared" si="32"/>
        <v>40.285133333333334</v>
      </c>
      <c r="P484" s="70">
        <f t="shared" si="32"/>
        <v>40.141500000000001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233.57040000000001</v>
      </c>
      <c r="F485" s="81">
        <f t="shared" si="31"/>
        <v>33.176433333333335</v>
      </c>
      <c r="G485" s="81">
        <f t="shared" si="31"/>
        <v>39.191766666666666</v>
      </c>
      <c r="H485" s="81">
        <f t="shared" si="31"/>
        <v>38.982500000000002</v>
      </c>
      <c r="I485" s="68"/>
      <c r="J485" s="68"/>
      <c r="K485" s="69"/>
      <c r="L485" s="29"/>
      <c r="M485" s="81">
        <f>M110+M114+M118</f>
        <v>233.80079999999998</v>
      </c>
      <c r="N485" s="81">
        <f t="shared" si="32"/>
        <v>33.178466666666672</v>
      </c>
      <c r="O485" s="81">
        <f t="shared" si="32"/>
        <v>39.193300000000001</v>
      </c>
      <c r="P485" s="81">
        <f t="shared" si="32"/>
        <v>38.983566666666668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8">
        <f>E107+E111+E119+E123</f>
        <v>1564.8168000000001</v>
      </c>
      <c r="F486" s="78">
        <f t="shared" ref="F486:H489" si="33">AVERAGE(F131,F135,F139)</f>
        <v>40.434133333333328</v>
      </c>
      <c r="G486" s="78">
        <f t="shared" si="33"/>
        <v>45.794033333333324</v>
      </c>
      <c r="H486" s="78">
        <f t="shared" si="33"/>
        <v>45.893433333333327</v>
      </c>
      <c r="I486" s="79"/>
      <c r="J486" s="79"/>
      <c r="K486" s="80"/>
      <c r="L486" s="29"/>
      <c r="M486" s="78">
        <f>M107+M111+M119+M123</f>
        <v>1565.5376000000001</v>
      </c>
      <c r="N486" s="78">
        <f t="shared" ref="N486:P489" si="34">AVERAGE(N131,N135,N139)</f>
        <v>40.441666666666663</v>
      </c>
      <c r="O486" s="78">
        <f t="shared" si="34"/>
        <v>45.799733333333336</v>
      </c>
      <c r="P486" s="78">
        <f t="shared" si="34"/>
        <v>45.898733333333332</v>
      </c>
      <c r="Q486" s="79"/>
      <c r="R486" s="79"/>
      <c r="S486" s="80"/>
      <c r="U486" s="8">
        <f>bdrate($E486:$E489,F486:F489,$M486:$M489,N486:N489)</f>
        <v>-1.6864708787506233E-3</v>
      </c>
      <c r="V486" s="9">
        <f>bdrate($E486:$E489,G486:G489,$M486:$M489,O486:O489)</f>
        <v>-8.3100745870257064E-5</v>
      </c>
      <c r="W486" s="10">
        <f>bdrate($E486:$E489,H486:H489,$M486:$M489,P486:P489)</f>
        <v>3.5214975300101869E-4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70">
        <f>E108+E112+E120+E124</f>
        <v>736.6232</v>
      </c>
      <c r="F487" s="70">
        <f t="shared" si="33"/>
        <v>38.202233333333332</v>
      </c>
      <c r="G487" s="70">
        <f t="shared" si="33"/>
        <v>43.989766666666668</v>
      </c>
      <c r="H487" s="70">
        <f t="shared" si="33"/>
        <v>44.031399999999998</v>
      </c>
      <c r="I487" s="66"/>
      <c r="J487" s="66"/>
      <c r="K487" s="67"/>
      <c r="L487" s="29"/>
      <c r="M487" s="70">
        <f>M108+M112+M120+M124</f>
        <v>736.66</v>
      </c>
      <c r="N487" s="70">
        <f t="shared" si="34"/>
        <v>38.210066666666663</v>
      </c>
      <c r="O487" s="70">
        <f t="shared" si="34"/>
        <v>43.9861</v>
      </c>
      <c r="P487" s="70">
        <f t="shared" si="34"/>
        <v>44.031966666666669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70">
        <f>E109+E113+E121+E125</f>
        <v>384.46959999999996</v>
      </c>
      <c r="F488" s="70">
        <f t="shared" si="33"/>
        <v>35.829000000000001</v>
      </c>
      <c r="G488" s="70">
        <f t="shared" si="33"/>
        <v>42.187266666666666</v>
      </c>
      <c r="H488" s="70">
        <f t="shared" si="33"/>
        <v>42.121266666666664</v>
      </c>
      <c r="I488" s="66"/>
      <c r="J488" s="66"/>
      <c r="K488" s="67"/>
      <c r="L488" s="29"/>
      <c r="M488" s="70">
        <f>M109+M113+M121+M125</f>
        <v>384.32399999999996</v>
      </c>
      <c r="N488" s="70">
        <f t="shared" si="34"/>
        <v>35.833566666666663</v>
      </c>
      <c r="O488" s="70">
        <f t="shared" si="34"/>
        <v>42.190500000000007</v>
      </c>
      <c r="P488" s="70">
        <f t="shared" si="34"/>
        <v>42.115299999999998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214.124</v>
      </c>
      <c r="F489" s="81">
        <f t="shared" si="33"/>
        <v>33.377766666666666</v>
      </c>
      <c r="G489" s="81">
        <f t="shared" si="33"/>
        <v>40.767266666666671</v>
      </c>
      <c r="H489" s="81">
        <f t="shared" si="33"/>
        <v>40.66663333333333</v>
      </c>
      <c r="I489" s="68"/>
      <c r="J489" s="68"/>
      <c r="K489" s="69"/>
      <c r="L489" s="29"/>
      <c r="M489" s="81">
        <f>M110+M114+M122+M126</f>
        <v>214.22560000000001</v>
      </c>
      <c r="N489" s="81">
        <f t="shared" si="34"/>
        <v>33.378899999999994</v>
      </c>
      <c r="O489" s="81">
        <f t="shared" si="34"/>
        <v>40.764900000000004</v>
      </c>
      <c r="P489" s="81">
        <f t="shared" si="34"/>
        <v>40.666866666666664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8">
        <f>E155</f>
        <v>2029.2352000000001</v>
      </c>
      <c r="F490" s="78">
        <f t="shared" ref="F490:H493" si="35">AVERAGE(F131,F135,F139,F143,F147,F151)</f>
        <v>40.407049999999998</v>
      </c>
      <c r="G490" s="78">
        <f t="shared" si="35"/>
        <v>45.703216666666663</v>
      </c>
      <c r="H490" s="78">
        <f t="shared" si="35"/>
        <v>45.755933333333331</v>
      </c>
      <c r="I490" s="79"/>
      <c r="J490" s="79"/>
      <c r="K490" s="80"/>
      <c r="L490" s="29"/>
      <c r="M490" s="78">
        <f>M155</f>
        <v>2030.884</v>
      </c>
      <c r="N490" s="78">
        <f t="shared" ref="N490:P493" si="36">AVERAGE(N131,N135,N139,N143,N147,N151)</f>
        <v>40.409150000000004</v>
      </c>
      <c r="O490" s="78">
        <f t="shared" si="36"/>
        <v>45.707816666666666</v>
      </c>
      <c r="P490" s="78">
        <f t="shared" si="36"/>
        <v>45.75438333333333</v>
      </c>
      <c r="Q490" s="79"/>
      <c r="R490" s="79"/>
      <c r="S490" s="80"/>
      <c r="U490" s="8">
        <f>bdrate($E490:$E493,F490:F493,$M490:$M493,N490:N493)</f>
        <v>-1.06890390566583E-3</v>
      </c>
      <c r="V490" s="9">
        <f>bdrate($E490:$E493,G490:G493,$M490:$M493,O490:O493)</f>
        <v>-5.3057405247847189E-4</v>
      </c>
      <c r="W490" s="10">
        <f>bdrate($E490:$E493,H490:H493,$M490:$M493,P490:P493)</f>
        <v>7.568007763329998E-4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70">
        <f>E156</f>
        <v>929.14239999999995</v>
      </c>
      <c r="F491" s="70">
        <f t="shared" si="35"/>
        <v>38.132433333333331</v>
      </c>
      <c r="G491" s="70">
        <f t="shared" si="35"/>
        <v>43.90573333333333</v>
      </c>
      <c r="H491" s="70">
        <f t="shared" si="35"/>
        <v>43.855083333333333</v>
      </c>
      <c r="I491" s="66"/>
      <c r="J491" s="66"/>
      <c r="K491" s="67"/>
      <c r="L491" s="29"/>
      <c r="M491" s="70">
        <f>M156</f>
        <v>928.61199999999997</v>
      </c>
      <c r="N491" s="70">
        <f t="shared" si="36"/>
        <v>38.135399999999997</v>
      </c>
      <c r="O491" s="70">
        <f t="shared" si="36"/>
        <v>43.906266666666674</v>
      </c>
      <c r="P491" s="70">
        <f t="shared" si="36"/>
        <v>43.853749999999998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70">
        <f>E157</f>
        <v>480.88240000000002</v>
      </c>
      <c r="F492" s="70">
        <f t="shared" si="35"/>
        <v>35.726866666666666</v>
      </c>
      <c r="G492" s="70">
        <f t="shared" si="35"/>
        <v>42.116783333333331</v>
      </c>
      <c r="H492" s="70">
        <f t="shared" si="35"/>
        <v>41.921900000000001</v>
      </c>
      <c r="I492" s="66"/>
      <c r="J492" s="66"/>
      <c r="K492" s="67"/>
      <c r="L492" s="29"/>
      <c r="M492" s="70">
        <f>M157</f>
        <v>480.476</v>
      </c>
      <c r="N492" s="70">
        <f t="shared" si="36"/>
        <v>35.730200000000004</v>
      </c>
      <c r="O492" s="70">
        <f t="shared" si="36"/>
        <v>42.115150000000007</v>
      </c>
      <c r="P492" s="70">
        <f t="shared" si="36"/>
        <v>41.9161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267.30079999999998</v>
      </c>
      <c r="F493" s="81">
        <f t="shared" si="35"/>
        <v>33.252183333333335</v>
      </c>
      <c r="G493" s="81">
        <f t="shared" si="35"/>
        <v>40.719349999999999</v>
      </c>
      <c r="H493" s="81">
        <f t="shared" si="35"/>
        <v>40.473383333333338</v>
      </c>
      <c r="I493" s="68"/>
      <c r="J493" s="68"/>
      <c r="K493" s="69"/>
      <c r="L493" s="29"/>
      <c r="M493" s="81">
        <f>M158</f>
        <v>267.572</v>
      </c>
      <c r="N493" s="81">
        <f t="shared" si="36"/>
        <v>33.252500000000005</v>
      </c>
      <c r="O493" s="81">
        <f t="shared" si="36"/>
        <v>40.720466666666667</v>
      </c>
      <c r="P493" s="81">
        <f t="shared" si="36"/>
        <v>40.472199999999994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8">
        <f t="shared" ref="E494:E501" si="37">E486</f>
        <v>1564.8168000000001</v>
      </c>
      <c r="F494" s="78">
        <f t="shared" ref="F494:H497" si="38">AVERAGE(F107,F111,F131,F135,F139)</f>
        <v>40.592300000000002</v>
      </c>
      <c r="G494" s="78">
        <f t="shared" si="38"/>
        <v>44.895720000000004</v>
      </c>
      <c r="H494" s="78">
        <f t="shared" si="38"/>
        <v>44.991399999999999</v>
      </c>
      <c r="I494" s="79"/>
      <c r="J494" s="79"/>
      <c r="K494" s="80"/>
      <c r="L494" s="29"/>
      <c r="M494" s="78">
        <f t="shared" ref="M494:M501" si="39">M486</f>
        <v>1565.5376000000001</v>
      </c>
      <c r="N494" s="78">
        <f t="shared" ref="N494:P497" si="40">AVERAGE(N107,N111,N131,N135,N139)</f>
        <v>40.596400000000003</v>
      </c>
      <c r="O494" s="78">
        <f t="shared" si="40"/>
        <v>44.899720000000009</v>
      </c>
      <c r="P494" s="78">
        <f t="shared" si="40"/>
        <v>44.996020000000001</v>
      </c>
      <c r="Q494" s="79"/>
      <c r="R494" s="79"/>
      <c r="S494" s="80"/>
      <c r="U494" s="8">
        <f>bdrate($E494:$E497,F494:F497,$M494:$M497,N494:N497)</f>
        <v>-1.0898746796040859E-3</v>
      </c>
      <c r="V494" s="9">
        <f>bdrate($E494:$E497,G494:G497,$M494:$M497,O494:O497)</f>
        <v>3.362114266112215E-4</v>
      </c>
      <c r="W494" s="10">
        <f>bdrate($E494:$E497,H494:H497,$M494:$M497,P494:P497)</f>
        <v>3.5742245183478794E-4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70">
        <f t="shared" si="37"/>
        <v>736.6232</v>
      </c>
      <c r="F495" s="70">
        <f t="shared" si="38"/>
        <v>38.31232</v>
      </c>
      <c r="G495" s="70">
        <f t="shared" si="38"/>
        <v>43.160060000000001</v>
      </c>
      <c r="H495" s="70">
        <f t="shared" si="38"/>
        <v>43.214339999999993</v>
      </c>
      <c r="I495" s="66"/>
      <c r="J495" s="66"/>
      <c r="K495" s="67"/>
      <c r="L495" s="29"/>
      <c r="M495" s="70">
        <f t="shared" si="39"/>
        <v>736.66</v>
      </c>
      <c r="N495" s="70">
        <f t="shared" si="40"/>
        <v>38.317420000000006</v>
      </c>
      <c r="O495" s="70">
        <f t="shared" si="40"/>
        <v>43.156080000000003</v>
      </c>
      <c r="P495" s="70">
        <f t="shared" si="40"/>
        <v>43.214420000000004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70">
        <f t="shared" si="37"/>
        <v>384.46959999999996</v>
      </c>
      <c r="F496" s="70">
        <f t="shared" si="38"/>
        <v>35.89284</v>
      </c>
      <c r="G496" s="70">
        <f t="shared" si="38"/>
        <v>41.46734</v>
      </c>
      <c r="H496" s="70">
        <f t="shared" si="38"/>
        <v>41.426099999999998</v>
      </c>
      <c r="I496" s="66"/>
      <c r="J496" s="66"/>
      <c r="K496" s="67"/>
      <c r="L496" s="29"/>
      <c r="M496" s="70">
        <f t="shared" si="39"/>
        <v>384.32399999999996</v>
      </c>
      <c r="N496" s="70">
        <f t="shared" si="40"/>
        <v>35.896099999999997</v>
      </c>
      <c r="O496" s="70">
        <f t="shared" si="40"/>
        <v>41.468420000000002</v>
      </c>
      <c r="P496" s="70">
        <f t="shared" si="40"/>
        <v>41.420900000000003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37"/>
        <v>214.124</v>
      </c>
      <c r="F497" s="81">
        <f t="shared" si="38"/>
        <v>33.422879999999999</v>
      </c>
      <c r="G497" s="81">
        <f t="shared" si="38"/>
        <v>40.157619999999994</v>
      </c>
      <c r="H497" s="81">
        <f t="shared" si="38"/>
        <v>40.071939999999998</v>
      </c>
      <c r="I497" s="68"/>
      <c r="J497" s="68"/>
      <c r="K497" s="69"/>
      <c r="L497" s="29"/>
      <c r="M497" s="81">
        <f t="shared" si="39"/>
        <v>214.22560000000001</v>
      </c>
      <c r="N497" s="81">
        <f t="shared" si="40"/>
        <v>33.42398</v>
      </c>
      <c r="O497" s="81">
        <f t="shared" si="40"/>
        <v>40.156300000000002</v>
      </c>
      <c r="P497" s="81">
        <f t="shared" si="40"/>
        <v>40.072960000000002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>
      <c r="B498" s="29"/>
      <c r="C498" s="28" t="s">
        <v>41</v>
      </c>
      <c r="D498" s="31">
        <v>25</v>
      </c>
      <c r="E498" s="78">
        <f t="shared" si="37"/>
        <v>2029.2352000000001</v>
      </c>
      <c r="F498" s="78">
        <f t="shared" ref="F498:H501" si="41">AVERAGE(F107,F111,F115,F131,F135,F139,F143,F147,F151)</f>
        <v>40.444444444444443</v>
      </c>
      <c r="G498" s="78">
        <f t="shared" si="41"/>
        <v>44.907299999999999</v>
      </c>
      <c r="H498" s="78">
        <f t="shared" si="41"/>
        <v>44.951233333333334</v>
      </c>
      <c r="I498" s="79"/>
      <c r="J498" s="79"/>
      <c r="K498" s="80"/>
      <c r="L498" s="29"/>
      <c r="M498" s="78">
        <f t="shared" si="39"/>
        <v>2030.884</v>
      </c>
      <c r="N498" s="78">
        <f t="shared" ref="N498:P501" si="42">AVERAGE(N107,N111,N115,N131,N135,N139,N143,N147,N151)</f>
        <v>40.445811111111112</v>
      </c>
      <c r="O498" s="78">
        <f t="shared" si="42"/>
        <v>44.911088888888884</v>
      </c>
      <c r="P498" s="78">
        <f t="shared" si="42"/>
        <v>44.950222222222216</v>
      </c>
      <c r="Q498" s="79"/>
      <c r="R498" s="79"/>
      <c r="S498" s="80"/>
      <c r="U498" s="8">
        <f>bdrate($E498:$E501,F498:F501,$M498:$M501,N498:N501)</f>
        <v>-7.5566973371210544E-4</v>
      </c>
      <c r="V498" s="9">
        <f>bdrate($E498:$E501,G498:G501,$M498:$M501,O498:O501)</f>
        <v>-2.8554992811302693E-4</v>
      </c>
      <c r="W498" s="10">
        <f>bdrate($E498:$E501,H498:H501,$M498:$M501,P498:P501)</f>
        <v>6.3308499335845703E-4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70">
        <f t="shared" si="37"/>
        <v>929.14239999999995</v>
      </c>
      <c r="F499" s="70">
        <f t="shared" si="41"/>
        <v>38.141300000000001</v>
      </c>
      <c r="G499" s="70">
        <f t="shared" si="41"/>
        <v>43.180477777777782</v>
      </c>
      <c r="H499" s="70">
        <f t="shared" si="41"/>
        <v>43.13323333333333</v>
      </c>
      <c r="I499" s="66"/>
      <c r="J499" s="66"/>
      <c r="K499" s="67"/>
      <c r="L499" s="29"/>
      <c r="M499" s="70">
        <f t="shared" si="39"/>
        <v>928.61199999999997</v>
      </c>
      <c r="N499" s="70">
        <f t="shared" si="42"/>
        <v>38.142733333333332</v>
      </c>
      <c r="O499" s="70">
        <f t="shared" si="42"/>
        <v>43.180500000000009</v>
      </c>
      <c r="P499" s="70">
        <f t="shared" si="42"/>
        <v>43.132655555555552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70">
        <f t="shared" si="37"/>
        <v>480.88240000000002</v>
      </c>
      <c r="F500" s="70">
        <f t="shared" si="41"/>
        <v>35.711077777777774</v>
      </c>
      <c r="G500" s="70">
        <f t="shared" si="41"/>
        <v>41.507599999999996</v>
      </c>
      <c r="H500" s="70">
        <f t="shared" si="41"/>
        <v>41.330366666666663</v>
      </c>
      <c r="I500" s="66"/>
      <c r="J500" s="66"/>
      <c r="K500" s="67"/>
      <c r="L500" s="29"/>
      <c r="M500" s="70">
        <f t="shared" si="39"/>
        <v>480.476</v>
      </c>
      <c r="N500" s="70">
        <f t="shared" si="42"/>
        <v>35.713166666666659</v>
      </c>
      <c r="O500" s="70">
        <f t="shared" si="42"/>
        <v>41.505144444444447</v>
      </c>
      <c r="P500" s="70">
        <f t="shared" si="42"/>
        <v>41.324566666666662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37"/>
        <v>267.30079999999998</v>
      </c>
      <c r="F501" s="81">
        <f t="shared" si="41"/>
        <v>33.226933333333335</v>
      </c>
      <c r="G501" s="81">
        <f t="shared" si="41"/>
        <v>40.210155555555552</v>
      </c>
      <c r="H501" s="81">
        <f t="shared" si="41"/>
        <v>39.976422222222226</v>
      </c>
      <c r="I501" s="68"/>
      <c r="J501" s="68"/>
      <c r="K501" s="69"/>
      <c r="L501" s="29"/>
      <c r="M501" s="81">
        <f t="shared" si="39"/>
        <v>267.572</v>
      </c>
      <c r="N501" s="81">
        <f t="shared" si="42"/>
        <v>33.227822222222215</v>
      </c>
      <c r="O501" s="81">
        <f t="shared" si="42"/>
        <v>40.211411111111119</v>
      </c>
      <c r="P501" s="81">
        <f t="shared" si="42"/>
        <v>39.975988888888892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8">
        <f>E159+E163</f>
        <v>4238.2327999999998</v>
      </c>
      <c r="F502" s="78">
        <f t="shared" ref="F502:H505" si="43">AVERAGE(F159,F163)</f>
        <v>39.998850000000004</v>
      </c>
      <c r="G502" s="78">
        <f t="shared" si="43"/>
        <v>45.3932</v>
      </c>
      <c r="H502" s="78">
        <f t="shared" si="43"/>
        <v>46.239699999999999</v>
      </c>
      <c r="I502" s="79"/>
      <c r="J502" s="79"/>
      <c r="K502" s="80"/>
      <c r="L502" s="29"/>
      <c r="M502" s="82">
        <f>M159+M163</f>
        <v>4237.5712000000003</v>
      </c>
      <c r="N502" s="78">
        <f t="shared" ref="N502:P505" si="44">AVERAGE(N159,N163)</f>
        <v>39.998600000000003</v>
      </c>
      <c r="O502" s="78">
        <f t="shared" si="44"/>
        <v>45.393050000000002</v>
      </c>
      <c r="P502" s="78">
        <f t="shared" si="44"/>
        <v>46.239850000000004</v>
      </c>
      <c r="Q502" s="79"/>
      <c r="R502" s="79"/>
      <c r="S502" s="80"/>
      <c r="U502" s="8">
        <f>bdrate($E502:$E505,F502:F505,$M502:$M505,N502:N505)</f>
        <v>-1.9992041792715742E-4</v>
      </c>
      <c r="V502" s="9">
        <f>bdrate($E502:$E505,G502:G505,$M502:$M505,O502:O505)</f>
        <v>-3.1135874154730736E-4</v>
      </c>
      <c r="W502" s="10">
        <f>bdrate($E502:$E505,H502:H505,$M502:$M505,P502:P505)</f>
        <v>-2.5704071684617968E-4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70">
        <f>E160+E164</f>
        <v>1798.9512</v>
      </c>
      <c r="F503" s="70">
        <f t="shared" si="43"/>
        <v>37.643100000000004</v>
      </c>
      <c r="G503" s="70">
        <f t="shared" si="43"/>
        <v>43.604599999999998</v>
      </c>
      <c r="H503" s="70">
        <f t="shared" si="43"/>
        <v>44.440750000000001</v>
      </c>
      <c r="I503" s="66"/>
      <c r="J503" s="66"/>
      <c r="K503" s="67"/>
      <c r="L503" s="29"/>
      <c r="M503" s="83">
        <f>M160+M164</f>
        <v>1798.5591999999999</v>
      </c>
      <c r="N503" s="70">
        <f t="shared" si="44"/>
        <v>37.643050000000002</v>
      </c>
      <c r="O503" s="70">
        <f t="shared" si="44"/>
        <v>43.605400000000003</v>
      </c>
      <c r="P503" s="70">
        <f t="shared" si="44"/>
        <v>44.441249999999997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70">
        <f>E161+E165</f>
        <v>830.44240000000002</v>
      </c>
      <c r="F504" s="70">
        <f t="shared" si="43"/>
        <v>35.502299999999998</v>
      </c>
      <c r="G504" s="70">
        <f t="shared" si="43"/>
        <v>41.799549999999996</v>
      </c>
      <c r="H504" s="70">
        <f t="shared" si="43"/>
        <v>42.620000000000005</v>
      </c>
      <c r="I504" s="66"/>
      <c r="J504" s="66"/>
      <c r="K504" s="67"/>
      <c r="L504" s="29"/>
      <c r="M504" s="83">
        <f>M161+M165</f>
        <v>830.37040000000002</v>
      </c>
      <c r="N504" s="70">
        <f t="shared" si="44"/>
        <v>35.502800000000001</v>
      </c>
      <c r="O504" s="70">
        <f t="shared" si="44"/>
        <v>41.799949999999995</v>
      </c>
      <c r="P504" s="70">
        <f t="shared" si="44"/>
        <v>42.620100000000001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399.7088</v>
      </c>
      <c r="F505" s="81">
        <f t="shared" si="43"/>
        <v>33.380300000000005</v>
      </c>
      <c r="G505" s="81">
        <f t="shared" si="43"/>
        <v>40.565150000000003</v>
      </c>
      <c r="H505" s="81">
        <f t="shared" si="43"/>
        <v>41.404849999999996</v>
      </c>
      <c r="I505" s="68"/>
      <c r="J505" s="68"/>
      <c r="K505" s="69"/>
      <c r="L505" s="29"/>
      <c r="M505" s="84">
        <f>M162+M166</f>
        <v>399.54879999999997</v>
      </c>
      <c r="N505" s="81">
        <f t="shared" si="44"/>
        <v>33.379599999999996</v>
      </c>
      <c r="O505" s="81">
        <f t="shared" si="44"/>
        <v>40.563800000000001</v>
      </c>
      <c r="P505" s="81">
        <f t="shared" si="44"/>
        <v>41.404049999999998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8">
        <f>E159+E163+E167</f>
        <v>4785.0439999999999</v>
      </c>
      <c r="F506" s="78">
        <f t="shared" ref="F506:H509" si="45">AVERAGE(F159,F163,F167)</f>
        <v>39.901400000000002</v>
      </c>
      <c r="G506" s="78">
        <f t="shared" si="45"/>
        <v>45.358266666666673</v>
      </c>
      <c r="H506" s="78">
        <f t="shared" si="45"/>
        <v>46.208066666666667</v>
      </c>
      <c r="I506" s="79"/>
      <c r="J506" s="79"/>
      <c r="K506" s="80"/>
      <c r="L506" s="29"/>
      <c r="M506" s="78">
        <f>M159+M163+M167</f>
        <v>4783.9056</v>
      </c>
      <c r="N506" s="78">
        <f t="shared" ref="N506:P509" si="46">AVERAGE(N159,N163,N167)</f>
        <v>39.901166666666668</v>
      </c>
      <c r="O506" s="78">
        <f t="shared" si="46"/>
        <v>45.358233333333338</v>
      </c>
      <c r="P506" s="78">
        <f t="shared" si="46"/>
        <v>46.207933333333337</v>
      </c>
      <c r="Q506" s="79"/>
      <c r="R506" s="79"/>
      <c r="S506" s="80"/>
      <c r="U506" s="8">
        <f>bdrate($E506:$E509,F506:F509,$M506:$M509,N506:N509)</f>
        <v>-1.4651518206221237E-4</v>
      </c>
      <c r="V506" s="9">
        <f>bdrate($E506:$E509,G506:G509,$M506:$M509,O506:O509)</f>
        <v>-2.5480767654761927E-4</v>
      </c>
      <c r="W506" s="10">
        <f>bdrate($E506:$E509,H506:H509,$M506:$M509,P506:P509)</f>
        <v>-2.0020615710147904E-4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70">
        <f>E160+E164+E168</f>
        <v>1991.4576</v>
      </c>
      <c r="F507" s="70">
        <f t="shared" si="45"/>
        <v>37.570700000000002</v>
      </c>
      <c r="G507" s="70">
        <f t="shared" si="45"/>
        <v>43.58123333333333</v>
      </c>
      <c r="H507" s="70">
        <f t="shared" si="45"/>
        <v>44.420166666666667</v>
      </c>
      <c r="I507" s="66"/>
      <c r="J507" s="66"/>
      <c r="K507" s="67"/>
      <c r="L507" s="29"/>
      <c r="M507" s="70">
        <f>M160+M164+M168</f>
        <v>1991.1</v>
      </c>
      <c r="N507" s="70">
        <f t="shared" si="46"/>
        <v>37.570500000000003</v>
      </c>
      <c r="O507" s="70">
        <f t="shared" si="46"/>
        <v>43.581966666666666</v>
      </c>
      <c r="P507" s="70">
        <f t="shared" si="46"/>
        <v>44.420566666666666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70">
        <f>E161+E165+E169</f>
        <v>909.27760000000001</v>
      </c>
      <c r="F508" s="70">
        <f t="shared" si="45"/>
        <v>35.446666666666665</v>
      </c>
      <c r="G508" s="70">
        <f t="shared" si="45"/>
        <v>41.786033333333329</v>
      </c>
      <c r="H508" s="70">
        <f t="shared" si="45"/>
        <v>42.607666666666667</v>
      </c>
      <c r="I508" s="66"/>
      <c r="J508" s="66"/>
      <c r="K508" s="67"/>
      <c r="L508" s="29"/>
      <c r="M508" s="70">
        <f>M161+M165+M169</f>
        <v>909.33519999999999</v>
      </c>
      <c r="N508" s="70">
        <f t="shared" si="46"/>
        <v>35.447300000000006</v>
      </c>
      <c r="O508" s="70">
        <f t="shared" si="46"/>
        <v>41.786366666666659</v>
      </c>
      <c r="P508" s="70">
        <f t="shared" si="46"/>
        <v>42.60796666666667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436.45440000000002</v>
      </c>
      <c r="F509" s="81">
        <f t="shared" si="45"/>
        <v>33.3367</v>
      </c>
      <c r="G509" s="81">
        <f t="shared" si="45"/>
        <v>40.550800000000002</v>
      </c>
      <c r="H509" s="81">
        <f t="shared" si="45"/>
        <v>41.392933333333332</v>
      </c>
      <c r="I509" s="68"/>
      <c r="J509" s="68"/>
      <c r="K509" s="69"/>
      <c r="L509" s="29"/>
      <c r="M509" s="81">
        <f>M162+M166+M170</f>
        <v>436.32639999999998</v>
      </c>
      <c r="N509" s="81">
        <f t="shared" si="46"/>
        <v>33.336500000000001</v>
      </c>
      <c r="O509" s="81">
        <f t="shared" si="46"/>
        <v>40.549799999999998</v>
      </c>
      <c r="P509" s="81">
        <f t="shared" si="46"/>
        <v>41.392333333333333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8">
        <f>E159+E163+E171+E175</f>
        <v>4620.9887999999992</v>
      </c>
      <c r="F510" s="78">
        <f t="shared" ref="F510:H513" si="47">AVERAGE(F183,F187,F191)</f>
        <v>40.042700000000004</v>
      </c>
      <c r="G510" s="78">
        <f t="shared" si="47"/>
        <v>46.607799999999997</v>
      </c>
      <c r="H510" s="78">
        <f t="shared" si="47"/>
        <v>47.016333333333336</v>
      </c>
      <c r="I510" s="79"/>
      <c r="J510" s="79"/>
      <c r="K510" s="80"/>
      <c r="L510" s="29"/>
      <c r="M510" s="78">
        <f>M159+M163+M171+M175</f>
        <v>4620.5448000000006</v>
      </c>
      <c r="N510" s="78">
        <f t="shared" ref="N510:P513" si="48">AVERAGE(N183,N187,N191)</f>
        <v>40.041699999999999</v>
      </c>
      <c r="O510" s="78">
        <f t="shared" si="48"/>
        <v>46.607266666666668</v>
      </c>
      <c r="P510" s="78">
        <f t="shared" si="48"/>
        <v>47.029466666666671</v>
      </c>
      <c r="Q510" s="79"/>
      <c r="R510" s="79"/>
      <c r="S510" s="80"/>
      <c r="U510" s="8">
        <f>bdrate($E510:$E513,F510:F513,$M510:$M513,N510:N513)</f>
        <v>2.3789502848092781E-5</v>
      </c>
      <c r="V510" s="9">
        <f>bdrate($E510:$E513,G510:G513,$M510:$M513,O510:O513)</f>
        <v>-3.3645972367876142E-3</v>
      </c>
      <c r="W510" s="10">
        <f>bdrate($E510:$E513,H510:H513,$M510:$M513,P510:P513)</f>
        <v>-5.4439230245377779E-3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70">
        <f>E160+E164+E172+E176</f>
        <v>1924.8735999999999</v>
      </c>
      <c r="F511" s="70">
        <f t="shared" si="47"/>
        <v>37.728233333333336</v>
      </c>
      <c r="G511" s="70">
        <f t="shared" si="47"/>
        <v>44.821033333333332</v>
      </c>
      <c r="H511" s="70">
        <f t="shared" si="47"/>
        <v>45.386166666666668</v>
      </c>
      <c r="I511" s="66"/>
      <c r="J511" s="66"/>
      <c r="K511" s="67"/>
      <c r="L511" s="29"/>
      <c r="M511" s="70">
        <f>M160+M164+M172+M176</f>
        <v>1924.5871999999999</v>
      </c>
      <c r="N511" s="70">
        <f t="shared" si="48"/>
        <v>37.727533333333334</v>
      </c>
      <c r="O511" s="70">
        <f t="shared" si="48"/>
        <v>44.824666666666673</v>
      </c>
      <c r="P511" s="70">
        <f t="shared" si="48"/>
        <v>45.397633333333339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70">
        <f>E161+E165+E173+E177</f>
        <v>882.88239999999996</v>
      </c>
      <c r="F512" s="70">
        <f t="shared" si="47"/>
        <v>35.592033333333326</v>
      </c>
      <c r="G512" s="70">
        <f t="shared" si="47"/>
        <v>42.870899999999999</v>
      </c>
      <c r="H512" s="70">
        <f t="shared" si="47"/>
        <v>43.542200000000001</v>
      </c>
      <c r="I512" s="66"/>
      <c r="J512" s="66"/>
      <c r="K512" s="67"/>
      <c r="L512" s="29"/>
      <c r="M512" s="70">
        <f>M161+M165+M173+M177</f>
        <v>882.81920000000002</v>
      </c>
      <c r="N512" s="70">
        <f t="shared" si="48"/>
        <v>35.592133333333329</v>
      </c>
      <c r="O512" s="70">
        <f t="shared" si="48"/>
        <v>42.8825</v>
      </c>
      <c r="P512" s="70">
        <f t="shared" si="48"/>
        <v>43.553866666666664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423.952</v>
      </c>
      <c r="F513" s="81">
        <f t="shared" si="47"/>
        <v>33.464799999999997</v>
      </c>
      <c r="G513" s="81">
        <f t="shared" si="47"/>
        <v>41.518400000000007</v>
      </c>
      <c r="H513" s="81">
        <f t="shared" si="47"/>
        <v>42.261633333333329</v>
      </c>
      <c r="I513" s="68"/>
      <c r="J513" s="68"/>
      <c r="K513" s="69"/>
      <c r="L513" s="29"/>
      <c r="M513" s="81">
        <f>M162+M166+M174+M178</f>
        <v>423.77039999999994</v>
      </c>
      <c r="N513" s="81">
        <f t="shared" si="48"/>
        <v>33.463999999999999</v>
      </c>
      <c r="O513" s="81">
        <f t="shared" si="48"/>
        <v>41.531566666666663</v>
      </c>
      <c r="P513" s="81">
        <f t="shared" si="48"/>
        <v>42.263299999999994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8">
        <f>E207</f>
        <v>5275.6391999999996</v>
      </c>
      <c r="F514" s="78">
        <f t="shared" ref="F514:H517" si="49">AVERAGE(F183,F187,F191,F195,F199,F203)</f>
        <v>40.03575</v>
      </c>
      <c r="G514" s="78">
        <f t="shared" si="49"/>
        <v>46.567199999999993</v>
      </c>
      <c r="H514" s="78">
        <f t="shared" si="49"/>
        <v>47.075466666666671</v>
      </c>
      <c r="I514" s="79"/>
      <c r="J514" s="79"/>
      <c r="K514" s="80"/>
      <c r="L514" s="29"/>
      <c r="M514" s="78">
        <f>M207</f>
        <v>5274.9048000000003</v>
      </c>
      <c r="N514" s="78">
        <f t="shared" ref="N514:P517" si="50">AVERAGE(N183,N187,N191,N195,N199,N203)</f>
        <v>40.036516666666664</v>
      </c>
      <c r="O514" s="78">
        <f t="shared" si="50"/>
        <v>46.567700000000002</v>
      </c>
      <c r="P514" s="78">
        <f t="shared" si="50"/>
        <v>47.080466666666666</v>
      </c>
      <c r="Q514" s="79"/>
      <c r="R514" s="79"/>
      <c r="S514" s="80"/>
      <c r="U514" s="8">
        <f>bdrate($E514:$E517,F514:F517,$M514:$M517,N514:N517)</f>
        <v>-1.7887976553887519E-5</v>
      </c>
      <c r="V514" s="9">
        <f>bdrate($E514:$E517,G514:G517,$M514:$M517,O514:O517)</f>
        <v>-1.8152947672028796E-3</v>
      </c>
      <c r="W514" s="10">
        <f>bdrate($E514:$E517,H514:H517,$M514:$M517,P514:P517)</f>
        <v>-2.0993936902591326E-3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70">
        <f>E208</f>
        <v>2153.1176</v>
      </c>
      <c r="F515" s="70">
        <f t="shared" si="49"/>
        <v>37.713883333333335</v>
      </c>
      <c r="G515" s="70">
        <f t="shared" si="49"/>
        <v>44.792083333333331</v>
      </c>
      <c r="H515" s="70">
        <f t="shared" si="49"/>
        <v>45.412749999999996</v>
      </c>
      <c r="I515" s="66"/>
      <c r="J515" s="66"/>
      <c r="K515" s="67"/>
      <c r="L515" s="29"/>
      <c r="M515" s="70">
        <f>M208</f>
        <v>2152.7512000000002</v>
      </c>
      <c r="N515" s="70">
        <f t="shared" si="50"/>
        <v>37.712966666666667</v>
      </c>
      <c r="O515" s="70">
        <f t="shared" si="50"/>
        <v>44.795216666666676</v>
      </c>
      <c r="P515" s="70">
        <f t="shared" si="50"/>
        <v>45.417083333333331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70">
        <f>E209</f>
        <v>979.55679999999995</v>
      </c>
      <c r="F516" s="70">
        <f t="shared" si="49"/>
        <v>35.578533333333333</v>
      </c>
      <c r="G516" s="70">
        <f t="shared" si="49"/>
        <v>42.846866666666664</v>
      </c>
      <c r="H516" s="70">
        <f t="shared" si="49"/>
        <v>43.522983333333336</v>
      </c>
      <c r="I516" s="66"/>
      <c r="J516" s="66"/>
      <c r="K516" s="67"/>
      <c r="L516" s="29"/>
      <c r="M516" s="70">
        <f>M209</f>
        <v>979.59760000000006</v>
      </c>
      <c r="N516" s="70">
        <f t="shared" si="50"/>
        <v>35.578716666666672</v>
      </c>
      <c r="O516" s="70">
        <f t="shared" si="50"/>
        <v>42.851149999999997</v>
      </c>
      <c r="P516" s="70">
        <f t="shared" si="50"/>
        <v>43.527733333333337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471.89600000000002</v>
      </c>
      <c r="F517" s="81">
        <f t="shared" si="49"/>
        <v>33.45218333333333</v>
      </c>
      <c r="G517" s="81">
        <f t="shared" si="49"/>
        <v>41.502783333333333</v>
      </c>
      <c r="H517" s="81">
        <f t="shared" si="49"/>
        <v>42.233033333333331</v>
      </c>
      <c r="I517" s="68"/>
      <c r="J517" s="68"/>
      <c r="K517" s="69"/>
      <c r="L517" s="29"/>
      <c r="M517" s="81">
        <f>M210</f>
        <v>471.70960000000002</v>
      </c>
      <c r="N517" s="81">
        <f t="shared" si="50"/>
        <v>33.451450000000001</v>
      </c>
      <c r="O517" s="81">
        <f t="shared" si="50"/>
        <v>41.509749999999997</v>
      </c>
      <c r="P517" s="81">
        <f t="shared" si="50"/>
        <v>42.23245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>
      <c r="B518" s="29"/>
      <c r="C518" s="28" t="s">
        <v>40</v>
      </c>
      <c r="D518" s="31">
        <v>25</v>
      </c>
      <c r="E518" s="78">
        <f t="shared" ref="E518:E525" si="51">E510</f>
        <v>4620.9887999999992</v>
      </c>
      <c r="F518" s="78">
        <f t="shared" ref="F518:H521" si="52">AVERAGE(F159,F163,F183,F187,F191)</f>
        <v>40.025160000000007</v>
      </c>
      <c r="G518" s="78">
        <f t="shared" si="52"/>
        <v>46.121960000000001</v>
      </c>
      <c r="H518" s="78">
        <f t="shared" si="52"/>
        <v>46.705680000000001</v>
      </c>
      <c r="I518" s="79"/>
      <c r="J518" s="79"/>
      <c r="K518" s="80"/>
      <c r="L518" s="29"/>
      <c r="M518" s="78">
        <f t="shared" ref="M518:M525" si="53">M510</f>
        <v>4620.5448000000006</v>
      </c>
      <c r="N518" s="78">
        <f t="shared" ref="N518:P521" si="54">AVERAGE(N159,N163,N183,N187,N191)</f>
        <v>40.024459999999998</v>
      </c>
      <c r="O518" s="78">
        <f t="shared" si="54"/>
        <v>46.121579999999994</v>
      </c>
      <c r="P518" s="78">
        <f t="shared" si="54"/>
        <v>46.713620000000006</v>
      </c>
      <c r="Q518" s="79"/>
      <c r="R518" s="79"/>
      <c r="S518" s="80"/>
      <c r="U518" s="8">
        <f>bdrate($E518:$E521,F518:F521,$M518:$M521,N518:N521)</f>
        <v>-5.1096536429096062E-5</v>
      </c>
      <c r="V518" s="9">
        <f>bdrate($E518:$E521,G518:G521,$M518:$M521,O518:O521)</f>
        <v>-2.1669204991691116E-3</v>
      </c>
      <c r="W518" s="10">
        <f>bdrate($E518:$E521,H518:H521,$M518:$M521,P518:P521)</f>
        <v>-3.3359978010676361E-3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70">
        <f t="shared" si="51"/>
        <v>1924.8735999999999</v>
      </c>
      <c r="F519" s="70">
        <f t="shared" si="52"/>
        <v>37.694180000000003</v>
      </c>
      <c r="G519" s="70">
        <f t="shared" si="52"/>
        <v>44.33446</v>
      </c>
      <c r="H519" s="70">
        <f t="shared" si="52"/>
        <v>45.007999999999996</v>
      </c>
      <c r="I519" s="66"/>
      <c r="J519" s="66"/>
      <c r="K519" s="67"/>
      <c r="L519" s="29"/>
      <c r="M519" s="70">
        <f t="shared" si="53"/>
        <v>1924.5871999999999</v>
      </c>
      <c r="N519" s="70">
        <f t="shared" si="54"/>
        <v>37.693739999999998</v>
      </c>
      <c r="O519" s="70">
        <f t="shared" si="54"/>
        <v>44.336960000000005</v>
      </c>
      <c r="P519" s="70">
        <f t="shared" si="54"/>
        <v>45.015079999999998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70">
        <f t="shared" si="51"/>
        <v>882.88239999999996</v>
      </c>
      <c r="F520" s="70">
        <f t="shared" si="52"/>
        <v>35.556139999999999</v>
      </c>
      <c r="G520" s="70">
        <f t="shared" si="52"/>
        <v>42.442359999999994</v>
      </c>
      <c r="H520" s="70">
        <f t="shared" si="52"/>
        <v>43.173320000000004</v>
      </c>
      <c r="I520" s="66"/>
      <c r="J520" s="66"/>
      <c r="K520" s="67"/>
      <c r="L520" s="29"/>
      <c r="M520" s="70">
        <f t="shared" si="53"/>
        <v>882.81920000000002</v>
      </c>
      <c r="N520" s="70">
        <f t="shared" si="54"/>
        <v>35.556400000000004</v>
      </c>
      <c r="O520" s="70">
        <f t="shared" si="54"/>
        <v>42.449479999999994</v>
      </c>
      <c r="P520" s="70">
        <f t="shared" si="54"/>
        <v>43.18036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51"/>
        <v>423.952</v>
      </c>
      <c r="F521" s="81">
        <f t="shared" si="52"/>
        <v>33.430999999999997</v>
      </c>
      <c r="G521" s="81">
        <f t="shared" si="52"/>
        <v>41.137100000000004</v>
      </c>
      <c r="H521" s="81">
        <f t="shared" si="52"/>
        <v>41.91892</v>
      </c>
      <c r="I521" s="68"/>
      <c r="J521" s="68"/>
      <c r="K521" s="69"/>
      <c r="L521" s="29"/>
      <c r="M521" s="81">
        <f t="shared" si="53"/>
        <v>423.77039999999994</v>
      </c>
      <c r="N521" s="81">
        <f t="shared" si="54"/>
        <v>33.430239999999998</v>
      </c>
      <c r="O521" s="81">
        <f t="shared" si="54"/>
        <v>41.144459999999995</v>
      </c>
      <c r="P521" s="81">
        <f t="shared" si="54"/>
        <v>41.919600000000003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8">
        <f t="shared" si="51"/>
        <v>5275.6391999999996</v>
      </c>
      <c r="F522" s="78">
        <f t="shared" ref="F522:H525" si="55">AVERAGE(F159,F163,F167,F183,F187,F191,F195,F199,F203)</f>
        <v>39.990966666666672</v>
      </c>
      <c r="G522" s="78">
        <f t="shared" si="55"/>
        <v>46.164222222222222</v>
      </c>
      <c r="H522" s="78">
        <f t="shared" si="55"/>
        <v>46.786333333333332</v>
      </c>
      <c r="I522" s="79"/>
      <c r="J522" s="79"/>
      <c r="K522" s="80"/>
      <c r="L522" s="29"/>
      <c r="M522" s="78">
        <f t="shared" si="53"/>
        <v>5274.9048000000003</v>
      </c>
      <c r="N522" s="78">
        <f t="shared" ref="N522:P525" si="56">AVERAGE(N159,N163,N167,N183,N187,N191,N195,N199,N203)</f>
        <v>39.991399999999999</v>
      </c>
      <c r="O522" s="78">
        <f t="shared" si="56"/>
        <v>46.164544444444445</v>
      </c>
      <c r="P522" s="78">
        <f t="shared" si="56"/>
        <v>46.789622222222221</v>
      </c>
      <c r="Q522" s="79"/>
      <c r="R522" s="79"/>
      <c r="S522" s="80"/>
      <c r="U522" s="8">
        <f>bdrate($E522:$E525,F522:F525,$M522:$M525,N522:N525)</f>
        <v>-6.1378988049587413E-5</v>
      </c>
      <c r="V522" s="9">
        <f>bdrate($E522:$E525,G522:G525,$M522:$M525,O522:O525)</f>
        <v>-1.3138879548065807E-3</v>
      </c>
      <c r="W522" s="10">
        <f>bdrate($E522:$E525,H522:H525,$M522:$M525,P522:P525)</f>
        <v>-1.4683949277121133E-3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70">
        <f t="shared" si="51"/>
        <v>2153.1176</v>
      </c>
      <c r="F523" s="70">
        <f t="shared" si="55"/>
        <v>37.666155555555548</v>
      </c>
      <c r="G523" s="70">
        <f t="shared" si="55"/>
        <v>44.388466666666673</v>
      </c>
      <c r="H523" s="70">
        <f t="shared" si="55"/>
        <v>45.081888888888891</v>
      </c>
      <c r="I523" s="66"/>
      <c r="J523" s="66"/>
      <c r="K523" s="67"/>
      <c r="L523" s="29"/>
      <c r="M523" s="70">
        <f t="shared" si="53"/>
        <v>2152.7512000000002</v>
      </c>
      <c r="N523" s="70">
        <f t="shared" si="56"/>
        <v>37.665477777777781</v>
      </c>
      <c r="O523" s="70">
        <f t="shared" si="56"/>
        <v>44.390799999999999</v>
      </c>
      <c r="P523" s="70">
        <f t="shared" si="56"/>
        <v>45.084911111111104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70">
        <f t="shared" si="51"/>
        <v>979.55679999999995</v>
      </c>
      <c r="F524" s="70">
        <f t="shared" si="55"/>
        <v>35.534577777777777</v>
      </c>
      <c r="G524" s="70">
        <f t="shared" si="55"/>
        <v>42.493255555555557</v>
      </c>
      <c r="H524" s="70">
        <f t="shared" si="55"/>
        <v>43.21787777777778</v>
      </c>
      <c r="I524" s="66"/>
      <c r="J524" s="66"/>
      <c r="K524" s="67"/>
      <c r="L524" s="29"/>
      <c r="M524" s="70">
        <f t="shared" si="53"/>
        <v>979.59760000000006</v>
      </c>
      <c r="N524" s="70">
        <f t="shared" si="56"/>
        <v>35.534911111111114</v>
      </c>
      <c r="O524" s="70">
        <f t="shared" si="56"/>
        <v>42.496222222222222</v>
      </c>
      <c r="P524" s="70">
        <f t="shared" si="56"/>
        <v>43.221144444444441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51"/>
        <v>471.89600000000002</v>
      </c>
      <c r="F525" s="81">
        <f t="shared" si="55"/>
        <v>33.413688888888892</v>
      </c>
      <c r="G525" s="81">
        <f t="shared" si="55"/>
        <v>41.185455555555549</v>
      </c>
      <c r="H525" s="81">
        <f t="shared" si="55"/>
        <v>41.953000000000003</v>
      </c>
      <c r="I525" s="68"/>
      <c r="J525" s="68"/>
      <c r="K525" s="69"/>
      <c r="L525" s="29"/>
      <c r="M525" s="81">
        <f t="shared" si="53"/>
        <v>471.70960000000002</v>
      </c>
      <c r="N525" s="81">
        <f t="shared" si="56"/>
        <v>33.413133333333334</v>
      </c>
      <c r="O525" s="81">
        <f t="shared" si="56"/>
        <v>41.189766666666671</v>
      </c>
      <c r="P525" s="81">
        <f t="shared" si="56"/>
        <v>41.952411111111111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8">
        <f>E211+E215</f>
        <v>1057.614</v>
      </c>
      <c r="F526" s="78">
        <f t="shared" ref="F526:H529" si="57">AVERAGE(F211,F215)</f>
        <v>41.974249999999998</v>
      </c>
      <c r="G526" s="78">
        <f t="shared" si="57"/>
        <v>48.302700000000002</v>
      </c>
      <c r="H526" s="78">
        <f t="shared" si="57"/>
        <v>47.824200000000005</v>
      </c>
      <c r="I526" s="79"/>
      <c r="J526" s="79"/>
      <c r="K526" s="80"/>
      <c r="L526" s="29"/>
      <c r="M526" s="82">
        <f>M211+M215</f>
        <v>1057.664</v>
      </c>
      <c r="N526" s="78">
        <f t="shared" ref="N526:P529" si="58">AVERAGE(N211,N215)</f>
        <v>41.973749999999995</v>
      </c>
      <c r="O526" s="78">
        <f t="shared" si="58"/>
        <v>48.302799999999998</v>
      </c>
      <c r="P526" s="78">
        <f t="shared" si="58"/>
        <v>47.8249</v>
      </c>
      <c r="Q526" s="79"/>
      <c r="R526" s="79"/>
      <c r="S526" s="80"/>
      <c r="U526" s="8">
        <f>bdrate($E526:$E529,F526:F529,$M526:$M529,N526:N529)</f>
        <v>4.0011752022883762E-4</v>
      </c>
      <c r="V526" s="9">
        <f>bdrate($E526:$E529,G526:G529,$M526:$M529,O526:O529)</f>
        <v>9.9393776210709994E-4</v>
      </c>
      <c r="W526" s="10">
        <f>bdrate($E526:$E529,H526:H529,$M526:$M529,P526:P529)</f>
        <v>-9.6956311861973177E-4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70">
        <f>E212+E216</f>
        <v>441.38900000000001</v>
      </c>
      <c r="F527" s="70">
        <f t="shared" si="57"/>
        <v>40.99145</v>
      </c>
      <c r="G527" s="70">
        <f t="shared" si="57"/>
        <v>47.282150000000001</v>
      </c>
      <c r="H527" s="70">
        <f t="shared" si="57"/>
        <v>46.942700000000002</v>
      </c>
      <c r="I527" s="66"/>
      <c r="J527" s="66"/>
      <c r="K527" s="67"/>
      <c r="L527" s="29"/>
      <c r="M527" s="83">
        <f>M212+M216</f>
        <v>441.24</v>
      </c>
      <c r="N527" s="70">
        <f t="shared" si="58"/>
        <v>40.989150000000002</v>
      </c>
      <c r="O527" s="70">
        <f t="shared" si="58"/>
        <v>47.2791</v>
      </c>
      <c r="P527" s="70">
        <f t="shared" si="58"/>
        <v>46.94115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70">
        <f>E213+E217</f>
        <v>224.798</v>
      </c>
      <c r="F528" s="70">
        <f t="shared" si="57"/>
        <v>39.580150000000003</v>
      </c>
      <c r="G528" s="70">
        <f t="shared" si="57"/>
        <v>45.970649999999999</v>
      </c>
      <c r="H528" s="70">
        <f t="shared" si="57"/>
        <v>45.736750000000001</v>
      </c>
      <c r="I528" s="66"/>
      <c r="J528" s="66"/>
      <c r="K528" s="67"/>
      <c r="L528" s="29"/>
      <c r="M528" s="83">
        <f>M213+M217</f>
        <v>224.92499999999998</v>
      </c>
      <c r="N528" s="70">
        <f t="shared" si="58"/>
        <v>39.58135</v>
      </c>
      <c r="O528" s="70">
        <f t="shared" si="58"/>
        <v>45.969149999999999</v>
      </c>
      <c r="P528" s="70">
        <f t="shared" si="58"/>
        <v>45.741399999999999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124.158</v>
      </c>
      <c r="F529" s="81">
        <f t="shared" si="57"/>
        <v>37.824649999999998</v>
      </c>
      <c r="G529" s="81">
        <f t="shared" si="57"/>
        <v>44.85425</v>
      </c>
      <c r="H529" s="81">
        <f t="shared" si="57"/>
        <v>44.6325</v>
      </c>
      <c r="I529" s="68"/>
      <c r="J529" s="68"/>
      <c r="K529" s="69"/>
      <c r="L529" s="29"/>
      <c r="M529" s="84">
        <f>M214+M218</f>
        <v>124.074</v>
      </c>
      <c r="N529" s="81">
        <f t="shared" si="58"/>
        <v>37.822900000000004</v>
      </c>
      <c r="O529" s="81">
        <f t="shared" si="58"/>
        <v>44.855350000000001</v>
      </c>
      <c r="P529" s="81">
        <f t="shared" si="58"/>
        <v>44.636800000000001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8">
        <f>E211+E215+E219</f>
        <v>1316.2280000000001</v>
      </c>
      <c r="F530" s="78">
        <f t="shared" ref="F530:H533" si="59">AVERAGE(F211,F215,F219)</f>
        <v>41.877733333333332</v>
      </c>
      <c r="G530" s="78">
        <f t="shared" si="59"/>
        <v>47.952233333333332</v>
      </c>
      <c r="H530" s="78">
        <f t="shared" si="59"/>
        <v>47.438966666666666</v>
      </c>
      <c r="I530" s="79"/>
      <c r="J530" s="79"/>
      <c r="K530" s="80"/>
      <c r="L530" s="29"/>
      <c r="M530" s="78">
        <f>M211+M215+M219</f>
        <v>1315.2329999999999</v>
      </c>
      <c r="N530" s="78">
        <f t="shared" ref="N530:P533" si="60">AVERAGE(N211,N215,N219)</f>
        <v>41.877099999999992</v>
      </c>
      <c r="O530" s="78">
        <f t="shared" si="60"/>
        <v>47.952733333333335</v>
      </c>
      <c r="P530" s="78">
        <f t="shared" si="60"/>
        <v>47.438899999999997</v>
      </c>
      <c r="Q530" s="79"/>
      <c r="R530" s="79"/>
      <c r="S530" s="80"/>
      <c r="U530" s="8">
        <f>bdrate($E530:$E533,F530:F533,$M530:$M533,N530:N533)</f>
        <v>-2.0602840233363562E-4</v>
      </c>
      <c r="V530" s="9">
        <f>bdrate($E530:$E533,G530:G533,$M530:$M533,O530:O533)</f>
        <v>8.9000372872360956E-4</v>
      </c>
      <c r="W530" s="10">
        <f>bdrate($E530:$E533,H530:H533,$M530:$M533,P530:P533)</f>
        <v>-1.5122063132907426E-3</v>
      </c>
      <c r="Y530" s="61"/>
      <c r="Z530" s="61"/>
      <c r="AA530" s="61"/>
      <c r="AB530" s="24"/>
      <c r="AC530" s="24"/>
    </row>
    <row r="531" spans="2:29">
      <c r="B531" s="29"/>
      <c r="C531" s="29"/>
      <c r="D531" s="32">
        <v>30</v>
      </c>
      <c r="E531" s="70">
        <f>E212+E216+E220</f>
        <v>538.84699999999998</v>
      </c>
      <c r="F531" s="70">
        <f t="shared" si="59"/>
        <v>40.909799999999997</v>
      </c>
      <c r="G531" s="70">
        <f t="shared" si="59"/>
        <v>46.963033333333335</v>
      </c>
      <c r="H531" s="70">
        <f t="shared" si="59"/>
        <v>46.476766666666663</v>
      </c>
      <c r="I531" s="66"/>
      <c r="J531" s="66"/>
      <c r="K531" s="67"/>
      <c r="L531" s="29"/>
      <c r="M531" s="70">
        <f>M212+M216+M220</f>
        <v>538.51700000000005</v>
      </c>
      <c r="N531" s="70">
        <f t="shared" si="60"/>
        <v>40.907633333333337</v>
      </c>
      <c r="O531" s="70">
        <f t="shared" si="60"/>
        <v>46.96103333333334</v>
      </c>
      <c r="P531" s="70">
        <f t="shared" si="60"/>
        <v>46.478633333333335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70">
        <f>E213+E217+E221</f>
        <v>273.33600000000001</v>
      </c>
      <c r="F532" s="70">
        <f t="shared" si="59"/>
        <v>39.514933333333339</v>
      </c>
      <c r="G532" s="70">
        <f t="shared" si="59"/>
        <v>45.773833333333336</v>
      </c>
      <c r="H532" s="70">
        <f t="shared" si="59"/>
        <v>45.354099999999995</v>
      </c>
      <c r="I532" s="66"/>
      <c r="J532" s="66"/>
      <c r="K532" s="67"/>
      <c r="L532" s="29"/>
      <c r="M532" s="70">
        <f>M213+M217+M221</f>
        <v>273.28800000000001</v>
      </c>
      <c r="N532" s="70">
        <f t="shared" si="60"/>
        <v>39.51636666666667</v>
      </c>
      <c r="O532" s="70">
        <f t="shared" si="60"/>
        <v>45.771066666666663</v>
      </c>
      <c r="P532" s="70">
        <f t="shared" si="60"/>
        <v>45.356533333333324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149.768</v>
      </c>
      <c r="F533" s="81">
        <f t="shared" si="59"/>
        <v>37.774266666666669</v>
      </c>
      <c r="G533" s="81">
        <f t="shared" si="59"/>
        <v>44.711166666666664</v>
      </c>
      <c r="H533" s="81">
        <f t="shared" si="59"/>
        <v>44.246433333333336</v>
      </c>
      <c r="I533" s="68"/>
      <c r="J533" s="68"/>
      <c r="K533" s="69"/>
      <c r="L533" s="29"/>
      <c r="M533" s="81">
        <f>M214+M218+M222</f>
        <v>149.61000000000001</v>
      </c>
      <c r="N533" s="81">
        <f t="shared" si="60"/>
        <v>37.772633333333339</v>
      </c>
      <c r="O533" s="81">
        <f t="shared" si="60"/>
        <v>44.706333333333333</v>
      </c>
      <c r="P533" s="81">
        <f t="shared" si="60"/>
        <v>44.245900000000006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8">
        <f>E211+E215+E223+E227</f>
        <v>1180.249</v>
      </c>
      <c r="F534" s="78">
        <f t="shared" ref="F534:H537" si="61">AVERAGE(F235,F239,F243)</f>
        <v>43.2121</v>
      </c>
      <c r="G534" s="78">
        <f t="shared" si="61"/>
        <v>48.841833333333334</v>
      </c>
      <c r="H534" s="78">
        <f t="shared" si="61"/>
        <v>48.192666666666668</v>
      </c>
      <c r="I534" s="79"/>
      <c r="J534" s="79"/>
      <c r="K534" s="80"/>
      <c r="L534" s="29"/>
      <c r="M534" s="78">
        <f>M211+M215+M223+M227</f>
        <v>1180.2080000000001</v>
      </c>
      <c r="N534" s="78">
        <f t="shared" ref="N534:P537" si="62">AVERAGE(N235,N239,N243)</f>
        <v>43.21223333333333</v>
      </c>
      <c r="O534" s="78">
        <f t="shared" si="62"/>
        <v>48.8185</v>
      </c>
      <c r="P534" s="78">
        <f t="shared" si="62"/>
        <v>48.192666666666668</v>
      </c>
      <c r="Q534" s="79"/>
      <c r="R534" s="79"/>
      <c r="S534" s="80"/>
      <c r="U534" s="8">
        <f>bdrate($E534:$E537,F534:F537,$M534:$M537,N534:N537)</f>
        <v>-9.9177735363742414E-4</v>
      </c>
      <c r="V534" s="9">
        <f>bdrate($E534:$E537,G534:G537,$M534:$M537,O534:O537)</f>
        <v>2.6183137976290016E-3</v>
      </c>
      <c r="W534" s="10">
        <f>bdrate($E534:$E537,H534:H537,$M534:$M537,P534:P537)</f>
        <v>6.9104075597101744E-3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70">
        <f>E212+E216+E224+E228</f>
        <v>491.40800000000002</v>
      </c>
      <c r="F535" s="70">
        <f t="shared" si="61"/>
        <v>42.00216666666666</v>
      </c>
      <c r="G535" s="70">
        <f t="shared" si="61"/>
        <v>47.711866666666673</v>
      </c>
      <c r="H535" s="70">
        <f t="shared" si="61"/>
        <v>47.349166666666669</v>
      </c>
      <c r="I535" s="66"/>
      <c r="J535" s="66"/>
      <c r="K535" s="67"/>
      <c r="L535" s="29"/>
      <c r="M535" s="70">
        <f>M212+M216+M224+M228</f>
        <v>491.21100000000001</v>
      </c>
      <c r="N535" s="70">
        <f t="shared" si="62"/>
        <v>42.003466666666668</v>
      </c>
      <c r="O535" s="70">
        <f t="shared" si="62"/>
        <v>47.71373333333333</v>
      </c>
      <c r="P535" s="70">
        <f t="shared" si="62"/>
        <v>47.331400000000002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70">
        <f>E213+E217+E225+E229</f>
        <v>249.66799999999998</v>
      </c>
      <c r="F536" s="70">
        <f t="shared" si="61"/>
        <v>40.372</v>
      </c>
      <c r="G536" s="70">
        <f t="shared" si="61"/>
        <v>46.377000000000002</v>
      </c>
      <c r="H536" s="70">
        <f t="shared" si="61"/>
        <v>46.131333333333338</v>
      </c>
      <c r="I536" s="66"/>
      <c r="J536" s="66"/>
      <c r="K536" s="67"/>
      <c r="L536" s="29"/>
      <c r="M536" s="70">
        <f>M213+M217+M225+M229</f>
        <v>249.84499999999997</v>
      </c>
      <c r="N536" s="70">
        <f t="shared" si="62"/>
        <v>40.378433333333334</v>
      </c>
      <c r="O536" s="70">
        <f t="shared" si="62"/>
        <v>46.376433333333331</v>
      </c>
      <c r="P536" s="70">
        <f t="shared" si="62"/>
        <v>46.119900000000001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137.91399999999999</v>
      </c>
      <c r="F537" s="81">
        <f t="shared" si="61"/>
        <v>38.425333333333334</v>
      </c>
      <c r="G537" s="81">
        <f t="shared" si="61"/>
        <v>45.271366666666665</v>
      </c>
      <c r="H537" s="81">
        <f t="shared" si="61"/>
        <v>44.945766666666664</v>
      </c>
      <c r="I537" s="68"/>
      <c r="J537" s="68"/>
      <c r="K537" s="69"/>
      <c r="L537" s="29"/>
      <c r="M537" s="81">
        <f>M214+M218+M226+M230</f>
        <v>137.75399999999999</v>
      </c>
      <c r="N537" s="81">
        <f t="shared" si="62"/>
        <v>38.41896666666667</v>
      </c>
      <c r="O537" s="81">
        <f t="shared" si="62"/>
        <v>45.262900000000002</v>
      </c>
      <c r="P537" s="81">
        <f t="shared" si="62"/>
        <v>44.948766666666664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8">
        <f>E259</f>
        <v>1493.098</v>
      </c>
      <c r="F538" s="78">
        <f t="shared" ref="F538:H541" si="63">AVERAGE(F235,F239,F243,F247,F251,F255)</f>
        <v>43.261266666666671</v>
      </c>
      <c r="G538" s="78">
        <f t="shared" si="63"/>
        <v>48.678216666666664</v>
      </c>
      <c r="H538" s="78">
        <f t="shared" si="63"/>
        <v>48.488099999999996</v>
      </c>
      <c r="I538" s="79"/>
      <c r="J538" s="79"/>
      <c r="K538" s="80"/>
      <c r="L538" s="29"/>
      <c r="M538" s="78">
        <f>M259</f>
        <v>1491.9059999999999</v>
      </c>
      <c r="N538" s="78">
        <f t="shared" ref="N538:P541" si="64">AVERAGE(N235,N239,N243,N247,N251,N255)</f>
        <v>43.260316666666661</v>
      </c>
      <c r="O538" s="78">
        <f t="shared" si="64"/>
        <v>48.657099999999993</v>
      </c>
      <c r="P538" s="78">
        <f t="shared" si="64"/>
        <v>48.488416666666666</v>
      </c>
      <c r="Q538" s="79"/>
      <c r="R538" s="79"/>
      <c r="S538" s="80"/>
      <c r="U538" s="8">
        <f>bdrate($E538:$E541,F538:F541,$M538:$M541,N538:N541)</f>
        <v>-1.097773929920276E-3</v>
      </c>
      <c r="V538" s="9">
        <f>bdrate($E538:$E541,G538:G541,$M538:$M541,O538:O541)</f>
        <v>5.9762260435023418E-3</v>
      </c>
      <c r="W538" s="10">
        <f>bdrate($E538:$E541,H538:H541,$M538:$M541,P538:P541)</f>
        <v>4.1039371892643839E-3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70">
        <f>E260</f>
        <v>612.71</v>
      </c>
      <c r="F539" s="70">
        <f t="shared" si="63"/>
        <v>42.070233333333334</v>
      </c>
      <c r="G539" s="70">
        <f t="shared" si="63"/>
        <v>47.602983333333334</v>
      </c>
      <c r="H539" s="70">
        <f t="shared" si="63"/>
        <v>47.543316666666669</v>
      </c>
      <c r="I539" s="66"/>
      <c r="J539" s="66"/>
      <c r="K539" s="67"/>
      <c r="L539" s="29"/>
      <c r="M539" s="70">
        <f>M260</f>
        <v>612.346</v>
      </c>
      <c r="N539" s="70">
        <f t="shared" si="64"/>
        <v>42.071149999999996</v>
      </c>
      <c r="O539" s="70">
        <f t="shared" si="64"/>
        <v>47.599550000000001</v>
      </c>
      <c r="P539" s="70">
        <f t="shared" si="64"/>
        <v>47.53273333333334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70">
        <f>E261</f>
        <v>312.16899999999998</v>
      </c>
      <c r="F540" s="70">
        <f t="shared" si="63"/>
        <v>40.455983333333329</v>
      </c>
      <c r="G540" s="70">
        <f t="shared" si="63"/>
        <v>46.314316666666663</v>
      </c>
      <c r="H540" s="70">
        <f t="shared" si="63"/>
        <v>46.314450000000001</v>
      </c>
      <c r="I540" s="66"/>
      <c r="J540" s="66"/>
      <c r="K540" s="67"/>
      <c r="L540" s="29"/>
      <c r="M540" s="70">
        <f>M261</f>
        <v>312.197</v>
      </c>
      <c r="N540" s="70">
        <f t="shared" si="64"/>
        <v>40.460500000000003</v>
      </c>
      <c r="O540" s="70">
        <f t="shared" si="64"/>
        <v>46.302616666666665</v>
      </c>
      <c r="P540" s="70">
        <f t="shared" si="64"/>
        <v>46.307516666666665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173.48699999999999</v>
      </c>
      <c r="F541" s="81">
        <f t="shared" si="63"/>
        <v>38.516666666666673</v>
      </c>
      <c r="G541" s="81">
        <f t="shared" si="63"/>
        <v>45.210450000000002</v>
      </c>
      <c r="H541" s="81">
        <f t="shared" si="63"/>
        <v>45.120516666666667</v>
      </c>
      <c r="I541" s="68"/>
      <c r="J541" s="68"/>
      <c r="K541" s="69"/>
      <c r="L541" s="29"/>
      <c r="M541" s="81">
        <f>M262</f>
        <v>173.24299999999999</v>
      </c>
      <c r="N541" s="81">
        <f t="shared" si="64"/>
        <v>38.513233333333332</v>
      </c>
      <c r="O541" s="81">
        <f t="shared" si="64"/>
        <v>45.196566666666662</v>
      </c>
      <c r="P541" s="81">
        <f t="shared" si="64"/>
        <v>45.112850000000002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8">
        <f t="shared" ref="E542:E549" si="65">E534</f>
        <v>1180.249</v>
      </c>
      <c r="F542" s="78">
        <f t="shared" ref="F542:H545" si="66">AVERAGE(F211,F215,F235,F239,F243)</f>
        <v>42.716959999999993</v>
      </c>
      <c r="G542" s="78">
        <f t="shared" si="66"/>
        <v>48.626179999999991</v>
      </c>
      <c r="H542" s="78">
        <f t="shared" si="66"/>
        <v>48.045280000000005</v>
      </c>
      <c r="I542" s="79"/>
      <c r="J542" s="79"/>
      <c r="K542" s="80"/>
      <c r="L542" s="29"/>
      <c r="M542" s="78">
        <f t="shared" ref="M542:M549" si="67">M534</f>
        <v>1180.2080000000001</v>
      </c>
      <c r="N542" s="78">
        <f t="shared" ref="N542:P545" si="68">AVERAGE(N211,N215,N235,N239,N243)</f>
        <v>42.716839999999998</v>
      </c>
      <c r="O542" s="78">
        <f t="shared" si="68"/>
        <v>48.612219999999994</v>
      </c>
      <c r="P542" s="78">
        <f t="shared" si="68"/>
        <v>48.045560000000002</v>
      </c>
      <c r="Q542" s="79"/>
      <c r="R542" s="79"/>
      <c r="S542" s="80"/>
      <c r="U542" s="8">
        <f>bdrate($E542:$E545,F542:F545,$M542:$M545,N542:N545)</f>
        <v>-4.9786815145513863E-4</v>
      </c>
      <c r="V542" s="9">
        <f>bdrate($E542:$E545,G542:G545,$M542:$M545,O542:O545)</f>
        <v>1.9929543484731305E-3</v>
      </c>
      <c r="W542" s="10">
        <f>bdrate($E542:$E545,H542:H545,$M542:$M545,P542:P545)</f>
        <v>3.7687191564661493E-3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70">
        <f t="shared" si="65"/>
        <v>491.40800000000002</v>
      </c>
      <c r="F543" s="70">
        <f t="shared" si="66"/>
        <v>41.597879999999996</v>
      </c>
      <c r="G543" s="70">
        <f t="shared" si="66"/>
        <v>47.53998</v>
      </c>
      <c r="H543" s="70">
        <f t="shared" si="66"/>
        <v>47.186580000000006</v>
      </c>
      <c r="I543" s="66"/>
      <c r="J543" s="66"/>
      <c r="K543" s="67"/>
      <c r="L543" s="29"/>
      <c r="M543" s="70">
        <f t="shared" si="67"/>
        <v>491.21100000000001</v>
      </c>
      <c r="N543" s="70">
        <f t="shared" si="68"/>
        <v>41.597740000000002</v>
      </c>
      <c r="O543" s="70">
        <f t="shared" si="68"/>
        <v>47.539879999999997</v>
      </c>
      <c r="P543" s="70">
        <f t="shared" si="68"/>
        <v>47.1753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70">
        <f t="shared" si="65"/>
        <v>249.66799999999998</v>
      </c>
      <c r="F544" s="70">
        <f t="shared" si="66"/>
        <v>40.055259999999997</v>
      </c>
      <c r="G544" s="70">
        <f t="shared" si="66"/>
        <v>46.214459999999995</v>
      </c>
      <c r="H544" s="70">
        <f t="shared" si="66"/>
        <v>45.973500000000001</v>
      </c>
      <c r="I544" s="66"/>
      <c r="J544" s="66"/>
      <c r="K544" s="67"/>
      <c r="L544" s="29"/>
      <c r="M544" s="70">
        <f t="shared" si="67"/>
        <v>249.84499999999997</v>
      </c>
      <c r="N544" s="70">
        <f t="shared" si="68"/>
        <v>40.059600000000003</v>
      </c>
      <c r="O544" s="70">
        <f t="shared" si="68"/>
        <v>46.213520000000003</v>
      </c>
      <c r="P544" s="70">
        <f t="shared" si="68"/>
        <v>45.968499999999999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65"/>
        <v>137.91399999999999</v>
      </c>
      <c r="F545" s="81">
        <f t="shared" si="66"/>
        <v>38.18506</v>
      </c>
      <c r="G545" s="81">
        <f t="shared" si="66"/>
        <v>45.104519999999994</v>
      </c>
      <c r="H545" s="81">
        <f t="shared" si="66"/>
        <v>44.820460000000004</v>
      </c>
      <c r="I545" s="68"/>
      <c r="J545" s="68"/>
      <c r="K545" s="69"/>
      <c r="L545" s="29"/>
      <c r="M545" s="81">
        <f t="shared" si="67"/>
        <v>137.75399999999999</v>
      </c>
      <c r="N545" s="81">
        <f t="shared" si="68"/>
        <v>38.180540000000001</v>
      </c>
      <c r="O545" s="81">
        <f t="shared" si="68"/>
        <v>45.099879999999999</v>
      </c>
      <c r="P545" s="81">
        <f t="shared" si="68"/>
        <v>44.823980000000006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8">
        <f t="shared" si="65"/>
        <v>1493.098</v>
      </c>
      <c r="F546" s="78">
        <f t="shared" ref="F546:H549" si="69">AVERAGE(F211,F215,F219,F235,F239,F243,F247,F251,F255)</f>
        <v>42.800088888888887</v>
      </c>
      <c r="G546" s="78">
        <f t="shared" si="69"/>
        <v>48.436222222222227</v>
      </c>
      <c r="H546" s="78">
        <f t="shared" si="69"/>
        <v>48.13838888888889</v>
      </c>
      <c r="I546" s="79"/>
      <c r="J546" s="79"/>
      <c r="K546" s="80"/>
      <c r="L546" s="29"/>
      <c r="M546" s="78">
        <f t="shared" si="67"/>
        <v>1491.9059999999999</v>
      </c>
      <c r="N546" s="78">
        <f t="shared" ref="N546:P549" si="70">AVERAGE(N211,N215,N219,N235,N239,N243,N247,N251,N255)</f>
        <v>42.79924444444444</v>
      </c>
      <c r="O546" s="78">
        <f t="shared" si="70"/>
        <v>48.4223111111111</v>
      </c>
      <c r="P546" s="78">
        <f t="shared" si="70"/>
        <v>48.138577777777783</v>
      </c>
      <c r="Q546" s="79"/>
      <c r="R546" s="79"/>
      <c r="S546" s="80"/>
      <c r="U546" s="8">
        <f>bdrate($E546:$E549,F546:F549,$M546:$M549,N546:N549)</f>
        <v>-8.0905856561164224E-4</v>
      </c>
      <c r="V546" s="9">
        <f>bdrate($E546:$E549,G546:G549,$M546:$M549,O546:O549)</f>
        <v>4.3765804103739203E-3</v>
      </c>
      <c r="W546" s="10">
        <f>bdrate($E546:$E549,H546:H549,$M546:$M549,P546:P549)</f>
        <v>2.3232570113664863E-3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70">
        <f t="shared" si="65"/>
        <v>612.71</v>
      </c>
      <c r="F547" s="70">
        <f t="shared" si="69"/>
        <v>41.683422222222219</v>
      </c>
      <c r="G547" s="70">
        <f t="shared" si="69"/>
        <v>47.389666666666663</v>
      </c>
      <c r="H547" s="70">
        <f t="shared" si="69"/>
        <v>47.187799999999996</v>
      </c>
      <c r="I547" s="66"/>
      <c r="J547" s="66"/>
      <c r="K547" s="67"/>
      <c r="L547" s="29"/>
      <c r="M547" s="70">
        <f t="shared" si="67"/>
        <v>612.346</v>
      </c>
      <c r="N547" s="70">
        <f t="shared" si="70"/>
        <v>41.683311111111117</v>
      </c>
      <c r="O547" s="70">
        <f t="shared" si="70"/>
        <v>47.386711111111111</v>
      </c>
      <c r="P547" s="70">
        <f t="shared" si="70"/>
        <v>47.181366666666676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70">
        <f t="shared" si="65"/>
        <v>312.16899999999998</v>
      </c>
      <c r="F548" s="70">
        <f t="shared" si="69"/>
        <v>40.142299999999999</v>
      </c>
      <c r="G548" s="70">
        <f t="shared" si="69"/>
        <v>46.134155555555566</v>
      </c>
      <c r="H548" s="70">
        <f t="shared" si="69"/>
        <v>45.99433333333333</v>
      </c>
      <c r="I548" s="66"/>
      <c r="J548" s="66"/>
      <c r="K548" s="67"/>
      <c r="L548" s="29"/>
      <c r="M548" s="70">
        <f t="shared" si="67"/>
        <v>312.197</v>
      </c>
      <c r="N548" s="70">
        <f t="shared" si="70"/>
        <v>40.145788888888895</v>
      </c>
      <c r="O548" s="70">
        <f t="shared" si="70"/>
        <v>46.125433333333341</v>
      </c>
      <c r="P548" s="70">
        <f t="shared" si="70"/>
        <v>45.990522222222218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65"/>
        <v>173.48699999999999</v>
      </c>
      <c r="F549" s="81">
        <f t="shared" si="69"/>
        <v>38.269199999999998</v>
      </c>
      <c r="G549" s="81">
        <f t="shared" si="69"/>
        <v>45.044022222222225</v>
      </c>
      <c r="H549" s="81">
        <f t="shared" si="69"/>
        <v>44.829155555555559</v>
      </c>
      <c r="I549" s="68"/>
      <c r="J549" s="68"/>
      <c r="K549" s="69"/>
      <c r="L549" s="29"/>
      <c r="M549" s="81">
        <f t="shared" si="67"/>
        <v>173.24299999999999</v>
      </c>
      <c r="N549" s="81">
        <f t="shared" si="70"/>
        <v>38.266366666666663</v>
      </c>
      <c r="O549" s="81">
        <f t="shared" si="70"/>
        <v>45.03315555555556</v>
      </c>
      <c r="P549" s="81">
        <f t="shared" si="70"/>
        <v>44.823866666666667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8">
        <f>E263+E267</f>
        <v>3142.0824000000002</v>
      </c>
      <c r="F550" s="78">
        <f t="shared" ref="F550:H553" si="71">AVERAGE(F263,F267)</f>
        <v>39.421499999999995</v>
      </c>
      <c r="G550" s="78">
        <f t="shared" si="71"/>
        <v>46.674950000000003</v>
      </c>
      <c r="H550" s="78">
        <f t="shared" si="71"/>
        <v>45.380600000000001</v>
      </c>
      <c r="I550" s="79"/>
      <c r="J550" s="79"/>
      <c r="K550" s="80"/>
      <c r="L550" s="29"/>
      <c r="M550" s="82">
        <f>M263+M267</f>
        <v>3142.3791999999999</v>
      </c>
      <c r="N550" s="78">
        <f t="shared" ref="N550:P553" si="72">AVERAGE(N263,N267)</f>
        <v>39.421949999999995</v>
      </c>
      <c r="O550" s="78">
        <f t="shared" si="72"/>
        <v>46.675600000000003</v>
      </c>
      <c r="P550" s="78">
        <f t="shared" si="72"/>
        <v>45.383800000000001</v>
      </c>
      <c r="Q550" s="79"/>
      <c r="R550" s="79"/>
      <c r="S550" s="80"/>
      <c r="U550" s="8">
        <f>bdrate($E550:$E553,F550:F553,$M550:$M553,N550:N553)</f>
        <v>-3.6510867673422709E-4</v>
      </c>
      <c r="V550" s="9">
        <f>bdrate($E550:$E553,G550:G553,$M550:$M553,O550:O553)</f>
        <v>-6.9215731570260175E-4</v>
      </c>
      <c r="W550" s="10">
        <f>bdrate($E550:$E553,H550:H553,$M550:$M553,P550:P553)</f>
        <v>-1.3625227831337572E-4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70">
        <f>E264+E268</f>
        <v>1151.6784</v>
      </c>
      <c r="F551" s="70">
        <f t="shared" si="71"/>
        <v>37.516199999999998</v>
      </c>
      <c r="G551" s="70">
        <f t="shared" si="71"/>
        <v>45.237099999999998</v>
      </c>
      <c r="H551" s="70">
        <f t="shared" si="71"/>
        <v>43.825800000000001</v>
      </c>
      <c r="I551" s="66"/>
      <c r="J551" s="66"/>
      <c r="K551" s="67"/>
      <c r="L551" s="29"/>
      <c r="M551" s="83">
        <f>M264+M268</f>
        <v>1151.924</v>
      </c>
      <c r="N551" s="70">
        <f t="shared" si="72"/>
        <v>37.517049999999998</v>
      </c>
      <c r="O551" s="70">
        <f t="shared" si="72"/>
        <v>45.239049999999999</v>
      </c>
      <c r="P551" s="70">
        <f t="shared" si="72"/>
        <v>43.829050000000002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70">
        <f>E265+E269</f>
        <v>537.39760000000001</v>
      </c>
      <c r="F552" s="70">
        <f t="shared" si="71"/>
        <v>35.56035</v>
      </c>
      <c r="G552" s="70">
        <f t="shared" si="71"/>
        <v>43.614249999999998</v>
      </c>
      <c r="H552" s="70">
        <f t="shared" si="71"/>
        <v>42.3247</v>
      </c>
      <c r="I552" s="66"/>
      <c r="J552" s="66"/>
      <c r="K552" s="67"/>
      <c r="L552" s="29"/>
      <c r="M552" s="83">
        <f>M265+M269</f>
        <v>536.95920000000001</v>
      </c>
      <c r="N552" s="70">
        <f t="shared" si="72"/>
        <v>35.560299999999998</v>
      </c>
      <c r="O552" s="70">
        <f t="shared" si="72"/>
        <v>43.614049999999999</v>
      </c>
      <c r="P552" s="70">
        <f t="shared" si="72"/>
        <v>42.318449999999999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274.35520000000002</v>
      </c>
      <c r="F553" s="81">
        <f t="shared" si="71"/>
        <v>33.511449999999996</v>
      </c>
      <c r="G553" s="81">
        <f t="shared" si="71"/>
        <v>42.408050000000003</v>
      </c>
      <c r="H553" s="81">
        <f t="shared" si="71"/>
        <v>41.246449999999996</v>
      </c>
      <c r="I553" s="68"/>
      <c r="J553" s="68"/>
      <c r="K553" s="69"/>
      <c r="L553" s="29"/>
      <c r="M553" s="84">
        <f>M266+M270</f>
        <v>274.34000000000003</v>
      </c>
      <c r="N553" s="81">
        <f t="shared" si="72"/>
        <v>33.510599999999997</v>
      </c>
      <c r="O553" s="81">
        <f t="shared" si="72"/>
        <v>42.408249999999995</v>
      </c>
      <c r="P553" s="81">
        <f t="shared" si="72"/>
        <v>41.246449999999996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8">
        <f>E263+E267+E271</f>
        <v>3834.4112000000005</v>
      </c>
      <c r="F554" s="78">
        <f t="shared" ref="F554:H557" si="73">AVERAGE(F263,F267,F271)</f>
        <v>39.252133333333326</v>
      </c>
      <c r="G554" s="78">
        <f t="shared" si="73"/>
        <v>46.589200000000005</v>
      </c>
      <c r="H554" s="78">
        <f t="shared" si="73"/>
        <v>45.630500000000005</v>
      </c>
      <c r="I554" s="79"/>
      <c r="J554" s="79"/>
      <c r="K554" s="80"/>
      <c r="L554" s="29"/>
      <c r="M554" s="78">
        <f>M263+M267+M271</f>
        <v>3834.7424000000001</v>
      </c>
      <c r="N554" s="78">
        <f t="shared" ref="N554:P557" si="74">AVERAGE(N263,N267,N271)</f>
        <v>39.252966666666659</v>
      </c>
      <c r="O554" s="78">
        <f t="shared" si="74"/>
        <v>46.590633333333336</v>
      </c>
      <c r="P554" s="78">
        <f t="shared" si="74"/>
        <v>45.632633333333331</v>
      </c>
      <c r="Q554" s="79"/>
      <c r="R554" s="79"/>
      <c r="S554" s="80"/>
      <c r="U554" s="8">
        <f>bdrate($E554:$E557,F554:F557,$M554:$M557,N554:N557)</f>
        <v>-3.9281325365436714E-4</v>
      </c>
      <c r="V554" s="9">
        <f>bdrate($E554:$E557,G554:G557,$M554:$M557,O554:O557)</f>
        <v>-9.5363868514386496E-4</v>
      </c>
      <c r="W554" s="10">
        <f>bdrate($E554:$E557,H554:H557,$M554:$M557,P554:P557)</f>
        <v>-4.6526068711261193E-4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70">
        <f>E264+E268+E272</f>
        <v>1345.4</v>
      </c>
      <c r="F555" s="70">
        <f t="shared" si="73"/>
        <v>37.326033333333335</v>
      </c>
      <c r="G555" s="70">
        <f t="shared" si="73"/>
        <v>45.152966666666664</v>
      </c>
      <c r="H555" s="70">
        <f t="shared" si="73"/>
        <v>44.121933333333338</v>
      </c>
      <c r="I555" s="66"/>
      <c r="J555" s="66"/>
      <c r="K555" s="67"/>
      <c r="L555" s="29"/>
      <c r="M555" s="70">
        <f>M264+M268+M272</f>
        <v>1345.1296</v>
      </c>
      <c r="N555" s="70">
        <f t="shared" si="74"/>
        <v>37.326599999999999</v>
      </c>
      <c r="O555" s="70">
        <f t="shared" si="74"/>
        <v>45.155633333333334</v>
      </c>
      <c r="P555" s="70">
        <f t="shared" si="74"/>
        <v>44.125166666666665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70">
        <f>E265+E269+E273</f>
        <v>611.16399999999999</v>
      </c>
      <c r="F556" s="70">
        <f t="shared" si="73"/>
        <v>35.363866666666667</v>
      </c>
      <c r="G556" s="70">
        <f t="shared" si="73"/>
        <v>43.570533333333337</v>
      </c>
      <c r="H556" s="70">
        <f t="shared" si="73"/>
        <v>42.591366666666666</v>
      </c>
      <c r="I556" s="66"/>
      <c r="J556" s="66"/>
      <c r="K556" s="67"/>
      <c r="L556" s="29"/>
      <c r="M556" s="70">
        <f>M265+M269+M273</f>
        <v>610.78</v>
      </c>
      <c r="N556" s="70">
        <f t="shared" si="74"/>
        <v>35.363399999999999</v>
      </c>
      <c r="O556" s="70">
        <f t="shared" si="74"/>
        <v>43.569700000000005</v>
      </c>
      <c r="P556" s="70">
        <f t="shared" si="74"/>
        <v>42.587133333333334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305.87600000000003</v>
      </c>
      <c r="F557" s="81">
        <f t="shared" si="73"/>
        <v>33.32373333333333</v>
      </c>
      <c r="G557" s="81">
        <f t="shared" si="73"/>
        <v>42.375933333333336</v>
      </c>
      <c r="H557" s="81">
        <f t="shared" si="73"/>
        <v>41.472966666666665</v>
      </c>
      <c r="I557" s="68"/>
      <c r="J557" s="68"/>
      <c r="K557" s="69"/>
      <c r="L557" s="29"/>
      <c r="M557" s="81">
        <f>M266+M270+M274</f>
        <v>305.79200000000003</v>
      </c>
      <c r="N557" s="81">
        <f t="shared" si="74"/>
        <v>33.322733333333332</v>
      </c>
      <c r="O557" s="81">
        <f t="shared" si="74"/>
        <v>42.375733333333329</v>
      </c>
      <c r="P557" s="81">
        <f t="shared" si="74"/>
        <v>41.471733333333333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8">
        <f>E263+E267+E275+E279</f>
        <v>3404.8296</v>
      </c>
      <c r="F558" s="78">
        <f t="shared" ref="F558:H561" si="75">AVERAGE(F287,F291,F295)</f>
        <v>40.441166666666668</v>
      </c>
      <c r="G558" s="78">
        <f t="shared" si="75"/>
        <v>47.198200000000007</v>
      </c>
      <c r="H558" s="78">
        <f t="shared" si="75"/>
        <v>46.680766666666671</v>
      </c>
      <c r="I558" s="79"/>
      <c r="J558" s="79"/>
      <c r="K558" s="80"/>
      <c r="L558" s="29"/>
      <c r="M558" s="78">
        <f>M263+M267+M275+M279</f>
        <v>3404.9303999999997</v>
      </c>
      <c r="N558" s="78">
        <f t="shared" ref="N558:P561" si="76">AVERAGE(N287,N291,N295)</f>
        <v>40.44233333333333</v>
      </c>
      <c r="O558" s="78">
        <f t="shared" si="76"/>
        <v>47.182233333333329</v>
      </c>
      <c r="P558" s="78">
        <f t="shared" si="76"/>
        <v>46.696133333333336</v>
      </c>
      <c r="Q558" s="79"/>
      <c r="R558" s="79"/>
      <c r="S558" s="80"/>
      <c r="U558" s="8">
        <f>bdrate($E558:$E561,F558:F561,$M558:$M561,N558:N561)</f>
        <v>-4.6693910208539524E-4</v>
      </c>
      <c r="V558" s="9">
        <f>bdrate($E558:$E561,G558:G561,$M558:$M561,O558:O561)</f>
        <v>2.4648430627358664E-3</v>
      </c>
      <c r="W558" s="10">
        <f>bdrate($E558:$E561,H558:H561,$M558:$M561,P558:P561)</f>
        <v>-5.0796509147804647E-3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70">
        <f>E264+E268+E276+E280</f>
        <v>1225.7888</v>
      </c>
      <c r="F559" s="70">
        <f t="shared" si="75"/>
        <v>38.251233333333332</v>
      </c>
      <c r="G559" s="70">
        <f t="shared" si="75"/>
        <v>45.630966666666666</v>
      </c>
      <c r="H559" s="70">
        <f t="shared" si="75"/>
        <v>45.00963333333334</v>
      </c>
      <c r="I559" s="66"/>
      <c r="J559" s="66"/>
      <c r="K559" s="67"/>
      <c r="L559" s="29"/>
      <c r="M559" s="70">
        <f>M264+M268+M276+M280</f>
        <v>1226.0519999999999</v>
      </c>
      <c r="N559" s="70">
        <f t="shared" si="76"/>
        <v>38.251100000000001</v>
      </c>
      <c r="O559" s="70">
        <f t="shared" si="76"/>
        <v>45.632100000000001</v>
      </c>
      <c r="P559" s="70">
        <f t="shared" si="76"/>
        <v>45.019000000000005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70">
        <f>E265+E269+E277+E281</f>
        <v>567.95040000000006</v>
      </c>
      <c r="F560" s="70">
        <f t="shared" si="75"/>
        <v>36.12596666666667</v>
      </c>
      <c r="G560" s="70">
        <f t="shared" si="75"/>
        <v>43.966900000000003</v>
      </c>
      <c r="H560" s="70">
        <f t="shared" si="75"/>
        <v>43.421566666666671</v>
      </c>
      <c r="I560" s="66"/>
      <c r="J560" s="66"/>
      <c r="K560" s="67"/>
      <c r="L560" s="29"/>
      <c r="M560" s="70">
        <f>M265+M269+M277+M281</f>
        <v>567.53680000000008</v>
      </c>
      <c r="N560" s="70">
        <f t="shared" si="76"/>
        <v>36.127566666666667</v>
      </c>
      <c r="O560" s="70">
        <f t="shared" si="76"/>
        <v>43.958733333333335</v>
      </c>
      <c r="P560" s="70">
        <f t="shared" si="76"/>
        <v>43.428100000000001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290.38080000000002</v>
      </c>
      <c r="F561" s="81">
        <f t="shared" si="75"/>
        <v>33.949300000000001</v>
      </c>
      <c r="G561" s="81">
        <f t="shared" si="75"/>
        <v>42.695799999999998</v>
      </c>
      <c r="H561" s="81">
        <f t="shared" si="75"/>
        <v>42.3217</v>
      </c>
      <c r="I561" s="68"/>
      <c r="J561" s="68"/>
      <c r="K561" s="69"/>
      <c r="L561" s="29"/>
      <c r="M561" s="81">
        <f>M266+M270+M278+M282</f>
        <v>290.33040000000005</v>
      </c>
      <c r="N561" s="81">
        <f t="shared" si="76"/>
        <v>33.949400000000004</v>
      </c>
      <c r="O561" s="81">
        <f t="shared" si="76"/>
        <v>42.696799999999996</v>
      </c>
      <c r="P561" s="81">
        <f t="shared" si="76"/>
        <v>42.323700000000002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8">
        <f>E311</f>
        <v>4218.1008000000002</v>
      </c>
      <c r="F562" s="78">
        <f t="shared" ref="F562:H565" si="77">AVERAGE(F287,F291,F295,F299,F303,F307)</f>
        <v>40.400700000000001</v>
      </c>
      <c r="G562" s="78">
        <f t="shared" si="77"/>
        <v>47.055383333333339</v>
      </c>
      <c r="H562" s="78">
        <f t="shared" si="77"/>
        <v>46.7121</v>
      </c>
      <c r="I562" s="79"/>
      <c r="J562" s="79"/>
      <c r="K562" s="80"/>
      <c r="L562" s="29"/>
      <c r="M562" s="78">
        <f>M311</f>
        <v>4218.3576000000003</v>
      </c>
      <c r="N562" s="78">
        <f t="shared" ref="N562:P565" si="78">AVERAGE(N287,N291,N295,N299,N303,N307)</f>
        <v>40.401266666666665</v>
      </c>
      <c r="O562" s="78">
        <f t="shared" si="78"/>
        <v>47.042716666666657</v>
      </c>
      <c r="P562" s="78">
        <f t="shared" si="78"/>
        <v>46.718933333333332</v>
      </c>
      <c r="Q562" s="79"/>
      <c r="R562" s="79"/>
      <c r="S562" s="80"/>
      <c r="U562" s="8">
        <f>bdrate($E562:$E565,F562:F565,$M562:$M565,N562:N565)</f>
        <v>-4.3682697657587699E-4</v>
      </c>
      <c r="V562" s="9">
        <f>bdrate($E562:$E565,G562:G565,$M562:$M565,O562:O565)</f>
        <v>-3.8804207754672415E-4</v>
      </c>
      <c r="W562" s="10">
        <f>bdrate($E562:$E565,H562:H565,$M562:$M565,P562:P565)</f>
        <v>-3.1429118646555398E-3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70">
        <f>E312</f>
        <v>1452.6487999999999</v>
      </c>
      <c r="F563" s="70">
        <f t="shared" si="77"/>
        <v>38.185566666666666</v>
      </c>
      <c r="G563" s="70">
        <f t="shared" si="77"/>
        <v>45.533316666666671</v>
      </c>
      <c r="H563" s="70">
        <f t="shared" si="77"/>
        <v>45.079733333333337</v>
      </c>
      <c r="I563" s="66"/>
      <c r="J563" s="66"/>
      <c r="K563" s="67"/>
      <c r="L563" s="29"/>
      <c r="M563" s="70">
        <f>M312</f>
        <v>1452.2888</v>
      </c>
      <c r="N563" s="70">
        <f t="shared" si="78"/>
        <v>38.185583333333334</v>
      </c>
      <c r="O563" s="70">
        <f t="shared" si="78"/>
        <v>45.539233333333328</v>
      </c>
      <c r="P563" s="70">
        <f t="shared" si="78"/>
        <v>45.085700000000003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70">
        <f>E313</f>
        <v>656.88720000000001</v>
      </c>
      <c r="F564" s="70">
        <f t="shared" si="77"/>
        <v>36.050066666666666</v>
      </c>
      <c r="G564" s="70">
        <f t="shared" si="77"/>
        <v>43.844066666666663</v>
      </c>
      <c r="H564" s="70">
        <f t="shared" si="77"/>
        <v>43.40241666666666</v>
      </c>
      <c r="I564" s="66"/>
      <c r="J564" s="66"/>
      <c r="K564" s="67"/>
      <c r="L564" s="29"/>
      <c r="M564" s="70">
        <f>M313</f>
        <v>656.51599999999996</v>
      </c>
      <c r="N564" s="70">
        <f t="shared" si="78"/>
        <v>36.050516666666667</v>
      </c>
      <c r="O564" s="70">
        <f t="shared" si="78"/>
        <v>43.843150000000009</v>
      </c>
      <c r="P564" s="70">
        <f t="shared" si="78"/>
        <v>43.405516666666671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331.62720000000002</v>
      </c>
      <c r="F565" s="81">
        <f t="shared" si="77"/>
        <v>33.870066666666666</v>
      </c>
      <c r="G565" s="81">
        <f t="shared" si="77"/>
        <v>42.576966666666671</v>
      </c>
      <c r="H565" s="81">
        <f t="shared" si="77"/>
        <v>42.208816666666671</v>
      </c>
      <c r="I565" s="68"/>
      <c r="J565" s="68"/>
      <c r="K565" s="69"/>
      <c r="L565" s="29"/>
      <c r="M565" s="81">
        <f>M314</f>
        <v>331.49439999999998</v>
      </c>
      <c r="N565" s="81">
        <f t="shared" si="78"/>
        <v>33.869883333333341</v>
      </c>
      <c r="O565" s="81">
        <f t="shared" si="78"/>
        <v>42.579699999999995</v>
      </c>
      <c r="P565" s="81">
        <f t="shared" si="78"/>
        <v>42.212400000000002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8">
        <f t="shared" ref="E566:E573" si="79">E558</f>
        <v>3404.8296</v>
      </c>
      <c r="F566" s="78">
        <f t="shared" ref="F566:H569" si="80">AVERAGE(F263,F267,F287,F291,F295)</f>
        <v>40.033299999999997</v>
      </c>
      <c r="G566" s="78">
        <f t="shared" si="80"/>
        <v>46.988900000000001</v>
      </c>
      <c r="H566" s="78">
        <f t="shared" si="80"/>
        <v>46.160699999999999</v>
      </c>
      <c r="I566" s="79"/>
      <c r="J566" s="79"/>
      <c r="K566" s="80"/>
      <c r="L566" s="29"/>
      <c r="M566" s="78">
        <f t="shared" ref="M566:M573" si="81">M558</f>
        <v>3404.9303999999997</v>
      </c>
      <c r="N566" s="78">
        <f t="shared" ref="N566:P569" si="82">AVERAGE(N263,N267,N287,N291,N295)</f>
        <v>40.034179999999999</v>
      </c>
      <c r="O566" s="78">
        <f t="shared" si="82"/>
        <v>46.979579999999999</v>
      </c>
      <c r="P566" s="78">
        <f t="shared" si="82"/>
        <v>46.171199999999999</v>
      </c>
      <c r="Q566" s="79"/>
      <c r="R566" s="79"/>
      <c r="S566" s="80"/>
      <c r="U566" s="8">
        <f>bdrate($E566:$E569,F566:F569,$M566:$M569,N566:N569)</f>
        <v>-4.2667004161556221E-4</v>
      </c>
      <c r="V566" s="9">
        <f>bdrate($E566:$E569,G566:G569,$M566:$M569,O566:O569)</f>
        <v>1.2508854470296704E-3</v>
      </c>
      <c r="W566" s="10">
        <f>bdrate($E566:$E569,H566:H569,$M566:$M569,P566:P569)</f>
        <v>-3.173491326734057E-3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70">
        <f t="shared" si="79"/>
        <v>1225.7888</v>
      </c>
      <c r="F567" s="70">
        <f t="shared" si="80"/>
        <v>37.957219999999992</v>
      </c>
      <c r="G567" s="70">
        <f t="shared" si="80"/>
        <v>45.473419999999997</v>
      </c>
      <c r="H567" s="70">
        <f t="shared" si="80"/>
        <v>44.536099999999998</v>
      </c>
      <c r="I567" s="66"/>
      <c r="J567" s="66"/>
      <c r="K567" s="67"/>
      <c r="L567" s="29"/>
      <c r="M567" s="70">
        <f t="shared" si="81"/>
        <v>1226.0519999999999</v>
      </c>
      <c r="N567" s="70">
        <f t="shared" si="82"/>
        <v>37.957479999999997</v>
      </c>
      <c r="O567" s="70">
        <f t="shared" si="82"/>
        <v>45.474879999999999</v>
      </c>
      <c r="P567" s="70">
        <f t="shared" si="82"/>
        <v>44.543019999999999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70">
        <f t="shared" si="79"/>
        <v>567.95040000000006</v>
      </c>
      <c r="F568" s="70">
        <f t="shared" si="80"/>
        <v>35.899720000000002</v>
      </c>
      <c r="G568" s="70">
        <f t="shared" si="80"/>
        <v>43.825839999999999</v>
      </c>
      <c r="H568" s="70">
        <f t="shared" si="80"/>
        <v>42.982820000000004</v>
      </c>
      <c r="I568" s="66"/>
      <c r="J568" s="66"/>
      <c r="K568" s="67"/>
      <c r="L568" s="29"/>
      <c r="M568" s="70">
        <f t="shared" si="81"/>
        <v>567.53680000000008</v>
      </c>
      <c r="N568" s="70">
        <f t="shared" si="82"/>
        <v>35.900659999999995</v>
      </c>
      <c r="O568" s="70">
        <f t="shared" si="82"/>
        <v>43.820859999999996</v>
      </c>
      <c r="P568" s="70">
        <f t="shared" si="82"/>
        <v>42.984239999999993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79"/>
        <v>290.38080000000002</v>
      </c>
      <c r="F569" s="81">
        <f t="shared" si="80"/>
        <v>33.774159999999995</v>
      </c>
      <c r="G569" s="81">
        <f t="shared" si="80"/>
        <v>42.5807</v>
      </c>
      <c r="H569" s="81">
        <f t="shared" si="80"/>
        <v>41.891599999999997</v>
      </c>
      <c r="I569" s="68"/>
      <c r="J569" s="68"/>
      <c r="K569" s="69"/>
      <c r="L569" s="29"/>
      <c r="M569" s="81">
        <f t="shared" si="81"/>
        <v>290.33040000000005</v>
      </c>
      <c r="N569" s="81">
        <f t="shared" si="82"/>
        <v>33.773880000000005</v>
      </c>
      <c r="O569" s="81">
        <f t="shared" si="82"/>
        <v>42.581380000000003</v>
      </c>
      <c r="P569" s="81">
        <f t="shared" si="82"/>
        <v>41.892800000000001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>
      <c r="B570" s="29"/>
      <c r="C570" s="28" t="s">
        <v>41</v>
      </c>
      <c r="D570" s="31">
        <v>25</v>
      </c>
      <c r="E570" s="78">
        <f t="shared" si="79"/>
        <v>4218.1008000000002</v>
      </c>
      <c r="F570" s="78">
        <f t="shared" ref="F570:H573" si="83">AVERAGE(F263,F267,F271,F287,F291,F295,F299,F303,F307)</f>
        <v>40.017844444444449</v>
      </c>
      <c r="G570" s="78">
        <f t="shared" si="83"/>
        <v>46.899988888888892</v>
      </c>
      <c r="H570" s="78">
        <f t="shared" si="83"/>
        <v>46.35156666666667</v>
      </c>
      <c r="I570" s="79"/>
      <c r="J570" s="79"/>
      <c r="K570" s="80"/>
      <c r="L570" s="29"/>
      <c r="M570" s="78">
        <f t="shared" si="81"/>
        <v>4218.3576000000003</v>
      </c>
      <c r="N570" s="78">
        <f t="shared" ref="N570:P573" si="84">AVERAGE(N263,N267,N271,N287,N291,N295,N299,N303,N307)</f>
        <v>40.018499999999996</v>
      </c>
      <c r="O570" s="78">
        <f t="shared" si="84"/>
        <v>46.892022222222216</v>
      </c>
      <c r="P570" s="78">
        <f t="shared" si="84"/>
        <v>46.356833333333334</v>
      </c>
      <c r="Q570" s="79"/>
      <c r="R570" s="79"/>
      <c r="S570" s="80"/>
      <c r="U570" s="8">
        <f>bdrate($E570:$E573,F570:F573,$M570:$M573,N570:N573)</f>
        <v>-4.285635354869255E-4</v>
      </c>
      <c r="V570" s="9">
        <f>bdrate($E570:$E573,G570:G573,$M570:$M573,O570:O573)</f>
        <v>-5.7441495094101569E-4</v>
      </c>
      <c r="W570" s="10">
        <f>bdrate($E570:$E573,H570:H573,$M570:$M573,P570:P573)</f>
        <v>-2.3081016778997432E-3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70">
        <f t="shared" si="79"/>
        <v>1452.6487999999999</v>
      </c>
      <c r="F571" s="70">
        <f t="shared" si="83"/>
        <v>37.899055555555563</v>
      </c>
      <c r="G571" s="70">
        <f t="shared" si="83"/>
        <v>45.406533333333336</v>
      </c>
      <c r="H571" s="70">
        <f t="shared" si="83"/>
        <v>44.760466666666666</v>
      </c>
      <c r="I571" s="66"/>
      <c r="J571" s="66"/>
      <c r="K571" s="67"/>
      <c r="L571" s="29"/>
      <c r="M571" s="70">
        <f t="shared" si="81"/>
        <v>1452.2888</v>
      </c>
      <c r="N571" s="70">
        <f t="shared" si="84"/>
        <v>37.899255555555548</v>
      </c>
      <c r="O571" s="70">
        <f t="shared" si="84"/>
        <v>45.411366666666666</v>
      </c>
      <c r="P571" s="70">
        <f t="shared" si="84"/>
        <v>44.765522222222231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70">
        <f t="shared" si="79"/>
        <v>656.88720000000001</v>
      </c>
      <c r="F572" s="70">
        <f t="shared" si="83"/>
        <v>35.821333333333342</v>
      </c>
      <c r="G572" s="70">
        <f t="shared" si="83"/>
        <v>43.75288888888889</v>
      </c>
      <c r="H572" s="70">
        <f t="shared" si="83"/>
        <v>43.132066666666667</v>
      </c>
      <c r="I572" s="66"/>
      <c r="J572" s="66"/>
      <c r="K572" s="67"/>
      <c r="L572" s="29"/>
      <c r="M572" s="70">
        <f t="shared" si="81"/>
        <v>656.51599999999996</v>
      </c>
      <c r="N572" s="70">
        <f t="shared" si="84"/>
        <v>35.821477777777773</v>
      </c>
      <c r="O572" s="70">
        <f t="shared" si="84"/>
        <v>43.752000000000002</v>
      </c>
      <c r="P572" s="70">
        <f t="shared" si="84"/>
        <v>43.13272222222222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79"/>
        <v>331.62720000000002</v>
      </c>
      <c r="F573" s="81">
        <f t="shared" si="83"/>
        <v>33.687955555555554</v>
      </c>
      <c r="G573" s="81">
        <f t="shared" si="83"/>
        <v>42.509955555555564</v>
      </c>
      <c r="H573" s="81">
        <f t="shared" si="83"/>
        <v>41.963533333333338</v>
      </c>
      <c r="I573" s="68"/>
      <c r="J573" s="68"/>
      <c r="K573" s="69"/>
      <c r="L573" s="29"/>
      <c r="M573" s="81">
        <f t="shared" si="81"/>
        <v>331.49439999999998</v>
      </c>
      <c r="N573" s="81">
        <f t="shared" si="84"/>
        <v>33.6875</v>
      </c>
      <c r="O573" s="81">
        <f t="shared" si="84"/>
        <v>42.511711111111111</v>
      </c>
      <c r="P573" s="81">
        <f t="shared" si="84"/>
        <v>41.965511111111113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8">
        <f>E315+E319</f>
        <v>5539.3991999999998</v>
      </c>
      <c r="F574" s="78">
        <f t="shared" ref="F574:H577" si="85">AVERAGE(F315,F319)</f>
        <v>38.391399999999997</v>
      </c>
      <c r="G574" s="78">
        <f t="shared" si="85"/>
        <v>46.610700000000001</v>
      </c>
      <c r="H574" s="78">
        <f t="shared" si="85"/>
        <v>45.965299999999999</v>
      </c>
      <c r="I574" s="79"/>
      <c r="J574" s="79"/>
      <c r="K574" s="80"/>
      <c r="L574" s="29"/>
      <c r="M574" s="82">
        <f>M315+M319</f>
        <v>5538.56</v>
      </c>
      <c r="N574" s="78">
        <f t="shared" ref="N574:P577" si="86">AVERAGE(N315,N319)</f>
        <v>38.391149999999996</v>
      </c>
      <c r="O574" s="78">
        <f t="shared" si="86"/>
        <v>46.610550000000003</v>
      </c>
      <c r="P574" s="78">
        <f t="shared" si="86"/>
        <v>45.964149999999997</v>
      </c>
      <c r="Q574" s="79"/>
      <c r="R574" s="79"/>
      <c r="S574" s="80"/>
      <c r="U574" s="8">
        <f>bdrate($E574:$E577,F574:F577,$M574:$M577,N574:N577)</f>
        <v>-9.4488422090810431E-5</v>
      </c>
      <c r="V574" s="9">
        <f>bdrate($E574:$E577,G574:G577,$M574:$M577,O574:O577)</f>
        <v>-3.0293675428605393E-4</v>
      </c>
      <c r="W574" s="10">
        <f>bdrate($E574:$E577,H574:H577,$M574:$M577,P574:P577)</f>
        <v>8.1769841839962609E-4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70">
        <f>E316+E320</f>
        <v>2327.2392</v>
      </c>
      <c r="F575" s="70">
        <f t="shared" si="85"/>
        <v>35.631749999999997</v>
      </c>
      <c r="G575" s="70">
        <f t="shared" si="85"/>
        <v>45.138199999999998</v>
      </c>
      <c r="H575" s="70">
        <f t="shared" si="85"/>
        <v>44.581199999999995</v>
      </c>
      <c r="I575" s="66"/>
      <c r="J575" s="66"/>
      <c r="K575" s="67"/>
      <c r="L575" s="29"/>
      <c r="M575" s="83">
        <f>M316+M320</f>
        <v>2327.2375999999999</v>
      </c>
      <c r="N575" s="70">
        <f t="shared" si="86"/>
        <v>35.63185</v>
      </c>
      <c r="O575" s="70">
        <f t="shared" si="86"/>
        <v>45.138100000000001</v>
      </c>
      <c r="P575" s="70">
        <f t="shared" si="86"/>
        <v>44.579949999999997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70">
        <f>E317+E321</f>
        <v>1053.6176</v>
      </c>
      <c r="F576" s="70">
        <f t="shared" si="85"/>
        <v>33.165300000000002</v>
      </c>
      <c r="G576" s="70">
        <f t="shared" si="85"/>
        <v>43.815600000000003</v>
      </c>
      <c r="H576" s="70">
        <f t="shared" si="85"/>
        <v>43.374099999999999</v>
      </c>
      <c r="I576" s="66"/>
      <c r="J576" s="66"/>
      <c r="K576" s="67"/>
      <c r="L576" s="29"/>
      <c r="M576" s="83">
        <f>M317+M321</f>
        <v>1053.4567999999999</v>
      </c>
      <c r="N576" s="70">
        <f t="shared" si="86"/>
        <v>33.165300000000002</v>
      </c>
      <c r="O576" s="70">
        <f t="shared" si="86"/>
        <v>43.816099999999999</v>
      </c>
      <c r="P576" s="70">
        <f t="shared" si="86"/>
        <v>43.37415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488.31119999999999</v>
      </c>
      <c r="F577" s="81">
        <f t="shared" si="85"/>
        <v>30.9072</v>
      </c>
      <c r="G577" s="81">
        <f t="shared" si="85"/>
        <v>43.018100000000004</v>
      </c>
      <c r="H577" s="81">
        <f t="shared" si="85"/>
        <v>42.627650000000003</v>
      </c>
      <c r="I577" s="68"/>
      <c r="J577" s="68"/>
      <c r="K577" s="69"/>
      <c r="L577" s="29"/>
      <c r="M577" s="84">
        <f>M318+M322</f>
        <v>488.21199999999999</v>
      </c>
      <c r="N577" s="81">
        <f t="shared" si="86"/>
        <v>30.9071</v>
      </c>
      <c r="O577" s="81">
        <f t="shared" si="86"/>
        <v>43.019800000000004</v>
      </c>
      <c r="P577" s="81">
        <f t="shared" si="86"/>
        <v>42.622900000000001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8">
        <f>E315+E319+E323</f>
        <v>6406.4528</v>
      </c>
      <c r="F578" s="78">
        <f t="shared" ref="F578:H581" si="87">AVERAGE(F315,F319,F323)</f>
        <v>38.309133333333328</v>
      </c>
      <c r="G578" s="78">
        <f t="shared" si="87"/>
        <v>46.578666666666663</v>
      </c>
      <c r="H578" s="78">
        <f t="shared" si="87"/>
        <v>45.902866666666661</v>
      </c>
      <c r="I578" s="79"/>
      <c r="J578" s="79"/>
      <c r="K578" s="80"/>
      <c r="L578" s="29"/>
      <c r="M578" s="78">
        <f>M315+M319+M323</f>
        <v>6405.1384000000007</v>
      </c>
      <c r="N578" s="78">
        <f t="shared" ref="N578:P581" si="88">AVERAGE(N315,N319,N323)</f>
        <v>38.309100000000001</v>
      </c>
      <c r="O578" s="78">
        <f t="shared" si="88"/>
        <v>46.578433333333329</v>
      </c>
      <c r="P578" s="78">
        <f t="shared" si="88"/>
        <v>45.901566666666668</v>
      </c>
      <c r="Q578" s="79"/>
      <c r="R578" s="79"/>
      <c r="S578" s="80"/>
      <c r="U578" s="8">
        <f>bdrate($E578:$E581,F578:F581,$M578:$M581,N578:N581)</f>
        <v>-8.7632120261194046E-5</v>
      </c>
      <c r="V578" s="9">
        <f>bdrate($E578:$E581,G578:G581,$M578:$M581,O578:O581)</f>
        <v>-1.9468239916631269E-4</v>
      </c>
      <c r="W578" s="10">
        <f>bdrate($E578:$E581,H578:H581,$M578:$M581,P578:P581)</f>
        <v>3.3919396869119822E-4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70">
        <f>E316+E320+E324</f>
        <v>2632.2736</v>
      </c>
      <c r="F579" s="70">
        <f t="shared" si="87"/>
        <v>35.599333333333334</v>
      </c>
      <c r="G579" s="70">
        <f t="shared" si="87"/>
        <v>45.107433333333326</v>
      </c>
      <c r="H579" s="70">
        <f t="shared" si="87"/>
        <v>44.529499999999992</v>
      </c>
      <c r="I579" s="66"/>
      <c r="J579" s="66"/>
      <c r="K579" s="67"/>
      <c r="L579" s="29"/>
      <c r="M579" s="70">
        <f>M316+M320+M324</f>
        <v>2632.2592</v>
      </c>
      <c r="N579" s="70">
        <f t="shared" si="88"/>
        <v>35.599333333333334</v>
      </c>
      <c r="O579" s="70">
        <f t="shared" si="88"/>
        <v>45.106699999999996</v>
      </c>
      <c r="P579" s="70">
        <f t="shared" si="88"/>
        <v>44.528866666666659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70">
        <f>E317+E321+E325</f>
        <v>1184.0216</v>
      </c>
      <c r="F580" s="70">
        <f t="shared" si="87"/>
        <v>33.157133333333334</v>
      </c>
      <c r="G580" s="70">
        <f t="shared" si="87"/>
        <v>43.795099999999998</v>
      </c>
      <c r="H580" s="70">
        <f t="shared" si="87"/>
        <v>43.335699999999996</v>
      </c>
      <c r="I580" s="66"/>
      <c r="J580" s="66"/>
      <c r="K580" s="67"/>
      <c r="L580" s="29"/>
      <c r="M580" s="70">
        <f>M317+M321+M325</f>
        <v>1184.1648</v>
      </c>
      <c r="N580" s="70">
        <f t="shared" si="88"/>
        <v>33.157633333333337</v>
      </c>
      <c r="O580" s="70">
        <f t="shared" si="88"/>
        <v>43.795733333333338</v>
      </c>
      <c r="P580" s="70">
        <f t="shared" si="88"/>
        <v>43.336533333333335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548.89760000000001</v>
      </c>
      <c r="F581" s="81">
        <f t="shared" si="87"/>
        <v>30.906866666666662</v>
      </c>
      <c r="G581" s="81">
        <f t="shared" si="87"/>
        <v>42.997300000000003</v>
      </c>
      <c r="H581" s="81">
        <f t="shared" si="87"/>
        <v>42.588900000000002</v>
      </c>
      <c r="I581" s="68"/>
      <c r="J581" s="68"/>
      <c r="K581" s="69"/>
      <c r="L581" s="29"/>
      <c r="M581" s="81">
        <f>M318+M322+M326</f>
        <v>548.74720000000002</v>
      </c>
      <c r="N581" s="81">
        <f t="shared" si="88"/>
        <v>30.907166666666665</v>
      </c>
      <c r="O581" s="81">
        <f t="shared" si="88"/>
        <v>43.000300000000003</v>
      </c>
      <c r="P581" s="81">
        <f t="shared" si="88"/>
        <v>42.586266666666667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8">
        <f>E315+E319+E327+E331</f>
        <v>5840.6935999999996</v>
      </c>
      <c r="F582" s="78">
        <f t="shared" ref="F582:H585" si="89">AVERAGE(F339,F343,F347)</f>
        <v>38.822233333333337</v>
      </c>
      <c r="G582" s="78">
        <f t="shared" si="89"/>
        <v>46.967733333333335</v>
      </c>
      <c r="H582" s="78">
        <f t="shared" si="89"/>
        <v>46.2014</v>
      </c>
      <c r="I582" s="79"/>
      <c r="J582" s="79"/>
      <c r="K582" s="80"/>
      <c r="L582" s="29"/>
      <c r="M582" s="78">
        <f>M315+M319+M327+M331</f>
        <v>5839.5080000000007</v>
      </c>
      <c r="N582" s="78">
        <f t="shared" ref="N582:P585" si="90">AVERAGE(N339,N343,N347)</f>
        <v>38.815333333333335</v>
      </c>
      <c r="O582" s="78">
        <f t="shared" si="90"/>
        <v>46.980466666666665</v>
      </c>
      <c r="P582" s="78">
        <f t="shared" si="90"/>
        <v>46.185400000000008</v>
      </c>
      <c r="Q582" s="79"/>
      <c r="R582" s="79"/>
      <c r="S582" s="80"/>
      <c r="U582" s="8">
        <f>bdrate($E582:$E585,F582:F585,$M582:$M585,N582:N585)</f>
        <v>3.8789592783694538E-4</v>
      </c>
      <c r="V582" s="9">
        <f>bdrate($E582:$E585,G582:G585,$M582:$M585,O582:O585)</f>
        <v>1.4001713742184396E-3</v>
      </c>
      <c r="W582" s="10">
        <f>bdrate($E582:$E585,H582:H585,$M582:$M585,P582:P585)</f>
        <v>1.9062926741142405E-4</v>
      </c>
      <c r="Y582" s="61"/>
      <c r="Z582" s="61"/>
      <c r="AA582" s="61"/>
      <c r="AB582" s="24"/>
      <c r="AC582" s="24"/>
    </row>
    <row r="583" spans="2:29">
      <c r="B583" s="29"/>
      <c r="C583" s="29"/>
      <c r="D583" s="32">
        <v>30</v>
      </c>
      <c r="E583" s="70">
        <f>E316+E320+E328+E332</f>
        <v>2457.9728</v>
      </c>
      <c r="F583" s="70">
        <f t="shared" si="89"/>
        <v>35.905899999999995</v>
      </c>
      <c r="G583" s="70">
        <f t="shared" si="89"/>
        <v>45.541333333333334</v>
      </c>
      <c r="H583" s="70">
        <f t="shared" si="89"/>
        <v>44.851633333333332</v>
      </c>
      <c r="I583" s="66"/>
      <c r="J583" s="66"/>
      <c r="K583" s="67"/>
      <c r="L583" s="29"/>
      <c r="M583" s="70">
        <f>M316+M320+M328+M332</f>
        <v>2457.7079999999996</v>
      </c>
      <c r="N583" s="70">
        <f t="shared" si="90"/>
        <v>35.904566666666661</v>
      </c>
      <c r="O583" s="70">
        <f t="shared" si="90"/>
        <v>45.53723333333334</v>
      </c>
      <c r="P583" s="70">
        <f t="shared" si="90"/>
        <v>44.857633333333332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70">
        <f>E317+E321+E329+E333</f>
        <v>1118.1615999999999</v>
      </c>
      <c r="F584" s="70">
        <f t="shared" si="89"/>
        <v>33.324933333333334</v>
      </c>
      <c r="G584" s="70">
        <f t="shared" si="89"/>
        <v>44.181600000000003</v>
      </c>
      <c r="H584" s="70">
        <f t="shared" si="89"/>
        <v>43.721566666666668</v>
      </c>
      <c r="I584" s="66"/>
      <c r="J584" s="66"/>
      <c r="K584" s="67"/>
      <c r="L584" s="29"/>
      <c r="M584" s="70">
        <f>M317+M321+M329+M333</f>
        <v>1118.0144</v>
      </c>
      <c r="N584" s="70">
        <f t="shared" si="90"/>
        <v>33.324266666666666</v>
      </c>
      <c r="O584" s="70">
        <f t="shared" si="90"/>
        <v>44.172233333333338</v>
      </c>
      <c r="P584" s="70">
        <f t="shared" si="90"/>
        <v>43.721166666666669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519.49919999999997</v>
      </c>
      <c r="F585" s="81">
        <f t="shared" si="89"/>
        <v>30.974466666666661</v>
      </c>
      <c r="G585" s="81">
        <f t="shared" si="89"/>
        <v>43.398299999999999</v>
      </c>
      <c r="H585" s="81">
        <f t="shared" si="89"/>
        <v>42.967999999999996</v>
      </c>
      <c r="I585" s="68"/>
      <c r="J585" s="68"/>
      <c r="K585" s="69"/>
      <c r="L585" s="29"/>
      <c r="M585" s="81">
        <f>M318+M322+M330+M334</f>
        <v>519.46159999999998</v>
      </c>
      <c r="N585" s="81">
        <f t="shared" si="90"/>
        <v>30.974666666666664</v>
      </c>
      <c r="O585" s="81">
        <f t="shared" si="90"/>
        <v>43.404833333333329</v>
      </c>
      <c r="P585" s="81">
        <f t="shared" si="90"/>
        <v>42.962766666666674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8">
        <f>E363</f>
        <v>6806.4863999999998</v>
      </c>
      <c r="F586" s="78">
        <f t="shared" ref="F586:H589" si="91">AVERAGE(F339,F343,F347,F351,F355,F359)</f>
        <v>38.839616666666664</v>
      </c>
      <c r="G586" s="78">
        <f t="shared" si="91"/>
        <v>46.775299999999994</v>
      </c>
      <c r="H586" s="78">
        <f t="shared" si="91"/>
        <v>46.366116666666663</v>
      </c>
      <c r="I586" s="79"/>
      <c r="J586" s="79"/>
      <c r="K586" s="80"/>
      <c r="L586" s="29"/>
      <c r="M586" s="78">
        <f>M363</f>
        <v>6804.7879999999996</v>
      </c>
      <c r="N586" s="78">
        <f t="shared" ref="N586:P589" si="92">AVERAGE(N339,N343,N347,N351,N355,N359)</f>
        <v>38.834466666666671</v>
      </c>
      <c r="O586" s="78">
        <f t="shared" si="92"/>
        <v>46.784033333333333</v>
      </c>
      <c r="P586" s="78">
        <f t="shared" si="92"/>
        <v>46.356716666666671</v>
      </c>
      <c r="Q586" s="79"/>
      <c r="R586" s="79"/>
      <c r="S586" s="80"/>
      <c r="U586" s="8">
        <f>bdrate($E586:$E589,F586:F589,$M586:$M589,N586:N589)</f>
        <v>3.0581144385521952E-4</v>
      </c>
      <c r="V586" s="9">
        <f>bdrate($E586:$E589,G586:G589,$M586:$M589,O586:O589)</f>
        <v>1.1446770830203512E-3</v>
      </c>
      <c r="W586" s="10">
        <f>bdrate($E586:$E589,H586:H589,$M586:$M589,P586:P589)</f>
        <v>2.9359626184188858E-3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70">
        <f>E364</f>
        <v>2806.5655999999999</v>
      </c>
      <c r="F587" s="70">
        <f t="shared" si="91"/>
        <v>35.932383333333327</v>
      </c>
      <c r="G587" s="70">
        <f t="shared" si="91"/>
        <v>45.352333333333341</v>
      </c>
      <c r="H587" s="70">
        <f t="shared" si="91"/>
        <v>44.947433333333329</v>
      </c>
      <c r="I587" s="66"/>
      <c r="J587" s="66"/>
      <c r="K587" s="67"/>
      <c r="L587" s="29"/>
      <c r="M587" s="70">
        <f>M364</f>
        <v>2806.232</v>
      </c>
      <c r="N587" s="70">
        <f t="shared" si="92"/>
        <v>35.930349999999997</v>
      </c>
      <c r="O587" s="70">
        <f t="shared" si="92"/>
        <v>45.347733333333338</v>
      </c>
      <c r="P587" s="70">
        <f t="shared" si="92"/>
        <v>44.943566666666669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70">
        <f>E365</f>
        <v>1272.9944</v>
      </c>
      <c r="F588" s="70">
        <f t="shared" si="91"/>
        <v>33.353349999999999</v>
      </c>
      <c r="G588" s="70">
        <f t="shared" si="91"/>
        <v>44.031399999999998</v>
      </c>
      <c r="H588" s="70">
        <f t="shared" si="91"/>
        <v>43.654733333333333</v>
      </c>
      <c r="I588" s="66"/>
      <c r="J588" s="66"/>
      <c r="K588" s="67"/>
      <c r="L588" s="29"/>
      <c r="M588" s="70">
        <f>M365</f>
        <v>1273.0416</v>
      </c>
      <c r="N588" s="70">
        <f t="shared" si="92"/>
        <v>33.353883333333336</v>
      </c>
      <c r="O588" s="70">
        <f t="shared" si="92"/>
        <v>44.025766666666669</v>
      </c>
      <c r="P588" s="70">
        <f t="shared" si="92"/>
        <v>43.655399999999993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595.08640000000003</v>
      </c>
      <c r="F589" s="81">
        <f t="shared" si="91"/>
        <v>30.998466666666662</v>
      </c>
      <c r="G589" s="81">
        <f t="shared" si="91"/>
        <v>43.239233333333324</v>
      </c>
      <c r="H589" s="81">
        <f t="shared" si="91"/>
        <v>42.816816666666661</v>
      </c>
      <c r="I589" s="68"/>
      <c r="J589" s="68"/>
      <c r="K589" s="69"/>
      <c r="L589" s="29"/>
      <c r="M589" s="81">
        <f>M366</f>
        <v>595.024</v>
      </c>
      <c r="N589" s="81">
        <f t="shared" si="92"/>
        <v>30.999233333333333</v>
      </c>
      <c r="O589" s="81">
        <f t="shared" si="92"/>
        <v>43.245116666666661</v>
      </c>
      <c r="P589" s="81">
        <f t="shared" si="92"/>
        <v>42.802333333333337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8">
        <f t="shared" ref="E590:E597" si="93">E582</f>
        <v>5840.6935999999996</v>
      </c>
      <c r="F590" s="78">
        <f t="shared" ref="F590:H593" si="94">AVERAGE(F315,F319,F339,F343,F347)</f>
        <v>38.649900000000002</v>
      </c>
      <c r="G590" s="78">
        <f t="shared" si="94"/>
        <v>46.824920000000006</v>
      </c>
      <c r="H590" s="78">
        <f t="shared" si="94"/>
        <v>46.106960000000001</v>
      </c>
      <c r="I590" s="79"/>
      <c r="J590" s="79"/>
      <c r="K590" s="80"/>
      <c r="L590" s="29"/>
      <c r="M590" s="78">
        <f t="shared" ref="M590:M597" si="95">M582</f>
        <v>5839.5080000000007</v>
      </c>
      <c r="N590" s="78">
        <f t="shared" ref="N590:P593" si="96">AVERAGE(N315,N319,N339,N343,N347)</f>
        <v>38.645659999999999</v>
      </c>
      <c r="O590" s="78">
        <f t="shared" si="96"/>
        <v>46.832500000000003</v>
      </c>
      <c r="P590" s="78">
        <f t="shared" si="96"/>
        <v>46.096899999999998</v>
      </c>
      <c r="Q590" s="79"/>
      <c r="R590" s="79"/>
      <c r="S590" s="80"/>
      <c r="U590" s="8">
        <f>bdrate($E590:$E593,F590:F593,$M590:$M593,N590:N593)</f>
        <v>1.8938990207595374E-4</v>
      </c>
      <c r="V590" s="9">
        <f>bdrate($E590:$E593,G590:G593,$M590:$M593,O590:O593)</f>
        <v>6.980748631499889E-4</v>
      </c>
      <c r="W590" s="10">
        <f>bdrate($E590:$E593,H590:H593,$M590:$M593,P590:P593)</f>
        <v>4.4267034546696671E-4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70">
        <f t="shared" si="93"/>
        <v>2457.9728</v>
      </c>
      <c r="F591" s="70">
        <f t="shared" si="94"/>
        <v>35.796239999999997</v>
      </c>
      <c r="G591" s="70">
        <f t="shared" si="94"/>
        <v>45.380079999999992</v>
      </c>
      <c r="H591" s="70">
        <f t="shared" si="94"/>
        <v>44.743460000000006</v>
      </c>
      <c r="I591" s="66"/>
      <c r="J591" s="66"/>
      <c r="K591" s="67"/>
      <c r="L591" s="29"/>
      <c r="M591" s="70">
        <f t="shared" si="95"/>
        <v>2457.7079999999996</v>
      </c>
      <c r="N591" s="70">
        <f t="shared" si="96"/>
        <v>35.795479999999998</v>
      </c>
      <c r="O591" s="70">
        <f t="shared" si="96"/>
        <v>45.377580000000002</v>
      </c>
      <c r="P591" s="70">
        <f t="shared" si="96"/>
        <v>44.746560000000002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70">
        <f t="shared" si="93"/>
        <v>1118.1615999999999</v>
      </c>
      <c r="F592" s="70">
        <f t="shared" si="94"/>
        <v>33.261080000000007</v>
      </c>
      <c r="G592" s="70">
        <f t="shared" si="94"/>
        <v>44.035200000000003</v>
      </c>
      <c r="H592" s="70">
        <f t="shared" si="94"/>
        <v>43.58258</v>
      </c>
      <c r="I592" s="66"/>
      <c r="J592" s="66"/>
      <c r="K592" s="67"/>
      <c r="L592" s="29"/>
      <c r="M592" s="70">
        <f t="shared" si="95"/>
        <v>1118.0144</v>
      </c>
      <c r="N592" s="70">
        <f t="shared" si="96"/>
        <v>33.260680000000001</v>
      </c>
      <c r="O592" s="70">
        <f t="shared" si="96"/>
        <v>44.029780000000002</v>
      </c>
      <c r="P592" s="70">
        <f t="shared" si="96"/>
        <v>43.582360000000001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93"/>
        <v>519.49919999999997</v>
      </c>
      <c r="F593" s="81">
        <f t="shared" si="94"/>
        <v>30.947559999999999</v>
      </c>
      <c r="G593" s="81">
        <f t="shared" si="94"/>
        <v>43.246220000000001</v>
      </c>
      <c r="H593" s="81">
        <f t="shared" si="94"/>
        <v>42.831859999999992</v>
      </c>
      <c r="I593" s="68"/>
      <c r="J593" s="68"/>
      <c r="K593" s="69"/>
      <c r="L593" s="29"/>
      <c r="M593" s="81">
        <f t="shared" si="95"/>
        <v>519.46159999999998</v>
      </c>
      <c r="N593" s="81">
        <f t="shared" si="96"/>
        <v>30.94764</v>
      </c>
      <c r="O593" s="81">
        <f t="shared" si="96"/>
        <v>43.250819999999997</v>
      </c>
      <c r="P593" s="81">
        <f t="shared" si="96"/>
        <v>42.826820000000005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8">
        <f t="shared" si="93"/>
        <v>6806.4863999999998</v>
      </c>
      <c r="F594" s="78">
        <f t="shared" ref="F594:H597" si="97">AVERAGE(F315,F319,F323,F339,F343,F347,F351,F355,F359)</f>
        <v>38.66278888888889</v>
      </c>
      <c r="G594" s="78">
        <f t="shared" si="97"/>
        <v>46.709755555555546</v>
      </c>
      <c r="H594" s="78">
        <f t="shared" si="97"/>
        <v>46.211699999999993</v>
      </c>
      <c r="I594" s="79"/>
      <c r="J594" s="79"/>
      <c r="K594" s="80"/>
      <c r="L594" s="29"/>
      <c r="M594" s="78">
        <f t="shared" si="95"/>
        <v>6804.7879999999996</v>
      </c>
      <c r="N594" s="78">
        <f t="shared" ref="N594:P597" si="98">AVERAGE(N315,N319,N323,N339,N343,N347,N351,N355,N359)</f>
        <v>38.659344444444436</v>
      </c>
      <c r="O594" s="78">
        <f t="shared" si="98"/>
        <v>46.715499999999992</v>
      </c>
      <c r="P594" s="78">
        <f t="shared" si="98"/>
        <v>46.204999999999998</v>
      </c>
      <c r="Q594" s="79"/>
      <c r="R594" s="79"/>
      <c r="S594" s="80"/>
      <c r="U594" s="8">
        <f>bdrate($E594:$E597,F594:F597,$M594:$M597,N594:N597)</f>
        <v>1.6009372776193409E-4</v>
      </c>
      <c r="V594" s="9">
        <f>bdrate($E594:$E597,G594:G597,$M594:$M597,O594:O597)</f>
        <v>6.7135468356838146E-4</v>
      </c>
      <c r="W594" s="10">
        <f>bdrate($E594:$E597,H594:H597,$M594:$M597,P594:P597)</f>
        <v>2.0888839746175947E-3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70">
        <f t="shared" si="93"/>
        <v>2806.5655999999999</v>
      </c>
      <c r="F595" s="70">
        <f t="shared" si="97"/>
        <v>35.821366666666663</v>
      </c>
      <c r="G595" s="70">
        <f t="shared" si="97"/>
        <v>45.270699999999998</v>
      </c>
      <c r="H595" s="70">
        <f t="shared" si="97"/>
        <v>44.808122222222224</v>
      </c>
      <c r="I595" s="66"/>
      <c r="J595" s="66"/>
      <c r="K595" s="67"/>
      <c r="L595" s="29"/>
      <c r="M595" s="70">
        <f t="shared" si="95"/>
        <v>2806.232</v>
      </c>
      <c r="N595" s="70">
        <f t="shared" si="98"/>
        <v>35.820011111111107</v>
      </c>
      <c r="O595" s="70">
        <f t="shared" si="98"/>
        <v>45.267388888888888</v>
      </c>
      <c r="P595" s="70">
        <f t="shared" si="98"/>
        <v>44.80533333333333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70">
        <f t="shared" si="93"/>
        <v>1272.9944</v>
      </c>
      <c r="F596" s="70">
        <f t="shared" si="97"/>
        <v>33.287944444444442</v>
      </c>
      <c r="G596" s="70">
        <f t="shared" si="97"/>
        <v>43.952633333333338</v>
      </c>
      <c r="H596" s="70">
        <f t="shared" si="97"/>
        <v>43.548388888888894</v>
      </c>
      <c r="I596" s="66"/>
      <c r="J596" s="66"/>
      <c r="K596" s="67"/>
      <c r="L596" s="29"/>
      <c r="M596" s="70">
        <f t="shared" si="95"/>
        <v>1273.0416</v>
      </c>
      <c r="N596" s="70">
        <f t="shared" si="98"/>
        <v>33.288466666666665</v>
      </c>
      <c r="O596" s="70">
        <f t="shared" si="98"/>
        <v>43.949088888888895</v>
      </c>
      <c r="P596" s="70">
        <f t="shared" si="98"/>
        <v>43.549111111111102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93"/>
        <v>595.08640000000003</v>
      </c>
      <c r="F597" s="81">
        <f t="shared" si="97"/>
        <v>30.967933333333331</v>
      </c>
      <c r="G597" s="81">
        <f t="shared" si="97"/>
        <v>43.158588888888886</v>
      </c>
      <c r="H597" s="81">
        <f t="shared" si="97"/>
        <v>42.740844444444441</v>
      </c>
      <c r="I597" s="68"/>
      <c r="J597" s="68"/>
      <c r="K597" s="69"/>
      <c r="L597" s="29"/>
      <c r="M597" s="81">
        <f t="shared" si="95"/>
        <v>595.024</v>
      </c>
      <c r="N597" s="81">
        <f t="shared" si="98"/>
        <v>30.968544444444447</v>
      </c>
      <c r="O597" s="81">
        <f t="shared" si="98"/>
        <v>43.163511111111113</v>
      </c>
      <c r="P597" s="81">
        <f t="shared" si="98"/>
        <v>42.730311111111114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8">
        <f>E367+E371</f>
        <v>4701.7152000000006</v>
      </c>
      <c r="F598" s="78">
        <f t="shared" ref="F598:H601" si="99">AVERAGE(F367,F371)</f>
        <v>41.200499999999998</v>
      </c>
      <c r="G598" s="78">
        <f t="shared" si="99"/>
        <v>46.556249999999999</v>
      </c>
      <c r="H598" s="78">
        <f t="shared" si="99"/>
        <v>45.922499999999999</v>
      </c>
      <c r="I598" s="79"/>
      <c r="J598" s="79"/>
      <c r="K598" s="80"/>
      <c r="L598" s="29"/>
      <c r="M598" s="78">
        <f>M367+M371</f>
        <v>4701.6704</v>
      </c>
      <c r="N598" s="78">
        <f t="shared" ref="N598:P601" si="100">AVERAGE(N367,N371)</f>
        <v>41.200299999999999</v>
      </c>
      <c r="O598" s="78">
        <f t="shared" si="100"/>
        <v>46.556150000000002</v>
      </c>
      <c r="P598" s="78">
        <f t="shared" si="100"/>
        <v>45.922049999999999</v>
      </c>
      <c r="Q598" s="79"/>
      <c r="R598" s="79"/>
      <c r="S598" s="80"/>
      <c r="U598" s="8">
        <f>bdrate($E598:$E601,F598:F601,$M598:$M601,N598:N601)</f>
        <v>-2.4314139760450715E-5</v>
      </c>
      <c r="V598" s="9">
        <f>bdrate($E598:$E601,G598:G601,$M598:$M601,O598:O601)</f>
        <v>-5.5242140965194864E-5</v>
      </c>
      <c r="W598" s="10">
        <f>bdrate($E598:$E601,H598:H601,$M598:$M601,P598:P601)</f>
        <v>-4.7262420916627246E-4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70">
        <f>E368+E372</f>
        <v>2321.5823999999998</v>
      </c>
      <c r="F599" s="70">
        <f t="shared" si="99"/>
        <v>38.282449999999997</v>
      </c>
      <c r="G599" s="70">
        <f t="shared" si="99"/>
        <v>44.872900000000001</v>
      </c>
      <c r="H599" s="70">
        <f t="shared" si="99"/>
        <v>44.017750000000007</v>
      </c>
      <c r="I599" s="66"/>
      <c r="J599" s="66"/>
      <c r="K599" s="67"/>
      <c r="L599" s="29"/>
      <c r="M599" s="70">
        <f>M368+M372</f>
        <v>2321.3199999999997</v>
      </c>
      <c r="N599" s="70">
        <f t="shared" si="100"/>
        <v>38.2821</v>
      </c>
      <c r="O599" s="70">
        <f t="shared" si="100"/>
        <v>44.872900000000001</v>
      </c>
      <c r="P599" s="70">
        <f t="shared" si="100"/>
        <v>44.018799999999999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70">
        <f>E369+E373</f>
        <v>1137.7855999999999</v>
      </c>
      <c r="F600" s="70">
        <f t="shared" si="99"/>
        <v>35.527550000000005</v>
      </c>
      <c r="G600" s="70">
        <f t="shared" si="99"/>
        <v>43.254400000000004</v>
      </c>
      <c r="H600" s="70">
        <f t="shared" si="99"/>
        <v>42.198450000000001</v>
      </c>
      <c r="I600" s="66"/>
      <c r="J600" s="66"/>
      <c r="K600" s="67"/>
      <c r="L600" s="29"/>
      <c r="M600" s="70">
        <f>M369+M373</f>
        <v>1137.7135999999998</v>
      </c>
      <c r="N600" s="70">
        <f t="shared" si="100"/>
        <v>35.527250000000002</v>
      </c>
      <c r="O600" s="70">
        <f t="shared" si="100"/>
        <v>43.254300000000001</v>
      </c>
      <c r="P600" s="70">
        <f t="shared" si="100"/>
        <v>42.200249999999997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546.47440000000006</v>
      </c>
      <c r="F601" s="81">
        <f t="shared" si="99"/>
        <v>33.087350000000001</v>
      </c>
      <c r="G601" s="81">
        <f t="shared" si="99"/>
        <v>42.263449999999999</v>
      </c>
      <c r="H601" s="81">
        <f t="shared" si="99"/>
        <v>40.921750000000003</v>
      </c>
      <c r="I601" s="68"/>
      <c r="J601" s="68"/>
      <c r="K601" s="69"/>
      <c r="L601" s="29"/>
      <c r="M601" s="81">
        <f>M370+M374</f>
        <v>546.43359999999996</v>
      </c>
      <c r="N601" s="81">
        <f t="shared" si="100"/>
        <v>33.087850000000003</v>
      </c>
      <c r="O601" s="81">
        <f t="shared" si="100"/>
        <v>42.263449999999999</v>
      </c>
      <c r="P601" s="81">
        <f t="shared" si="100"/>
        <v>40.921199999999999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8">
        <f>E367+E371+E375</f>
        <v>5228.3224000000009</v>
      </c>
      <c r="F602" s="78">
        <f t="shared" ref="F602:H605" si="101">AVERAGE(F367,F371,F375)</f>
        <v>41.107766666666663</v>
      </c>
      <c r="G602" s="78">
        <f t="shared" si="101"/>
        <v>46.538066666666658</v>
      </c>
      <c r="H602" s="78">
        <f t="shared" si="101"/>
        <v>45.882133333333336</v>
      </c>
      <c r="I602" s="79"/>
      <c r="J602" s="79"/>
      <c r="K602" s="80"/>
      <c r="L602" s="29"/>
      <c r="M602" s="78">
        <f>M367+M371+M375</f>
        <v>5228.1400000000003</v>
      </c>
      <c r="N602" s="78">
        <f t="shared" ref="N602:P605" si="102">AVERAGE(N367,N371,N375)</f>
        <v>41.107533333333329</v>
      </c>
      <c r="O602" s="78">
        <f t="shared" si="102"/>
        <v>46.537533333333336</v>
      </c>
      <c r="P602" s="78">
        <f t="shared" si="102"/>
        <v>45.881666666666661</v>
      </c>
      <c r="Q602" s="79"/>
      <c r="R602" s="79"/>
      <c r="S602" s="80"/>
      <c r="U602" s="8">
        <f>bdrate($E602:$E605,F602:F605,$M602:$M605,N602:N605)</f>
        <v>-1.1515155451879977E-4</v>
      </c>
      <c r="V602" s="9">
        <f>bdrate($E602:$E605,G602:G605,$M602:$M605,O602:O605)</f>
        <v>-2.6100508535797928E-4</v>
      </c>
      <c r="W602" s="10">
        <f>bdrate($E602:$E605,H602:H605,$M602:$M605,P602:P605)</f>
        <v>-6.0229126062860683E-4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70">
        <f>E368+E372+E376</f>
        <v>2540.2855999999997</v>
      </c>
      <c r="F603" s="70">
        <f t="shared" si="101"/>
        <v>38.216000000000001</v>
      </c>
      <c r="G603" s="70">
        <f t="shared" si="101"/>
        <v>44.859299999999998</v>
      </c>
      <c r="H603" s="70">
        <f t="shared" si="101"/>
        <v>43.992600000000003</v>
      </c>
      <c r="I603" s="66"/>
      <c r="J603" s="66"/>
      <c r="K603" s="67"/>
      <c r="L603" s="29"/>
      <c r="M603" s="70">
        <f>M368+M372+M376</f>
        <v>2539.4815999999996</v>
      </c>
      <c r="N603" s="70">
        <f t="shared" si="102"/>
        <v>38.216000000000001</v>
      </c>
      <c r="O603" s="70">
        <f t="shared" si="102"/>
        <v>44.859500000000004</v>
      </c>
      <c r="P603" s="70">
        <f t="shared" si="102"/>
        <v>43.993233333333336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70">
        <f>E369+E373+E377</f>
        <v>1241.3919999999998</v>
      </c>
      <c r="F604" s="70">
        <f t="shared" si="101"/>
        <v>35.484100000000005</v>
      </c>
      <c r="G604" s="70">
        <f t="shared" si="101"/>
        <v>43.249500000000005</v>
      </c>
      <c r="H604" s="70">
        <f t="shared" si="101"/>
        <v>42.187900000000006</v>
      </c>
      <c r="I604" s="66"/>
      <c r="J604" s="66"/>
      <c r="K604" s="67"/>
      <c r="L604" s="29"/>
      <c r="M604" s="70">
        <f>M369+M373+M377</f>
        <v>1241.3703999999998</v>
      </c>
      <c r="N604" s="70">
        <f t="shared" si="102"/>
        <v>35.483800000000002</v>
      </c>
      <c r="O604" s="70">
        <f t="shared" si="102"/>
        <v>43.249900000000004</v>
      </c>
      <c r="P604" s="70">
        <f t="shared" si="102"/>
        <v>42.189766666666664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597.44080000000008</v>
      </c>
      <c r="F605" s="81">
        <f t="shared" si="101"/>
        <v>33.052999999999997</v>
      </c>
      <c r="G605" s="81">
        <f t="shared" si="101"/>
        <v>42.252333333333333</v>
      </c>
      <c r="H605" s="81">
        <f t="shared" si="101"/>
        <v>40.905233333333335</v>
      </c>
      <c r="I605" s="68"/>
      <c r="J605" s="68"/>
      <c r="K605" s="69"/>
      <c r="L605" s="29"/>
      <c r="M605" s="81">
        <f>M370+M374+M378</f>
        <v>597.5136</v>
      </c>
      <c r="N605" s="81">
        <f t="shared" si="102"/>
        <v>33.053766666666668</v>
      </c>
      <c r="O605" s="81">
        <f t="shared" si="102"/>
        <v>42.252866666666669</v>
      </c>
      <c r="P605" s="81">
        <f t="shared" si="102"/>
        <v>40.906799999999997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8">
        <f>E367+E371+E379+E383</f>
        <v>5342.0488000000005</v>
      </c>
      <c r="F606" s="78">
        <f t="shared" ref="F606:H609" si="103">AVERAGE(F391,F395,F399)</f>
        <v>40.855133333333328</v>
      </c>
      <c r="G606" s="78">
        <f t="shared" si="103"/>
        <v>47.136166666666668</v>
      </c>
      <c r="H606" s="78">
        <f t="shared" si="103"/>
        <v>46.705466666666666</v>
      </c>
      <c r="I606" s="79"/>
      <c r="J606" s="79"/>
      <c r="K606" s="80"/>
      <c r="L606" s="29"/>
      <c r="M606" s="78">
        <f>M367+M371+M379+M383</f>
        <v>5342.0047999999997</v>
      </c>
      <c r="N606" s="78">
        <f t="shared" ref="N606:P609" si="104">AVERAGE(N391,N395,N399)</f>
        <v>40.856966666666665</v>
      </c>
      <c r="O606" s="78">
        <f t="shared" si="104"/>
        <v>47.135133333333329</v>
      </c>
      <c r="P606" s="78">
        <f t="shared" si="104"/>
        <v>46.693466666666666</v>
      </c>
      <c r="Q606" s="79"/>
      <c r="R606" s="79"/>
      <c r="S606" s="80"/>
      <c r="U606" s="8">
        <f>bdrate($E606:$E609,F606:F609,$M606:$M609,N606:N609)</f>
        <v>1.8044315255005827E-4</v>
      </c>
      <c r="V606" s="9">
        <f>bdrate($E606:$E609,G606:G609,$M606:$M609,O606:O609)</f>
        <v>-4.1186510142299237E-4</v>
      </c>
      <c r="W606" s="10">
        <f>bdrate($E606:$E609,H606:H609,$M606:$M609,P606:P609)</f>
        <v>-1.0322599749224004E-4</v>
      </c>
      <c r="Y606" s="61"/>
      <c r="Z606" s="61"/>
      <c r="AA606" s="61"/>
      <c r="AB606" s="24"/>
      <c r="AC606" s="24"/>
    </row>
    <row r="607" spans="2:29">
      <c r="B607" s="29"/>
      <c r="C607" s="29"/>
      <c r="D607" s="32">
        <v>30</v>
      </c>
      <c r="E607" s="70">
        <f>E368+E372+E380+E384</f>
        <v>2524.5559999999996</v>
      </c>
      <c r="F607" s="70">
        <f t="shared" si="103"/>
        <v>38.029066666666665</v>
      </c>
      <c r="G607" s="70">
        <f t="shared" si="103"/>
        <v>45.432066666666664</v>
      </c>
      <c r="H607" s="70">
        <f t="shared" si="103"/>
        <v>44.74616666666666</v>
      </c>
      <c r="I607" s="66"/>
      <c r="J607" s="66"/>
      <c r="K607" s="67"/>
      <c r="L607" s="29"/>
      <c r="M607" s="70">
        <f>M368+M372+M380+M384</f>
        <v>2524.3735999999999</v>
      </c>
      <c r="N607" s="70">
        <f t="shared" si="104"/>
        <v>38.028133333333336</v>
      </c>
      <c r="O607" s="70">
        <f t="shared" si="104"/>
        <v>45.43366666666666</v>
      </c>
      <c r="P607" s="70">
        <f t="shared" si="104"/>
        <v>44.750200000000007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70">
        <f>E369+E373+E381+E385</f>
        <v>1215.5919999999999</v>
      </c>
      <c r="F608" s="70">
        <f t="shared" si="103"/>
        <v>35.333033333333333</v>
      </c>
      <c r="G608" s="70">
        <f t="shared" si="103"/>
        <v>43.668700000000001</v>
      </c>
      <c r="H608" s="70">
        <f t="shared" si="103"/>
        <v>42.765033333333328</v>
      </c>
      <c r="I608" s="66"/>
      <c r="J608" s="66"/>
      <c r="K608" s="67"/>
      <c r="L608" s="29"/>
      <c r="M608" s="70">
        <f>M369+M373+M381+M385</f>
        <v>1215.3311999999999</v>
      </c>
      <c r="N608" s="70">
        <f t="shared" si="104"/>
        <v>35.331299999999999</v>
      </c>
      <c r="O608" s="70">
        <f t="shared" si="104"/>
        <v>43.667666666666669</v>
      </c>
      <c r="P608" s="70">
        <f t="shared" si="104"/>
        <v>42.765133333333331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580.3456000000001</v>
      </c>
      <c r="F609" s="81">
        <f t="shared" si="103"/>
        <v>32.918133333333337</v>
      </c>
      <c r="G609" s="81">
        <f t="shared" si="103"/>
        <v>42.544233333333331</v>
      </c>
      <c r="H609" s="81">
        <f t="shared" si="103"/>
        <v>41.3797</v>
      </c>
      <c r="I609" s="68"/>
      <c r="J609" s="68"/>
      <c r="K609" s="69"/>
      <c r="L609" s="29"/>
      <c r="M609" s="81">
        <f>M370+M374+M382+M386</f>
        <v>580.16160000000002</v>
      </c>
      <c r="N609" s="81">
        <f t="shared" si="104"/>
        <v>32.915066666666668</v>
      </c>
      <c r="O609" s="81">
        <f t="shared" si="104"/>
        <v>42.547733333333333</v>
      </c>
      <c r="P609" s="81">
        <f t="shared" si="104"/>
        <v>41.37886666666666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8">
        <f>E415</f>
        <v>6064.0591999999997</v>
      </c>
      <c r="F610" s="78">
        <f t="shared" ref="F610:H613" si="105">AVERAGE(F391,F395,F399,F403,F407,F411)</f>
        <v>40.86098333333333</v>
      </c>
      <c r="G610" s="78">
        <f t="shared" si="105"/>
        <v>47.083533333333328</v>
      </c>
      <c r="H610" s="78">
        <f t="shared" si="105"/>
        <v>46.769449999999999</v>
      </c>
      <c r="I610" s="79"/>
      <c r="J610" s="79"/>
      <c r="K610" s="80"/>
      <c r="L610" s="29"/>
      <c r="M610" s="78">
        <f>M415</f>
        <v>6064.2344000000003</v>
      </c>
      <c r="N610" s="78">
        <f t="shared" ref="N610:P613" si="106">AVERAGE(N391,N395,N399,N403,N407,N411)</f>
        <v>40.862116666666658</v>
      </c>
      <c r="O610" s="78">
        <f t="shared" si="106"/>
        <v>47.080933333333327</v>
      </c>
      <c r="P610" s="78">
        <f t="shared" si="106"/>
        <v>46.764099999999992</v>
      </c>
      <c r="Q610" s="79"/>
      <c r="R610" s="79"/>
      <c r="S610" s="80"/>
      <c r="U610" s="8">
        <f>bdrate($E610:$E613,F610:F613,$M610:$M613,N610:N613)</f>
        <v>-6.5742480446551177E-5</v>
      </c>
      <c r="V610" s="9">
        <f>bdrate($E610:$E613,G610:G613,$M610:$M613,O610:O613)</f>
        <v>3.1393336260387983E-4</v>
      </c>
      <c r="W610" s="10">
        <f>bdrate($E610:$E613,H610:H613,$M610:$M613,P610:P613)</f>
        <v>-6.0330965093924327E-4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70">
        <f>E416</f>
        <v>2804.3391999999999</v>
      </c>
      <c r="F611" s="70">
        <f t="shared" si="105"/>
        <v>38.03328333333333</v>
      </c>
      <c r="G611" s="70">
        <f t="shared" si="105"/>
        <v>45.411399999999993</v>
      </c>
      <c r="H611" s="70">
        <f t="shared" si="105"/>
        <v>44.791566666666661</v>
      </c>
      <c r="I611" s="66"/>
      <c r="J611" s="66"/>
      <c r="K611" s="67"/>
      <c r="L611" s="29"/>
      <c r="M611" s="70">
        <f>M416</f>
        <v>2803.4567999999999</v>
      </c>
      <c r="N611" s="70">
        <f t="shared" si="106"/>
        <v>38.033099999999997</v>
      </c>
      <c r="O611" s="70">
        <f t="shared" si="106"/>
        <v>45.409816666666664</v>
      </c>
      <c r="P611" s="70">
        <f t="shared" si="106"/>
        <v>44.794366666666669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70">
        <f>E417</f>
        <v>1347.0152</v>
      </c>
      <c r="F612" s="70">
        <f t="shared" si="105"/>
        <v>35.336033333333333</v>
      </c>
      <c r="G612" s="70">
        <f t="shared" si="105"/>
        <v>43.689083333333336</v>
      </c>
      <c r="H612" s="70">
        <f t="shared" si="105"/>
        <v>42.803333333333335</v>
      </c>
      <c r="I612" s="66"/>
      <c r="J612" s="66"/>
      <c r="K612" s="67"/>
      <c r="L612" s="29"/>
      <c r="M612" s="70">
        <f>M417</f>
        <v>1346.9416000000001</v>
      </c>
      <c r="N612" s="70">
        <f t="shared" si="106"/>
        <v>35.335349999999998</v>
      </c>
      <c r="O612" s="70">
        <f t="shared" si="106"/>
        <v>43.688883333333337</v>
      </c>
      <c r="P612" s="70">
        <f t="shared" si="106"/>
        <v>42.804716666666671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647.49199999999996</v>
      </c>
      <c r="F613" s="81">
        <f t="shared" si="105"/>
        <v>32.914016666666662</v>
      </c>
      <c r="G613" s="81">
        <f t="shared" si="105"/>
        <v>42.566099999999999</v>
      </c>
      <c r="H613" s="81">
        <f t="shared" si="105"/>
        <v>41.385333333333335</v>
      </c>
      <c r="I613" s="68"/>
      <c r="J613" s="68"/>
      <c r="K613" s="69"/>
      <c r="L613" s="29"/>
      <c r="M613" s="81">
        <f>M418</f>
        <v>647.38319999999999</v>
      </c>
      <c r="N613" s="81">
        <f t="shared" si="106"/>
        <v>32.912683333333341</v>
      </c>
      <c r="O613" s="81">
        <f t="shared" si="106"/>
        <v>42.566483333333331</v>
      </c>
      <c r="P613" s="81">
        <f t="shared" si="106"/>
        <v>41.386833333333335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8">
        <f t="shared" ref="E614:E621" si="107">E606</f>
        <v>5342.0488000000005</v>
      </c>
      <c r="F614" s="78">
        <f t="shared" ref="F614:H617" si="108">AVERAGE(F367,F371,F391,F395,F399)</f>
        <v>40.993279999999999</v>
      </c>
      <c r="G614" s="78">
        <f t="shared" si="108"/>
        <v>46.904200000000003</v>
      </c>
      <c r="H614" s="78">
        <f t="shared" si="108"/>
        <v>46.39228</v>
      </c>
      <c r="I614" s="79"/>
      <c r="J614" s="79"/>
      <c r="K614" s="80"/>
      <c r="L614" s="29"/>
      <c r="M614" s="78">
        <f t="shared" ref="M614:M621" si="109">M606</f>
        <v>5342.0047999999997</v>
      </c>
      <c r="N614" s="78">
        <f t="shared" ref="N614:P617" si="110">AVERAGE(N367,N371,N391,N395,N399)</f>
        <v>40.994299999999996</v>
      </c>
      <c r="O614" s="78">
        <f t="shared" si="110"/>
        <v>46.90354</v>
      </c>
      <c r="P614" s="78">
        <f t="shared" si="110"/>
        <v>46.384899999999995</v>
      </c>
      <c r="Q614" s="79"/>
      <c r="R614" s="79"/>
      <c r="S614" s="80"/>
      <c r="U614" s="8">
        <f>bdrate($E614:$E617,F614:F617,$M614:$M617,N614:N617)</f>
        <v>7.3058543281767641E-5</v>
      </c>
      <c r="V614" s="9">
        <f>bdrate($E614:$E617,G614:G617,$M614:$M617,O614:O617)</f>
        <v>-2.9474869905010692E-4</v>
      </c>
      <c r="W614" s="10">
        <f>bdrate($E614:$E617,H614:H617,$M614:$M617,P614:P617)</f>
        <v>-2.7322502260285209E-4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70">
        <f t="shared" si="107"/>
        <v>2524.5559999999996</v>
      </c>
      <c r="F615" s="70">
        <f t="shared" si="108"/>
        <v>38.130420000000001</v>
      </c>
      <c r="G615" s="70">
        <f t="shared" si="108"/>
        <v>45.208399999999997</v>
      </c>
      <c r="H615" s="70">
        <f t="shared" si="108"/>
        <v>44.454800000000006</v>
      </c>
      <c r="I615" s="66"/>
      <c r="J615" s="66"/>
      <c r="K615" s="67"/>
      <c r="L615" s="29"/>
      <c r="M615" s="70">
        <f t="shared" si="109"/>
        <v>2524.3735999999999</v>
      </c>
      <c r="N615" s="70">
        <f t="shared" si="110"/>
        <v>38.129719999999999</v>
      </c>
      <c r="O615" s="70">
        <f t="shared" si="110"/>
        <v>45.209360000000004</v>
      </c>
      <c r="P615" s="70">
        <f t="shared" si="110"/>
        <v>44.457640000000005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70">
        <f t="shared" si="107"/>
        <v>1215.5919999999999</v>
      </c>
      <c r="F616" s="70">
        <f t="shared" si="108"/>
        <v>35.41084</v>
      </c>
      <c r="G616" s="70">
        <f t="shared" si="108"/>
        <v>43.502980000000001</v>
      </c>
      <c r="H616" s="70">
        <f t="shared" si="108"/>
        <v>42.538399999999996</v>
      </c>
      <c r="I616" s="66"/>
      <c r="J616" s="66"/>
      <c r="K616" s="67"/>
      <c r="L616" s="29"/>
      <c r="M616" s="70">
        <f t="shared" si="109"/>
        <v>1215.3311999999999</v>
      </c>
      <c r="N616" s="70">
        <f t="shared" si="110"/>
        <v>35.409680000000002</v>
      </c>
      <c r="O616" s="70">
        <f t="shared" si="110"/>
        <v>43.502320000000005</v>
      </c>
      <c r="P616" s="70">
        <f t="shared" si="110"/>
        <v>42.539180000000002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07"/>
        <v>580.3456000000001</v>
      </c>
      <c r="F617" s="81">
        <f t="shared" si="108"/>
        <v>32.985820000000004</v>
      </c>
      <c r="G617" s="81">
        <f t="shared" si="108"/>
        <v>42.431919999999998</v>
      </c>
      <c r="H617" s="81">
        <f t="shared" si="108"/>
        <v>41.196520000000007</v>
      </c>
      <c r="I617" s="68"/>
      <c r="J617" s="68"/>
      <c r="K617" s="69"/>
      <c r="L617" s="29"/>
      <c r="M617" s="81">
        <f t="shared" si="109"/>
        <v>580.16160000000002</v>
      </c>
      <c r="N617" s="81">
        <f t="shared" si="110"/>
        <v>32.984180000000002</v>
      </c>
      <c r="O617" s="81">
        <f t="shared" si="110"/>
        <v>42.434020000000004</v>
      </c>
      <c r="P617" s="81">
        <f t="shared" si="110"/>
        <v>41.195799999999998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8">
        <f t="shared" si="107"/>
        <v>6064.0591999999997</v>
      </c>
      <c r="F618" s="78">
        <f t="shared" ref="F618:H621" si="111">AVERAGE(F367,F371,F375,F391,F395,F399,F403,F407,F411)</f>
        <v>40.943244444444446</v>
      </c>
      <c r="G618" s="78">
        <f t="shared" si="111"/>
        <v>46.901711111111105</v>
      </c>
      <c r="H618" s="78">
        <f t="shared" si="111"/>
        <v>46.47367777777778</v>
      </c>
      <c r="I618" s="79"/>
      <c r="J618" s="79"/>
      <c r="K618" s="80"/>
      <c r="L618" s="29"/>
      <c r="M618" s="78">
        <f t="shared" si="109"/>
        <v>6064.2344000000003</v>
      </c>
      <c r="N618" s="78">
        <f t="shared" ref="N618:P621" si="112">AVERAGE(N367,N371,N375,N391,N395,N399,N403,N407,N411)</f>
        <v>40.943922222222227</v>
      </c>
      <c r="O618" s="78">
        <f t="shared" si="112"/>
        <v>46.899799999999999</v>
      </c>
      <c r="P618" s="78">
        <f t="shared" si="112"/>
        <v>46.469955555555558</v>
      </c>
      <c r="Q618" s="79"/>
      <c r="R618" s="79"/>
      <c r="S618" s="80"/>
      <c r="U618" s="8">
        <f>bdrate($E618:$E621,F618:F621,$M618:$M621,N618:N621)</f>
        <v>-9.3899258540086628E-5</v>
      </c>
      <c r="V618" s="9">
        <f>bdrate($E618:$E621,G618:G621,$M618:$M621,O618:O621)</f>
        <v>1.2163358433903149E-4</v>
      </c>
      <c r="W618" s="10">
        <f>bdrate($E618:$E621,H618:H621,$M618:$M621,P618:P621)</f>
        <v>-6.1534552203379445E-4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70">
        <f t="shared" si="107"/>
        <v>2804.3391999999999</v>
      </c>
      <c r="F619" s="70">
        <f t="shared" si="111"/>
        <v>38.094188888888894</v>
      </c>
      <c r="G619" s="70">
        <f t="shared" si="111"/>
        <v>45.227366666666661</v>
      </c>
      <c r="H619" s="70">
        <f t="shared" si="111"/>
        <v>44.525244444444446</v>
      </c>
      <c r="I619" s="66"/>
      <c r="J619" s="66"/>
      <c r="K619" s="67"/>
      <c r="L619" s="29"/>
      <c r="M619" s="70">
        <f t="shared" si="109"/>
        <v>2803.4567999999999</v>
      </c>
      <c r="N619" s="70">
        <f t="shared" si="112"/>
        <v>38.094066666666663</v>
      </c>
      <c r="O619" s="70">
        <f t="shared" si="112"/>
        <v>45.226377777777778</v>
      </c>
      <c r="P619" s="70">
        <f t="shared" si="112"/>
        <v>44.527322222222224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70">
        <f t="shared" si="107"/>
        <v>1347.0152</v>
      </c>
      <c r="F620" s="70">
        <f t="shared" si="111"/>
        <v>35.38538888888889</v>
      </c>
      <c r="G620" s="70">
        <f t="shared" si="111"/>
        <v>43.542555555555545</v>
      </c>
      <c r="H620" s="70">
        <f t="shared" si="111"/>
        <v>42.598188888888885</v>
      </c>
      <c r="I620" s="66"/>
      <c r="J620" s="66"/>
      <c r="K620" s="67"/>
      <c r="L620" s="29"/>
      <c r="M620" s="70">
        <f t="shared" si="109"/>
        <v>1346.9416000000001</v>
      </c>
      <c r="N620" s="70">
        <f t="shared" si="112"/>
        <v>35.384833333333333</v>
      </c>
      <c r="O620" s="70">
        <f t="shared" si="112"/>
        <v>43.542555555555552</v>
      </c>
      <c r="P620" s="70">
        <f t="shared" si="112"/>
        <v>42.599733333333333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07"/>
        <v>647.49199999999996</v>
      </c>
      <c r="F621" s="81">
        <f t="shared" si="111"/>
        <v>32.960344444444445</v>
      </c>
      <c r="G621" s="81">
        <f t="shared" si="111"/>
        <v>42.461511111111108</v>
      </c>
      <c r="H621" s="81">
        <f t="shared" si="111"/>
        <v>41.225299999999997</v>
      </c>
      <c r="I621" s="68"/>
      <c r="J621" s="68"/>
      <c r="K621" s="69"/>
      <c r="L621" s="29"/>
      <c r="M621" s="81">
        <f t="shared" si="109"/>
        <v>647.38319999999999</v>
      </c>
      <c r="N621" s="81">
        <f t="shared" si="112"/>
        <v>32.959711111111112</v>
      </c>
      <c r="O621" s="81">
        <f t="shared" si="112"/>
        <v>42.461944444444448</v>
      </c>
      <c r="P621" s="81">
        <f t="shared" si="112"/>
        <v>41.226822222222218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61"/>
      <c r="AA749" s="61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61"/>
      <c r="Z762" s="61"/>
      <c r="AA762" s="61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6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A33"/>
  <sheetViews>
    <sheetView workbookViewId="0">
      <selection activeCell="B26" sqref="B26"/>
    </sheetView>
  </sheetViews>
  <sheetFormatPr defaultColWidth="11.5546875" defaultRowHeight="17.25"/>
  <cols>
    <col min="1" max="1" width="8.33203125" bestFit="1" customWidth="1"/>
    <col min="2" max="2" width="78" bestFit="1" customWidth="1"/>
    <col min="3" max="3" width="15.44140625" bestFit="1" customWidth="1"/>
    <col min="4" max="4" width="13.33203125" bestFit="1" customWidth="1"/>
    <col min="5" max="5" width="13.77734375" bestFit="1" customWidth="1"/>
    <col min="6" max="6" width="14.109375" bestFit="1" customWidth="1"/>
    <col min="7" max="7" width="14" bestFit="1" customWidth="1"/>
    <col min="8" max="8" width="13.33203125" bestFit="1" customWidth="1"/>
    <col min="9" max="9" width="13.77734375" bestFit="1" customWidth="1"/>
    <col min="10" max="10" width="14.109375" bestFit="1" customWidth="1"/>
    <col min="11" max="11" width="14" bestFit="1" customWidth="1"/>
    <col min="12" max="12" width="13.33203125" bestFit="1" customWidth="1"/>
    <col min="13" max="13" width="13.77734375" bestFit="1" customWidth="1"/>
    <col min="14" max="14" width="14.109375" bestFit="1" customWidth="1"/>
    <col min="15" max="15" width="14" bestFit="1" customWidth="1"/>
    <col min="16" max="16" width="13.44140625" bestFit="1" customWidth="1"/>
    <col min="17" max="17" width="12.44140625" bestFit="1" customWidth="1"/>
    <col min="18" max="18" width="13.44140625" bestFit="1" customWidth="1"/>
    <col min="19" max="19" width="12.44140625" bestFit="1" customWidth="1"/>
    <col min="20" max="20" width="13.44140625" bestFit="1" customWidth="1"/>
    <col min="21" max="21" width="12.44140625" bestFit="1" customWidth="1"/>
    <col min="22" max="22" width="13.77734375" bestFit="1" customWidth="1"/>
    <col min="23" max="23" width="14.109375" bestFit="1" customWidth="1"/>
    <col min="24" max="24" width="14" bestFit="1" customWidth="1"/>
    <col min="25" max="25" width="13.77734375" bestFit="1" customWidth="1"/>
    <col min="26" max="26" width="14.109375" bestFit="1" customWidth="1"/>
    <col min="27" max="27" width="14" bestFit="1" customWidth="1"/>
    <col min="28" max="28" width="13.77734375" bestFit="1" customWidth="1"/>
    <col min="29" max="29" width="14.109375" bestFit="1" customWidth="1"/>
    <col min="30" max="30" width="14" bestFit="1" customWidth="1"/>
    <col min="31" max="31" width="13.77734375" bestFit="1" customWidth="1"/>
    <col min="32" max="32" width="14.109375" bestFit="1" customWidth="1"/>
    <col min="33" max="33" width="14" bestFit="1" customWidth="1"/>
    <col min="34" max="34" width="13.77734375" bestFit="1" customWidth="1"/>
    <col min="35" max="35" width="14.109375" bestFit="1" customWidth="1"/>
    <col min="36" max="36" width="14" bestFit="1" customWidth="1"/>
    <col min="37" max="37" width="13.77734375" bestFit="1" customWidth="1"/>
    <col min="38" max="38" width="14.109375" bestFit="1" customWidth="1"/>
    <col min="39" max="39" width="14" bestFit="1" customWidth="1"/>
    <col min="40" max="42" width="9.33203125" bestFit="1" customWidth="1"/>
    <col min="43" max="45" width="9.6640625" bestFit="1" customWidth="1"/>
    <col min="46" max="46" width="6.33203125" bestFit="1" customWidth="1"/>
    <col min="47" max="47" width="5.77734375" bestFit="1" customWidth="1"/>
    <col min="48" max="48" width="10.6640625" bestFit="1" customWidth="1"/>
    <col min="49" max="49" width="15.33203125" bestFit="1" customWidth="1"/>
    <col min="50" max="50" width="13.109375" bestFit="1" customWidth="1"/>
    <col min="51" max="51" width="14.44140625" bestFit="1" customWidth="1"/>
    <col min="52" max="52" width="10.109375" bestFit="1" customWidth="1"/>
    <col min="53" max="53" width="8.6640625" bestFit="1" customWidth="1"/>
  </cols>
  <sheetData>
    <row r="1" spans="1:53">
      <c r="A1" t="s">
        <v>62</v>
      </c>
      <c r="B1" s="117" t="s">
        <v>63</v>
      </c>
      <c r="C1" t="s">
        <v>64</v>
      </c>
      <c r="D1" s="118" t="s">
        <v>65</v>
      </c>
      <c r="E1" s="119" t="s">
        <v>66</v>
      </c>
      <c r="F1" s="119" t="s">
        <v>67</v>
      </c>
      <c r="G1" s="120" t="s">
        <v>68</v>
      </c>
      <c r="H1" s="118" t="s">
        <v>69</v>
      </c>
      <c r="I1" s="119" t="s">
        <v>70</v>
      </c>
      <c r="J1" s="119" t="s">
        <v>71</v>
      </c>
      <c r="K1" s="120" t="s">
        <v>72</v>
      </c>
      <c r="L1" s="118" t="s">
        <v>73</v>
      </c>
      <c r="M1" s="119" t="s">
        <v>74</v>
      </c>
      <c r="N1" s="119" t="s">
        <v>75</v>
      </c>
      <c r="O1" s="120" t="s">
        <v>76</v>
      </c>
      <c r="P1" s="121" t="s">
        <v>77</v>
      </c>
      <c r="Q1" s="122" t="s">
        <v>78</v>
      </c>
      <c r="R1" s="121" t="s">
        <v>79</v>
      </c>
      <c r="S1" s="122" t="s">
        <v>80</v>
      </c>
      <c r="T1" s="121" t="s">
        <v>81</v>
      </c>
      <c r="U1" s="122" t="s">
        <v>82</v>
      </c>
      <c r="V1" s="123" t="s">
        <v>83</v>
      </c>
      <c r="W1" s="124" t="s">
        <v>84</v>
      </c>
      <c r="X1" s="125" t="s">
        <v>85</v>
      </c>
      <c r="Y1" s="123" t="s">
        <v>86</v>
      </c>
      <c r="Z1" s="124" t="s">
        <v>87</v>
      </c>
      <c r="AA1" s="125" t="s">
        <v>88</v>
      </c>
      <c r="AB1" s="123" t="s">
        <v>89</v>
      </c>
      <c r="AC1" s="124" t="s">
        <v>90</v>
      </c>
      <c r="AD1" s="125" t="s">
        <v>91</v>
      </c>
      <c r="AE1" s="123" t="s">
        <v>92</v>
      </c>
      <c r="AF1" s="124" t="s">
        <v>93</v>
      </c>
      <c r="AG1" s="125" t="s">
        <v>94</v>
      </c>
      <c r="AH1" s="123" t="s">
        <v>95</v>
      </c>
      <c r="AI1" s="124" t="s">
        <v>96</v>
      </c>
      <c r="AJ1" s="125" t="s">
        <v>97</v>
      </c>
      <c r="AK1" s="123" t="s">
        <v>98</v>
      </c>
      <c r="AL1" s="124" t="s">
        <v>99</v>
      </c>
      <c r="AM1" s="125" t="s">
        <v>100</v>
      </c>
      <c r="AN1" t="s">
        <v>101</v>
      </c>
      <c r="AO1" t="s">
        <v>102</v>
      </c>
      <c r="AP1" t="s">
        <v>103</v>
      </c>
      <c r="AQ1" t="s">
        <v>104</v>
      </c>
      <c r="AR1" t="s">
        <v>105</v>
      </c>
      <c r="AS1" t="s">
        <v>106</v>
      </c>
      <c r="AT1" t="s">
        <v>107</v>
      </c>
      <c r="AU1" t="s">
        <v>108</v>
      </c>
      <c r="AV1" t="s">
        <v>109</v>
      </c>
      <c r="AW1" t="s">
        <v>110</v>
      </c>
      <c r="AX1" t="s">
        <v>111</v>
      </c>
      <c r="AY1" t="s">
        <v>112</v>
      </c>
      <c r="AZ1" s="126" t="s">
        <v>113</v>
      </c>
      <c r="BA1" s="127" t="s">
        <v>114</v>
      </c>
    </row>
    <row r="2" spans="1:53">
      <c r="A2">
        <v>1</v>
      </c>
      <c r="B2" s="117" t="s">
        <v>115</v>
      </c>
      <c r="C2">
        <v>1491.9059999999999</v>
      </c>
      <c r="D2" s="128">
        <v>808.93399999999997</v>
      </c>
      <c r="E2" s="129">
        <v>42.116199999999999</v>
      </c>
      <c r="F2" s="129">
        <v>48.421599999999998</v>
      </c>
      <c r="G2" s="130">
        <v>48.138300000000001</v>
      </c>
      <c r="H2" s="128">
        <v>248.73</v>
      </c>
      <c r="I2" s="129">
        <v>41.831299999999999</v>
      </c>
      <c r="J2" s="129">
        <v>48.183999999999997</v>
      </c>
      <c r="K2" s="130">
        <v>47.511499999999998</v>
      </c>
      <c r="L2" s="128">
        <v>257.56900000000002</v>
      </c>
      <c r="M2" s="129">
        <v>41.683799999999998</v>
      </c>
      <c r="N2" s="129">
        <v>47.252600000000001</v>
      </c>
      <c r="O2" s="130">
        <v>46.666899999999998</v>
      </c>
      <c r="P2" s="131">
        <v>72.375</v>
      </c>
      <c r="Q2" s="132">
        <v>45.882800000000003</v>
      </c>
      <c r="R2" s="131">
        <v>50.168999999999997</v>
      </c>
      <c r="S2" s="132">
        <v>44.583199999999998</v>
      </c>
      <c r="T2" s="131">
        <v>49.290999999999997</v>
      </c>
      <c r="U2" s="132">
        <v>44.315399999999997</v>
      </c>
      <c r="V2" s="133">
        <v>42.872500000000002</v>
      </c>
      <c r="W2" s="134">
        <v>48.157200000000003</v>
      </c>
      <c r="X2" s="135">
        <v>47.304900000000004</v>
      </c>
      <c r="Y2" s="133">
        <v>43.610799999999998</v>
      </c>
      <c r="Z2" s="134">
        <v>49.057899999999997</v>
      </c>
      <c r="AA2" s="135">
        <v>48.479900000000001</v>
      </c>
      <c r="AB2" s="133">
        <v>43.153399999999998</v>
      </c>
      <c r="AC2" s="134">
        <v>49.240400000000001</v>
      </c>
      <c r="AD2" s="135">
        <v>48.793199999999999</v>
      </c>
      <c r="AE2" s="133">
        <v>43.265000000000001</v>
      </c>
      <c r="AF2" s="134">
        <v>49.101999999999997</v>
      </c>
      <c r="AG2" s="135">
        <v>49.0199</v>
      </c>
      <c r="AH2" s="133">
        <v>43.738799999999998</v>
      </c>
      <c r="AI2" s="134">
        <v>48.809399999999997</v>
      </c>
      <c r="AJ2" s="135">
        <v>49.198799999999999</v>
      </c>
      <c r="AK2" s="133">
        <v>42.921399999999998</v>
      </c>
      <c r="AL2" s="134">
        <v>47.575699999999998</v>
      </c>
      <c r="AM2" s="135">
        <v>48.133800000000001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1920</v>
      </c>
      <c r="AU2">
        <v>1088</v>
      </c>
      <c r="AV2">
        <v>25</v>
      </c>
      <c r="AW2">
        <v>200</v>
      </c>
      <c r="AX2">
        <v>8</v>
      </c>
      <c r="AY2">
        <v>8</v>
      </c>
      <c r="AZ2" s="136">
        <v>28037.16</v>
      </c>
      <c r="BA2" s="137">
        <v>121.3</v>
      </c>
    </row>
    <row r="3" spans="1:53">
      <c r="A3">
        <v>1</v>
      </c>
      <c r="B3" s="117" t="s">
        <v>116</v>
      </c>
      <c r="C3">
        <v>612.346</v>
      </c>
      <c r="D3" s="128">
        <v>344.726</v>
      </c>
      <c r="E3" s="129">
        <v>41.148200000000003</v>
      </c>
      <c r="F3" s="129">
        <v>47.462600000000002</v>
      </c>
      <c r="G3" s="130">
        <v>47.2849</v>
      </c>
      <c r="H3" s="128">
        <v>96.513999999999996</v>
      </c>
      <c r="I3" s="129">
        <v>40.830100000000002</v>
      </c>
      <c r="J3" s="129">
        <v>47.095599999999997</v>
      </c>
      <c r="K3" s="130">
        <v>46.5974</v>
      </c>
      <c r="L3" s="128">
        <v>97.277000000000001</v>
      </c>
      <c r="M3" s="129">
        <v>40.744599999999998</v>
      </c>
      <c r="N3" s="129">
        <v>46.3249</v>
      </c>
      <c r="O3" s="130">
        <v>45.553600000000003</v>
      </c>
      <c r="P3" s="131">
        <v>30.209</v>
      </c>
      <c r="Q3" s="132">
        <v>42.532600000000002</v>
      </c>
      <c r="R3" s="131">
        <v>19.762</v>
      </c>
      <c r="S3" s="132">
        <v>41.254800000000003</v>
      </c>
      <c r="T3" s="131">
        <v>19.02</v>
      </c>
      <c r="U3" s="132">
        <v>41.313099999999999</v>
      </c>
      <c r="V3" s="133">
        <v>41.706600000000002</v>
      </c>
      <c r="W3" s="134">
        <v>47.044699999999999</v>
      </c>
      <c r="X3" s="135">
        <v>46.565600000000003</v>
      </c>
      <c r="Y3" s="133">
        <v>42.299100000000003</v>
      </c>
      <c r="Z3" s="134">
        <v>47.868600000000001</v>
      </c>
      <c r="AA3" s="135">
        <v>47.516100000000002</v>
      </c>
      <c r="AB3" s="133">
        <v>42.0047</v>
      </c>
      <c r="AC3" s="134">
        <v>48.227899999999998</v>
      </c>
      <c r="AD3" s="135">
        <v>47.912500000000001</v>
      </c>
      <c r="AE3" s="133">
        <v>42.121400000000001</v>
      </c>
      <c r="AF3" s="134">
        <v>48.139600000000002</v>
      </c>
      <c r="AG3" s="135">
        <v>48.104999999999997</v>
      </c>
      <c r="AH3" s="133">
        <v>42.477800000000002</v>
      </c>
      <c r="AI3" s="134">
        <v>47.675600000000003</v>
      </c>
      <c r="AJ3" s="135">
        <v>48.043199999999999</v>
      </c>
      <c r="AK3" s="133">
        <v>41.817300000000003</v>
      </c>
      <c r="AL3" s="134">
        <v>46.640900000000002</v>
      </c>
      <c r="AM3" s="135">
        <v>47.054000000000002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1920</v>
      </c>
      <c r="AU3">
        <v>1088</v>
      </c>
      <c r="AV3">
        <v>25</v>
      </c>
      <c r="AW3">
        <v>200</v>
      </c>
      <c r="AX3">
        <v>8</v>
      </c>
      <c r="AY3">
        <v>8</v>
      </c>
      <c r="AZ3" s="136">
        <v>22105.82</v>
      </c>
      <c r="BA3" s="137">
        <v>120.65</v>
      </c>
    </row>
    <row r="4" spans="1:53">
      <c r="A4">
        <v>1</v>
      </c>
      <c r="B4" s="117" t="s">
        <v>117</v>
      </c>
      <c r="C4">
        <v>312.197</v>
      </c>
      <c r="D4" s="128">
        <v>177.10499999999999</v>
      </c>
      <c r="E4" s="129">
        <v>39.752499999999998</v>
      </c>
      <c r="F4" s="129">
        <v>46.036099999999998</v>
      </c>
      <c r="G4" s="130">
        <v>45.932899999999997</v>
      </c>
      <c r="H4" s="128">
        <v>47.82</v>
      </c>
      <c r="I4" s="129">
        <v>39.410200000000003</v>
      </c>
      <c r="J4" s="129">
        <v>45.902200000000001</v>
      </c>
      <c r="K4" s="130">
        <v>45.549900000000001</v>
      </c>
      <c r="L4" s="128">
        <v>48.363</v>
      </c>
      <c r="M4" s="129">
        <v>39.386400000000002</v>
      </c>
      <c r="N4" s="129">
        <v>45.374899999999997</v>
      </c>
      <c r="O4" s="130">
        <v>44.586799999999997</v>
      </c>
      <c r="P4" s="131">
        <v>15.42</v>
      </c>
      <c r="Q4" s="132">
        <v>39.804400000000001</v>
      </c>
      <c r="R4" s="131">
        <v>9.5</v>
      </c>
      <c r="S4" s="132">
        <v>38.104199999999999</v>
      </c>
      <c r="T4" s="131">
        <v>9.1509999999999998</v>
      </c>
      <c r="U4" s="132">
        <v>38.551200000000001</v>
      </c>
      <c r="V4" s="133">
        <v>40.125</v>
      </c>
      <c r="W4" s="134">
        <v>45.862200000000001</v>
      </c>
      <c r="X4" s="135">
        <v>45.5379</v>
      </c>
      <c r="Y4" s="133">
        <v>40.590200000000003</v>
      </c>
      <c r="Z4" s="134">
        <v>46.511099999999999</v>
      </c>
      <c r="AA4" s="135">
        <v>46.219900000000003</v>
      </c>
      <c r="AB4" s="133">
        <v>40.420099999999998</v>
      </c>
      <c r="AC4" s="134">
        <v>46.756</v>
      </c>
      <c r="AD4" s="135">
        <v>46.601900000000001</v>
      </c>
      <c r="AE4" s="133">
        <v>40.528300000000002</v>
      </c>
      <c r="AF4" s="134">
        <v>46.737000000000002</v>
      </c>
      <c r="AG4" s="135">
        <v>46.752099999999999</v>
      </c>
      <c r="AH4" s="133">
        <v>40.802300000000002</v>
      </c>
      <c r="AI4" s="134">
        <v>46.346699999999998</v>
      </c>
      <c r="AJ4" s="135">
        <v>46.722900000000003</v>
      </c>
      <c r="AK4" s="133">
        <v>40.2971</v>
      </c>
      <c r="AL4" s="134">
        <v>45.602699999999999</v>
      </c>
      <c r="AM4" s="135">
        <v>46.010399999999997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1920</v>
      </c>
      <c r="AU4">
        <v>1088</v>
      </c>
      <c r="AV4">
        <v>25</v>
      </c>
      <c r="AW4">
        <v>200</v>
      </c>
      <c r="AX4">
        <v>8</v>
      </c>
      <c r="AY4">
        <v>8</v>
      </c>
      <c r="AZ4" s="136">
        <v>19846.57</v>
      </c>
      <c r="BA4" s="137">
        <v>75.45</v>
      </c>
    </row>
    <row r="5" spans="1:53">
      <c r="A5">
        <v>1</v>
      </c>
      <c r="B5" s="117" t="s">
        <v>118</v>
      </c>
      <c r="C5">
        <v>173.24299999999999</v>
      </c>
      <c r="D5" s="128">
        <v>98.555999999999997</v>
      </c>
      <c r="E5" s="129">
        <v>38.0139</v>
      </c>
      <c r="F5" s="129">
        <v>44.863199999999999</v>
      </c>
      <c r="G5" s="130">
        <v>44.774999999999999</v>
      </c>
      <c r="H5" s="128">
        <v>25.518000000000001</v>
      </c>
      <c r="I5" s="129">
        <v>37.631900000000002</v>
      </c>
      <c r="J5" s="129">
        <v>44.847499999999997</v>
      </c>
      <c r="K5" s="130">
        <v>44.498600000000003</v>
      </c>
      <c r="L5" s="128">
        <v>25.536000000000001</v>
      </c>
      <c r="M5" s="129">
        <v>37.6721</v>
      </c>
      <c r="N5" s="129">
        <v>44.408299999999997</v>
      </c>
      <c r="O5" s="130">
        <v>43.464100000000002</v>
      </c>
      <c r="P5" s="131">
        <v>8.4710000000000001</v>
      </c>
      <c r="Q5" s="132">
        <v>36.488999999999997</v>
      </c>
      <c r="R5" s="131">
        <v>5.2089999999999996</v>
      </c>
      <c r="S5" s="132">
        <v>35.008099999999999</v>
      </c>
      <c r="T5" s="131">
        <v>5.1150000000000002</v>
      </c>
      <c r="U5" s="132">
        <v>35.5946</v>
      </c>
      <c r="V5" s="133">
        <v>38.199800000000003</v>
      </c>
      <c r="W5" s="134">
        <v>44.8934</v>
      </c>
      <c r="X5" s="135">
        <v>44.433799999999998</v>
      </c>
      <c r="Y5" s="133">
        <v>38.549399999999999</v>
      </c>
      <c r="Z5" s="134">
        <v>45.315899999999999</v>
      </c>
      <c r="AA5" s="135">
        <v>44.9771</v>
      </c>
      <c r="AB5" s="133">
        <v>38.5077</v>
      </c>
      <c r="AC5" s="134">
        <v>45.5794</v>
      </c>
      <c r="AD5" s="135">
        <v>45.435400000000001</v>
      </c>
      <c r="AE5" s="133">
        <v>38.590299999999999</v>
      </c>
      <c r="AF5" s="134">
        <v>45.622999999999998</v>
      </c>
      <c r="AG5" s="135">
        <v>45.5563</v>
      </c>
      <c r="AH5" s="133">
        <v>38.792000000000002</v>
      </c>
      <c r="AI5" s="134">
        <v>45.134099999999997</v>
      </c>
      <c r="AJ5" s="135">
        <v>45.444899999999997</v>
      </c>
      <c r="AK5" s="133">
        <v>38.440199999999997</v>
      </c>
      <c r="AL5" s="134">
        <v>44.633600000000001</v>
      </c>
      <c r="AM5" s="135">
        <v>44.829599999999999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1920</v>
      </c>
      <c r="AU5">
        <v>1088</v>
      </c>
      <c r="AV5">
        <v>25</v>
      </c>
      <c r="AW5">
        <v>200</v>
      </c>
      <c r="AX5">
        <v>8</v>
      </c>
      <c r="AY5">
        <v>8</v>
      </c>
      <c r="AZ5" s="136">
        <v>18439.82</v>
      </c>
      <c r="BA5" s="137">
        <v>81.83</v>
      </c>
    </row>
    <row r="6" spans="1:53">
      <c r="A6">
        <v>2</v>
      </c>
      <c r="B6" s="117" t="s">
        <v>119</v>
      </c>
      <c r="C6">
        <v>4218.3576000000003</v>
      </c>
      <c r="D6" s="128">
        <v>2440.0616</v>
      </c>
      <c r="E6" s="129">
        <v>39.862699999999997</v>
      </c>
      <c r="F6" s="129">
        <v>46.750500000000002</v>
      </c>
      <c r="G6" s="130">
        <v>46.033000000000001</v>
      </c>
      <c r="H6" s="128">
        <v>702.31759999999997</v>
      </c>
      <c r="I6" s="129">
        <v>38.981200000000001</v>
      </c>
      <c r="J6" s="129">
        <v>46.600700000000003</v>
      </c>
      <c r="K6" s="130">
        <v>44.7346</v>
      </c>
      <c r="L6" s="128">
        <v>692.36320000000001</v>
      </c>
      <c r="M6" s="129">
        <v>38.914999999999999</v>
      </c>
      <c r="N6" s="129">
        <v>46.420699999999997</v>
      </c>
      <c r="O6" s="130">
        <v>46.130299999999998</v>
      </c>
      <c r="P6" s="131">
        <v>162.96080000000001</v>
      </c>
      <c r="Q6" s="132">
        <v>43.912700000000001</v>
      </c>
      <c r="R6" s="131">
        <v>99.590400000000002</v>
      </c>
      <c r="S6" s="132">
        <v>42.308500000000002</v>
      </c>
      <c r="T6" s="131">
        <v>116.2336</v>
      </c>
      <c r="U6" s="132">
        <v>41.779499999999999</v>
      </c>
      <c r="V6" s="133">
        <v>40.002400000000002</v>
      </c>
      <c r="W6" s="134">
        <v>46.631799999999998</v>
      </c>
      <c r="X6" s="135">
        <v>46.008899999999997</v>
      </c>
      <c r="Y6" s="133">
        <v>40.707999999999998</v>
      </c>
      <c r="Z6" s="134">
        <v>47.352800000000002</v>
      </c>
      <c r="AA6" s="135">
        <v>46.883200000000002</v>
      </c>
      <c r="AB6" s="133">
        <v>40.616599999999998</v>
      </c>
      <c r="AC6" s="134">
        <v>47.562100000000001</v>
      </c>
      <c r="AD6" s="135">
        <v>47.196300000000001</v>
      </c>
      <c r="AE6" s="133">
        <v>40.570799999999998</v>
      </c>
      <c r="AF6" s="134">
        <v>47.4803</v>
      </c>
      <c r="AG6" s="135">
        <v>47.010100000000001</v>
      </c>
      <c r="AH6" s="133">
        <v>40.601700000000001</v>
      </c>
      <c r="AI6" s="134">
        <v>47.033099999999997</v>
      </c>
      <c r="AJ6" s="135">
        <v>46.817</v>
      </c>
      <c r="AK6" s="133">
        <v>39.908099999999997</v>
      </c>
      <c r="AL6" s="134">
        <v>46.196199999999997</v>
      </c>
      <c r="AM6" s="135">
        <v>46.398099999999999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1920</v>
      </c>
      <c r="AU6">
        <v>1088</v>
      </c>
      <c r="AV6">
        <v>25</v>
      </c>
      <c r="AW6">
        <v>250</v>
      </c>
      <c r="AX6">
        <v>8</v>
      </c>
      <c r="AY6">
        <v>8</v>
      </c>
      <c r="AZ6" s="136">
        <v>81363.83</v>
      </c>
      <c r="BA6" s="137">
        <v>226.49</v>
      </c>
    </row>
    <row r="7" spans="1:53">
      <c r="A7">
        <v>2</v>
      </c>
      <c r="B7" s="117" t="s">
        <v>120</v>
      </c>
      <c r="C7">
        <v>1452.2888</v>
      </c>
      <c r="D7" s="128">
        <v>955.89840000000004</v>
      </c>
      <c r="E7" s="129">
        <v>37.901400000000002</v>
      </c>
      <c r="F7" s="129">
        <v>45.310899999999997</v>
      </c>
      <c r="G7" s="130">
        <v>44.552900000000001</v>
      </c>
      <c r="H7" s="128">
        <v>196.0256</v>
      </c>
      <c r="I7" s="129">
        <v>37.1327</v>
      </c>
      <c r="J7" s="129">
        <v>45.167200000000001</v>
      </c>
      <c r="K7" s="130">
        <v>43.105200000000004</v>
      </c>
      <c r="L7" s="128">
        <v>193.2056</v>
      </c>
      <c r="M7" s="129">
        <v>36.945700000000002</v>
      </c>
      <c r="N7" s="129">
        <v>44.988799999999998</v>
      </c>
      <c r="O7" s="130">
        <v>44.717399999999998</v>
      </c>
      <c r="P7" s="131">
        <v>49.723999999999997</v>
      </c>
      <c r="Q7" s="132">
        <v>40.968200000000003</v>
      </c>
      <c r="R7" s="131">
        <v>24.404</v>
      </c>
      <c r="S7" s="132">
        <v>39.711599999999997</v>
      </c>
      <c r="T7" s="131">
        <v>28.200800000000001</v>
      </c>
      <c r="U7" s="132">
        <v>39.111199999999997</v>
      </c>
      <c r="V7" s="133">
        <v>37.924799999999998</v>
      </c>
      <c r="W7" s="134">
        <v>45.177799999999998</v>
      </c>
      <c r="X7" s="135">
        <v>44.341799999999999</v>
      </c>
      <c r="Y7" s="133">
        <v>38.419199999999996</v>
      </c>
      <c r="Z7" s="134">
        <v>45.702599999999997</v>
      </c>
      <c r="AA7" s="135">
        <v>45.1312</v>
      </c>
      <c r="AB7" s="133">
        <v>38.409300000000002</v>
      </c>
      <c r="AC7" s="134">
        <v>46.015900000000002</v>
      </c>
      <c r="AD7" s="135">
        <v>45.584000000000003</v>
      </c>
      <c r="AE7" s="133">
        <v>38.349499999999999</v>
      </c>
      <c r="AF7" s="134">
        <v>45.924199999999999</v>
      </c>
      <c r="AG7" s="135">
        <v>45.381700000000002</v>
      </c>
      <c r="AH7" s="133">
        <v>38.268999999999998</v>
      </c>
      <c r="AI7" s="134">
        <v>45.519100000000002</v>
      </c>
      <c r="AJ7" s="135">
        <v>45.191000000000003</v>
      </c>
      <c r="AK7" s="133">
        <v>37.741700000000002</v>
      </c>
      <c r="AL7" s="134">
        <v>44.895800000000001</v>
      </c>
      <c r="AM7" s="135">
        <v>44.884500000000003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1920</v>
      </c>
      <c r="AU7">
        <v>1088</v>
      </c>
      <c r="AV7">
        <v>25</v>
      </c>
      <c r="AW7">
        <v>250</v>
      </c>
      <c r="AX7">
        <v>8</v>
      </c>
      <c r="AY7">
        <v>8</v>
      </c>
      <c r="AZ7" s="136">
        <v>62998.879999999997</v>
      </c>
      <c r="BA7" s="137">
        <v>211.73</v>
      </c>
    </row>
    <row r="8" spans="1:53">
      <c r="A8">
        <v>2</v>
      </c>
      <c r="B8" s="117" t="s">
        <v>121</v>
      </c>
      <c r="C8">
        <v>656.51599999999996</v>
      </c>
      <c r="D8" s="128">
        <v>461.74079999999998</v>
      </c>
      <c r="E8" s="129">
        <v>35.8827</v>
      </c>
      <c r="F8" s="129">
        <v>43.552599999999998</v>
      </c>
      <c r="G8" s="130">
        <v>42.826900000000002</v>
      </c>
      <c r="H8" s="128">
        <v>75.218400000000003</v>
      </c>
      <c r="I8" s="129">
        <v>35.237900000000003</v>
      </c>
      <c r="J8" s="129">
        <v>43.6755</v>
      </c>
      <c r="K8" s="130">
        <v>41.81</v>
      </c>
      <c r="L8" s="128">
        <v>73.820800000000006</v>
      </c>
      <c r="M8" s="129">
        <v>34.9696</v>
      </c>
      <c r="N8" s="129">
        <v>43.481000000000002</v>
      </c>
      <c r="O8" s="130">
        <v>43.124499999999998</v>
      </c>
      <c r="P8" s="131">
        <v>21.069600000000001</v>
      </c>
      <c r="Q8" s="132">
        <v>37.422400000000003</v>
      </c>
      <c r="R8" s="131">
        <v>9.5079999999999991</v>
      </c>
      <c r="S8" s="132">
        <v>36.5092</v>
      </c>
      <c r="T8" s="131">
        <v>10.327999999999999</v>
      </c>
      <c r="U8" s="132">
        <v>36.195799999999998</v>
      </c>
      <c r="V8" s="133">
        <v>35.886699999999998</v>
      </c>
      <c r="W8" s="134">
        <v>43.6877</v>
      </c>
      <c r="X8" s="135">
        <v>42.979199999999999</v>
      </c>
      <c r="Y8" s="133">
        <v>36.246400000000001</v>
      </c>
      <c r="Z8" s="134">
        <v>44.002600000000001</v>
      </c>
      <c r="AA8" s="135">
        <v>43.521999999999998</v>
      </c>
      <c r="AB8" s="133">
        <v>36.249600000000001</v>
      </c>
      <c r="AC8" s="134">
        <v>44.185899999999997</v>
      </c>
      <c r="AD8" s="135">
        <v>43.783099999999997</v>
      </c>
      <c r="AE8" s="133">
        <v>36.184600000000003</v>
      </c>
      <c r="AF8" s="134">
        <v>44.083399999999997</v>
      </c>
      <c r="AG8" s="135">
        <v>43.551299999999998</v>
      </c>
      <c r="AH8" s="133">
        <v>36.0764</v>
      </c>
      <c r="AI8" s="134">
        <v>43.758099999999999</v>
      </c>
      <c r="AJ8" s="135">
        <v>43.3917</v>
      </c>
      <c r="AK8" s="133">
        <v>35.659399999999998</v>
      </c>
      <c r="AL8" s="134">
        <v>43.341200000000001</v>
      </c>
      <c r="AM8" s="135">
        <v>43.205800000000004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1920</v>
      </c>
      <c r="AU8">
        <v>1088</v>
      </c>
      <c r="AV8">
        <v>25</v>
      </c>
      <c r="AW8">
        <v>250</v>
      </c>
      <c r="AX8">
        <v>8</v>
      </c>
      <c r="AY8">
        <v>8</v>
      </c>
      <c r="AZ8" s="136">
        <v>56047.1</v>
      </c>
      <c r="BA8" s="137">
        <v>206.99</v>
      </c>
    </row>
    <row r="9" spans="1:53">
      <c r="A9">
        <v>2</v>
      </c>
      <c r="B9" s="117" t="s">
        <v>122</v>
      </c>
      <c r="C9">
        <v>331.49439999999998</v>
      </c>
      <c r="D9" s="128">
        <v>241.04560000000001</v>
      </c>
      <c r="E9" s="129">
        <v>33.763199999999998</v>
      </c>
      <c r="F9" s="129">
        <v>42.313600000000001</v>
      </c>
      <c r="G9" s="130">
        <v>41.620699999999999</v>
      </c>
      <c r="H9" s="128">
        <v>33.294400000000003</v>
      </c>
      <c r="I9" s="129">
        <v>33.258000000000003</v>
      </c>
      <c r="J9" s="129">
        <v>42.502899999999997</v>
      </c>
      <c r="K9" s="130">
        <v>40.872199999999999</v>
      </c>
      <c r="L9" s="128">
        <v>31.452000000000002</v>
      </c>
      <c r="M9" s="129">
        <v>32.947000000000003</v>
      </c>
      <c r="N9" s="129">
        <v>42.310699999999997</v>
      </c>
      <c r="O9" s="130">
        <v>41.9223</v>
      </c>
      <c r="P9" s="131">
        <v>11.1784</v>
      </c>
      <c r="Q9" s="132">
        <v>35.413200000000003</v>
      </c>
      <c r="R9" s="131">
        <v>4.8120000000000003</v>
      </c>
      <c r="S9" s="132">
        <v>34.560899999999997</v>
      </c>
      <c r="T9" s="131">
        <v>4.8815999999999997</v>
      </c>
      <c r="U9" s="132">
        <v>34.323700000000002</v>
      </c>
      <c r="V9" s="133">
        <v>33.770800000000001</v>
      </c>
      <c r="W9" s="134">
        <v>42.503700000000002</v>
      </c>
      <c r="X9" s="135">
        <v>42.029499999999999</v>
      </c>
      <c r="Y9" s="133">
        <v>34.037700000000001</v>
      </c>
      <c r="Z9" s="134">
        <v>42.707299999999996</v>
      </c>
      <c r="AA9" s="135">
        <v>42.403300000000002</v>
      </c>
      <c r="AB9" s="133">
        <v>34.039700000000003</v>
      </c>
      <c r="AC9" s="134">
        <v>42.879399999999997</v>
      </c>
      <c r="AD9" s="135">
        <v>42.5383</v>
      </c>
      <c r="AE9" s="133">
        <v>33.963700000000003</v>
      </c>
      <c r="AF9" s="134">
        <v>42.745699999999999</v>
      </c>
      <c r="AG9" s="135">
        <v>42.279299999999999</v>
      </c>
      <c r="AH9" s="133">
        <v>33.861699999999999</v>
      </c>
      <c r="AI9" s="134">
        <v>42.481299999999997</v>
      </c>
      <c r="AJ9" s="135">
        <v>42.075000000000003</v>
      </c>
      <c r="AK9" s="133">
        <v>33.545699999999997</v>
      </c>
      <c r="AL9" s="134">
        <v>42.160800000000002</v>
      </c>
      <c r="AM9" s="135">
        <v>41.948999999999998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1920</v>
      </c>
      <c r="AU9">
        <v>1088</v>
      </c>
      <c r="AV9">
        <v>25</v>
      </c>
      <c r="AW9">
        <v>250</v>
      </c>
      <c r="AX9">
        <v>8</v>
      </c>
      <c r="AY9">
        <v>8</v>
      </c>
      <c r="AZ9" s="136">
        <v>47989.21</v>
      </c>
      <c r="BA9" s="137">
        <v>125.15</v>
      </c>
    </row>
    <row r="10" spans="1:53">
      <c r="A10">
        <v>3</v>
      </c>
      <c r="B10" s="117" t="s">
        <v>123</v>
      </c>
      <c r="C10">
        <v>6804.7879999999996</v>
      </c>
      <c r="D10" s="128">
        <v>4628.1440000000002</v>
      </c>
      <c r="E10" s="129">
        <v>38.803199999999997</v>
      </c>
      <c r="F10" s="129">
        <v>46.650700000000001</v>
      </c>
      <c r="G10" s="130">
        <v>45.958799999999997</v>
      </c>
      <c r="H10" s="128">
        <v>910.41600000000005</v>
      </c>
      <c r="I10" s="129">
        <v>37.979100000000003</v>
      </c>
      <c r="J10" s="129">
        <v>46.570399999999999</v>
      </c>
      <c r="K10" s="130">
        <v>45.969499999999996</v>
      </c>
      <c r="L10" s="128">
        <v>866.57839999999999</v>
      </c>
      <c r="M10" s="129">
        <v>38.145000000000003</v>
      </c>
      <c r="N10" s="129">
        <v>46.514200000000002</v>
      </c>
      <c r="O10" s="130">
        <v>45.776400000000002</v>
      </c>
      <c r="P10" s="131">
        <v>207.29679999999999</v>
      </c>
      <c r="Q10" s="132">
        <v>47.519599999999997</v>
      </c>
      <c r="R10" s="131">
        <v>93.651200000000003</v>
      </c>
      <c r="S10" s="132">
        <v>46.179699999999997</v>
      </c>
      <c r="T10" s="131">
        <v>93.871200000000002</v>
      </c>
      <c r="U10" s="132">
        <v>46.339300000000001</v>
      </c>
      <c r="V10" s="133">
        <v>38.521099999999997</v>
      </c>
      <c r="W10" s="134">
        <v>46.59</v>
      </c>
      <c r="X10" s="135">
        <v>45.689500000000002</v>
      </c>
      <c r="Y10" s="133">
        <v>38.9131</v>
      </c>
      <c r="Z10" s="134">
        <v>46.954599999999999</v>
      </c>
      <c r="AA10" s="135">
        <v>46.055700000000002</v>
      </c>
      <c r="AB10" s="133">
        <v>39.011800000000001</v>
      </c>
      <c r="AC10" s="134">
        <v>47.396799999999999</v>
      </c>
      <c r="AD10" s="135">
        <v>46.811</v>
      </c>
      <c r="AE10" s="133">
        <v>39.024299999999997</v>
      </c>
      <c r="AF10" s="134">
        <v>47.319499999999998</v>
      </c>
      <c r="AG10" s="135">
        <v>46.8033</v>
      </c>
      <c r="AH10" s="133">
        <v>38.944699999999997</v>
      </c>
      <c r="AI10" s="134">
        <v>46.4056</v>
      </c>
      <c r="AJ10" s="135">
        <v>46.542099999999998</v>
      </c>
      <c r="AK10" s="133">
        <v>38.591799999999999</v>
      </c>
      <c r="AL10" s="134">
        <v>46.037700000000001</v>
      </c>
      <c r="AM10" s="135">
        <v>46.238700000000001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1920</v>
      </c>
      <c r="AU10">
        <v>1088</v>
      </c>
      <c r="AV10">
        <v>25</v>
      </c>
      <c r="AW10">
        <v>250</v>
      </c>
      <c r="AX10">
        <v>8</v>
      </c>
      <c r="AY10">
        <v>8</v>
      </c>
      <c r="AZ10" s="136">
        <v>95161.82</v>
      </c>
      <c r="BA10" s="137">
        <v>253.74</v>
      </c>
    </row>
    <row r="11" spans="1:53">
      <c r="A11">
        <v>3</v>
      </c>
      <c r="B11" s="117" t="s">
        <v>124</v>
      </c>
      <c r="C11">
        <v>2806.232</v>
      </c>
      <c r="D11" s="128">
        <v>2007.308</v>
      </c>
      <c r="E11" s="129">
        <v>35.911799999999999</v>
      </c>
      <c r="F11" s="129">
        <v>45.155500000000004</v>
      </c>
      <c r="G11" s="130">
        <v>44.572600000000001</v>
      </c>
      <c r="H11" s="128">
        <v>319.92959999999999</v>
      </c>
      <c r="I11" s="129">
        <v>35.351900000000001</v>
      </c>
      <c r="J11" s="129">
        <v>45.120699999999999</v>
      </c>
      <c r="K11" s="130">
        <v>44.587299999999999</v>
      </c>
      <c r="L11" s="128">
        <v>305.02159999999998</v>
      </c>
      <c r="M11" s="129">
        <v>35.534300000000002</v>
      </c>
      <c r="N11" s="129">
        <v>45.043900000000001</v>
      </c>
      <c r="O11" s="130">
        <v>44.426699999999997</v>
      </c>
      <c r="P11" s="131">
        <v>93.056799999999996</v>
      </c>
      <c r="Q11" s="132">
        <v>42.8932</v>
      </c>
      <c r="R11" s="131">
        <v>37.413600000000002</v>
      </c>
      <c r="S11" s="132">
        <v>41.865600000000001</v>
      </c>
      <c r="T11" s="131">
        <v>38.671999999999997</v>
      </c>
      <c r="U11" s="132">
        <v>41.9803</v>
      </c>
      <c r="V11" s="133">
        <v>35.7042</v>
      </c>
      <c r="W11" s="134">
        <v>45.258699999999997</v>
      </c>
      <c r="X11" s="135">
        <v>44.478000000000002</v>
      </c>
      <c r="Y11" s="133">
        <v>35.972799999999999</v>
      </c>
      <c r="Z11" s="134">
        <v>45.526499999999999</v>
      </c>
      <c r="AA11" s="135">
        <v>44.804699999999997</v>
      </c>
      <c r="AB11" s="133">
        <v>36.036700000000003</v>
      </c>
      <c r="AC11" s="134">
        <v>45.826500000000003</v>
      </c>
      <c r="AD11" s="135">
        <v>45.290199999999999</v>
      </c>
      <c r="AE11" s="133">
        <v>36.042400000000001</v>
      </c>
      <c r="AF11" s="134">
        <v>45.743200000000002</v>
      </c>
      <c r="AG11" s="135">
        <v>45.264499999999998</v>
      </c>
      <c r="AH11" s="133">
        <v>36.020899999999997</v>
      </c>
      <c r="AI11" s="134">
        <v>45.019100000000002</v>
      </c>
      <c r="AJ11" s="135">
        <v>45.029200000000003</v>
      </c>
      <c r="AK11" s="133">
        <v>35.805100000000003</v>
      </c>
      <c r="AL11" s="134">
        <v>44.712400000000002</v>
      </c>
      <c r="AM11" s="135">
        <v>44.794800000000002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1920</v>
      </c>
      <c r="AU11">
        <v>1088</v>
      </c>
      <c r="AV11">
        <v>25</v>
      </c>
      <c r="AW11">
        <v>250</v>
      </c>
      <c r="AX11">
        <v>8</v>
      </c>
      <c r="AY11">
        <v>8</v>
      </c>
      <c r="AZ11" s="136">
        <v>75052.2</v>
      </c>
      <c r="BA11" s="137">
        <v>229.92</v>
      </c>
    </row>
    <row r="12" spans="1:53">
      <c r="A12">
        <v>3</v>
      </c>
      <c r="B12" s="117" t="s">
        <v>125</v>
      </c>
      <c r="C12">
        <v>1273.0416</v>
      </c>
      <c r="D12" s="128">
        <v>916.85599999999999</v>
      </c>
      <c r="E12" s="129">
        <v>33.377400000000002</v>
      </c>
      <c r="F12" s="129">
        <v>43.7864</v>
      </c>
      <c r="G12" s="130">
        <v>43.341200000000001</v>
      </c>
      <c r="H12" s="128">
        <v>136.60079999999999</v>
      </c>
      <c r="I12" s="129">
        <v>32.953200000000002</v>
      </c>
      <c r="J12" s="129">
        <v>43.845799999999997</v>
      </c>
      <c r="K12" s="130">
        <v>43.4071</v>
      </c>
      <c r="L12" s="128">
        <v>130.708</v>
      </c>
      <c r="M12" s="129">
        <v>33.142299999999999</v>
      </c>
      <c r="N12" s="129">
        <v>43.755000000000003</v>
      </c>
      <c r="O12" s="130">
        <v>43.261299999999999</v>
      </c>
      <c r="P12" s="131">
        <v>45.5336</v>
      </c>
      <c r="Q12" s="132">
        <v>39.178699999999999</v>
      </c>
      <c r="R12" s="131">
        <v>19.024000000000001</v>
      </c>
      <c r="S12" s="132">
        <v>38.415900000000001</v>
      </c>
      <c r="T12" s="131">
        <v>19.488800000000001</v>
      </c>
      <c r="U12" s="132">
        <v>38.438699999999997</v>
      </c>
      <c r="V12" s="133">
        <v>33.178199999999997</v>
      </c>
      <c r="W12" s="134">
        <v>43.9617</v>
      </c>
      <c r="X12" s="135">
        <v>43.483699999999999</v>
      </c>
      <c r="Y12" s="133">
        <v>33.369500000000002</v>
      </c>
      <c r="Z12" s="134">
        <v>44.173699999999997</v>
      </c>
      <c r="AA12" s="135">
        <v>43.7181</v>
      </c>
      <c r="AB12" s="133">
        <v>33.4251</v>
      </c>
      <c r="AC12" s="134">
        <v>44.381300000000003</v>
      </c>
      <c r="AD12" s="135">
        <v>43.9617</v>
      </c>
      <c r="AE12" s="133">
        <v>33.433700000000002</v>
      </c>
      <c r="AF12" s="134">
        <v>44.308900000000001</v>
      </c>
      <c r="AG12" s="135">
        <v>43.912199999999999</v>
      </c>
      <c r="AH12" s="133">
        <v>33.4221</v>
      </c>
      <c r="AI12" s="134">
        <v>43.7577</v>
      </c>
      <c r="AJ12" s="135">
        <v>43.517699999999998</v>
      </c>
      <c r="AK12" s="133">
        <v>33.294699999999999</v>
      </c>
      <c r="AL12" s="134">
        <v>43.571300000000001</v>
      </c>
      <c r="AM12" s="135">
        <v>43.338999999999999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1920</v>
      </c>
      <c r="AU12">
        <v>1088</v>
      </c>
      <c r="AV12">
        <v>25</v>
      </c>
      <c r="AW12">
        <v>250</v>
      </c>
      <c r="AX12">
        <v>8</v>
      </c>
      <c r="AY12">
        <v>8</v>
      </c>
      <c r="AZ12" s="136">
        <v>63025.72</v>
      </c>
      <c r="BA12" s="137">
        <v>227.04</v>
      </c>
    </row>
    <row r="13" spans="1:53">
      <c r="A13">
        <v>3</v>
      </c>
      <c r="B13" s="117" t="s">
        <v>126</v>
      </c>
      <c r="C13">
        <v>595.024</v>
      </c>
      <c r="D13" s="128">
        <v>425.44720000000001</v>
      </c>
      <c r="E13" s="129">
        <v>31.080500000000001</v>
      </c>
      <c r="F13" s="129">
        <v>42.991700000000002</v>
      </c>
      <c r="G13" s="130">
        <v>42.590800000000002</v>
      </c>
      <c r="H13" s="128">
        <v>62.764800000000001</v>
      </c>
      <c r="I13" s="129">
        <v>30.733699999999999</v>
      </c>
      <c r="J13" s="129">
        <v>43.047899999999998</v>
      </c>
      <c r="K13" s="130">
        <v>42.655000000000001</v>
      </c>
      <c r="L13" s="128">
        <v>60.535200000000003</v>
      </c>
      <c r="M13" s="129">
        <v>30.907299999999999</v>
      </c>
      <c r="N13" s="129">
        <v>42.961300000000001</v>
      </c>
      <c r="O13" s="130">
        <v>42.512999999999998</v>
      </c>
      <c r="P13" s="131">
        <v>21.655200000000001</v>
      </c>
      <c r="Q13" s="132">
        <v>35.120699999999999</v>
      </c>
      <c r="R13" s="131">
        <v>9.5944000000000003</v>
      </c>
      <c r="S13" s="132">
        <v>34.545299999999997</v>
      </c>
      <c r="T13" s="131">
        <v>10.1968</v>
      </c>
      <c r="U13" s="132">
        <v>34.748899999999999</v>
      </c>
      <c r="V13" s="133">
        <v>30.864899999999999</v>
      </c>
      <c r="W13" s="134">
        <v>43.257800000000003</v>
      </c>
      <c r="X13" s="135">
        <v>42.758800000000001</v>
      </c>
      <c r="Y13" s="133">
        <v>31.002700000000001</v>
      </c>
      <c r="Z13" s="134">
        <v>43.420299999999997</v>
      </c>
      <c r="AA13" s="135">
        <v>42.975299999999997</v>
      </c>
      <c r="AB13" s="133">
        <v>31.0564</v>
      </c>
      <c r="AC13" s="134">
        <v>43.5364</v>
      </c>
      <c r="AD13" s="135">
        <v>43.154200000000003</v>
      </c>
      <c r="AE13" s="133">
        <v>31.059799999999999</v>
      </c>
      <c r="AF13" s="134">
        <v>43.467399999999998</v>
      </c>
      <c r="AG13" s="135">
        <v>43.0779</v>
      </c>
      <c r="AH13" s="133">
        <v>31.0442</v>
      </c>
      <c r="AI13" s="134">
        <v>42.973199999999999</v>
      </c>
      <c r="AJ13" s="135">
        <v>42.527700000000003</v>
      </c>
      <c r="AK13" s="133">
        <v>30.967400000000001</v>
      </c>
      <c r="AL13" s="134">
        <v>42.815600000000003</v>
      </c>
      <c r="AM13" s="135">
        <v>42.320099999999996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1920</v>
      </c>
      <c r="AU13">
        <v>1088</v>
      </c>
      <c r="AV13">
        <v>25</v>
      </c>
      <c r="AW13">
        <v>250</v>
      </c>
      <c r="AX13">
        <v>8</v>
      </c>
      <c r="AY13">
        <v>8</v>
      </c>
      <c r="AZ13" s="136">
        <v>31103.27</v>
      </c>
      <c r="BA13" s="137">
        <v>145.49</v>
      </c>
    </row>
    <row r="14" spans="1:53">
      <c r="A14">
        <v>4</v>
      </c>
      <c r="B14" s="117" t="s">
        <v>127</v>
      </c>
      <c r="C14">
        <v>5274.9048000000003</v>
      </c>
      <c r="D14" s="128">
        <v>3712.8879999999999</v>
      </c>
      <c r="E14" s="129">
        <v>40.254600000000003</v>
      </c>
      <c r="F14" s="129">
        <v>45.456800000000001</v>
      </c>
      <c r="G14" s="130">
        <v>46.298999999999999</v>
      </c>
      <c r="H14" s="128">
        <v>524.68320000000006</v>
      </c>
      <c r="I14" s="129">
        <v>39.742600000000003</v>
      </c>
      <c r="J14" s="129">
        <v>45.329300000000003</v>
      </c>
      <c r="K14" s="130">
        <v>46.180700000000002</v>
      </c>
      <c r="L14" s="128">
        <v>546.33439999999996</v>
      </c>
      <c r="M14" s="129">
        <v>39.706299999999999</v>
      </c>
      <c r="N14" s="129">
        <v>45.288600000000002</v>
      </c>
      <c r="O14" s="130">
        <v>46.144100000000002</v>
      </c>
      <c r="P14" s="131">
        <v>283.7072</v>
      </c>
      <c r="Q14" s="132">
        <v>43.412100000000002</v>
      </c>
      <c r="R14" s="131">
        <v>99.266400000000004</v>
      </c>
      <c r="S14" s="132">
        <v>42.429900000000004</v>
      </c>
      <c r="T14" s="131">
        <v>103.1952</v>
      </c>
      <c r="U14" s="132">
        <v>42.361400000000003</v>
      </c>
      <c r="V14" s="133">
        <v>39.835799999999999</v>
      </c>
      <c r="W14" s="134">
        <v>46.537999999999997</v>
      </c>
      <c r="X14" s="135">
        <v>46.512700000000002</v>
      </c>
      <c r="Y14" s="133">
        <v>40.0184</v>
      </c>
      <c r="Z14" s="134">
        <v>46.322000000000003</v>
      </c>
      <c r="AA14" s="135">
        <v>46.779200000000003</v>
      </c>
      <c r="AB14" s="133">
        <v>40.270899999999997</v>
      </c>
      <c r="AC14" s="134">
        <v>46.961799999999997</v>
      </c>
      <c r="AD14" s="135">
        <v>47.796500000000002</v>
      </c>
      <c r="AE14" s="133">
        <v>40.253799999999998</v>
      </c>
      <c r="AF14" s="134">
        <v>46.960799999999999</v>
      </c>
      <c r="AG14" s="135">
        <v>47.7866</v>
      </c>
      <c r="AH14" s="133">
        <v>40.024299999999997</v>
      </c>
      <c r="AI14" s="134">
        <v>46.288400000000003</v>
      </c>
      <c r="AJ14" s="135">
        <v>47.003900000000002</v>
      </c>
      <c r="AK14" s="133">
        <v>39.815899999999999</v>
      </c>
      <c r="AL14" s="134">
        <v>46.3352</v>
      </c>
      <c r="AM14" s="135">
        <v>46.603900000000003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1920</v>
      </c>
      <c r="AU14">
        <v>1088</v>
      </c>
      <c r="AV14">
        <v>25</v>
      </c>
      <c r="AW14">
        <v>250</v>
      </c>
      <c r="AX14">
        <v>8</v>
      </c>
      <c r="AY14">
        <v>8</v>
      </c>
      <c r="AZ14" s="136">
        <v>115971.62</v>
      </c>
      <c r="BA14" s="137">
        <v>241.87</v>
      </c>
    </row>
    <row r="15" spans="1:53">
      <c r="A15">
        <v>4</v>
      </c>
      <c r="B15" s="117" t="s">
        <v>128</v>
      </c>
      <c r="C15">
        <v>2152.7512000000002</v>
      </c>
      <c r="D15" s="128">
        <v>1615.7592</v>
      </c>
      <c r="E15" s="129">
        <v>37.819699999999997</v>
      </c>
      <c r="F15" s="129">
        <v>43.633099999999999</v>
      </c>
      <c r="G15" s="130">
        <v>44.465400000000002</v>
      </c>
      <c r="H15" s="128">
        <v>182.8</v>
      </c>
      <c r="I15" s="129">
        <v>37.4664</v>
      </c>
      <c r="J15" s="129">
        <v>43.5777</v>
      </c>
      <c r="K15" s="130">
        <v>44.417099999999998</v>
      </c>
      <c r="L15" s="128">
        <v>192.54079999999999</v>
      </c>
      <c r="M15" s="129">
        <v>37.425400000000003</v>
      </c>
      <c r="N15" s="129">
        <v>43.5351</v>
      </c>
      <c r="O15" s="130">
        <v>44.379199999999997</v>
      </c>
      <c r="P15" s="131">
        <v>96.832800000000006</v>
      </c>
      <c r="Q15" s="132">
        <v>39.287399999999998</v>
      </c>
      <c r="R15" s="131">
        <v>29.1952</v>
      </c>
      <c r="S15" s="132">
        <v>38.365400000000001</v>
      </c>
      <c r="T15" s="131">
        <v>30.7928</v>
      </c>
      <c r="U15" s="132">
        <v>38.384599999999999</v>
      </c>
      <c r="V15" s="133">
        <v>37.589700000000001</v>
      </c>
      <c r="W15" s="134">
        <v>44.753100000000003</v>
      </c>
      <c r="X15" s="135">
        <v>45.096699999999998</v>
      </c>
      <c r="Y15" s="133">
        <v>37.729100000000003</v>
      </c>
      <c r="Z15" s="134">
        <v>44.668399999999998</v>
      </c>
      <c r="AA15" s="135">
        <v>45.225999999999999</v>
      </c>
      <c r="AB15" s="133">
        <v>37.863799999999998</v>
      </c>
      <c r="AC15" s="134">
        <v>45.052500000000002</v>
      </c>
      <c r="AD15" s="135">
        <v>45.870199999999997</v>
      </c>
      <c r="AE15" s="133">
        <v>37.848599999999998</v>
      </c>
      <c r="AF15" s="134">
        <v>45.052599999999998</v>
      </c>
      <c r="AG15" s="135">
        <v>45.856499999999997</v>
      </c>
      <c r="AH15" s="133">
        <v>37.708399999999997</v>
      </c>
      <c r="AI15" s="134">
        <v>44.639899999999997</v>
      </c>
      <c r="AJ15" s="135">
        <v>45.3354</v>
      </c>
      <c r="AK15" s="133">
        <v>37.538200000000003</v>
      </c>
      <c r="AL15" s="134">
        <v>44.604799999999997</v>
      </c>
      <c r="AM15" s="135">
        <v>45.117699999999999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1920</v>
      </c>
      <c r="AU15">
        <v>1088</v>
      </c>
      <c r="AV15">
        <v>25</v>
      </c>
      <c r="AW15">
        <v>250</v>
      </c>
      <c r="AX15">
        <v>8</v>
      </c>
      <c r="AY15">
        <v>8</v>
      </c>
      <c r="AZ15" s="136">
        <v>84285.51</v>
      </c>
      <c r="BA15" s="137">
        <v>229.83</v>
      </c>
    </row>
    <row r="16" spans="1:53">
      <c r="A16">
        <v>4</v>
      </c>
      <c r="B16" s="117" t="s">
        <v>129</v>
      </c>
      <c r="C16">
        <v>979.59760000000006</v>
      </c>
      <c r="D16" s="128">
        <v>755.71600000000001</v>
      </c>
      <c r="E16" s="129">
        <v>35.622599999999998</v>
      </c>
      <c r="F16" s="129">
        <v>41.8003</v>
      </c>
      <c r="G16" s="130">
        <v>42.614400000000003</v>
      </c>
      <c r="H16" s="128">
        <v>74.654399999999995</v>
      </c>
      <c r="I16" s="129">
        <v>35.383000000000003</v>
      </c>
      <c r="J16" s="129">
        <v>41.799599999999998</v>
      </c>
      <c r="K16" s="130">
        <v>42.625799999999998</v>
      </c>
      <c r="L16" s="128">
        <v>78.964799999999997</v>
      </c>
      <c r="M16" s="129">
        <v>35.336300000000001</v>
      </c>
      <c r="N16" s="129">
        <v>41.7592</v>
      </c>
      <c r="O16" s="130">
        <v>42.5837</v>
      </c>
      <c r="P16" s="131">
        <v>39.885599999999997</v>
      </c>
      <c r="Q16" s="132">
        <v>35.464100000000002</v>
      </c>
      <c r="R16" s="131">
        <v>12.5632</v>
      </c>
      <c r="S16" s="132">
        <v>34.713099999999997</v>
      </c>
      <c r="T16" s="131">
        <v>12.9832</v>
      </c>
      <c r="U16" s="132">
        <v>34.765599999999999</v>
      </c>
      <c r="V16" s="133">
        <v>35.505899999999997</v>
      </c>
      <c r="W16" s="134">
        <v>42.792000000000002</v>
      </c>
      <c r="X16" s="135">
        <v>43.393500000000003</v>
      </c>
      <c r="Y16" s="133">
        <v>35.602600000000002</v>
      </c>
      <c r="Z16" s="134">
        <v>42.815399999999997</v>
      </c>
      <c r="AA16" s="135">
        <v>43.450499999999998</v>
      </c>
      <c r="AB16" s="133">
        <v>35.667900000000003</v>
      </c>
      <c r="AC16" s="134">
        <v>43.040100000000002</v>
      </c>
      <c r="AD16" s="135">
        <v>43.817599999999999</v>
      </c>
      <c r="AE16" s="133">
        <v>35.6599</v>
      </c>
      <c r="AF16" s="134">
        <v>43.031199999999998</v>
      </c>
      <c r="AG16" s="135">
        <v>43.799599999999998</v>
      </c>
      <c r="AH16" s="133">
        <v>35.58</v>
      </c>
      <c r="AI16" s="134">
        <v>42.759099999999997</v>
      </c>
      <c r="AJ16" s="135">
        <v>43.450699999999998</v>
      </c>
      <c r="AK16" s="133">
        <v>35.456000000000003</v>
      </c>
      <c r="AL16" s="134">
        <v>42.6691</v>
      </c>
      <c r="AM16" s="135">
        <v>43.2545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1920</v>
      </c>
      <c r="AU16">
        <v>1088</v>
      </c>
      <c r="AV16">
        <v>25</v>
      </c>
      <c r="AW16">
        <v>250</v>
      </c>
      <c r="AX16">
        <v>8</v>
      </c>
      <c r="AY16">
        <v>8</v>
      </c>
      <c r="AZ16" s="136">
        <v>40593.47</v>
      </c>
      <c r="BA16" s="137">
        <v>146.21</v>
      </c>
    </row>
    <row r="17" spans="1:53">
      <c r="A17">
        <v>4</v>
      </c>
      <c r="B17" s="117" t="s">
        <v>130</v>
      </c>
      <c r="C17">
        <v>471.70960000000002</v>
      </c>
      <c r="D17" s="128">
        <v>365.31439999999998</v>
      </c>
      <c r="E17" s="129">
        <v>33.465200000000003</v>
      </c>
      <c r="F17" s="129">
        <v>40.564399999999999</v>
      </c>
      <c r="G17" s="130">
        <v>41.401600000000002</v>
      </c>
      <c r="H17" s="128">
        <v>34.234400000000001</v>
      </c>
      <c r="I17" s="129">
        <v>33.293999999999997</v>
      </c>
      <c r="J17" s="129">
        <v>40.563200000000002</v>
      </c>
      <c r="K17" s="130">
        <v>41.406500000000001</v>
      </c>
      <c r="L17" s="128">
        <v>36.7776</v>
      </c>
      <c r="M17" s="129">
        <v>33.250300000000003</v>
      </c>
      <c r="N17" s="129">
        <v>40.521799999999999</v>
      </c>
      <c r="O17" s="130">
        <v>41.368899999999996</v>
      </c>
      <c r="P17" s="131">
        <v>17.991199999999999</v>
      </c>
      <c r="Q17" s="132">
        <v>32.184100000000001</v>
      </c>
      <c r="R17" s="131">
        <v>6.2304000000000004</v>
      </c>
      <c r="S17" s="132">
        <v>31.476700000000001</v>
      </c>
      <c r="T17" s="131">
        <v>6.3311999999999999</v>
      </c>
      <c r="U17" s="132">
        <v>31.535599999999999</v>
      </c>
      <c r="V17" s="133">
        <v>33.408200000000001</v>
      </c>
      <c r="W17" s="134">
        <v>41.425199999999997</v>
      </c>
      <c r="X17" s="135">
        <v>42.155200000000001</v>
      </c>
      <c r="Y17" s="133">
        <v>33.4726</v>
      </c>
      <c r="Z17" s="134">
        <v>41.509599999999999</v>
      </c>
      <c r="AA17" s="135">
        <v>42.181100000000001</v>
      </c>
      <c r="AB17" s="133">
        <v>33.511200000000002</v>
      </c>
      <c r="AC17" s="134">
        <v>41.6599</v>
      </c>
      <c r="AD17" s="135">
        <v>42.453600000000002</v>
      </c>
      <c r="AE17" s="133">
        <v>33.506599999999999</v>
      </c>
      <c r="AF17" s="134">
        <v>41.651600000000002</v>
      </c>
      <c r="AG17" s="135">
        <v>42.430100000000003</v>
      </c>
      <c r="AH17" s="133">
        <v>33.4497</v>
      </c>
      <c r="AI17" s="134">
        <v>41.459600000000002</v>
      </c>
      <c r="AJ17" s="135">
        <v>42.155500000000004</v>
      </c>
      <c r="AK17" s="133">
        <v>33.360399999999998</v>
      </c>
      <c r="AL17" s="134">
        <v>41.352600000000002</v>
      </c>
      <c r="AM17" s="135">
        <v>42.019199999999998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1920</v>
      </c>
      <c r="AU17">
        <v>1088</v>
      </c>
      <c r="AV17">
        <v>25</v>
      </c>
      <c r="AW17">
        <v>250</v>
      </c>
      <c r="AX17">
        <v>8</v>
      </c>
      <c r="AY17">
        <v>8</v>
      </c>
      <c r="AZ17" s="136">
        <v>60731.48</v>
      </c>
      <c r="BA17" s="137">
        <v>213.39</v>
      </c>
    </row>
    <row r="18" spans="1:53">
      <c r="A18">
        <v>5</v>
      </c>
      <c r="B18" s="117" t="s">
        <v>131</v>
      </c>
      <c r="C18">
        <v>1785.5408</v>
      </c>
      <c r="D18" s="128">
        <v>846.29520000000002</v>
      </c>
      <c r="E18" s="129">
        <v>43.603400000000001</v>
      </c>
      <c r="F18" s="129">
        <v>44.9589</v>
      </c>
      <c r="G18" s="130">
        <v>44.931199999999997</v>
      </c>
      <c r="H18" s="128">
        <v>273.46879999999999</v>
      </c>
      <c r="I18" s="129">
        <v>42.687100000000001</v>
      </c>
      <c r="J18" s="129">
        <v>44.739699999999999</v>
      </c>
      <c r="K18" s="130">
        <v>44.149700000000003</v>
      </c>
      <c r="L18" s="128">
        <v>290.0872</v>
      </c>
      <c r="M18" s="129">
        <v>42.325000000000003</v>
      </c>
      <c r="N18" s="129">
        <v>43.945099999999996</v>
      </c>
      <c r="O18" s="130">
        <v>43.896099999999997</v>
      </c>
      <c r="P18" s="131">
        <v>138</v>
      </c>
      <c r="Q18" s="132">
        <v>39.056899999999999</v>
      </c>
      <c r="R18" s="131">
        <v>107.2632</v>
      </c>
      <c r="S18" s="132">
        <v>36.015700000000002</v>
      </c>
      <c r="T18" s="131">
        <v>124.636</v>
      </c>
      <c r="U18" s="132">
        <v>35.152999999999999</v>
      </c>
      <c r="V18" s="133">
        <v>42.761099999999999</v>
      </c>
      <c r="W18" s="134">
        <v>46.972900000000003</v>
      </c>
      <c r="X18" s="135">
        <v>45.784100000000002</v>
      </c>
      <c r="Y18" s="133">
        <v>43.463799999999999</v>
      </c>
      <c r="Z18" s="134">
        <v>47.589399999999998</v>
      </c>
      <c r="AA18" s="135">
        <v>46.607999999999997</v>
      </c>
      <c r="AB18" s="133">
        <v>43.641199999999998</v>
      </c>
      <c r="AC18" s="134">
        <v>47.041899999999998</v>
      </c>
      <c r="AD18" s="135">
        <v>46.531100000000002</v>
      </c>
      <c r="AE18" s="133">
        <v>43.466200000000001</v>
      </c>
      <c r="AF18" s="134">
        <v>47.029000000000003</v>
      </c>
      <c r="AG18" s="135">
        <v>46.583300000000001</v>
      </c>
      <c r="AH18" s="133">
        <v>43.199800000000003</v>
      </c>
      <c r="AI18" s="134">
        <v>47.278199999999998</v>
      </c>
      <c r="AJ18" s="135">
        <v>46.576700000000002</v>
      </c>
      <c r="AK18" s="133">
        <v>42.4497</v>
      </c>
      <c r="AL18" s="134">
        <v>46.330100000000002</v>
      </c>
      <c r="AM18" s="135">
        <v>45.740099999999998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1024</v>
      </c>
      <c r="AU18">
        <v>768</v>
      </c>
      <c r="AV18">
        <v>30</v>
      </c>
      <c r="AW18">
        <v>300</v>
      </c>
      <c r="AX18">
        <v>8</v>
      </c>
      <c r="AY18">
        <v>8</v>
      </c>
      <c r="AZ18" s="136">
        <v>31411.43</v>
      </c>
      <c r="BA18" s="137">
        <v>76.95</v>
      </c>
    </row>
    <row r="19" spans="1:53">
      <c r="A19">
        <v>5</v>
      </c>
      <c r="B19" s="117" t="s">
        <v>132</v>
      </c>
      <c r="C19">
        <v>831.17679999999996</v>
      </c>
      <c r="D19" s="128">
        <v>450.75119999999998</v>
      </c>
      <c r="E19" s="129">
        <v>41.433599999999998</v>
      </c>
      <c r="F19" s="129">
        <v>44.113999999999997</v>
      </c>
      <c r="G19" s="130">
        <v>43.451300000000003</v>
      </c>
      <c r="H19" s="128">
        <v>122.2688</v>
      </c>
      <c r="I19" s="129">
        <v>40.362400000000001</v>
      </c>
      <c r="J19" s="129">
        <v>43.803600000000003</v>
      </c>
      <c r="K19" s="130">
        <v>42.664099999999998</v>
      </c>
      <c r="L19" s="128">
        <v>128.40719999999999</v>
      </c>
      <c r="M19" s="129">
        <v>40.110599999999998</v>
      </c>
      <c r="N19" s="129">
        <v>42.963200000000001</v>
      </c>
      <c r="O19" s="130">
        <v>42.46</v>
      </c>
      <c r="P19" s="131">
        <v>48.198399999999999</v>
      </c>
      <c r="Q19" s="132">
        <v>35.012700000000002</v>
      </c>
      <c r="R19" s="131">
        <v>35.374400000000001</v>
      </c>
      <c r="S19" s="132">
        <v>32.044400000000003</v>
      </c>
      <c r="T19" s="131">
        <v>40.386400000000002</v>
      </c>
      <c r="U19" s="132">
        <v>31.359100000000002</v>
      </c>
      <c r="V19" s="133">
        <v>40.518300000000004</v>
      </c>
      <c r="W19" s="134">
        <v>45.807099999999998</v>
      </c>
      <c r="X19" s="135">
        <v>44.048900000000003</v>
      </c>
      <c r="Y19" s="133">
        <v>41.075899999999997</v>
      </c>
      <c r="Z19" s="134">
        <v>46.322200000000002</v>
      </c>
      <c r="AA19" s="135">
        <v>44.770899999999997</v>
      </c>
      <c r="AB19" s="133">
        <v>41.354300000000002</v>
      </c>
      <c r="AC19" s="134">
        <v>45.9938</v>
      </c>
      <c r="AD19" s="135">
        <v>44.804299999999998</v>
      </c>
      <c r="AE19" s="133">
        <v>41.193100000000001</v>
      </c>
      <c r="AF19" s="134">
        <v>46.016199999999998</v>
      </c>
      <c r="AG19" s="135">
        <v>44.8551</v>
      </c>
      <c r="AH19" s="133">
        <v>40.846800000000002</v>
      </c>
      <c r="AI19" s="134">
        <v>46.124499999999998</v>
      </c>
      <c r="AJ19" s="135">
        <v>44.753999999999998</v>
      </c>
      <c r="AK19" s="133">
        <v>40.269399999999997</v>
      </c>
      <c r="AL19" s="134">
        <v>45.205500000000001</v>
      </c>
      <c r="AM19" s="135">
        <v>44.0246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1024</v>
      </c>
      <c r="AU19">
        <v>768</v>
      </c>
      <c r="AV19">
        <v>30</v>
      </c>
      <c r="AW19">
        <v>300</v>
      </c>
      <c r="AX19">
        <v>8</v>
      </c>
      <c r="AY19">
        <v>8</v>
      </c>
      <c r="AZ19" s="136">
        <v>46281.95</v>
      </c>
      <c r="BA19" s="137">
        <v>104.3</v>
      </c>
    </row>
    <row r="20" spans="1:53">
      <c r="A20">
        <v>5</v>
      </c>
      <c r="B20" s="117" t="s">
        <v>133</v>
      </c>
      <c r="C20">
        <v>445.19839999999999</v>
      </c>
      <c r="D20" s="128">
        <v>255.928</v>
      </c>
      <c r="E20" s="129">
        <v>38.940899999999999</v>
      </c>
      <c r="F20" s="129">
        <v>43.061300000000003</v>
      </c>
      <c r="G20" s="130">
        <v>41.776499999999999</v>
      </c>
      <c r="H20" s="128">
        <v>63.682400000000001</v>
      </c>
      <c r="I20" s="129">
        <v>37.905700000000003</v>
      </c>
      <c r="J20" s="129">
        <v>42.886200000000002</v>
      </c>
      <c r="K20" s="130">
        <v>41.304400000000001</v>
      </c>
      <c r="L20" s="128">
        <v>66.400800000000004</v>
      </c>
      <c r="M20" s="129">
        <v>37.723399999999998</v>
      </c>
      <c r="N20" s="129">
        <v>42.192300000000003</v>
      </c>
      <c r="O20" s="130">
        <v>41.205199999999998</v>
      </c>
      <c r="P20" s="131">
        <v>20.837599999999998</v>
      </c>
      <c r="Q20" s="132">
        <v>31.982800000000001</v>
      </c>
      <c r="R20" s="131">
        <v>15.333600000000001</v>
      </c>
      <c r="S20" s="132">
        <v>29.391400000000001</v>
      </c>
      <c r="T20" s="131">
        <v>17.2256</v>
      </c>
      <c r="U20" s="132">
        <v>28.65</v>
      </c>
      <c r="V20" s="133">
        <v>38.154200000000003</v>
      </c>
      <c r="W20" s="134">
        <v>44.650300000000001</v>
      </c>
      <c r="X20" s="135">
        <v>42.478499999999997</v>
      </c>
      <c r="Y20" s="133">
        <v>38.582999999999998</v>
      </c>
      <c r="Z20" s="134">
        <v>44.962299999999999</v>
      </c>
      <c r="AA20" s="135">
        <v>42.9724</v>
      </c>
      <c r="AB20" s="133">
        <v>38.845999999999997</v>
      </c>
      <c r="AC20" s="134">
        <v>44.712800000000001</v>
      </c>
      <c r="AD20" s="135">
        <v>42.956299999999999</v>
      </c>
      <c r="AE20" s="133">
        <v>38.695500000000003</v>
      </c>
      <c r="AF20" s="134">
        <v>44.755800000000001</v>
      </c>
      <c r="AG20" s="135">
        <v>42.974899999999998</v>
      </c>
      <c r="AH20" s="133">
        <v>38.363900000000001</v>
      </c>
      <c r="AI20" s="134">
        <v>44.927199999999999</v>
      </c>
      <c r="AJ20" s="135">
        <v>42.967700000000001</v>
      </c>
      <c r="AK20" s="133">
        <v>37.922800000000002</v>
      </c>
      <c r="AL20" s="134">
        <v>44.218499999999999</v>
      </c>
      <c r="AM20" s="135">
        <v>42.471800000000002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1024</v>
      </c>
      <c r="AU20">
        <v>768</v>
      </c>
      <c r="AV20">
        <v>30</v>
      </c>
      <c r="AW20">
        <v>300</v>
      </c>
      <c r="AX20">
        <v>8</v>
      </c>
      <c r="AY20">
        <v>8</v>
      </c>
      <c r="AZ20" s="136">
        <v>39535.919999999998</v>
      </c>
      <c r="BA20" s="137">
        <v>105.14</v>
      </c>
    </row>
    <row r="21" spans="1:53">
      <c r="A21">
        <v>5</v>
      </c>
      <c r="B21" s="117" t="s">
        <v>134</v>
      </c>
      <c r="C21">
        <v>254.73439999999999</v>
      </c>
      <c r="D21" s="128">
        <v>153.756</v>
      </c>
      <c r="E21" s="129">
        <v>36.325200000000002</v>
      </c>
      <c r="F21" s="129">
        <v>42.263399999999997</v>
      </c>
      <c r="G21" s="130">
        <v>40.448300000000003</v>
      </c>
      <c r="H21" s="128">
        <v>34.364800000000002</v>
      </c>
      <c r="I21" s="129">
        <v>35.369199999999999</v>
      </c>
      <c r="J21" s="129">
        <v>41.999499999999998</v>
      </c>
      <c r="K21" s="130">
        <v>40.029899999999998</v>
      </c>
      <c r="L21" s="128">
        <v>35.292000000000002</v>
      </c>
      <c r="M21" s="129">
        <v>35.219799999999999</v>
      </c>
      <c r="N21" s="129">
        <v>41.421799999999998</v>
      </c>
      <c r="O21" s="130">
        <v>39.9773</v>
      </c>
      <c r="P21" s="131">
        <v>9.9992000000000001</v>
      </c>
      <c r="Q21" s="132">
        <v>29.476700000000001</v>
      </c>
      <c r="R21" s="131">
        <v>7.3879999999999999</v>
      </c>
      <c r="S21" s="132">
        <v>26.883900000000001</v>
      </c>
      <c r="T21" s="131">
        <v>8.1440000000000001</v>
      </c>
      <c r="U21" s="132">
        <v>26.0825</v>
      </c>
      <c r="V21" s="133">
        <v>35.681899999999999</v>
      </c>
      <c r="W21" s="134">
        <v>43.680999999999997</v>
      </c>
      <c r="X21" s="135">
        <v>41.074399999999997</v>
      </c>
      <c r="Y21" s="133">
        <v>36.002699999999997</v>
      </c>
      <c r="Z21" s="134">
        <v>43.924500000000002</v>
      </c>
      <c r="AA21" s="135">
        <v>41.461300000000001</v>
      </c>
      <c r="AB21" s="133">
        <v>36.238999999999997</v>
      </c>
      <c r="AC21" s="134">
        <v>43.763399999999997</v>
      </c>
      <c r="AD21" s="135">
        <v>41.464100000000002</v>
      </c>
      <c r="AE21" s="133">
        <v>36.087600000000002</v>
      </c>
      <c r="AF21" s="134">
        <v>43.785299999999999</v>
      </c>
      <c r="AG21" s="135">
        <v>41.445999999999998</v>
      </c>
      <c r="AH21" s="133">
        <v>35.786799999999999</v>
      </c>
      <c r="AI21" s="134">
        <v>43.891500000000001</v>
      </c>
      <c r="AJ21" s="135">
        <v>41.406599999999997</v>
      </c>
      <c r="AK21" s="133">
        <v>35.428699999999999</v>
      </c>
      <c r="AL21" s="134">
        <v>43.301400000000001</v>
      </c>
      <c r="AM21" s="135">
        <v>41.014400000000002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1024</v>
      </c>
      <c r="AU21">
        <v>768</v>
      </c>
      <c r="AV21">
        <v>30</v>
      </c>
      <c r="AW21">
        <v>300</v>
      </c>
      <c r="AX21">
        <v>8</v>
      </c>
      <c r="AY21">
        <v>8</v>
      </c>
      <c r="AZ21" s="136">
        <v>34621.919999999998</v>
      </c>
      <c r="BA21" s="137">
        <v>97.79</v>
      </c>
    </row>
    <row r="22" spans="1:53">
      <c r="A22">
        <v>6</v>
      </c>
      <c r="B22" s="117" t="s">
        <v>135</v>
      </c>
      <c r="C22">
        <v>1747.9272000000001</v>
      </c>
      <c r="D22" s="128">
        <v>878.05759999999998</v>
      </c>
      <c r="E22" s="129">
        <v>43.095300000000002</v>
      </c>
      <c r="F22" s="129">
        <v>43.405999999999999</v>
      </c>
      <c r="G22" s="130">
        <v>43.974600000000002</v>
      </c>
      <c r="H22" s="128">
        <v>268.42160000000001</v>
      </c>
      <c r="I22" s="129">
        <v>42.222999999999999</v>
      </c>
      <c r="J22" s="129">
        <v>43.1053</v>
      </c>
      <c r="K22" s="130">
        <v>43.130600000000001</v>
      </c>
      <c r="L22" s="128">
        <v>297.82960000000003</v>
      </c>
      <c r="M22" s="129">
        <v>41.893900000000002</v>
      </c>
      <c r="N22" s="129">
        <v>42.548699999999997</v>
      </c>
      <c r="O22" s="130">
        <v>42.872500000000002</v>
      </c>
      <c r="P22" s="131">
        <v>116.16160000000001</v>
      </c>
      <c r="Q22" s="132">
        <v>39.516199999999998</v>
      </c>
      <c r="R22" s="131">
        <v>85.846400000000003</v>
      </c>
      <c r="S22" s="132">
        <v>37.423299999999998</v>
      </c>
      <c r="T22" s="131">
        <v>95.82</v>
      </c>
      <c r="U22" s="132">
        <v>36.736199999999997</v>
      </c>
      <c r="V22" s="133">
        <v>42.318100000000001</v>
      </c>
      <c r="W22" s="134">
        <v>45.356200000000001</v>
      </c>
      <c r="X22" s="135">
        <v>45.083799999999997</v>
      </c>
      <c r="Y22" s="133">
        <v>42.927900000000001</v>
      </c>
      <c r="Z22" s="134">
        <v>45.9572</v>
      </c>
      <c r="AA22" s="135">
        <v>45.7654</v>
      </c>
      <c r="AB22" s="133">
        <v>43.048900000000003</v>
      </c>
      <c r="AC22" s="134">
        <v>45.578600000000002</v>
      </c>
      <c r="AD22" s="135">
        <v>45.694200000000002</v>
      </c>
      <c r="AE22" s="133">
        <v>42.949199999999998</v>
      </c>
      <c r="AF22" s="134">
        <v>45.590499999999999</v>
      </c>
      <c r="AG22" s="135">
        <v>45.667499999999997</v>
      </c>
      <c r="AH22" s="133">
        <v>42.768900000000002</v>
      </c>
      <c r="AI22" s="134">
        <v>45.885899999999999</v>
      </c>
      <c r="AJ22" s="135">
        <v>45.656999999999996</v>
      </c>
      <c r="AK22" s="133">
        <v>42.090899999999998</v>
      </c>
      <c r="AL22" s="134">
        <v>45.148200000000003</v>
      </c>
      <c r="AM22" s="135">
        <v>44.900100000000002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1024</v>
      </c>
      <c r="AU22">
        <v>768</v>
      </c>
      <c r="AV22">
        <v>30</v>
      </c>
      <c r="AW22">
        <v>300</v>
      </c>
      <c r="AX22">
        <v>8</v>
      </c>
      <c r="AY22">
        <v>8</v>
      </c>
      <c r="AZ22" s="136">
        <v>51200.160000000003</v>
      </c>
      <c r="BA22" s="137">
        <v>119.98</v>
      </c>
    </row>
    <row r="23" spans="1:53">
      <c r="A23">
        <v>6</v>
      </c>
      <c r="B23" s="117" t="s">
        <v>136</v>
      </c>
      <c r="C23">
        <v>842.45360000000005</v>
      </c>
      <c r="D23" s="128">
        <v>481.55200000000002</v>
      </c>
      <c r="E23" s="129">
        <v>41.046100000000003</v>
      </c>
      <c r="F23" s="129">
        <v>42.135899999999999</v>
      </c>
      <c r="G23" s="130">
        <v>42.337499999999999</v>
      </c>
      <c r="H23" s="128">
        <v>122.4272</v>
      </c>
      <c r="I23" s="129">
        <v>39.902799999999999</v>
      </c>
      <c r="J23" s="129">
        <v>41.821199999999997</v>
      </c>
      <c r="K23" s="130">
        <v>41.537799999999997</v>
      </c>
      <c r="L23" s="128">
        <v>135.476</v>
      </c>
      <c r="M23" s="129">
        <v>39.661099999999998</v>
      </c>
      <c r="N23" s="129">
        <v>41.217700000000001</v>
      </c>
      <c r="O23" s="130">
        <v>41.303699999999999</v>
      </c>
      <c r="P23" s="131">
        <v>38.908799999999999</v>
      </c>
      <c r="Q23" s="132">
        <v>36.397399999999998</v>
      </c>
      <c r="R23" s="131">
        <v>27.871200000000002</v>
      </c>
      <c r="S23" s="132">
        <v>34.407699999999998</v>
      </c>
      <c r="T23" s="131">
        <v>30.428000000000001</v>
      </c>
      <c r="U23" s="132">
        <v>33.564500000000002</v>
      </c>
      <c r="V23" s="133">
        <v>40.117800000000003</v>
      </c>
      <c r="W23" s="134">
        <v>43.716700000000003</v>
      </c>
      <c r="X23" s="135">
        <v>43.120800000000003</v>
      </c>
      <c r="Y23" s="133">
        <v>40.627099999999999</v>
      </c>
      <c r="Z23" s="134">
        <v>44.202100000000002</v>
      </c>
      <c r="AA23" s="135">
        <v>43.685899999999997</v>
      </c>
      <c r="AB23" s="133">
        <v>40.9011</v>
      </c>
      <c r="AC23" s="134">
        <v>43.950299999999999</v>
      </c>
      <c r="AD23" s="135">
        <v>43.712600000000002</v>
      </c>
      <c r="AE23" s="133">
        <v>40.799999999999997</v>
      </c>
      <c r="AF23" s="134">
        <v>43.9572</v>
      </c>
      <c r="AG23" s="135">
        <v>43.694899999999997</v>
      </c>
      <c r="AH23" s="133">
        <v>40.504100000000001</v>
      </c>
      <c r="AI23" s="134">
        <v>44.136699999999998</v>
      </c>
      <c r="AJ23" s="135">
        <v>43.579900000000002</v>
      </c>
      <c r="AK23" s="133">
        <v>39.954000000000001</v>
      </c>
      <c r="AL23" s="134">
        <v>43.478999999999999</v>
      </c>
      <c r="AM23" s="135">
        <v>42.959699999999998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1024</v>
      </c>
      <c r="AU23">
        <v>768</v>
      </c>
      <c r="AV23">
        <v>30</v>
      </c>
      <c r="AW23">
        <v>300</v>
      </c>
      <c r="AX23">
        <v>8</v>
      </c>
      <c r="AY23">
        <v>8</v>
      </c>
      <c r="AZ23" s="136">
        <v>39694.82</v>
      </c>
      <c r="BA23" s="137">
        <v>107.56</v>
      </c>
    </row>
    <row r="24" spans="1:53">
      <c r="A24">
        <v>6</v>
      </c>
      <c r="B24" s="117" t="s">
        <v>137</v>
      </c>
      <c r="C24">
        <v>459.34</v>
      </c>
      <c r="D24" s="128">
        <v>277.3152</v>
      </c>
      <c r="E24" s="129">
        <v>38.459400000000002</v>
      </c>
      <c r="F24" s="129">
        <v>40.651200000000003</v>
      </c>
      <c r="G24" s="130">
        <v>40.526899999999998</v>
      </c>
      <c r="H24" s="128">
        <v>63.800800000000002</v>
      </c>
      <c r="I24" s="129">
        <v>37.302100000000003</v>
      </c>
      <c r="J24" s="129">
        <v>40.559899999999999</v>
      </c>
      <c r="K24" s="130">
        <v>40.053699999999999</v>
      </c>
      <c r="L24" s="128">
        <v>70.473600000000005</v>
      </c>
      <c r="M24" s="129">
        <v>37.106299999999997</v>
      </c>
      <c r="N24" s="129">
        <v>40.062899999999999</v>
      </c>
      <c r="O24" s="130">
        <v>39.872</v>
      </c>
      <c r="P24" s="131">
        <v>16.7728</v>
      </c>
      <c r="Q24" s="132">
        <v>33.870600000000003</v>
      </c>
      <c r="R24" s="131">
        <v>12.084</v>
      </c>
      <c r="S24" s="132">
        <v>31.956199999999999</v>
      </c>
      <c r="T24" s="131">
        <v>13.103199999999999</v>
      </c>
      <c r="U24" s="132">
        <v>30.976900000000001</v>
      </c>
      <c r="V24" s="133">
        <v>37.614199999999997</v>
      </c>
      <c r="W24" s="134">
        <v>42.064399999999999</v>
      </c>
      <c r="X24" s="135">
        <v>41.2973</v>
      </c>
      <c r="Y24" s="133">
        <v>38.047800000000002</v>
      </c>
      <c r="Z24" s="134">
        <v>42.363900000000001</v>
      </c>
      <c r="AA24" s="135">
        <v>41.650199999999998</v>
      </c>
      <c r="AB24" s="133">
        <v>38.345999999999997</v>
      </c>
      <c r="AC24" s="134">
        <v>42.124499999999998</v>
      </c>
      <c r="AD24" s="135">
        <v>41.636200000000002</v>
      </c>
      <c r="AE24" s="133">
        <v>38.245600000000003</v>
      </c>
      <c r="AF24" s="134">
        <v>42.135100000000001</v>
      </c>
      <c r="AG24" s="135">
        <v>41.622300000000003</v>
      </c>
      <c r="AH24" s="133">
        <v>37.9452</v>
      </c>
      <c r="AI24" s="134">
        <v>42.3033</v>
      </c>
      <c r="AJ24" s="135">
        <v>41.554000000000002</v>
      </c>
      <c r="AK24" s="133">
        <v>37.482900000000001</v>
      </c>
      <c r="AL24" s="134">
        <v>41.859299999999998</v>
      </c>
      <c r="AM24" s="135">
        <v>41.145000000000003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1024</v>
      </c>
      <c r="AU24">
        <v>768</v>
      </c>
      <c r="AV24">
        <v>30</v>
      </c>
      <c r="AW24">
        <v>300</v>
      </c>
      <c r="AX24">
        <v>8</v>
      </c>
      <c r="AY24">
        <v>8</v>
      </c>
      <c r="AZ24" s="136">
        <v>31309.09</v>
      </c>
      <c r="BA24" s="137">
        <v>72.260000000000005</v>
      </c>
    </row>
    <row r="25" spans="1:53">
      <c r="A25">
        <v>6</v>
      </c>
      <c r="B25" s="117" t="s">
        <v>138</v>
      </c>
      <c r="C25">
        <v>264.90480000000002</v>
      </c>
      <c r="D25" s="128">
        <v>167.92080000000001</v>
      </c>
      <c r="E25" s="129">
        <v>35.64</v>
      </c>
      <c r="F25" s="129">
        <v>39.566600000000001</v>
      </c>
      <c r="G25" s="130">
        <v>39.223599999999998</v>
      </c>
      <c r="H25" s="128">
        <v>33.576799999999999</v>
      </c>
      <c r="I25" s="129">
        <v>34.588200000000001</v>
      </c>
      <c r="J25" s="129">
        <v>39.47</v>
      </c>
      <c r="K25" s="130">
        <v>38.808</v>
      </c>
      <c r="L25" s="128">
        <v>37.183199999999999</v>
      </c>
      <c r="M25" s="129">
        <v>34.394300000000001</v>
      </c>
      <c r="N25" s="129">
        <v>39.009900000000002</v>
      </c>
      <c r="O25" s="130">
        <v>38.604599999999998</v>
      </c>
      <c r="P25" s="131">
        <v>8.4695999999999998</v>
      </c>
      <c r="Q25" s="132">
        <v>31.441299999999998</v>
      </c>
      <c r="R25" s="131">
        <v>5.7055999999999996</v>
      </c>
      <c r="S25" s="132">
        <v>29.354800000000001</v>
      </c>
      <c r="T25" s="131">
        <v>6.2584</v>
      </c>
      <c r="U25" s="132">
        <v>28.159300000000002</v>
      </c>
      <c r="V25" s="133">
        <v>34.931399999999996</v>
      </c>
      <c r="W25" s="134">
        <v>40.728700000000003</v>
      </c>
      <c r="X25" s="135">
        <v>39.832700000000003</v>
      </c>
      <c r="Y25" s="133">
        <v>35.280999999999999</v>
      </c>
      <c r="Z25" s="134">
        <v>40.9529</v>
      </c>
      <c r="AA25" s="135">
        <v>40.107500000000002</v>
      </c>
      <c r="AB25" s="133">
        <v>35.556199999999997</v>
      </c>
      <c r="AC25" s="134">
        <v>40.808599999999998</v>
      </c>
      <c r="AD25" s="135">
        <v>40.116799999999998</v>
      </c>
      <c r="AE25" s="133">
        <v>35.452500000000001</v>
      </c>
      <c r="AF25" s="134">
        <v>40.807899999999997</v>
      </c>
      <c r="AG25" s="135">
        <v>40.087200000000003</v>
      </c>
      <c r="AH25" s="133">
        <v>35.177700000000002</v>
      </c>
      <c r="AI25" s="134">
        <v>40.938099999999999</v>
      </c>
      <c r="AJ25" s="135">
        <v>39.978099999999998</v>
      </c>
      <c r="AK25" s="133">
        <v>34.802500000000002</v>
      </c>
      <c r="AL25" s="134">
        <v>40.598100000000002</v>
      </c>
      <c r="AM25" s="135">
        <v>39.657200000000003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1024</v>
      </c>
      <c r="AU25">
        <v>768</v>
      </c>
      <c r="AV25">
        <v>30</v>
      </c>
      <c r="AW25">
        <v>300</v>
      </c>
      <c r="AX25">
        <v>8</v>
      </c>
      <c r="AY25">
        <v>8</v>
      </c>
      <c r="AZ25" s="136">
        <v>27546.04</v>
      </c>
      <c r="BA25" s="137">
        <v>59.51</v>
      </c>
    </row>
    <row r="26" spans="1:53">
      <c r="A26">
        <v>8</v>
      </c>
      <c r="B26" s="117" t="s">
        <v>139</v>
      </c>
      <c r="C26">
        <v>2030.884</v>
      </c>
      <c r="D26" s="128">
        <v>949.1848</v>
      </c>
      <c r="E26" s="129">
        <v>41.356299999999997</v>
      </c>
      <c r="F26" s="129">
        <v>44.151299999999999</v>
      </c>
      <c r="G26" s="130">
        <v>44.212400000000002</v>
      </c>
      <c r="H26" s="128">
        <v>304.24239999999998</v>
      </c>
      <c r="I26" s="129">
        <v>40.300699999999999</v>
      </c>
      <c r="J26" s="129">
        <v>42.948099999999997</v>
      </c>
      <c r="K26" s="130">
        <v>43.0715</v>
      </c>
      <c r="L26" s="128">
        <v>347.988</v>
      </c>
      <c r="M26" s="129">
        <v>39.900399999999998</v>
      </c>
      <c r="N26" s="129">
        <v>42.853499999999997</v>
      </c>
      <c r="O26" s="130">
        <v>42.741799999999998</v>
      </c>
      <c r="P26" s="131">
        <v>188.11680000000001</v>
      </c>
      <c r="Q26" s="132">
        <v>38.281500000000001</v>
      </c>
      <c r="R26" s="131">
        <v>123.9936</v>
      </c>
      <c r="S26" s="132">
        <v>37.212600000000002</v>
      </c>
      <c r="T26" s="131">
        <v>111.568</v>
      </c>
      <c r="U26" s="132">
        <v>37.148899999999998</v>
      </c>
      <c r="V26" s="133">
        <v>39.914299999999997</v>
      </c>
      <c r="W26" s="134">
        <v>45.257199999999997</v>
      </c>
      <c r="X26" s="135">
        <v>45.4407</v>
      </c>
      <c r="Y26" s="133">
        <v>40.459299999999999</v>
      </c>
      <c r="Z26" s="134">
        <v>46.116100000000003</v>
      </c>
      <c r="AA26" s="135">
        <v>46.164000000000001</v>
      </c>
      <c r="AB26" s="133">
        <v>40.9514</v>
      </c>
      <c r="AC26" s="134">
        <v>46.0259</v>
      </c>
      <c r="AD26" s="135">
        <v>46.091500000000003</v>
      </c>
      <c r="AE26" s="133">
        <v>40.901200000000003</v>
      </c>
      <c r="AF26" s="134">
        <v>45.869900000000001</v>
      </c>
      <c r="AG26" s="135">
        <v>45.933199999999999</v>
      </c>
      <c r="AH26" s="133">
        <v>40.286900000000003</v>
      </c>
      <c r="AI26" s="134">
        <v>45.8962</v>
      </c>
      <c r="AJ26" s="135">
        <v>45.859699999999997</v>
      </c>
      <c r="AK26" s="133">
        <v>39.941800000000001</v>
      </c>
      <c r="AL26" s="134">
        <v>45.081600000000002</v>
      </c>
      <c r="AM26" s="135">
        <v>45.037199999999999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1024</v>
      </c>
      <c r="AU26">
        <v>768</v>
      </c>
      <c r="AV26">
        <v>30</v>
      </c>
      <c r="AW26">
        <v>300</v>
      </c>
      <c r="AX26">
        <v>8</v>
      </c>
      <c r="AY26">
        <v>8</v>
      </c>
      <c r="AZ26" s="136">
        <v>44455.24</v>
      </c>
      <c r="BA26" s="137">
        <v>76.83</v>
      </c>
    </row>
    <row r="27" spans="1:53">
      <c r="A27">
        <v>8</v>
      </c>
      <c r="B27" s="117" t="s">
        <v>140</v>
      </c>
      <c r="C27">
        <v>928.61199999999997</v>
      </c>
      <c r="D27" s="128">
        <v>499.90800000000002</v>
      </c>
      <c r="E27" s="129">
        <v>38.991500000000002</v>
      </c>
      <c r="F27" s="129">
        <v>42.521900000000002</v>
      </c>
      <c r="G27" s="130">
        <v>42.534399999999998</v>
      </c>
      <c r="H27" s="128">
        <v>129.51439999999999</v>
      </c>
      <c r="I27" s="129">
        <v>37.965400000000002</v>
      </c>
      <c r="J27" s="129">
        <v>41.300199999999997</v>
      </c>
      <c r="K27" s="130">
        <v>41.441800000000001</v>
      </c>
      <c r="L27" s="128">
        <v>149.81120000000001</v>
      </c>
      <c r="M27" s="129">
        <v>37.515300000000003</v>
      </c>
      <c r="N27" s="129">
        <v>41.364800000000002</v>
      </c>
      <c r="O27" s="130">
        <v>41.095199999999998</v>
      </c>
      <c r="P27" s="131">
        <v>63.389600000000002</v>
      </c>
      <c r="Q27" s="132">
        <v>35.013399999999997</v>
      </c>
      <c r="R27" s="131">
        <v>43.847999999999999</v>
      </c>
      <c r="S27" s="132">
        <v>34.177199999999999</v>
      </c>
      <c r="T27" s="131">
        <v>36.3504</v>
      </c>
      <c r="U27" s="132">
        <v>34.178899999999999</v>
      </c>
      <c r="V27" s="133">
        <v>37.781500000000001</v>
      </c>
      <c r="W27" s="134">
        <v>43.462400000000002</v>
      </c>
      <c r="X27" s="135">
        <v>43.626600000000003</v>
      </c>
      <c r="Y27" s="133">
        <v>38.193399999999997</v>
      </c>
      <c r="Z27" s="134">
        <v>44.239800000000002</v>
      </c>
      <c r="AA27" s="135">
        <v>44.239800000000002</v>
      </c>
      <c r="AB27" s="133">
        <v>38.655299999999997</v>
      </c>
      <c r="AC27" s="134">
        <v>44.256100000000004</v>
      </c>
      <c r="AD27" s="135">
        <v>44.229500000000002</v>
      </c>
      <c r="AE27" s="133">
        <v>38.591200000000001</v>
      </c>
      <c r="AF27" s="134">
        <v>44.065600000000003</v>
      </c>
      <c r="AG27" s="135">
        <v>44.040500000000002</v>
      </c>
      <c r="AH27" s="133">
        <v>37.982500000000002</v>
      </c>
      <c r="AI27" s="134">
        <v>44.051400000000001</v>
      </c>
      <c r="AJ27" s="135">
        <v>43.868699999999997</v>
      </c>
      <c r="AK27" s="133">
        <v>37.608499999999999</v>
      </c>
      <c r="AL27" s="134">
        <v>43.362299999999998</v>
      </c>
      <c r="AM27" s="135">
        <v>43.117400000000004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1024</v>
      </c>
      <c r="AU27">
        <v>768</v>
      </c>
      <c r="AV27">
        <v>30</v>
      </c>
      <c r="AW27">
        <v>300</v>
      </c>
      <c r="AX27">
        <v>8</v>
      </c>
      <c r="AY27">
        <v>8</v>
      </c>
      <c r="AZ27" s="136">
        <v>38388.449999999997</v>
      </c>
      <c r="BA27" s="137">
        <v>99.97</v>
      </c>
    </row>
    <row r="28" spans="1:53">
      <c r="A28">
        <v>8</v>
      </c>
      <c r="B28" s="117" t="s">
        <v>141</v>
      </c>
      <c r="C28">
        <v>480.476</v>
      </c>
      <c r="D28" s="128">
        <v>275.40719999999999</v>
      </c>
      <c r="E28" s="129">
        <v>36.451599999999999</v>
      </c>
      <c r="F28" s="129">
        <v>40.753500000000003</v>
      </c>
      <c r="G28" s="130">
        <v>40.705300000000001</v>
      </c>
      <c r="H28" s="128">
        <v>64.091999999999999</v>
      </c>
      <c r="I28" s="129">
        <v>35.528199999999998</v>
      </c>
      <c r="J28" s="129">
        <v>40.017099999999999</v>
      </c>
      <c r="K28" s="130">
        <v>40.0533</v>
      </c>
      <c r="L28" s="128">
        <v>74.753600000000006</v>
      </c>
      <c r="M28" s="129">
        <v>35.057499999999997</v>
      </c>
      <c r="N28" s="129">
        <v>40.084800000000001</v>
      </c>
      <c r="O28" s="130">
        <v>39.665900000000001</v>
      </c>
      <c r="P28" s="131">
        <v>26.0472</v>
      </c>
      <c r="Q28" s="132">
        <v>32.409500000000001</v>
      </c>
      <c r="R28" s="131">
        <v>18.7776</v>
      </c>
      <c r="S28" s="132">
        <v>31.559200000000001</v>
      </c>
      <c r="T28" s="131">
        <v>15.608000000000001</v>
      </c>
      <c r="U28" s="132">
        <v>31.6831</v>
      </c>
      <c r="V28" s="133">
        <v>35.507899999999999</v>
      </c>
      <c r="W28" s="134">
        <v>41.872399999999999</v>
      </c>
      <c r="X28" s="135">
        <v>41.893900000000002</v>
      </c>
      <c r="Y28" s="133">
        <v>35.799999999999997</v>
      </c>
      <c r="Z28" s="134">
        <v>42.380299999999998</v>
      </c>
      <c r="AA28" s="135">
        <v>42.263100000000001</v>
      </c>
      <c r="AB28" s="133">
        <v>36.192799999999998</v>
      </c>
      <c r="AC28" s="134">
        <v>42.318800000000003</v>
      </c>
      <c r="AD28" s="135">
        <v>42.188899999999997</v>
      </c>
      <c r="AE28" s="133">
        <v>36.126800000000003</v>
      </c>
      <c r="AF28" s="134">
        <v>42.144100000000002</v>
      </c>
      <c r="AG28" s="135">
        <v>41.975099999999998</v>
      </c>
      <c r="AH28" s="133">
        <v>35.567700000000002</v>
      </c>
      <c r="AI28" s="134">
        <v>42.207500000000003</v>
      </c>
      <c r="AJ28" s="135">
        <v>41.8504</v>
      </c>
      <c r="AK28" s="133">
        <v>35.186</v>
      </c>
      <c r="AL28" s="134">
        <v>41.767800000000001</v>
      </c>
      <c r="AM28" s="135">
        <v>41.325200000000002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1024</v>
      </c>
      <c r="AU28">
        <v>768</v>
      </c>
      <c r="AV28">
        <v>30</v>
      </c>
      <c r="AW28">
        <v>300</v>
      </c>
      <c r="AX28">
        <v>8</v>
      </c>
      <c r="AY28">
        <v>8</v>
      </c>
      <c r="AZ28" s="136">
        <v>33552.910000000003</v>
      </c>
      <c r="BA28" s="137">
        <v>95.39</v>
      </c>
    </row>
    <row r="29" spans="1:53">
      <c r="A29">
        <v>8</v>
      </c>
      <c r="B29" s="117" t="s">
        <v>142</v>
      </c>
      <c r="C29">
        <v>267.572</v>
      </c>
      <c r="D29" s="128">
        <v>159.29040000000001</v>
      </c>
      <c r="E29" s="129">
        <v>33.872100000000003</v>
      </c>
      <c r="F29" s="129">
        <v>39.514000000000003</v>
      </c>
      <c r="G29" s="130">
        <v>39.404200000000003</v>
      </c>
      <c r="H29" s="128">
        <v>34.540799999999997</v>
      </c>
      <c r="I29" s="129">
        <v>33.1111</v>
      </c>
      <c r="J29" s="129">
        <v>38.972799999999999</v>
      </c>
      <c r="K29" s="130">
        <v>38.96</v>
      </c>
      <c r="L29" s="128">
        <v>39.9696</v>
      </c>
      <c r="M29" s="129">
        <v>32.552199999999999</v>
      </c>
      <c r="N29" s="129">
        <v>39.0931</v>
      </c>
      <c r="O29" s="130">
        <v>38.586500000000001</v>
      </c>
      <c r="P29" s="131">
        <v>11.861599999999999</v>
      </c>
      <c r="Q29" s="132">
        <v>29.662800000000001</v>
      </c>
      <c r="R29" s="131">
        <v>8.5327999999999999</v>
      </c>
      <c r="S29" s="132">
        <v>28.573699999999999</v>
      </c>
      <c r="T29" s="131">
        <v>7.5864000000000003</v>
      </c>
      <c r="U29" s="132">
        <v>28.933800000000002</v>
      </c>
      <c r="V29" s="133">
        <v>33.1295</v>
      </c>
      <c r="W29" s="134">
        <v>40.538200000000003</v>
      </c>
      <c r="X29" s="135">
        <v>40.534799999999997</v>
      </c>
      <c r="Y29" s="133">
        <v>33.327599999999997</v>
      </c>
      <c r="Z29" s="134">
        <v>40.907499999999999</v>
      </c>
      <c r="AA29" s="135">
        <v>40.767099999999999</v>
      </c>
      <c r="AB29" s="133">
        <v>33.679600000000001</v>
      </c>
      <c r="AC29" s="134">
        <v>40.848999999999997</v>
      </c>
      <c r="AD29" s="135">
        <v>40.698700000000002</v>
      </c>
      <c r="AE29" s="133">
        <v>33.6006</v>
      </c>
      <c r="AF29" s="134">
        <v>40.721499999999999</v>
      </c>
      <c r="AG29" s="135">
        <v>40.491199999999999</v>
      </c>
      <c r="AH29" s="133">
        <v>33.076500000000003</v>
      </c>
      <c r="AI29" s="134">
        <v>40.796300000000002</v>
      </c>
      <c r="AJ29" s="135">
        <v>40.369500000000002</v>
      </c>
      <c r="AK29" s="133">
        <v>32.7012</v>
      </c>
      <c r="AL29" s="134">
        <v>40.510300000000001</v>
      </c>
      <c r="AM29" s="135">
        <v>39.971899999999998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1024</v>
      </c>
      <c r="AU29">
        <v>768</v>
      </c>
      <c r="AV29">
        <v>30</v>
      </c>
      <c r="AW29">
        <v>300</v>
      </c>
      <c r="AX29">
        <v>8</v>
      </c>
      <c r="AY29">
        <v>8</v>
      </c>
      <c r="AZ29" s="136">
        <v>30435.88</v>
      </c>
      <c r="BA29" s="137">
        <v>94.22</v>
      </c>
    </row>
    <row r="30" spans="1:53">
      <c r="A30">
        <v>10</v>
      </c>
      <c r="B30" s="117" t="s">
        <v>143</v>
      </c>
      <c r="C30">
        <v>6064.2344000000003</v>
      </c>
      <c r="D30" s="128">
        <v>4178.4160000000002</v>
      </c>
      <c r="E30" s="129">
        <v>41.485799999999998</v>
      </c>
      <c r="F30" s="129">
        <v>46.601900000000001</v>
      </c>
      <c r="G30" s="130">
        <v>46.044899999999998</v>
      </c>
      <c r="H30" s="128">
        <v>523.25440000000003</v>
      </c>
      <c r="I30" s="129">
        <v>40.9148</v>
      </c>
      <c r="J30" s="129">
        <v>46.510399999999997</v>
      </c>
      <c r="K30" s="130">
        <v>45.799199999999999</v>
      </c>
      <c r="L30" s="128">
        <v>526.46960000000001</v>
      </c>
      <c r="M30" s="129">
        <v>40.921999999999997</v>
      </c>
      <c r="N30" s="129">
        <v>46.500300000000003</v>
      </c>
      <c r="O30" s="130">
        <v>45.800899999999999</v>
      </c>
      <c r="P30" s="131">
        <v>449.48320000000001</v>
      </c>
      <c r="Q30" s="132">
        <v>38.630899999999997</v>
      </c>
      <c r="R30" s="131">
        <v>190.85120000000001</v>
      </c>
      <c r="S30" s="132">
        <v>37.734299999999998</v>
      </c>
      <c r="T30" s="131">
        <v>189.96960000000001</v>
      </c>
      <c r="U30" s="132">
        <v>37.499400000000001</v>
      </c>
      <c r="V30" s="133">
        <v>40.661099999999998</v>
      </c>
      <c r="W30" s="134">
        <v>46.633800000000001</v>
      </c>
      <c r="X30" s="135">
        <v>46.363399999999999</v>
      </c>
      <c r="Y30" s="133">
        <v>40.846699999999998</v>
      </c>
      <c r="Z30" s="134">
        <v>47.144399999999997</v>
      </c>
      <c r="AA30" s="135">
        <v>46.506599999999999</v>
      </c>
      <c r="AB30" s="133">
        <v>41.063099999999999</v>
      </c>
      <c r="AC30" s="134">
        <v>47.627200000000002</v>
      </c>
      <c r="AD30" s="135">
        <v>47.2104</v>
      </c>
      <c r="AE30" s="133">
        <v>41.051900000000003</v>
      </c>
      <c r="AF30" s="134">
        <v>47.6783</v>
      </c>
      <c r="AG30" s="135">
        <v>47.230899999999998</v>
      </c>
      <c r="AH30" s="133">
        <v>40.865400000000001</v>
      </c>
      <c r="AI30" s="134">
        <v>46.7898</v>
      </c>
      <c r="AJ30" s="135">
        <v>46.646900000000002</v>
      </c>
      <c r="AK30" s="133">
        <v>40.6845</v>
      </c>
      <c r="AL30" s="134">
        <v>46.612099999999998</v>
      </c>
      <c r="AM30" s="135">
        <v>46.626399999999997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1920</v>
      </c>
      <c r="AU30">
        <v>1088</v>
      </c>
      <c r="AV30">
        <v>30</v>
      </c>
      <c r="AW30">
        <v>300</v>
      </c>
      <c r="AX30">
        <v>8</v>
      </c>
      <c r="AY30">
        <v>8</v>
      </c>
      <c r="AZ30" s="136">
        <v>123642.98</v>
      </c>
      <c r="BA30" s="137">
        <v>293.41000000000003</v>
      </c>
    </row>
    <row r="31" spans="1:53">
      <c r="A31">
        <v>10</v>
      </c>
      <c r="B31" s="117" t="s">
        <v>144</v>
      </c>
      <c r="C31">
        <v>2803.4567999999999</v>
      </c>
      <c r="D31" s="128">
        <v>2104.3447999999999</v>
      </c>
      <c r="E31" s="129">
        <v>38.491999999999997</v>
      </c>
      <c r="F31" s="129">
        <v>44.899900000000002</v>
      </c>
      <c r="G31" s="130">
        <v>44.105200000000004</v>
      </c>
      <c r="H31" s="128">
        <v>216.9752</v>
      </c>
      <c r="I31" s="129">
        <v>38.072200000000002</v>
      </c>
      <c r="J31" s="129">
        <v>44.8459</v>
      </c>
      <c r="K31" s="130">
        <v>43.932400000000001</v>
      </c>
      <c r="L31" s="128">
        <v>218.16159999999999</v>
      </c>
      <c r="M31" s="129">
        <v>38.083799999999997</v>
      </c>
      <c r="N31" s="129">
        <v>44.832700000000003</v>
      </c>
      <c r="O31" s="130">
        <v>43.942100000000003</v>
      </c>
      <c r="P31" s="131">
        <v>147.97280000000001</v>
      </c>
      <c r="Q31" s="132">
        <v>35.466000000000001</v>
      </c>
      <c r="R31" s="131">
        <v>55.080800000000004</v>
      </c>
      <c r="S31" s="132">
        <v>34.8264</v>
      </c>
      <c r="T31" s="131">
        <v>55.1312</v>
      </c>
      <c r="U31" s="132">
        <v>34.602800000000002</v>
      </c>
      <c r="V31" s="133">
        <v>37.891599999999997</v>
      </c>
      <c r="W31" s="134">
        <v>45.061100000000003</v>
      </c>
      <c r="X31" s="135">
        <v>44.498600000000003</v>
      </c>
      <c r="Y31" s="133">
        <v>38.028799999999997</v>
      </c>
      <c r="Z31" s="134">
        <v>45.442399999999999</v>
      </c>
      <c r="AA31" s="135">
        <v>44.622300000000003</v>
      </c>
      <c r="AB31" s="133">
        <v>38.164000000000001</v>
      </c>
      <c r="AC31" s="134">
        <v>45.797499999999999</v>
      </c>
      <c r="AD31" s="135">
        <v>45.1297</v>
      </c>
      <c r="AE31" s="133">
        <v>38.161299999999997</v>
      </c>
      <c r="AF31" s="134">
        <v>45.858800000000002</v>
      </c>
      <c r="AG31" s="135">
        <v>45.153700000000001</v>
      </c>
      <c r="AH31" s="133">
        <v>38.041400000000003</v>
      </c>
      <c r="AI31" s="134">
        <v>45.217399999999998</v>
      </c>
      <c r="AJ31" s="135">
        <v>44.7224</v>
      </c>
      <c r="AK31" s="133">
        <v>37.911499999999997</v>
      </c>
      <c r="AL31" s="134">
        <v>45.081699999999998</v>
      </c>
      <c r="AM31" s="135">
        <v>44.639499999999998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1920</v>
      </c>
      <c r="AU31">
        <v>1088</v>
      </c>
      <c r="AV31">
        <v>30</v>
      </c>
      <c r="AW31">
        <v>300</v>
      </c>
      <c r="AX31">
        <v>8</v>
      </c>
      <c r="AY31">
        <v>8</v>
      </c>
      <c r="AZ31" s="136">
        <v>59744.26</v>
      </c>
      <c r="BA31" s="137">
        <v>188.97</v>
      </c>
    </row>
    <row r="32" spans="1:53">
      <c r="A32">
        <v>10</v>
      </c>
      <c r="B32" s="117" t="s">
        <v>145</v>
      </c>
      <c r="C32">
        <v>1346.9416000000001</v>
      </c>
      <c r="D32" s="128">
        <v>1035.6823999999999</v>
      </c>
      <c r="E32" s="129">
        <v>35.669600000000003</v>
      </c>
      <c r="F32" s="129">
        <v>43.255800000000001</v>
      </c>
      <c r="G32" s="130">
        <v>42.232700000000001</v>
      </c>
      <c r="H32" s="128">
        <v>102.0312</v>
      </c>
      <c r="I32" s="129">
        <v>35.384900000000002</v>
      </c>
      <c r="J32" s="129">
        <v>43.252800000000001</v>
      </c>
      <c r="K32" s="130">
        <v>42.1678</v>
      </c>
      <c r="L32" s="128">
        <v>103.6568</v>
      </c>
      <c r="M32" s="129">
        <v>35.396900000000002</v>
      </c>
      <c r="N32" s="129">
        <v>43.241100000000003</v>
      </c>
      <c r="O32" s="130">
        <v>42.168799999999997</v>
      </c>
      <c r="P32" s="131">
        <v>55.706400000000002</v>
      </c>
      <c r="Q32" s="132">
        <v>32.829300000000003</v>
      </c>
      <c r="R32" s="131">
        <v>21.911200000000001</v>
      </c>
      <c r="S32" s="132">
        <v>32.347000000000001</v>
      </c>
      <c r="T32" s="131">
        <v>22.1632</v>
      </c>
      <c r="U32" s="132">
        <v>32.1877</v>
      </c>
      <c r="V32" s="133">
        <v>35.244100000000003</v>
      </c>
      <c r="W32" s="134">
        <v>43.399900000000002</v>
      </c>
      <c r="X32" s="135">
        <v>42.579000000000001</v>
      </c>
      <c r="Y32" s="133">
        <v>35.328499999999998</v>
      </c>
      <c r="Z32" s="134">
        <v>43.643900000000002</v>
      </c>
      <c r="AA32" s="135">
        <v>42.6601</v>
      </c>
      <c r="AB32" s="133">
        <v>35.421300000000002</v>
      </c>
      <c r="AC32" s="134">
        <v>43.959200000000003</v>
      </c>
      <c r="AD32" s="135">
        <v>43.0563</v>
      </c>
      <c r="AE32" s="133">
        <v>35.419499999999999</v>
      </c>
      <c r="AF32" s="134">
        <v>44.030900000000003</v>
      </c>
      <c r="AG32" s="135">
        <v>43.0869</v>
      </c>
      <c r="AH32" s="133">
        <v>35.3399</v>
      </c>
      <c r="AI32" s="134">
        <v>43.600299999999997</v>
      </c>
      <c r="AJ32" s="135">
        <v>42.752600000000001</v>
      </c>
      <c r="AK32" s="133">
        <v>35.258800000000001</v>
      </c>
      <c r="AL32" s="134">
        <v>43.499099999999999</v>
      </c>
      <c r="AM32" s="135">
        <v>42.693399999999997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1920</v>
      </c>
      <c r="AU32">
        <v>1088</v>
      </c>
      <c r="AV32">
        <v>30</v>
      </c>
      <c r="AW32">
        <v>300</v>
      </c>
      <c r="AX32">
        <v>8</v>
      </c>
      <c r="AY32">
        <v>8</v>
      </c>
      <c r="AZ32" s="136">
        <v>63254.79</v>
      </c>
      <c r="BA32" s="137">
        <v>224.34</v>
      </c>
    </row>
    <row r="33" spans="1:53" ht="18" thickBot="1">
      <c r="A33">
        <v>10</v>
      </c>
      <c r="B33" s="117" t="s">
        <v>146</v>
      </c>
      <c r="C33">
        <v>647.38319999999999</v>
      </c>
      <c r="D33" s="138">
        <v>497.1456</v>
      </c>
      <c r="E33" s="139">
        <v>33.196399999999997</v>
      </c>
      <c r="F33" s="139">
        <v>42.267699999999998</v>
      </c>
      <c r="G33" s="140">
        <v>40.971499999999999</v>
      </c>
      <c r="H33" s="138">
        <v>49.287999999999997</v>
      </c>
      <c r="I33" s="139">
        <v>32.979300000000002</v>
      </c>
      <c r="J33" s="139">
        <v>42.2592</v>
      </c>
      <c r="K33" s="140">
        <v>40.870899999999999</v>
      </c>
      <c r="L33" s="138">
        <v>51.08</v>
      </c>
      <c r="M33" s="139">
        <v>32.985599999999998</v>
      </c>
      <c r="N33" s="139">
        <v>42.231699999999996</v>
      </c>
      <c r="O33" s="140">
        <v>40.878</v>
      </c>
      <c r="P33" s="141">
        <v>23.162400000000002</v>
      </c>
      <c r="Q33" s="142">
        <v>30.343699999999998</v>
      </c>
      <c r="R33" s="141">
        <v>10.5656</v>
      </c>
      <c r="S33" s="142">
        <v>29.907900000000001</v>
      </c>
      <c r="T33" s="141">
        <v>10.3512</v>
      </c>
      <c r="U33" s="142">
        <v>29.7379</v>
      </c>
      <c r="V33" s="143">
        <v>32.8613</v>
      </c>
      <c r="W33" s="144">
        <v>42.38</v>
      </c>
      <c r="X33" s="145">
        <v>41.2211</v>
      </c>
      <c r="Y33" s="143">
        <v>32.906799999999997</v>
      </c>
      <c r="Z33" s="144">
        <v>42.507899999999999</v>
      </c>
      <c r="AA33" s="145">
        <v>41.312899999999999</v>
      </c>
      <c r="AB33" s="143">
        <v>32.9771</v>
      </c>
      <c r="AC33" s="144">
        <v>42.755299999999998</v>
      </c>
      <c r="AD33" s="145">
        <v>41.602600000000002</v>
      </c>
      <c r="AE33" s="143">
        <v>32.971400000000003</v>
      </c>
      <c r="AF33" s="144">
        <v>42.833500000000001</v>
      </c>
      <c r="AG33" s="145">
        <v>41.614899999999999</v>
      </c>
      <c r="AH33" s="143">
        <v>32.901299999999999</v>
      </c>
      <c r="AI33" s="144">
        <v>42.4771</v>
      </c>
      <c r="AJ33" s="145">
        <v>41.305799999999998</v>
      </c>
      <c r="AK33" s="143">
        <v>32.858199999999997</v>
      </c>
      <c r="AL33" s="144">
        <v>42.445099999999996</v>
      </c>
      <c r="AM33" s="145">
        <v>41.2637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1920</v>
      </c>
      <c r="AU33">
        <v>1088</v>
      </c>
      <c r="AV33">
        <v>30</v>
      </c>
      <c r="AW33">
        <v>300</v>
      </c>
      <c r="AX33">
        <v>8</v>
      </c>
      <c r="AY33">
        <v>8</v>
      </c>
      <c r="AZ33" s="146">
        <v>54316.69</v>
      </c>
      <c r="BA33" s="147">
        <v>224.86</v>
      </c>
    </row>
  </sheetData>
  <phoneticPr fontId="16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summary (auto)</vt:lpstr>
      <vt:lpstr>experimental data</vt:lpstr>
      <vt:lpstr>raw data</vt:lpstr>
      <vt:lpstr>'raw data'!results_rd</vt:lpstr>
      <vt:lpstr>'raw data'!results_rd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2014-04-11T02:47:08Z</dcterms:modified>
</cp:coreProperties>
</file>