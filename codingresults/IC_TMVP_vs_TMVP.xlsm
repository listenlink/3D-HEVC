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24" s="1"/>
  <c r="M517"/>
  <c r="M525" s="1"/>
  <c r="N514"/>
  <c r="N515"/>
  <c r="N516"/>
  <c r="N517"/>
  <c r="F506"/>
  <c r="F507"/>
  <c r="F508"/>
  <c r="F509"/>
  <c r="M522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W375"/>
  <c r="U375"/>
  <c r="V375"/>
  <c r="W371"/>
  <c r="U371"/>
  <c r="V371"/>
  <c r="W618"/>
  <c r="V618"/>
  <c r="G12" i="23"/>
  <c r="U618" i="21"/>
  <c r="W614"/>
  <c r="V606"/>
  <c r="U367"/>
  <c r="W367"/>
  <c r="U602"/>
  <c r="U606"/>
  <c r="W598"/>
  <c r="V598"/>
  <c r="W606"/>
  <c r="U614"/>
  <c r="U598"/>
  <c r="V602"/>
  <c r="F28" i="23"/>
  <c r="V367" i="21"/>
  <c r="V614"/>
  <c r="W602"/>
  <c r="W586"/>
  <c r="V586"/>
  <c r="U586"/>
  <c r="U335"/>
  <c r="U331"/>
  <c r="U327"/>
  <c r="V323"/>
  <c r="W323"/>
  <c r="U323"/>
  <c r="U319"/>
  <c r="V319"/>
  <c r="W319"/>
  <c r="W594"/>
  <c r="V594"/>
  <c r="U594"/>
  <c r="G11" i="23"/>
  <c r="U582" i="21"/>
  <c r="U315"/>
  <c r="F27" i="23"/>
  <c r="V590" i="21"/>
  <c r="W578"/>
  <c r="V574"/>
  <c r="W590"/>
  <c r="U578"/>
  <c r="W582"/>
  <c r="V582"/>
  <c r="V578"/>
  <c r="U574"/>
  <c r="W315"/>
  <c r="W574"/>
  <c r="V315"/>
  <c r="U590"/>
  <c r="W562"/>
  <c r="V562"/>
  <c r="U562"/>
  <c r="U283"/>
  <c r="U279"/>
  <c r="U275"/>
  <c r="W271"/>
  <c r="V271"/>
  <c r="U271"/>
  <c r="W267"/>
  <c r="U267"/>
  <c r="V267"/>
  <c r="W570"/>
  <c r="V570"/>
  <c r="U570"/>
  <c r="G10" i="23"/>
  <c r="F26"/>
  <c r="V263" i="21"/>
  <c r="V554"/>
  <c r="V566"/>
  <c r="U550"/>
  <c r="U554"/>
  <c r="W554"/>
  <c r="U558"/>
  <c r="U566"/>
  <c r="U263"/>
  <c r="W263"/>
  <c r="V550"/>
  <c r="W566"/>
  <c r="W558"/>
  <c r="V558"/>
  <c r="W550"/>
  <c r="W538"/>
  <c r="V538"/>
  <c r="U538"/>
  <c r="U231"/>
  <c r="U227"/>
  <c r="U223"/>
  <c r="U219"/>
  <c r="W219"/>
  <c r="V219"/>
  <c r="U215"/>
  <c r="W215"/>
  <c r="V215"/>
  <c r="W546"/>
  <c r="V546"/>
  <c r="G9" i="23"/>
  <c r="U546" i="21"/>
  <c r="W526"/>
  <c r="U526"/>
  <c r="W211"/>
  <c r="F25" i="23"/>
  <c r="U542" i="21"/>
  <c r="W534"/>
  <c r="U211"/>
  <c r="W530"/>
  <c r="V211"/>
  <c r="W542"/>
  <c r="V530"/>
  <c r="U534"/>
  <c r="V542"/>
  <c r="U530"/>
  <c r="V526"/>
  <c r="V534"/>
  <c r="W514"/>
  <c r="V514"/>
  <c r="U514"/>
  <c r="U179"/>
  <c r="U175"/>
  <c r="U171"/>
  <c r="U167"/>
  <c r="V167"/>
  <c r="W167"/>
  <c r="U163"/>
  <c r="V163"/>
  <c r="W163"/>
  <c r="W522"/>
  <c r="V522"/>
  <c r="G8" i="23"/>
  <c r="U522" i="21"/>
  <c r="V159"/>
  <c r="W518"/>
  <c r="U518"/>
  <c r="V510"/>
  <c r="U502"/>
  <c r="U510"/>
  <c r="V502"/>
  <c r="W510"/>
  <c r="W159"/>
  <c r="F24" i="23"/>
  <c r="U159" i="21"/>
  <c r="V518"/>
  <c r="W502"/>
  <c r="V506"/>
  <c r="W506"/>
  <c r="U506"/>
  <c r="W490"/>
  <c r="V490"/>
  <c r="U490"/>
  <c r="U127"/>
  <c r="U123"/>
  <c r="U119"/>
  <c r="V115"/>
  <c r="W115"/>
  <c r="U115"/>
  <c r="U111"/>
  <c r="V111"/>
  <c r="W111"/>
  <c r="W498"/>
  <c r="V498"/>
  <c r="U498"/>
  <c r="G7" i="23"/>
  <c r="V486" i="21"/>
  <c r="V107"/>
  <c r="F23" i="23"/>
  <c r="V478" i="21"/>
  <c r="U494"/>
  <c r="W478"/>
  <c r="U107"/>
  <c r="W494"/>
  <c r="V494"/>
  <c r="W486"/>
  <c r="W107"/>
  <c r="W482"/>
  <c r="U478"/>
  <c r="V482"/>
  <c r="U482"/>
  <c r="U486"/>
  <c r="W466"/>
  <c r="V466"/>
  <c r="U466"/>
  <c r="U75"/>
  <c r="U71"/>
  <c r="U67"/>
  <c r="W63"/>
  <c r="U63"/>
  <c r="V63"/>
  <c r="W59"/>
  <c r="V59"/>
  <c r="U59"/>
  <c r="W474"/>
  <c r="V474"/>
  <c r="G6" i="23"/>
  <c r="U474" i="21"/>
  <c r="F22" i="23"/>
  <c r="U454" i="21"/>
  <c r="U458"/>
  <c r="W462"/>
  <c r="U470"/>
  <c r="W470"/>
  <c r="W458"/>
  <c r="U462"/>
  <c r="W454"/>
  <c r="V462"/>
  <c r="W55"/>
  <c r="V470"/>
  <c r="V454"/>
  <c r="V55"/>
  <c r="V458"/>
  <c r="U55"/>
  <c r="W442"/>
  <c r="V442"/>
  <c r="U442"/>
  <c r="U23"/>
  <c r="U19"/>
  <c r="U15"/>
  <c r="U11"/>
  <c r="W11"/>
  <c r="V11"/>
  <c r="V7"/>
  <c r="W7"/>
  <c r="U7"/>
  <c r="W450"/>
  <c r="V450"/>
  <c r="U450"/>
  <c r="G5" i="23"/>
  <c r="U446" i="21"/>
  <c r="V434"/>
  <c r="V438"/>
  <c r="V430"/>
  <c r="W434"/>
  <c r="W3"/>
  <c r="U434"/>
  <c r="F21" i="23"/>
  <c r="V446" i="21"/>
  <c r="W446"/>
  <c r="W430"/>
  <c r="V3"/>
  <c r="W438"/>
  <c r="U438"/>
  <c r="U430"/>
  <c r="U3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<sst xmlns="http://schemas.openxmlformats.org/spreadsheetml/2006/main" count="255" uniqueCount="64">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</sst>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21" sqref="K21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-5.2470884221222924E-4</v>
      </c>
      <c r="D5" s="9">
        <f>'experimental data'!U7</f>
        <v>-2.617031577998441E-2</v>
      </c>
      <c r="E5" s="10">
        <f>'experimental data'!U11</f>
        <v>-2.7154124075816521E-2</v>
      </c>
      <c r="F5" s="118">
        <f>'experimental data'!U434</f>
        <v>-1.3005213798327309E-2</v>
      </c>
      <c r="G5" s="119">
        <f>bdrate('experimental data'!E450:E453,'experimental data'!F434:F437,'experimental data'!M450:M453,'experimental data'!N434:N437)</f>
        <v>-1.2668822797502699E-2</v>
      </c>
      <c r="H5" s="120">
        <f>'experimental data'!U442</f>
        <v>-8.1719879349406721E-3</v>
      </c>
      <c r="I5" s="59">
        <f>'experimental data'!Y51</f>
        <v>1.1164873447120691</v>
      </c>
      <c r="J5" s="105">
        <f>'experimental data'!Z51</f>
        <v>0.97695170720179803</v>
      </c>
      <c r="K5" s="60">
        <f>'experimental data'!AA51</f>
        <v>0.99647867123411049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4.8517075232679119E-4</v>
      </c>
      <c r="D6" s="18">
        <f>'experimental data'!U59</f>
        <v>-4.3588564346640601E-2</v>
      </c>
      <c r="E6" s="19">
        <f>'experimental data'!U63</f>
        <v>-6.3300001601471978E-2</v>
      </c>
      <c r="F6" s="121">
        <f>'experimental data'!U458</f>
        <v>-2.4413620519070922E-2</v>
      </c>
      <c r="G6" s="122">
        <f>bdrate('experimental data'!E474:E477,'experimental data'!F458:F461,'experimental data'!M474:M477,'experimental data'!N458:N461)</f>
        <v>-2.1218427987482857E-2</v>
      </c>
      <c r="H6" s="123">
        <f>'experimental data'!U466</f>
        <v>-1.6542640582942636E-2</v>
      </c>
      <c r="I6" s="61">
        <f>'experimental data'!Y103</f>
        <v>1.1200678825869321</v>
      </c>
      <c r="J6" s="106">
        <f>'experimental data'!Z103</f>
        <v>1.0358654313992859</v>
      </c>
      <c r="K6" s="57">
        <f>'experimental data'!AA103</f>
        <v>0.99432440879870521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1.3246299810583118E-3</v>
      </c>
      <c r="D7" s="18">
        <f>'experimental data'!U111</f>
        <v>-6.6419768784817812E-3</v>
      </c>
      <c r="E7" s="19">
        <f>'experimental data'!U115</f>
        <v>-1.8926220306681452E-2</v>
      </c>
      <c r="F7" s="121">
        <f>'experimental data'!U482</f>
        <v>-5.5182669842531729E-3</v>
      </c>
      <c r="G7" s="122">
        <f>bdrate('experimental data'!E498:E501,'experimental data'!F482:F485,'experimental data'!M498:M501,'experimental data'!N482:N485)</f>
        <v>-5.1428646226271413E-3</v>
      </c>
      <c r="H7" s="123">
        <f>'experimental data'!U490</f>
        <v>-4.0949039567037548E-3</v>
      </c>
      <c r="I7" s="61">
        <f>'experimental data'!Y155</f>
        <v>1.1261099707139264</v>
      </c>
      <c r="J7" s="106">
        <f>'experimental data'!Z155</f>
        <v>0.97666537109187301</v>
      </c>
      <c r="K7" s="57">
        <f>'experimental data'!AA155</f>
        <v>0.98037677453543493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-8.7956831871027763E-4</v>
      </c>
      <c r="D8" s="18">
        <f>'experimental data'!U163</f>
        <v>-3.0250217865185336E-3</v>
      </c>
      <c r="E8" s="19">
        <f>'experimental data'!U167</f>
        <v>-1.5171943845232461E-3</v>
      </c>
      <c r="F8" s="121">
        <f>'experimental data'!U506</f>
        <v>-1.1988338560299239E-3</v>
      </c>
      <c r="G8" s="122">
        <f>bdrate('experimental data'!E522:E525,'experimental data'!F506:F509,'experimental data'!M522:M525,'experimental data'!N506:N509)</f>
        <v>-1.698177558677183E-3</v>
      </c>
      <c r="H8" s="123">
        <f>'experimental data'!U514</f>
        <v>-6.3081852209034839E-4</v>
      </c>
      <c r="I8" s="61">
        <f>'experimental data'!Y207</f>
        <v>1.0052018776240152</v>
      </c>
      <c r="J8" s="106">
        <f>'experimental data'!Z207</f>
        <v>1.0077866968737481</v>
      </c>
      <c r="K8" s="57">
        <f>'experimental data'!AA207</f>
        <v>0.9950555032842604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-9.5522648552759382E-4</v>
      </c>
      <c r="D9" s="18">
        <f>'experimental data'!U215</f>
        <v>-1.5550160315869199E-3</v>
      </c>
      <c r="E9" s="19">
        <f>'experimental data'!U219</f>
        <v>-2.5929125948264575E-2</v>
      </c>
      <c r="F9" s="121">
        <f>'experimental data'!U530</f>
        <v>-7.8775427275012966E-3</v>
      </c>
      <c r="G9" s="122">
        <f>bdrate('experimental data'!E546:E549,'experimental data'!F530:F533,'experimental data'!M546:M549,'experimental data'!N530:N533)</f>
        <v>-8.3610313077933096E-3</v>
      </c>
      <c r="H9" s="123">
        <f>'experimental data'!U538</f>
        <v>-4.5149528303062292E-3</v>
      </c>
      <c r="I9" s="61">
        <f>'experimental data'!Y259</f>
        <v>1.1259022654780109</v>
      </c>
      <c r="J9" s="106">
        <f>'experimental data'!Z259</f>
        <v>0.9974508943365028</v>
      </c>
      <c r="K9" s="57">
        <f>'experimental data'!AA259</f>
        <v>1.0023640444049111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-2.7011280930977488E-4</v>
      </c>
      <c r="D10" s="18">
        <f>'experimental data'!U267</f>
        <v>3.3148593931164871E-3</v>
      </c>
      <c r="E10" s="19">
        <f>'experimental data'!U271</f>
        <v>-6.9984997507092084E-3</v>
      </c>
      <c r="F10" s="121">
        <f>'experimental data'!U554</f>
        <v>-1.7406002394654285E-3</v>
      </c>
      <c r="G10" s="122">
        <f>bdrate('experimental data'!E570:E573,'experimental data'!F554:F557,'experimental data'!M570:M573,'experimental data'!N554:N557)</f>
        <v>-1.6442926821992332E-3</v>
      </c>
      <c r="H10" s="123">
        <f>'experimental data'!U562</f>
        <v>-5.9628943467271434E-4</v>
      </c>
      <c r="I10" s="61">
        <f>'experimental data'!Y311</f>
        <v>1.1240623878137987</v>
      </c>
      <c r="J10" s="106">
        <f>'experimental data'!Z311</f>
        <v>1.0133678978257006</v>
      </c>
      <c r="K10" s="57">
        <f>'experimental data'!AA311</f>
        <v>1.0040002642829329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1.7702813846676158E-4</v>
      </c>
      <c r="D11" s="18">
        <f>'experimental data'!U319</f>
        <v>1.6990693862581896E-3</v>
      </c>
      <c r="E11" s="19">
        <f>'experimental data'!U323</f>
        <v>5.5032682592170978E-4</v>
      </c>
      <c r="F11" s="121">
        <f>'experimental data'!U578</f>
        <v>2.8319777214447228E-4</v>
      </c>
      <c r="G11" s="122">
        <f>bdrate('experimental data'!E594:E597,'experimental data'!F578:F581,'experimental data'!M594:M597,'experimental data'!N578:N581)</f>
        <v>2.7081160315267638E-4</v>
      </c>
      <c r="H11" s="123">
        <f>'experimental data'!U586</f>
        <v>6.9198161867611852E-4</v>
      </c>
      <c r="I11" s="61">
        <f>'experimental data'!Y363</f>
        <v>1.0770102186941983</v>
      </c>
      <c r="J11" s="106">
        <f>'experimental data'!Z363</f>
        <v>1.0243564048568341</v>
      </c>
      <c r="K11" s="57">
        <f>'experimental data'!AA363</f>
        <v>0.99711599030784714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6.2203165451579778E-5</v>
      </c>
      <c r="D12" s="75">
        <f>'experimental data'!U371</f>
        <v>-3.6774134364137012E-4</v>
      </c>
      <c r="E12" s="92">
        <f>'experimental data'!U375</f>
        <v>-9.1727811697861483E-5</v>
      </c>
      <c r="F12" s="124">
        <f>'experimental data'!U602</f>
        <v>-4.3506475052246252E-5</v>
      </c>
      <c r="G12" s="125">
        <f>bdrate('experimental data'!E618:E621,'experimental data'!F602:F605,'experimental data'!M618:M621,'experimental data'!N602:N605)</f>
        <v>2.8604595140535594E-5</v>
      </c>
      <c r="H12" s="126">
        <f>'experimental data'!U610</f>
        <v>1.6091451784694399E-4</v>
      </c>
      <c r="I12" s="63">
        <f>'experimental data'!Y415</f>
        <v>1.003257202870089</v>
      </c>
      <c r="J12" s="107">
        <f>'experimental data'!Z415</f>
        <v>1.0127532865625573</v>
      </c>
      <c r="K12" s="64">
        <f>'experimental data'!AA415</f>
        <v>1.0059310861449366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4.2836396372429125E-4</v>
      </c>
      <c r="D13" s="9">
        <f t="shared" si="0"/>
        <v>-2.5466952335035598E-2</v>
      </c>
      <c r="E13" s="10">
        <f t="shared" si="0"/>
        <v>-3.6460115327989984E-2</v>
      </c>
      <c r="F13" s="118">
        <f t="shared" si="0"/>
        <v>-1.4312367100550468E-2</v>
      </c>
      <c r="G13" s="119">
        <f t="shared" si="0"/>
        <v>-1.3010038469204233E-2</v>
      </c>
      <c r="H13" s="120">
        <f t="shared" si="0"/>
        <v>-9.6031774915290215E-3</v>
      </c>
      <c r="I13" s="58">
        <f t="shared" si="0"/>
        <v>1.1208883993376426</v>
      </c>
      <c r="J13" s="105">
        <f t="shared" si="0"/>
        <v>0.99649416989765227</v>
      </c>
      <c r="K13" s="60">
        <f t="shared" si="0"/>
        <v>0.99039328485608358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-3.7313526192586102E-4</v>
      </c>
      <c r="D14" s="18">
        <f t="shared" ref="D14:K14" si="1">AVERAGE(D8:D12)</f>
        <v>1.322992352557062E-5</v>
      </c>
      <c r="E14" s="19">
        <f t="shared" si="1"/>
        <v>-6.7972442138546363E-3</v>
      </c>
      <c r="F14" s="124">
        <f t="shared" si="1"/>
        <v>-2.1154571051808847E-3</v>
      </c>
      <c r="G14" s="125">
        <f t="shared" si="1"/>
        <v>-2.2808170700753029E-3</v>
      </c>
      <c r="H14" s="126">
        <f t="shared" si="1"/>
        <v>-9.7783293010924579E-4</v>
      </c>
      <c r="I14" s="62">
        <f t="shared" si="1"/>
        <v>1.0670867904960224</v>
      </c>
      <c r="J14" s="107">
        <f t="shared" si="1"/>
        <v>1.0111430360910685</v>
      </c>
      <c r="K14" s="64">
        <f t="shared" si="1"/>
        <v>1.0008933776849775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-7.2573052307053909E-5</v>
      </c>
      <c r="D15" s="95">
        <f t="shared" ref="D15:K15" si="2">AVERAGE(D5:D12)</f>
        <v>-9.5418384234348674E-3</v>
      </c>
      <c r="E15" s="96">
        <f t="shared" si="2"/>
        <v>-1.7920820881655392E-2</v>
      </c>
      <c r="F15" s="127">
        <f t="shared" si="2"/>
        <v>-6.6892983534444783E-3</v>
      </c>
      <c r="G15" s="128">
        <f t="shared" si="2"/>
        <v>-6.3042750947486514E-3</v>
      </c>
      <c r="H15" s="129">
        <f t="shared" si="2"/>
        <v>-4.2123371406416615E-3</v>
      </c>
      <c r="I15" s="99">
        <f>AVERAGE(I5:I12)</f>
        <v>1.0872623938116299</v>
      </c>
      <c r="J15" s="108">
        <f t="shared" si="2"/>
        <v>1.0056497112685376</v>
      </c>
      <c r="K15" s="100">
        <f t="shared" si="2"/>
        <v>0.99695584287414241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-5.2470884221222924E-4</v>
      </c>
      <c r="D21" s="9">
        <f>'experimental data'!U7</f>
        <v>-2.617031577998441E-2</v>
      </c>
      <c r="E21" s="8">
        <f>'experimental data'!U430</f>
        <v>-8.3213992404185255E-3</v>
      </c>
      <c r="F21" s="9">
        <f>bdrate('experimental data'!E446:E449,'experimental data'!F430:F433,'experimental data'!M446:M449,'experimental data'!N430:N433)</f>
        <v>-8.4623393190685903E-3</v>
      </c>
      <c r="G21" s="10">
        <f>'experimental data'!U438</f>
        <v>-4.7141903433108867E-3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4.8517075232679119E-4</v>
      </c>
      <c r="D22" s="18">
        <f>'experimental data'!U59</f>
        <v>-4.3588564346640601E-2</v>
      </c>
      <c r="E22" s="17">
        <f>'experimental data'!U454</f>
        <v>-1.2471563643817074E-2</v>
      </c>
      <c r="F22" s="18">
        <f>bdrate('experimental data'!E470:E473,'experimental data'!F454:F457,'experimental data'!M470:M473,'experimental data'!N454:N457)</f>
        <v>-1.1419426085164885E-2</v>
      </c>
      <c r="G22" s="19">
        <f>'experimental data'!U462</f>
        <v>-8.0550873388320898E-3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1.3246299810583118E-3</v>
      </c>
      <c r="D23" s="18">
        <f>'experimental data'!U111</f>
        <v>-6.6419768784817812E-3</v>
      </c>
      <c r="E23" s="17">
        <f>'experimental data'!U478</f>
        <v>-1.494919567711972E-3</v>
      </c>
      <c r="F23" s="18">
        <f>bdrate('experimental data'!E494:E497,'experimental data'!F478:F481,'experimental data'!M494:M497,'experimental data'!N478:N481)</f>
        <v>-1.8888700311509021E-3</v>
      </c>
      <c r="G23" s="19">
        <f>'experimental data'!U486</f>
        <v>-7.7857151897131605E-4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-8.7956831871027763E-4</v>
      </c>
      <c r="D24" s="18">
        <f>'experimental data'!U163</f>
        <v>-3.0250217865185336E-3</v>
      </c>
      <c r="E24" s="17">
        <f>'experimental data'!U502</f>
        <v>-1.1086286543303681E-3</v>
      </c>
      <c r="F24" s="18">
        <f>bdrate('experimental data'!E518:E521,'experimental data'!F502:F505,'experimental data'!M518:M521,'experimental data'!N502:N505)</f>
        <v>-1.4430328258551173E-3</v>
      </c>
      <c r="G24" s="19">
        <f>'experimental data'!U510</f>
        <v>-5.0320226425915049E-4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-9.5522648552759382E-4</v>
      </c>
      <c r="D25" s="18">
        <f>'experimental data'!U215</f>
        <v>-1.5550160315869199E-3</v>
      </c>
      <c r="E25" s="17">
        <f>'experimental data'!U526</f>
        <v>-2.4814378369898415E-3</v>
      </c>
      <c r="F25" s="18">
        <f>bdrate('experimental data'!E542:E545,'experimental data'!F526:F529,'experimental data'!M542:M545,'experimental data'!N526:N529)</f>
        <v>-3.9444506928868472E-3</v>
      </c>
      <c r="G25" s="19">
        <f>'experimental data'!U534</f>
        <v>-2.4284301772966588E-3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-2.7011280930977488E-4</v>
      </c>
      <c r="D26" s="18">
        <f>'experimental data'!U267</f>
        <v>3.3148593931164871E-3</v>
      </c>
      <c r="E26" s="17">
        <f>'experimental data'!U550</f>
        <v>-4.344085634155892E-4</v>
      </c>
      <c r="F26" s="18">
        <f>bdrate('experimental data'!E566:E569,'experimental data'!F550:F553,'experimental data'!M566:M569,'experimental data'!N550:N553)</f>
        <v>-3.3411073367650701E-4</v>
      </c>
      <c r="G26" s="19">
        <f>'experimental data'!U558</f>
        <v>-4.1285906456911547E-5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1.7702813846676158E-4</v>
      </c>
      <c r="D27" s="18">
        <f>'experimental data'!U319</f>
        <v>1.6990693862581896E-3</v>
      </c>
      <c r="E27" s="17">
        <f>'experimental data'!U574</f>
        <v>3.8446032616290537E-4</v>
      </c>
      <c r="F27" s="18">
        <f>bdrate('experimental data'!E590:E593,'experimental data'!F574:F577,'experimental data'!M590:M593,'experimental data'!N574:N577)</f>
        <v>4.153819103234202E-4</v>
      </c>
      <c r="G27" s="19">
        <f>'experimental data'!U582</f>
        <v>5.2385475038896345E-4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6.2203165451579778E-5</v>
      </c>
      <c r="D28" s="75">
        <f>'experimental data'!U371</f>
        <v>-3.6774134364137012E-4</v>
      </c>
      <c r="E28" s="91">
        <f>'experimental data'!U598</f>
        <v>-3.16759508379727E-5</v>
      </c>
      <c r="F28" s="75">
        <f>bdrate('experimental data'!E614:E617,'experimental data'!F598:F601,'experimental data'!M614:M617,'experimental data'!N598:N601)</f>
        <v>1.1847849096024987E-5</v>
      </c>
      <c r="G28" s="92">
        <f>'experimental data'!U606</f>
        <v>1.693993444735753E-4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4.2836396372429125E-4</v>
      </c>
      <c r="D29" s="9">
        <f>AVERAGE(D21:D23)</f>
        <v>-2.5466952335035598E-2</v>
      </c>
      <c r="E29" s="8">
        <f>AVERAGE(E21:E23)</f>
        <v>-7.4292941506491905E-3</v>
      </c>
      <c r="F29" s="9">
        <f>AVERAGE(F21:F23)</f>
        <v>-7.2568784784614593E-3</v>
      </c>
      <c r="G29" s="10">
        <f>AVERAGE(G21:G23)</f>
        <v>-4.5159497337047645E-3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-3.7313526192586102E-4</v>
      </c>
      <c r="D30" s="18">
        <f>AVERAGE(D24:D28)</f>
        <v>1.322992352557062E-5</v>
      </c>
      <c r="E30" s="91">
        <f>AVERAGE(E24:E28)</f>
        <v>-7.343381358821732E-4</v>
      </c>
      <c r="F30" s="75">
        <f>AVERAGE(F24:F28)</f>
        <v>-1.0588728985998052E-3</v>
      </c>
      <c r="G30" s="92">
        <f>AVERAGE(G24:G28)</f>
        <v>-4.5593285063003639E-4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-7.2573052307053909E-5</v>
      </c>
      <c r="D31" s="95">
        <f>AVERAGE(D21:D28)</f>
        <v>-9.5418384234348674E-3</v>
      </c>
      <c r="E31" s="97">
        <f>AVERAGE(E21:E28)</f>
        <v>-3.2449466414198047E-3</v>
      </c>
      <c r="F31" s="109">
        <f>AVERAGE(F21:F28)</f>
        <v>-3.3831249910479255E-3</v>
      </c>
      <c r="G31" s="98">
        <f>AVERAGE(G21:G28)</f>
        <v>-1.9784391817830593E-3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3" zoomScaleNormal="100" workbookViewId="0">
      <selection activeCell="S418" sqref="E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877.26400000000001</v>
      </c>
      <c r="F3" s="45">
        <v>43.093899999999998</v>
      </c>
      <c r="G3" s="45">
        <v>43.408200000000001</v>
      </c>
      <c r="H3" s="45">
        <v>43.969700000000003</v>
      </c>
      <c r="I3" s="79"/>
      <c r="J3" s="79"/>
      <c r="K3" s="80"/>
      <c r="L3" s="29"/>
      <c r="M3" s="45">
        <v>876.82560000000001</v>
      </c>
      <c r="N3" s="45">
        <v>43.0916</v>
      </c>
      <c r="O3" s="45">
        <v>43.410800000000002</v>
      </c>
      <c r="P3" s="45">
        <v>43.9709</v>
      </c>
      <c r="Q3" s="79"/>
      <c r="R3" s="79"/>
      <c r="S3" s="80"/>
      <c r="U3" s="8">
        <f>bdrate($E3:$E6,F3:F6,$M3:$M6,N3:N6)</f>
        <v>-5.2470884221222924E-4</v>
      </c>
      <c r="V3" s="9">
        <f>bdrate($E3:$E6,G3:G6,$M3:$M6,O3:O6)</f>
        <v>1.3512116201153113E-4</v>
      </c>
      <c r="W3" s="10">
        <f>bdrate($E3:$E6,H3:H6,$M3:$M6,P3:P6)</f>
        <v>-2.1925958870800955E-3</v>
      </c>
      <c r="X3" s="29"/>
      <c r="Y3" s="22"/>
      <c r="Z3" s="22"/>
      <c r="AA3" s="26"/>
      <c r="AC3" s="45">
        <f t="shared" ref="AC3:AF26" si="0">E3 -M3</f>
        <v>0.43840000000000146</v>
      </c>
      <c r="AD3" s="45">
        <f t="shared" si="0"/>
        <v>2.2999999999981924E-3</v>
      </c>
      <c r="AE3" s="45">
        <f t="shared" si="0"/>
        <v>-2.6000000000010459E-3</v>
      </c>
      <c r="AF3" s="45">
        <f t="shared" si="0"/>
        <v>-1.1999999999972033E-3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480.51679999999999</v>
      </c>
      <c r="F4" s="46">
        <v>41.0379</v>
      </c>
      <c r="G4" s="46">
        <v>42.136000000000003</v>
      </c>
      <c r="H4" s="46">
        <v>42.335999999999999</v>
      </c>
      <c r="I4" s="66"/>
      <c r="J4" s="66"/>
      <c r="K4" s="67"/>
      <c r="L4" s="29"/>
      <c r="M4" s="46">
        <v>480.76080000000002</v>
      </c>
      <c r="N4" s="46">
        <v>41.040300000000002</v>
      </c>
      <c r="O4" s="46">
        <v>42.138800000000003</v>
      </c>
      <c r="P4" s="46">
        <v>42.339399999999998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-0.24400000000002819</v>
      </c>
      <c r="AD4" s="46">
        <f t="shared" si="0"/>
        <v>-2.400000000001512E-3</v>
      </c>
      <c r="AE4" s="46">
        <f t="shared" si="0"/>
        <v>-2.8000000000005798E-3</v>
      </c>
      <c r="AF4" s="46">
        <f t="shared" si="0"/>
        <v>-3.3999999999991815E-3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277.07119999999998</v>
      </c>
      <c r="F5" s="46">
        <v>38.450499999999998</v>
      </c>
      <c r="G5" s="46">
        <v>40.665199999999999</v>
      </c>
      <c r="H5" s="46">
        <v>40.531799999999997</v>
      </c>
      <c r="I5" s="66"/>
      <c r="J5" s="66"/>
      <c r="K5" s="67"/>
      <c r="L5" s="29"/>
      <c r="M5" s="46">
        <v>276.89600000000002</v>
      </c>
      <c r="N5" s="46">
        <v>38.4497</v>
      </c>
      <c r="O5" s="46">
        <v>40.6599</v>
      </c>
      <c r="P5" s="46">
        <v>40.540799999999997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0.17519999999996116</v>
      </c>
      <c r="AD5" s="46">
        <f t="shared" si="0"/>
        <v>7.9999999999813554E-4</v>
      </c>
      <c r="AE5" s="46">
        <f t="shared" si="0"/>
        <v>5.2999999999983061E-3</v>
      </c>
      <c r="AF5" s="46">
        <f t="shared" si="0"/>
        <v>-9.0000000000003411E-3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167.58240000000001</v>
      </c>
      <c r="F6" s="46">
        <v>35.628</v>
      </c>
      <c r="G6" s="46">
        <v>39.575699999999998</v>
      </c>
      <c r="H6" s="46">
        <v>39.212600000000002</v>
      </c>
      <c r="I6" s="66"/>
      <c r="J6" s="66"/>
      <c r="K6" s="67"/>
      <c r="L6" s="29"/>
      <c r="M6" s="46">
        <v>167.5504</v>
      </c>
      <c r="N6" s="46">
        <v>35.640500000000003</v>
      </c>
      <c r="O6" s="46">
        <v>39.574100000000001</v>
      </c>
      <c r="P6" s="46">
        <v>39.224699999999999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3.2000000000010687E-2</v>
      </c>
      <c r="AD6" s="46">
        <f t="shared" si="0"/>
        <v>-1.2500000000002842E-2</v>
      </c>
      <c r="AE6" s="46">
        <f t="shared" si="0"/>
        <v>1.5999999999962711E-3</v>
      </c>
      <c r="AF6" s="46">
        <f t="shared" si="0"/>
        <v>-1.2099999999996669E-2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361.82240000000002</v>
      </c>
      <c r="F7" s="45">
        <v>42.161700000000003</v>
      </c>
      <c r="G7" s="45">
        <v>42.997399999999999</v>
      </c>
      <c r="H7" s="45">
        <v>43.095700000000001</v>
      </c>
      <c r="I7" s="79"/>
      <c r="J7" s="79"/>
      <c r="K7" s="80"/>
      <c r="L7" s="29"/>
      <c r="M7" s="45">
        <v>348.5136</v>
      </c>
      <c r="N7" s="45">
        <v>42.185899999999997</v>
      </c>
      <c r="O7" s="45">
        <v>42.983699999999999</v>
      </c>
      <c r="P7" s="45">
        <v>43.090400000000002</v>
      </c>
      <c r="Q7" s="79"/>
      <c r="R7" s="79"/>
      <c r="S7" s="80"/>
      <c r="U7" s="8">
        <f>bdrate($E7:$E10,F7:F10,$M7:$M10,N7:N10)</f>
        <v>-2.617031577998441E-2</v>
      </c>
      <c r="V7" s="9">
        <f>bdrate($E7:$E10,G7:G10,$M7:$M10,O7:O10)</f>
        <v>-1.7997043118145872E-2</v>
      </c>
      <c r="W7" s="10">
        <f>bdrate($E7:$E10,H7:H10,$M7:$M10,P7:P10)</f>
        <v>-2.310051515735323E-2</v>
      </c>
      <c r="X7" s="29"/>
      <c r="Y7" s="24"/>
      <c r="Z7" s="24"/>
      <c r="AA7" s="27"/>
      <c r="AC7" s="45">
        <f t="shared" si="0"/>
        <v>13.308800000000019</v>
      </c>
      <c r="AD7" s="45">
        <f t="shared" si="0"/>
        <v>-2.4199999999993338E-2</v>
      </c>
      <c r="AE7" s="45">
        <f t="shared" si="0"/>
        <v>1.3700000000000045E-2</v>
      </c>
      <c r="AF7" s="45">
        <f t="shared" si="0"/>
        <v>5.2999999999983061E-3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173.91120000000001</v>
      </c>
      <c r="F8" s="46">
        <v>39.753900000000002</v>
      </c>
      <c r="G8" s="46">
        <v>41.630099999999999</v>
      </c>
      <c r="H8" s="46">
        <v>41.469200000000001</v>
      </c>
      <c r="I8" s="66"/>
      <c r="J8" s="66"/>
      <c r="K8" s="67"/>
      <c r="L8" s="29"/>
      <c r="M8" s="46">
        <v>168.756</v>
      </c>
      <c r="N8" s="46">
        <v>39.785200000000003</v>
      </c>
      <c r="O8" s="46">
        <v>41.6205</v>
      </c>
      <c r="P8" s="46">
        <v>41.462800000000001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5.1552000000000078</v>
      </c>
      <c r="AD8" s="46">
        <f t="shared" si="0"/>
        <v>-3.130000000000166E-2</v>
      </c>
      <c r="AE8" s="46">
        <f t="shared" si="0"/>
        <v>9.5999999999989427E-3</v>
      </c>
      <c r="AF8" s="46">
        <f t="shared" si="0"/>
        <v>6.3999999999992951E-3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93.393600000000006</v>
      </c>
      <c r="F9" s="46">
        <v>37.119300000000003</v>
      </c>
      <c r="G9" s="46">
        <v>40.4206</v>
      </c>
      <c r="H9" s="46">
        <v>39.962699999999998</v>
      </c>
      <c r="I9" s="66"/>
      <c r="J9" s="66"/>
      <c r="K9" s="67"/>
      <c r="L9" s="29"/>
      <c r="M9" s="46">
        <v>92.0976</v>
      </c>
      <c r="N9" s="46">
        <v>37.1374</v>
      </c>
      <c r="O9" s="46">
        <v>40.418999999999997</v>
      </c>
      <c r="P9" s="46">
        <v>39.971299999999999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1.2960000000000065</v>
      </c>
      <c r="AD9" s="46">
        <f t="shared" si="0"/>
        <v>-1.8099999999996896E-2</v>
      </c>
      <c r="AE9" s="46">
        <f t="shared" si="0"/>
        <v>1.6000000000033765E-3</v>
      </c>
      <c r="AF9" s="46">
        <f t="shared" si="0"/>
        <v>-8.6000000000012733E-3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49.1952</v>
      </c>
      <c r="F10" s="46">
        <v>34.349699999999999</v>
      </c>
      <c r="G10" s="46">
        <v>39.310699999999997</v>
      </c>
      <c r="H10" s="46">
        <v>38.669199999999996</v>
      </c>
      <c r="I10" s="66"/>
      <c r="J10" s="66"/>
      <c r="K10" s="67"/>
      <c r="L10" s="29"/>
      <c r="M10" s="46">
        <v>49.2288</v>
      </c>
      <c r="N10" s="46">
        <v>34.370600000000003</v>
      </c>
      <c r="O10" s="46">
        <v>39.300400000000003</v>
      </c>
      <c r="P10" s="46">
        <v>38.689399999999999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-3.3599999999999852E-2</v>
      </c>
      <c r="AD10" s="46">
        <f t="shared" si="0"/>
        <v>-2.0900000000004582E-2</v>
      </c>
      <c r="AE10" s="46">
        <f t="shared" si="0"/>
        <v>1.0299999999993759E-2</v>
      </c>
      <c r="AF10" s="46">
        <f t="shared" si="0"/>
        <v>-2.020000000000266E-2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393.95519999999999</v>
      </c>
      <c r="F11" s="45">
        <v>41.837800000000001</v>
      </c>
      <c r="G11" s="45">
        <v>42.413200000000003</v>
      </c>
      <c r="H11" s="45">
        <v>42.852600000000002</v>
      </c>
      <c r="I11" s="79"/>
      <c r="J11" s="79"/>
      <c r="K11" s="80"/>
      <c r="L11" s="29"/>
      <c r="M11" s="45">
        <v>380.6968</v>
      </c>
      <c r="N11" s="45">
        <v>41.855499999999999</v>
      </c>
      <c r="O11" s="45">
        <v>42.427599999999998</v>
      </c>
      <c r="P11" s="45">
        <v>42.825899999999997</v>
      </c>
      <c r="Q11" s="79"/>
      <c r="R11" s="79"/>
      <c r="S11" s="80"/>
      <c r="U11" s="8">
        <f>bdrate($E11:$E14,F11:F14,$M11:$M14,N11:N14)</f>
        <v>-2.7154124075816521E-2</v>
      </c>
      <c r="V11" s="9">
        <f>bdrate($E11:$E14,G11:G14,$M11:$M14,O11:O14)</f>
        <v>-3.1742426205087715E-2</v>
      </c>
      <c r="W11" s="10">
        <f>bdrate($E11:$E14,H11:H14,$M11:$M14,P11:P14)</f>
        <v>-2.0722602281965652E-2</v>
      </c>
      <c r="X11" s="29"/>
      <c r="Y11" s="24"/>
      <c r="Z11" s="24"/>
      <c r="AA11" s="27"/>
      <c r="AC11" s="45">
        <f t="shared" si="0"/>
        <v>13.258399999999995</v>
      </c>
      <c r="AD11" s="45">
        <f t="shared" si="0"/>
        <v>-1.7699999999997829E-2</v>
      </c>
      <c r="AE11" s="45">
        <f t="shared" si="0"/>
        <v>-1.4399999999994861E-2</v>
      </c>
      <c r="AF11" s="45">
        <f t="shared" si="0"/>
        <v>2.6700000000005275E-2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188.9248</v>
      </c>
      <c r="F12" s="46">
        <v>39.520400000000002</v>
      </c>
      <c r="G12" s="46">
        <v>40.9923</v>
      </c>
      <c r="H12" s="46">
        <v>41.263300000000001</v>
      </c>
      <c r="I12" s="66"/>
      <c r="J12" s="66"/>
      <c r="K12" s="67"/>
      <c r="L12" s="29"/>
      <c r="M12" s="46">
        <v>184.35120000000001</v>
      </c>
      <c r="N12" s="46">
        <v>39.554699999999997</v>
      </c>
      <c r="O12" s="46">
        <v>41.000100000000003</v>
      </c>
      <c r="P12" s="46">
        <v>41.254899999999999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4.573599999999999</v>
      </c>
      <c r="AD12" s="46">
        <f t="shared" si="0"/>
        <v>-3.4299999999994668E-2</v>
      </c>
      <c r="AE12" s="46">
        <f t="shared" si="0"/>
        <v>-7.8000000000031378E-3</v>
      </c>
      <c r="AF12" s="46">
        <f t="shared" si="0"/>
        <v>8.4000000000017394E-3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102.096</v>
      </c>
      <c r="F13" s="46">
        <v>36.901699999999998</v>
      </c>
      <c r="G13" s="46">
        <v>39.834699999999998</v>
      </c>
      <c r="H13" s="46">
        <v>39.812600000000003</v>
      </c>
      <c r="I13" s="66"/>
      <c r="J13" s="66"/>
      <c r="K13" s="67"/>
      <c r="L13" s="29"/>
      <c r="M13" s="46">
        <v>100.43680000000001</v>
      </c>
      <c r="N13" s="46">
        <v>36.945500000000003</v>
      </c>
      <c r="O13" s="46">
        <v>39.8703</v>
      </c>
      <c r="P13" s="46">
        <v>39.828499999999998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1.6591999999999985</v>
      </c>
      <c r="AD13" s="46">
        <f t="shared" si="0"/>
        <v>-4.3800000000004502E-2</v>
      </c>
      <c r="AE13" s="46">
        <f t="shared" si="0"/>
        <v>-3.5600000000002296E-2</v>
      </c>
      <c r="AF13" s="46">
        <f t="shared" si="0"/>
        <v>-1.5899999999994918E-2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54.375999999999998</v>
      </c>
      <c r="F14" s="72">
        <v>34.179099999999998</v>
      </c>
      <c r="G14" s="72">
        <v>38.738399999999999</v>
      </c>
      <c r="H14" s="72">
        <v>38.503500000000003</v>
      </c>
      <c r="I14" s="68"/>
      <c r="J14" s="68"/>
      <c r="K14" s="69"/>
      <c r="L14" s="29"/>
      <c r="M14" s="72">
        <v>54.562399999999997</v>
      </c>
      <c r="N14" s="72">
        <v>34.211500000000001</v>
      </c>
      <c r="O14" s="72">
        <v>38.782299999999999</v>
      </c>
      <c r="P14" s="72">
        <v>38.535499999999999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-0.18639999999999901</v>
      </c>
      <c r="AD14" s="72">
        <f t="shared" si="0"/>
        <v>-3.2400000000002649E-2</v>
      </c>
      <c r="AE14" s="72">
        <f t="shared" si="0"/>
        <v>-4.3900000000000716E-2</v>
      </c>
      <c r="AF14" s="72">
        <f t="shared" si="0"/>
        <v>-3.1999999999996476E-2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143.2312</v>
      </c>
      <c r="F15" s="45">
        <v>40.122</v>
      </c>
      <c r="G15" s="78"/>
      <c r="H15" s="78"/>
      <c r="I15" s="79"/>
      <c r="J15" s="79"/>
      <c r="K15" s="80"/>
      <c r="L15" s="29"/>
      <c r="M15" s="45">
        <v>142.84960000000001</v>
      </c>
      <c r="N15" s="45">
        <v>40.133200000000002</v>
      </c>
      <c r="O15" s="78"/>
      <c r="P15" s="78"/>
      <c r="Q15" s="79"/>
      <c r="R15" s="79"/>
      <c r="S15" s="80"/>
      <c r="U15" s="8">
        <f>bdrate($E15:$E18,F15:F18,$M15:$M18,N15:N18)</f>
        <v>-9.0875838975593703E-3</v>
      </c>
      <c r="V15" s="9"/>
      <c r="W15" s="10"/>
      <c r="X15" s="29"/>
      <c r="Y15" s="24"/>
      <c r="Z15" s="24"/>
      <c r="AA15" s="27"/>
      <c r="AC15" s="45">
        <f t="shared" si="0"/>
        <v>0.38159999999999172</v>
      </c>
      <c r="AD15" s="45">
        <f t="shared" si="0"/>
        <v>-1.1200000000002319E-2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50.923999999999999</v>
      </c>
      <c r="F16" s="46">
        <v>36.4908</v>
      </c>
      <c r="G16" s="70"/>
      <c r="H16" s="70"/>
      <c r="I16" s="66"/>
      <c r="J16" s="66"/>
      <c r="K16" s="67"/>
      <c r="L16" s="29"/>
      <c r="M16" s="46">
        <v>50.558399999999999</v>
      </c>
      <c r="N16" s="46">
        <v>36.515099999999997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0.36560000000000059</v>
      </c>
      <c r="AD16" s="46">
        <f t="shared" si="0"/>
        <v>-2.4299999999996658E-2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24.379200000000001</v>
      </c>
      <c r="F17" s="46">
        <v>33.994399999999999</v>
      </c>
      <c r="G17" s="70"/>
      <c r="H17" s="70"/>
      <c r="I17" s="66"/>
      <c r="J17" s="66"/>
      <c r="K17" s="67"/>
      <c r="L17" s="29"/>
      <c r="M17" s="46">
        <v>24.3552</v>
      </c>
      <c r="N17" s="46">
        <v>33.992699999999999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2.4000000000000909E-2</v>
      </c>
      <c r="AD17" s="46">
        <f t="shared" si="0"/>
        <v>1.6999999999995907E-3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13.2888</v>
      </c>
      <c r="F18" s="46">
        <v>31.7882</v>
      </c>
      <c r="G18" s="70"/>
      <c r="H18" s="70"/>
      <c r="I18" s="66"/>
      <c r="J18" s="66"/>
      <c r="K18" s="67"/>
      <c r="L18" s="29"/>
      <c r="M18" s="46">
        <v>13.4368</v>
      </c>
      <c r="N18" s="46">
        <v>31.8872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-0.14799999999999969</v>
      </c>
      <c r="AD18" s="46">
        <f t="shared" si="0"/>
        <v>-9.9000000000000199E-2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110.1648</v>
      </c>
      <c r="F19" s="45">
        <v>37.731999999999999</v>
      </c>
      <c r="G19" s="78"/>
      <c r="H19" s="78"/>
      <c r="I19" s="79"/>
      <c r="J19" s="79"/>
      <c r="K19" s="80"/>
      <c r="L19" s="29"/>
      <c r="M19" s="45">
        <v>109.82640000000001</v>
      </c>
      <c r="N19" s="45">
        <v>37.733499999999999</v>
      </c>
      <c r="O19" s="78"/>
      <c r="P19" s="78"/>
      <c r="Q19" s="79"/>
      <c r="R19" s="79"/>
      <c r="S19" s="80"/>
      <c r="U19" s="8">
        <f>bdrate($E19:$E22,F19:F22,$M19:$M22,N19:N22)</f>
        <v>-6.9041003080561048E-4</v>
      </c>
      <c r="V19" s="9"/>
      <c r="W19" s="10"/>
      <c r="X19" s="29"/>
      <c r="Y19" s="24"/>
      <c r="Z19" s="24"/>
      <c r="AA19" s="27"/>
      <c r="AC19" s="45">
        <f t="shared" si="0"/>
        <v>0.33839999999999293</v>
      </c>
      <c r="AD19" s="45">
        <f t="shared" si="0"/>
        <v>-1.5000000000000568E-3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38.089599999999997</v>
      </c>
      <c r="F20" s="46">
        <v>34.125399999999999</v>
      </c>
      <c r="G20" s="70"/>
      <c r="H20" s="70"/>
      <c r="I20" s="66"/>
      <c r="J20" s="66"/>
      <c r="K20" s="67"/>
      <c r="L20" s="29"/>
      <c r="M20" s="46">
        <v>37.487200000000001</v>
      </c>
      <c r="N20" s="46">
        <v>34.047800000000002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0.60239999999999583</v>
      </c>
      <c r="AD20" s="46">
        <f t="shared" si="0"/>
        <v>7.7599999999996783E-2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16.940799999999999</v>
      </c>
      <c r="F21" s="46">
        <v>30.794799999999999</v>
      </c>
      <c r="G21" s="70"/>
      <c r="H21" s="70"/>
      <c r="I21" s="66"/>
      <c r="J21" s="66"/>
      <c r="K21" s="67"/>
      <c r="L21" s="29"/>
      <c r="M21" s="46">
        <v>16.72</v>
      </c>
      <c r="N21" s="46">
        <v>30.747800000000002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0.22080000000000055</v>
      </c>
      <c r="AD21" s="46">
        <f t="shared" si="0"/>
        <v>4.6999999999997044E-2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8.3952000000000009</v>
      </c>
      <c r="F22" s="46">
        <v>27.737400000000001</v>
      </c>
      <c r="G22" s="70"/>
      <c r="H22" s="70"/>
      <c r="I22" s="66"/>
      <c r="J22" s="66"/>
      <c r="K22" s="67"/>
      <c r="L22" s="29"/>
      <c r="M22" s="46">
        <v>8.3968000000000007</v>
      </c>
      <c r="N22" s="46">
        <v>27.794899999999998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-1.5999999999998238E-3</v>
      </c>
      <c r="AD22" s="46">
        <f t="shared" si="0"/>
        <v>-5.7499999999997442E-2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121.2152</v>
      </c>
      <c r="F23" s="45">
        <v>37.083100000000002</v>
      </c>
      <c r="G23" s="78"/>
      <c r="H23" s="78"/>
      <c r="I23" s="79"/>
      <c r="J23" s="79"/>
      <c r="K23" s="80"/>
      <c r="L23" s="29"/>
      <c r="M23" s="45">
        <v>121.544</v>
      </c>
      <c r="N23" s="45">
        <v>37.094099999999997</v>
      </c>
      <c r="O23" s="78"/>
      <c r="P23" s="78"/>
      <c r="Q23" s="79"/>
      <c r="R23" s="79"/>
      <c r="S23" s="80"/>
      <c r="U23" s="8">
        <f>bdrate($E23:$E26,F23:F26,$M23:$M26,N23:N26)</f>
        <v>-2.1754650566365497E-2</v>
      </c>
      <c r="V23" s="9"/>
      <c r="W23" s="10"/>
      <c r="X23" s="29"/>
      <c r="Y23" s="24"/>
      <c r="Z23" s="24"/>
      <c r="AA23" s="27"/>
      <c r="AC23" s="45">
        <f t="shared" si="0"/>
        <v>-0.32880000000000109</v>
      </c>
      <c r="AD23" s="45">
        <f t="shared" si="0"/>
        <v>-1.099999999999568E-2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42.636800000000001</v>
      </c>
      <c r="F24" s="46">
        <v>33.46</v>
      </c>
      <c r="G24" s="70"/>
      <c r="H24" s="70"/>
      <c r="I24" s="66"/>
      <c r="J24" s="66"/>
      <c r="K24" s="67"/>
      <c r="L24" s="29"/>
      <c r="M24" s="46">
        <v>42.416800000000002</v>
      </c>
      <c r="N24" s="46">
        <v>33.472000000000001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0.21999999999999886</v>
      </c>
      <c r="AD24" s="46">
        <f t="shared" si="0"/>
        <v>-1.2000000000000455E-2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19.506399999999999</v>
      </c>
      <c r="F25" s="46">
        <v>29.903199999999998</v>
      </c>
      <c r="G25" s="70"/>
      <c r="H25" s="70"/>
      <c r="I25" s="66"/>
      <c r="J25" s="66"/>
      <c r="K25" s="67"/>
      <c r="L25" s="29"/>
      <c r="M25" s="46">
        <v>19.414400000000001</v>
      </c>
      <c r="N25" s="46">
        <v>30.083500000000001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9.1999999999998749E-2</v>
      </c>
      <c r="AD25" s="46">
        <f t="shared" si="0"/>
        <v>-0.18030000000000257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9.6608000000000001</v>
      </c>
      <c r="F26" s="46">
        <v>26.703499999999998</v>
      </c>
      <c r="G26" s="70"/>
      <c r="H26" s="70"/>
      <c r="I26" s="66"/>
      <c r="J26" s="66"/>
      <c r="K26" s="67"/>
      <c r="L26" s="29"/>
      <c r="M26" s="46">
        <v>9.5703999999999994</v>
      </c>
      <c r="N26" s="46">
        <v>26.773800000000001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9.0400000000000702E-2</v>
      </c>
      <c r="AD26" s="46">
        <f t="shared" si="0"/>
        <v>-7.0300000000003138E-2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42.319099999999999</v>
      </c>
      <c r="G27" s="45">
        <v>45.2866</v>
      </c>
      <c r="H27" s="45">
        <v>45.0396</v>
      </c>
      <c r="I27" s="79"/>
      <c r="J27" s="79"/>
      <c r="K27" s="80"/>
      <c r="L27" s="29"/>
      <c r="M27" s="78"/>
      <c r="N27" s="45">
        <v>42.339799999999997</v>
      </c>
      <c r="O27" s="45">
        <v>45.255099999999999</v>
      </c>
      <c r="P27" s="45">
        <v>44.993499999999997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-2.0699999999997942E-2</v>
      </c>
      <c r="AE27" s="45">
        <f>G27 -O27</f>
        <v>3.1500000000001194E-2</v>
      </c>
      <c r="AF27" s="45">
        <f>H27 -P27</f>
        <v>4.6100000000002694E-2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39.9681</v>
      </c>
      <c r="G28" s="46">
        <v>43.552399999999999</v>
      </c>
      <c r="H28" s="46">
        <v>43.017800000000001</v>
      </c>
      <c r="I28" s="66"/>
      <c r="J28" s="66"/>
      <c r="K28" s="67"/>
      <c r="L28" s="29"/>
      <c r="M28" s="70"/>
      <c r="N28" s="46">
        <v>39.971800000000002</v>
      </c>
      <c r="O28" s="46">
        <v>43.5304</v>
      </c>
      <c r="P28" s="46">
        <v>43.001899999999999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-3.700000000002035E-3</v>
      </c>
      <c r="AE28" s="46">
        <f t="shared" si="1"/>
        <v>2.1999999999998465E-2</v>
      </c>
      <c r="AF28" s="46">
        <f t="shared" si="1"/>
        <v>1.5900000000002024E-2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37.441400000000002</v>
      </c>
      <c r="G29" s="46">
        <v>41.926000000000002</v>
      </c>
      <c r="H29" s="46">
        <v>41.169899999999998</v>
      </c>
      <c r="I29" s="66"/>
      <c r="J29" s="66"/>
      <c r="K29" s="67"/>
      <c r="L29" s="29"/>
      <c r="M29" s="70"/>
      <c r="N29" s="46">
        <v>37.440199999999997</v>
      </c>
      <c r="O29" s="46">
        <v>41.888199999999998</v>
      </c>
      <c r="P29" s="46">
        <v>41.169800000000002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1.2000000000043087E-3</v>
      </c>
      <c r="AE29" s="46">
        <f t="shared" si="1"/>
        <v>3.7800000000004275E-2</v>
      </c>
      <c r="AF29" s="46">
        <f t="shared" si="1"/>
        <v>9.9999999996214228E-5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34.720999999999997</v>
      </c>
      <c r="G30" s="72">
        <v>40.516399999999997</v>
      </c>
      <c r="H30" s="72">
        <v>39.666800000000002</v>
      </c>
      <c r="I30" s="68"/>
      <c r="J30" s="68"/>
      <c r="K30" s="69"/>
      <c r="L30" s="29"/>
      <c r="M30" s="81"/>
      <c r="N30" s="72">
        <v>34.738500000000002</v>
      </c>
      <c r="O30" s="72">
        <v>40.534199999999998</v>
      </c>
      <c r="P30" s="72">
        <v>39.6693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-1.75000000000054E-2</v>
      </c>
      <c r="AE30" s="72">
        <f t="shared" si="1"/>
        <v>-1.7800000000001148E-2</v>
      </c>
      <c r="AF30" s="72">
        <f t="shared" si="1"/>
        <v>-2.4999999999977263E-3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42.921599999999998</v>
      </c>
      <c r="G31" s="45">
        <v>45.917099999999998</v>
      </c>
      <c r="H31" s="45">
        <v>45.751600000000003</v>
      </c>
      <c r="I31" s="66"/>
      <c r="J31" s="66"/>
      <c r="K31" s="67"/>
      <c r="L31" s="29"/>
      <c r="M31" s="70"/>
      <c r="N31" s="45">
        <v>42.929900000000004</v>
      </c>
      <c r="O31" s="45">
        <v>45.895800000000001</v>
      </c>
      <c r="P31" s="45">
        <v>45.719799999999999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-8.3000000000055252E-3</v>
      </c>
      <c r="AE31" s="45">
        <f t="shared" si="1"/>
        <v>2.1299999999996544E-2</v>
      </c>
      <c r="AF31" s="45">
        <f t="shared" si="1"/>
        <v>3.1800000000004047E-2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40.505899999999997</v>
      </c>
      <c r="G32" s="46">
        <v>44.102600000000002</v>
      </c>
      <c r="H32" s="46">
        <v>43.610700000000001</v>
      </c>
      <c r="I32" s="66"/>
      <c r="J32" s="66"/>
      <c r="K32" s="67"/>
      <c r="L32" s="29"/>
      <c r="M32" s="70"/>
      <c r="N32" s="46">
        <v>40.488900000000001</v>
      </c>
      <c r="O32" s="46">
        <v>44.076799999999999</v>
      </c>
      <c r="P32" s="46">
        <v>43.603099999999998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1.6999999999995907E-2</v>
      </c>
      <c r="AE32" s="46">
        <f t="shared" si="1"/>
        <v>2.580000000000382E-2</v>
      </c>
      <c r="AF32" s="46">
        <f t="shared" si="1"/>
        <v>7.6000000000036039E-3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37.886299999999999</v>
      </c>
      <c r="G33" s="46">
        <v>42.2624</v>
      </c>
      <c r="H33" s="46">
        <v>41.558799999999998</v>
      </c>
      <c r="I33" s="66"/>
      <c r="J33" s="66"/>
      <c r="K33" s="67"/>
      <c r="L33" s="29"/>
      <c r="M33" s="70"/>
      <c r="N33" s="46">
        <v>37.879399999999997</v>
      </c>
      <c r="O33" s="46">
        <v>42.225700000000003</v>
      </c>
      <c r="P33" s="46">
        <v>41.558500000000002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6.9000000000016826E-3</v>
      </c>
      <c r="AE33" s="46">
        <f t="shared" si="1"/>
        <v>3.669999999999618E-2</v>
      </c>
      <c r="AF33" s="46">
        <f t="shared" si="1"/>
        <v>2.9999999999574811E-4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35.086799999999997</v>
      </c>
      <c r="G34" s="72">
        <v>40.786900000000003</v>
      </c>
      <c r="H34" s="72">
        <v>39.974499999999999</v>
      </c>
      <c r="I34" s="68"/>
      <c r="J34" s="68"/>
      <c r="K34" s="69"/>
      <c r="L34" s="29"/>
      <c r="M34" s="81"/>
      <c r="N34" s="46">
        <v>35.091799999999999</v>
      </c>
      <c r="O34" s="72">
        <v>40.806199999999997</v>
      </c>
      <c r="P34" s="72">
        <v>39.981699999999996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-5.000000000002558E-3</v>
      </c>
      <c r="AE34" s="46">
        <f t="shared" si="1"/>
        <v>-1.92999999999941E-2</v>
      </c>
      <c r="AF34" s="46">
        <f t="shared" si="1"/>
        <v>-7.1999999999974307E-3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43.094799999999999</v>
      </c>
      <c r="G35" s="45">
        <v>45.591000000000001</v>
      </c>
      <c r="H35" s="45">
        <v>45.701500000000003</v>
      </c>
      <c r="I35" s="66"/>
      <c r="J35" s="66"/>
      <c r="K35" s="67"/>
      <c r="L35" s="29"/>
      <c r="M35" s="70"/>
      <c r="N35" s="45">
        <v>43.0854</v>
      </c>
      <c r="O35" s="45">
        <v>45.582000000000001</v>
      </c>
      <c r="P35" s="45">
        <v>45.687899999999999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9.3999999999994088E-3</v>
      </c>
      <c r="AE35" s="45">
        <f t="shared" si="1"/>
        <v>9.0000000000003411E-3</v>
      </c>
      <c r="AF35" s="45">
        <f t="shared" si="1"/>
        <v>1.3600000000003831E-2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40.857300000000002</v>
      </c>
      <c r="G36" s="46">
        <v>43.952800000000003</v>
      </c>
      <c r="H36" s="46">
        <v>43.686799999999998</v>
      </c>
      <c r="I36" s="66"/>
      <c r="J36" s="66"/>
      <c r="K36" s="67"/>
      <c r="L36" s="29"/>
      <c r="M36" s="70"/>
      <c r="N36" s="46">
        <v>40.848100000000002</v>
      </c>
      <c r="O36" s="46">
        <v>43.939</v>
      </c>
      <c r="P36" s="46">
        <v>43.694000000000003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9.1999999999998749E-3</v>
      </c>
      <c r="AE36" s="46">
        <f t="shared" si="1"/>
        <v>1.3800000000003365E-2</v>
      </c>
      <c r="AF36" s="46">
        <f t="shared" si="1"/>
        <v>-7.2000000000045361E-3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38.272199999999998</v>
      </c>
      <c r="G37" s="46">
        <v>42.131</v>
      </c>
      <c r="H37" s="46">
        <v>41.608400000000003</v>
      </c>
      <c r="I37" s="66"/>
      <c r="J37" s="66"/>
      <c r="K37" s="67"/>
      <c r="L37" s="29"/>
      <c r="M37" s="70"/>
      <c r="N37" s="46">
        <v>38.261499999999998</v>
      </c>
      <c r="O37" s="46">
        <v>42.105400000000003</v>
      </c>
      <c r="P37" s="46">
        <v>41.613799999999998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1.0699999999999932E-2</v>
      </c>
      <c r="AE37" s="46">
        <f t="shared" si="1"/>
        <v>2.5599999999997181E-2</v>
      </c>
      <c r="AF37" s="46">
        <f t="shared" si="1"/>
        <v>-5.3999999999945203E-3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35.467300000000002</v>
      </c>
      <c r="G38" s="72">
        <v>40.7607</v>
      </c>
      <c r="H38" s="72">
        <v>40.0625</v>
      </c>
      <c r="I38" s="68"/>
      <c r="J38" s="68"/>
      <c r="K38" s="69"/>
      <c r="L38" s="29"/>
      <c r="M38" s="81"/>
      <c r="N38" s="46">
        <v>35.473300000000002</v>
      </c>
      <c r="O38" s="72">
        <v>40.7712</v>
      </c>
      <c r="P38" s="72">
        <v>40.074800000000003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-6.0000000000002274E-3</v>
      </c>
      <c r="AE38" s="46">
        <f t="shared" si="1"/>
        <v>-1.0500000000000398E-2</v>
      </c>
      <c r="AF38" s="46">
        <f t="shared" si="1"/>
        <v>-1.2300000000003308E-2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43.007199999999997</v>
      </c>
      <c r="G39" s="45">
        <v>45.590299999999999</v>
      </c>
      <c r="H39" s="45">
        <v>45.673900000000003</v>
      </c>
      <c r="I39" s="66"/>
      <c r="J39" s="66"/>
      <c r="K39" s="67"/>
      <c r="L39" s="29"/>
      <c r="M39" s="70"/>
      <c r="N39" s="45">
        <v>42.9998</v>
      </c>
      <c r="O39" s="45">
        <v>45.576700000000002</v>
      </c>
      <c r="P39" s="45">
        <v>45.654000000000003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7.3999999999969646E-3</v>
      </c>
      <c r="AE39" s="45">
        <f t="shared" si="1"/>
        <v>1.3599999999996726E-2</v>
      </c>
      <c r="AF39" s="45">
        <f t="shared" si="1"/>
        <v>1.9899999999999807E-2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40.7637</v>
      </c>
      <c r="G40" s="46">
        <v>43.936100000000003</v>
      </c>
      <c r="H40" s="46">
        <v>43.670299999999997</v>
      </c>
      <c r="I40" s="66"/>
      <c r="J40" s="66"/>
      <c r="K40" s="67"/>
      <c r="L40" s="29"/>
      <c r="M40" s="70"/>
      <c r="N40" s="46">
        <v>40.759500000000003</v>
      </c>
      <c r="O40" s="46">
        <v>43.912799999999997</v>
      </c>
      <c r="P40" s="46">
        <v>43.670699999999997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4.199999999997317E-3</v>
      </c>
      <c r="AE40" s="46">
        <f t="shared" si="1"/>
        <v>2.3300000000006094E-2</v>
      </c>
      <c r="AF40" s="46">
        <f t="shared" si="1"/>
        <v>-3.9999999999906777E-4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38.167499999999997</v>
      </c>
      <c r="G41" s="46">
        <v>42.130800000000001</v>
      </c>
      <c r="H41" s="46">
        <v>41.592599999999997</v>
      </c>
      <c r="I41" s="66"/>
      <c r="J41" s="66"/>
      <c r="K41" s="67"/>
      <c r="L41" s="29"/>
      <c r="M41" s="70"/>
      <c r="N41" s="46">
        <v>38.164200000000001</v>
      </c>
      <c r="O41" s="46">
        <v>42.107799999999997</v>
      </c>
      <c r="P41" s="46">
        <v>41.608499999999999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3.2999999999958618E-3</v>
      </c>
      <c r="AE41" s="46">
        <f t="shared" si="1"/>
        <v>2.300000000000324E-2</v>
      </c>
      <c r="AF41" s="46">
        <f t="shared" si="1"/>
        <v>-1.5900000000002024E-2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35.335999999999999</v>
      </c>
      <c r="G42" s="72">
        <v>40.7498</v>
      </c>
      <c r="H42" s="72">
        <v>40.041400000000003</v>
      </c>
      <c r="I42" s="68"/>
      <c r="J42" s="68"/>
      <c r="K42" s="69"/>
      <c r="L42" s="29"/>
      <c r="M42" s="81"/>
      <c r="N42" s="46">
        <v>35.348100000000002</v>
      </c>
      <c r="O42" s="72">
        <v>40.770600000000002</v>
      </c>
      <c r="P42" s="72">
        <v>40.053800000000003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-1.2100000000003774E-2</v>
      </c>
      <c r="AE42" s="46">
        <f t="shared" si="1"/>
        <v>-2.0800000000001262E-2</v>
      </c>
      <c r="AF42" s="46">
        <f t="shared" si="1"/>
        <v>-1.2399999999999523E-2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42.752699999999997</v>
      </c>
      <c r="G43" s="45">
        <v>45.846299999999999</v>
      </c>
      <c r="H43" s="45">
        <v>45.640900000000002</v>
      </c>
      <c r="I43" s="66"/>
      <c r="J43" s="66"/>
      <c r="K43" s="67"/>
      <c r="L43" s="29"/>
      <c r="M43" s="70"/>
      <c r="N43" s="45">
        <v>42.7425</v>
      </c>
      <c r="O43" s="45">
        <v>45.8095</v>
      </c>
      <c r="P43" s="45">
        <v>45.586399999999998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1.0199999999997544E-2</v>
      </c>
      <c r="AE43" s="45">
        <f t="shared" si="2"/>
        <v>3.67999999999995E-2</v>
      </c>
      <c r="AF43" s="45">
        <f t="shared" si="2"/>
        <v>5.4500000000004434E-2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40.381700000000002</v>
      </c>
      <c r="G44" s="46">
        <v>44.036099999999998</v>
      </c>
      <c r="H44" s="46">
        <v>43.496899999999997</v>
      </c>
      <c r="I44" s="66"/>
      <c r="J44" s="66"/>
      <c r="K44" s="67"/>
      <c r="L44" s="29"/>
      <c r="M44" s="70"/>
      <c r="N44" s="46">
        <v>40.384</v>
      </c>
      <c r="O44" s="46">
        <v>43.9711</v>
      </c>
      <c r="P44" s="46">
        <v>43.4955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-2.2999999999981924E-3</v>
      </c>
      <c r="AE44" s="46">
        <f t="shared" si="2"/>
        <v>6.4999999999997726E-2</v>
      </c>
      <c r="AF44" s="46">
        <f t="shared" si="2"/>
        <v>1.3999999999967372E-3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37.772300000000001</v>
      </c>
      <c r="G45" s="46">
        <v>42.2241</v>
      </c>
      <c r="H45" s="46">
        <v>41.4544</v>
      </c>
      <c r="I45" s="66"/>
      <c r="J45" s="66"/>
      <c r="K45" s="67"/>
      <c r="L45" s="29"/>
      <c r="M45" s="70"/>
      <c r="N45" s="46">
        <v>37.781999999999996</v>
      </c>
      <c r="O45" s="46">
        <v>42.191400000000002</v>
      </c>
      <c r="P45" s="46">
        <v>41.505200000000002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-9.6999999999951569E-3</v>
      </c>
      <c r="AE45" s="46">
        <f t="shared" si="2"/>
        <v>3.2699999999998397E-2</v>
      </c>
      <c r="AF45" s="46">
        <f t="shared" si="2"/>
        <v>-5.0800000000002399E-2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34.941600000000001</v>
      </c>
      <c r="G46" s="72">
        <v>40.7286</v>
      </c>
      <c r="H46" s="72">
        <v>39.866999999999997</v>
      </c>
      <c r="I46" s="68"/>
      <c r="J46" s="68"/>
      <c r="K46" s="69"/>
      <c r="L46" s="29"/>
      <c r="M46" s="81"/>
      <c r="N46" s="72">
        <v>34.957799999999999</v>
      </c>
      <c r="O46" s="72">
        <v>40.767800000000001</v>
      </c>
      <c r="P46" s="72">
        <v>39.895499999999998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-1.6199999999997772E-2</v>
      </c>
      <c r="AE46" s="72">
        <f t="shared" si="2"/>
        <v>-3.9200000000001012E-2</v>
      </c>
      <c r="AF46" s="72">
        <f t="shared" si="2"/>
        <v>-2.850000000000108E-2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42.11</v>
      </c>
      <c r="G47" s="45">
        <v>45.041499999999999</v>
      </c>
      <c r="H47" s="45">
        <v>44.865900000000003</v>
      </c>
      <c r="I47" s="66"/>
      <c r="J47" s="66"/>
      <c r="K47" s="67"/>
      <c r="L47" s="29"/>
      <c r="M47" s="70"/>
      <c r="N47" s="45">
        <v>42.1081</v>
      </c>
      <c r="O47" s="45">
        <v>45.000700000000002</v>
      </c>
      <c r="P47" s="45">
        <v>44.7956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1.8999999999991246E-3</v>
      </c>
      <c r="AE47" s="45">
        <f t="shared" si="2"/>
        <v>4.0799999999997283E-2</v>
      </c>
      <c r="AF47" s="45">
        <f t="shared" si="2"/>
        <v>7.0300000000003138E-2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39.830500000000001</v>
      </c>
      <c r="G48" s="46">
        <v>43.287199999999999</v>
      </c>
      <c r="H48" s="46">
        <v>42.848799999999997</v>
      </c>
      <c r="I48" s="66"/>
      <c r="J48" s="66"/>
      <c r="K48" s="67"/>
      <c r="L48" s="29"/>
      <c r="M48" s="70"/>
      <c r="N48" s="46">
        <v>39.844499999999996</v>
      </c>
      <c r="O48" s="46">
        <v>43.2316</v>
      </c>
      <c r="P48" s="46">
        <v>42.837200000000003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-1.3999999999995794E-2</v>
      </c>
      <c r="AE48" s="46">
        <f t="shared" si="2"/>
        <v>5.5599999999998317E-2</v>
      </c>
      <c r="AF48" s="46">
        <f t="shared" si="2"/>
        <v>1.1599999999994282E-2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37.294600000000003</v>
      </c>
      <c r="G49" s="46">
        <v>41.720599999999997</v>
      </c>
      <c r="H49" s="46">
        <v>41.026899999999998</v>
      </c>
      <c r="I49" s="66"/>
      <c r="J49" s="66"/>
      <c r="K49" s="67"/>
      <c r="L49" s="29"/>
      <c r="M49" s="70"/>
      <c r="N49" s="46">
        <v>37.323300000000003</v>
      </c>
      <c r="O49" s="46">
        <v>41.701500000000003</v>
      </c>
      <c r="P49" s="46">
        <v>41.072800000000001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-2.8700000000000614E-2</v>
      </c>
      <c r="AE49" s="46">
        <f t="shared" si="2"/>
        <v>1.9099999999994566E-2</v>
      </c>
      <c r="AF49" s="46">
        <f t="shared" si="2"/>
        <v>-4.590000000000316E-2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34.591799999999999</v>
      </c>
      <c r="G50" s="72">
        <v>40.318399999999997</v>
      </c>
      <c r="H50" s="72">
        <v>39.520200000000003</v>
      </c>
      <c r="I50" s="68"/>
      <c r="J50" s="68"/>
      <c r="K50" s="69"/>
      <c r="L50" s="29"/>
      <c r="M50" s="81"/>
      <c r="N50" s="72">
        <v>34.607199999999999</v>
      </c>
      <c r="O50" s="72">
        <v>40.374000000000002</v>
      </c>
      <c r="P50" s="72">
        <v>39.555199999999999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-1.5399999999999636E-2</v>
      </c>
      <c r="AE50" s="72">
        <f t="shared" si="2"/>
        <v>-5.5600000000005423E-2</v>
      </c>
      <c r="AF50" s="72">
        <f t="shared" si="2"/>
        <v>-3.4999999999996589E-2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2013.4495999999999</v>
      </c>
      <c r="F51" s="70"/>
      <c r="G51" s="70"/>
      <c r="H51" s="70"/>
      <c r="I51" s="45">
        <v>32753.83</v>
      </c>
      <c r="J51" s="45">
        <v>32.32</v>
      </c>
      <c r="K51" s="45">
        <v>342.63</v>
      </c>
      <c r="L51" s="29"/>
      <c r="M51" s="45">
        <v>1986.0527999999999</v>
      </c>
      <c r="N51" s="70"/>
      <c r="O51" s="70"/>
      <c r="P51" s="70"/>
      <c r="Q51" s="45">
        <v>36733.17</v>
      </c>
      <c r="R51" s="45">
        <v>32.119999999999997</v>
      </c>
      <c r="S51" s="45">
        <v>342.9</v>
      </c>
      <c r="U51" s="8"/>
      <c r="V51" s="9"/>
      <c r="W51" s="10"/>
      <c r="X51" s="29"/>
      <c r="Y51" s="61">
        <f>GEOMEAN(Q51:Q54)/GEOMEAN(I51:I54)</f>
        <v>1.1164873447120691</v>
      </c>
      <c r="Z51" s="61">
        <f>GEOMEAN(R51:R54)/GEOMEAN(J51:J54)</f>
        <v>0.97695170720179803</v>
      </c>
      <c r="AA51" s="57">
        <f>GEOMEAN(S51:S54)/GEOMEAN(K51:K54)</f>
        <v>0.99647867123411049</v>
      </c>
      <c r="AC51" s="45">
        <f>E51 -M51</f>
        <v>27.396799999999985</v>
      </c>
      <c r="AD51" s="70"/>
      <c r="AE51" s="70"/>
      <c r="AF51" s="70"/>
      <c r="AG51" s="45">
        <f t="shared" ref="AG51:AI54" si="3">I51 -Q51</f>
        <v>-3979.3399999999965</v>
      </c>
      <c r="AH51" s="45">
        <f t="shared" si="3"/>
        <v>0.20000000000000284</v>
      </c>
      <c r="AI51" s="45">
        <f t="shared" si="3"/>
        <v>-0.26999999999998181</v>
      </c>
    </row>
    <row r="52" spans="1:35" ht="12">
      <c r="A52" s="27"/>
      <c r="B52" s="36"/>
      <c r="C52" s="29"/>
      <c r="D52" s="32">
        <v>30</v>
      </c>
      <c r="E52" s="46">
        <v>980.8</v>
      </c>
      <c r="F52" s="70"/>
      <c r="G52" s="70"/>
      <c r="H52" s="70"/>
      <c r="I52" s="46">
        <v>30584.32</v>
      </c>
      <c r="J52" s="46">
        <v>28.54</v>
      </c>
      <c r="K52" s="46">
        <v>341.76</v>
      </c>
      <c r="L52" s="29"/>
      <c r="M52" s="46">
        <v>970.12720000000002</v>
      </c>
      <c r="N52" s="70"/>
      <c r="O52" s="70"/>
      <c r="P52" s="70"/>
      <c r="Q52" s="46">
        <v>34031.61</v>
      </c>
      <c r="R52" s="46">
        <v>27.9</v>
      </c>
      <c r="S52" s="46">
        <v>345.31</v>
      </c>
      <c r="U52" s="41"/>
      <c r="V52" s="42"/>
      <c r="W52" s="43"/>
      <c r="X52" s="29"/>
      <c r="Y52" s="24"/>
      <c r="Z52" s="24"/>
      <c r="AA52" s="27"/>
      <c r="AC52" s="46">
        <f>E52 -M52</f>
        <v>10.672799999999938</v>
      </c>
      <c r="AD52" s="70"/>
      <c r="AE52" s="70"/>
      <c r="AF52" s="70"/>
      <c r="AG52" s="46">
        <f t="shared" si="3"/>
        <v>-3447.2900000000009</v>
      </c>
      <c r="AH52" s="46">
        <f t="shared" si="3"/>
        <v>0.64000000000000057</v>
      </c>
      <c r="AI52" s="46">
        <f t="shared" si="3"/>
        <v>-3.5500000000000114</v>
      </c>
    </row>
    <row r="53" spans="1:35" ht="12">
      <c r="A53" s="27"/>
      <c r="B53" s="36"/>
      <c r="C53" s="29"/>
      <c r="D53" s="32">
        <v>35</v>
      </c>
      <c r="E53" s="46">
        <v>539.18399999999997</v>
      </c>
      <c r="F53" s="70"/>
      <c r="G53" s="70"/>
      <c r="H53" s="70"/>
      <c r="I53" s="46">
        <v>29467.32</v>
      </c>
      <c r="J53" s="46">
        <v>26.61</v>
      </c>
      <c r="K53" s="46">
        <v>342.71</v>
      </c>
      <c r="L53" s="29"/>
      <c r="M53" s="46">
        <v>535.71680000000003</v>
      </c>
      <c r="N53" s="70"/>
      <c r="O53" s="70"/>
      <c r="P53" s="70"/>
      <c r="Q53" s="46">
        <v>32914.639999999999</v>
      </c>
      <c r="R53" s="46">
        <v>25.93</v>
      </c>
      <c r="S53" s="46">
        <v>342.65</v>
      </c>
      <c r="U53" s="17"/>
      <c r="V53" s="18"/>
      <c r="W53" s="19"/>
      <c r="X53" s="29"/>
      <c r="Y53" s="24"/>
      <c r="Z53" s="24"/>
      <c r="AA53" s="27"/>
      <c r="AC53" s="46">
        <f>E53 -M53</f>
        <v>3.4671999999999343</v>
      </c>
      <c r="AD53" s="70"/>
      <c r="AE53" s="70"/>
      <c r="AF53" s="70"/>
      <c r="AG53" s="46">
        <f t="shared" si="3"/>
        <v>-3447.3199999999997</v>
      </c>
      <c r="AH53" s="46">
        <f t="shared" si="3"/>
        <v>0.67999999999999972</v>
      </c>
      <c r="AI53" s="46">
        <f t="shared" si="3"/>
        <v>6.0000000000002274E-2</v>
      </c>
    </row>
    <row r="54" spans="1:35" ht="12.75" thickBot="1">
      <c r="A54" s="27"/>
      <c r="B54" s="52"/>
      <c r="C54" s="53"/>
      <c r="D54" s="71">
        <v>40</v>
      </c>
      <c r="E54" s="72">
        <v>308.29520000000002</v>
      </c>
      <c r="F54" s="81"/>
      <c r="G54" s="81"/>
      <c r="H54" s="81"/>
      <c r="I54" s="72">
        <v>28607.48</v>
      </c>
      <c r="J54" s="72">
        <v>24.36</v>
      </c>
      <c r="K54" s="72">
        <v>352.39</v>
      </c>
      <c r="L54" s="29"/>
      <c r="M54" s="72">
        <v>308.54239999999999</v>
      </c>
      <c r="N54" s="81"/>
      <c r="O54" s="81"/>
      <c r="P54" s="81"/>
      <c r="Q54" s="72">
        <v>31890.87</v>
      </c>
      <c r="R54" s="72">
        <v>23.44</v>
      </c>
      <c r="S54" s="72">
        <v>343.67</v>
      </c>
      <c r="U54" s="85"/>
      <c r="V54" s="86"/>
      <c r="W54" s="87"/>
      <c r="X54" s="29"/>
      <c r="Y54" s="49"/>
      <c r="Z54" s="49"/>
      <c r="AA54" s="54"/>
      <c r="AC54" s="72">
        <f>E54 -M54</f>
        <v>-0.24719999999996389</v>
      </c>
      <c r="AD54" s="81"/>
      <c r="AE54" s="81"/>
      <c r="AF54" s="81"/>
      <c r="AG54" s="72">
        <f t="shared" si="3"/>
        <v>-3283.3899999999994</v>
      </c>
      <c r="AH54" s="72">
        <f t="shared" si="3"/>
        <v>0.91999999999999815</v>
      </c>
      <c r="AI54" s="72">
        <f t="shared" si="3"/>
        <v>8.7199999999999704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846.36720000000003</v>
      </c>
      <c r="F55" s="45">
        <v>43.6023</v>
      </c>
      <c r="G55" s="45">
        <v>44.950499999999998</v>
      </c>
      <c r="H55" s="45">
        <v>44.9407</v>
      </c>
      <c r="I55" s="79"/>
      <c r="J55" s="79"/>
      <c r="K55" s="80"/>
      <c r="L55" s="29"/>
      <c r="M55" s="45">
        <v>846.10239999999999</v>
      </c>
      <c r="N55" s="45">
        <v>43.599400000000003</v>
      </c>
      <c r="O55" s="45">
        <v>44.954999999999998</v>
      </c>
      <c r="P55" s="45">
        <v>44.9358</v>
      </c>
      <c r="Q55" s="79"/>
      <c r="R55" s="79"/>
      <c r="S55" s="80"/>
      <c r="U55" s="8">
        <f>bdrate($E55:$E58,F55:F58,$M55:$M58,N55:N58)</f>
        <v>4.8517075232679119E-4</v>
      </c>
      <c r="V55" s="9">
        <f>bdrate($E55:$E58,G55:G58,$M55:$M58,O55:O58)</f>
        <v>1.6255816193779804E-3</v>
      </c>
      <c r="W55" s="10">
        <f>bdrate($E55:$E58,H55:H58,$M55:$M58,P55:P58)</f>
        <v>-2.6436694232920832E-3</v>
      </c>
      <c r="X55" s="29"/>
      <c r="Y55" s="22"/>
      <c r="Z55" s="22"/>
      <c r="AA55" s="26"/>
      <c r="AC55" s="45">
        <f>E55 -M55</f>
        <v>0.26480000000003656</v>
      </c>
      <c r="AD55" s="45">
        <f t="shared" ref="AD55:AF102" si="4">F55 -N55</f>
        <v>2.899999999996794E-3</v>
      </c>
      <c r="AE55" s="45">
        <f t="shared" si="4"/>
        <v>-4.5000000000001705E-3</v>
      </c>
      <c r="AF55" s="45">
        <f t="shared" si="4"/>
        <v>4.8999999999992383E-3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450.65440000000001</v>
      </c>
      <c r="F56" s="46">
        <v>41.427199999999999</v>
      </c>
      <c r="G56" s="46">
        <v>44.110500000000002</v>
      </c>
      <c r="H56" s="46">
        <v>43.444499999999998</v>
      </c>
      <c r="I56" s="66"/>
      <c r="J56" s="66"/>
      <c r="K56" s="67"/>
      <c r="L56" s="29"/>
      <c r="M56" s="46">
        <v>450.82319999999999</v>
      </c>
      <c r="N56" s="46">
        <v>41.426900000000003</v>
      </c>
      <c r="O56" s="46">
        <v>44.115200000000002</v>
      </c>
      <c r="P56" s="46">
        <v>43.4559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-0.16879999999997608</v>
      </c>
      <c r="AD56" s="46">
        <f t="shared" si="4"/>
        <v>2.9999999999574811E-4</v>
      </c>
      <c r="AE56" s="46">
        <f t="shared" si="4"/>
        <v>-4.6999999999997044E-3</v>
      </c>
      <c r="AF56" s="46">
        <f t="shared" si="4"/>
        <v>-1.1400000000001853E-2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255.90880000000001</v>
      </c>
      <c r="F57" s="46">
        <v>38.9495</v>
      </c>
      <c r="G57" s="46">
        <v>43.072899999999997</v>
      </c>
      <c r="H57" s="46">
        <v>41.774099999999997</v>
      </c>
      <c r="I57" s="66"/>
      <c r="J57" s="66"/>
      <c r="K57" s="67"/>
      <c r="L57" s="29"/>
      <c r="M57" s="46">
        <v>256.10079999999999</v>
      </c>
      <c r="N57" s="46">
        <v>38.949300000000001</v>
      </c>
      <c r="O57" s="46">
        <v>43.064999999999998</v>
      </c>
      <c r="P57" s="46">
        <v>41.782400000000003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-0.19199999999997885</v>
      </c>
      <c r="AD57" s="46">
        <f t="shared" si="4"/>
        <v>1.9999999999953388E-4</v>
      </c>
      <c r="AE57" s="46">
        <f t="shared" si="4"/>
        <v>7.899999999999352E-3</v>
      </c>
      <c r="AF57" s="46">
        <f t="shared" si="4"/>
        <v>-8.3000000000055252E-3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153.53039999999999</v>
      </c>
      <c r="F58" s="46">
        <v>36.3232</v>
      </c>
      <c r="G58" s="46">
        <v>42.247</v>
      </c>
      <c r="H58" s="46">
        <v>40.436300000000003</v>
      </c>
      <c r="I58" s="66"/>
      <c r="J58" s="66"/>
      <c r="K58" s="67"/>
      <c r="L58" s="29"/>
      <c r="M58" s="46">
        <v>153.52160000000001</v>
      </c>
      <c r="N58" s="46">
        <v>36.325400000000002</v>
      </c>
      <c r="O58" s="46">
        <v>42.231699999999996</v>
      </c>
      <c r="P58" s="46">
        <v>40.448599999999999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8.7999999999794909E-3</v>
      </c>
      <c r="AD58" s="46">
        <f t="shared" si="4"/>
        <v>-2.2000000000019782E-3</v>
      </c>
      <c r="AE58" s="46">
        <f t="shared" si="4"/>
        <v>1.5300000000003422E-2</v>
      </c>
      <c r="AF58" s="46">
        <f t="shared" si="4"/>
        <v>-1.2299999999996203E-2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350.048</v>
      </c>
      <c r="F59" s="45">
        <v>42.657299999999999</v>
      </c>
      <c r="G59" s="45">
        <v>44.7211</v>
      </c>
      <c r="H59" s="45">
        <v>44.133499999999998</v>
      </c>
      <c r="I59" s="79"/>
      <c r="J59" s="79"/>
      <c r="K59" s="80"/>
      <c r="L59" s="29"/>
      <c r="M59" s="45">
        <v>334.53680000000003</v>
      </c>
      <c r="N59" s="45">
        <v>42.671399999999998</v>
      </c>
      <c r="O59" s="45">
        <v>44.700299999999999</v>
      </c>
      <c r="P59" s="45">
        <v>44.122599999999998</v>
      </c>
      <c r="Q59" s="79"/>
      <c r="R59" s="79"/>
      <c r="S59" s="80"/>
      <c r="U59" s="8">
        <f>bdrate($E59:$E62,F59:F62,$M59:$M62,N59:N62)</f>
        <v>-4.3588564346640601E-2</v>
      </c>
      <c r="V59" s="9">
        <f>bdrate($E59:$E62,G59:G62,$M59:$M62,O59:O62)</f>
        <v>-3.4539372230712906E-2</v>
      </c>
      <c r="W59" s="10">
        <f>bdrate($E59:$E62,H59:H62,$M59:$M62,P59:P62)</f>
        <v>-2.5281532740696999E-2</v>
      </c>
      <c r="X59" s="29"/>
      <c r="Y59" s="24"/>
      <c r="Z59" s="24"/>
      <c r="AA59" s="27"/>
      <c r="AC59" s="45">
        <f t="shared" si="5"/>
        <v>15.511199999999974</v>
      </c>
      <c r="AD59" s="45">
        <f t="shared" si="4"/>
        <v>-1.4099999999999113E-2</v>
      </c>
      <c r="AE59" s="45">
        <f t="shared" si="4"/>
        <v>2.0800000000001262E-2</v>
      </c>
      <c r="AF59" s="45">
        <f t="shared" si="4"/>
        <v>1.0899999999999466E-2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166.74160000000001</v>
      </c>
      <c r="F60" s="46">
        <v>40.2639</v>
      </c>
      <c r="G60" s="46">
        <v>43.734000000000002</v>
      </c>
      <c r="H60" s="46">
        <v>42.6327</v>
      </c>
      <c r="I60" s="66"/>
      <c r="J60" s="66"/>
      <c r="K60" s="67"/>
      <c r="L60" s="29"/>
      <c r="M60" s="46">
        <v>159.328</v>
      </c>
      <c r="N60" s="46">
        <v>40.281100000000002</v>
      </c>
      <c r="O60" s="46">
        <v>43.735500000000002</v>
      </c>
      <c r="P60" s="46">
        <v>42.594200000000001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7.4136000000000024</v>
      </c>
      <c r="AD60" s="46">
        <f t="shared" si="4"/>
        <v>-1.7200000000002547E-2</v>
      </c>
      <c r="AE60" s="46">
        <f t="shared" si="4"/>
        <v>-1.5000000000000568E-3</v>
      </c>
      <c r="AF60" s="46">
        <f t="shared" si="4"/>
        <v>3.8499999999999091E-2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91.291200000000003</v>
      </c>
      <c r="F61" s="46">
        <v>37.796300000000002</v>
      </c>
      <c r="G61" s="46">
        <v>42.796900000000001</v>
      </c>
      <c r="H61" s="46">
        <v>41.209800000000001</v>
      </c>
      <c r="I61" s="66"/>
      <c r="J61" s="66"/>
      <c r="K61" s="67"/>
      <c r="L61" s="29"/>
      <c r="M61" s="46">
        <v>88.015199999999993</v>
      </c>
      <c r="N61" s="46">
        <v>37.825699999999998</v>
      </c>
      <c r="O61" s="46">
        <v>42.799900000000001</v>
      </c>
      <c r="P61" s="46">
        <v>41.164200000000001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3.2760000000000105</v>
      </c>
      <c r="AD61" s="46">
        <f t="shared" si="4"/>
        <v>-2.939999999999543E-2</v>
      </c>
      <c r="AE61" s="46">
        <f t="shared" si="4"/>
        <v>-3.0000000000001137E-3</v>
      </c>
      <c r="AF61" s="46">
        <f t="shared" si="4"/>
        <v>4.5600000000000307E-2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50.729599999999998</v>
      </c>
      <c r="F62" s="46">
        <v>35.186100000000003</v>
      </c>
      <c r="G62" s="46">
        <v>41.881999999999998</v>
      </c>
      <c r="H62" s="46">
        <v>39.8386</v>
      </c>
      <c r="I62" s="66"/>
      <c r="J62" s="66"/>
      <c r="K62" s="67"/>
      <c r="L62" s="29"/>
      <c r="M62" s="46">
        <v>49.570399999999999</v>
      </c>
      <c r="N62" s="46">
        <v>35.207999999999998</v>
      </c>
      <c r="O62" s="46">
        <v>41.835799999999999</v>
      </c>
      <c r="P62" s="46">
        <v>39.845700000000001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1.1591999999999985</v>
      </c>
      <c r="AD62" s="46">
        <f t="shared" si="4"/>
        <v>-2.1899999999995146E-2</v>
      </c>
      <c r="AE62" s="46">
        <f t="shared" si="4"/>
        <v>4.6199999999998909E-2</v>
      </c>
      <c r="AF62" s="46">
        <f t="shared" si="4"/>
        <v>-7.1000000000012164E-3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379.37360000000001</v>
      </c>
      <c r="F63" s="45">
        <v>42.274799999999999</v>
      </c>
      <c r="G63" s="45">
        <v>43.834600000000002</v>
      </c>
      <c r="H63" s="45">
        <v>43.897799999999997</v>
      </c>
      <c r="I63" s="79"/>
      <c r="J63" s="79"/>
      <c r="K63" s="80"/>
      <c r="L63" s="29"/>
      <c r="M63" s="45">
        <v>358.92959999999999</v>
      </c>
      <c r="N63" s="45">
        <v>42.295000000000002</v>
      </c>
      <c r="O63" s="45">
        <v>43.819400000000002</v>
      </c>
      <c r="P63" s="45">
        <v>43.871299999999998</v>
      </c>
      <c r="Q63" s="79"/>
      <c r="R63" s="79"/>
      <c r="S63" s="80"/>
      <c r="U63" s="8">
        <f>bdrate($E63:$E66,F63:F66,$M63:$M66,N63:N66)</f>
        <v>-6.3300001601471978E-2</v>
      </c>
      <c r="V63" s="9">
        <f>bdrate($E63:$E66,G63:G66,$M63:$M66,O63:O66)</f>
        <v>-4.0935953960306692E-2</v>
      </c>
      <c r="W63" s="10">
        <f>bdrate($E63:$E66,H63:H66,$M63:$M66,P63:P66)</f>
        <v>-3.383756117140857E-2</v>
      </c>
      <c r="X63" s="29"/>
      <c r="Y63" s="24"/>
      <c r="Z63" s="24"/>
      <c r="AA63" s="27"/>
      <c r="AC63" s="45">
        <f t="shared" si="5"/>
        <v>20.444000000000017</v>
      </c>
      <c r="AD63" s="45">
        <f t="shared" si="4"/>
        <v>-2.020000000000266E-2</v>
      </c>
      <c r="AE63" s="45">
        <f t="shared" si="4"/>
        <v>1.5200000000000102E-2</v>
      </c>
      <c r="AF63" s="45">
        <f t="shared" si="4"/>
        <v>2.6499999999998636E-2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179.97919999999999</v>
      </c>
      <c r="F64" s="46">
        <v>39.988999999999997</v>
      </c>
      <c r="G64" s="46">
        <v>42.7971</v>
      </c>
      <c r="H64" s="46">
        <v>42.47</v>
      </c>
      <c r="I64" s="66"/>
      <c r="J64" s="66"/>
      <c r="K64" s="67"/>
      <c r="L64" s="29"/>
      <c r="M64" s="46">
        <v>169.21520000000001</v>
      </c>
      <c r="N64" s="46">
        <v>40.026800000000001</v>
      </c>
      <c r="O64" s="46">
        <v>42.768599999999999</v>
      </c>
      <c r="P64" s="46">
        <v>42.428100000000001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10.763999999999982</v>
      </c>
      <c r="AD64" s="46">
        <f t="shared" si="4"/>
        <v>-3.7800000000004275E-2</v>
      </c>
      <c r="AE64" s="46">
        <f t="shared" si="4"/>
        <v>2.850000000000108E-2</v>
      </c>
      <c r="AF64" s="46">
        <f t="shared" si="4"/>
        <v>4.1899999999998272E-2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97.986400000000003</v>
      </c>
      <c r="F65" s="46">
        <v>37.590299999999999</v>
      </c>
      <c r="G65" s="46">
        <v>42.004100000000001</v>
      </c>
      <c r="H65" s="46">
        <v>41.199199999999998</v>
      </c>
      <c r="I65" s="66"/>
      <c r="J65" s="66"/>
      <c r="K65" s="67"/>
      <c r="L65" s="29"/>
      <c r="M65" s="46">
        <v>92.567999999999998</v>
      </c>
      <c r="N65" s="46">
        <v>37.6267</v>
      </c>
      <c r="O65" s="46">
        <v>41.978200000000001</v>
      </c>
      <c r="P65" s="46">
        <v>41.143999999999998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5.4184000000000054</v>
      </c>
      <c r="AD65" s="46">
        <f t="shared" si="4"/>
        <v>-3.6400000000000432E-2</v>
      </c>
      <c r="AE65" s="46">
        <f t="shared" si="4"/>
        <v>2.5900000000000034E-2</v>
      </c>
      <c r="AF65" s="46">
        <f t="shared" si="4"/>
        <v>5.519999999999925E-2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54.064</v>
      </c>
      <c r="F66" s="72">
        <v>34.999200000000002</v>
      </c>
      <c r="G66" s="72">
        <v>41.068300000000001</v>
      </c>
      <c r="H66" s="72">
        <v>39.919899999999998</v>
      </c>
      <c r="I66" s="68"/>
      <c r="J66" s="68"/>
      <c r="K66" s="69"/>
      <c r="L66" s="29"/>
      <c r="M66" s="72">
        <v>51.977600000000002</v>
      </c>
      <c r="N66" s="72">
        <v>35.040599999999998</v>
      </c>
      <c r="O66" s="72">
        <v>41.089700000000001</v>
      </c>
      <c r="P66" s="72">
        <v>39.864100000000001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2.0863999999999976</v>
      </c>
      <c r="AD66" s="72">
        <f t="shared" si="4"/>
        <v>-4.1399999999995885E-2</v>
      </c>
      <c r="AE66" s="72">
        <f t="shared" si="4"/>
        <v>-2.1399999999999864E-2</v>
      </c>
      <c r="AF66" s="72">
        <f t="shared" si="4"/>
        <v>5.5799999999997851E-2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168.4376</v>
      </c>
      <c r="F67" s="45">
        <v>39.451799999999999</v>
      </c>
      <c r="G67" s="78"/>
      <c r="H67" s="78"/>
      <c r="I67" s="79"/>
      <c r="J67" s="79"/>
      <c r="K67" s="80"/>
      <c r="L67" s="29"/>
      <c r="M67" s="45">
        <v>168.6224</v>
      </c>
      <c r="N67" s="45">
        <v>39.448700000000002</v>
      </c>
      <c r="O67" s="78"/>
      <c r="P67" s="78"/>
      <c r="Q67" s="79"/>
      <c r="R67" s="79"/>
      <c r="S67" s="80"/>
      <c r="U67" s="8">
        <f>bdrate($E67:$E70,F67:F70,$M67:$M70,N67:N70)</f>
        <v>2.6643722704580153E-3</v>
      </c>
      <c r="V67" s="9"/>
      <c r="W67" s="10"/>
      <c r="X67" s="29"/>
      <c r="Y67" s="24"/>
      <c r="Z67" s="24"/>
      <c r="AA67" s="27"/>
      <c r="AC67" s="45">
        <f t="shared" si="5"/>
        <v>-0.18479999999999563</v>
      </c>
      <c r="AD67" s="45">
        <f t="shared" si="4"/>
        <v>3.0999999999963279E-3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64.855999999999995</v>
      </c>
      <c r="F68" s="46">
        <v>34.750500000000002</v>
      </c>
      <c r="G68" s="70"/>
      <c r="H68" s="70"/>
      <c r="I68" s="66"/>
      <c r="J68" s="66"/>
      <c r="K68" s="67"/>
      <c r="L68" s="29"/>
      <c r="M68" s="46">
        <v>64.683199999999999</v>
      </c>
      <c r="N68" s="46">
        <v>34.713799999999999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0.17279999999999518</v>
      </c>
      <c r="AD68" s="46">
        <f t="shared" si="4"/>
        <v>3.6700000000003286E-2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32.601599999999998</v>
      </c>
      <c r="F69" s="46">
        <v>31.59</v>
      </c>
      <c r="G69" s="70"/>
      <c r="H69" s="70"/>
      <c r="I69" s="66"/>
      <c r="J69" s="66"/>
      <c r="K69" s="67"/>
      <c r="L69" s="29"/>
      <c r="M69" s="46">
        <v>32.159199999999998</v>
      </c>
      <c r="N69" s="46">
        <v>31.559699999999999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0.44239999999999924</v>
      </c>
      <c r="AD69" s="46">
        <f t="shared" si="4"/>
        <v>3.0300000000000438E-2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17.252800000000001</v>
      </c>
      <c r="F70" s="46">
        <v>29.218399999999999</v>
      </c>
      <c r="G70" s="70"/>
      <c r="H70" s="70"/>
      <c r="I70" s="66"/>
      <c r="J70" s="66"/>
      <c r="K70" s="67"/>
      <c r="L70" s="29"/>
      <c r="M70" s="46">
        <v>17.313600000000001</v>
      </c>
      <c r="N70" s="46">
        <v>29.1648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-6.0800000000000409E-2</v>
      </c>
      <c r="AD70" s="46">
        <f t="shared" si="4"/>
        <v>5.3599999999999426E-2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137.012</v>
      </c>
      <c r="F71" s="45">
        <v>36.318300000000001</v>
      </c>
      <c r="G71" s="78"/>
      <c r="H71" s="78"/>
      <c r="I71" s="79"/>
      <c r="J71" s="79"/>
      <c r="K71" s="80"/>
      <c r="L71" s="29"/>
      <c r="M71" s="45">
        <v>137.1584</v>
      </c>
      <c r="N71" s="45">
        <v>36.307000000000002</v>
      </c>
      <c r="O71" s="78"/>
      <c r="P71" s="78"/>
      <c r="Q71" s="79"/>
      <c r="R71" s="79"/>
      <c r="S71" s="80"/>
      <c r="U71" s="8">
        <f>bdrate($E71:$E74,F71:F74,$M71:$M74,N71:N74)</f>
        <v>-1.121144577984734E-3</v>
      </c>
      <c r="V71" s="9"/>
      <c r="W71" s="10"/>
      <c r="X71" s="29"/>
      <c r="Y71" s="24"/>
      <c r="Z71" s="24"/>
      <c r="AA71" s="27"/>
      <c r="AC71" s="45">
        <f t="shared" si="5"/>
        <v>-0.14639999999999986</v>
      </c>
      <c r="AD71" s="45">
        <f t="shared" si="4"/>
        <v>1.1299999999998533E-2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51.139200000000002</v>
      </c>
      <c r="F72" s="46">
        <v>31.8306</v>
      </c>
      <c r="G72" s="70"/>
      <c r="H72" s="70"/>
      <c r="I72" s="66"/>
      <c r="J72" s="66"/>
      <c r="K72" s="67"/>
      <c r="L72" s="29"/>
      <c r="M72" s="46">
        <v>51.303199999999997</v>
      </c>
      <c r="N72" s="46">
        <v>31.862500000000001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-0.16399999999999437</v>
      </c>
      <c r="AD72" s="46">
        <f t="shared" si="4"/>
        <v>-3.1900000000000261E-2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24.4696</v>
      </c>
      <c r="F73" s="46">
        <v>28.484999999999999</v>
      </c>
      <c r="G73" s="70"/>
      <c r="H73" s="70"/>
      <c r="I73" s="66"/>
      <c r="J73" s="66"/>
      <c r="K73" s="67"/>
      <c r="L73" s="29"/>
      <c r="M73" s="46">
        <v>24.5016</v>
      </c>
      <c r="N73" s="46">
        <v>28.477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-3.2000000000000028E-2</v>
      </c>
      <c r="AD73" s="46">
        <f t="shared" si="4"/>
        <v>7.9999999999991189E-3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11.316800000000001</v>
      </c>
      <c r="F74" s="46">
        <v>24.5533</v>
      </c>
      <c r="G74" s="70"/>
      <c r="H74" s="70"/>
      <c r="I74" s="66"/>
      <c r="J74" s="66"/>
      <c r="K74" s="67"/>
      <c r="L74" s="29"/>
      <c r="M74" s="46">
        <v>11.2584</v>
      </c>
      <c r="N74" s="46">
        <v>24.574200000000001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5.8400000000000674E-2</v>
      </c>
      <c r="AD74" s="46">
        <f t="shared" si="4"/>
        <v>-2.0900000000001029E-2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156.94880000000001</v>
      </c>
      <c r="F75" s="45">
        <v>35.590899999999998</v>
      </c>
      <c r="G75" s="78"/>
      <c r="H75" s="78"/>
      <c r="I75" s="79"/>
      <c r="J75" s="79"/>
      <c r="K75" s="80"/>
      <c r="L75" s="29"/>
      <c r="M75" s="45">
        <v>156.9624</v>
      </c>
      <c r="N75" s="45">
        <v>35.567500000000003</v>
      </c>
      <c r="O75" s="78"/>
      <c r="P75" s="78"/>
      <c r="Q75" s="79"/>
      <c r="R75" s="79"/>
      <c r="S75" s="80"/>
      <c r="U75" s="8">
        <f>bdrate($E75:$E78,F75:F78,$M75:$M78,N75:N78)</f>
        <v>1.252549022509486E-3</v>
      </c>
      <c r="V75" s="9"/>
      <c r="W75" s="10"/>
      <c r="X75" s="29"/>
      <c r="Y75" s="24"/>
      <c r="Z75" s="24"/>
      <c r="AA75" s="27"/>
      <c r="AC75" s="45">
        <f t="shared" si="5"/>
        <v>-1.3599999999996726E-2</v>
      </c>
      <c r="AD75" s="45">
        <f t="shared" si="4"/>
        <v>2.3399999999995202E-2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57.12</v>
      </c>
      <c r="F76" s="46">
        <v>31.191099999999999</v>
      </c>
      <c r="G76" s="70"/>
      <c r="H76" s="70"/>
      <c r="I76" s="66"/>
      <c r="J76" s="66"/>
      <c r="K76" s="67"/>
      <c r="L76" s="29"/>
      <c r="M76" s="46">
        <v>57.212800000000001</v>
      </c>
      <c r="N76" s="46">
        <v>31.188700000000001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-9.280000000000399E-2</v>
      </c>
      <c r="AD76" s="46">
        <f t="shared" si="4"/>
        <v>2.3999999999979593E-3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26.677600000000002</v>
      </c>
      <c r="F77" s="46">
        <v>27.848400000000002</v>
      </c>
      <c r="G77" s="70"/>
      <c r="H77" s="70"/>
      <c r="I77" s="66"/>
      <c r="J77" s="66"/>
      <c r="K77" s="67"/>
      <c r="L77" s="29"/>
      <c r="M77" s="46">
        <v>26.7712</v>
      </c>
      <c r="N77" s="46">
        <v>27.870799999999999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-9.3599999999998573E-2</v>
      </c>
      <c r="AD77" s="46">
        <f t="shared" si="4"/>
        <v>-2.2399999999997533E-2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12.055199999999999</v>
      </c>
      <c r="F78" s="46">
        <v>24.344999999999999</v>
      </c>
      <c r="G78" s="70"/>
      <c r="H78" s="70"/>
      <c r="I78" s="66"/>
      <c r="J78" s="66"/>
      <c r="K78" s="67"/>
      <c r="L78" s="29"/>
      <c r="M78" s="46">
        <v>12.0808</v>
      </c>
      <c r="N78" s="46">
        <v>24.3522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-2.5600000000000733E-2</v>
      </c>
      <c r="AD78" s="46">
        <f t="shared" si="4"/>
        <v>-7.2000000000009834E-3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42.716700000000003</v>
      </c>
      <c r="G79" s="45">
        <v>47.020899999999997</v>
      </c>
      <c r="H79" s="45">
        <v>45.755899999999997</v>
      </c>
      <c r="I79" s="79"/>
      <c r="J79" s="79"/>
      <c r="K79" s="80"/>
      <c r="L79" s="29"/>
      <c r="M79" s="78"/>
      <c r="N79" s="45">
        <v>42.7224</v>
      </c>
      <c r="O79" s="45">
        <v>46.9801</v>
      </c>
      <c r="P79" s="45">
        <v>45.7239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-5.6999999999973738E-3</v>
      </c>
      <c r="AE79" s="45">
        <f t="shared" si="4"/>
        <v>4.0799999999997283E-2</v>
      </c>
      <c r="AF79" s="45">
        <f t="shared" si="4"/>
        <v>3.1999999999996476E-2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40.403599999999997</v>
      </c>
      <c r="G80" s="46">
        <v>45.7684</v>
      </c>
      <c r="H80" s="46">
        <v>44.026000000000003</v>
      </c>
      <c r="I80" s="66"/>
      <c r="J80" s="66"/>
      <c r="K80" s="67"/>
      <c r="L80" s="29"/>
      <c r="M80" s="70"/>
      <c r="N80" s="46">
        <v>40.401200000000003</v>
      </c>
      <c r="O80" s="46">
        <v>45.742600000000003</v>
      </c>
      <c r="P80" s="46">
        <v>44.014600000000002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2.3999999999944066E-3</v>
      </c>
      <c r="AE80" s="46">
        <f t="shared" si="4"/>
        <v>2.5799999999996714E-2</v>
      </c>
      <c r="AF80" s="46">
        <f t="shared" si="4"/>
        <v>1.1400000000001853E-2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38.0197</v>
      </c>
      <c r="G81" s="46">
        <v>44.543799999999997</v>
      </c>
      <c r="H81" s="46">
        <v>42.4253</v>
      </c>
      <c r="I81" s="66"/>
      <c r="J81" s="66"/>
      <c r="K81" s="67"/>
      <c r="L81" s="29"/>
      <c r="M81" s="70"/>
      <c r="N81" s="46">
        <v>38.025500000000001</v>
      </c>
      <c r="O81" s="46">
        <v>44.534100000000002</v>
      </c>
      <c r="P81" s="46">
        <v>42.417000000000002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-5.8000000000006935E-3</v>
      </c>
      <c r="AE81" s="46">
        <f t="shared" si="4"/>
        <v>9.6999999999951569E-3</v>
      </c>
      <c r="AF81" s="46">
        <f t="shared" si="4"/>
        <v>8.2999999999984198E-3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35.470300000000002</v>
      </c>
      <c r="G82" s="72">
        <v>43.54</v>
      </c>
      <c r="H82" s="72">
        <v>40.975999999999999</v>
      </c>
      <c r="I82" s="68"/>
      <c r="J82" s="68"/>
      <c r="K82" s="69"/>
      <c r="L82" s="29"/>
      <c r="M82" s="81"/>
      <c r="N82" s="72">
        <v>35.487200000000001</v>
      </c>
      <c r="O82" s="72">
        <v>43.514499999999998</v>
      </c>
      <c r="P82" s="72">
        <v>40.966700000000003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-1.6899999999999693E-2</v>
      </c>
      <c r="AE82" s="72">
        <f t="shared" si="4"/>
        <v>2.5500000000000966E-2</v>
      </c>
      <c r="AF82" s="72">
        <f t="shared" si="4"/>
        <v>9.2999999999960892E-3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43.454900000000002</v>
      </c>
      <c r="G83" s="45">
        <v>47.593899999999998</v>
      </c>
      <c r="H83" s="45">
        <v>46.6233</v>
      </c>
      <c r="I83" s="66"/>
      <c r="J83" s="66"/>
      <c r="K83" s="67"/>
      <c r="L83" s="29"/>
      <c r="M83" s="70"/>
      <c r="N83" s="45">
        <v>43.451300000000003</v>
      </c>
      <c r="O83" s="45">
        <v>47.57</v>
      </c>
      <c r="P83" s="45">
        <v>46.5809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3.5999999999987153E-3</v>
      </c>
      <c r="AE83" s="45">
        <f t="shared" si="4"/>
        <v>2.389999999999759E-2</v>
      </c>
      <c r="AF83" s="45">
        <f t="shared" si="4"/>
        <v>4.2400000000000659E-2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40.950200000000002</v>
      </c>
      <c r="G84" s="46">
        <v>46.2834</v>
      </c>
      <c r="H84" s="46">
        <v>44.760199999999998</v>
      </c>
      <c r="I84" s="66"/>
      <c r="J84" s="66"/>
      <c r="K84" s="67"/>
      <c r="L84" s="29"/>
      <c r="M84" s="70"/>
      <c r="N84" s="46">
        <v>40.935499999999998</v>
      </c>
      <c r="O84" s="46">
        <v>46.273499999999999</v>
      </c>
      <c r="P84" s="46">
        <v>44.755699999999997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1.470000000000482E-2</v>
      </c>
      <c r="AE84" s="46">
        <f t="shared" si="4"/>
        <v>9.9000000000017963E-3</v>
      </c>
      <c r="AF84" s="46">
        <f t="shared" si="4"/>
        <v>4.5000000000001705E-3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38.409999999999997</v>
      </c>
      <c r="G85" s="46">
        <v>44.909799999999997</v>
      </c>
      <c r="H85" s="46">
        <v>42.935200000000002</v>
      </c>
      <c r="I85" s="66"/>
      <c r="J85" s="66"/>
      <c r="K85" s="67"/>
      <c r="L85" s="29"/>
      <c r="M85" s="70"/>
      <c r="N85" s="46">
        <v>38.405799999999999</v>
      </c>
      <c r="O85" s="46">
        <v>44.9011</v>
      </c>
      <c r="P85" s="46">
        <v>42.932200000000002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4.199999999997317E-3</v>
      </c>
      <c r="AE85" s="46">
        <f t="shared" si="4"/>
        <v>8.6999999999974875E-3</v>
      </c>
      <c r="AF85" s="46">
        <f t="shared" si="4"/>
        <v>3.0000000000001137E-3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35.743200000000002</v>
      </c>
      <c r="G86" s="72">
        <v>43.843600000000002</v>
      </c>
      <c r="H86" s="72">
        <v>41.3752</v>
      </c>
      <c r="I86" s="68"/>
      <c r="J86" s="68"/>
      <c r="K86" s="69"/>
      <c r="L86" s="29"/>
      <c r="M86" s="81"/>
      <c r="N86" s="46">
        <v>35.754600000000003</v>
      </c>
      <c r="O86" s="72">
        <v>43.821300000000001</v>
      </c>
      <c r="P86" s="72">
        <v>41.376399999999997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-1.1400000000001853E-2</v>
      </c>
      <c r="AE86" s="46">
        <f t="shared" si="4"/>
        <v>2.2300000000001319E-2</v>
      </c>
      <c r="AF86" s="46">
        <f t="shared" si="4"/>
        <v>-1.1999999999972033E-3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43.660499999999999</v>
      </c>
      <c r="G87" s="45">
        <v>47.05</v>
      </c>
      <c r="H87" s="45">
        <v>46.554099999999998</v>
      </c>
      <c r="I87" s="66"/>
      <c r="J87" s="66"/>
      <c r="K87" s="67"/>
      <c r="L87" s="29"/>
      <c r="M87" s="70"/>
      <c r="N87" s="45">
        <v>43.645200000000003</v>
      </c>
      <c r="O87" s="45">
        <v>47.046300000000002</v>
      </c>
      <c r="P87" s="45">
        <v>46.526000000000003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1.5299999999996317E-2</v>
      </c>
      <c r="AE87" s="45">
        <f t="shared" si="4"/>
        <v>3.6999999999949296E-3</v>
      </c>
      <c r="AF87" s="45">
        <f t="shared" si="4"/>
        <v>2.8099999999994907E-2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41.286900000000003</v>
      </c>
      <c r="G88" s="46">
        <v>45.993099999999998</v>
      </c>
      <c r="H88" s="46">
        <v>44.804200000000002</v>
      </c>
      <c r="I88" s="66"/>
      <c r="J88" s="66"/>
      <c r="K88" s="67"/>
      <c r="L88" s="29"/>
      <c r="M88" s="70"/>
      <c r="N88" s="46">
        <v>41.284999999999997</v>
      </c>
      <c r="O88" s="46">
        <v>45.990099999999998</v>
      </c>
      <c r="P88" s="46">
        <v>44.812199999999997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1.90000000000623E-3</v>
      </c>
      <c r="AE88" s="46">
        <f t="shared" si="4"/>
        <v>3.0000000000001137E-3</v>
      </c>
      <c r="AF88" s="46">
        <f t="shared" si="4"/>
        <v>-7.9999999999955662E-3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38.779000000000003</v>
      </c>
      <c r="G89" s="46">
        <v>44.714399999999998</v>
      </c>
      <c r="H89" s="46">
        <v>42.946399999999997</v>
      </c>
      <c r="I89" s="66"/>
      <c r="J89" s="66"/>
      <c r="K89" s="67"/>
      <c r="L89" s="29"/>
      <c r="M89" s="70"/>
      <c r="N89" s="46">
        <v>38.766500000000001</v>
      </c>
      <c r="O89" s="46">
        <v>44.695500000000003</v>
      </c>
      <c r="P89" s="46">
        <v>42.949100000000001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1.2500000000002842E-2</v>
      </c>
      <c r="AE89" s="46">
        <f t="shared" si="4"/>
        <v>1.8899999999995032E-2</v>
      </c>
      <c r="AF89" s="46">
        <f t="shared" si="4"/>
        <v>-2.7000000000043656E-3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36.110500000000002</v>
      </c>
      <c r="G90" s="72">
        <v>43.722299999999997</v>
      </c>
      <c r="H90" s="72">
        <v>41.431600000000003</v>
      </c>
      <c r="I90" s="68"/>
      <c r="J90" s="68"/>
      <c r="K90" s="69"/>
      <c r="L90" s="29"/>
      <c r="M90" s="81"/>
      <c r="N90" s="46">
        <v>36.121600000000001</v>
      </c>
      <c r="O90" s="72">
        <v>43.7014</v>
      </c>
      <c r="P90" s="72">
        <v>41.434199999999997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-1.1099999999999E-2</v>
      </c>
      <c r="AE90" s="46">
        <f t="shared" si="4"/>
        <v>2.0899999999997476E-2</v>
      </c>
      <c r="AF90" s="46">
        <f t="shared" si="4"/>
        <v>-2.5999999999939405E-3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43.464799999999997</v>
      </c>
      <c r="G91" s="45">
        <v>47.040700000000001</v>
      </c>
      <c r="H91" s="45">
        <v>46.623199999999997</v>
      </c>
      <c r="I91" s="66"/>
      <c r="J91" s="66"/>
      <c r="K91" s="67"/>
      <c r="L91" s="29"/>
      <c r="M91" s="70"/>
      <c r="N91" s="45">
        <v>43.462200000000003</v>
      </c>
      <c r="O91" s="45">
        <v>47.027500000000003</v>
      </c>
      <c r="P91" s="45">
        <v>46.602200000000003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2.5999999999939405E-3</v>
      </c>
      <c r="AE91" s="45">
        <f t="shared" si="4"/>
        <v>1.3199999999997658E-2</v>
      </c>
      <c r="AF91" s="45">
        <f t="shared" si="4"/>
        <v>2.099999999999369E-2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41.119599999999998</v>
      </c>
      <c r="G92" s="46">
        <v>46.002000000000002</v>
      </c>
      <c r="H92" s="46">
        <v>44.860300000000002</v>
      </c>
      <c r="I92" s="66"/>
      <c r="J92" s="66"/>
      <c r="K92" s="67"/>
      <c r="L92" s="29"/>
      <c r="M92" s="70"/>
      <c r="N92" s="46">
        <v>41.123399999999997</v>
      </c>
      <c r="O92" s="46">
        <v>46.0015</v>
      </c>
      <c r="P92" s="46">
        <v>44.858499999999999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-3.7999999999982492E-3</v>
      </c>
      <c r="AE92" s="46">
        <f t="shared" si="4"/>
        <v>5.0000000000238742E-4</v>
      </c>
      <c r="AF92" s="46">
        <f t="shared" si="4"/>
        <v>1.8000000000029104E-3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38.628300000000003</v>
      </c>
      <c r="G93" s="46">
        <v>44.778799999999997</v>
      </c>
      <c r="H93" s="46">
        <v>42.976900000000001</v>
      </c>
      <c r="I93" s="66"/>
      <c r="J93" s="66"/>
      <c r="K93" s="67"/>
      <c r="L93" s="29"/>
      <c r="M93" s="70"/>
      <c r="N93" s="46">
        <v>38.622599999999998</v>
      </c>
      <c r="O93" s="46">
        <v>44.740400000000001</v>
      </c>
      <c r="P93" s="46">
        <v>42.965600000000002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5.7000000000044793E-3</v>
      </c>
      <c r="AE93" s="46">
        <f t="shared" si="4"/>
        <v>3.8399999999995771E-2</v>
      </c>
      <c r="AF93" s="46">
        <f t="shared" si="4"/>
        <v>1.1299999999998533E-2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35.984400000000001</v>
      </c>
      <c r="G94" s="72">
        <v>43.758099999999999</v>
      </c>
      <c r="H94" s="72">
        <v>41.412799999999997</v>
      </c>
      <c r="I94" s="68"/>
      <c r="J94" s="68"/>
      <c r="K94" s="69"/>
      <c r="L94" s="29"/>
      <c r="M94" s="81"/>
      <c r="N94" s="46">
        <v>35.985599999999998</v>
      </c>
      <c r="O94" s="72">
        <v>43.752600000000001</v>
      </c>
      <c r="P94" s="72">
        <v>41.402999999999999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-1.1999999999972033E-3</v>
      </c>
      <c r="AE94" s="46">
        <f t="shared" si="4"/>
        <v>5.49999999999784E-3</v>
      </c>
      <c r="AF94" s="46">
        <f t="shared" si="4"/>
        <v>9.7999999999984766E-3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43.195099999999996</v>
      </c>
      <c r="G95" s="45">
        <v>47.278500000000001</v>
      </c>
      <c r="H95" s="45">
        <v>46.638300000000001</v>
      </c>
      <c r="I95" s="66"/>
      <c r="J95" s="66"/>
      <c r="K95" s="67"/>
      <c r="L95" s="29"/>
      <c r="M95" s="70"/>
      <c r="N95" s="45">
        <v>43.183100000000003</v>
      </c>
      <c r="O95" s="45">
        <v>47.249000000000002</v>
      </c>
      <c r="P95" s="45">
        <v>46.6081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1.1999999999993349E-2</v>
      </c>
      <c r="AE95" s="45">
        <f t="shared" si="4"/>
        <v>2.9499999999998749E-2</v>
      </c>
      <c r="AF95" s="45">
        <f t="shared" si="4"/>
        <v>3.0200000000000671E-2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40.725499999999997</v>
      </c>
      <c r="G96" s="46">
        <v>46.1126</v>
      </c>
      <c r="H96" s="46">
        <v>44.759700000000002</v>
      </c>
      <c r="I96" s="66"/>
      <c r="J96" s="66"/>
      <c r="K96" s="67"/>
      <c r="L96" s="29"/>
      <c r="M96" s="70"/>
      <c r="N96" s="46">
        <v>40.7331</v>
      </c>
      <c r="O96" s="46">
        <v>46.0413</v>
      </c>
      <c r="P96" s="46">
        <v>44.747500000000002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-7.6000000000036039E-3</v>
      </c>
      <c r="AE96" s="46">
        <f t="shared" si="4"/>
        <v>7.1300000000000807E-2</v>
      </c>
      <c r="AF96" s="46">
        <f t="shared" si="4"/>
        <v>1.2199999999999989E-2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38.2241</v>
      </c>
      <c r="G97" s="46">
        <v>44.907800000000002</v>
      </c>
      <c r="H97" s="46">
        <v>42.961599999999997</v>
      </c>
      <c r="I97" s="66"/>
      <c r="J97" s="66"/>
      <c r="K97" s="67"/>
      <c r="L97" s="29"/>
      <c r="M97" s="70"/>
      <c r="N97" s="46">
        <v>38.219799999999999</v>
      </c>
      <c r="O97" s="46">
        <v>44.837299999999999</v>
      </c>
      <c r="P97" s="46">
        <v>42.933999999999997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4.3000000000006366E-3</v>
      </c>
      <c r="AE97" s="46">
        <f t="shared" si="4"/>
        <v>7.0500000000002672E-2</v>
      </c>
      <c r="AF97" s="46">
        <f t="shared" si="4"/>
        <v>2.7599999999999625E-2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35.571300000000001</v>
      </c>
      <c r="G98" s="72">
        <v>43.760199999999998</v>
      </c>
      <c r="H98" s="72">
        <v>41.361800000000002</v>
      </c>
      <c r="I98" s="68"/>
      <c r="J98" s="68"/>
      <c r="K98" s="69"/>
      <c r="L98" s="29"/>
      <c r="M98" s="81"/>
      <c r="N98" s="72">
        <v>35.578299999999999</v>
      </c>
      <c r="O98" s="72">
        <v>43.733699999999999</v>
      </c>
      <c r="P98" s="72">
        <v>41.3247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-6.9999999999978968E-3</v>
      </c>
      <c r="AE98" s="72">
        <f t="shared" si="4"/>
        <v>2.6499999999998636E-2</v>
      </c>
      <c r="AF98" s="72">
        <f t="shared" si="4"/>
        <v>3.7100000000002353E-2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42.470599999999997</v>
      </c>
      <c r="G99" s="45">
        <v>46.270800000000001</v>
      </c>
      <c r="H99" s="45">
        <v>45.773200000000003</v>
      </c>
      <c r="I99" s="66"/>
      <c r="J99" s="66"/>
      <c r="K99" s="67"/>
      <c r="L99" s="29"/>
      <c r="M99" s="70"/>
      <c r="N99" s="45">
        <v>42.453499999999998</v>
      </c>
      <c r="O99" s="45">
        <v>46.233199999999997</v>
      </c>
      <c r="P99" s="45">
        <v>45.7361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1.7099999999999227E-2</v>
      </c>
      <c r="AE99" s="45">
        <f t="shared" si="4"/>
        <v>3.7600000000004741E-2</v>
      </c>
      <c r="AF99" s="45">
        <f t="shared" si="4"/>
        <v>3.7100000000002353E-2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40.157699999999998</v>
      </c>
      <c r="G100" s="46">
        <v>45.095599999999997</v>
      </c>
      <c r="H100" s="46">
        <v>44.0246</v>
      </c>
      <c r="I100" s="66"/>
      <c r="J100" s="66"/>
      <c r="K100" s="67"/>
      <c r="L100" s="29"/>
      <c r="M100" s="70"/>
      <c r="N100" s="46">
        <v>40.183900000000001</v>
      </c>
      <c r="O100" s="46">
        <v>45.062800000000003</v>
      </c>
      <c r="P100" s="46">
        <v>43.992800000000003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-2.6200000000002888E-2</v>
      </c>
      <c r="AE100" s="46">
        <f t="shared" si="4"/>
        <v>3.2799999999994611E-2</v>
      </c>
      <c r="AF100" s="46">
        <f t="shared" si="4"/>
        <v>3.1799999999996942E-2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37.799999999999997</v>
      </c>
      <c r="G101" s="46">
        <v>44.1571</v>
      </c>
      <c r="H101" s="46">
        <v>42.462299999999999</v>
      </c>
      <c r="I101" s="66"/>
      <c r="J101" s="66"/>
      <c r="K101" s="67"/>
      <c r="L101" s="29"/>
      <c r="M101" s="70"/>
      <c r="N101" s="46">
        <v>37.805100000000003</v>
      </c>
      <c r="O101" s="46">
        <v>44.1066</v>
      </c>
      <c r="P101" s="46">
        <v>42.424300000000002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-5.1000000000058776E-3</v>
      </c>
      <c r="AE101" s="46">
        <f t="shared" si="4"/>
        <v>5.0499999999999545E-2</v>
      </c>
      <c r="AF101" s="46">
        <f t="shared" si="4"/>
        <v>3.7999999999996703E-2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35.252400000000002</v>
      </c>
      <c r="G102" s="72">
        <v>43.172600000000003</v>
      </c>
      <c r="H102" s="72">
        <v>40.984699999999997</v>
      </c>
      <c r="I102" s="68"/>
      <c r="J102" s="68"/>
      <c r="K102" s="69"/>
      <c r="L102" s="29"/>
      <c r="M102" s="81"/>
      <c r="N102" s="72">
        <v>35.2652</v>
      </c>
      <c r="O102" s="72">
        <v>43.1449</v>
      </c>
      <c r="P102" s="72">
        <v>40.924999999999997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-1.279999999999859E-2</v>
      </c>
      <c r="AE102" s="72">
        <f t="shared" si="4"/>
        <v>2.7700000000002944E-2</v>
      </c>
      <c r="AF102" s="72">
        <f t="shared" si="4"/>
        <v>5.969999999999942E-2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2043.9839999999999</v>
      </c>
      <c r="F103" s="70"/>
      <c r="G103" s="70"/>
      <c r="H103" s="70"/>
      <c r="I103" s="45">
        <v>35181.360000000001</v>
      </c>
      <c r="J103" s="45">
        <v>32.57</v>
      </c>
      <c r="K103" s="45">
        <v>342.87</v>
      </c>
      <c r="L103" s="29"/>
      <c r="M103" s="45">
        <v>2008.1088</v>
      </c>
      <c r="N103" s="70"/>
      <c r="O103" s="70"/>
      <c r="P103" s="70"/>
      <c r="Q103" s="45">
        <v>39615.050000000003</v>
      </c>
      <c r="R103" s="45">
        <v>31.72</v>
      </c>
      <c r="S103" s="45">
        <v>343.3</v>
      </c>
      <c r="U103" s="8"/>
      <c r="V103" s="9"/>
      <c r="W103" s="10"/>
      <c r="X103" s="29"/>
      <c r="Y103" s="61">
        <f>GEOMEAN(Q103:Q106)/GEOMEAN(I103:I106)</f>
        <v>1.1200678825869321</v>
      </c>
      <c r="Z103" s="61">
        <f>GEOMEAN(R103:R106)/GEOMEAN(J103:J106)</f>
        <v>1.0358654313992859</v>
      </c>
      <c r="AA103" s="57">
        <f>GEOMEAN(S103:S106)/GEOMEAN(K103:K106)</f>
        <v>0.99432440879870521</v>
      </c>
      <c r="AC103" s="45">
        <f>E103 -M103</f>
        <v>35.87519999999995</v>
      </c>
      <c r="AD103" s="70"/>
      <c r="AE103" s="70"/>
      <c r="AF103" s="70"/>
      <c r="AG103" s="45">
        <f t="shared" ref="AG103:AI106" si="6">I103 -Q103</f>
        <v>-4433.6900000000023</v>
      </c>
      <c r="AH103" s="45">
        <f t="shared" si="6"/>
        <v>0.85000000000000142</v>
      </c>
      <c r="AI103" s="45">
        <f t="shared" si="6"/>
        <v>-0.43000000000000682</v>
      </c>
    </row>
    <row r="104" spans="1:35" ht="12">
      <c r="A104" s="27"/>
      <c r="B104" s="36"/>
      <c r="C104" s="29"/>
      <c r="D104" s="32">
        <v>30</v>
      </c>
      <c r="E104" s="46">
        <v>976.28719999999998</v>
      </c>
      <c r="F104" s="70"/>
      <c r="G104" s="70"/>
      <c r="H104" s="70"/>
      <c r="I104" s="46">
        <v>32467.75</v>
      </c>
      <c r="J104" s="46">
        <v>27.92</v>
      </c>
      <c r="K104" s="46">
        <v>344.45</v>
      </c>
      <c r="L104" s="29"/>
      <c r="M104" s="46">
        <v>958.36239999999998</v>
      </c>
      <c r="N104" s="70"/>
      <c r="O104" s="70"/>
      <c r="P104" s="70"/>
      <c r="Q104" s="46">
        <v>36230.089999999997</v>
      </c>
      <c r="R104" s="46">
        <v>29.9</v>
      </c>
      <c r="S104" s="46">
        <v>341.42</v>
      </c>
      <c r="U104" s="41"/>
      <c r="V104" s="42"/>
      <c r="W104" s="43"/>
      <c r="X104" s="29"/>
      <c r="Y104" s="24"/>
      <c r="Z104" s="24"/>
      <c r="AA104" s="27"/>
      <c r="AC104" s="46">
        <f>E104 -M104</f>
        <v>17.924800000000005</v>
      </c>
      <c r="AD104" s="70"/>
      <c r="AE104" s="70"/>
      <c r="AF104" s="70"/>
      <c r="AG104" s="46">
        <f t="shared" si="6"/>
        <v>-3762.3399999999965</v>
      </c>
      <c r="AH104" s="46">
        <f t="shared" si="6"/>
        <v>-1.9799999999999969</v>
      </c>
      <c r="AI104" s="46">
        <f t="shared" si="6"/>
        <v>3.0299999999999727</v>
      </c>
    </row>
    <row r="105" spans="1:35" ht="12">
      <c r="A105" s="27"/>
      <c r="B105" s="36"/>
      <c r="C105" s="29"/>
      <c r="D105" s="32">
        <v>35</v>
      </c>
      <c r="E105" s="46">
        <v>534.73199999999997</v>
      </c>
      <c r="F105" s="70"/>
      <c r="G105" s="70"/>
      <c r="H105" s="70"/>
      <c r="I105" s="46">
        <v>31004.99</v>
      </c>
      <c r="J105" s="46">
        <v>25.49</v>
      </c>
      <c r="K105" s="46">
        <v>347.86</v>
      </c>
      <c r="L105" s="29"/>
      <c r="M105" s="46">
        <v>525.91279999999995</v>
      </c>
      <c r="N105" s="70"/>
      <c r="O105" s="70"/>
      <c r="P105" s="70"/>
      <c r="Q105" s="46">
        <v>34662.410000000003</v>
      </c>
      <c r="R105" s="46">
        <v>27.38</v>
      </c>
      <c r="S105" s="46">
        <v>345.83</v>
      </c>
      <c r="U105" s="17"/>
      <c r="V105" s="18"/>
      <c r="W105" s="19"/>
      <c r="X105" s="29"/>
      <c r="Y105" s="24"/>
      <c r="Z105" s="24"/>
      <c r="AA105" s="27"/>
      <c r="AC105" s="46">
        <f>E105 -M105</f>
        <v>8.8192000000000235</v>
      </c>
      <c r="AD105" s="70"/>
      <c r="AE105" s="70"/>
      <c r="AF105" s="70"/>
      <c r="AG105" s="46">
        <f t="shared" si="6"/>
        <v>-3657.4200000000019</v>
      </c>
      <c r="AH105" s="46">
        <f t="shared" si="6"/>
        <v>-1.8900000000000006</v>
      </c>
      <c r="AI105" s="46">
        <f t="shared" si="6"/>
        <v>2.0300000000000296</v>
      </c>
    </row>
    <row r="106" spans="1:35" ht="12.75" thickBot="1">
      <c r="A106" s="27"/>
      <c r="B106" s="52"/>
      <c r="C106" s="53"/>
      <c r="D106" s="71">
        <v>40</v>
      </c>
      <c r="E106" s="72">
        <v>304.74560000000002</v>
      </c>
      <c r="F106" s="81"/>
      <c r="G106" s="81"/>
      <c r="H106" s="81"/>
      <c r="I106" s="72">
        <v>29958.79</v>
      </c>
      <c r="J106" s="72">
        <v>22.72</v>
      </c>
      <c r="K106" s="72">
        <v>349.89</v>
      </c>
      <c r="L106" s="29"/>
      <c r="M106" s="72">
        <v>301.51920000000001</v>
      </c>
      <c r="N106" s="81"/>
      <c r="O106" s="81"/>
      <c r="P106" s="81"/>
      <c r="Q106" s="72">
        <v>33566.78</v>
      </c>
      <c r="R106" s="72">
        <v>23.35</v>
      </c>
      <c r="S106" s="72">
        <v>346.64</v>
      </c>
      <c r="U106" s="85"/>
      <c r="V106" s="86"/>
      <c r="W106" s="87"/>
      <c r="X106" s="29"/>
      <c r="Y106" s="49"/>
      <c r="Z106" s="49"/>
      <c r="AA106" s="54"/>
      <c r="AC106" s="72">
        <f>E106 -M106</f>
        <v>3.2264000000000124</v>
      </c>
      <c r="AD106" s="81"/>
      <c r="AE106" s="81"/>
      <c r="AF106" s="81"/>
      <c r="AG106" s="72">
        <f t="shared" si="6"/>
        <v>-3607.989999999998</v>
      </c>
      <c r="AH106" s="72">
        <f t="shared" si="6"/>
        <v>-0.63000000000000256</v>
      </c>
      <c r="AI106" s="72">
        <f t="shared" si="6"/>
        <v>3.25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949.0752</v>
      </c>
      <c r="F107" s="45">
        <v>41.357399999999998</v>
      </c>
      <c r="G107" s="45">
        <v>44.154699999999998</v>
      </c>
      <c r="H107" s="45">
        <v>44.2059</v>
      </c>
      <c r="I107" s="79"/>
      <c r="J107" s="79"/>
      <c r="K107" s="80"/>
      <c r="L107" s="29"/>
      <c r="M107" s="45">
        <v>949.44719999999995</v>
      </c>
      <c r="N107" s="45">
        <v>41.354500000000002</v>
      </c>
      <c r="O107" s="45">
        <v>44.166200000000003</v>
      </c>
      <c r="P107" s="45">
        <v>44.198900000000002</v>
      </c>
      <c r="Q107" s="79"/>
      <c r="R107" s="79"/>
      <c r="S107" s="80"/>
      <c r="U107" s="8">
        <f>bdrate($E107:$E110,F107:F110,$M107:$M110,N107:N110)</f>
        <v>1.3246299810583118E-3</v>
      </c>
      <c r="V107" s="9">
        <f>bdrate($E107:$E110,G107:G110,$M107:$M110,O107:O110)</f>
        <v>2.6160848751155541E-4</v>
      </c>
      <c r="W107" s="10">
        <f>bdrate($E107:$E110,H107:H110,$M107:$M110,P107:P110)</f>
        <v>-6.6812159901308288E-4</v>
      </c>
      <c r="X107" s="29"/>
      <c r="Y107" s="22"/>
      <c r="Z107" s="22"/>
      <c r="AA107" s="26"/>
      <c r="AC107" s="45">
        <f>E107 -M107</f>
        <v>-0.37199999999995725</v>
      </c>
      <c r="AD107" s="45">
        <f t="shared" ref="AD107:AF154" si="7">F107 -N107</f>
        <v>2.899999999996794E-3</v>
      </c>
      <c r="AE107" s="45">
        <f t="shared" si="7"/>
        <v>-1.1500000000005173E-2</v>
      </c>
      <c r="AF107" s="45">
        <f t="shared" si="7"/>
        <v>6.9999999999978968E-3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499.08159999999998</v>
      </c>
      <c r="F108" s="46">
        <v>38.991700000000002</v>
      </c>
      <c r="G108" s="46">
        <v>42.5199</v>
      </c>
      <c r="H108" s="46">
        <v>42.533700000000003</v>
      </c>
      <c r="I108" s="66"/>
      <c r="J108" s="66"/>
      <c r="K108" s="67"/>
      <c r="L108" s="29"/>
      <c r="M108" s="46">
        <v>499.48880000000003</v>
      </c>
      <c r="N108" s="46">
        <v>38.993400000000001</v>
      </c>
      <c r="O108" s="46">
        <v>42.525399999999998</v>
      </c>
      <c r="P108" s="46">
        <v>42.540100000000002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-0.40720000000004575</v>
      </c>
      <c r="AD108" s="46">
        <f t="shared" si="7"/>
        <v>-1.6999999999995907E-3</v>
      </c>
      <c r="AE108" s="46">
        <f t="shared" si="7"/>
        <v>-5.49999999999784E-3</v>
      </c>
      <c r="AF108" s="46">
        <f t="shared" si="7"/>
        <v>-6.3999999999992951E-3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274.44080000000002</v>
      </c>
      <c r="F109" s="46">
        <v>36.442900000000002</v>
      </c>
      <c r="G109" s="46">
        <v>40.757300000000001</v>
      </c>
      <c r="H109" s="46">
        <v>40.709800000000001</v>
      </c>
      <c r="I109" s="66"/>
      <c r="J109" s="66"/>
      <c r="K109" s="67"/>
      <c r="L109" s="29"/>
      <c r="M109" s="46">
        <v>274.95519999999999</v>
      </c>
      <c r="N109" s="46">
        <v>36.442999999999998</v>
      </c>
      <c r="O109" s="46">
        <v>40.755400000000002</v>
      </c>
      <c r="P109" s="46">
        <v>40.720500000000001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-0.51439999999996644</v>
      </c>
      <c r="AD109" s="46">
        <f t="shared" si="7"/>
        <v>-9.9999999996214228E-5</v>
      </c>
      <c r="AE109" s="46">
        <f t="shared" si="7"/>
        <v>1.8999999999991246E-3</v>
      </c>
      <c r="AF109" s="46">
        <f t="shared" si="7"/>
        <v>-1.0699999999999932E-2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159.1104</v>
      </c>
      <c r="F110" s="46">
        <v>33.881500000000003</v>
      </c>
      <c r="G110" s="46">
        <v>39.509399999999999</v>
      </c>
      <c r="H110" s="46">
        <v>39.376100000000001</v>
      </c>
      <c r="I110" s="66"/>
      <c r="J110" s="66"/>
      <c r="K110" s="67"/>
      <c r="L110" s="29"/>
      <c r="M110" s="46">
        <v>159.136</v>
      </c>
      <c r="N110" s="46">
        <v>33.870100000000001</v>
      </c>
      <c r="O110" s="46">
        <v>39.500700000000002</v>
      </c>
      <c r="P110" s="46">
        <v>39.371699999999997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-2.5599999999997181E-2</v>
      </c>
      <c r="AD110" s="46">
        <f t="shared" si="7"/>
        <v>1.1400000000001853E-2</v>
      </c>
      <c r="AE110" s="46">
        <f t="shared" si="7"/>
        <v>8.6999999999974875E-3</v>
      </c>
      <c r="AF110" s="46">
        <f t="shared" si="7"/>
        <v>4.4000000000039563E-3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354.24079999999998</v>
      </c>
      <c r="F111" s="45">
        <v>40.267400000000002</v>
      </c>
      <c r="G111" s="45">
        <v>42.889400000000002</v>
      </c>
      <c r="H111" s="45">
        <v>43.031300000000002</v>
      </c>
      <c r="I111" s="79"/>
      <c r="J111" s="79"/>
      <c r="K111" s="80"/>
      <c r="L111" s="29"/>
      <c r="M111" s="45">
        <v>351.68079999999998</v>
      </c>
      <c r="N111" s="45">
        <v>40.283799999999999</v>
      </c>
      <c r="O111" s="45">
        <v>42.902999999999999</v>
      </c>
      <c r="P111" s="45">
        <v>43.035699999999999</v>
      </c>
      <c r="Q111" s="79"/>
      <c r="R111" s="79"/>
      <c r="S111" s="80"/>
      <c r="U111" s="8">
        <f>bdrate($E111:$E114,F111:F114,$M111:$M114,N111:N114)</f>
        <v>-6.6419768784817812E-3</v>
      </c>
      <c r="V111" s="9">
        <f>bdrate($E111:$E114,G111:G114,$M111:$M114,O111:O114)</f>
        <v>-3.0954932264614099E-3</v>
      </c>
      <c r="W111" s="10">
        <f>bdrate($E111:$E114,H111:H114,$M111:$M114,P111:P114)</f>
        <v>-7.5279781062311812E-3</v>
      </c>
      <c r="X111" s="29"/>
      <c r="Y111" s="24"/>
      <c r="Z111" s="24"/>
      <c r="AA111" s="27"/>
      <c r="AC111" s="45">
        <f t="shared" si="8"/>
        <v>2.5600000000000023</v>
      </c>
      <c r="AD111" s="45">
        <f t="shared" si="7"/>
        <v>-1.6399999999997306E-2</v>
      </c>
      <c r="AE111" s="45">
        <f t="shared" si="7"/>
        <v>-1.3599999999996726E-2</v>
      </c>
      <c r="AF111" s="45">
        <f t="shared" si="7"/>
        <v>-4.3999999999968509E-3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158.44319999999999</v>
      </c>
      <c r="F112" s="46">
        <v>37.906300000000002</v>
      </c>
      <c r="G112" s="46">
        <v>41.254199999999997</v>
      </c>
      <c r="H112" s="46">
        <v>41.390500000000003</v>
      </c>
      <c r="I112" s="66"/>
      <c r="J112" s="66"/>
      <c r="K112" s="67"/>
      <c r="L112" s="29"/>
      <c r="M112" s="46">
        <v>158.11359999999999</v>
      </c>
      <c r="N112" s="46">
        <v>37.927999999999997</v>
      </c>
      <c r="O112" s="46">
        <v>41.252699999999997</v>
      </c>
      <c r="P112" s="46">
        <v>41.4056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0.32959999999999923</v>
      </c>
      <c r="AD112" s="46">
        <f t="shared" si="7"/>
        <v>-2.1699999999995612E-2</v>
      </c>
      <c r="AE112" s="46">
        <f t="shared" si="7"/>
        <v>1.5000000000000568E-3</v>
      </c>
      <c r="AF112" s="46">
        <f t="shared" si="7"/>
        <v>-1.5099999999996783E-2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82.589600000000004</v>
      </c>
      <c r="F113" s="46">
        <v>35.479900000000001</v>
      </c>
      <c r="G113" s="46">
        <v>39.965499999999999</v>
      </c>
      <c r="H113" s="46">
        <v>40.010300000000001</v>
      </c>
      <c r="I113" s="66"/>
      <c r="J113" s="66"/>
      <c r="K113" s="67"/>
      <c r="L113" s="29"/>
      <c r="M113" s="46">
        <v>82.273600000000002</v>
      </c>
      <c r="N113" s="46">
        <v>35.487299999999998</v>
      </c>
      <c r="O113" s="46">
        <v>39.960799999999999</v>
      </c>
      <c r="P113" s="46">
        <v>40.015799999999999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0.3160000000000025</v>
      </c>
      <c r="AD113" s="46">
        <f t="shared" si="7"/>
        <v>-7.3999999999969646E-3</v>
      </c>
      <c r="AE113" s="46">
        <f t="shared" si="7"/>
        <v>4.6999999999997044E-3</v>
      </c>
      <c r="AF113" s="46">
        <f t="shared" si="7"/>
        <v>-5.49999999999784E-3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45.506399999999999</v>
      </c>
      <c r="F114" s="46">
        <v>33.028199999999998</v>
      </c>
      <c r="G114" s="46">
        <v>38.884799999999998</v>
      </c>
      <c r="H114" s="46">
        <v>38.860199999999999</v>
      </c>
      <c r="I114" s="66"/>
      <c r="J114" s="66"/>
      <c r="K114" s="67"/>
      <c r="L114" s="29"/>
      <c r="M114" s="46">
        <v>45.727200000000003</v>
      </c>
      <c r="N114" s="46">
        <v>33.0381</v>
      </c>
      <c r="O114" s="46">
        <v>38.892099999999999</v>
      </c>
      <c r="P114" s="46">
        <v>38.869999999999997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-0.2208000000000041</v>
      </c>
      <c r="AD114" s="46">
        <f t="shared" si="7"/>
        <v>-9.9000000000017963E-3</v>
      </c>
      <c r="AE114" s="46">
        <f t="shared" si="7"/>
        <v>-7.3000000000007503E-3</v>
      </c>
      <c r="AF114" s="46">
        <f t="shared" si="7"/>
        <v>-9.7999999999984766E-3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400.2432</v>
      </c>
      <c r="F115" s="45">
        <v>39.8688</v>
      </c>
      <c r="G115" s="45">
        <v>42.843699999999998</v>
      </c>
      <c r="H115" s="45">
        <v>42.733800000000002</v>
      </c>
      <c r="I115" s="79"/>
      <c r="J115" s="79"/>
      <c r="K115" s="80"/>
      <c r="L115" s="29"/>
      <c r="M115" s="45">
        <v>394.23599999999999</v>
      </c>
      <c r="N115" s="45">
        <v>39.881100000000004</v>
      </c>
      <c r="O115" s="45">
        <v>42.843299999999999</v>
      </c>
      <c r="P115" s="45">
        <v>42.741100000000003</v>
      </c>
      <c r="Q115" s="79"/>
      <c r="R115" s="79"/>
      <c r="S115" s="80"/>
      <c r="U115" s="8">
        <f>bdrate($E115:$E118,F115:F118,$M115:$M118,N115:N118)</f>
        <v>-1.8926220306681452E-2</v>
      </c>
      <c r="V115" s="9">
        <f>bdrate($E115:$E118,G115:G118,$M115:$M118,O115:O118)</f>
        <v>-1.529550920068079E-2</v>
      </c>
      <c r="W115" s="10">
        <f>bdrate($E115:$E118,H115:H118,$M115:$M118,P115:P118)</f>
        <v>-1.5225691000880115E-2</v>
      </c>
      <c r="X115" s="29"/>
      <c r="Y115" s="24"/>
      <c r="Z115" s="24"/>
      <c r="AA115" s="27"/>
      <c r="AC115" s="45">
        <f t="shared" si="8"/>
        <v>6.0072000000000116</v>
      </c>
      <c r="AD115" s="45">
        <f t="shared" si="7"/>
        <v>-1.2300000000003308E-2</v>
      </c>
      <c r="AE115" s="45">
        <f t="shared" si="7"/>
        <v>3.9999999999906777E-4</v>
      </c>
      <c r="AF115" s="45">
        <f t="shared" si="7"/>
        <v>-7.3000000000007503E-3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182.2672</v>
      </c>
      <c r="F116" s="46">
        <v>37.473999999999997</v>
      </c>
      <c r="G116" s="46">
        <v>41.349800000000002</v>
      </c>
      <c r="H116" s="46">
        <v>41.065399999999997</v>
      </c>
      <c r="I116" s="66"/>
      <c r="J116" s="66"/>
      <c r="K116" s="67"/>
      <c r="L116" s="29"/>
      <c r="M116" s="46">
        <v>178.4384</v>
      </c>
      <c r="N116" s="46">
        <v>37.488399999999999</v>
      </c>
      <c r="O116" s="46">
        <v>41.363900000000001</v>
      </c>
      <c r="P116" s="46">
        <v>41.077100000000002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3.8288000000000011</v>
      </c>
      <c r="AD116" s="46">
        <f t="shared" si="7"/>
        <v>-1.4400000000001967E-2</v>
      </c>
      <c r="AE116" s="46">
        <f t="shared" si="7"/>
        <v>-1.4099999999999113E-2</v>
      </c>
      <c r="AF116" s="46">
        <f t="shared" si="7"/>
        <v>-1.1700000000004707E-2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94.429599999999994</v>
      </c>
      <c r="F117" s="46">
        <v>35.007800000000003</v>
      </c>
      <c r="G117" s="46">
        <v>40.0717</v>
      </c>
      <c r="H117" s="46">
        <v>39.668500000000002</v>
      </c>
      <c r="I117" s="66"/>
      <c r="J117" s="66"/>
      <c r="K117" s="67"/>
      <c r="L117" s="29"/>
      <c r="M117" s="46">
        <v>93.297600000000003</v>
      </c>
      <c r="N117" s="46">
        <v>35.028500000000001</v>
      </c>
      <c r="O117" s="46">
        <v>40.052500000000002</v>
      </c>
      <c r="P117" s="46">
        <v>39.653300000000002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1.1319999999999908</v>
      </c>
      <c r="AD117" s="46">
        <f t="shared" si="7"/>
        <v>-2.0699999999997942E-2</v>
      </c>
      <c r="AE117" s="46">
        <f t="shared" si="7"/>
        <v>1.9199999999997885E-2</v>
      </c>
      <c r="AF117" s="46">
        <f t="shared" si="7"/>
        <v>1.5200000000000102E-2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51.656799999999997</v>
      </c>
      <c r="F118" s="72">
        <v>32.4848</v>
      </c>
      <c r="G118" s="72">
        <v>39.013500000000001</v>
      </c>
      <c r="H118" s="72">
        <v>38.5396</v>
      </c>
      <c r="I118" s="68"/>
      <c r="J118" s="68"/>
      <c r="K118" s="69"/>
      <c r="L118" s="29"/>
      <c r="M118" s="72">
        <v>51.523200000000003</v>
      </c>
      <c r="N118" s="72">
        <v>32.500300000000003</v>
      </c>
      <c r="O118" s="72">
        <v>39.015300000000003</v>
      </c>
      <c r="P118" s="72">
        <v>38.524000000000001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0.13359999999999417</v>
      </c>
      <c r="AD118" s="72">
        <f t="shared" si="7"/>
        <v>-1.5500000000002956E-2</v>
      </c>
      <c r="AE118" s="72">
        <f t="shared" si="7"/>
        <v>-1.8000000000029104E-3</v>
      </c>
      <c r="AF118" s="72">
        <f t="shared" si="7"/>
        <v>1.559999999999917E-2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213.74959999999999</v>
      </c>
      <c r="F119" s="45">
        <v>38.8917</v>
      </c>
      <c r="G119" s="78"/>
      <c r="H119" s="78"/>
      <c r="I119" s="79"/>
      <c r="J119" s="79"/>
      <c r="K119" s="80"/>
      <c r="L119" s="29"/>
      <c r="M119" s="45">
        <v>213.83439999999999</v>
      </c>
      <c r="N119" s="45">
        <v>38.889899999999997</v>
      </c>
      <c r="O119" s="78"/>
      <c r="P119" s="78"/>
      <c r="Q119" s="79"/>
      <c r="R119" s="79"/>
      <c r="S119" s="80"/>
      <c r="U119" s="8">
        <f>bdrate($E119:$E122,F119:F122,$M119:$M122,N119:N122)</f>
        <v>-3.7845997238581397E-3</v>
      </c>
      <c r="V119" s="9"/>
      <c r="W119" s="10"/>
      <c r="X119" s="29"/>
      <c r="Y119" s="24"/>
      <c r="Z119" s="24"/>
      <c r="AA119" s="27"/>
      <c r="AC119" s="45">
        <f t="shared" si="8"/>
        <v>-8.4800000000001319E-2</v>
      </c>
      <c r="AD119" s="45">
        <f t="shared" si="7"/>
        <v>1.8000000000029104E-3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75.7256</v>
      </c>
      <c r="F120" s="46">
        <v>35.699399999999997</v>
      </c>
      <c r="G120" s="70"/>
      <c r="H120" s="70"/>
      <c r="I120" s="66"/>
      <c r="J120" s="66"/>
      <c r="K120" s="67"/>
      <c r="L120" s="29"/>
      <c r="M120" s="46">
        <v>75.706400000000002</v>
      </c>
      <c r="N120" s="46">
        <v>35.702800000000003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1.9199999999997885E-2</v>
      </c>
      <c r="AD120" s="46">
        <f t="shared" si="7"/>
        <v>-3.4000000000062869E-3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36.943199999999997</v>
      </c>
      <c r="F121" s="46">
        <v>33.675899999999999</v>
      </c>
      <c r="G121" s="70"/>
      <c r="H121" s="70"/>
      <c r="I121" s="66"/>
      <c r="J121" s="66"/>
      <c r="K121" s="67"/>
      <c r="L121" s="29"/>
      <c r="M121" s="46">
        <v>36.800800000000002</v>
      </c>
      <c r="N121" s="46">
        <v>33.691499999999998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0.14239999999999498</v>
      </c>
      <c r="AD121" s="46">
        <f t="shared" si="7"/>
        <v>-1.559999999999917E-2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20.152000000000001</v>
      </c>
      <c r="F122" s="46">
        <v>31.749400000000001</v>
      </c>
      <c r="G122" s="70"/>
      <c r="H122" s="70"/>
      <c r="I122" s="66"/>
      <c r="J122" s="66"/>
      <c r="K122" s="67"/>
      <c r="L122" s="29"/>
      <c r="M122" s="46">
        <v>20.0928</v>
      </c>
      <c r="N122" s="46">
        <v>31.769300000000001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5.9200000000000585E-2</v>
      </c>
      <c r="AD122" s="46">
        <f t="shared" si="7"/>
        <v>-1.9899999999999807E-2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150.87200000000001</v>
      </c>
      <c r="F123" s="45">
        <v>37.555500000000002</v>
      </c>
      <c r="G123" s="78"/>
      <c r="H123" s="78"/>
      <c r="I123" s="79"/>
      <c r="J123" s="79"/>
      <c r="K123" s="80"/>
      <c r="L123" s="29"/>
      <c r="M123" s="45">
        <v>149.5968</v>
      </c>
      <c r="N123" s="45">
        <v>37.529600000000002</v>
      </c>
      <c r="O123" s="78"/>
      <c r="P123" s="78"/>
      <c r="Q123" s="79"/>
      <c r="R123" s="79"/>
      <c r="S123" s="80"/>
      <c r="U123" s="8">
        <f>bdrate($E123:$E126,F123:F126,$M123:$M126,N123:N126)</f>
        <v>5.348864446336199E-3</v>
      </c>
      <c r="V123" s="9"/>
      <c r="W123" s="10"/>
      <c r="X123" s="29"/>
      <c r="Y123" s="24"/>
      <c r="Z123" s="24"/>
      <c r="AA123" s="27"/>
      <c r="AC123" s="45">
        <f t="shared" si="8"/>
        <v>1.2752000000000123</v>
      </c>
      <c r="AD123" s="45">
        <f t="shared" si="7"/>
        <v>2.5900000000000034E-2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53.397599999999997</v>
      </c>
      <c r="F124" s="46">
        <v>34.165900000000001</v>
      </c>
      <c r="G124" s="70"/>
      <c r="H124" s="70"/>
      <c r="I124" s="66"/>
      <c r="J124" s="66"/>
      <c r="K124" s="67"/>
      <c r="L124" s="29"/>
      <c r="M124" s="46">
        <v>53.163200000000003</v>
      </c>
      <c r="N124" s="46">
        <v>34.161299999999997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0.23439999999999372</v>
      </c>
      <c r="AD124" s="46">
        <f t="shared" si="7"/>
        <v>4.6000000000034902E-3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25.103200000000001</v>
      </c>
      <c r="F125" s="46">
        <v>30.9404</v>
      </c>
      <c r="G125" s="70"/>
      <c r="H125" s="70"/>
      <c r="I125" s="66"/>
      <c r="J125" s="66"/>
      <c r="K125" s="67"/>
      <c r="L125" s="29"/>
      <c r="M125" s="46">
        <v>25.2136</v>
      </c>
      <c r="N125" s="46">
        <v>30.862400000000001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-0.1103999999999985</v>
      </c>
      <c r="AD125" s="46">
        <f t="shared" si="7"/>
        <v>7.7999999999999403E-2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12.4992</v>
      </c>
      <c r="F126" s="46">
        <v>26.907800000000002</v>
      </c>
      <c r="G126" s="70"/>
      <c r="H126" s="70"/>
      <c r="I126" s="66"/>
      <c r="J126" s="66"/>
      <c r="K126" s="67"/>
      <c r="L126" s="29"/>
      <c r="M126" s="46">
        <v>12.493600000000001</v>
      </c>
      <c r="N126" s="46">
        <v>26.980599999999999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5.5999999999993832E-3</v>
      </c>
      <c r="AD126" s="46">
        <f t="shared" si="7"/>
        <v>-7.2799999999997311E-2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133.49440000000001</v>
      </c>
      <c r="F127" s="45">
        <v>37.631300000000003</v>
      </c>
      <c r="G127" s="78"/>
      <c r="H127" s="78"/>
      <c r="I127" s="79"/>
      <c r="J127" s="79"/>
      <c r="K127" s="80"/>
      <c r="L127" s="29"/>
      <c r="M127" s="45">
        <v>134.1224</v>
      </c>
      <c r="N127" s="45">
        <v>37.645600000000002</v>
      </c>
      <c r="O127" s="78"/>
      <c r="P127" s="78"/>
      <c r="Q127" s="79"/>
      <c r="R127" s="79"/>
      <c r="S127" s="80"/>
      <c r="U127" s="8">
        <f>bdrate($E127:$E130,F127:F130,$M127:$M130,N127:N130)</f>
        <v>1.536347261898996E-5</v>
      </c>
      <c r="V127" s="9"/>
      <c r="W127" s="10"/>
      <c r="X127" s="29"/>
      <c r="Y127" s="24"/>
      <c r="Z127" s="24"/>
      <c r="AA127" s="27"/>
      <c r="AC127" s="45">
        <f t="shared" si="8"/>
        <v>-0.6279999999999859</v>
      </c>
      <c r="AD127" s="45">
        <f t="shared" si="7"/>
        <v>-1.4299999999998647E-2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47.226399999999998</v>
      </c>
      <c r="F128" s="46">
        <v>34.259099999999997</v>
      </c>
      <c r="G128" s="70"/>
      <c r="H128" s="70"/>
      <c r="I128" s="66"/>
      <c r="J128" s="66"/>
      <c r="K128" s="67"/>
      <c r="L128" s="29"/>
      <c r="M128" s="46">
        <v>47.659199999999998</v>
      </c>
      <c r="N128" s="46">
        <v>34.256300000000003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-0.4328000000000003</v>
      </c>
      <c r="AD128" s="46">
        <f t="shared" si="7"/>
        <v>2.7999999999934744E-3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22.987200000000001</v>
      </c>
      <c r="F129" s="46">
        <v>30.744299999999999</v>
      </c>
      <c r="G129" s="70"/>
      <c r="H129" s="70"/>
      <c r="I129" s="66"/>
      <c r="J129" s="66"/>
      <c r="K129" s="67"/>
      <c r="L129" s="29"/>
      <c r="M129" s="46">
        <v>22.948</v>
      </c>
      <c r="N129" s="46">
        <v>30.787800000000001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3.9200000000001012E-2</v>
      </c>
      <c r="AD129" s="46">
        <f t="shared" si="7"/>
        <v>-4.3500000000001648E-2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11.248799999999999</v>
      </c>
      <c r="F130" s="46">
        <v>26.890899999999998</v>
      </c>
      <c r="G130" s="70"/>
      <c r="H130" s="70"/>
      <c r="I130" s="66"/>
      <c r="J130" s="66"/>
      <c r="K130" s="67"/>
      <c r="L130" s="29"/>
      <c r="M130" s="46">
        <v>11.2224</v>
      </c>
      <c r="N130" s="46">
        <v>26.850200000000001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2.6399999999998869E-2</v>
      </c>
      <c r="AD130" s="46">
        <f t="shared" si="7"/>
        <v>4.0699999999997516E-2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39.4572</v>
      </c>
      <c r="G131" s="45">
        <v>45.175400000000003</v>
      </c>
      <c r="H131" s="45">
        <v>45.387799999999999</v>
      </c>
      <c r="I131" s="79"/>
      <c r="J131" s="79"/>
      <c r="K131" s="80"/>
      <c r="L131" s="29"/>
      <c r="M131" s="78"/>
      <c r="N131" s="45">
        <v>39.465499999999999</v>
      </c>
      <c r="O131" s="45">
        <v>45.1755</v>
      </c>
      <c r="P131" s="45">
        <v>45.380800000000001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-8.2999999999984198E-3</v>
      </c>
      <c r="AE131" s="45">
        <f t="shared" si="7"/>
        <v>-9.9999999996214228E-5</v>
      </c>
      <c r="AF131" s="45">
        <f t="shared" si="7"/>
        <v>6.9999999999978968E-3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37.373600000000003</v>
      </c>
      <c r="G132" s="46">
        <v>43.388599999999997</v>
      </c>
      <c r="H132" s="46">
        <v>43.5456</v>
      </c>
      <c r="I132" s="66"/>
      <c r="J132" s="66"/>
      <c r="K132" s="67"/>
      <c r="L132" s="29"/>
      <c r="M132" s="70"/>
      <c r="N132" s="46">
        <v>37.390599999999999</v>
      </c>
      <c r="O132" s="46">
        <v>43.388399999999997</v>
      </c>
      <c r="P132" s="46">
        <v>43.561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-1.6999999999995907E-2</v>
      </c>
      <c r="AE132" s="46">
        <f t="shared" si="7"/>
        <v>1.9999999999953388E-4</v>
      </c>
      <c r="AF132" s="46">
        <f t="shared" si="7"/>
        <v>-1.5399999999999636E-2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35.267699999999998</v>
      </c>
      <c r="G133" s="46">
        <v>41.796799999999998</v>
      </c>
      <c r="H133" s="46">
        <v>41.837000000000003</v>
      </c>
      <c r="I133" s="66"/>
      <c r="J133" s="66"/>
      <c r="K133" s="67"/>
      <c r="L133" s="29"/>
      <c r="M133" s="70"/>
      <c r="N133" s="46">
        <v>35.256500000000003</v>
      </c>
      <c r="O133" s="46">
        <v>41.796700000000001</v>
      </c>
      <c r="P133" s="46">
        <v>41.848500000000001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1.1199999999995214E-2</v>
      </c>
      <c r="AE133" s="46">
        <f t="shared" si="7"/>
        <v>9.9999999996214228E-5</v>
      </c>
      <c r="AF133" s="46">
        <f t="shared" si="7"/>
        <v>-1.1499999999998067E-2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32.944299999999998</v>
      </c>
      <c r="G134" s="72">
        <v>40.448300000000003</v>
      </c>
      <c r="H134" s="72">
        <v>40.4315</v>
      </c>
      <c r="I134" s="68"/>
      <c r="J134" s="68"/>
      <c r="K134" s="69"/>
      <c r="L134" s="29"/>
      <c r="M134" s="81"/>
      <c r="N134" s="72">
        <v>32.950699999999998</v>
      </c>
      <c r="O134" s="72">
        <v>40.451599999999999</v>
      </c>
      <c r="P134" s="72">
        <v>40.451300000000003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-6.3999999999992951E-3</v>
      </c>
      <c r="AE134" s="72">
        <f t="shared" si="7"/>
        <v>-3.2999999999958618E-3</v>
      </c>
      <c r="AF134" s="72">
        <f t="shared" si="7"/>
        <v>-1.9800000000003593E-2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39.925699999999999</v>
      </c>
      <c r="G135" s="45">
        <v>46.037100000000002</v>
      </c>
      <c r="H135" s="45">
        <v>46.1068</v>
      </c>
      <c r="I135" s="66"/>
      <c r="J135" s="66"/>
      <c r="K135" s="67"/>
      <c r="L135" s="29"/>
      <c r="M135" s="70"/>
      <c r="N135" s="45">
        <v>39.939500000000002</v>
      </c>
      <c r="O135" s="45">
        <v>46.033799999999999</v>
      </c>
      <c r="P135" s="45">
        <v>46.097900000000003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-1.3800000000003365E-2</v>
      </c>
      <c r="AE135" s="45">
        <f t="shared" si="7"/>
        <v>3.3000000000029672E-3</v>
      </c>
      <c r="AF135" s="45">
        <f t="shared" si="7"/>
        <v>8.8999999999970214E-3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37.696800000000003</v>
      </c>
      <c r="G136" s="46">
        <v>44.1601</v>
      </c>
      <c r="H136" s="46">
        <v>44.160899999999998</v>
      </c>
      <c r="I136" s="66"/>
      <c r="J136" s="66"/>
      <c r="K136" s="67"/>
      <c r="L136" s="29"/>
      <c r="M136" s="70"/>
      <c r="N136" s="46">
        <v>37.710299999999997</v>
      </c>
      <c r="O136" s="46">
        <v>44.164400000000001</v>
      </c>
      <c r="P136" s="46">
        <v>44.169499999999999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-1.3499999999993406E-2</v>
      </c>
      <c r="AE136" s="46">
        <f t="shared" si="7"/>
        <v>-4.3000000000006366E-3</v>
      </c>
      <c r="AF136" s="46">
        <f t="shared" si="7"/>
        <v>-8.6000000000012733E-3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35.491900000000001</v>
      </c>
      <c r="G137" s="46">
        <v>42.318899999999999</v>
      </c>
      <c r="H137" s="46">
        <v>42.211500000000001</v>
      </c>
      <c r="I137" s="66"/>
      <c r="J137" s="66"/>
      <c r="K137" s="67"/>
      <c r="L137" s="29"/>
      <c r="M137" s="70"/>
      <c r="N137" s="46">
        <v>35.483699999999999</v>
      </c>
      <c r="O137" s="46">
        <v>42.317500000000003</v>
      </c>
      <c r="P137" s="46">
        <v>42.219499999999996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8.2000000000022055E-3</v>
      </c>
      <c r="AE137" s="46">
        <f t="shared" si="7"/>
        <v>1.3999999999967372E-3</v>
      </c>
      <c r="AF137" s="46">
        <f t="shared" si="7"/>
        <v>-7.9999999999955662E-3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33.075400000000002</v>
      </c>
      <c r="G138" s="72">
        <v>40.817700000000002</v>
      </c>
      <c r="H138" s="72">
        <v>40.673400000000001</v>
      </c>
      <c r="I138" s="68"/>
      <c r="J138" s="68"/>
      <c r="K138" s="69"/>
      <c r="L138" s="29"/>
      <c r="M138" s="81"/>
      <c r="N138" s="46">
        <v>33.089599999999997</v>
      </c>
      <c r="O138" s="72">
        <v>40.825400000000002</v>
      </c>
      <c r="P138" s="72">
        <v>40.686300000000003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-1.4199999999995327E-2</v>
      </c>
      <c r="AE138" s="46">
        <f t="shared" si="7"/>
        <v>-7.6999999999998181E-3</v>
      </c>
      <c r="AF138" s="46">
        <f t="shared" si="7"/>
        <v>-1.290000000000191E-2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40.578299999999999</v>
      </c>
      <c r="G139" s="45">
        <v>46.002800000000001</v>
      </c>
      <c r="H139" s="45">
        <v>46.067700000000002</v>
      </c>
      <c r="I139" s="66"/>
      <c r="J139" s="66"/>
      <c r="K139" s="67"/>
      <c r="L139" s="29"/>
      <c r="M139" s="70"/>
      <c r="N139" s="45">
        <v>40.574100000000001</v>
      </c>
      <c r="O139" s="45">
        <v>46.003799999999998</v>
      </c>
      <c r="P139" s="45">
        <v>46.068800000000003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4.199999999997317E-3</v>
      </c>
      <c r="AE139" s="45">
        <f t="shared" si="7"/>
        <v>-9.9999999999766942E-4</v>
      </c>
      <c r="AF139" s="45">
        <f t="shared" si="7"/>
        <v>-1.1000000000009891E-3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38.306899999999999</v>
      </c>
      <c r="G140" s="46">
        <v>44.215600000000002</v>
      </c>
      <c r="H140" s="46">
        <v>44.192599999999999</v>
      </c>
      <c r="I140" s="66"/>
      <c r="J140" s="66"/>
      <c r="K140" s="67"/>
      <c r="L140" s="29"/>
      <c r="M140" s="70"/>
      <c r="N140" s="46">
        <v>38.305199999999999</v>
      </c>
      <c r="O140" s="46">
        <v>44.225299999999997</v>
      </c>
      <c r="P140" s="46">
        <v>44.194899999999997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1.6999999999995907E-3</v>
      </c>
      <c r="AE140" s="46">
        <f t="shared" si="7"/>
        <v>-9.6999999999951569E-3</v>
      </c>
      <c r="AF140" s="46">
        <f t="shared" si="7"/>
        <v>-2.2999999999981924E-3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35.979599999999998</v>
      </c>
      <c r="G141" s="46">
        <v>42.298400000000001</v>
      </c>
      <c r="H141" s="46">
        <v>42.188600000000001</v>
      </c>
      <c r="I141" s="66"/>
      <c r="J141" s="66"/>
      <c r="K141" s="67"/>
      <c r="L141" s="29"/>
      <c r="M141" s="70"/>
      <c r="N141" s="46">
        <v>35.972799999999999</v>
      </c>
      <c r="O141" s="46">
        <v>42.291699999999999</v>
      </c>
      <c r="P141" s="46">
        <v>42.177500000000002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6.7999999999983629E-3</v>
      </c>
      <c r="AE141" s="46">
        <f t="shared" si="7"/>
        <v>6.7000000000021487E-3</v>
      </c>
      <c r="AF141" s="46">
        <f t="shared" si="7"/>
        <v>1.1099999999999E-2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33.527200000000001</v>
      </c>
      <c r="G142" s="72">
        <v>40.810400000000001</v>
      </c>
      <c r="H142" s="72">
        <v>40.649799999999999</v>
      </c>
      <c r="I142" s="68"/>
      <c r="J142" s="68"/>
      <c r="K142" s="69"/>
      <c r="L142" s="29"/>
      <c r="M142" s="81"/>
      <c r="N142" s="46">
        <v>33.531999999999996</v>
      </c>
      <c r="O142" s="72">
        <v>40.8125</v>
      </c>
      <c r="P142" s="72">
        <v>40.634500000000003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-4.7999999999959186E-3</v>
      </c>
      <c r="AE142" s="46">
        <f t="shared" si="7"/>
        <v>-2.0999999999986585E-3</v>
      </c>
      <c r="AF142" s="46">
        <f t="shared" si="7"/>
        <v>1.5299999999996317E-2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40.663699999999999</v>
      </c>
      <c r="G143" s="45">
        <v>45.856900000000003</v>
      </c>
      <c r="H143" s="45">
        <v>45.926200000000001</v>
      </c>
      <c r="I143" s="66"/>
      <c r="J143" s="66"/>
      <c r="K143" s="67"/>
      <c r="L143" s="29"/>
      <c r="M143" s="70"/>
      <c r="N143" s="45">
        <v>40.652700000000003</v>
      </c>
      <c r="O143" s="45">
        <v>45.857900000000001</v>
      </c>
      <c r="P143" s="45">
        <v>45.913200000000003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1.099999999999568E-2</v>
      </c>
      <c r="AE143" s="45">
        <f t="shared" si="7"/>
        <v>-9.9999999999766942E-4</v>
      </c>
      <c r="AF143" s="45">
        <f t="shared" si="7"/>
        <v>1.2999999999998124E-2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38.329099999999997</v>
      </c>
      <c r="G144" s="46">
        <v>44.048900000000003</v>
      </c>
      <c r="H144" s="46">
        <v>44.013399999999997</v>
      </c>
      <c r="I144" s="66"/>
      <c r="J144" s="66"/>
      <c r="K144" s="67"/>
      <c r="L144" s="29"/>
      <c r="M144" s="70"/>
      <c r="N144" s="46">
        <v>38.341799999999999</v>
      </c>
      <c r="O144" s="46">
        <v>44.058</v>
      </c>
      <c r="P144" s="46">
        <v>44.017200000000003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-1.2700000000002376E-2</v>
      </c>
      <c r="AE144" s="46">
        <f t="shared" si="7"/>
        <v>-9.0999999999965553E-3</v>
      </c>
      <c r="AF144" s="46">
        <f t="shared" si="7"/>
        <v>-3.8000000000053547E-3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35.933399999999999</v>
      </c>
      <c r="G145" s="46">
        <v>42.136600000000001</v>
      </c>
      <c r="H145" s="46">
        <v>41.981000000000002</v>
      </c>
      <c r="I145" s="66"/>
      <c r="J145" s="66"/>
      <c r="K145" s="67"/>
      <c r="L145" s="29"/>
      <c r="M145" s="70"/>
      <c r="N145" s="46">
        <v>35.944800000000001</v>
      </c>
      <c r="O145" s="46">
        <v>42.1248</v>
      </c>
      <c r="P145" s="46">
        <v>41.984900000000003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-1.1400000000001853E-2</v>
      </c>
      <c r="AE145" s="46">
        <f t="shared" si="7"/>
        <v>1.1800000000000921E-2</v>
      </c>
      <c r="AF145" s="46">
        <f t="shared" si="7"/>
        <v>-3.9000000000015689E-3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33.447800000000001</v>
      </c>
      <c r="G146" s="72">
        <v>40.698999999999998</v>
      </c>
      <c r="H146" s="72">
        <v>40.448799999999999</v>
      </c>
      <c r="I146" s="68"/>
      <c r="J146" s="68"/>
      <c r="K146" s="69"/>
      <c r="L146" s="29"/>
      <c r="M146" s="81"/>
      <c r="N146" s="46">
        <v>33.451700000000002</v>
      </c>
      <c r="O146" s="72">
        <v>40.687600000000003</v>
      </c>
      <c r="P146" s="72">
        <v>40.448700000000002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-3.9000000000015689E-3</v>
      </c>
      <c r="AE146" s="46">
        <f t="shared" si="7"/>
        <v>1.1399999999994748E-2</v>
      </c>
      <c r="AF146" s="46">
        <f t="shared" si="7"/>
        <v>9.9999999996214228E-5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39.920200000000001</v>
      </c>
      <c r="G147" s="45">
        <v>45.873199999999997</v>
      </c>
      <c r="H147" s="45">
        <v>45.833199999999998</v>
      </c>
      <c r="I147" s="66"/>
      <c r="J147" s="66"/>
      <c r="K147" s="67"/>
      <c r="L147" s="29"/>
      <c r="M147" s="70"/>
      <c r="N147" s="45">
        <v>39.926299999999998</v>
      </c>
      <c r="O147" s="45">
        <v>45.873600000000003</v>
      </c>
      <c r="P147" s="45">
        <v>45.828600000000002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-6.0999999999964416E-3</v>
      </c>
      <c r="AE147" s="45">
        <f t="shared" si="7"/>
        <v>-4.000000000061732E-4</v>
      </c>
      <c r="AF147" s="45">
        <f t="shared" si="7"/>
        <v>4.5999999999963848E-3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37.615600000000001</v>
      </c>
      <c r="G148" s="46">
        <v>44.045200000000001</v>
      </c>
      <c r="H148" s="46">
        <v>43.808</v>
      </c>
      <c r="I148" s="66"/>
      <c r="J148" s="66"/>
      <c r="K148" s="67"/>
      <c r="L148" s="29"/>
      <c r="M148" s="70"/>
      <c r="N148" s="46">
        <v>37.625999999999998</v>
      </c>
      <c r="O148" s="46">
        <v>44.044699999999999</v>
      </c>
      <c r="P148" s="46">
        <v>43.826999999999998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-1.0399999999997078E-2</v>
      </c>
      <c r="AE148" s="46">
        <f t="shared" si="7"/>
        <v>5.0000000000238742E-4</v>
      </c>
      <c r="AF148" s="46">
        <f t="shared" si="7"/>
        <v>-1.8999999999998352E-2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35.308</v>
      </c>
      <c r="G149" s="46">
        <v>42.197699999999998</v>
      </c>
      <c r="H149" s="46">
        <v>41.8371</v>
      </c>
      <c r="I149" s="66"/>
      <c r="J149" s="66"/>
      <c r="K149" s="67"/>
      <c r="L149" s="29"/>
      <c r="M149" s="70"/>
      <c r="N149" s="46">
        <v>35.31</v>
      </c>
      <c r="O149" s="46">
        <v>42.176900000000003</v>
      </c>
      <c r="P149" s="46">
        <v>41.856699999999996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-2.0000000000024443E-3</v>
      </c>
      <c r="AE149" s="46">
        <f t="shared" si="7"/>
        <v>2.0799999999994156E-2</v>
      </c>
      <c r="AF149" s="46">
        <f t="shared" si="7"/>
        <v>-1.9599999999996953E-2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32.831099999999999</v>
      </c>
      <c r="G150" s="72">
        <v>40.740200000000002</v>
      </c>
      <c r="H150" s="72">
        <v>40.310299999999998</v>
      </c>
      <c r="I150" s="68"/>
      <c r="J150" s="68"/>
      <c r="K150" s="69"/>
      <c r="L150" s="29"/>
      <c r="M150" s="81"/>
      <c r="N150" s="72">
        <v>32.829799999999999</v>
      </c>
      <c r="O150" s="72">
        <v>40.730800000000002</v>
      </c>
      <c r="P150" s="72">
        <v>40.332000000000001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1.300000000000523E-3</v>
      </c>
      <c r="AE150" s="72">
        <f t="shared" si="7"/>
        <v>9.3999999999994088E-3</v>
      </c>
      <c r="AF150" s="72">
        <f t="shared" si="7"/>
        <v>-2.1700000000002717E-2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39.7117</v>
      </c>
      <c r="G151" s="45">
        <v>45.067100000000003</v>
      </c>
      <c r="H151" s="45">
        <v>45.010599999999997</v>
      </c>
      <c r="I151" s="66"/>
      <c r="J151" s="66"/>
      <c r="K151" s="67"/>
      <c r="L151" s="29"/>
      <c r="M151" s="70"/>
      <c r="N151" s="45">
        <v>39.7286</v>
      </c>
      <c r="O151" s="45">
        <v>45.059800000000003</v>
      </c>
      <c r="P151" s="45">
        <v>45.004100000000001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-1.6899999999999693E-2</v>
      </c>
      <c r="AE151" s="45">
        <f t="shared" si="7"/>
        <v>7.3000000000007503E-3</v>
      </c>
      <c r="AF151" s="45">
        <f t="shared" si="7"/>
        <v>6.4999999999955094E-3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37.3553</v>
      </c>
      <c r="G152" s="46">
        <v>43.354300000000002</v>
      </c>
      <c r="H152" s="46">
        <v>43.066299999999998</v>
      </c>
      <c r="I152" s="66"/>
      <c r="J152" s="66"/>
      <c r="K152" s="67"/>
      <c r="L152" s="29"/>
      <c r="M152" s="70"/>
      <c r="N152" s="46">
        <v>37.373399999999997</v>
      </c>
      <c r="O152" s="46">
        <v>43.360100000000003</v>
      </c>
      <c r="P152" s="46">
        <v>43.101799999999997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-1.8099999999996896E-2</v>
      </c>
      <c r="AE152" s="46">
        <f t="shared" si="7"/>
        <v>-5.8000000000006935E-3</v>
      </c>
      <c r="AF152" s="46">
        <f t="shared" si="7"/>
        <v>-3.5499999999998977E-2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35.013800000000003</v>
      </c>
      <c r="G153" s="46">
        <v>41.757800000000003</v>
      </c>
      <c r="H153" s="46">
        <v>41.324599999999997</v>
      </c>
      <c r="I153" s="66"/>
      <c r="J153" s="66"/>
      <c r="K153" s="67"/>
      <c r="L153" s="29"/>
      <c r="M153" s="70"/>
      <c r="N153" s="46">
        <v>35.023099999999999</v>
      </c>
      <c r="O153" s="46">
        <v>41.730499999999999</v>
      </c>
      <c r="P153" s="46">
        <v>41.333799999999997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-9.2999999999960892E-3</v>
      </c>
      <c r="AE153" s="46">
        <f t="shared" si="7"/>
        <v>2.7300000000003877E-2</v>
      </c>
      <c r="AF153" s="46">
        <f t="shared" si="7"/>
        <v>-9.1999999999998749E-3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32.5306</v>
      </c>
      <c r="G154" s="72">
        <v>40.448700000000002</v>
      </c>
      <c r="H154" s="72">
        <v>39.912799999999997</v>
      </c>
      <c r="I154" s="68"/>
      <c r="J154" s="68"/>
      <c r="K154" s="69"/>
      <c r="L154" s="29"/>
      <c r="M154" s="81"/>
      <c r="N154" s="72">
        <v>32.542200000000001</v>
      </c>
      <c r="O154" s="72">
        <v>40.430799999999998</v>
      </c>
      <c r="P154" s="72">
        <v>39.933500000000002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-1.1600000000001387E-2</v>
      </c>
      <c r="AE154" s="72">
        <f t="shared" si="7"/>
        <v>1.7900000000004468E-2</v>
      </c>
      <c r="AF154" s="72">
        <f t="shared" si="7"/>
        <v>-2.0700000000005048E-2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2207.4720000000002</v>
      </c>
      <c r="F155" s="70"/>
      <c r="G155" s="70"/>
      <c r="H155" s="70"/>
      <c r="I155" s="45">
        <v>31391.58</v>
      </c>
      <c r="J155" s="45">
        <v>29.29</v>
      </c>
      <c r="K155" s="45">
        <v>346.9</v>
      </c>
      <c r="L155" s="29"/>
      <c r="M155" s="45">
        <v>2198.7143999999998</v>
      </c>
      <c r="N155" s="70"/>
      <c r="O155" s="70"/>
      <c r="P155" s="70"/>
      <c r="Q155" s="45">
        <v>35771.019999999997</v>
      </c>
      <c r="R155" s="45">
        <v>27.42</v>
      </c>
      <c r="S155" s="45">
        <v>344.34</v>
      </c>
      <c r="T155" s="24"/>
      <c r="U155" s="8"/>
      <c r="V155" s="9"/>
      <c r="W155" s="10"/>
      <c r="X155" s="29"/>
      <c r="Y155" s="61">
        <f>GEOMEAN(Q155:Q158)/GEOMEAN(I155:I158)</f>
        <v>1.1261099707139264</v>
      </c>
      <c r="Z155" s="61">
        <f>GEOMEAN(R155:R158)/GEOMEAN(J155:J158)</f>
        <v>0.97666537109187301</v>
      </c>
      <c r="AA155" s="57">
        <f>GEOMEAN(S155:S158)/GEOMEAN(K155:K158)</f>
        <v>0.98037677453543493</v>
      </c>
      <c r="AB155" s="24"/>
      <c r="AC155" s="45">
        <f>E155 -M155</f>
        <v>8.757600000000366</v>
      </c>
      <c r="AD155" s="70"/>
      <c r="AE155" s="70"/>
      <c r="AF155" s="70"/>
      <c r="AG155" s="45">
        <f t="shared" ref="AG155:AI158" si="9">I155 -Q155</f>
        <v>-4379.4399999999951</v>
      </c>
      <c r="AH155" s="45">
        <f t="shared" si="9"/>
        <v>1.8699999999999974</v>
      </c>
      <c r="AI155" s="45">
        <f t="shared" si="9"/>
        <v>2.5600000000000023</v>
      </c>
    </row>
    <row r="156" spans="1:35" ht="12">
      <c r="B156" s="36"/>
      <c r="C156" s="29"/>
      <c r="D156" s="32">
        <v>30</v>
      </c>
      <c r="E156" s="46">
        <v>1021.9384</v>
      </c>
      <c r="F156" s="70"/>
      <c r="G156" s="70"/>
      <c r="H156" s="70"/>
      <c r="I156" s="46">
        <v>29829.49</v>
      </c>
      <c r="J156" s="46">
        <v>24.68</v>
      </c>
      <c r="K156" s="46">
        <v>352.77</v>
      </c>
      <c r="L156" s="29"/>
      <c r="M156" s="46">
        <v>1018.3664</v>
      </c>
      <c r="N156" s="70"/>
      <c r="O156" s="70"/>
      <c r="P156" s="70"/>
      <c r="Q156" s="46">
        <v>33576.879999999997</v>
      </c>
      <c r="R156" s="46">
        <v>25.67</v>
      </c>
      <c r="S156" s="46">
        <v>343.46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3.5720000000000027</v>
      </c>
      <c r="AD156" s="70"/>
      <c r="AE156" s="70"/>
      <c r="AF156" s="70"/>
      <c r="AG156" s="46">
        <f t="shared" si="9"/>
        <v>-3747.3899999999958</v>
      </c>
      <c r="AH156" s="46">
        <f t="shared" si="9"/>
        <v>-0.99000000000000199</v>
      </c>
      <c r="AI156" s="46">
        <f t="shared" si="9"/>
        <v>9.3100000000000023</v>
      </c>
    </row>
    <row r="157" spans="1:35" ht="12">
      <c r="B157" s="36"/>
      <c r="C157" s="29"/>
      <c r="D157" s="32">
        <v>35</v>
      </c>
      <c r="E157" s="46">
        <v>542.29039999999998</v>
      </c>
      <c r="F157" s="70"/>
      <c r="G157" s="70"/>
      <c r="H157" s="70"/>
      <c r="I157" s="46">
        <v>28987.78</v>
      </c>
      <c r="J157" s="46">
        <v>24.17</v>
      </c>
      <c r="K157" s="46">
        <v>347.38</v>
      </c>
      <c r="L157" s="29"/>
      <c r="M157" s="46">
        <v>541.28560000000004</v>
      </c>
      <c r="N157" s="70"/>
      <c r="O157" s="70"/>
      <c r="P157" s="70"/>
      <c r="Q157" s="46">
        <v>32679.48</v>
      </c>
      <c r="R157" s="46">
        <v>22.67</v>
      </c>
      <c r="S157" s="46">
        <v>345.32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1.004799999999932</v>
      </c>
      <c r="AD157" s="70"/>
      <c r="AE157" s="70"/>
      <c r="AF157" s="70"/>
      <c r="AG157" s="46">
        <f t="shared" si="9"/>
        <v>-3691.7000000000007</v>
      </c>
      <c r="AH157" s="46">
        <f t="shared" si="9"/>
        <v>1.5</v>
      </c>
      <c r="AI157" s="46">
        <f t="shared" si="9"/>
        <v>2.0600000000000023</v>
      </c>
    </row>
    <row r="158" spans="1:35" ht="12.75" thickBot="1">
      <c r="B158" s="52"/>
      <c r="C158" s="53"/>
      <c r="D158" s="71">
        <v>40</v>
      </c>
      <c r="E158" s="72">
        <v>305.97039999999998</v>
      </c>
      <c r="F158" s="81"/>
      <c r="G158" s="81"/>
      <c r="H158" s="81"/>
      <c r="I158" s="72">
        <v>28635.69</v>
      </c>
      <c r="J158" s="72">
        <v>21.48</v>
      </c>
      <c r="K158" s="72">
        <v>359.49</v>
      </c>
      <c r="L158" s="29"/>
      <c r="M158" s="72">
        <v>305.99200000000002</v>
      </c>
      <c r="N158" s="81"/>
      <c r="O158" s="81"/>
      <c r="P158" s="81"/>
      <c r="Q158" s="72">
        <v>31846.23</v>
      </c>
      <c r="R158" s="72">
        <v>21.4</v>
      </c>
      <c r="S158" s="72">
        <v>345.68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-2.1600000000034925E-2</v>
      </c>
      <c r="AD158" s="81"/>
      <c r="AE158" s="81"/>
      <c r="AF158" s="81"/>
      <c r="AG158" s="72">
        <f t="shared" si="9"/>
        <v>-3210.5400000000009</v>
      </c>
      <c r="AH158" s="72">
        <f t="shared" si="9"/>
        <v>8.0000000000001847E-2</v>
      </c>
      <c r="AI158" s="72">
        <f t="shared" si="9"/>
        <v>13.810000000000002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3695.7543999999998</v>
      </c>
      <c r="F159" s="45">
        <v>40.253100000000003</v>
      </c>
      <c r="G159" s="45">
        <v>45.461399999999998</v>
      </c>
      <c r="H159" s="45">
        <v>46.297400000000003</v>
      </c>
      <c r="I159" s="79"/>
      <c r="J159" s="79"/>
      <c r="K159" s="80"/>
      <c r="L159" s="29"/>
      <c r="M159" s="45">
        <v>3697.7264</v>
      </c>
      <c r="N159" s="45">
        <v>40.255099999999999</v>
      </c>
      <c r="O159" s="45">
        <v>45.454000000000001</v>
      </c>
      <c r="P159" s="45">
        <v>46.298000000000002</v>
      </c>
      <c r="Q159" s="79"/>
      <c r="R159" s="79"/>
      <c r="S159" s="80"/>
      <c r="T159" s="24"/>
      <c r="U159" s="8">
        <f>bdrate($E159:$E162,F159:F162,$M159:$M162,N159:N162)</f>
        <v>-8.7956831871027763E-4</v>
      </c>
      <c r="V159" s="9">
        <f>bdrate($E159:$E162,G159:G162,$M159:$M162,O159:O162)</f>
        <v>-4.2768238516133206E-4</v>
      </c>
      <c r="W159" s="10">
        <f>bdrate($E159:$E162,H159:H162,$M159:$M162,P159:P162)</f>
        <v>5.2875551360620499E-4</v>
      </c>
      <c r="X159" s="29"/>
      <c r="Y159" s="22"/>
      <c r="Z159" s="22"/>
      <c r="AA159" s="26"/>
      <c r="AB159" s="24"/>
      <c r="AC159" s="45">
        <f>E159 -M159</f>
        <v>-1.9720000000002074</v>
      </c>
      <c r="AD159" s="45">
        <f t="shared" ref="AD159:AF206" si="10">F159 -N159</f>
        <v>-1.9999999999953388E-3</v>
      </c>
      <c r="AE159" s="45">
        <f t="shared" si="10"/>
        <v>7.3999999999969646E-3</v>
      </c>
      <c r="AF159" s="45">
        <f t="shared" si="10"/>
        <v>-5.9999999999860165E-4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1609.6248000000001</v>
      </c>
      <c r="F160" s="46">
        <v>37.818899999999999</v>
      </c>
      <c r="G160" s="46">
        <v>43.641100000000002</v>
      </c>
      <c r="H160" s="46">
        <v>44.4726</v>
      </c>
      <c r="I160" s="66"/>
      <c r="J160" s="66"/>
      <c r="K160" s="67"/>
      <c r="L160" s="29"/>
      <c r="M160" s="46">
        <v>1607.3255999999999</v>
      </c>
      <c r="N160" s="46">
        <v>37.822499999999998</v>
      </c>
      <c r="O160" s="46">
        <v>43.644399999999997</v>
      </c>
      <c r="P160" s="46">
        <v>44.468299999999999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2.2992000000001553</v>
      </c>
      <c r="AD160" s="46">
        <f t="shared" si="10"/>
        <v>-3.5999999999987153E-3</v>
      </c>
      <c r="AE160" s="46">
        <f t="shared" si="10"/>
        <v>-3.2999999999958618E-3</v>
      </c>
      <c r="AF160" s="46">
        <f t="shared" si="10"/>
        <v>4.3000000000006366E-3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754.33280000000002</v>
      </c>
      <c r="F161" s="46">
        <v>35.621299999999998</v>
      </c>
      <c r="G161" s="46">
        <v>41.8157</v>
      </c>
      <c r="H161" s="46">
        <v>42.628100000000003</v>
      </c>
      <c r="I161" s="66"/>
      <c r="J161" s="66"/>
      <c r="K161" s="67"/>
      <c r="L161" s="29"/>
      <c r="M161" s="46">
        <v>754.25760000000002</v>
      </c>
      <c r="N161" s="46">
        <v>35.622900000000001</v>
      </c>
      <c r="O161" s="46">
        <v>41.810699999999997</v>
      </c>
      <c r="P161" s="46">
        <v>42.639200000000002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7.5199999999995271E-2</v>
      </c>
      <c r="AD161" s="46">
        <f t="shared" si="10"/>
        <v>-1.6000000000033765E-3</v>
      </c>
      <c r="AE161" s="46">
        <f t="shared" si="10"/>
        <v>5.000000000002558E-3</v>
      </c>
      <c r="AF161" s="46">
        <f t="shared" si="10"/>
        <v>-1.1099999999999E-2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363.4264</v>
      </c>
      <c r="F162" s="46">
        <v>33.459600000000002</v>
      </c>
      <c r="G162" s="46">
        <v>40.550899999999999</v>
      </c>
      <c r="H162" s="46">
        <v>41.4193</v>
      </c>
      <c r="I162" s="66"/>
      <c r="J162" s="66"/>
      <c r="K162" s="67"/>
      <c r="L162" s="29"/>
      <c r="M162" s="46">
        <v>364.31360000000001</v>
      </c>
      <c r="N162" s="46">
        <v>33.456499999999998</v>
      </c>
      <c r="O162" s="46">
        <v>40.563699999999997</v>
      </c>
      <c r="P162" s="46">
        <v>41.384999999999998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-0.88720000000000709</v>
      </c>
      <c r="AD162" s="46">
        <f t="shared" si="10"/>
        <v>3.1000000000034333E-3</v>
      </c>
      <c r="AE162" s="46">
        <f t="shared" si="10"/>
        <v>-1.279999999999859E-2</v>
      </c>
      <c r="AF162" s="46">
        <f t="shared" si="10"/>
        <v>3.4300000000001774E-2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650.02560000000005</v>
      </c>
      <c r="F163" s="45">
        <v>39.659100000000002</v>
      </c>
      <c r="G163" s="45">
        <v>45.328899999999997</v>
      </c>
      <c r="H163" s="45">
        <v>46.169699999999999</v>
      </c>
      <c r="I163" s="79"/>
      <c r="J163" s="79"/>
      <c r="K163" s="80"/>
      <c r="L163" s="29"/>
      <c r="M163" s="45">
        <v>649.2912</v>
      </c>
      <c r="N163" s="45">
        <v>39.659700000000001</v>
      </c>
      <c r="O163" s="45">
        <v>45.324199999999998</v>
      </c>
      <c r="P163" s="45">
        <v>46.1708</v>
      </c>
      <c r="Q163" s="79"/>
      <c r="R163" s="79"/>
      <c r="S163" s="80"/>
      <c r="T163" s="24"/>
      <c r="U163" s="8">
        <f>bdrate($E163:$E166,F163:F166,$M163:$M166,N163:N166)</f>
        <v>-3.0250217865185336E-3</v>
      </c>
      <c r="V163" s="9">
        <f>bdrate($E163:$E166,G163:G166,$M163:$M166,O163:O166)</f>
        <v>-2.2062028082470153E-3</v>
      </c>
      <c r="W163" s="10">
        <f>bdrate($E163:$E166,H163:H166,$M163:$M166,P163:P166)</f>
        <v>-1.0278188634111896E-3</v>
      </c>
      <c r="X163" s="29"/>
      <c r="Y163" s="24"/>
      <c r="Z163" s="24"/>
      <c r="AA163" s="27"/>
      <c r="AB163" s="24"/>
      <c r="AC163" s="45">
        <f t="shared" si="11"/>
        <v>0.73440000000005057</v>
      </c>
      <c r="AD163" s="45">
        <f t="shared" si="10"/>
        <v>-5.9999999999860165E-4</v>
      </c>
      <c r="AE163" s="45">
        <f t="shared" si="10"/>
        <v>4.6999999999997044E-3</v>
      </c>
      <c r="AF163" s="45">
        <f t="shared" si="10"/>
        <v>-1.1000000000009891E-3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244.3048</v>
      </c>
      <c r="F164" s="46">
        <v>37.377499999999998</v>
      </c>
      <c r="G164" s="46">
        <v>43.559399999999997</v>
      </c>
      <c r="H164" s="46">
        <v>44.395499999999998</v>
      </c>
      <c r="I164" s="66"/>
      <c r="J164" s="66"/>
      <c r="K164" s="67"/>
      <c r="L164" s="29"/>
      <c r="M164" s="46">
        <v>243.59520000000001</v>
      </c>
      <c r="N164" s="46">
        <v>37.379100000000001</v>
      </c>
      <c r="O164" s="46">
        <v>43.562600000000003</v>
      </c>
      <c r="P164" s="46">
        <v>44.392600000000002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0.70959999999999468</v>
      </c>
      <c r="AD164" s="46">
        <f t="shared" si="10"/>
        <v>-1.6000000000033765E-3</v>
      </c>
      <c r="AE164" s="46">
        <f t="shared" si="10"/>
        <v>-3.200000000006753E-3</v>
      </c>
      <c r="AF164" s="46">
        <f t="shared" si="10"/>
        <v>2.899999999996794E-3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107.6712</v>
      </c>
      <c r="F165" s="46">
        <v>35.2819</v>
      </c>
      <c r="G165" s="46">
        <v>41.770299999999999</v>
      </c>
      <c r="H165" s="46">
        <v>42.591799999999999</v>
      </c>
      <c r="I165" s="66"/>
      <c r="J165" s="66"/>
      <c r="K165" s="67"/>
      <c r="L165" s="29"/>
      <c r="M165" s="46">
        <v>107.5472</v>
      </c>
      <c r="N165" s="46">
        <v>35.284199999999998</v>
      </c>
      <c r="O165" s="46">
        <v>41.764099999999999</v>
      </c>
      <c r="P165" s="46">
        <v>42.599299999999999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0.12399999999999523</v>
      </c>
      <c r="AD165" s="46">
        <f t="shared" si="10"/>
        <v>-2.2999999999981924E-3</v>
      </c>
      <c r="AE165" s="46">
        <f t="shared" si="10"/>
        <v>6.1999999999997613E-3</v>
      </c>
      <c r="AF165" s="46">
        <f t="shared" si="10"/>
        <v>-7.5000000000002842E-3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51.182400000000001</v>
      </c>
      <c r="F166" s="46">
        <v>33.161299999999997</v>
      </c>
      <c r="G166" s="46">
        <v>40.481000000000002</v>
      </c>
      <c r="H166" s="46">
        <v>41.352600000000002</v>
      </c>
      <c r="I166" s="66"/>
      <c r="J166" s="66"/>
      <c r="K166" s="67"/>
      <c r="L166" s="29"/>
      <c r="M166" s="46">
        <v>50.864800000000002</v>
      </c>
      <c r="N166" s="46">
        <v>33.161000000000001</v>
      </c>
      <c r="O166" s="46">
        <v>40.491599999999998</v>
      </c>
      <c r="P166" s="46">
        <v>41.316000000000003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0.31759999999999877</v>
      </c>
      <c r="AD166" s="46">
        <f t="shared" si="10"/>
        <v>2.9999999999574811E-4</v>
      </c>
      <c r="AE166" s="46">
        <f t="shared" si="10"/>
        <v>-1.0599999999996612E-2</v>
      </c>
      <c r="AF166" s="46">
        <f t="shared" si="10"/>
        <v>3.6599999999999966E-2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672.61440000000005</v>
      </c>
      <c r="F167" s="45">
        <v>39.628</v>
      </c>
      <c r="G167" s="45">
        <v>45.288800000000002</v>
      </c>
      <c r="H167" s="45">
        <v>46.134399999999999</v>
      </c>
      <c r="I167" s="79"/>
      <c r="J167" s="79"/>
      <c r="K167" s="80"/>
      <c r="L167" s="29"/>
      <c r="M167" s="45">
        <v>672.78480000000002</v>
      </c>
      <c r="N167" s="45">
        <v>39.628900000000002</v>
      </c>
      <c r="O167" s="45">
        <v>45.284500000000001</v>
      </c>
      <c r="P167" s="45">
        <v>46.1355</v>
      </c>
      <c r="Q167" s="79"/>
      <c r="R167" s="79"/>
      <c r="S167" s="80"/>
      <c r="T167" s="65"/>
      <c r="U167" s="8">
        <f>bdrate($E167:$E170,F167:F170,$M167:$M170,N167:N170)</f>
        <v>-1.5171943845232461E-3</v>
      </c>
      <c r="V167" s="9">
        <f>bdrate($E167:$E170,G167:G170,$M167:$M170,O167:O170)</f>
        <v>-2.7704324004129699E-4</v>
      </c>
      <c r="W167" s="10">
        <f>bdrate($E167:$E170,H167:H170,$M167:$M170,P167:P170)</f>
        <v>2.8557884261637412E-4</v>
      </c>
      <c r="X167" s="29"/>
      <c r="Y167" s="24"/>
      <c r="Z167" s="24"/>
      <c r="AA167" s="27"/>
      <c r="AB167" s="24"/>
      <c r="AC167" s="45">
        <f t="shared" si="11"/>
        <v>-0.17039999999997235</v>
      </c>
      <c r="AD167" s="45">
        <f t="shared" si="10"/>
        <v>-9.0000000000145519E-4</v>
      </c>
      <c r="AE167" s="45">
        <f t="shared" si="10"/>
        <v>4.3000000000006366E-3</v>
      </c>
      <c r="AF167" s="45">
        <f t="shared" si="10"/>
        <v>-1.1000000000009891E-3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253.47280000000001</v>
      </c>
      <c r="F168" s="46">
        <v>37.3401</v>
      </c>
      <c r="G168" s="46">
        <v>43.518599999999999</v>
      </c>
      <c r="H168" s="46">
        <v>44.356099999999998</v>
      </c>
      <c r="I168" s="66"/>
      <c r="J168" s="66"/>
      <c r="K168" s="67"/>
      <c r="L168" s="29"/>
      <c r="M168" s="46">
        <v>253.6832</v>
      </c>
      <c r="N168" s="46">
        <v>37.342500000000001</v>
      </c>
      <c r="O168" s="46">
        <v>43.520600000000002</v>
      </c>
      <c r="P168" s="46">
        <v>44.351199999999999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-0.21039999999999281</v>
      </c>
      <c r="AD168" s="46">
        <f t="shared" si="10"/>
        <v>-2.400000000001512E-3</v>
      </c>
      <c r="AE168" s="46">
        <f t="shared" si="10"/>
        <v>-2.0000000000024443E-3</v>
      </c>
      <c r="AF168" s="46">
        <f t="shared" si="10"/>
        <v>4.8999999999992383E-3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113.3192</v>
      </c>
      <c r="F169" s="46">
        <v>35.2408</v>
      </c>
      <c r="G169" s="46">
        <v>41.726999999999997</v>
      </c>
      <c r="H169" s="46">
        <v>42.543300000000002</v>
      </c>
      <c r="I169" s="66"/>
      <c r="J169" s="66"/>
      <c r="K169" s="67"/>
      <c r="L169" s="29"/>
      <c r="M169" s="46">
        <v>113.1472</v>
      </c>
      <c r="N169" s="46">
        <v>35.244799999999998</v>
      </c>
      <c r="O169" s="46">
        <v>41.720500000000001</v>
      </c>
      <c r="P169" s="46">
        <v>42.554299999999998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0.17199999999999704</v>
      </c>
      <c r="AD169" s="46">
        <f t="shared" si="10"/>
        <v>-3.9999999999977831E-3</v>
      </c>
      <c r="AE169" s="46">
        <f t="shared" si="10"/>
        <v>6.4999999999955094E-3</v>
      </c>
      <c r="AF169" s="46">
        <f t="shared" si="10"/>
        <v>-1.099999999999568E-2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54.059199999999997</v>
      </c>
      <c r="F170" s="72">
        <v>33.126399999999997</v>
      </c>
      <c r="G170" s="72">
        <v>40.433</v>
      </c>
      <c r="H170" s="72">
        <v>41.3003</v>
      </c>
      <c r="I170" s="68"/>
      <c r="J170" s="68"/>
      <c r="K170" s="69"/>
      <c r="L170" s="29"/>
      <c r="M170" s="72">
        <v>53.868000000000002</v>
      </c>
      <c r="N170" s="72">
        <v>33.124899999999997</v>
      </c>
      <c r="O170" s="72">
        <v>40.448</v>
      </c>
      <c r="P170" s="72">
        <v>41.271500000000003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0.19119999999999493</v>
      </c>
      <c r="AD170" s="72">
        <f t="shared" si="10"/>
        <v>1.5000000000000568E-3</v>
      </c>
      <c r="AE170" s="72">
        <f t="shared" si="10"/>
        <v>-1.5000000000000568E-2</v>
      </c>
      <c r="AF170" s="72">
        <f t="shared" si="10"/>
        <v>2.8799999999996828E-2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345.83199999999999</v>
      </c>
      <c r="F171" s="45">
        <v>42.247500000000002</v>
      </c>
      <c r="G171" s="78"/>
      <c r="H171" s="78"/>
      <c r="I171" s="79"/>
      <c r="J171" s="79"/>
      <c r="K171" s="80"/>
      <c r="L171" s="29"/>
      <c r="M171" s="45">
        <v>345.21199999999999</v>
      </c>
      <c r="N171" s="45">
        <v>42.2639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-1.0977674733314569E-2</v>
      </c>
      <c r="V171" s="9"/>
      <c r="W171" s="10"/>
      <c r="X171" s="29"/>
      <c r="Y171" s="24"/>
      <c r="Z171" s="24"/>
      <c r="AA171" s="27"/>
      <c r="AB171" s="24"/>
      <c r="AC171" s="45">
        <f t="shared" si="11"/>
        <v>0.62000000000000455</v>
      </c>
      <c r="AD171" s="45">
        <f t="shared" si="10"/>
        <v>-1.6399999999997306E-2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127.4264</v>
      </c>
      <c r="F172" s="46">
        <v>38.118299999999998</v>
      </c>
      <c r="G172" s="70"/>
      <c r="H172" s="70"/>
      <c r="I172" s="66"/>
      <c r="J172" s="66"/>
      <c r="K172" s="67"/>
      <c r="L172" s="29"/>
      <c r="M172" s="46">
        <v>126.4584</v>
      </c>
      <c r="N172" s="46">
        <v>38.225299999999997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0.96800000000000352</v>
      </c>
      <c r="AD172" s="46">
        <f t="shared" si="10"/>
        <v>-0.10699999999999932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59.783200000000001</v>
      </c>
      <c r="F173" s="46">
        <v>34.923099999999998</v>
      </c>
      <c r="G173" s="70"/>
      <c r="H173" s="70"/>
      <c r="I173" s="66"/>
      <c r="J173" s="66"/>
      <c r="K173" s="67"/>
      <c r="L173" s="29"/>
      <c r="M173" s="46">
        <v>59.166400000000003</v>
      </c>
      <c r="N173" s="46">
        <v>34.817999999999998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0.61679999999999779</v>
      </c>
      <c r="AD173" s="46">
        <f t="shared" si="10"/>
        <v>0.10510000000000019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27.898399999999999</v>
      </c>
      <c r="F174" s="46">
        <v>31.8809</v>
      </c>
      <c r="G174" s="70"/>
      <c r="H174" s="70"/>
      <c r="I174" s="66"/>
      <c r="J174" s="66"/>
      <c r="K174" s="67"/>
      <c r="L174" s="29"/>
      <c r="M174" s="46">
        <v>27.669599999999999</v>
      </c>
      <c r="N174" s="46">
        <v>31.885000000000002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0.22879999999999967</v>
      </c>
      <c r="AD174" s="46">
        <f t="shared" si="10"/>
        <v>-4.1000000000011028E-3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111.46080000000001</v>
      </c>
      <c r="F175" s="45">
        <v>41.415999999999997</v>
      </c>
      <c r="G175" s="78"/>
      <c r="H175" s="78"/>
      <c r="I175" s="79"/>
      <c r="J175" s="79"/>
      <c r="K175" s="80"/>
      <c r="L175" s="29"/>
      <c r="M175" s="45">
        <v>112.1784</v>
      </c>
      <c r="N175" s="45">
        <v>41.382199999999997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-1.7918017155327259E-3</v>
      </c>
      <c r="V175" s="9"/>
      <c r="W175" s="10"/>
      <c r="X175" s="29"/>
      <c r="Y175" s="24"/>
      <c r="Z175" s="24"/>
      <c r="AA175" s="27"/>
      <c r="AB175" s="24"/>
      <c r="AC175" s="45">
        <f t="shared" si="11"/>
        <v>-0.71759999999999025</v>
      </c>
      <c r="AD175" s="45">
        <f t="shared" si="10"/>
        <v>3.3799999999999386E-2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36.4544</v>
      </c>
      <c r="F176" s="46">
        <v>37.405299999999997</v>
      </c>
      <c r="G176" s="70"/>
      <c r="H176" s="70"/>
      <c r="I176" s="66"/>
      <c r="J176" s="66"/>
      <c r="K176" s="67"/>
      <c r="L176" s="29"/>
      <c r="M176" s="46">
        <v>36.117600000000003</v>
      </c>
      <c r="N176" s="46">
        <v>37.552199999999999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0.33679999999999666</v>
      </c>
      <c r="AD176" s="46">
        <f t="shared" si="10"/>
        <v>-0.14690000000000225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16.4664</v>
      </c>
      <c r="F177" s="46">
        <v>34.215000000000003</v>
      </c>
      <c r="G177" s="70"/>
      <c r="H177" s="70"/>
      <c r="I177" s="66"/>
      <c r="J177" s="66"/>
      <c r="K177" s="67"/>
      <c r="L177" s="29"/>
      <c r="M177" s="46">
        <v>16.833600000000001</v>
      </c>
      <c r="N177" s="46">
        <v>34.114699999999999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-0.36720000000000041</v>
      </c>
      <c r="AD177" s="46">
        <f t="shared" si="10"/>
        <v>0.10030000000000427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8.1167999999999996</v>
      </c>
      <c r="F178" s="46">
        <v>31.261700000000001</v>
      </c>
      <c r="G178" s="70"/>
      <c r="H178" s="70"/>
      <c r="I178" s="66"/>
      <c r="J178" s="66"/>
      <c r="K178" s="67"/>
      <c r="L178" s="29"/>
      <c r="M178" s="46">
        <v>8.2416</v>
      </c>
      <c r="N178" s="46">
        <v>31.293299999999999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-0.12480000000000047</v>
      </c>
      <c r="AD178" s="46">
        <f t="shared" si="10"/>
        <v>-3.1599999999997408E-2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114.4432</v>
      </c>
      <c r="F179" s="45">
        <v>41.4283</v>
      </c>
      <c r="G179" s="78"/>
      <c r="H179" s="78"/>
      <c r="I179" s="79"/>
      <c r="J179" s="79"/>
      <c r="K179" s="80"/>
      <c r="L179" s="29"/>
      <c r="M179" s="45">
        <v>114.8856</v>
      </c>
      <c r="N179" s="45">
        <v>41.415100000000002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-1.8912507002729284E-2</v>
      </c>
      <c r="V179" s="9"/>
      <c r="W179" s="10"/>
      <c r="X179" s="29"/>
      <c r="Y179" s="24"/>
      <c r="Z179" s="24"/>
      <c r="AA179" s="27"/>
      <c r="AB179" s="24"/>
      <c r="AC179" s="45">
        <f t="shared" si="11"/>
        <v>-0.44239999999999213</v>
      </c>
      <c r="AD179" s="45">
        <f t="shared" si="10"/>
        <v>1.3199999999997658E-2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37.170400000000001</v>
      </c>
      <c r="F180" s="46">
        <v>37.542700000000004</v>
      </c>
      <c r="G180" s="70"/>
      <c r="H180" s="70"/>
      <c r="I180" s="66"/>
      <c r="J180" s="66"/>
      <c r="K180" s="67"/>
      <c r="L180" s="29"/>
      <c r="M180" s="46">
        <v>36.619999999999997</v>
      </c>
      <c r="N180" s="46">
        <v>37.627200000000002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0.55040000000000333</v>
      </c>
      <c r="AD180" s="46">
        <f t="shared" si="10"/>
        <v>-8.4499999999998465E-2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16.871200000000002</v>
      </c>
      <c r="F181" s="46">
        <v>34.496299999999998</v>
      </c>
      <c r="G181" s="70"/>
      <c r="H181" s="70"/>
      <c r="I181" s="66"/>
      <c r="J181" s="66"/>
      <c r="K181" s="67"/>
      <c r="L181" s="29"/>
      <c r="M181" s="46">
        <v>16.360800000000001</v>
      </c>
      <c r="N181" s="46">
        <v>34.439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0.51040000000000063</v>
      </c>
      <c r="AD181" s="46">
        <f t="shared" si="10"/>
        <v>5.7299999999997908E-2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8.3064</v>
      </c>
      <c r="F182" s="46">
        <v>31.535799999999998</v>
      </c>
      <c r="G182" s="70"/>
      <c r="H182" s="70"/>
      <c r="I182" s="66"/>
      <c r="J182" s="66"/>
      <c r="K182" s="67"/>
      <c r="L182" s="29"/>
      <c r="M182" s="46">
        <v>8.4488000000000003</v>
      </c>
      <c r="N182" s="46">
        <v>31.5669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-0.1424000000000003</v>
      </c>
      <c r="AD182" s="46">
        <f t="shared" si="10"/>
        <v>-3.1100000000002126E-2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39.551200000000001</v>
      </c>
      <c r="G183" s="45">
        <v>46.494199999999999</v>
      </c>
      <c r="H183" s="45">
        <v>46.401299999999999</v>
      </c>
      <c r="I183" s="79"/>
      <c r="J183" s="79"/>
      <c r="K183" s="80"/>
      <c r="L183" s="29"/>
      <c r="M183" s="78"/>
      <c r="N183" s="45">
        <v>39.551600000000001</v>
      </c>
      <c r="O183" s="45">
        <v>46.465499999999999</v>
      </c>
      <c r="P183" s="45">
        <v>46.402500000000003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-3.9999999999906777E-4</v>
      </c>
      <c r="AE183" s="45">
        <f t="shared" si="10"/>
        <v>2.8700000000000614E-2</v>
      </c>
      <c r="AF183" s="45">
        <f t="shared" si="10"/>
        <v>-1.2000000000043087E-3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37.376899999999999</v>
      </c>
      <c r="G184" s="46">
        <v>44.648099999999999</v>
      </c>
      <c r="H184" s="46">
        <v>44.977600000000002</v>
      </c>
      <c r="I184" s="66"/>
      <c r="J184" s="66"/>
      <c r="K184" s="67"/>
      <c r="L184" s="29"/>
      <c r="M184" s="70"/>
      <c r="N184" s="46">
        <v>37.369799999999998</v>
      </c>
      <c r="O184" s="46">
        <v>44.656100000000002</v>
      </c>
      <c r="P184" s="46">
        <v>44.972700000000003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7.1000000000012164E-3</v>
      </c>
      <c r="AE184" s="46">
        <f t="shared" si="10"/>
        <v>-8.0000000000026716E-3</v>
      </c>
      <c r="AF184" s="46">
        <f t="shared" si="10"/>
        <v>4.8999999999992383E-3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35.328200000000002</v>
      </c>
      <c r="G185" s="46">
        <v>42.742100000000001</v>
      </c>
      <c r="H185" s="46">
        <v>43.296599999999998</v>
      </c>
      <c r="I185" s="66"/>
      <c r="J185" s="66"/>
      <c r="K185" s="67"/>
      <c r="L185" s="29"/>
      <c r="M185" s="70"/>
      <c r="N185" s="46">
        <v>35.336100000000002</v>
      </c>
      <c r="O185" s="46">
        <v>42.714199999999998</v>
      </c>
      <c r="P185" s="46">
        <v>43.3292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-7.899999999999352E-3</v>
      </c>
      <c r="AE185" s="46">
        <f t="shared" si="10"/>
        <v>2.7900000000002478E-2</v>
      </c>
      <c r="AF185" s="46">
        <f t="shared" si="10"/>
        <v>-3.2600000000002183E-2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33.239400000000003</v>
      </c>
      <c r="G186" s="72">
        <v>41.361199999999997</v>
      </c>
      <c r="H186" s="72">
        <v>42.051400000000001</v>
      </c>
      <c r="I186" s="68"/>
      <c r="J186" s="68"/>
      <c r="K186" s="69"/>
      <c r="L186" s="29"/>
      <c r="M186" s="81"/>
      <c r="N186" s="72">
        <v>33.235399999999998</v>
      </c>
      <c r="O186" s="72">
        <v>41.336599999999997</v>
      </c>
      <c r="P186" s="72">
        <v>42.0197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4.0000000000048885E-3</v>
      </c>
      <c r="AE186" s="72">
        <f t="shared" si="10"/>
        <v>2.4599999999999511E-2</v>
      </c>
      <c r="AF186" s="72">
        <f t="shared" si="10"/>
        <v>3.1700000000000728E-2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39.697899999999997</v>
      </c>
      <c r="G187" s="45">
        <v>46.295499999999997</v>
      </c>
      <c r="H187" s="45">
        <v>46.741100000000003</v>
      </c>
      <c r="I187" s="66"/>
      <c r="J187" s="66"/>
      <c r="K187" s="67"/>
      <c r="L187" s="29"/>
      <c r="M187" s="70"/>
      <c r="N187" s="45">
        <v>39.696300000000001</v>
      </c>
      <c r="O187" s="45">
        <v>46.271999999999998</v>
      </c>
      <c r="P187" s="45">
        <v>46.731200000000001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1.5999999999962711E-3</v>
      </c>
      <c r="AE187" s="45">
        <f t="shared" si="10"/>
        <v>2.3499999999998522E-2</v>
      </c>
      <c r="AF187" s="45">
        <f t="shared" si="10"/>
        <v>9.9000000000017963E-3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37.489100000000001</v>
      </c>
      <c r="G188" s="46">
        <v>44.593600000000002</v>
      </c>
      <c r="H188" s="46">
        <v>45.151200000000003</v>
      </c>
      <c r="I188" s="66"/>
      <c r="J188" s="66"/>
      <c r="K188" s="67"/>
      <c r="L188" s="29"/>
      <c r="M188" s="70"/>
      <c r="N188" s="46">
        <v>37.481499999999997</v>
      </c>
      <c r="O188" s="46">
        <v>44.595399999999998</v>
      </c>
      <c r="P188" s="46">
        <v>45.1571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7.6000000000036039E-3</v>
      </c>
      <c r="AE188" s="46">
        <f t="shared" si="10"/>
        <v>-1.799999999995805E-3</v>
      </c>
      <c r="AF188" s="46">
        <f t="shared" si="10"/>
        <v>-5.8999999999969077E-3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35.394799999999996</v>
      </c>
      <c r="G189" s="46">
        <v>42.7943</v>
      </c>
      <c r="H189" s="46">
        <v>43.402200000000001</v>
      </c>
      <c r="I189" s="66"/>
      <c r="J189" s="66"/>
      <c r="K189" s="67"/>
      <c r="L189" s="29"/>
      <c r="M189" s="70"/>
      <c r="N189" s="46">
        <v>35.402799999999999</v>
      </c>
      <c r="O189" s="46">
        <v>42.759300000000003</v>
      </c>
      <c r="P189" s="46">
        <v>43.415700000000001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-8.0000000000026716E-3</v>
      </c>
      <c r="AE189" s="46">
        <f t="shared" si="10"/>
        <v>3.4999999999996589E-2</v>
      </c>
      <c r="AF189" s="46">
        <f t="shared" si="10"/>
        <v>-1.3500000000000512E-2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33.282899999999998</v>
      </c>
      <c r="G190" s="72">
        <v>41.466099999999997</v>
      </c>
      <c r="H190" s="72">
        <v>42.1419</v>
      </c>
      <c r="I190" s="68"/>
      <c r="J190" s="68"/>
      <c r="K190" s="69"/>
      <c r="L190" s="29"/>
      <c r="M190" s="81"/>
      <c r="N190" s="46">
        <v>33.272599999999997</v>
      </c>
      <c r="O190" s="72">
        <v>41.458300000000001</v>
      </c>
      <c r="P190" s="72">
        <v>42.089300000000001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1.0300000000000864E-2</v>
      </c>
      <c r="AE190" s="46">
        <f t="shared" si="10"/>
        <v>7.7999999999960323E-3</v>
      </c>
      <c r="AF190" s="46">
        <f t="shared" si="10"/>
        <v>5.2599999999998204E-2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40.005099999999999</v>
      </c>
      <c r="G191" s="45">
        <v>46.920299999999997</v>
      </c>
      <c r="H191" s="45">
        <v>47.761000000000003</v>
      </c>
      <c r="I191" s="66"/>
      <c r="J191" s="66"/>
      <c r="K191" s="67"/>
      <c r="L191" s="29"/>
      <c r="M191" s="70"/>
      <c r="N191" s="45">
        <v>40.003300000000003</v>
      </c>
      <c r="O191" s="45">
        <v>46.905200000000001</v>
      </c>
      <c r="P191" s="45">
        <v>47.760899999999999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1.799999999995805E-3</v>
      </c>
      <c r="AE191" s="45">
        <f t="shared" si="10"/>
        <v>1.5099999999996783E-2</v>
      </c>
      <c r="AF191" s="45">
        <f t="shared" si="10"/>
        <v>1.0000000000331966E-4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37.676200000000001</v>
      </c>
      <c r="G192" s="46">
        <v>45.012500000000003</v>
      </c>
      <c r="H192" s="46">
        <v>45.840600000000002</v>
      </c>
      <c r="I192" s="66"/>
      <c r="J192" s="66"/>
      <c r="K192" s="67"/>
      <c r="L192" s="29"/>
      <c r="M192" s="70"/>
      <c r="N192" s="46">
        <v>37.676600000000001</v>
      </c>
      <c r="O192" s="46">
        <v>45.0212</v>
      </c>
      <c r="P192" s="46">
        <v>45.833199999999998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-3.9999999999906777E-4</v>
      </c>
      <c r="AE192" s="46">
        <f t="shared" si="10"/>
        <v>-8.6999999999974875E-3</v>
      </c>
      <c r="AF192" s="46">
        <f t="shared" si="10"/>
        <v>7.40000000000407E-3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35.546399999999998</v>
      </c>
      <c r="G193" s="46">
        <v>43.024900000000002</v>
      </c>
      <c r="H193" s="46">
        <v>43.811500000000002</v>
      </c>
      <c r="I193" s="66"/>
      <c r="J193" s="66"/>
      <c r="K193" s="67"/>
      <c r="L193" s="29"/>
      <c r="M193" s="70"/>
      <c r="N193" s="46">
        <v>35.547800000000002</v>
      </c>
      <c r="O193" s="46">
        <v>43.010399999999997</v>
      </c>
      <c r="P193" s="46">
        <v>43.8172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-1.4000000000038426E-3</v>
      </c>
      <c r="AE193" s="46">
        <f t="shared" si="10"/>
        <v>1.4500000000005286E-2</v>
      </c>
      <c r="AF193" s="46">
        <f t="shared" si="10"/>
        <v>-5.6999999999973738E-3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33.411000000000001</v>
      </c>
      <c r="G194" s="72">
        <v>41.612099999999998</v>
      </c>
      <c r="H194" s="72">
        <v>42.4407</v>
      </c>
      <c r="I194" s="68"/>
      <c r="J194" s="68"/>
      <c r="K194" s="69"/>
      <c r="L194" s="29"/>
      <c r="M194" s="81"/>
      <c r="N194" s="46">
        <v>33.401200000000003</v>
      </c>
      <c r="O194" s="72">
        <v>41.627800000000001</v>
      </c>
      <c r="P194" s="72">
        <v>42.399000000000001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9.7999999999984766E-3</v>
      </c>
      <c r="AE194" s="46">
        <f t="shared" si="10"/>
        <v>-1.570000000000249E-2</v>
      </c>
      <c r="AF194" s="46">
        <f t="shared" si="10"/>
        <v>4.1699999999998738E-2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39.981999999999999</v>
      </c>
      <c r="G195" s="45">
        <v>46.9236</v>
      </c>
      <c r="H195" s="45">
        <v>47.753</v>
      </c>
      <c r="I195" s="66"/>
      <c r="J195" s="66"/>
      <c r="K195" s="67"/>
      <c r="L195" s="29"/>
      <c r="M195" s="70"/>
      <c r="N195" s="45">
        <v>39.982700000000001</v>
      </c>
      <c r="O195" s="45">
        <v>46.906799999999997</v>
      </c>
      <c r="P195" s="45">
        <v>47.752899999999997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-7.0000000000192131E-4</v>
      </c>
      <c r="AE195" s="45">
        <f t="shared" si="10"/>
        <v>1.6800000000003479E-2</v>
      </c>
      <c r="AF195" s="45">
        <f t="shared" si="10"/>
        <v>1.0000000000331966E-4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37.658799999999999</v>
      </c>
      <c r="G196" s="46">
        <v>45.016300000000001</v>
      </c>
      <c r="H196" s="46">
        <v>45.827800000000003</v>
      </c>
      <c r="I196" s="66"/>
      <c r="J196" s="66"/>
      <c r="K196" s="67"/>
      <c r="L196" s="29"/>
      <c r="M196" s="70"/>
      <c r="N196" s="46">
        <v>37.654699999999998</v>
      </c>
      <c r="O196" s="46">
        <v>45.021500000000003</v>
      </c>
      <c r="P196" s="46">
        <v>45.8172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4.1000000000011028E-3</v>
      </c>
      <c r="AE196" s="46">
        <f t="shared" si="10"/>
        <v>-5.2000000000020918E-3</v>
      </c>
      <c r="AF196" s="46">
        <f t="shared" si="10"/>
        <v>1.0600000000003718E-2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35.53</v>
      </c>
      <c r="G197" s="46">
        <v>43.020899999999997</v>
      </c>
      <c r="H197" s="46">
        <v>43.793500000000002</v>
      </c>
      <c r="I197" s="66"/>
      <c r="J197" s="66"/>
      <c r="K197" s="67"/>
      <c r="L197" s="29"/>
      <c r="M197" s="70"/>
      <c r="N197" s="46">
        <v>35.534100000000002</v>
      </c>
      <c r="O197" s="46">
        <v>43.009500000000003</v>
      </c>
      <c r="P197" s="46">
        <v>43.799700000000001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-4.1000000000011028E-3</v>
      </c>
      <c r="AE197" s="46">
        <f t="shared" si="10"/>
        <v>1.1399999999994748E-2</v>
      </c>
      <c r="AF197" s="46">
        <f t="shared" si="10"/>
        <v>-6.1999999999997613E-3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33.402000000000001</v>
      </c>
      <c r="G198" s="72">
        <v>41.597299999999997</v>
      </c>
      <c r="H198" s="72">
        <v>42.416800000000002</v>
      </c>
      <c r="I198" s="68"/>
      <c r="J198" s="68"/>
      <c r="K198" s="69"/>
      <c r="L198" s="29"/>
      <c r="M198" s="81"/>
      <c r="N198" s="46">
        <v>33.395000000000003</v>
      </c>
      <c r="O198" s="72">
        <v>41.616100000000003</v>
      </c>
      <c r="P198" s="72">
        <v>42.380400000000002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6.9999999999978968E-3</v>
      </c>
      <c r="AE198" s="46">
        <f t="shared" si="10"/>
        <v>-1.8800000000005923E-2</v>
      </c>
      <c r="AF198" s="46">
        <f t="shared" si="10"/>
        <v>3.6400000000000432E-2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39.696199999999997</v>
      </c>
      <c r="G199" s="45">
        <v>46.232999999999997</v>
      </c>
      <c r="H199" s="45">
        <v>46.940100000000001</v>
      </c>
      <c r="I199" s="66"/>
      <c r="J199" s="66"/>
      <c r="K199" s="67"/>
      <c r="L199" s="29"/>
      <c r="M199" s="70"/>
      <c r="N199" s="45">
        <v>39.684600000000003</v>
      </c>
      <c r="O199" s="45">
        <v>46.210599999999999</v>
      </c>
      <c r="P199" s="45">
        <v>46.940800000000003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1.1599999999994282E-2</v>
      </c>
      <c r="AE199" s="45">
        <f t="shared" si="10"/>
        <v>2.2399999999997533E-2</v>
      </c>
      <c r="AF199" s="45">
        <f t="shared" si="10"/>
        <v>-7.0000000000192131E-4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37.4587</v>
      </c>
      <c r="G200" s="46">
        <v>44.584800000000001</v>
      </c>
      <c r="H200" s="46">
        <v>45.245199999999997</v>
      </c>
      <c r="I200" s="66"/>
      <c r="J200" s="66"/>
      <c r="K200" s="67"/>
      <c r="L200" s="29"/>
      <c r="M200" s="70"/>
      <c r="N200" s="46">
        <v>37.448399999999999</v>
      </c>
      <c r="O200" s="46">
        <v>44.576500000000003</v>
      </c>
      <c r="P200" s="46">
        <v>45.236800000000002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1.0300000000000864E-2</v>
      </c>
      <c r="AE200" s="46">
        <f t="shared" si="10"/>
        <v>8.2999999999984198E-3</v>
      </c>
      <c r="AF200" s="46">
        <f t="shared" si="10"/>
        <v>8.399999999994634E-3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35.3703</v>
      </c>
      <c r="G201" s="46">
        <v>42.713299999999997</v>
      </c>
      <c r="H201" s="46">
        <v>43.412300000000002</v>
      </c>
      <c r="I201" s="66"/>
      <c r="J201" s="66"/>
      <c r="K201" s="67"/>
      <c r="L201" s="29"/>
      <c r="M201" s="70"/>
      <c r="N201" s="46">
        <v>35.375900000000001</v>
      </c>
      <c r="O201" s="46">
        <v>42.709200000000003</v>
      </c>
      <c r="P201" s="46">
        <v>43.414299999999997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-5.6000000000011596E-3</v>
      </c>
      <c r="AE201" s="46">
        <f t="shared" si="10"/>
        <v>4.0999999999939973E-3</v>
      </c>
      <c r="AF201" s="46">
        <f t="shared" si="10"/>
        <v>-1.9999999999953388E-3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33.2622</v>
      </c>
      <c r="G202" s="72">
        <v>41.321800000000003</v>
      </c>
      <c r="H202" s="72">
        <v>42.106200000000001</v>
      </c>
      <c r="I202" s="68"/>
      <c r="J202" s="68"/>
      <c r="K202" s="69"/>
      <c r="L202" s="29"/>
      <c r="M202" s="81"/>
      <c r="N202" s="72">
        <v>33.252600000000001</v>
      </c>
      <c r="O202" s="72">
        <v>41.351599999999998</v>
      </c>
      <c r="P202" s="72">
        <v>42.1081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9.5999999999989427E-3</v>
      </c>
      <c r="AE202" s="72">
        <f t="shared" si="10"/>
        <v>-2.9799999999994498E-2</v>
      </c>
      <c r="AF202" s="72">
        <f t="shared" si="10"/>
        <v>-1.8999999999991246E-3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39.526600000000002</v>
      </c>
      <c r="G203" s="45">
        <v>46.2896</v>
      </c>
      <c r="H203" s="45">
        <v>46.4754</v>
      </c>
      <c r="I203" s="66"/>
      <c r="J203" s="66"/>
      <c r="K203" s="67"/>
      <c r="L203" s="29"/>
      <c r="M203" s="70"/>
      <c r="N203" s="45">
        <v>39.527799999999999</v>
      </c>
      <c r="O203" s="45">
        <v>46.271700000000003</v>
      </c>
      <c r="P203" s="45">
        <v>46.507899999999999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-1.1999999999972033E-3</v>
      </c>
      <c r="AE203" s="45">
        <f t="shared" si="10"/>
        <v>1.7899999999997362E-2</v>
      </c>
      <c r="AF203" s="45">
        <f t="shared" si="10"/>
        <v>-3.2499999999998863E-2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37.325099999999999</v>
      </c>
      <c r="G204" s="46">
        <v>44.503999999999998</v>
      </c>
      <c r="H204" s="46">
        <v>44.9131</v>
      </c>
      <c r="I204" s="66"/>
      <c r="J204" s="66"/>
      <c r="K204" s="67"/>
      <c r="L204" s="29"/>
      <c r="M204" s="70"/>
      <c r="N204" s="46">
        <v>37.326700000000002</v>
      </c>
      <c r="O204" s="46">
        <v>44.507899999999999</v>
      </c>
      <c r="P204" s="46">
        <v>44.917000000000002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-1.6000000000033765E-3</v>
      </c>
      <c r="AE204" s="46">
        <f t="shared" si="10"/>
        <v>-3.9000000000015689E-3</v>
      </c>
      <c r="AF204" s="46">
        <f t="shared" si="10"/>
        <v>-3.9000000000015689E-3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35.283900000000003</v>
      </c>
      <c r="G205" s="46">
        <v>42.5578</v>
      </c>
      <c r="H205" s="46">
        <v>43.1389</v>
      </c>
      <c r="I205" s="66"/>
      <c r="J205" s="66"/>
      <c r="K205" s="67"/>
      <c r="L205" s="29"/>
      <c r="M205" s="70"/>
      <c r="N205" s="46">
        <v>35.290199999999999</v>
      </c>
      <c r="O205" s="46">
        <v>42.5501</v>
      </c>
      <c r="P205" s="46">
        <v>43.122500000000002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-6.2999999999959755E-3</v>
      </c>
      <c r="AE205" s="46">
        <f t="shared" si="10"/>
        <v>7.6999999999998181E-3</v>
      </c>
      <c r="AF205" s="46">
        <f t="shared" si="10"/>
        <v>1.6399999999997306E-2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33.207299999999996</v>
      </c>
      <c r="G206" s="72">
        <v>41.133400000000002</v>
      </c>
      <c r="H206" s="72">
        <v>41.873399999999997</v>
      </c>
      <c r="I206" s="68"/>
      <c r="J206" s="68"/>
      <c r="K206" s="69"/>
      <c r="L206" s="29"/>
      <c r="M206" s="81"/>
      <c r="N206" s="72">
        <v>33.200699999999998</v>
      </c>
      <c r="O206" s="72">
        <v>41.139400000000002</v>
      </c>
      <c r="P206" s="72">
        <v>41.880499999999998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6.599999999998829E-3</v>
      </c>
      <c r="AE206" s="72">
        <f t="shared" si="10"/>
        <v>-6.0000000000002274E-3</v>
      </c>
      <c r="AF206" s="72">
        <f t="shared" si="10"/>
        <v>-7.1000000000012164E-3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5594.9672</v>
      </c>
      <c r="F207" s="70"/>
      <c r="G207" s="70"/>
      <c r="H207" s="70"/>
      <c r="I207" s="45">
        <v>70190.460000000006</v>
      </c>
      <c r="J207" s="45">
        <v>59.85</v>
      </c>
      <c r="K207" s="45">
        <v>775.62</v>
      </c>
      <c r="L207" s="29"/>
      <c r="M207" s="45">
        <v>5596.9152000000004</v>
      </c>
      <c r="N207" s="70"/>
      <c r="O207" s="70"/>
      <c r="P207" s="70"/>
      <c r="Q207" s="45">
        <v>70341.19</v>
      </c>
      <c r="R207" s="45">
        <v>60.91</v>
      </c>
      <c r="S207" s="45">
        <v>752.16</v>
      </c>
      <c r="U207" s="8"/>
      <c r="V207" s="9"/>
      <c r="W207" s="10"/>
      <c r="X207" s="29"/>
      <c r="Y207" s="61">
        <f>GEOMEAN(Q207:Q210)/GEOMEAN(I207:I210)</f>
        <v>1.0052018776240152</v>
      </c>
      <c r="Z207" s="61">
        <f>GEOMEAN(R207:R210)/GEOMEAN(J207:J210)</f>
        <v>1.0077866968737481</v>
      </c>
      <c r="AA207" s="57">
        <f>GEOMEAN(S207:S210)/GEOMEAN(K207:K210)</f>
        <v>0.9950555032842604</v>
      </c>
      <c r="AC207" s="45">
        <f>E207 -M207</f>
        <v>-1.9480000000003201</v>
      </c>
      <c r="AD207" s="70"/>
      <c r="AE207" s="70"/>
      <c r="AF207" s="70"/>
      <c r="AG207" s="45">
        <f t="shared" ref="AG207:AI210" si="12">I207 -Q207</f>
        <v>-150.72999999999593</v>
      </c>
      <c r="AH207" s="45">
        <f t="shared" si="12"/>
        <v>-1.0599999999999952</v>
      </c>
      <c r="AI207" s="45">
        <f t="shared" si="12"/>
        <v>23.460000000000036</v>
      </c>
    </row>
    <row r="208" spans="2:35" ht="12">
      <c r="B208" s="36"/>
      <c r="C208" s="29"/>
      <c r="D208" s="32">
        <v>30</v>
      </c>
      <c r="E208" s="46">
        <v>2313.2903999999999</v>
      </c>
      <c r="F208" s="70"/>
      <c r="G208" s="70"/>
      <c r="H208" s="70"/>
      <c r="I208" s="46">
        <v>65696.3</v>
      </c>
      <c r="J208" s="46">
        <v>51.15</v>
      </c>
      <c r="K208" s="46">
        <v>751.5</v>
      </c>
      <c r="L208" s="29"/>
      <c r="M208" s="46">
        <v>2308.6368000000002</v>
      </c>
      <c r="N208" s="70"/>
      <c r="O208" s="70"/>
      <c r="P208" s="70"/>
      <c r="Q208" s="46">
        <v>66030.17</v>
      </c>
      <c r="R208" s="46">
        <v>51.42</v>
      </c>
      <c r="S208" s="46">
        <v>762.86</v>
      </c>
      <c r="U208" s="41"/>
      <c r="V208" s="42"/>
      <c r="W208" s="43"/>
      <c r="X208" s="29"/>
      <c r="Y208" s="24"/>
      <c r="Z208" s="24"/>
      <c r="AA208" s="27"/>
      <c r="AC208" s="46">
        <f>E208 -M208</f>
        <v>4.653599999999642</v>
      </c>
      <c r="AD208" s="70"/>
      <c r="AE208" s="70"/>
      <c r="AF208" s="70"/>
      <c r="AG208" s="46">
        <f t="shared" si="12"/>
        <v>-333.86999999999534</v>
      </c>
      <c r="AH208" s="46">
        <f t="shared" si="12"/>
        <v>-0.27000000000000313</v>
      </c>
      <c r="AI208" s="46">
        <f t="shared" si="12"/>
        <v>-11.360000000000014</v>
      </c>
    </row>
    <row r="209" spans="1:35" ht="12">
      <c r="B209" s="36"/>
      <c r="C209" s="29"/>
      <c r="D209" s="32">
        <v>35</v>
      </c>
      <c r="E209" s="46">
        <v>1073.2808</v>
      </c>
      <c r="F209" s="70"/>
      <c r="G209" s="70"/>
      <c r="H209" s="70"/>
      <c r="I209" s="46">
        <v>63815.54</v>
      </c>
      <c r="J209" s="46">
        <v>46.79</v>
      </c>
      <c r="K209" s="46">
        <v>757.25</v>
      </c>
      <c r="L209" s="29"/>
      <c r="M209" s="46">
        <v>1072.1496</v>
      </c>
      <c r="N209" s="70"/>
      <c r="O209" s="70"/>
      <c r="P209" s="70"/>
      <c r="Q209" s="46">
        <v>64532.03</v>
      </c>
      <c r="R209" s="46">
        <v>47.9</v>
      </c>
      <c r="S209" s="46">
        <v>753.31</v>
      </c>
      <c r="U209" s="17"/>
      <c r="V209" s="18"/>
      <c r="W209" s="19"/>
      <c r="X209" s="29"/>
      <c r="Y209" s="24"/>
      <c r="Z209" s="24"/>
      <c r="AA209" s="27"/>
      <c r="AC209" s="46">
        <f>E209 -M209</f>
        <v>1.1312000000000353</v>
      </c>
      <c r="AD209" s="70"/>
      <c r="AE209" s="70"/>
      <c r="AF209" s="70"/>
      <c r="AG209" s="46">
        <f t="shared" si="12"/>
        <v>-716.48999999999796</v>
      </c>
      <c r="AH209" s="46">
        <f t="shared" si="12"/>
        <v>-1.1099999999999994</v>
      </c>
      <c r="AI209" s="46">
        <f t="shared" si="12"/>
        <v>3.9400000000000546</v>
      </c>
    </row>
    <row r="210" spans="1:35" ht="12.75" thickBot="1">
      <c r="B210" s="52"/>
      <c r="C210" s="53"/>
      <c r="D210" s="71">
        <v>40</v>
      </c>
      <c r="E210" s="72">
        <v>517.82640000000004</v>
      </c>
      <c r="F210" s="81"/>
      <c r="G210" s="81"/>
      <c r="H210" s="81"/>
      <c r="I210" s="72">
        <v>62709.49</v>
      </c>
      <c r="J210" s="72">
        <v>45.62</v>
      </c>
      <c r="K210" s="72">
        <v>754.2</v>
      </c>
      <c r="L210" s="29"/>
      <c r="M210" s="72">
        <v>518.2432</v>
      </c>
      <c r="N210" s="81"/>
      <c r="O210" s="81"/>
      <c r="P210" s="81"/>
      <c r="Q210" s="72">
        <v>62858.559999999998</v>
      </c>
      <c r="R210" s="72">
        <v>44.93</v>
      </c>
      <c r="S210" s="72">
        <v>755.03</v>
      </c>
      <c r="U210" s="85"/>
      <c r="V210" s="86"/>
      <c r="W210" s="87"/>
      <c r="X210" s="29"/>
      <c r="Y210" s="49"/>
      <c r="Z210" s="49"/>
      <c r="AA210" s="54"/>
      <c r="AC210" s="72">
        <f>E210 -M210</f>
        <v>-0.41679999999996653</v>
      </c>
      <c r="AD210" s="81"/>
      <c r="AE210" s="81"/>
      <c r="AF210" s="81"/>
      <c r="AG210" s="72">
        <f t="shared" si="12"/>
        <v>-149.06999999999971</v>
      </c>
      <c r="AH210" s="72">
        <f t="shared" si="12"/>
        <v>0.68999999999999773</v>
      </c>
      <c r="AI210" s="72">
        <f t="shared" si="12"/>
        <v>-0.82999999999992724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807.08299999999997</v>
      </c>
      <c r="F211" s="45">
        <v>42.1143</v>
      </c>
      <c r="G211" s="45">
        <v>48.423099999999998</v>
      </c>
      <c r="H211" s="45">
        <v>48.136800000000001</v>
      </c>
      <c r="I211" s="79"/>
      <c r="J211" s="79"/>
      <c r="K211" s="80"/>
      <c r="L211" s="29"/>
      <c r="M211" s="45">
        <v>808.10900000000004</v>
      </c>
      <c r="N211" s="45">
        <v>42.115400000000001</v>
      </c>
      <c r="O211" s="45">
        <v>48.415300000000002</v>
      </c>
      <c r="P211" s="45">
        <v>48.146799999999999</v>
      </c>
      <c r="Q211" s="79"/>
      <c r="R211" s="79"/>
      <c r="S211" s="80"/>
      <c r="U211" s="8">
        <f>bdrate($E211:$E214,F211:F214,$M211:$M214,N211:N214)</f>
        <v>-9.5522648552759382E-4</v>
      </c>
      <c r="V211" s="9">
        <f>bdrate($E211:$E214,G211:G214,$M211:$M214,O211:O214)</f>
        <v>-7.207694603034831E-3</v>
      </c>
      <c r="W211" s="10">
        <f>bdrate($E211:$E214,H211:H214,$M211:$M214,P211:P214)</f>
        <v>-1.4632022368448183E-3</v>
      </c>
      <c r="X211" s="29"/>
      <c r="Y211" s="22"/>
      <c r="Z211" s="22"/>
      <c r="AA211" s="26"/>
      <c r="AC211" s="45">
        <f>E211 -M211</f>
        <v>-1.0260000000000673</v>
      </c>
      <c r="AD211" s="45">
        <f t="shared" ref="AD211:AF258" si="13">F211 -N211</f>
        <v>-1.1000000000009891E-3</v>
      </c>
      <c r="AE211" s="45">
        <f t="shared" si="13"/>
        <v>7.7999999999960323E-3</v>
      </c>
      <c r="AF211" s="45">
        <f t="shared" si="13"/>
        <v>-9.9999999999980105E-3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344.74700000000001</v>
      </c>
      <c r="F212" s="46">
        <v>41.143999999999998</v>
      </c>
      <c r="G212" s="46">
        <v>47.450600000000001</v>
      </c>
      <c r="H212" s="46">
        <v>47.2926</v>
      </c>
      <c r="I212" s="66"/>
      <c r="J212" s="66"/>
      <c r="K212" s="67"/>
      <c r="L212" s="29"/>
      <c r="M212" s="46">
        <v>344.45600000000002</v>
      </c>
      <c r="N212" s="46">
        <v>41.145099999999999</v>
      </c>
      <c r="O212" s="46">
        <v>47.454999999999998</v>
      </c>
      <c r="P212" s="46">
        <v>47.290700000000001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0.29099999999999682</v>
      </c>
      <c r="AD212" s="46">
        <f t="shared" si="13"/>
        <v>-1.1000000000009891E-3</v>
      </c>
      <c r="AE212" s="46">
        <f t="shared" si="13"/>
        <v>-4.3999999999968509E-3</v>
      </c>
      <c r="AF212" s="46">
        <f t="shared" si="13"/>
        <v>1.8999999999991246E-3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176.59700000000001</v>
      </c>
      <c r="F213" s="46">
        <v>39.744599999999998</v>
      </c>
      <c r="G213" s="46">
        <v>46.013300000000001</v>
      </c>
      <c r="H213" s="46">
        <v>45.917499999999997</v>
      </c>
      <c r="I213" s="66"/>
      <c r="J213" s="66"/>
      <c r="K213" s="67"/>
      <c r="L213" s="29"/>
      <c r="M213" s="46">
        <v>176.82</v>
      </c>
      <c r="N213" s="46">
        <v>39.7517</v>
      </c>
      <c r="O213" s="46">
        <v>46.053800000000003</v>
      </c>
      <c r="P213" s="46">
        <v>45.921700000000001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-0.22299999999998477</v>
      </c>
      <c r="AD213" s="46">
        <f t="shared" si="13"/>
        <v>-7.1000000000012164E-3</v>
      </c>
      <c r="AE213" s="46">
        <f t="shared" si="13"/>
        <v>-4.0500000000001535E-2</v>
      </c>
      <c r="AF213" s="46">
        <f t="shared" si="13"/>
        <v>-4.2000000000044224E-3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97.763999999999996</v>
      </c>
      <c r="F214" s="46">
        <v>38.004899999999999</v>
      </c>
      <c r="G214" s="46">
        <v>44.834800000000001</v>
      </c>
      <c r="H214" s="46">
        <v>44.825099999999999</v>
      </c>
      <c r="I214" s="66"/>
      <c r="J214" s="66"/>
      <c r="K214" s="67"/>
      <c r="L214" s="29"/>
      <c r="M214" s="46">
        <v>97.867000000000004</v>
      </c>
      <c r="N214" s="46">
        <v>38.003700000000002</v>
      </c>
      <c r="O214" s="46">
        <v>44.828400000000002</v>
      </c>
      <c r="P214" s="46">
        <v>44.831200000000003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-0.10300000000000864</v>
      </c>
      <c r="AD214" s="46">
        <f t="shared" si="13"/>
        <v>1.1999999999972033E-3</v>
      </c>
      <c r="AE214" s="46">
        <f t="shared" si="13"/>
        <v>6.3999999999992951E-3</v>
      </c>
      <c r="AF214" s="46">
        <f t="shared" si="13"/>
        <v>-6.100000000003547E-3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276.31799999999998</v>
      </c>
      <c r="F215" s="45">
        <v>41.8322</v>
      </c>
      <c r="G215" s="45">
        <v>48.154699999999998</v>
      </c>
      <c r="H215" s="45">
        <v>47.4754</v>
      </c>
      <c r="I215" s="79"/>
      <c r="J215" s="79"/>
      <c r="K215" s="80"/>
      <c r="L215" s="29"/>
      <c r="M215" s="45">
        <v>272.69499999999999</v>
      </c>
      <c r="N215" s="45">
        <v>41.837800000000001</v>
      </c>
      <c r="O215" s="45">
        <v>48.143099999999997</v>
      </c>
      <c r="P215" s="45">
        <v>47.4771</v>
      </c>
      <c r="Q215" s="79"/>
      <c r="R215" s="79"/>
      <c r="S215" s="80"/>
      <c r="U215" s="8">
        <f>bdrate($E215:$E218,F215:F218,$M215:$M218,N215:N218)</f>
        <v>-1.5550160315869199E-3</v>
      </c>
      <c r="V215" s="9">
        <f>bdrate($E215:$E218,G215:G218,$M215:$M218,O215:O218)</f>
        <v>2.4261116427237717E-4</v>
      </c>
      <c r="W215" s="10">
        <f>bdrate($E215:$E218,H215:H218,$M215:$M218,P215:P218)</f>
        <v>-1.2280548682448211E-2</v>
      </c>
      <c r="X215" s="29"/>
      <c r="Y215" s="24"/>
      <c r="Z215" s="24"/>
      <c r="AA215" s="27"/>
      <c r="AC215" s="45">
        <f t="shared" si="14"/>
        <v>3.6229999999999905</v>
      </c>
      <c r="AD215" s="45">
        <f t="shared" si="13"/>
        <v>-5.6000000000011596E-3</v>
      </c>
      <c r="AE215" s="45">
        <f t="shared" si="13"/>
        <v>1.1600000000001387E-2</v>
      </c>
      <c r="AF215" s="45">
        <f t="shared" si="13"/>
        <v>-1.6999999999995907E-3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115.676</v>
      </c>
      <c r="F216" s="46">
        <v>40.813000000000002</v>
      </c>
      <c r="G216" s="46">
        <v>47.056199999999997</v>
      </c>
      <c r="H216" s="46">
        <v>46.528599999999997</v>
      </c>
      <c r="I216" s="66"/>
      <c r="J216" s="66"/>
      <c r="K216" s="67"/>
      <c r="L216" s="29"/>
      <c r="M216" s="46">
        <v>115.86</v>
      </c>
      <c r="N216" s="46">
        <v>40.827599999999997</v>
      </c>
      <c r="O216" s="46">
        <v>47.039900000000003</v>
      </c>
      <c r="P216" s="46">
        <v>46.567500000000003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-0.1839999999999975</v>
      </c>
      <c r="AD216" s="46">
        <f t="shared" si="13"/>
        <v>-1.4599999999994395E-2</v>
      </c>
      <c r="AE216" s="46">
        <f t="shared" si="13"/>
        <v>1.6299999999993986E-2</v>
      </c>
      <c r="AF216" s="46">
        <f t="shared" si="13"/>
        <v>-3.8900000000005264E-2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62.433</v>
      </c>
      <c r="F217" s="46">
        <v>39.357799999999997</v>
      </c>
      <c r="G217" s="46">
        <v>45.8264</v>
      </c>
      <c r="H217" s="46">
        <v>45.482199999999999</v>
      </c>
      <c r="I217" s="66"/>
      <c r="J217" s="66"/>
      <c r="K217" s="67"/>
      <c r="L217" s="29"/>
      <c r="M217" s="46">
        <v>63.006999999999998</v>
      </c>
      <c r="N217" s="46">
        <v>39.3767</v>
      </c>
      <c r="O217" s="46">
        <v>45.879600000000003</v>
      </c>
      <c r="P217" s="46">
        <v>45.504199999999997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-0.57399999999999807</v>
      </c>
      <c r="AD217" s="46">
        <f t="shared" si="13"/>
        <v>-1.8900000000002137E-2</v>
      </c>
      <c r="AE217" s="46">
        <f t="shared" si="13"/>
        <v>-5.3200000000003911E-2</v>
      </c>
      <c r="AF217" s="46">
        <f t="shared" si="13"/>
        <v>-2.1999999999998465E-2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35.89</v>
      </c>
      <c r="F218" s="46">
        <v>37.506500000000003</v>
      </c>
      <c r="G218" s="46">
        <v>44.752800000000001</v>
      </c>
      <c r="H218" s="46">
        <v>44.4617</v>
      </c>
      <c r="I218" s="66"/>
      <c r="J218" s="66"/>
      <c r="K218" s="67"/>
      <c r="L218" s="29"/>
      <c r="M218" s="46">
        <v>36.197000000000003</v>
      </c>
      <c r="N218" s="46">
        <v>37.517400000000002</v>
      </c>
      <c r="O218" s="46">
        <v>44.7241</v>
      </c>
      <c r="P218" s="46">
        <v>44.474299999999999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-0.30700000000000216</v>
      </c>
      <c r="AD218" s="46">
        <f t="shared" si="13"/>
        <v>-1.0899999999999466E-2</v>
      </c>
      <c r="AE218" s="46">
        <f t="shared" si="13"/>
        <v>2.8700000000000614E-2</v>
      </c>
      <c r="AF218" s="46">
        <f t="shared" si="13"/>
        <v>-1.2599999999999056E-2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294.58800000000002</v>
      </c>
      <c r="F219" s="45">
        <v>41.680700000000002</v>
      </c>
      <c r="G219" s="45">
        <v>47.253399999999999</v>
      </c>
      <c r="H219" s="45">
        <v>46.561799999999998</v>
      </c>
      <c r="I219" s="79"/>
      <c r="J219" s="79"/>
      <c r="K219" s="80"/>
      <c r="L219" s="29"/>
      <c r="M219" s="45">
        <v>285.79700000000003</v>
      </c>
      <c r="N219" s="45">
        <v>41.690800000000003</v>
      </c>
      <c r="O219" s="45">
        <v>47.219499999999996</v>
      </c>
      <c r="P219" s="45">
        <v>46.556600000000003</v>
      </c>
      <c r="Q219" s="79"/>
      <c r="R219" s="79"/>
      <c r="S219" s="80"/>
      <c r="U219" s="8">
        <f>bdrate($E219:$E222,F219:F222,$M219:$M222,N219:N222)</f>
        <v>-2.5929125948264575E-2</v>
      </c>
      <c r="V219" s="9">
        <f>bdrate($E219:$E222,G219:G222,$M219:$M222,O219:O222)</f>
        <v>-2.2284063495184525E-2</v>
      </c>
      <c r="W219" s="10">
        <f>bdrate($E219:$E222,H219:H222,$M219:$M222,P219:P222)</f>
        <v>-2.7259064269184674E-2</v>
      </c>
      <c r="X219" s="29"/>
      <c r="Y219" s="24"/>
      <c r="Z219" s="24"/>
      <c r="AA219" s="27"/>
      <c r="AC219" s="45">
        <f t="shared" si="14"/>
        <v>8.7909999999999968</v>
      </c>
      <c r="AD219" s="45">
        <f t="shared" si="13"/>
        <v>-1.010000000000133E-2</v>
      </c>
      <c r="AE219" s="45">
        <f t="shared" si="13"/>
        <v>3.3900000000002706E-2</v>
      </c>
      <c r="AF219" s="45">
        <f t="shared" si="13"/>
        <v>5.1999999999949864E-3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119.575</v>
      </c>
      <c r="F220" s="46">
        <v>40.729199999999999</v>
      </c>
      <c r="G220" s="46">
        <v>46.259700000000002</v>
      </c>
      <c r="H220" s="46">
        <v>45.407299999999999</v>
      </c>
      <c r="I220" s="66"/>
      <c r="J220" s="66"/>
      <c r="K220" s="67"/>
      <c r="L220" s="29"/>
      <c r="M220" s="46">
        <v>116.336</v>
      </c>
      <c r="N220" s="46">
        <v>40.740099999999998</v>
      </c>
      <c r="O220" s="46">
        <v>46.2624</v>
      </c>
      <c r="P220" s="46">
        <v>45.422199999999997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3.2390000000000043</v>
      </c>
      <c r="AD220" s="46">
        <f t="shared" si="13"/>
        <v>-1.0899999999999466E-2</v>
      </c>
      <c r="AE220" s="46">
        <f t="shared" si="13"/>
        <v>-2.6999999999972601E-3</v>
      </c>
      <c r="AF220" s="46">
        <f t="shared" si="13"/>
        <v>-1.4899999999997249E-2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63.911000000000001</v>
      </c>
      <c r="F221" s="46">
        <v>39.335700000000003</v>
      </c>
      <c r="G221" s="46">
        <v>45.322600000000001</v>
      </c>
      <c r="H221" s="46">
        <v>44.418799999999997</v>
      </c>
      <c r="I221" s="66"/>
      <c r="J221" s="66"/>
      <c r="K221" s="67"/>
      <c r="L221" s="29"/>
      <c r="M221" s="46">
        <v>62.765999999999998</v>
      </c>
      <c r="N221" s="46">
        <v>39.3583</v>
      </c>
      <c r="O221" s="46">
        <v>45.325000000000003</v>
      </c>
      <c r="P221" s="46">
        <v>44.422600000000003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1.1450000000000031</v>
      </c>
      <c r="AD221" s="46">
        <f t="shared" si="13"/>
        <v>-2.2599999999997067E-2</v>
      </c>
      <c r="AE221" s="46">
        <f t="shared" si="13"/>
        <v>-2.400000000001512E-3</v>
      </c>
      <c r="AF221" s="46">
        <f t="shared" si="13"/>
        <v>-3.8000000000053547E-3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36.314</v>
      </c>
      <c r="F222" s="72">
        <v>37.526000000000003</v>
      </c>
      <c r="G222" s="72">
        <v>44.271799999999999</v>
      </c>
      <c r="H222" s="72">
        <v>43.391500000000001</v>
      </c>
      <c r="I222" s="68"/>
      <c r="J222" s="68"/>
      <c r="K222" s="69"/>
      <c r="L222" s="29"/>
      <c r="M222" s="72">
        <v>36.362000000000002</v>
      </c>
      <c r="N222" s="72">
        <v>37.548699999999997</v>
      </c>
      <c r="O222" s="72">
        <v>44.353299999999997</v>
      </c>
      <c r="P222" s="72">
        <v>43.427700000000002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-4.8000000000001819E-2</v>
      </c>
      <c r="AD222" s="72">
        <f t="shared" si="13"/>
        <v>-2.2699999999993281E-2</v>
      </c>
      <c r="AE222" s="72">
        <f t="shared" si="13"/>
        <v>-8.1499999999998352E-2</v>
      </c>
      <c r="AF222" s="72">
        <f t="shared" si="13"/>
        <v>-3.6200000000000898E-2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86.043000000000006</v>
      </c>
      <c r="F223" s="45">
        <v>45.571899999999999</v>
      </c>
      <c r="G223" s="78"/>
      <c r="H223" s="78"/>
      <c r="I223" s="79"/>
      <c r="J223" s="79"/>
      <c r="K223" s="80"/>
      <c r="L223" s="29"/>
      <c r="M223" s="45">
        <v>86.165999999999997</v>
      </c>
      <c r="N223" s="45">
        <v>45.593800000000002</v>
      </c>
      <c r="O223" s="78"/>
      <c r="P223" s="78"/>
      <c r="Q223" s="79"/>
      <c r="R223" s="79"/>
      <c r="S223" s="80"/>
      <c r="U223" s="8">
        <f>bdrate($E223:$E226,F223:F226,$M223:$M226,N223:N226)</f>
        <v>7.9205078523807426E-3</v>
      </c>
      <c r="V223" s="9"/>
      <c r="W223" s="10"/>
      <c r="X223" s="29"/>
      <c r="Y223" s="24"/>
      <c r="Z223" s="24"/>
      <c r="AA223" s="27"/>
      <c r="AC223" s="45">
        <f t="shared" si="14"/>
        <v>-0.12299999999999045</v>
      </c>
      <c r="AD223" s="45">
        <f t="shared" si="13"/>
        <v>-2.1900000000002251E-2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36.158000000000001</v>
      </c>
      <c r="F224" s="46">
        <v>42.133600000000001</v>
      </c>
      <c r="G224" s="70"/>
      <c r="H224" s="70"/>
      <c r="I224" s="66"/>
      <c r="J224" s="66"/>
      <c r="K224" s="67"/>
      <c r="L224" s="29"/>
      <c r="M224" s="46">
        <v>35.948999999999998</v>
      </c>
      <c r="N224" s="46">
        <v>42.090200000000003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0.20900000000000318</v>
      </c>
      <c r="AD224" s="46">
        <f t="shared" si="13"/>
        <v>4.3399999999998329E-2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19.526</v>
      </c>
      <c r="F225" s="46">
        <v>39.887099999999997</v>
      </c>
      <c r="G225" s="70"/>
      <c r="H225" s="70"/>
      <c r="I225" s="66"/>
      <c r="J225" s="66"/>
      <c r="K225" s="67"/>
      <c r="L225" s="29"/>
      <c r="M225" s="46">
        <v>19.222000000000001</v>
      </c>
      <c r="N225" s="46">
        <v>39.755699999999997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0.30399999999999849</v>
      </c>
      <c r="AD225" s="46">
        <f t="shared" si="13"/>
        <v>0.1313999999999993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11.308999999999999</v>
      </c>
      <c r="F226" s="46">
        <v>37.549700000000001</v>
      </c>
      <c r="G226" s="70"/>
      <c r="H226" s="70"/>
      <c r="I226" s="66"/>
      <c r="J226" s="66"/>
      <c r="K226" s="67"/>
      <c r="L226" s="29"/>
      <c r="M226" s="46">
        <v>11.131</v>
      </c>
      <c r="N226" s="46">
        <v>37.433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0.17799999999999905</v>
      </c>
      <c r="AD226" s="46">
        <f t="shared" si="13"/>
        <v>0.11670000000000158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60.927</v>
      </c>
      <c r="F227" s="45">
        <v>44.077300000000001</v>
      </c>
      <c r="G227" s="78"/>
      <c r="H227" s="78"/>
      <c r="I227" s="79"/>
      <c r="J227" s="79"/>
      <c r="K227" s="80"/>
      <c r="L227" s="29"/>
      <c r="M227" s="45">
        <v>60.731999999999999</v>
      </c>
      <c r="N227" s="45">
        <v>44.0578</v>
      </c>
      <c r="O227" s="78"/>
      <c r="P227" s="78"/>
      <c r="Q227" s="79"/>
      <c r="R227" s="79"/>
      <c r="S227" s="80"/>
      <c r="U227" s="8">
        <f>bdrate($E227:$E230,F227:F230,$M227:$M230,N227:N230)</f>
        <v>-2.1000115220080051E-3</v>
      </c>
      <c r="V227" s="9"/>
      <c r="W227" s="10"/>
      <c r="X227" s="29"/>
      <c r="Y227" s="24"/>
      <c r="Z227" s="24"/>
      <c r="AA227" s="27"/>
      <c r="AC227" s="45">
        <f t="shared" si="14"/>
        <v>0.19500000000000028</v>
      </c>
      <c r="AD227" s="45">
        <f t="shared" si="13"/>
        <v>1.9500000000000739E-2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25.061</v>
      </c>
      <c r="F228" s="46">
        <v>39.611400000000003</v>
      </c>
      <c r="G228" s="70"/>
      <c r="H228" s="70"/>
      <c r="I228" s="66"/>
      <c r="J228" s="66"/>
      <c r="K228" s="67"/>
      <c r="L228" s="29"/>
      <c r="M228" s="46">
        <v>24.632999999999999</v>
      </c>
      <c r="N228" s="46">
        <v>39.572000000000003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0.42800000000000082</v>
      </c>
      <c r="AD228" s="46">
        <f t="shared" si="13"/>
        <v>3.9400000000000546E-2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14.023999999999999</v>
      </c>
      <c r="F229" s="46">
        <v>36.468899999999998</v>
      </c>
      <c r="G229" s="70"/>
      <c r="H229" s="70"/>
      <c r="I229" s="66"/>
      <c r="J229" s="66"/>
      <c r="K229" s="67"/>
      <c r="L229" s="29"/>
      <c r="M229" s="46">
        <v>13.941000000000001</v>
      </c>
      <c r="N229" s="46">
        <v>36.399299999999997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8.2999999999998408E-2</v>
      </c>
      <c r="AD229" s="46">
        <f t="shared" si="13"/>
        <v>6.9600000000001216E-2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8.9719999999999995</v>
      </c>
      <c r="F230" s="46">
        <v>33.332900000000002</v>
      </c>
      <c r="G230" s="70"/>
      <c r="H230" s="70"/>
      <c r="I230" s="66"/>
      <c r="J230" s="66"/>
      <c r="K230" s="67"/>
      <c r="L230" s="29"/>
      <c r="M230" s="46">
        <v>8.9030000000000005</v>
      </c>
      <c r="N230" s="46">
        <v>33.240900000000003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6.8999999999999062E-2</v>
      </c>
      <c r="AD230" s="46">
        <f t="shared" si="13"/>
        <v>9.1999999999998749E-2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59.84</v>
      </c>
      <c r="F231" s="45">
        <v>44.016399999999997</v>
      </c>
      <c r="G231" s="78"/>
      <c r="H231" s="78"/>
      <c r="I231" s="79"/>
      <c r="J231" s="79"/>
      <c r="K231" s="80"/>
      <c r="L231" s="29"/>
      <c r="M231" s="45">
        <v>59.54</v>
      </c>
      <c r="N231" s="45">
        <v>44.055799999999998</v>
      </c>
      <c r="O231" s="78"/>
      <c r="P231" s="78"/>
      <c r="Q231" s="79"/>
      <c r="R231" s="79"/>
      <c r="S231" s="80"/>
      <c r="U231" s="8">
        <f>bdrate($E231:$E234,F231:F234,$M231:$M234,N231:N234)</f>
        <v>2.8321384888168044E-3</v>
      </c>
      <c r="V231" s="9"/>
      <c r="W231" s="10"/>
      <c r="X231" s="29"/>
      <c r="Y231" s="24"/>
      <c r="Z231" s="24"/>
      <c r="AA231" s="27"/>
      <c r="AC231" s="45">
        <f t="shared" si="14"/>
        <v>0.30000000000000426</v>
      </c>
      <c r="AD231" s="45">
        <f t="shared" si="13"/>
        <v>-3.9400000000000546E-2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23.603999999999999</v>
      </c>
      <c r="F232" s="46">
        <v>40.050400000000003</v>
      </c>
      <c r="G232" s="70"/>
      <c r="H232" s="70"/>
      <c r="I232" s="66"/>
      <c r="J232" s="66"/>
      <c r="K232" s="67"/>
      <c r="L232" s="29"/>
      <c r="M232" s="46">
        <v>23.734000000000002</v>
      </c>
      <c r="N232" s="46">
        <v>40.064799999999998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-0.13000000000000256</v>
      </c>
      <c r="AD232" s="46">
        <f t="shared" si="13"/>
        <v>-1.4399999999994861E-2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13.805</v>
      </c>
      <c r="F233" s="46">
        <v>37.263300000000001</v>
      </c>
      <c r="G233" s="70"/>
      <c r="H233" s="70"/>
      <c r="I233" s="66"/>
      <c r="J233" s="66"/>
      <c r="K233" s="67"/>
      <c r="L233" s="29"/>
      <c r="M233" s="46">
        <v>13.807</v>
      </c>
      <c r="N233" s="46">
        <v>37.236600000000003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-2.0000000000006679E-3</v>
      </c>
      <c r="AD233" s="46">
        <f t="shared" si="13"/>
        <v>2.669999999999817E-2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8.6259999999999994</v>
      </c>
      <c r="F234" s="46">
        <v>34.452399999999997</v>
      </c>
      <c r="G234" s="70"/>
      <c r="H234" s="70"/>
      <c r="I234" s="66"/>
      <c r="J234" s="66"/>
      <c r="K234" s="67"/>
      <c r="L234" s="29"/>
      <c r="M234" s="46">
        <v>8.6489999999999991</v>
      </c>
      <c r="N234" s="46">
        <v>34.301600000000001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-2.2999999999999687E-2</v>
      </c>
      <c r="AD234" s="46">
        <f t="shared" si="13"/>
        <v>0.15079999999999671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42.811100000000003</v>
      </c>
      <c r="G235" s="45">
        <v>48.039499999999997</v>
      </c>
      <c r="H235" s="45">
        <v>47.282800000000002</v>
      </c>
      <c r="I235" s="79"/>
      <c r="J235" s="79"/>
      <c r="K235" s="80"/>
      <c r="L235" s="29"/>
      <c r="M235" s="78"/>
      <c r="N235" s="45">
        <v>42.822200000000002</v>
      </c>
      <c r="O235" s="45">
        <v>48.048400000000001</v>
      </c>
      <c r="P235" s="45">
        <v>47.192799999999998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-1.1099999999999E-2</v>
      </c>
      <c r="AE235" s="45">
        <f t="shared" si="13"/>
        <v>-8.9000000000041268E-3</v>
      </c>
      <c r="AF235" s="45">
        <f t="shared" si="13"/>
        <v>9.0000000000003411E-2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41.591000000000001</v>
      </c>
      <c r="G236" s="46">
        <v>46.9056</v>
      </c>
      <c r="H236" s="46">
        <v>46.506599999999999</v>
      </c>
      <c r="I236" s="66"/>
      <c r="J236" s="66"/>
      <c r="K236" s="67"/>
      <c r="L236" s="29"/>
      <c r="M236" s="70"/>
      <c r="N236" s="46">
        <v>41.596200000000003</v>
      </c>
      <c r="O236" s="46">
        <v>46.8947</v>
      </c>
      <c r="P236" s="46">
        <v>46.452500000000001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-5.2000000000020918E-3</v>
      </c>
      <c r="AE236" s="46">
        <f t="shared" si="13"/>
        <v>1.0899999999999466E-2</v>
      </c>
      <c r="AF236" s="46">
        <f t="shared" si="13"/>
        <v>5.4099999999998261E-2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39.959299999999999</v>
      </c>
      <c r="G237" s="46">
        <v>45.813000000000002</v>
      </c>
      <c r="H237" s="46">
        <v>45.469900000000003</v>
      </c>
      <c r="I237" s="66"/>
      <c r="J237" s="66"/>
      <c r="K237" s="67"/>
      <c r="L237" s="29"/>
      <c r="M237" s="70"/>
      <c r="N237" s="46">
        <v>39.9709</v>
      </c>
      <c r="O237" s="46">
        <v>45.807200000000002</v>
      </c>
      <c r="P237" s="46">
        <v>45.463299999999997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-1.1600000000001387E-2</v>
      </c>
      <c r="AE237" s="46">
        <f t="shared" si="13"/>
        <v>5.8000000000006935E-3</v>
      </c>
      <c r="AF237" s="46">
        <f t="shared" si="13"/>
        <v>6.6000000000059345E-3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37.968200000000003</v>
      </c>
      <c r="G238" s="72">
        <v>44.818199999999997</v>
      </c>
      <c r="H238" s="72">
        <v>44.497999999999998</v>
      </c>
      <c r="I238" s="68"/>
      <c r="J238" s="68"/>
      <c r="K238" s="69"/>
      <c r="L238" s="29"/>
      <c r="M238" s="81"/>
      <c r="N238" s="72">
        <v>37.9619</v>
      </c>
      <c r="O238" s="72">
        <v>44.844799999999999</v>
      </c>
      <c r="P238" s="72">
        <v>44.543599999999998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6.3000000000030809E-3</v>
      </c>
      <c r="AE238" s="72">
        <f t="shared" si="13"/>
        <v>-2.6600000000001955E-2</v>
      </c>
      <c r="AF238" s="72">
        <f t="shared" si="13"/>
        <v>-4.5600000000000307E-2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43.5139</v>
      </c>
      <c r="G239" s="45">
        <v>49.008000000000003</v>
      </c>
      <c r="H239" s="45">
        <v>48.456400000000002</v>
      </c>
      <c r="I239" s="66"/>
      <c r="J239" s="66"/>
      <c r="K239" s="67"/>
      <c r="L239" s="29"/>
      <c r="M239" s="70"/>
      <c r="N239" s="45">
        <v>43.504300000000001</v>
      </c>
      <c r="O239" s="45">
        <v>49.0139</v>
      </c>
      <c r="P239" s="45">
        <v>48.420299999999997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9.5999999999989427E-3</v>
      </c>
      <c r="AE239" s="45">
        <f t="shared" si="13"/>
        <v>-5.8999999999969077E-3</v>
      </c>
      <c r="AF239" s="45">
        <f t="shared" si="13"/>
        <v>3.6100000000004684E-2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42.1098</v>
      </c>
      <c r="G240" s="46">
        <v>47.7881</v>
      </c>
      <c r="H240" s="46">
        <v>47.502499999999998</v>
      </c>
      <c r="I240" s="66"/>
      <c r="J240" s="66"/>
      <c r="K240" s="67"/>
      <c r="L240" s="29"/>
      <c r="M240" s="70"/>
      <c r="N240" s="46">
        <v>42.120800000000003</v>
      </c>
      <c r="O240" s="46">
        <v>47.8001</v>
      </c>
      <c r="P240" s="46">
        <v>47.478999999999999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-1.1000000000002785E-2</v>
      </c>
      <c r="AE240" s="46">
        <f t="shared" si="13"/>
        <v>-1.2000000000000455E-2</v>
      </c>
      <c r="AF240" s="46">
        <f t="shared" si="13"/>
        <v>2.3499999999998522E-2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40.342199999999998</v>
      </c>
      <c r="G241" s="46">
        <v>46.464399999999998</v>
      </c>
      <c r="H241" s="46">
        <v>46.219499999999996</v>
      </c>
      <c r="I241" s="66"/>
      <c r="J241" s="66"/>
      <c r="K241" s="67"/>
      <c r="L241" s="29"/>
      <c r="M241" s="70"/>
      <c r="N241" s="46">
        <v>40.355699999999999</v>
      </c>
      <c r="O241" s="46">
        <v>46.49</v>
      </c>
      <c r="P241" s="46">
        <v>46.236400000000003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-1.3500000000000512E-2</v>
      </c>
      <c r="AE241" s="46">
        <f t="shared" si="13"/>
        <v>-2.5600000000004286E-2</v>
      </c>
      <c r="AF241" s="46">
        <f t="shared" si="13"/>
        <v>-1.6900000000006798E-2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38.230499999999999</v>
      </c>
      <c r="G242" s="72">
        <v>45.302799999999998</v>
      </c>
      <c r="H242" s="72">
        <v>45.137</v>
      </c>
      <c r="I242" s="68"/>
      <c r="J242" s="68"/>
      <c r="K242" s="69"/>
      <c r="L242" s="29"/>
      <c r="M242" s="81"/>
      <c r="N242" s="46">
        <v>38.228999999999999</v>
      </c>
      <c r="O242" s="72">
        <v>45.340499999999999</v>
      </c>
      <c r="P242" s="72">
        <v>45.1783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1.5000000000000568E-3</v>
      </c>
      <c r="AE242" s="46">
        <f t="shared" si="13"/>
        <v>-3.7700000000000955E-2</v>
      </c>
      <c r="AF242" s="46">
        <f t="shared" si="13"/>
        <v>-4.129999999999967E-2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43.082799999999999</v>
      </c>
      <c r="G243" s="45">
        <v>49.220100000000002</v>
      </c>
      <c r="H243" s="45">
        <v>48.790100000000002</v>
      </c>
      <c r="I243" s="66"/>
      <c r="J243" s="66"/>
      <c r="K243" s="67"/>
      <c r="L243" s="29"/>
      <c r="M243" s="70"/>
      <c r="N243" s="45">
        <v>43.077100000000002</v>
      </c>
      <c r="O243" s="45">
        <v>49.210799999999999</v>
      </c>
      <c r="P243" s="45">
        <v>48.776499999999999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5.6999999999973738E-3</v>
      </c>
      <c r="AE243" s="45">
        <f t="shared" si="13"/>
        <v>9.3000000000031946E-3</v>
      </c>
      <c r="AF243" s="45">
        <f t="shared" si="13"/>
        <v>1.3600000000003831E-2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41.865000000000002</v>
      </c>
      <c r="G244" s="46">
        <v>48.182200000000002</v>
      </c>
      <c r="H244" s="46">
        <v>47.889499999999998</v>
      </c>
      <c r="I244" s="66"/>
      <c r="J244" s="66"/>
      <c r="K244" s="67"/>
      <c r="L244" s="29"/>
      <c r="M244" s="70"/>
      <c r="N244" s="46">
        <v>41.867400000000004</v>
      </c>
      <c r="O244" s="46">
        <v>48.176600000000001</v>
      </c>
      <c r="P244" s="46">
        <v>47.883200000000002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-2.400000000001512E-3</v>
      </c>
      <c r="AE244" s="46">
        <f t="shared" si="13"/>
        <v>5.6000000000011596E-3</v>
      </c>
      <c r="AF244" s="46">
        <f t="shared" si="13"/>
        <v>6.2999999999959755E-3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40.273200000000003</v>
      </c>
      <c r="G245" s="46">
        <v>46.718400000000003</v>
      </c>
      <c r="H245" s="46">
        <v>46.553400000000003</v>
      </c>
      <c r="I245" s="66"/>
      <c r="J245" s="66"/>
      <c r="K245" s="67"/>
      <c r="L245" s="29"/>
      <c r="M245" s="70"/>
      <c r="N245" s="46">
        <v>40.2864</v>
      </c>
      <c r="O245" s="46">
        <v>46.757899999999999</v>
      </c>
      <c r="P245" s="46">
        <v>46.5762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-1.3199999999997658E-2</v>
      </c>
      <c r="AE245" s="46">
        <f t="shared" si="13"/>
        <v>-3.949999999999676E-2</v>
      </c>
      <c r="AF245" s="46">
        <f t="shared" si="13"/>
        <v>-2.2799999999996601E-2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38.321599999999997</v>
      </c>
      <c r="G246" s="72">
        <v>45.521700000000003</v>
      </c>
      <c r="H246" s="72">
        <v>45.442</v>
      </c>
      <c r="I246" s="68"/>
      <c r="J246" s="68"/>
      <c r="K246" s="69"/>
      <c r="L246" s="29"/>
      <c r="M246" s="81"/>
      <c r="N246" s="46">
        <v>38.319400000000002</v>
      </c>
      <c r="O246" s="72">
        <v>45.528700000000001</v>
      </c>
      <c r="P246" s="72">
        <v>45.449100000000001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2.1999999999948727E-3</v>
      </c>
      <c r="AE246" s="46">
        <f t="shared" si="13"/>
        <v>-6.9999999999978968E-3</v>
      </c>
      <c r="AF246" s="46">
        <f t="shared" si="13"/>
        <v>-7.1000000000012164E-3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43.208199999999998</v>
      </c>
      <c r="G247" s="45">
        <v>49.131700000000002</v>
      </c>
      <c r="H247" s="45">
        <v>49.014200000000002</v>
      </c>
      <c r="I247" s="66"/>
      <c r="J247" s="66"/>
      <c r="K247" s="67"/>
      <c r="L247" s="29"/>
      <c r="M247" s="70"/>
      <c r="N247" s="45">
        <v>43.2151</v>
      </c>
      <c r="O247" s="45">
        <v>49.092799999999997</v>
      </c>
      <c r="P247" s="45">
        <v>49.010399999999997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-6.9000000000016826E-3</v>
      </c>
      <c r="AE247" s="45">
        <f t="shared" si="13"/>
        <v>3.8900000000005264E-2</v>
      </c>
      <c r="AF247" s="45">
        <f t="shared" si="13"/>
        <v>3.8000000000053547E-3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42.0291</v>
      </c>
      <c r="G248" s="46">
        <v>48.141199999999998</v>
      </c>
      <c r="H248" s="46">
        <v>48.102699999999999</v>
      </c>
      <c r="I248" s="66"/>
      <c r="J248" s="66"/>
      <c r="K248" s="67"/>
      <c r="L248" s="29"/>
      <c r="M248" s="70"/>
      <c r="N248" s="46">
        <v>42.023699999999998</v>
      </c>
      <c r="O248" s="46">
        <v>48.130899999999997</v>
      </c>
      <c r="P248" s="46">
        <v>48.081600000000002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5.4000000000016257E-3</v>
      </c>
      <c r="AE248" s="46">
        <f t="shared" si="13"/>
        <v>1.0300000000000864E-2</v>
      </c>
      <c r="AF248" s="46">
        <f t="shared" si="13"/>
        <v>2.109999999999701E-2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40.412700000000001</v>
      </c>
      <c r="G249" s="46">
        <v>46.768000000000001</v>
      </c>
      <c r="H249" s="46">
        <v>46.725999999999999</v>
      </c>
      <c r="I249" s="66"/>
      <c r="J249" s="66"/>
      <c r="K249" s="67"/>
      <c r="L249" s="29"/>
      <c r="M249" s="70"/>
      <c r="N249" s="46">
        <v>40.4191</v>
      </c>
      <c r="O249" s="46">
        <v>46.759099999999997</v>
      </c>
      <c r="P249" s="46">
        <v>46.748399999999997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-6.3999999999992951E-3</v>
      </c>
      <c r="AE249" s="46">
        <f t="shared" si="13"/>
        <v>8.9000000000041268E-3</v>
      </c>
      <c r="AF249" s="46">
        <f t="shared" si="13"/>
        <v>-2.2399999999997533E-2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38.437399999999997</v>
      </c>
      <c r="G250" s="72">
        <v>45.538899999999998</v>
      </c>
      <c r="H250" s="72">
        <v>45.592599999999997</v>
      </c>
      <c r="I250" s="68"/>
      <c r="J250" s="68"/>
      <c r="K250" s="69"/>
      <c r="L250" s="29"/>
      <c r="M250" s="81"/>
      <c r="N250" s="46">
        <v>38.4313</v>
      </c>
      <c r="O250" s="72">
        <v>45.56</v>
      </c>
      <c r="P250" s="72">
        <v>45.594299999999997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6.0999999999964416E-3</v>
      </c>
      <c r="AE250" s="46">
        <f t="shared" si="13"/>
        <v>-2.1100000000004115E-2</v>
      </c>
      <c r="AF250" s="46">
        <f t="shared" si="13"/>
        <v>-1.6999999999995907E-3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43.667400000000001</v>
      </c>
      <c r="G251" s="45">
        <v>48.852200000000003</v>
      </c>
      <c r="H251" s="45">
        <v>49.167000000000002</v>
      </c>
      <c r="I251" s="66"/>
      <c r="J251" s="66"/>
      <c r="K251" s="67"/>
      <c r="L251" s="29"/>
      <c r="M251" s="70"/>
      <c r="N251" s="45">
        <v>43.669199999999996</v>
      </c>
      <c r="O251" s="45">
        <v>48.808399999999999</v>
      </c>
      <c r="P251" s="45">
        <v>49.161099999999998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-1.799999999995805E-3</v>
      </c>
      <c r="AE251" s="45">
        <f t="shared" si="13"/>
        <v>4.3800000000004502E-2</v>
      </c>
      <c r="AF251" s="45">
        <f t="shared" si="13"/>
        <v>5.9000000000040131E-3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42.3292</v>
      </c>
      <c r="G252" s="46">
        <v>47.6526</v>
      </c>
      <c r="H252" s="46">
        <v>47.922600000000003</v>
      </c>
      <c r="I252" s="66"/>
      <c r="J252" s="66"/>
      <c r="K252" s="67"/>
      <c r="L252" s="29"/>
      <c r="M252" s="70"/>
      <c r="N252" s="46">
        <v>42.322600000000001</v>
      </c>
      <c r="O252" s="46">
        <v>47.666499999999999</v>
      </c>
      <c r="P252" s="46">
        <v>47.944400000000002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6.599999999998829E-3</v>
      </c>
      <c r="AE252" s="46">
        <f t="shared" si="13"/>
        <v>-1.3899999999999579E-2</v>
      </c>
      <c r="AF252" s="46">
        <f t="shared" si="13"/>
        <v>-2.1799999999998931E-2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40.610999999999997</v>
      </c>
      <c r="G253" s="46">
        <v>46.362699999999997</v>
      </c>
      <c r="H253" s="46">
        <v>46.647799999999997</v>
      </c>
      <c r="I253" s="66"/>
      <c r="J253" s="66"/>
      <c r="K253" s="67"/>
      <c r="L253" s="29"/>
      <c r="M253" s="70"/>
      <c r="N253" s="46">
        <v>40.599800000000002</v>
      </c>
      <c r="O253" s="46">
        <v>46.395699999999998</v>
      </c>
      <c r="P253" s="46">
        <v>46.646500000000003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1.1199999999995214E-2</v>
      </c>
      <c r="AE253" s="46">
        <f t="shared" si="13"/>
        <v>-3.3000000000001251E-2</v>
      </c>
      <c r="AF253" s="46">
        <f t="shared" si="13"/>
        <v>1.2999999999934175E-3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38.513199999999998</v>
      </c>
      <c r="G254" s="72">
        <v>45.086500000000001</v>
      </c>
      <c r="H254" s="72">
        <v>45.482500000000002</v>
      </c>
      <c r="I254" s="68"/>
      <c r="J254" s="68"/>
      <c r="K254" s="69"/>
      <c r="L254" s="29"/>
      <c r="M254" s="81"/>
      <c r="N254" s="72">
        <v>38.486400000000003</v>
      </c>
      <c r="O254" s="72">
        <v>45.141599999999997</v>
      </c>
      <c r="P254" s="72">
        <v>45.438600000000001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2.6799999999994384E-2</v>
      </c>
      <c r="AE254" s="72">
        <f t="shared" si="13"/>
        <v>-5.509999999999593E-2</v>
      </c>
      <c r="AF254" s="72">
        <f t="shared" si="13"/>
        <v>4.3900000000000716E-2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42.867899999999999</v>
      </c>
      <c r="G255" s="45">
        <v>47.603999999999999</v>
      </c>
      <c r="H255" s="45">
        <v>48.063899999999997</v>
      </c>
      <c r="I255" s="66"/>
      <c r="J255" s="66"/>
      <c r="K255" s="67"/>
      <c r="L255" s="29"/>
      <c r="M255" s="70"/>
      <c r="N255" s="45">
        <v>42.873899999999999</v>
      </c>
      <c r="O255" s="45">
        <v>47.5505</v>
      </c>
      <c r="P255" s="45">
        <v>48.070599999999999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-6.0000000000002274E-3</v>
      </c>
      <c r="AE255" s="45">
        <f t="shared" si="13"/>
        <v>5.3499999999999659E-2</v>
      </c>
      <c r="AF255" s="45">
        <f t="shared" si="13"/>
        <v>-6.7000000000021487E-3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41.698399999999999</v>
      </c>
      <c r="G256" s="46">
        <v>46.589100000000002</v>
      </c>
      <c r="H256" s="46">
        <v>46.856999999999999</v>
      </c>
      <c r="I256" s="66"/>
      <c r="J256" s="66"/>
      <c r="K256" s="67"/>
      <c r="L256" s="29"/>
      <c r="M256" s="70"/>
      <c r="N256" s="46">
        <v>41.7121</v>
      </c>
      <c r="O256" s="46">
        <v>46.586599999999997</v>
      </c>
      <c r="P256" s="46">
        <v>46.915100000000002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-1.3700000000000045E-2</v>
      </c>
      <c r="AE256" s="46">
        <f t="shared" si="13"/>
        <v>2.5000000000048317E-3</v>
      </c>
      <c r="AF256" s="46">
        <f t="shared" si="13"/>
        <v>-5.8100000000003149E-2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40.143099999999997</v>
      </c>
      <c r="G257" s="46">
        <v>45.629100000000001</v>
      </c>
      <c r="H257" s="46">
        <v>45.850700000000003</v>
      </c>
      <c r="I257" s="66"/>
      <c r="J257" s="66"/>
      <c r="K257" s="67"/>
      <c r="L257" s="29"/>
      <c r="M257" s="70"/>
      <c r="N257" s="46">
        <v>40.151600000000002</v>
      </c>
      <c r="O257" s="46">
        <v>45.584899999999998</v>
      </c>
      <c r="P257" s="46">
        <v>45.867199999999997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-8.5000000000050591E-3</v>
      </c>
      <c r="AE257" s="46">
        <f t="shared" si="13"/>
        <v>4.420000000000357E-2</v>
      </c>
      <c r="AF257" s="46">
        <f t="shared" si="13"/>
        <v>-1.649999999999352E-2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38.214700000000001</v>
      </c>
      <c r="G258" s="72">
        <v>44.534399999999998</v>
      </c>
      <c r="H258" s="72">
        <v>44.830500000000001</v>
      </c>
      <c r="I258" s="68"/>
      <c r="J258" s="68"/>
      <c r="K258" s="69"/>
      <c r="L258" s="29"/>
      <c r="M258" s="81"/>
      <c r="N258" s="72">
        <v>38.202199999999998</v>
      </c>
      <c r="O258" s="72">
        <v>44.591999999999999</v>
      </c>
      <c r="P258" s="72">
        <v>44.786900000000003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1.2500000000002842E-2</v>
      </c>
      <c r="AE258" s="72">
        <f t="shared" si="13"/>
        <v>-5.7600000000000762E-2</v>
      </c>
      <c r="AF258" s="72">
        <f t="shared" si="13"/>
        <v>4.3599999999997863E-2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1589.645</v>
      </c>
      <c r="F259" s="70"/>
      <c r="G259" s="70"/>
      <c r="H259" s="70"/>
      <c r="I259" s="45">
        <v>50846.22</v>
      </c>
      <c r="J259" s="45">
        <v>45.84</v>
      </c>
      <c r="K259" s="45">
        <v>602.39</v>
      </c>
      <c r="L259" s="29"/>
      <c r="M259" s="45">
        <v>1577.885</v>
      </c>
      <c r="N259" s="70"/>
      <c r="O259" s="70"/>
      <c r="P259" s="70"/>
      <c r="Q259" s="45">
        <v>57204.93</v>
      </c>
      <c r="R259" s="45">
        <v>45.86</v>
      </c>
      <c r="S259" s="45">
        <v>610.63</v>
      </c>
      <c r="U259" s="8"/>
      <c r="V259" s="9"/>
      <c r="W259" s="10"/>
      <c r="X259" s="29"/>
      <c r="Y259" s="61">
        <f>GEOMEAN(Q259:Q262)/GEOMEAN(I259:I262)</f>
        <v>1.1259022654780109</v>
      </c>
      <c r="Z259" s="61">
        <f>GEOMEAN(R259:R262)/GEOMEAN(J259:J262)</f>
        <v>0.9974508943365028</v>
      </c>
      <c r="AA259" s="57">
        <f>GEOMEAN(S259:S262)/GEOMEAN(K259:K262)</f>
        <v>1.0023640444049111</v>
      </c>
      <c r="AC259" s="45">
        <f>E259 -M259</f>
        <v>11.759999999999991</v>
      </c>
      <c r="AD259" s="70"/>
      <c r="AE259" s="70"/>
      <c r="AF259" s="70"/>
      <c r="AG259" s="45">
        <f t="shared" ref="AG259:AI262" si="15">I259 -Q259</f>
        <v>-6358.7099999999991</v>
      </c>
      <c r="AH259" s="45">
        <f t="shared" si="15"/>
        <v>-1.9999999999996021E-2</v>
      </c>
      <c r="AI259" s="45">
        <f t="shared" si="15"/>
        <v>-8.2400000000000091</v>
      </c>
    </row>
    <row r="260" spans="1:35" ht="12">
      <c r="B260" s="36"/>
      <c r="C260" s="29"/>
      <c r="D260" s="32">
        <v>30</v>
      </c>
      <c r="E260" s="46">
        <v>669.66700000000003</v>
      </c>
      <c r="F260" s="70"/>
      <c r="G260" s="70"/>
      <c r="H260" s="70"/>
      <c r="I260" s="46">
        <v>49079.05</v>
      </c>
      <c r="J260" s="46">
        <v>42.29</v>
      </c>
      <c r="K260" s="46">
        <v>600.62</v>
      </c>
      <c r="L260" s="29"/>
      <c r="M260" s="46">
        <v>665.81399999999996</v>
      </c>
      <c r="N260" s="70"/>
      <c r="O260" s="70"/>
      <c r="P260" s="70"/>
      <c r="Q260" s="46">
        <v>55350.57</v>
      </c>
      <c r="R260" s="46">
        <v>42.46</v>
      </c>
      <c r="S260" s="46">
        <v>601.53</v>
      </c>
      <c r="U260" s="41"/>
      <c r="V260" s="42"/>
      <c r="W260" s="43"/>
      <c r="X260" s="29"/>
      <c r="Y260" s="24"/>
      <c r="Z260" s="24"/>
      <c r="AA260" s="27"/>
      <c r="AC260" s="46">
        <f>E260 -M260</f>
        <v>3.8530000000000655</v>
      </c>
      <c r="AD260" s="70"/>
      <c r="AE260" s="70"/>
      <c r="AF260" s="70"/>
      <c r="AG260" s="46">
        <f t="shared" si="15"/>
        <v>-6271.5199999999968</v>
      </c>
      <c r="AH260" s="46">
        <f t="shared" si="15"/>
        <v>-0.17000000000000171</v>
      </c>
      <c r="AI260" s="46">
        <f t="shared" si="15"/>
        <v>-0.90999999999996817</v>
      </c>
    </row>
    <row r="261" spans="1:35" ht="12">
      <c r="B261" s="36"/>
      <c r="C261" s="29"/>
      <c r="D261" s="32">
        <v>35</v>
      </c>
      <c r="E261" s="46">
        <v>355.142</v>
      </c>
      <c r="F261" s="70"/>
      <c r="G261" s="70"/>
      <c r="H261" s="70"/>
      <c r="I261" s="46">
        <v>48307.79</v>
      </c>
      <c r="J261" s="46">
        <v>39.64</v>
      </c>
      <c r="K261" s="46">
        <v>604.54999999999995</v>
      </c>
      <c r="L261" s="29"/>
      <c r="M261" s="46">
        <v>354.40899999999999</v>
      </c>
      <c r="N261" s="70"/>
      <c r="O261" s="70"/>
      <c r="P261" s="70"/>
      <c r="Q261" s="46">
        <v>54131.61</v>
      </c>
      <c r="R261" s="46">
        <v>40.07</v>
      </c>
      <c r="S261" s="46">
        <v>601.42999999999995</v>
      </c>
      <c r="U261" s="17"/>
      <c r="V261" s="18"/>
      <c r="W261" s="19"/>
      <c r="X261" s="29"/>
      <c r="Y261" s="24"/>
      <c r="Z261" s="24"/>
      <c r="AA261" s="27"/>
      <c r="AC261" s="46">
        <f>E261 -M261</f>
        <v>0.73300000000000409</v>
      </c>
      <c r="AD261" s="70"/>
      <c r="AE261" s="70"/>
      <c r="AF261" s="70"/>
      <c r="AG261" s="46">
        <f t="shared" si="15"/>
        <v>-5823.82</v>
      </c>
      <c r="AH261" s="46">
        <f t="shared" si="15"/>
        <v>-0.42999999999999972</v>
      </c>
      <c r="AI261" s="46">
        <f t="shared" si="15"/>
        <v>3.1200000000000045</v>
      </c>
    </row>
    <row r="262" spans="1:35" ht="12.75" thickBot="1">
      <c r="B262" s="52"/>
      <c r="C262" s="53"/>
      <c r="D262" s="71">
        <v>40</v>
      </c>
      <c r="E262" s="72">
        <v>203.721</v>
      </c>
      <c r="F262" s="81"/>
      <c r="G262" s="81"/>
      <c r="H262" s="81"/>
      <c r="I262" s="72">
        <v>47314.55</v>
      </c>
      <c r="J262" s="72">
        <v>37.81</v>
      </c>
      <c r="K262" s="72">
        <v>603.25</v>
      </c>
      <c r="L262" s="29"/>
      <c r="M262" s="72">
        <v>203.95500000000001</v>
      </c>
      <c r="N262" s="81"/>
      <c r="O262" s="81"/>
      <c r="P262" s="81"/>
      <c r="Q262" s="72">
        <v>53476.5</v>
      </c>
      <c r="R262" s="72">
        <v>36.86</v>
      </c>
      <c r="S262" s="72">
        <v>602.96</v>
      </c>
      <c r="U262" s="85"/>
      <c r="V262" s="86"/>
      <c r="W262" s="87"/>
      <c r="X262" s="29"/>
      <c r="Y262" s="49"/>
      <c r="Z262" s="49"/>
      <c r="AA262" s="54"/>
      <c r="AC262" s="72">
        <f>E262 -M262</f>
        <v>-0.23400000000000887</v>
      </c>
      <c r="AD262" s="81"/>
      <c r="AE262" s="81"/>
      <c r="AF262" s="81"/>
      <c r="AG262" s="72">
        <f t="shared" si="15"/>
        <v>-6161.9499999999971</v>
      </c>
      <c r="AH262" s="72">
        <f t="shared" si="15"/>
        <v>0.95000000000000284</v>
      </c>
      <c r="AI262" s="72">
        <f t="shared" si="15"/>
        <v>0.28999999999996362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2431.212</v>
      </c>
      <c r="F263" s="45">
        <v>39.861800000000002</v>
      </c>
      <c r="G263" s="45">
        <v>46.755299999999998</v>
      </c>
      <c r="H263" s="45">
        <v>46.040700000000001</v>
      </c>
      <c r="I263" s="79"/>
      <c r="J263" s="79"/>
      <c r="K263" s="80"/>
      <c r="L263" s="29"/>
      <c r="M263" s="45">
        <v>2432.3568</v>
      </c>
      <c r="N263" s="45">
        <v>39.862400000000001</v>
      </c>
      <c r="O263" s="45">
        <v>46.747999999999998</v>
      </c>
      <c r="P263" s="45">
        <v>46.034500000000001</v>
      </c>
      <c r="Q263" s="79"/>
      <c r="R263" s="79"/>
      <c r="S263" s="80"/>
      <c r="U263" s="8">
        <f>bdrate($E263:$E266,F263:F266,$M263:$M266,N263:N266)</f>
        <v>-2.7011280930977488E-4</v>
      </c>
      <c r="V263" s="9">
        <f>bdrate($E263:$E266,G263:G266,$M263:$M266,O263:O266)</f>
        <v>-1.2319187245040109E-3</v>
      </c>
      <c r="W263" s="10">
        <f>bdrate($E263:$E266,H263:H266,$M263:$M266,P263:P266)</f>
        <v>4.0499604504384834E-4</v>
      </c>
      <c r="X263" s="29"/>
      <c r="Y263" s="22"/>
      <c r="Z263" s="22"/>
      <c r="AA263" s="26"/>
      <c r="AC263" s="45">
        <f>E263 -M263</f>
        <v>-1.144800000000032</v>
      </c>
      <c r="AD263" s="45">
        <f t="shared" ref="AD263:AF310" si="16">F263 -N263</f>
        <v>-5.9999999999860165E-4</v>
      </c>
      <c r="AE263" s="45">
        <f t="shared" si="16"/>
        <v>7.3000000000007503E-3</v>
      </c>
      <c r="AF263" s="45">
        <f t="shared" si="16"/>
        <v>6.1999999999997613E-3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952.92399999999998</v>
      </c>
      <c r="F264" s="46">
        <v>37.901699999999998</v>
      </c>
      <c r="G264" s="46">
        <v>45.319800000000001</v>
      </c>
      <c r="H264" s="46">
        <v>44.555999999999997</v>
      </c>
      <c r="I264" s="66"/>
      <c r="J264" s="66"/>
      <c r="K264" s="67"/>
      <c r="L264" s="29"/>
      <c r="M264" s="46">
        <v>951.72879999999998</v>
      </c>
      <c r="N264" s="46">
        <v>37.898800000000001</v>
      </c>
      <c r="O264" s="46">
        <v>45.309800000000003</v>
      </c>
      <c r="P264" s="46">
        <v>44.542099999999998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1.1951999999999998</v>
      </c>
      <c r="AD264" s="46">
        <f t="shared" si="16"/>
        <v>2.899999999996794E-3</v>
      </c>
      <c r="AE264" s="46">
        <f t="shared" si="16"/>
        <v>9.9999999999980105E-3</v>
      </c>
      <c r="AF264" s="46">
        <f t="shared" si="16"/>
        <v>1.3899999999999579E-2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458.9984</v>
      </c>
      <c r="F265" s="46">
        <v>35.878500000000003</v>
      </c>
      <c r="G265" s="46">
        <v>43.571899999999999</v>
      </c>
      <c r="H265" s="46">
        <v>42.836199999999998</v>
      </c>
      <c r="I265" s="66"/>
      <c r="J265" s="66"/>
      <c r="K265" s="67"/>
      <c r="L265" s="29"/>
      <c r="M265" s="46">
        <v>458.49599999999998</v>
      </c>
      <c r="N265" s="46">
        <v>35.878399999999999</v>
      </c>
      <c r="O265" s="46">
        <v>43.584000000000003</v>
      </c>
      <c r="P265" s="46">
        <v>42.8538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0.50240000000002283</v>
      </c>
      <c r="AD265" s="46">
        <f t="shared" si="16"/>
        <v>1.0000000000331966E-4</v>
      </c>
      <c r="AE265" s="46">
        <f t="shared" si="16"/>
        <v>-1.2100000000003774E-2</v>
      </c>
      <c r="AF265" s="46">
        <f t="shared" si="16"/>
        <v>-1.7600000000001614E-2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239.49520000000001</v>
      </c>
      <c r="F266" s="46">
        <v>33.7624</v>
      </c>
      <c r="G266" s="46">
        <v>42.306699999999999</v>
      </c>
      <c r="H266" s="46">
        <v>41.607399999999998</v>
      </c>
      <c r="I266" s="66"/>
      <c r="J266" s="66"/>
      <c r="K266" s="67"/>
      <c r="L266" s="29"/>
      <c r="M266" s="46">
        <v>239.3048</v>
      </c>
      <c r="N266" s="46">
        <v>33.755699999999997</v>
      </c>
      <c r="O266" s="46">
        <v>42.324399999999997</v>
      </c>
      <c r="P266" s="46">
        <v>41.591799999999999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0.190400000000011</v>
      </c>
      <c r="AD266" s="46">
        <f t="shared" si="16"/>
        <v>6.7000000000021487E-3</v>
      </c>
      <c r="AE266" s="46">
        <f t="shared" si="16"/>
        <v>-1.7699999999997829E-2</v>
      </c>
      <c r="AF266" s="46">
        <f t="shared" si="16"/>
        <v>1.559999999999917E-2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767.26880000000006</v>
      </c>
      <c r="F267" s="45">
        <v>38.964199999999998</v>
      </c>
      <c r="G267" s="45">
        <v>46.588900000000002</v>
      </c>
      <c r="H267" s="45">
        <v>44.642200000000003</v>
      </c>
      <c r="I267" s="79"/>
      <c r="J267" s="79"/>
      <c r="K267" s="80"/>
      <c r="L267" s="29"/>
      <c r="M267" s="45">
        <v>767.47280000000001</v>
      </c>
      <c r="N267" s="45">
        <v>38.969499999999996</v>
      </c>
      <c r="O267" s="45">
        <v>46.564</v>
      </c>
      <c r="P267" s="45">
        <v>44.630400000000002</v>
      </c>
      <c r="Q267" s="79"/>
      <c r="R267" s="79"/>
      <c r="S267" s="80"/>
      <c r="U267" s="8">
        <f>bdrate($E267:$E270,F267:F270,$M267:$M270,N267:N270)</f>
        <v>3.3148593931164871E-3</v>
      </c>
      <c r="V267" s="9">
        <f>bdrate($E267:$E270,G267:G270,$M267:$M270,O267:O270)</f>
        <v>2.1632038220829042E-3</v>
      </c>
      <c r="W267" s="10">
        <f>bdrate($E267:$E270,H267:H270,$M267:$M270,P267:P270)</f>
        <v>3.6289587070335028E-3</v>
      </c>
      <c r="X267" s="29"/>
      <c r="Y267" s="24"/>
      <c r="Z267" s="24"/>
      <c r="AA267" s="27"/>
      <c r="AC267" s="45">
        <f t="shared" si="17"/>
        <v>-0.20399999999995089</v>
      </c>
      <c r="AD267" s="45">
        <f t="shared" si="16"/>
        <v>-5.2999999999983061E-3</v>
      </c>
      <c r="AE267" s="45">
        <f t="shared" si="16"/>
        <v>2.4900000000002365E-2</v>
      </c>
      <c r="AF267" s="45">
        <f t="shared" si="16"/>
        <v>1.1800000000000921E-2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229.90960000000001</v>
      </c>
      <c r="F268" s="46">
        <v>37.083799999999997</v>
      </c>
      <c r="G268" s="46">
        <v>45.130800000000001</v>
      </c>
      <c r="H268" s="46">
        <v>43.032200000000003</v>
      </c>
      <c r="I268" s="66"/>
      <c r="J268" s="66"/>
      <c r="K268" s="67"/>
      <c r="L268" s="29"/>
      <c r="M268" s="46">
        <v>230.8</v>
      </c>
      <c r="N268" s="46">
        <v>37.089100000000002</v>
      </c>
      <c r="O268" s="46">
        <v>45.130600000000001</v>
      </c>
      <c r="P268" s="46">
        <v>43.0306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-0.89039999999999964</v>
      </c>
      <c r="AD268" s="46">
        <f t="shared" si="16"/>
        <v>-5.3000000000054115E-3</v>
      </c>
      <c r="AE268" s="46">
        <f t="shared" si="16"/>
        <v>1.9999999999953388E-4</v>
      </c>
      <c r="AF268" s="46">
        <f t="shared" si="16"/>
        <v>1.6000000000033765E-3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92.724800000000002</v>
      </c>
      <c r="F269" s="46">
        <v>35.184100000000001</v>
      </c>
      <c r="G269" s="46">
        <v>43.616399999999999</v>
      </c>
      <c r="H269" s="46">
        <v>41.712299999999999</v>
      </c>
      <c r="I269" s="66"/>
      <c r="J269" s="66"/>
      <c r="K269" s="67"/>
      <c r="L269" s="29"/>
      <c r="M269" s="46">
        <v>93.357600000000005</v>
      </c>
      <c r="N269" s="46">
        <v>35.189900000000002</v>
      </c>
      <c r="O269" s="46">
        <v>43.637999999999998</v>
      </c>
      <c r="P269" s="46">
        <v>41.734400000000001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-0.63280000000000314</v>
      </c>
      <c r="AD269" s="46">
        <f t="shared" si="16"/>
        <v>-5.8000000000006935E-3</v>
      </c>
      <c r="AE269" s="46">
        <f t="shared" si="16"/>
        <v>-2.1599999999999397E-2</v>
      </c>
      <c r="AF269" s="46">
        <f t="shared" si="16"/>
        <v>-2.2100000000001785E-2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42.534399999999998</v>
      </c>
      <c r="F270" s="46">
        <v>33.212499999999999</v>
      </c>
      <c r="G270" s="46">
        <v>42.446300000000001</v>
      </c>
      <c r="H270" s="46">
        <v>40.78</v>
      </c>
      <c r="I270" s="66"/>
      <c r="J270" s="66"/>
      <c r="K270" s="67"/>
      <c r="L270" s="29"/>
      <c r="M270" s="46">
        <v>43.114400000000003</v>
      </c>
      <c r="N270" s="46">
        <v>33.212400000000002</v>
      </c>
      <c r="O270" s="46">
        <v>42.4696</v>
      </c>
      <c r="P270" s="46">
        <v>40.758000000000003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-0.5800000000000054</v>
      </c>
      <c r="AD270" s="46">
        <f t="shared" si="16"/>
        <v>9.9999999996214228E-5</v>
      </c>
      <c r="AE270" s="46">
        <f t="shared" si="16"/>
        <v>-2.3299999999998988E-2</v>
      </c>
      <c r="AF270" s="46">
        <f t="shared" si="16"/>
        <v>2.1999999999998465E-2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754.68719999999996</v>
      </c>
      <c r="F271" s="45">
        <v>38.9039</v>
      </c>
      <c r="G271" s="45">
        <v>46.424799999999998</v>
      </c>
      <c r="H271" s="45">
        <v>46.126100000000001</v>
      </c>
      <c r="I271" s="79"/>
      <c r="J271" s="79"/>
      <c r="K271" s="80"/>
      <c r="L271" s="29"/>
      <c r="M271" s="45">
        <v>752.64080000000001</v>
      </c>
      <c r="N271" s="45">
        <v>38.909199999999998</v>
      </c>
      <c r="O271" s="45">
        <v>46.398600000000002</v>
      </c>
      <c r="P271" s="45">
        <v>46.111400000000003</v>
      </c>
      <c r="Q271" s="79"/>
      <c r="R271" s="79"/>
      <c r="S271" s="80"/>
      <c r="U271" s="8">
        <f>bdrate($E271:$E274,F271:F274,$M271:$M274,N271:N274)</f>
        <v>-6.9984997507092084E-3</v>
      </c>
      <c r="V271" s="9">
        <f>bdrate($E271:$E274,G271:G274,$M271:$M274,O271:O274)</f>
        <v>-1.0189219621997703E-3</v>
      </c>
      <c r="W271" s="10">
        <f>bdrate($E271:$E274,H271:H274,$M271:$M274,P271:P274)</f>
        <v>2.6296316733347425E-3</v>
      </c>
      <c r="X271" s="29"/>
      <c r="Y271" s="24"/>
      <c r="Z271" s="24"/>
      <c r="AA271" s="27"/>
      <c r="AC271" s="45">
        <f t="shared" si="17"/>
        <v>2.0463999999999487</v>
      </c>
      <c r="AD271" s="45">
        <f t="shared" si="16"/>
        <v>-5.2999999999983061E-3</v>
      </c>
      <c r="AE271" s="45">
        <f t="shared" si="16"/>
        <v>2.6199999999995782E-2</v>
      </c>
      <c r="AF271" s="45">
        <f t="shared" si="16"/>
        <v>1.4699999999997715E-2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227.32480000000001</v>
      </c>
      <c r="F272" s="46">
        <v>36.906100000000002</v>
      </c>
      <c r="G272" s="46">
        <v>44.982300000000002</v>
      </c>
      <c r="H272" s="46">
        <v>44.684100000000001</v>
      </c>
      <c r="I272" s="66"/>
      <c r="J272" s="66"/>
      <c r="K272" s="67"/>
      <c r="L272" s="29"/>
      <c r="M272" s="46">
        <v>227.01519999999999</v>
      </c>
      <c r="N272" s="46">
        <v>36.911799999999999</v>
      </c>
      <c r="O272" s="46">
        <v>44.967599999999997</v>
      </c>
      <c r="P272" s="46">
        <v>44.6736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0.30960000000001742</v>
      </c>
      <c r="AD272" s="46">
        <f t="shared" si="16"/>
        <v>-5.6999999999973738E-3</v>
      </c>
      <c r="AE272" s="46">
        <f t="shared" si="16"/>
        <v>1.470000000000482E-2</v>
      </c>
      <c r="AF272" s="46">
        <f t="shared" si="16"/>
        <v>1.0500000000000398E-2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92.751999999999995</v>
      </c>
      <c r="F273" s="46">
        <v>34.928199999999997</v>
      </c>
      <c r="G273" s="46">
        <v>43.467300000000002</v>
      </c>
      <c r="H273" s="46">
        <v>43.096400000000003</v>
      </c>
      <c r="I273" s="66"/>
      <c r="J273" s="66"/>
      <c r="K273" s="67"/>
      <c r="L273" s="29"/>
      <c r="M273" s="46">
        <v>91.685599999999994</v>
      </c>
      <c r="N273" s="46">
        <v>34.935600000000001</v>
      </c>
      <c r="O273" s="46">
        <v>43.471299999999999</v>
      </c>
      <c r="P273" s="46">
        <v>43.095500000000001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1.0664000000000016</v>
      </c>
      <c r="AD273" s="46">
        <f t="shared" si="16"/>
        <v>-7.40000000000407E-3</v>
      </c>
      <c r="AE273" s="46">
        <f t="shared" si="16"/>
        <v>-3.9999999999977831E-3</v>
      </c>
      <c r="AF273" s="46">
        <f t="shared" si="16"/>
        <v>9.0000000000145519E-4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41.6648</v>
      </c>
      <c r="F274" s="72">
        <v>32.906599999999997</v>
      </c>
      <c r="G274" s="72">
        <v>42.255699999999997</v>
      </c>
      <c r="H274" s="72">
        <v>41.8765</v>
      </c>
      <c r="I274" s="68"/>
      <c r="J274" s="68"/>
      <c r="K274" s="69"/>
      <c r="L274" s="29"/>
      <c r="M274" s="72">
        <v>42.031999999999996</v>
      </c>
      <c r="N274" s="72">
        <v>32.9114</v>
      </c>
      <c r="O274" s="72">
        <v>42.304400000000001</v>
      </c>
      <c r="P274" s="72">
        <v>41.846200000000003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-0.36719999999999686</v>
      </c>
      <c r="AD274" s="72">
        <f t="shared" si="16"/>
        <v>-4.8000000000030241E-3</v>
      </c>
      <c r="AE274" s="72">
        <f t="shared" si="16"/>
        <v>-4.870000000000374E-2</v>
      </c>
      <c r="AF274" s="72">
        <f t="shared" si="16"/>
        <v>3.0299999999996885E-2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162.5872</v>
      </c>
      <c r="F275" s="45">
        <v>43.950899999999997</v>
      </c>
      <c r="G275" s="78"/>
      <c r="H275" s="78"/>
      <c r="I275" s="79"/>
      <c r="J275" s="79"/>
      <c r="K275" s="80"/>
      <c r="L275" s="29"/>
      <c r="M275" s="45">
        <v>162.71680000000001</v>
      </c>
      <c r="N275" s="45">
        <v>43.953699999999998</v>
      </c>
      <c r="O275" s="78"/>
      <c r="P275" s="78"/>
      <c r="Q275" s="79"/>
      <c r="R275" s="79"/>
      <c r="S275" s="80"/>
      <c r="U275" s="8">
        <f>bdrate($E275:$E278,F275:F278,$M275:$M278,N275:N278)</f>
        <v>-6.1333744496526732E-3</v>
      </c>
      <c r="V275" s="9"/>
      <c r="W275" s="10"/>
      <c r="X275" s="29"/>
      <c r="Y275" s="24"/>
      <c r="Z275" s="24"/>
      <c r="AA275" s="27"/>
      <c r="AC275" s="45">
        <f t="shared" si="17"/>
        <v>-0.1296000000000106</v>
      </c>
      <c r="AD275" s="45">
        <f t="shared" si="16"/>
        <v>-2.8000000000005798E-3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56.42</v>
      </c>
      <c r="F276" s="46">
        <v>41.292900000000003</v>
      </c>
      <c r="G276" s="70"/>
      <c r="H276" s="70"/>
      <c r="I276" s="66"/>
      <c r="J276" s="66"/>
      <c r="K276" s="67"/>
      <c r="L276" s="29"/>
      <c r="M276" s="46">
        <v>56.588799999999999</v>
      </c>
      <c r="N276" s="46">
        <v>41.268900000000002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-0.1687999999999974</v>
      </c>
      <c r="AD276" s="46">
        <f t="shared" si="16"/>
        <v>2.4000000000000909E-2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27.927199999999999</v>
      </c>
      <c r="F277" s="46">
        <v>39.297199999999997</v>
      </c>
      <c r="G277" s="70"/>
      <c r="H277" s="70"/>
      <c r="I277" s="66"/>
      <c r="J277" s="66"/>
      <c r="K277" s="67"/>
      <c r="L277" s="29"/>
      <c r="M277" s="46">
        <v>27.889600000000002</v>
      </c>
      <c r="N277" s="46">
        <v>39.383699999999997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3.7599999999997635E-2</v>
      </c>
      <c r="AD277" s="46">
        <f t="shared" si="16"/>
        <v>-8.6500000000000909E-2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16.313600000000001</v>
      </c>
      <c r="F278" s="46">
        <v>37.138800000000003</v>
      </c>
      <c r="G278" s="70"/>
      <c r="H278" s="70"/>
      <c r="I278" s="66"/>
      <c r="J278" s="66"/>
      <c r="K278" s="67"/>
      <c r="L278" s="29"/>
      <c r="M278" s="46">
        <v>16.231999999999999</v>
      </c>
      <c r="N278" s="46">
        <v>37.206099999999999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8.1600000000001671E-2</v>
      </c>
      <c r="AD278" s="46">
        <f t="shared" si="16"/>
        <v>-6.7299999999995919E-2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96.113600000000005</v>
      </c>
      <c r="F279" s="45">
        <v>42.115499999999997</v>
      </c>
      <c r="G279" s="78"/>
      <c r="H279" s="78"/>
      <c r="I279" s="79"/>
      <c r="J279" s="79"/>
      <c r="K279" s="80"/>
      <c r="L279" s="29"/>
      <c r="M279" s="45">
        <v>96.330399999999997</v>
      </c>
      <c r="N279" s="45">
        <v>42.1098</v>
      </c>
      <c r="O279" s="78"/>
      <c r="P279" s="78"/>
      <c r="Q279" s="79"/>
      <c r="R279" s="79"/>
      <c r="S279" s="80"/>
      <c r="U279" s="8">
        <f>bdrate($E279:$E282,F279:F282,$M279:$M282,N279:N282)</f>
        <v>-4.7229294970867475E-3</v>
      </c>
      <c r="V279" s="9"/>
      <c r="W279" s="10"/>
      <c r="X279" s="29"/>
      <c r="Y279" s="24"/>
      <c r="Z279" s="24"/>
      <c r="AA279" s="27"/>
      <c r="AC279" s="45">
        <f t="shared" si="17"/>
        <v>-0.21679999999999211</v>
      </c>
      <c r="AD279" s="45">
        <f t="shared" si="16"/>
        <v>5.6999999999973738E-3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28.6584</v>
      </c>
      <c r="F280" s="46">
        <v>39.348399999999998</v>
      </c>
      <c r="G280" s="70"/>
      <c r="H280" s="70"/>
      <c r="I280" s="66"/>
      <c r="J280" s="66"/>
      <c r="K280" s="67"/>
      <c r="L280" s="29"/>
      <c r="M280" s="46">
        <v>28.898399999999999</v>
      </c>
      <c r="N280" s="46">
        <v>39.379199999999997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-0.23999999999999844</v>
      </c>
      <c r="AD280" s="46">
        <f t="shared" si="16"/>
        <v>-3.0799999999999272E-2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13.555999999999999</v>
      </c>
      <c r="F281" s="46">
        <v>37.402500000000003</v>
      </c>
      <c r="G281" s="70"/>
      <c r="H281" s="70"/>
      <c r="I281" s="66"/>
      <c r="J281" s="66"/>
      <c r="K281" s="67"/>
      <c r="L281" s="29"/>
      <c r="M281" s="46">
        <v>13.676</v>
      </c>
      <c r="N281" s="46">
        <v>37.473300000000002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-0.12000000000000099</v>
      </c>
      <c r="AD281" s="46">
        <f t="shared" si="16"/>
        <v>-7.079999999999842E-2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7.8272000000000004</v>
      </c>
      <c r="F282" s="46">
        <v>35.023200000000003</v>
      </c>
      <c r="G282" s="70"/>
      <c r="H282" s="70"/>
      <c r="I282" s="66"/>
      <c r="J282" s="66"/>
      <c r="K282" s="67"/>
      <c r="L282" s="29"/>
      <c r="M282" s="46">
        <v>7.7624000000000004</v>
      </c>
      <c r="N282" s="46">
        <v>34.942399999999999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6.4799999999999969E-2</v>
      </c>
      <c r="AD282" s="46">
        <f t="shared" si="16"/>
        <v>8.0800000000003536E-2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109.7072</v>
      </c>
      <c r="F283" s="45">
        <v>41.5518</v>
      </c>
      <c r="G283" s="78"/>
      <c r="H283" s="78"/>
      <c r="I283" s="79"/>
      <c r="J283" s="79"/>
      <c r="K283" s="80"/>
      <c r="L283" s="29"/>
      <c r="M283" s="45">
        <v>110.47199999999999</v>
      </c>
      <c r="N283" s="45">
        <v>41.561399999999999</v>
      </c>
      <c r="O283" s="78"/>
      <c r="P283" s="78"/>
      <c r="Q283" s="79"/>
      <c r="R283" s="79"/>
      <c r="S283" s="80"/>
      <c r="U283" s="8">
        <f>bdrate($E283:$E286,F283:F286,$M283:$M286,N283:N286)</f>
        <v>-4.903676954597036E-3</v>
      </c>
      <c r="V283" s="9"/>
      <c r="W283" s="10"/>
      <c r="X283" s="29"/>
      <c r="Y283" s="24"/>
      <c r="Z283" s="24"/>
      <c r="AA283" s="27"/>
      <c r="AC283" s="45">
        <f t="shared" si="17"/>
        <v>-0.76479999999999393</v>
      </c>
      <c r="AD283" s="45">
        <f t="shared" si="16"/>
        <v>-9.5999999999989427E-3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32.015999999999998</v>
      </c>
      <c r="F284" s="46">
        <v>38.622999999999998</v>
      </c>
      <c r="G284" s="70"/>
      <c r="H284" s="70"/>
      <c r="I284" s="66"/>
      <c r="J284" s="66"/>
      <c r="K284" s="67"/>
      <c r="L284" s="29"/>
      <c r="M284" s="46">
        <v>31.975999999999999</v>
      </c>
      <c r="N284" s="46">
        <v>38.612900000000003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3.9999999999999147E-2</v>
      </c>
      <c r="AD284" s="46">
        <f t="shared" si="16"/>
        <v>1.0099999999994225E-2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14.3376</v>
      </c>
      <c r="F285" s="46">
        <v>36.741599999999998</v>
      </c>
      <c r="G285" s="70"/>
      <c r="H285" s="70"/>
      <c r="I285" s="66"/>
      <c r="J285" s="66"/>
      <c r="K285" s="67"/>
      <c r="L285" s="29"/>
      <c r="M285" s="46">
        <v>14.292</v>
      </c>
      <c r="N285" s="46">
        <v>36.775599999999997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4.5600000000000307E-2</v>
      </c>
      <c r="AD285" s="46">
        <f t="shared" si="16"/>
        <v>-3.399999999999892E-2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8.1920000000000002</v>
      </c>
      <c r="F286" s="46">
        <v>34.848500000000001</v>
      </c>
      <c r="G286" s="70"/>
      <c r="H286" s="70"/>
      <c r="I286" s="66"/>
      <c r="J286" s="66"/>
      <c r="K286" s="67"/>
      <c r="L286" s="29"/>
      <c r="M286" s="46">
        <v>8.1128</v>
      </c>
      <c r="N286" s="46">
        <v>34.915199999999999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7.9200000000000159E-2</v>
      </c>
      <c r="AD286" s="46">
        <f t="shared" si="16"/>
        <v>-6.6699999999997317E-2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39.875700000000002</v>
      </c>
      <c r="G287" s="45">
        <v>46.493299999999998</v>
      </c>
      <c r="H287" s="45">
        <v>45.917999999999999</v>
      </c>
      <c r="I287" s="79"/>
      <c r="J287" s="79"/>
      <c r="K287" s="80"/>
      <c r="L287" s="29"/>
      <c r="M287" s="78"/>
      <c r="N287" s="45">
        <v>39.876300000000001</v>
      </c>
      <c r="O287" s="45">
        <v>46.444099999999999</v>
      </c>
      <c r="P287" s="45">
        <v>45.887999999999998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-5.9999999999860165E-4</v>
      </c>
      <c r="AE287" s="45">
        <f t="shared" si="16"/>
        <v>4.9199999999999022E-2</v>
      </c>
      <c r="AF287" s="45">
        <f t="shared" si="16"/>
        <v>3.0000000000001137E-2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37.8095</v>
      </c>
      <c r="G288" s="46">
        <v>45.161799999999999</v>
      </c>
      <c r="H288" s="46">
        <v>44.366700000000002</v>
      </c>
      <c r="I288" s="66"/>
      <c r="J288" s="66"/>
      <c r="K288" s="67"/>
      <c r="L288" s="29"/>
      <c r="M288" s="70"/>
      <c r="N288" s="46">
        <v>37.814100000000003</v>
      </c>
      <c r="O288" s="46">
        <v>45.158799999999999</v>
      </c>
      <c r="P288" s="46">
        <v>44.319400000000002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-4.6000000000034902E-3</v>
      </c>
      <c r="AE288" s="46">
        <f t="shared" si="16"/>
        <v>3.0000000000001137E-3</v>
      </c>
      <c r="AF288" s="46">
        <f t="shared" si="16"/>
        <v>4.7299999999999898E-2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35.775199999999998</v>
      </c>
      <c r="G289" s="46">
        <v>43.618099999999998</v>
      </c>
      <c r="H289" s="46">
        <v>42.966500000000003</v>
      </c>
      <c r="I289" s="66"/>
      <c r="J289" s="66"/>
      <c r="K289" s="67"/>
      <c r="L289" s="29"/>
      <c r="M289" s="70"/>
      <c r="N289" s="46">
        <v>35.780500000000004</v>
      </c>
      <c r="O289" s="46">
        <v>43.710599999999999</v>
      </c>
      <c r="P289" s="46">
        <v>43.019100000000002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-5.3000000000054115E-3</v>
      </c>
      <c r="AE289" s="46">
        <f t="shared" si="16"/>
        <v>-9.2500000000001137E-2</v>
      </c>
      <c r="AF289" s="46">
        <f t="shared" si="16"/>
        <v>-5.2599999999998204E-2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33.677900000000001</v>
      </c>
      <c r="G290" s="72">
        <v>42.450299999999999</v>
      </c>
      <c r="H290" s="72">
        <v>42.033900000000003</v>
      </c>
      <c r="I290" s="68"/>
      <c r="J290" s="68"/>
      <c r="K290" s="69"/>
      <c r="L290" s="29"/>
      <c r="M290" s="81"/>
      <c r="N290" s="72">
        <v>33.671900000000001</v>
      </c>
      <c r="O290" s="72">
        <v>42.526400000000002</v>
      </c>
      <c r="P290" s="72">
        <v>42.002699999999997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6.0000000000002274E-3</v>
      </c>
      <c r="AE290" s="72">
        <f t="shared" si="16"/>
        <v>-7.6100000000003831E-2</v>
      </c>
      <c r="AF290" s="72">
        <f t="shared" si="16"/>
        <v>3.1200000000005446E-2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40.493499999999997</v>
      </c>
      <c r="G291" s="45">
        <v>47.235999999999997</v>
      </c>
      <c r="H291" s="45">
        <v>46.804099999999998</v>
      </c>
      <c r="I291" s="66"/>
      <c r="J291" s="66"/>
      <c r="K291" s="67"/>
      <c r="L291" s="29"/>
      <c r="M291" s="70"/>
      <c r="N291" s="45">
        <v>40.491599999999998</v>
      </c>
      <c r="O291" s="45">
        <v>47.193300000000001</v>
      </c>
      <c r="P291" s="45">
        <v>46.79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1.8999999999991246E-3</v>
      </c>
      <c r="AE291" s="45">
        <f t="shared" si="16"/>
        <v>4.2699999999996407E-2</v>
      </c>
      <c r="AF291" s="45">
        <f t="shared" si="16"/>
        <v>1.4099999999999113E-2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38.259799999999998</v>
      </c>
      <c r="G292" s="46">
        <v>45.703699999999998</v>
      </c>
      <c r="H292" s="46">
        <v>45.1646</v>
      </c>
      <c r="I292" s="66"/>
      <c r="J292" s="66"/>
      <c r="K292" s="67"/>
      <c r="L292" s="29"/>
      <c r="M292" s="70"/>
      <c r="N292" s="46">
        <v>38.257899999999999</v>
      </c>
      <c r="O292" s="46">
        <v>45.688800000000001</v>
      </c>
      <c r="P292" s="46">
        <v>45.131700000000002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1.8999999999991246E-3</v>
      </c>
      <c r="AE292" s="46">
        <f t="shared" si="16"/>
        <v>1.4899999999997249E-2</v>
      </c>
      <c r="AF292" s="46">
        <f t="shared" si="16"/>
        <v>3.2899999999997931E-2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36.115699999999997</v>
      </c>
      <c r="G293" s="46">
        <v>43.979599999999998</v>
      </c>
      <c r="H293" s="46">
        <v>43.533299999999997</v>
      </c>
      <c r="I293" s="66"/>
      <c r="J293" s="66"/>
      <c r="K293" s="67"/>
      <c r="L293" s="29"/>
      <c r="M293" s="70"/>
      <c r="N293" s="46">
        <v>36.120600000000003</v>
      </c>
      <c r="O293" s="46">
        <v>44.054099999999998</v>
      </c>
      <c r="P293" s="46">
        <v>43.584800000000001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-4.9000000000063437E-3</v>
      </c>
      <c r="AE293" s="46">
        <f t="shared" si="16"/>
        <v>-7.4500000000000455E-2</v>
      </c>
      <c r="AF293" s="46">
        <f t="shared" si="16"/>
        <v>-5.150000000000432E-2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33.915799999999997</v>
      </c>
      <c r="G294" s="72">
        <v>42.6843</v>
      </c>
      <c r="H294" s="72">
        <v>42.4407</v>
      </c>
      <c r="I294" s="68"/>
      <c r="J294" s="68"/>
      <c r="K294" s="69"/>
      <c r="L294" s="29"/>
      <c r="M294" s="81"/>
      <c r="N294" s="46">
        <v>33.909599999999998</v>
      </c>
      <c r="O294" s="72">
        <v>42.755800000000001</v>
      </c>
      <c r="P294" s="72">
        <v>42.406599999999997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6.1999999999997613E-3</v>
      </c>
      <c r="AE294" s="46">
        <f t="shared" si="16"/>
        <v>-7.1500000000000341E-2</v>
      </c>
      <c r="AF294" s="46">
        <f t="shared" si="16"/>
        <v>3.410000000000224E-2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40.475200000000001</v>
      </c>
      <c r="G295" s="45">
        <v>47.566699999999997</v>
      </c>
      <c r="H295" s="45">
        <v>47.185299999999998</v>
      </c>
      <c r="I295" s="66"/>
      <c r="J295" s="66"/>
      <c r="K295" s="67"/>
      <c r="L295" s="29"/>
      <c r="M295" s="70"/>
      <c r="N295" s="45">
        <v>40.479900000000001</v>
      </c>
      <c r="O295" s="45">
        <v>47.552300000000002</v>
      </c>
      <c r="P295" s="45">
        <v>47.1648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-4.6999999999997044E-3</v>
      </c>
      <c r="AE295" s="45">
        <f t="shared" si="16"/>
        <v>1.4399999999994861E-2</v>
      </c>
      <c r="AF295" s="45">
        <f t="shared" si="16"/>
        <v>2.0499999999998408E-2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38.309100000000001</v>
      </c>
      <c r="G296" s="46">
        <v>46.015000000000001</v>
      </c>
      <c r="H296" s="46">
        <v>45.586100000000002</v>
      </c>
      <c r="I296" s="66"/>
      <c r="J296" s="66"/>
      <c r="K296" s="67"/>
      <c r="L296" s="29"/>
      <c r="M296" s="70"/>
      <c r="N296" s="46">
        <v>38.308799999999998</v>
      </c>
      <c r="O296" s="46">
        <v>45.998399999999997</v>
      </c>
      <c r="P296" s="46">
        <v>45.566099999999999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3.0000000000285354E-4</v>
      </c>
      <c r="AE296" s="46">
        <f t="shared" si="16"/>
        <v>1.6600000000003945E-2</v>
      </c>
      <c r="AF296" s="46">
        <f t="shared" si="16"/>
        <v>2.0000000000003126E-2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36.175400000000003</v>
      </c>
      <c r="G297" s="46">
        <v>44.1858</v>
      </c>
      <c r="H297" s="46">
        <v>43.761000000000003</v>
      </c>
      <c r="I297" s="66"/>
      <c r="J297" s="66"/>
      <c r="K297" s="67"/>
      <c r="L297" s="29"/>
      <c r="M297" s="70"/>
      <c r="N297" s="46">
        <v>36.174500000000002</v>
      </c>
      <c r="O297" s="46">
        <v>44.200899999999997</v>
      </c>
      <c r="P297" s="46">
        <v>43.7879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9.0000000000145519E-4</v>
      </c>
      <c r="AE297" s="46">
        <f t="shared" si="16"/>
        <v>-1.5099999999996783E-2</v>
      </c>
      <c r="AF297" s="46">
        <f t="shared" si="16"/>
        <v>-2.6899999999997704E-2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33.972499999999997</v>
      </c>
      <c r="G298" s="72">
        <v>42.872599999999998</v>
      </c>
      <c r="H298" s="72">
        <v>42.496600000000001</v>
      </c>
      <c r="I298" s="68"/>
      <c r="J298" s="68"/>
      <c r="K298" s="69"/>
      <c r="L298" s="29"/>
      <c r="M298" s="81"/>
      <c r="N298" s="46">
        <v>33.966700000000003</v>
      </c>
      <c r="O298" s="72">
        <v>42.893999999999998</v>
      </c>
      <c r="P298" s="72">
        <v>42.497399999999999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5.7999999999935881E-3</v>
      </c>
      <c r="AE298" s="46">
        <f t="shared" si="16"/>
        <v>-2.1399999999999864E-2</v>
      </c>
      <c r="AF298" s="46">
        <f t="shared" si="16"/>
        <v>-7.9999999999813554E-4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40.4069</v>
      </c>
      <c r="G299" s="45">
        <v>47.4848</v>
      </c>
      <c r="H299" s="45">
        <v>47.013800000000003</v>
      </c>
      <c r="I299" s="66"/>
      <c r="J299" s="66"/>
      <c r="K299" s="67"/>
      <c r="L299" s="29"/>
      <c r="M299" s="70"/>
      <c r="N299" s="45">
        <v>40.414700000000003</v>
      </c>
      <c r="O299" s="45">
        <v>47.481499999999997</v>
      </c>
      <c r="P299" s="45">
        <v>47.003700000000002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-7.8000000000031378E-3</v>
      </c>
      <c r="AE299" s="45">
        <f t="shared" si="16"/>
        <v>3.3000000000029672E-3</v>
      </c>
      <c r="AF299" s="45">
        <f t="shared" si="16"/>
        <v>1.010000000000133E-2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38.232500000000002</v>
      </c>
      <c r="G300" s="46">
        <v>45.915700000000001</v>
      </c>
      <c r="H300" s="46">
        <v>45.375999999999998</v>
      </c>
      <c r="I300" s="66"/>
      <c r="J300" s="66"/>
      <c r="K300" s="67"/>
      <c r="L300" s="29"/>
      <c r="M300" s="70"/>
      <c r="N300" s="46">
        <v>38.226100000000002</v>
      </c>
      <c r="O300" s="46">
        <v>45.908900000000003</v>
      </c>
      <c r="P300" s="46">
        <v>45.370199999999997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6.3999999999992951E-3</v>
      </c>
      <c r="AE300" s="46">
        <f t="shared" si="16"/>
        <v>6.7999999999983629E-3</v>
      </c>
      <c r="AF300" s="46">
        <f t="shared" si="16"/>
        <v>5.8000000000006935E-3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36.108499999999999</v>
      </c>
      <c r="G301" s="46">
        <v>44.066800000000001</v>
      </c>
      <c r="H301" s="46">
        <v>43.548299999999998</v>
      </c>
      <c r="I301" s="66"/>
      <c r="J301" s="66"/>
      <c r="K301" s="67"/>
      <c r="L301" s="29"/>
      <c r="M301" s="70"/>
      <c r="N301" s="46">
        <v>36.106099999999998</v>
      </c>
      <c r="O301" s="46">
        <v>44.093899999999998</v>
      </c>
      <c r="P301" s="46">
        <v>43.573500000000003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2.400000000001512E-3</v>
      </c>
      <c r="AE301" s="46">
        <f t="shared" si="16"/>
        <v>-2.7099999999997237E-2</v>
      </c>
      <c r="AF301" s="46">
        <f t="shared" si="16"/>
        <v>-2.5200000000005218E-2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33.8979</v>
      </c>
      <c r="G302" s="72">
        <v>42.746400000000001</v>
      </c>
      <c r="H302" s="72">
        <v>42.258899999999997</v>
      </c>
      <c r="I302" s="68"/>
      <c r="J302" s="68"/>
      <c r="K302" s="69"/>
      <c r="L302" s="29"/>
      <c r="M302" s="81"/>
      <c r="N302" s="46">
        <v>33.891800000000003</v>
      </c>
      <c r="O302" s="72">
        <v>42.774700000000003</v>
      </c>
      <c r="P302" s="72">
        <v>42.2669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6.0999999999964416E-3</v>
      </c>
      <c r="AE302" s="46">
        <f t="shared" si="16"/>
        <v>-2.8300000000001546E-2</v>
      </c>
      <c r="AF302" s="46">
        <f t="shared" si="16"/>
        <v>-8.0000000000026716E-3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40.339700000000001</v>
      </c>
      <c r="G303" s="45">
        <v>47.006599999999999</v>
      </c>
      <c r="H303" s="45">
        <v>46.808799999999998</v>
      </c>
      <c r="I303" s="66"/>
      <c r="J303" s="66"/>
      <c r="K303" s="67"/>
      <c r="L303" s="29"/>
      <c r="M303" s="70"/>
      <c r="N303" s="45">
        <v>40.353400000000001</v>
      </c>
      <c r="O303" s="45">
        <v>47.025399999999998</v>
      </c>
      <c r="P303" s="45">
        <v>46.847700000000003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-1.3700000000000045E-2</v>
      </c>
      <c r="AE303" s="45">
        <f t="shared" si="16"/>
        <v>-1.8799999999998818E-2</v>
      </c>
      <c r="AF303" s="45">
        <f t="shared" si="16"/>
        <v>-3.8900000000005264E-2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38.071899999999999</v>
      </c>
      <c r="G304" s="46">
        <v>45.531700000000001</v>
      </c>
      <c r="H304" s="46">
        <v>45.225999999999999</v>
      </c>
      <c r="I304" s="66"/>
      <c r="J304" s="66"/>
      <c r="K304" s="67"/>
      <c r="L304" s="29"/>
      <c r="M304" s="70"/>
      <c r="N304" s="46">
        <v>38.069000000000003</v>
      </c>
      <c r="O304" s="46">
        <v>45.514499999999998</v>
      </c>
      <c r="P304" s="46">
        <v>45.189700000000002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2.899999999996794E-3</v>
      </c>
      <c r="AE304" s="46">
        <f t="shared" si="16"/>
        <v>1.7200000000002547E-2</v>
      </c>
      <c r="AF304" s="46">
        <f t="shared" si="16"/>
        <v>3.6299999999997112E-2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35.942500000000003</v>
      </c>
      <c r="G305" s="46">
        <v>43.778599999999997</v>
      </c>
      <c r="H305" s="46">
        <v>43.4754</v>
      </c>
      <c r="I305" s="66"/>
      <c r="J305" s="66"/>
      <c r="K305" s="67"/>
      <c r="L305" s="29"/>
      <c r="M305" s="70"/>
      <c r="N305" s="46">
        <v>35.9437</v>
      </c>
      <c r="O305" s="46">
        <v>43.818600000000004</v>
      </c>
      <c r="P305" s="46">
        <v>43.481400000000001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-1.1999999999972033E-3</v>
      </c>
      <c r="AE305" s="46">
        <f t="shared" si="16"/>
        <v>-4.0000000000006253E-2</v>
      </c>
      <c r="AF305" s="46">
        <f t="shared" si="16"/>
        <v>-6.0000000000002274E-3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33.741799999999998</v>
      </c>
      <c r="G306" s="72">
        <v>42.482999999999997</v>
      </c>
      <c r="H306" s="72">
        <v>42.1629</v>
      </c>
      <c r="I306" s="68"/>
      <c r="J306" s="68"/>
      <c r="K306" s="69"/>
      <c r="L306" s="29"/>
      <c r="M306" s="81"/>
      <c r="N306" s="72">
        <v>33.738100000000003</v>
      </c>
      <c r="O306" s="72">
        <v>42.510800000000003</v>
      </c>
      <c r="P306" s="72">
        <v>42.105600000000003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3.6999999999949296E-3</v>
      </c>
      <c r="AE306" s="72">
        <f t="shared" si="16"/>
        <v>-2.7800000000006264E-2</v>
      </c>
      <c r="AF306" s="72">
        <f t="shared" si="16"/>
        <v>5.7299999999997908E-2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39.759300000000003</v>
      </c>
      <c r="G307" s="45">
        <v>46.168199999999999</v>
      </c>
      <c r="H307" s="45">
        <v>46.397500000000001</v>
      </c>
      <c r="I307" s="66"/>
      <c r="J307" s="66"/>
      <c r="K307" s="67"/>
      <c r="L307" s="29"/>
      <c r="M307" s="70"/>
      <c r="N307" s="45">
        <v>39.767299999999999</v>
      </c>
      <c r="O307" s="45">
        <v>46.190199999999997</v>
      </c>
      <c r="P307" s="45">
        <v>46.367400000000004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-7.9999999999955662E-3</v>
      </c>
      <c r="AE307" s="45">
        <f t="shared" si="16"/>
        <v>-2.1999999999998465E-2</v>
      </c>
      <c r="AF307" s="45">
        <f t="shared" si="16"/>
        <v>3.0099999999997351E-2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37.615499999999997</v>
      </c>
      <c r="G308" s="46">
        <v>44.884500000000003</v>
      </c>
      <c r="H308" s="46">
        <v>44.862699999999997</v>
      </c>
      <c r="I308" s="66"/>
      <c r="J308" s="66"/>
      <c r="K308" s="67"/>
      <c r="L308" s="29"/>
      <c r="M308" s="70"/>
      <c r="N308" s="46">
        <v>37.618099999999998</v>
      </c>
      <c r="O308" s="46">
        <v>44.882300000000001</v>
      </c>
      <c r="P308" s="46">
        <v>44.834800000000001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-2.6000000000010459E-3</v>
      </c>
      <c r="AE308" s="46">
        <f t="shared" si="16"/>
        <v>2.2000000000019782E-3</v>
      </c>
      <c r="AF308" s="46">
        <f t="shared" si="16"/>
        <v>2.7899999999995373E-2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35.566200000000002</v>
      </c>
      <c r="G309" s="46">
        <v>43.332599999999999</v>
      </c>
      <c r="H309" s="46">
        <v>43.245699999999999</v>
      </c>
      <c r="I309" s="66"/>
      <c r="J309" s="66"/>
      <c r="K309" s="67"/>
      <c r="L309" s="29"/>
      <c r="M309" s="70"/>
      <c r="N309" s="46">
        <v>35.567399999999999</v>
      </c>
      <c r="O309" s="46">
        <v>43.387500000000003</v>
      </c>
      <c r="P309" s="46">
        <v>43.2089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-1.1999999999972033E-3</v>
      </c>
      <c r="AE309" s="46">
        <f t="shared" si="16"/>
        <v>-5.4900000000003502E-2</v>
      </c>
      <c r="AF309" s="46">
        <f t="shared" si="16"/>
        <v>3.67999999999995E-2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33.454099999999997</v>
      </c>
      <c r="G310" s="72">
        <v>42.163499999999999</v>
      </c>
      <c r="H310" s="72">
        <v>41.9801</v>
      </c>
      <c r="I310" s="68"/>
      <c r="J310" s="68"/>
      <c r="K310" s="69"/>
      <c r="L310" s="29"/>
      <c r="M310" s="81"/>
      <c r="N310" s="72">
        <v>33.449100000000001</v>
      </c>
      <c r="O310" s="72">
        <v>42.171500000000002</v>
      </c>
      <c r="P310" s="72">
        <v>41.957500000000003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4.9999999999954525E-3</v>
      </c>
      <c r="AE310" s="72">
        <f t="shared" si="16"/>
        <v>-8.0000000000026716E-3</v>
      </c>
      <c r="AF310" s="72">
        <f t="shared" si="16"/>
        <v>2.2599999999997067E-2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4326.4128000000001</v>
      </c>
      <c r="F311" s="70"/>
      <c r="G311" s="70"/>
      <c r="H311" s="70"/>
      <c r="I311" s="45">
        <v>63055.91</v>
      </c>
      <c r="J311" s="45">
        <v>53.72</v>
      </c>
      <c r="K311" s="45">
        <v>750.69</v>
      </c>
      <c r="L311" s="29"/>
      <c r="M311" s="45">
        <v>4326.8263999999999</v>
      </c>
      <c r="N311" s="70"/>
      <c r="O311" s="70"/>
      <c r="P311" s="70"/>
      <c r="Q311" s="45">
        <v>70842.899999999994</v>
      </c>
      <c r="R311" s="45">
        <v>54.81</v>
      </c>
      <c r="S311" s="45">
        <v>754.87</v>
      </c>
      <c r="U311" s="8"/>
      <c r="V311" s="9"/>
      <c r="W311" s="10"/>
      <c r="X311" s="29"/>
      <c r="Y311" s="61">
        <f>GEOMEAN(Q311:Q314)/GEOMEAN(I311:I314)</f>
        <v>1.1240623878137987</v>
      </c>
      <c r="Z311" s="61">
        <f>GEOMEAN(R311:R314)/GEOMEAN(J311:J314)</f>
        <v>1.0133678978257006</v>
      </c>
      <c r="AA311" s="57">
        <f>GEOMEAN(S311:S314)/GEOMEAN(K311:K314)</f>
        <v>1.0040002642829329</v>
      </c>
      <c r="AC311" s="45">
        <f>E311 -M311</f>
        <v>-0.4135999999998603</v>
      </c>
      <c r="AD311" s="70"/>
      <c r="AE311" s="70"/>
      <c r="AF311" s="70"/>
      <c r="AG311" s="45">
        <f t="shared" ref="AG311:AI314" si="18">I311 -Q311</f>
        <v>-7786.9899999999907</v>
      </c>
      <c r="AH311" s="45">
        <f t="shared" si="18"/>
        <v>-1.0900000000000034</v>
      </c>
      <c r="AI311" s="45">
        <f t="shared" si="18"/>
        <v>-4.17999999999995</v>
      </c>
    </row>
    <row r="312" spans="1:35" ht="12">
      <c r="B312" s="36"/>
      <c r="C312" s="29"/>
      <c r="D312" s="32">
        <v>30</v>
      </c>
      <c r="E312" s="46">
        <v>1532.0896</v>
      </c>
      <c r="F312" s="70"/>
      <c r="G312" s="70"/>
      <c r="H312" s="70"/>
      <c r="I312" s="46">
        <v>60133.68</v>
      </c>
      <c r="J312" s="46">
        <v>48.86</v>
      </c>
      <c r="K312" s="46">
        <v>751.89</v>
      </c>
      <c r="L312" s="29"/>
      <c r="M312" s="46">
        <v>1531.8440000000001</v>
      </c>
      <c r="N312" s="70"/>
      <c r="O312" s="70"/>
      <c r="P312" s="70"/>
      <c r="Q312" s="46">
        <v>67345.36</v>
      </c>
      <c r="R312" s="46">
        <v>48.78</v>
      </c>
      <c r="S312" s="46">
        <v>753.22</v>
      </c>
      <c r="U312" s="41"/>
      <c r="V312" s="42"/>
      <c r="W312" s="43"/>
      <c r="X312" s="29"/>
      <c r="Y312" s="24"/>
      <c r="Z312" s="24"/>
      <c r="AA312" s="27"/>
      <c r="AC312" s="46">
        <f>E312 -M312</f>
        <v>0.24559999999996762</v>
      </c>
      <c r="AD312" s="70"/>
      <c r="AE312" s="70"/>
      <c r="AF312" s="70"/>
      <c r="AG312" s="46">
        <f t="shared" si="18"/>
        <v>-7211.68</v>
      </c>
      <c r="AH312" s="46">
        <f t="shared" si="18"/>
        <v>7.9999999999998295E-2</v>
      </c>
      <c r="AI312" s="46">
        <f t="shared" si="18"/>
        <v>-1.3300000000000409</v>
      </c>
    </row>
    <row r="313" spans="1:35" ht="12">
      <c r="B313" s="36"/>
      <c r="C313" s="29"/>
      <c r="D313" s="32">
        <v>35</v>
      </c>
      <c r="E313" s="46">
        <v>705.13279999999997</v>
      </c>
      <c r="F313" s="70"/>
      <c r="G313" s="70"/>
      <c r="H313" s="70"/>
      <c r="I313" s="46">
        <v>58823.26</v>
      </c>
      <c r="J313" s="46">
        <v>44.9</v>
      </c>
      <c r="K313" s="46">
        <v>753.64</v>
      </c>
      <c r="L313" s="29"/>
      <c r="M313" s="46">
        <v>704.23360000000002</v>
      </c>
      <c r="N313" s="70"/>
      <c r="O313" s="70"/>
      <c r="P313" s="70"/>
      <c r="Q313" s="46">
        <v>66022.53</v>
      </c>
      <c r="R313" s="46">
        <v>45.34</v>
      </c>
      <c r="S313" s="46">
        <v>753.03</v>
      </c>
      <c r="U313" s="17"/>
      <c r="V313" s="18"/>
      <c r="W313" s="19"/>
      <c r="X313" s="29"/>
      <c r="Y313" s="24"/>
      <c r="Z313" s="24"/>
      <c r="AA313" s="27"/>
      <c r="AC313" s="46">
        <f>E313 -M313</f>
        <v>0.89919999999995071</v>
      </c>
      <c r="AD313" s="70"/>
      <c r="AE313" s="70"/>
      <c r="AF313" s="70"/>
      <c r="AG313" s="46">
        <f t="shared" si="18"/>
        <v>-7199.2699999999968</v>
      </c>
      <c r="AH313" s="46">
        <f t="shared" si="18"/>
        <v>-0.44000000000000483</v>
      </c>
      <c r="AI313" s="46">
        <f t="shared" si="18"/>
        <v>0.61000000000001364</v>
      </c>
    </row>
    <row r="314" spans="1:35" ht="12.75" thickBot="1">
      <c r="B314" s="52"/>
      <c r="C314" s="53"/>
      <c r="D314" s="71">
        <v>40</v>
      </c>
      <c r="E314" s="72">
        <v>360.86399999999998</v>
      </c>
      <c r="F314" s="81"/>
      <c r="G314" s="81"/>
      <c r="H314" s="81"/>
      <c r="I314" s="72">
        <v>58219.31</v>
      </c>
      <c r="J314" s="72">
        <v>42.41</v>
      </c>
      <c r="K314" s="72">
        <v>756.55</v>
      </c>
      <c r="L314" s="29"/>
      <c r="M314" s="72">
        <v>361.39519999999999</v>
      </c>
      <c r="N314" s="81"/>
      <c r="O314" s="81"/>
      <c r="P314" s="81"/>
      <c r="Q314" s="72">
        <v>65815.05</v>
      </c>
      <c r="R314" s="72">
        <v>43.48</v>
      </c>
      <c r="S314" s="72">
        <v>763.74</v>
      </c>
      <c r="U314" s="85"/>
      <c r="V314" s="86"/>
      <c r="W314" s="87"/>
      <c r="X314" s="29"/>
      <c r="Y314" s="49"/>
      <c r="Z314" s="49"/>
      <c r="AA314" s="54"/>
      <c r="AC314" s="72">
        <f>E314 -M314</f>
        <v>-0.53120000000001255</v>
      </c>
      <c r="AD314" s="81"/>
      <c r="AE314" s="81"/>
      <c r="AF314" s="81"/>
      <c r="AG314" s="72">
        <f t="shared" si="18"/>
        <v>-7595.7400000000052</v>
      </c>
      <c r="AH314" s="72">
        <f t="shared" si="18"/>
        <v>-1.0700000000000003</v>
      </c>
      <c r="AI314" s="72">
        <f t="shared" si="18"/>
        <v>-7.1900000000000546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4625.5200000000004</v>
      </c>
      <c r="F315" s="45">
        <v>38.804099999999998</v>
      </c>
      <c r="G315" s="45">
        <v>46.651000000000003</v>
      </c>
      <c r="H315" s="45">
        <v>45.962400000000002</v>
      </c>
      <c r="I315" s="79"/>
      <c r="J315" s="79"/>
      <c r="K315" s="80"/>
      <c r="L315" s="29"/>
      <c r="M315" s="45">
        <v>4626.1567999999997</v>
      </c>
      <c r="N315" s="45">
        <v>38.804299999999998</v>
      </c>
      <c r="O315" s="45">
        <v>46.648699999999998</v>
      </c>
      <c r="P315" s="45">
        <v>45.960900000000002</v>
      </c>
      <c r="Q315" s="79"/>
      <c r="R315" s="79"/>
      <c r="S315" s="80"/>
      <c r="U315" s="8">
        <f>bdrate($E315:$E318,F315:F318,$M315:$M318,N315:N318)</f>
        <v>1.7702813846676158E-4</v>
      </c>
      <c r="V315" s="9">
        <f>bdrate($E315:$E318,G315:G318,$M315:$M318,O315:O318)</f>
        <v>2.7693946668692071E-3</v>
      </c>
      <c r="W315" s="10">
        <f>bdrate($E315:$E318,H315:H318,$M315:$M318,P315:P318)</f>
        <v>-5.2130648396770951E-3</v>
      </c>
      <c r="X315" s="29"/>
      <c r="Y315" s="22"/>
      <c r="Z315" s="22"/>
      <c r="AA315" s="26"/>
      <c r="AC315" s="45">
        <f>E315 -M315</f>
        <v>-0.63679999999931169</v>
      </c>
      <c r="AD315" s="45">
        <f t="shared" ref="AD315:AF362" si="19">F315 -N315</f>
        <v>-1.9999999999953388E-4</v>
      </c>
      <c r="AE315" s="45">
        <f t="shared" si="19"/>
        <v>2.3000000000052978E-3</v>
      </c>
      <c r="AF315" s="45">
        <f t="shared" si="19"/>
        <v>1.5000000000000568E-3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2005.9280000000001</v>
      </c>
      <c r="F316" s="46">
        <v>35.9101</v>
      </c>
      <c r="G316" s="46">
        <v>45.167099999999998</v>
      </c>
      <c r="H316" s="46">
        <v>44.568600000000004</v>
      </c>
      <c r="I316" s="66"/>
      <c r="J316" s="66"/>
      <c r="K316" s="67"/>
      <c r="L316" s="29"/>
      <c r="M316" s="46">
        <v>2004.9192</v>
      </c>
      <c r="N316" s="46">
        <v>35.9099</v>
      </c>
      <c r="O316" s="46">
        <v>45.154800000000002</v>
      </c>
      <c r="P316" s="46">
        <v>44.582700000000003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1.0088000000000648</v>
      </c>
      <c r="AD316" s="46">
        <f t="shared" si="19"/>
        <v>1.9999999999953388E-4</v>
      </c>
      <c r="AE316" s="46">
        <f t="shared" si="19"/>
        <v>1.2299999999996203E-2</v>
      </c>
      <c r="AF316" s="46">
        <f t="shared" si="19"/>
        <v>-1.4099999999999113E-2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917.18399999999997</v>
      </c>
      <c r="F317" s="46">
        <v>33.379300000000001</v>
      </c>
      <c r="G317" s="46">
        <v>43.793300000000002</v>
      </c>
      <c r="H317" s="46">
        <v>43.325699999999998</v>
      </c>
      <c r="I317" s="66"/>
      <c r="J317" s="66"/>
      <c r="K317" s="67"/>
      <c r="L317" s="29"/>
      <c r="M317" s="46">
        <v>916.6712</v>
      </c>
      <c r="N317" s="46">
        <v>33.376899999999999</v>
      </c>
      <c r="O317" s="46">
        <v>43.787399999999998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0.51279999999997017</v>
      </c>
      <c r="AD317" s="46">
        <f t="shared" si="19"/>
        <v>2.400000000001512E-3</v>
      </c>
      <c r="AE317" s="46">
        <f t="shared" si="19"/>
        <v>5.9000000000040131E-3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425.13119999999998</v>
      </c>
      <c r="F318" s="46">
        <v>31.083400000000001</v>
      </c>
      <c r="G318" s="46">
        <v>43.004300000000001</v>
      </c>
      <c r="H318" s="46">
        <v>42.5764</v>
      </c>
      <c r="I318" s="66"/>
      <c r="J318" s="66"/>
      <c r="K318" s="67"/>
      <c r="L318" s="29"/>
      <c r="M318" s="46">
        <v>425.7</v>
      </c>
      <c r="N318" s="46">
        <v>31.08</v>
      </c>
      <c r="O318" s="46">
        <v>43.024799999999999</v>
      </c>
      <c r="P318" s="46">
        <v>42.588700000000003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-0.56880000000001019</v>
      </c>
      <c r="AD318" s="46">
        <f t="shared" si="19"/>
        <v>3.4000000000027342E-3</v>
      </c>
      <c r="AE318" s="46">
        <f t="shared" si="19"/>
        <v>-2.0499999999998408E-2</v>
      </c>
      <c r="AF318" s="46">
        <f t="shared" si="19"/>
        <v>-1.2300000000003308E-2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1044.6959999999999</v>
      </c>
      <c r="F319" s="45">
        <v>37.945700000000002</v>
      </c>
      <c r="G319" s="45">
        <v>46.563600000000001</v>
      </c>
      <c r="H319" s="45">
        <v>45.968699999999998</v>
      </c>
      <c r="I319" s="79"/>
      <c r="J319" s="79"/>
      <c r="K319" s="80"/>
      <c r="L319" s="29"/>
      <c r="M319" s="45">
        <v>1045.6487999999999</v>
      </c>
      <c r="N319" s="45">
        <v>37.948300000000003</v>
      </c>
      <c r="O319" s="45">
        <v>46.561</v>
      </c>
      <c r="P319" s="45">
        <v>45.964100000000002</v>
      </c>
      <c r="Q319" s="79"/>
      <c r="R319" s="79"/>
      <c r="S319" s="80"/>
      <c r="U319" s="8">
        <f>bdrate($E319:$E322,F319:F322,$M319:$M322,N319:N322)</f>
        <v>1.6990693862581896E-3</v>
      </c>
      <c r="V319" s="9">
        <f>bdrate($E319:$E322,G319:G322,$M319:$M322,O319:O322)</f>
        <v>3.0002382037690456E-3</v>
      </c>
      <c r="W319" s="10">
        <f>bdrate($E319:$E322,H319:H322,$M319:$M322,P319:P322)</f>
        <v>-2.9570879639048142E-3</v>
      </c>
      <c r="X319" s="29"/>
      <c r="Y319" s="24"/>
      <c r="Z319" s="24"/>
      <c r="AA319" s="27"/>
      <c r="AC319" s="45">
        <f t="shared" si="20"/>
        <v>-0.95280000000002474</v>
      </c>
      <c r="AD319" s="45">
        <f t="shared" si="19"/>
        <v>-2.6000000000010459E-3</v>
      </c>
      <c r="AE319" s="45">
        <f t="shared" si="19"/>
        <v>2.6000000000010459E-3</v>
      </c>
      <c r="AF319" s="45">
        <f t="shared" si="19"/>
        <v>4.5999999999963848E-3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406.55599999999998</v>
      </c>
      <c r="F320" s="46">
        <v>35.307200000000002</v>
      </c>
      <c r="G320" s="46">
        <v>45.110100000000003</v>
      </c>
      <c r="H320" s="46">
        <v>44.5747</v>
      </c>
      <c r="I320" s="66"/>
      <c r="J320" s="66"/>
      <c r="K320" s="67"/>
      <c r="L320" s="29"/>
      <c r="M320" s="46">
        <v>407.1112</v>
      </c>
      <c r="N320" s="46">
        <v>35.308599999999998</v>
      </c>
      <c r="O320" s="46">
        <v>45.106099999999998</v>
      </c>
      <c r="P320" s="46">
        <v>44.5884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-0.55520000000001346</v>
      </c>
      <c r="AD320" s="46">
        <f t="shared" si="19"/>
        <v>-1.3999999999967372E-3</v>
      </c>
      <c r="AE320" s="46">
        <f t="shared" si="19"/>
        <v>4.0000000000048885E-3</v>
      </c>
      <c r="AF320" s="46">
        <f t="shared" si="19"/>
        <v>-1.3700000000000045E-2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188.12880000000001</v>
      </c>
      <c r="F321" s="46">
        <v>32.911000000000001</v>
      </c>
      <c r="G321" s="46">
        <v>43.830300000000001</v>
      </c>
      <c r="H321" s="46">
        <v>43.380200000000002</v>
      </c>
      <c r="I321" s="66"/>
      <c r="J321" s="66"/>
      <c r="K321" s="67"/>
      <c r="L321" s="29"/>
      <c r="M321" s="46">
        <v>188.73439999999999</v>
      </c>
      <c r="N321" s="46">
        <v>32.909100000000002</v>
      </c>
      <c r="O321" s="46">
        <v>43.824199999999998</v>
      </c>
      <c r="P321" s="46">
        <v>43.380400000000002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-0.60559999999998126</v>
      </c>
      <c r="AD321" s="46">
        <f t="shared" si="19"/>
        <v>1.8999999999991246E-3</v>
      </c>
      <c r="AE321" s="46">
        <f t="shared" si="19"/>
        <v>6.100000000003547E-3</v>
      </c>
      <c r="AF321" s="46">
        <f t="shared" si="19"/>
        <v>-1.9999999999953388E-4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93.630399999999995</v>
      </c>
      <c r="F322" s="46">
        <v>30.667300000000001</v>
      </c>
      <c r="G322" s="46">
        <v>43.0197</v>
      </c>
      <c r="H322" s="46">
        <v>42.619799999999998</v>
      </c>
      <c r="I322" s="66"/>
      <c r="J322" s="66"/>
      <c r="K322" s="67"/>
      <c r="L322" s="29"/>
      <c r="M322" s="46">
        <v>93.426400000000001</v>
      </c>
      <c r="N322" s="46">
        <v>30.659600000000001</v>
      </c>
      <c r="O322" s="46">
        <v>43.037399999999998</v>
      </c>
      <c r="P322" s="46">
        <v>42.630499999999998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0.20399999999999352</v>
      </c>
      <c r="AD322" s="46">
        <f t="shared" si="19"/>
        <v>7.6999999999998181E-3</v>
      </c>
      <c r="AE322" s="46">
        <f t="shared" si="19"/>
        <v>-1.7699999999997829E-2</v>
      </c>
      <c r="AF322" s="46">
        <f t="shared" si="19"/>
        <v>-1.0699999999999932E-2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994.37840000000006</v>
      </c>
      <c r="F323" s="45">
        <v>38.110100000000003</v>
      </c>
      <c r="G323" s="45">
        <v>46.505899999999997</v>
      </c>
      <c r="H323" s="45">
        <v>45.768999999999998</v>
      </c>
      <c r="I323" s="79"/>
      <c r="J323" s="79"/>
      <c r="K323" s="80"/>
      <c r="L323" s="29"/>
      <c r="M323" s="45">
        <v>993.63520000000005</v>
      </c>
      <c r="N323" s="45">
        <v>38.112099999999998</v>
      </c>
      <c r="O323" s="45">
        <v>46.500500000000002</v>
      </c>
      <c r="P323" s="45">
        <v>45.770400000000002</v>
      </c>
      <c r="Q323" s="79"/>
      <c r="R323" s="79"/>
      <c r="S323" s="80"/>
      <c r="U323" s="8">
        <f>bdrate($E323:$E326,F323:F326,$M323:$M326,N323:N326)</f>
        <v>5.5032682592170978E-4</v>
      </c>
      <c r="V323" s="9">
        <f>bdrate($E323:$E326,G323:G326,$M323:$M326,O323:O326)</f>
        <v>2.6216142941497544E-3</v>
      </c>
      <c r="W323" s="10">
        <f>bdrate($E323:$E326,H323:H326,$M323:$M326,P323:P326)</f>
        <v>-5.7624937245904784E-3</v>
      </c>
      <c r="X323" s="29"/>
      <c r="Y323" s="24"/>
      <c r="Z323" s="24"/>
      <c r="AA323" s="27"/>
      <c r="AC323" s="45">
        <f t="shared" si="20"/>
        <v>0.74320000000000164</v>
      </c>
      <c r="AD323" s="45">
        <f t="shared" si="19"/>
        <v>-1.9999999999953388E-3</v>
      </c>
      <c r="AE323" s="45">
        <f t="shared" si="19"/>
        <v>5.3999999999945203E-3</v>
      </c>
      <c r="AF323" s="45">
        <f t="shared" si="19"/>
        <v>-1.4000000000038426E-3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385.24160000000001</v>
      </c>
      <c r="F324" s="46">
        <v>35.487400000000001</v>
      </c>
      <c r="G324" s="46">
        <v>45.044800000000002</v>
      </c>
      <c r="H324" s="46">
        <v>44.409500000000001</v>
      </c>
      <c r="I324" s="66"/>
      <c r="J324" s="66"/>
      <c r="K324" s="67"/>
      <c r="L324" s="29"/>
      <c r="M324" s="46">
        <v>385.17759999999998</v>
      </c>
      <c r="N324" s="46">
        <v>35.490499999999997</v>
      </c>
      <c r="O324" s="46">
        <v>45.04</v>
      </c>
      <c r="P324" s="46">
        <v>44.421300000000002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6.4000000000021373E-2</v>
      </c>
      <c r="AD324" s="46">
        <f t="shared" si="19"/>
        <v>-3.0999999999963279E-3</v>
      </c>
      <c r="AE324" s="46">
        <f t="shared" si="19"/>
        <v>4.8000000000030241E-3</v>
      </c>
      <c r="AF324" s="46">
        <f t="shared" si="19"/>
        <v>-1.1800000000000921E-2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179.0016</v>
      </c>
      <c r="F325" s="46">
        <v>33.0899</v>
      </c>
      <c r="G325" s="46">
        <v>43.741500000000002</v>
      </c>
      <c r="H325" s="46">
        <v>43.231000000000002</v>
      </c>
      <c r="I325" s="66"/>
      <c r="J325" s="66"/>
      <c r="K325" s="67"/>
      <c r="L325" s="29"/>
      <c r="M325" s="46">
        <v>179.43279999999999</v>
      </c>
      <c r="N325" s="46">
        <v>33.088999999999999</v>
      </c>
      <c r="O325" s="46">
        <v>43.735599999999998</v>
      </c>
      <c r="P325" s="46">
        <v>43.235599999999998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-0.43119999999998981</v>
      </c>
      <c r="AD325" s="46">
        <f t="shared" si="19"/>
        <v>9.0000000000145519E-4</v>
      </c>
      <c r="AE325" s="46">
        <f t="shared" si="19"/>
        <v>5.9000000000040131E-3</v>
      </c>
      <c r="AF325" s="46">
        <f t="shared" si="19"/>
        <v>-4.5999999999963848E-3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90.232799999999997</v>
      </c>
      <c r="F326" s="72">
        <v>30.831700000000001</v>
      </c>
      <c r="G326" s="72">
        <v>42.946199999999997</v>
      </c>
      <c r="H326" s="72">
        <v>42.474299999999999</v>
      </c>
      <c r="I326" s="68"/>
      <c r="J326" s="68"/>
      <c r="K326" s="69"/>
      <c r="L326" s="29"/>
      <c r="M326" s="72">
        <v>90.431200000000004</v>
      </c>
      <c r="N326" s="72">
        <v>30.830300000000001</v>
      </c>
      <c r="O326" s="72">
        <v>42.963500000000003</v>
      </c>
      <c r="P326" s="72">
        <v>42.495199999999997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-0.19840000000000657</v>
      </c>
      <c r="AD326" s="72">
        <f t="shared" si="19"/>
        <v>1.4000000000002899E-3</v>
      </c>
      <c r="AE326" s="72">
        <f t="shared" si="19"/>
        <v>-1.7300000000005866E-2</v>
      </c>
      <c r="AF326" s="72">
        <f t="shared" si="19"/>
        <v>-2.0899999999997476E-2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261.45600000000002</v>
      </c>
      <c r="F327" s="45">
        <v>45.618499999999997</v>
      </c>
      <c r="G327" s="78"/>
      <c r="H327" s="78"/>
      <c r="I327" s="79"/>
      <c r="J327" s="79"/>
      <c r="K327" s="80"/>
      <c r="L327" s="29"/>
      <c r="M327" s="45">
        <v>262.03199999999998</v>
      </c>
      <c r="N327" s="45">
        <v>45.590800000000002</v>
      </c>
      <c r="O327" s="78"/>
      <c r="P327" s="78"/>
      <c r="Q327" s="79"/>
      <c r="R327" s="79"/>
      <c r="S327" s="80"/>
      <c r="U327" s="8">
        <f>bdrate($E327:$E330,F327:F330,$M327:$M330,N327:N330)</f>
        <v>4.3894040326941663E-4</v>
      </c>
      <c r="V327" s="9"/>
      <c r="W327" s="10"/>
      <c r="X327" s="29"/>
      <c r="Y327" s="24"/>
      <c r="Z327" s="24"/>
      <c r="AA327" s="27"/>
      <c r="AC327" s="45">
        <f t="shared" si="20"/>
        <v>-0.57599999999996498</v>
      </c>
      <c r="AD327" s="45">
        <f t="shared" si="19"/>
        <v>2.7699999999995839E-2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123.3408</v>
      </c>
      <c r="F328" s="46">
        <v>41.261299999999999</v>
      </c>
      <c r="G328" s="70"/>
      <c r="H328" s="70"/>
      <c r="I328" s="66"/>
      <c r="J328" s="66"/>
      <c r="K328" s="67"/>
      <c r="L328" s="29"/>
      <c r="M328" s="46">
        <v>122.488</v>
      </c>
      <c r="N328" s="46">
        <v>41.291600000000003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0.852800000000002</v>
      </c>
      <c r="AD328" s="46">
        <f t="shared" si="19"/>
        <v>-3.030000000000399E-2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65.718400000000003</v>
      </c>
      <c r="F329" s="46">
        <v>38.076700000000002</v>
      </c>
      <c r="G329" s="70"/>
      <c r="H329" s="70"/>
      <c r="I329" s="66"/>
      <c r="J329" s="66"/>
      <c r="K329" s="67"/>
      <c r="L329" s="29"/>
      <c r="M329" s="46">
        <v>65.839200000000005</v>
      </c>
      <c r="N329" s="46">
        <v>38.042999999999999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-0.12080000000000268</v>
      </c>
      <c r="AD329" s="46">
        <f t="shared" si="19"/>
        <v>3.3700000000003172E-2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33.616</v>
      </c>
      <c r="F330" s="46">
        <v>34.951500000000003</v>
      </c>
      <c r="G330" s="70"/>
      <c r="H330" s="70"/>
      <c r="I330" s="66"/>
      <c r="J330" s="66"/>
      <c r="K330" s="67"/>
      <c r="L330" s="29"/>
      <c r="M330" s="46">
        <v>33.667200000000001</v>
      </c>
      <c r="N330" s="46">
        <v>34.8748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-5.1200000000001467E-2</v>
      </c>
      <c r="AD330" s="46">
        <f t="shared" si="19"/>
        <v>7.6700000000002433E-2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123.5176</v>
      </c>
      <c r="F331" s="45">
        <v>44.197499999999998</v>
      </c>
      <c r="G331" s="78"/>
      <c r="H331" s="78"/>
      <c r="I331" s="79"/>
      <c r="J331" s="79"/>
      <c r="K331" s="80"/>
      <c r="L331" s="29"/>
      <c r="M331" s="45">
        <v>123.6896</v>
      </c>
      <c r="N331" s="45">
        <v>44.243400000000001</v>
      </c>
      <c r="O331" s="78"/>
      <c r="P331" s="78"/>
      <c r="Q331" s="79"/>
      <c r="R331" s="79"/>
      <c r="S331" s="80"/>
      <c r="U331" s="8">
        <f>bdrate($E331:$E334,F331:F334,$M331:$M334,N331:N334)</f>
        <v>4.9417501065402991E-3</v>
      </c>
      <c r="V331" s="9"/>
      <c r="W331" s="10"/>
      <c r="X331" s="29"/>
      <c r="Y331" s="24"/>
      <c r="Z331" s="24"/>
      <c r="AA331" s="27"/>
      <c r="AC331" s="45">
        <f t="shared" si="20"/>
        <v>-0.17199999999999704</v>
      </c>
      <c r="AD331" s="45">
        <f t="shared" si="19"/>
        <v>-4.590000000000316E-2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57.724800000000002</v>
      </c>
      <c r="F332" s="46">
        <v>39.986600000000003</v>
      </c>
      <c r="G332" s="70"/>
      <c r="H332" s="70"/>
      <c r="I332" s="66"/>
      <c r="J332" s="66"/>
      <c r="K332" s="67"/>
      <c r="L332" s="29"/>
      <c r="M332" s="46">
        <v>57.804000000000002</v>
      </c>
      <c r="N332" s="46">
        <v>40.051699999999997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-7.9200000000000159E-2</v>
      </c>
      <c r="AD332" s="46">
        <f t="shared" si="19"/>
        <v>-6.509999999999394E-2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33.171199999999999</v>
      </c>
      <c r="F333" s="46">
        <v>36.8157</v>
      </c>
      <c r="G333" s="70"/>
      <c r="H333" s="70"/>
      <c r="I333" s="66"/>
      <c r="J333" s="66"/>
      <c r="K333" s="67"/>
      <c r="L333" s="29"/>
      <c r="M333" s="46">
        <v>33.323999999999998</v>
      </c>
      <c r="N333" s="46">
        <v>36.747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-0.15279999999999916</v>
      </c>
      <c r="AD333" s="46">
        <f t="shared" si="19"/>
        <v>6.8699999999999761E-2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19.472799999999999</v>
      </c>
      <c r="F334" s="46">
        <v>33.551099999999998</v>
      </c>
      <c r="G334" s="70"/>
      <c r="H334" s="70"/>
      <c r="I334" s="66"/>
      <c r="J334" s="66"/>
      <c r="K334" s="67"/>
      <c r="L334" s="29"/>
      <c r="M334" s="46">
        <v>19.779199999999999</v>
      </c>
      <c r="N334" s="46">
        <v>33.3538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-0.30640000000000001</v>
      </c>
      <c r="AD334" s="46">
        <f t="shared" si="19"/>
        <v>0.19729999999999848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121.2816</v>
      </c>
      <c r="F335" s="45">
        <v>44.384500000000003</v>
      </c>
      <c r="G335" s="78"/>
      <c r="H335" s="78"/>
      <c r="I335" s="79"/>
      <c r="J335" s="79"/>
      <c r="K335" s="80"/>
      <c r="L335" s="29"/>
      <c r="M335" s="45">
        <v>121.3168</v>
      </c>
      <c r="N335" s="45">
        <v>44.310499999999998</v>
      </c>
      <c r="O335" s="78"/>
      <c r="P335" s="78"/>
      <c r="Q335" s="79"/>
      <c r="R335" s="79"/>
      <c r="S335" s="80"/>
      <c r="U335" s="8">
        <f>bdrate($E335:$E338,F335:F338,$M335:$M338,N335:N338)</f>
        <v>-2.5372813407431583E-4</v>
      </c>
      <c r="V335" s="9"/>
      <c r="W335" s="10"/>
      <c r="X335" s="29"/>
      <c r="Y335" s="24"/>
      <c r="Z335" s="24"/>
      <c r="AA335" s="27"/>
      <c r="AC335" s="45">
        <f t="shared" si="20"/>
        <v>-3.5200000000003229E-2</v>
      </c>
      <c r="AD335" s="45">
        <f t="shared" si="19"/>
        <v>7.4000000000005173E-2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58.409599999999998</v>
      </c>
      <c r="F336" s="46">
        <v>39.944600000000001</v>
      </c>
      <c r="G336" s="70"/>
      <c r="H336" s="70"/>
      <c r="I336" s="66"/>
      <c r="J336" s="66"/>
      <c r="K336" s="67"/>
      <c r="L336" s="29"/>
      <c r="M336" s="46">
        <v>58.796799999999998</v>
      </c>
      <c r="N336" s="46">
        <v>39.985399999999998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-0.38719999999999999</v>
      </c>
      <c r="AD336" s="46">
        <f t="shared" si="19"/>
        <v>-4.0799999999997283E-2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33.619999999999997</v>
      </c>
      <c r="F337" s="46">
        <v>36.539700000000003</v>
      </c>
      <c r="G337" s="70"/>
      <c r="H337" s="70"/>
      <c r="I337" s="66"/>
      <c r="J337" s="66"/>
      <c r="K337" s="67"/>
      <c r="L337" s="29"/>
      <c r="M337" s="46">
        <v>33.287999999999997</v>
      </c>
      <c r="N337" s="46">
        <v>36.549300000000002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0.33200000000000074</v>
      </c>
      <c r="AD337" s="46">
        <f t="shared" si="19"/>
        <v>-9.5999999999989427E-3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19.307200000000002</v>
      </c>
      <c r="F338" s="46">
        <v>33.430799999999998</v>
      </c>
      <c r="G338" s="70"/>
      <c r="H338" s="70"/>
      <c r="I338" s="66"/>
      <c r="J338" s="66"/>
      <c r="K338" s="67"/>
      <c r="L338" s="29"/>
      <c r="M338" s="46">
        <v>19.335999999999999</v>
      </c>
      <c r="N338" s="46">
        <v>33.3583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-2.8799999999996828E-2</v>
      </c>
      <c r="AD338" s="46">
        <f t="shared" si="19"/>
        <v>7.249999999999801E-2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38.202500000000001</v>
      </c>
      <c r="G339" s="45">
        <v>46.5593</v>
      </c>
      <c r="H339" s="45">
        <v>45.802</v>
      </c>
      <c r="I339" s="79"/>
      <c r="J339" s="79"/>
      <c r="K339" s="80"/>
      <c r="L339" s="29"/>
      <c r="M339" s="78"/>
      <c r="N339" s="45">
        <v>38.196100000000001</v>
      </c>
      <c r="O339" s="45">
        <v>46.552599999999998</v>
      </c>
      <c r="P339" s="45">
        <v>45.730499999999999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6.3999999999992951E-3</v>
      </c>
      <c r="AE339" s="45">
        <f t="shared" si="19"/>
        <v>6.7000000000021487E-3</v>
      </c>
      <c r="AF339" s="45">
        <f t="shared" si="19"/>
        <v>7.1500000000000341E-2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35.420699999999997</v>
      </c>
      <c r="G340" s="46">
        <v>45.183799999999998</v>
      </c>
      <c r="H340" s="46">
        <v>44.484200000000001</v>
      </c>
      <c r="I340" s="66"/>
      <c r="J340" s="66"/>
      <c r="K340" s="67"/>
      <c r="L340" s="29"/>
      <c r="M340" s="70"/>
      <c r="N340" s="46">
        <v>35.442300000000003</v>
      </c>
      <c r="O340" s="46">
        <v>45.1937</v>
      </c>
      <c r="P340" s="46">
        <v>44.5565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-2.1600000000006503E-2</v>
      </c>
      <c r="AE340" s="46">
        <f t="shared" si="19"/>
        <v>-9.9000000000017963E-3</v>
      </c>
      <c r="AF340" s="46">
        <f t="shared" si="19"/>
        <v>-7.2299999999998477E-2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32.993499999999997</v>
      </c>
      <c r="G341" s="46">
        <v>44.018900000000002</v>
      </c>
      <c r="H341" s="46">
        <v>43.452599999999997</v>
      </c>
      <c r="I341" s="66"/>
      <c r="J341" s="66"/>
      <c r="K341" s="67"/>
      <c r="L341" s="29"/>
      <c r="M341" s="70"/>
      <c r="N341" s="46">
        <v>32.997399999999999</v>
      </c>
      <c r="O341" s="46">
        <v>44.011000000000003</v>
      </c>
      <c r="P341" s="46">
        <v>43.442100000000003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-3.9000000000015689E-3</v>
      </c>
      <c r="AE341" s="46">
        <f t="shared" si="19"/>
        <v>7.899999999999352E-3</v>
      </c>
      <c r="AF341" s="46">
        <f t="shared" si="19"/>
        <v>1.0499999999993292E-2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30.713000000000001</v>
      </c>
      <c r="G342" s="72">
        <v>43.289499999999997</v>
      </c>
      <c r="H342" s="72">
        <v>42.744199999999999</v>
      </c>
      <c r="I342" s="68"/>
      <c r="J342" s="68"/>
      <c r="K342" s="69"/>
      <c r="L342" s="29"/>
      <c r="M342" s="81"/>
      <c r="N342" s="72">
        <v>30.713999999999999</v>
      </c>
      <c r="O342" s="72">
        <v>43.298999999999999</v>
      </c>
      <c r="P342" s="72">
        <v>42.7699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-9.9999999999766942E-4</v>
      </c>
      <c r="AE342" s="72">
        <f t="shared" si="19"/>
        <v>-9.5000000000027285E-3</v>
      </c>
      <c r="AF342" s="72">
        <f t="shared" si="19"/>
        <v>-2.57000000000005E-2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38.545499999999997</v>
      </c>
      <c r="G343" s="45">
        <v>46.917200000000001</v>
      </c>
      <c r="H343" s="45">
        <v>46.164499999999997</v>
      </c>
      <c r="I343" s="66"/>
      <c r="J343" s="66"/>
      <c r="K343" s="67"/>
      <c r="L343" s="29"/>
      <c r="M343" s="70"/>
      <c r="N343" s="45">
        <v>38.521900000000002</v>
      </c>
      <c r="O343" s="45">
        <v>46.941200000000002</v>
      </c>
      <c r="P343" s="45">
        <v>46.099800000000002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2.3599999999994736E-2</v>
      </c>
      <c r="AE343" s="45">
        <f t="shared" si="19"/>
        <v>-2.4000000000000909E-2</v>
      </c>
      <c r="AF343" s="45">
        <f t="shared" si="19"/>
        <v>6.4699999999994873E-2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35.684899999999999</v>
      </c>
      <c r="G344" s="46">
        <v>45.501399999999997</v>
      </c>
      <c r="H344" s="46">
        <v>44.812399999999997</v>
      </c>
      <c r="I344" s="66"/>
      <c r="J344" s="66"/>
      <c r="K344" s="67"/>
      <c r="L344" s="29"/>
      <c r="M344" s="70"/>
      <c r="N344" s="46">
        <v>35.673400000000001</v>
      </c>
      <c r="O344" s="46">
        <v>45.495199999999997</v>
      </c>
      <c r="P344" s="46">
        <v>44.902299999999997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1.1499999999998067E-2</v>
      </c>
      <c r="AE344" s="46">
        <f t="shared" si="19"/>
        <v>6.1999999999997613E-3</v>
      </c>
      <c r="AF344" s="46">
        <f t="shared" si="19"/>
        <v>-8.9900000000000091E-2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33.151400000000002</v>
      </c>
      <c r="G345" s="46">
        <v>44.214300000000001</v>
      </c>
      <c r="H345" s="46">
        <v>43.728200000000001</v>
      </c>
      <c r="I345" s="66"/>
      <c r="J345" s="66"/>
      <c r="K345" s="67"/>
      <c r="L345" s="29"/>
      <c r="M345" s="70"/>
      <c r="N345" s="46">
        <v>33.1312</v>
      </c>
      <c r="O345" s="46">
        <v>44.208399999999997</v>
      </c>
      <c r="P345" s="46">
        <v>43.704000000000001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2.020000000000266E-2</v>
      </c>
      <c r="AE345" s="46">
        <f t="shared" si="19"/>
        <v>5.9000000000040131E-3</v>
      </c>
      <c r="AF345" s="46">
        <f t="shared" si="19"/>
        <v>2.4200000000000443E-2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30.8018</v>
      </c>
      <c r="G346" s="72">
        <v>43.446100000000001</v>
      </c>
      <c r="H346" s="72">
        <v>42.978400000000001</v>
      </c>
      <c r="I346" s="68"/>
      <c r="J346" s="68"/>
      <c r="K346" s="69"/>
      <c r="L346" s="29"/>
      <c r="M346" s="81"/>
      <c r="N346" s="46">
        <v>30.805299999999999</v>
      </c>
      <c r="O346" s="72">
        <v>43.448599999999999</v>
      </c>
      <c r="P346" s="72">
        <v>42.997999999999998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-3.4999999999989484E-3</v>
      </c>
      <c r="AE346" s="46">
        <f t="shared" si="19"/>
        <v>-2.4999999999977263E-3</v>
      </c>
      <c r="AF346" s="46">
        <f t="shared" si="19"/>
        <v>-1.9599999999996953E-2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38.692599999999999</v>
      </c>
      <c r="G347" s="45">
        <v>47.385399999999997</v>
      </c>
      <c r="H347" s="45">
        <v>46.819699999999997</v>
      </c>
      <c r="I347" s="66"/>
      <c r="J347" s="66"/>
      <c r="K347" s="67"/>
      <c r="L347" s="29"/>
      <c r="M347" s="70"/>
      <c r="N347" s="45">
        <v>38.6751</v>
      </c>
      <c r="O347" s="45">
        <v>47.381</v>
      </c>
      <c r="P347" s="45">
        <v>46.811999999999998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1.7499999999998295E-2</v>
      </c>
      <c r="AE347" s="45">
        <f t="shared" si="19"/>
        <v>4.3999999999968509E-3</v>
      </c>
      <c r="AF347" s="45">
        <f t="shared" si="19"/>
        <v>7.6999999999998181E-3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35.7806</v>
      </c>
      <c r="G348" s="46">
        <v>45.821599999999997</v>
      </c>
      <c r="H348" s="46">
        <v>45.280999999999999</v>
      </c>
      <c r="I348" s="66"/>
      <c r="J348" s="66"/>
      <c r="K348" s="67"/>
      <c r="L348" s="29"/>
      <c r="M348" s="70"/>
      <c r="N348" s="46">
        <v>35.797800000000002</v>
      </c>
      <c r="O348" s="46">
        <v>45.810299999999998</v>
      </c>
      <c r="P348" s="46">
        <v>45.300899999999999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-1.7200000000002547E-2</v>
      </c>
      <c r="AE348" s="46">
        <f t="shared" si="19"/>
        <v>1.1299999999998533E-2</v>
      </c>
      <c r="AF348" s="46">
        <f t="shared" si="19"/>
        <v>-1.9899999999999807E-2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33.251399999999997</v>
      </c>
      <c r="G349" s="46">
        <v>44.381399999999999</v>
      </c>
      <c r="H349" s="46">
        <v>43.948500000000003</v>
      </c>
      <c r="I349" s="66"/>
      <c r="J349" s="66"/>
      <c r="K349" s="67"/>
      <c r="L349" s="29"/>
      <c r="M349" s="70"/>
      <c r="N349" s="46">
        <v>33.241199999999999</v>
      </c>
      <c r="O349" s="46">
        <v>44.374699999999997</v>
      </c>
      <c r="P349" s="46">
        <v>43.939300000000003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1.0199999999997544E-2</v>
      </c>
      <c r="AE349" s="46">
        <f t="shared" si="19"/>
        <v>6.7000000000021487E-3</v>
      </c>
      <c r="AF349" s="46">
        <f t="shared" si="19"/>
        <v>9.1999999999998749E-3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30.908200000000001</v>
      </c>
      <c r="G350" s="72">
        <v>43.531399999999998</v>
      </c>
      <c r="H350" s="72">
        <v>43.143000000000001</v>
      </c>
      <c r="I350" s="68"/>
      <c r="J350" s="68"/>
      <c r="K350" s="69"/>
      <c r="L350" s="29"/>
      <c r="M350" s="81"/>
      <c r="N350" s="46">
        <v>30.909199999999998</v>
      </c>
      <c r="O350" s="72">
        <v>43.558700000000002</v>
      </c>
      <c r="P350" s="72">
        <v>43.149900000000002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-9.9999999999766942E-4</v>
      </c>
      <c r="AE350" s="46">
        <f t="shared" si="19"/>
        <v>-2.7300000000003877E-2</v>
      </c>
      <c r="AF350" s="46">
        <f t="shared" si="19"/>
        <v>-6.9000000000016826E-3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38.615699999999997</v>
      </c>
      <c r="G351" s="45">
        <v>47.309199999999997</v>
      </c>
      <c r="H351" s="45">
        <v>46.796500000000002</v>
      </c>
      <c r="I351" s="66"/>
      <c r="J351" s="66"/>
      <c r="K351" s="67"/>
      <c r="L351" s="29"/>
      <c r="M351" s="70"/>
      <c r="N351" s="45">
        <v>38.616599999999998</v>
      </c>
      <c r="O351" s="45">
        <v>47.307299999999998</v>
      </c>
      <c r="P351" s="45">
        <v>46.795900000000003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-9.0000000000145519E-4</v>
      </c>
      <c r="AE351" s="45">
        <f t="shared" si="19"/>
        <v>1.8999999999991246E-3</v>
      </c>
      <c r="AF351" s="45">
        <f t="shared" si="19"/>
        <v>5.9999999999860165E-4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35.7042</v>
      </c>
      <c r="G352" s="46">
        <v>45.742800000000003</v>
      </c>
      <c r="H352" s="46">
        <v>45.246899999999997</v>
      </c>
      <c r="I352" s="66"/>
      <c r="J352" s="66"/>
      <c r="K352" s="67"/>
      <c r="L352" s="29"/>
      <c r="M352" s="70"/>
      <c r="N352" s="46">
        <v>35.729900000000001</v>
      </c>
      <c r="O352" s="46">
        <v>45.733800000000002</v>
      </c>
      <c r="P352" s="46">
        <v>45.263199999999998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-2.57000000000005E-2</v>
      </c>
      <c r="AE352" s="46">
        <f t="shared" si="19"/>
        <v>9.0000000000003411E-3</v>
      </c>
      <c r="AF352" s="46">
        <f t="shared" si="19"/>
        <v>-1.6300000000001091E-2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33.224699999999999</v>
      </c>
      <c r="G353" s="46">
        <v>44.310200000000002</v>
      </c>
      <c r="H353" s="46">
        <v>43.886299999999999</v>
      </c>
      <c r="I353" s="66"/>
      <c r="J353" s="66"/>
      <c r="K353" s="67"/>
      <c r="L353" s="29"/>
      <c r="M353" s="70"/>
      <c r="N353" s="46">
        <v>33.221899999999998</v>
      </c>
      <c r="O353" s="46">
        <v>44.3048</v>
      </c>
      <c r="P353" s="46">
        <v>43.883699999999997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2.8000000000005798E-3</v>
      </c>
      <c r="AE353" s="46">
        <f t="shared" si="19"/>
        <v>5.4000000000016257E-3</v>
      </c>
      <c r="AF353" s="46">
        <f t="shared" si="19"/>
        <v>2.6000000000010459E-3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30.922000000000001</v>
      </c>
      <c r="G354" s="72">
        <v>43.465499999999999</v>
      </c>
      <c r="H354" s="72">
        <v>43.058100000000003</v>
      </c>
      <c r="I354" s="68"/>
      <c r="J354" s="68"/>
      <c r="K354" s="69"/>
      <c r="L354" s="29"/>
      <c r="M354" s="81"/>
      <c r="N354" s="46">
        <v>30.915199999999999</v>
      </c>
      <c r="O354" s="72">
        <v>43.491500000000002</v>
      </c>
      <c r="P354" s="72">
        <v>43.069899999999997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6.8000000000019156E-3</v>
      </c>
      <c r="AE354" s="46">
        <f t="shared" si="19"/>
        <v>-2.6000000000003354E-2</v>
      </c>
      <c r="AF354" s="46">
        <f t="shared" si="19"/>
        <v>-1.1799999999993815E-2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38.503300000000003</v>
      </c>
      <c r="G355" s="45">
        <v>46.408499999999997</v>
      </c>
      <c r="H355" s="45">
        <v>46.497599999999998</v>
      </c>
      <c r="I355" s="66"/>
      <c r="J355" s="66"/>
      <c r="K355" s="67"/>
      <c r="L355" s="29"/>
      <c r="M355" s="70"/>
      <c r="N355" s="45">
        <v>38.5032</v>
      </c>
      <c r="O355" s="45">
        <v>46.375300000000003</v>
      </c>
      <c r="P355" s="45">
        <v>46.509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1.0000000000331966E-4</v>
      </c>
      <c r="AE355" s="45">
        <f t="shared" si="19"/>
        <v>3.3199999999993679E-2</v>
      </c>
      <c r="AF355" s="45">
        <f t="shared" si="19"/>
        <v>-1.1400000000001853E-2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35.686500000000002</v>
      </c>
      <c r="G356" s="46">
        <v>45.049700000000001</v>
      </c>
      <c r="H356" s="46">
        <v>44.973500000000001</v>
      </c>
      <c r="I356" s="66"/>
      <c r="J356" s="66"/>
      <c r="K356" s="67"/>
      <c r="L356" s="29"/>
      <c r="M356" s="70"/>
      <c r="N356" s="46">
        <v>35.6678</v>
      </c>
      <c r="O356" s="46">
        <v>45.059699999999999</v>
      </c>
      <c r="P356" s="46">
        <v>44.957099999999997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1.8700000000002603E-2</v>
      </c>
      <c r="AE356" s="46">
        <f t="shared" si="19"/>
        <v>-9.9999999999980105E-3</v>
      </c>
      <c r="AF356" s="46">
        <f t="shared" si="19"/>
        <v>1.6400000000004411E-2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33.180700000000002</v>
      </c>
      <c r="G357" s="46">
        <v>43.7517</v>
      </c>
      <c r="H357" s="46">
        <v>43.598799999999997</v>
      </c>
      <c r="I357" s="66"/>
      <c r="J357" s="66"/>
      <c r="K357" s="67"/>
      <c r="L357" s="29"/>
      <c r="M357" s="70"/>
      <c r="N357" s="46">
        <v>33.157800000000002</v>
      </c>
      <c r="O357" s="46">
        <v>43.7361</v>
      </c>
      <c r="P357" s="46">
        <v>43.569600000000001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2.289999999999992E-2</v>
      </c>
      <c r="AE357" s="46">
        <f t="shared" si="19"/>
        <v>1.559999999999917E-2</v>
      </c>
      <c r="AF357" s="46">
        <f t="shared" si="19"/>
        <v>2.9199999999995896E-2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30.840599999999998</v>
      </c>
      <c r="G358" s="72">
        <v>42.9724</v>
      </c>
      <c r="H358" s="72">
        <v>42.722000000000001</v>
      </c>
      <c r="I358" s="68"/>
      <c r="J358" s="68"/>
      <c r="K358" s="69"/>
      <c r="L358" s="29"/>
      <c r="M358" s="81"/>
      <c r="N358" s="72">
        <v>30.827200000000001</v>
      </c>
      <c r="O358" s="72">
        <v>43.011899999999997</v>
      </c>
      <c r="P358" s="72">
        <v>42.759500000000003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1.3399999999997192E-2</v>
      </c>
      <c r="AE358" s="72">
        <f t="shared" si="19"/>
        <v>-3.949999999999676E-2</v>
      </c>
      <c r="AF358" s="72">
        <f t="shared" si="19"/>
        <v>-3.7500000000001421E-2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38.249400000000001</v>
      </c>
      <c r="G359" s="45">
        <v>46.023099999999999</v>
      </c>
      <c r="H359" s="45">
        <v>46.185899999999997</v>
      </c>
      <c r="I359" s="66"/>
      <c r="J359" s="66"/>
      <c r="K359" s="67"/>
      <c r="L359" s="29"/>
      <c r="M359" s="70"/>
      <c r="N359" s="45">
        <v>38.270200000000003</v>
      </c>
      <c r="O359" s="45">
        <v>45.972499999999997</v>
      </c>
      <c r="P359" s="45">
        <v>46.207500000000003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-2.0800000000001262E-2</v>
      </c>
      <c r="AE359" s="45">
        <f t="shared" si="19"/>
        <v>5.0600000000002865E-2</v>
      </c>
      <c r="AF359" s="45">
        <f t="shared" si="19"/>
        <v>-2.1600000000006503E-2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35.534700000000001</v>
      </c>
      <c r="G360" s="46">
        <v>44.716299999999997</v>
      </c>
      <c r="H360" s="46">
        <v>44.735100000000003</v>
      </c>
      <c r="I360" s="66"/>
      <c r="J360" s="66"/>
      <c r="K360" s="67"/>
      <c r="L360" s="29"/>
      <c r="M360" s="70"/>
      <c r="N360" s="46">
        <v>35.535699999999999</v>
      </c>
      <c r="O360" s="46">
        <v>44.721299999999999</v>
      </c>
      <c r="P360" s="46">
        <v>44.734299999999998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-9.9999999999766942E-4</v>
      </c>
      <c r="AE360" s="46">
        <f t="shared" si="19"/>
        <v>-5.000000000002558E-3</v>
      </c>
      <c r="AF360" s="46">
        <f t="shared" si="19"/>
        <v>8.0000000000524096E-4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33.090400000000002</v>
      </c>
      <c r="G361" s="46">
        <v>43.4773</v>
      </c>
      <c r="H361" s="46">
        <v>43.390799999999999</v>
      </c>
      <c r="I361" s="66"/>
      <c r="J361" s="66"/>
      <c r="K361" s="67"/>
      <c r="L361" s="29"/>
      <c r="M361" s="70"/>
      <c r="N361" s="46">
        <v>33.090600000000002</v>
      </c>
      <c r="O361" s="46">
        <v>43.480899999999998</v>
      </c>
      <c r="P361" s="46">
        <v>43.358899999999998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-1.9999999999953388E-4</v>
      </c>
      <c r="AE361" s="46">
        <f t="shared" si="19"/>
        <v>-3.5999999999987153E-3</v>
      </c>
      <c r="AF361" s="46">
        <f t="shared" si="19"/>
        <v>3.1900000000000261E-2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30.792100000000001</v>
      </c>
      <c r="G362" s="72">
        <v>42.781399999999998</v>
      </c>
      <c r="H362" s="72">
        <v>42.521900000000002</v>
      </c>
      <c r="I362" s="68"/>
      <c r="J362" s="68"/>
      <c r="K362" s="69"/>
      <c r="L362" s="29"/>
      <c r="M362" s="81"/>
      <c r="N362" s="72">
        <v>30.7834</v>
      </c>
      <c r="O362" s="72">
        <v>42.778100000000002</v>
      </c>
      <c r="P362" s="72">
        <v>42.557000000000002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8.7000000000010402E-3</v>
      </c>
      <c r="AE362" s="72">
        <f t="shared" si="19"/>
        <v>3.2999999999958618E-3</v>
      </c>
      <c r="AF362" s="72">
        <f t="shared" si="19"/>
        <v>-3.5099999999999909E-2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7175.6863999999996</v>
      </c>
      <c r="F363" s="70"/>
      <c r="G363" s="70"/>
      <c r="H363" s="70"/>
      <c r="I363" s="45">
        <v>67204.649999999994</v>
      </c>
      <c r="J363" s="45">
        <v>63.78</v>
      </c>
      <c r="K363" s="45">
        <v>762.74</v>
      </c>
      <c r="L363" s="29"/>
      <c r="M363" s="45">
        <v>7177.3159999999998</v>
      </c>
      <c r="N363" s="70"/>
      <c r="O363" s="70"/>
      <c r="P363" s="70"/>
      <c r="Q363" s="45">
        <v>72176.820000000007</v>
      </c>
      <c r="R363" s="45">
        <v>66.09</v>
      </c>
      <c r="S363" s="45">
        <v>750.87</v>
      </c>
      <c r="U363" s="8"/>
      <c r="V363" s="9"/>
      <c r="W363" s="10"/>
      <c r="X363" s="29"/>
      <c r="Y363" s="61">
        <f>GEOMEAN(Q363:Q366)/GEOMEAN(I363:I366)</f>
        <v>1.0770102186941983</v>
      </c>
      <c r="Z363" s="61">
        <f>GEOMEAN(R363:R366)/GEOMEAN(J363:J366)</f>
        <v>1.0243564048568341</v>
      </c>
      <c r="AA363" s="57">
        <f>GEOMEAN(S363:S366)/GEOMEAN(K363:K366)</f>
        <v>0.99711599030784714</v>
      </c>
      <c r="AC363" s="45">
        <f>E363 -M363</f>
        <v>-1.6296000000002095</v>
      </c>
      <c r="AD363" s="70"/>
      <c r="AE363" s="70"/>
      <c r="AF363" s="70"/>
      <c r="AG363" s="45">
        <f t="shared" ref="AG363:AI366" si="21">I363 -Q363</f>
        <v>-4972.1700000000128</v>
      </c>
      <c r="AH363" s="45">
        <f t="shared" si="21"/>
        <v>-2.3100000000000023</v>
      </c>
      <c r="AI363" s="45">
        <f t="shared" si="21"/>
        <v>11.870000000000005</v>
      </c>
    </row>
    <row r="364" spans="1:35" ht="12">
      <c r="B364" s="36"/>
      <c r="C364" s="29"/>
      <c r="D364" s="32">
        <v>30</v>
      </c>
      <c r="E364" s="46">
        <v>3042.0376000000001</v>
      </c>
      <c r="F364" s="70"/>
      <c r="G364" s="70"/>
      <c r="H364" s="70"/>
      <c r="I364" s="46">
        <v>63776.86</v>
      </c>
      <c r="J364" s="46">
        <v>57.06</v>
      </c>
      <c r="K364" s="46">
        <v>755.18</v>
      </c>
      <c r="L364" s="29"/>
      <c r="M364" s="46">
        <v>3041.1336000000001</v>
      </c>
      <c r="N364" s="70"/>
      <c r="O364" s="70"/>
      <c r="P364" s="70"/>
      <c r="Q364" s="46">
        <v>68590.42</v>
      </c>
      <c r="R364" s="46">
        <v>56.46</v>
      </c>
      <c r="S364" s="46">
        <v>751.48</v>
      </c>
      <c r="U364" s="41"/>
      <c r="V364" s="42"/>
      <c r="W364" s="43"/>
      <c r="X364" s="29"/>
      <c r="Y364" s="24"/>
      <c r="Z364" s="24"/>
      <c r="AA364" s="27"/>
      <c r="AC364" s="46">
        <f>E364 -M364</f>
        <v>0.90399999999999636</v>
      </c>
      <c r="AD364" s="70"/>
      <c r="AE364" s="70"/>
      <c r="AF364" s="70"/>
      <c r="AG364" s="46">
        <f t="shared" si="21"/>
        <v>-4813.5599999999977</v>
      </c>
      <c r="AH364" s="46">
        <f t="shared" si="21"/>
        <v>0.60000000000000142</v>
      </c>
      <c r="AI364" s="46">
        <f t="shared" si="21"/>
        <v>3.6999999999999318</v>
      </c>
    </row>
    <row r="365" spans="1:35" ht="12">
      <c r="B365" s="36"/>
      <c r="C365" s="29"/>
      <c r="D365" s="32">
        <v>35</v>
      </c>
      <c r="E365" s="46">
        <v>1421.6608000000001</v>
      </c>
      <c r="F365" s="70"/>
      <c r="G365" s="70"/>
      <c r="H365" s="70"/>
      <c r="I365" s="46">
        <v>62415.54</v>
      </c>
      <c r="J365" s="46">
        <v>52.08</v>
      </c>
      <c r="K365" s="46">
        <v>754.02</v>
      </c>
      <c r="L365" s="29"/>
      <c r="M365" s="46">
        <v>1422.1264000000001</v>
      </c>
      <c r="N365" s="70"/>
      <c r="O365" s="70"/>
      <c r="P365" s="70"/>
      <c r="Q365" s="46">
        <v>67561.289999999994</v>
      </c>
      <c r="R365" s="46">
        <v>57.2</v>
      </c>
      <c r="S365" s="46">
        <v>758.43</v>
      </c>
      <c r="U365" s="17"/>
      <c r="V365" s="18"/>
      <c r="W365" s="19"/>
      <c r="X365" s="29"/>
      <c r="Y365" s="24"/>
      <c r="Z365" s="24"/>
      <c r="AA365" s="27"/>
      <c r="AC365" s="46">
        <f>E365 -M365</f>
        <v>-0.46559999999999491</v>
      </c>
      <c r="AD365" s="70"/>
      <c r="AE365" s="70"/>
      <c r="AF365" s="70"/>
      <c r="AG365" s="46">
        <f t="shared" si="21"/>
        <v>-5145.7499999999927</v>
      </c>
      <c r="AH365" s="46">
        <f t="shared" si="21"/>
        <v>-5.1200000000000045</v>
      </c>
      <c r="AI365" s="46">
        <f t="shared" si="21"/>
        <v>-4.4099999999999682</v>
      </c>
    </row>
    <row r="366" spans="1:35" ht="12.75" thickBot="1">
      <c r="A366" s="54"/>
      <c r="B366" s="52"/>
      <c r="C366" s="53"/>
      <c r="D366" s="71">
        <v>40</v>
      </c>
      <c r="E366" s="72">
        <v>686.22720000000004</v>
      </c>
      <c r="F366" s="81"/>
      <c r="G366" s="81"/>
      <c r="H366" s="81"/>
      <c r="I366" s="72">
        <v>61490.79</v>
      </c>
      <c r="J366" s="72">
        <v>51.19</v>
      </c>
      <c r="K366" s="72">
        <v>752.24</v>
      </c>
      <c r="L366" s="29"/>
      <c r="M366" s="72">
        <v>687.17679999999996</v>
      </c>
      <c r="N366" s="81"/>
      <c r="O366" s="81"/>
      <c r="P366" s="81"/>
      <c r="Q366" s="72">
        <v>66173.7</v>
      </c>
      <c r="R366" s="72">
        <v>50.05</v>
      </c>
      <c r="S366" s="72">
        <v>754.66</v>
      </c>
      <c r="U366" s="85"/>
      <c r="V366" s="86"/>
      <c r="W366" s="87"/>
      <c r="X366" s="29"/>
      <c r="Y366" s="49"/>
      <c r="Z366" s="49"/>
      <c r="AA366" s="54"/>
      <c r="AC366" s="72">
        <f>E366 -M366</f>
        <v>-0.94959999999991851</v>
      </c>
      <c r="AD366" s="81"/>
      <c r="AE366" s="81"/>
      <c r="AF366" s="81"/>
      <c r="AG366" s="72">
        <f t="shared" si="21"/>
        <v>-4682.9099999999962</v>
      </c>
      <c r="AH366" s="72">
        <f t="shared" si="21"/>
        <v>1.1400000000000006</v>
      </c>
      <c r="AI366" s="72">
        <f t="shared" si="21"/>
        <v>-2.4199999999999591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4167.7160000000003</v>
      </c>
      <c r="F367" s="45">
        <v>41.484400000000001</v>
      </c>
      <c r="G367" s="45">
        <v>46.598700000000001</v>
      </c>
      <c r="H367" s="45">
        <v>46.046599999999998</v>
      </c>
      <c r="I367" s="79"/>
      <c r="J367" s="79"/>
      <c r="K367" s="80"/>
      <c r="L367" s="29"/>
      <c r="M367" s="45">
        <v>4169.0295999999998</v>
      </c>
      <c r="N367" s="45">
        <v>41.485500000000002</v>
      </c>
      <c r="O367" s="45">
        <v>46.6004</v>
      </c>
      <c r="P367" s="45">
        <v>46.042700000000004</v>
      </c>
      <c r="Q367" s="79"/>
      <c r="R367" s="79"/>
      <c r="S367" s="80"/>
      <c r="U367" s="8">
        <f>bdrate($E367:$E370,F367:F370,$M367:$M370,N367:N370)</f>
        <v>6.2203165451579778E-5</v>
      </c>
      <c r="V367" s="9">
        <f>bdrate($E367:$E370,G367:G370,$M367:$M370,O367:O370)</f>
        <v>4.952888290432611E-4</v>
      </c>
      <c r="W367" s="10">
        <f>bdrate($E367:$E370,H367:H370,$M367:$M370,P367:P370)</f>
        <v>6.9341281652079978E-4</v>
      </c>
      <c r="X367" s="29"/>
      <c r="Y367" s="22"/>
      <c r="Z367" s="22"/>
      <c r="AA367" s="26"/>
      <c r="AC367" s="45">
        <f>E367 -M367</f>
        <v>-1.3135999999994965</v>
      </c>
      <c r="AD367" s="45">
        <f t="shared" ref="AD367:AD414" si="22">F367 -N367</f>
        <v>-1.1000000000009891E-3</v>
      </c>
      <c r="AE367" s="45">
        <f t="shared" ref="AE367:AE378" si="23">G367 -O367</f>
        <v>-1.6999999999995907E-3</v>
      </c>
      <c r="AF367" s="45">
        <f t="shared" ref="AF367:AF378" si="24">H367 -P367</f>
        <v>3.8999999999944635E-3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2096.2991999999999</v>
      </c>
      <c r="F368" s="46">
        <v>38.488</v>
      </c>
      <c r="G368" s="46">
        <v>44.895499999999998</v>
      </c>
      <c r="H368" s="46">
        <v>44.116999999999997</v>
      </c>
      <c r="I368" s="66"/>
      <c r="J368" s="66"/>
      <c r="K368" s="67"/>
      <c r="L368" s="29"/>
      <c r="M368" s="46">
        <v>2097.8672000000001</v>
      </c>
      <c r="N368" s="46">
        <v>38.4925</v>
      </c>
      <c r="O368" s="46">
        <v>44.904400000000003</v>
      </c>
      <c r="P368" s="46">
        <v>44.122399999999999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-1.568000000000211</v>
      </c>
      <c r="AD368" s="46">
        <f t="shared" si="22"/>
        <v>-4.5000000000001705E-3</v>
      </c>
      <c r="AE368" s="46">
        <f t="shared" si="23"/>
        <v>-8.9000000000041268E-3</v>
      </c>
      <c r="AF368" s="46">
        <f t="shared" si="24"/>
        <v>-5.4000000000016257E-3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1032.3824</v>
      </c>
      <c r="F369" s="46">
        <v>35.6693</v>
      </c>
      <c r="G369" s="46">
        <v>43.274799999999999</v>
      </c>
      <c r="H369" s="46">
        <v>42.2361</v>
      </c>
      <c r="I369" s="66"/>
      <c r="J369" s="66"/>
      <c r="K369" s="67"/>
      <c r="L369" s="29"/>
      <c r="M369" s="46">
        <v>1032.3184000000001</v>
      </c>
      <c r="N369" s="46">
        <v>35.667400000000001</v>
      </c>
      <c r="O369" s="46">
        <v>43.259500000000003</v>
      </c>
      <c r="P369" s="46">
        <v>42.2346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6.3999999999850843E-2</v>
      </c>
      <c r="AD369" s="46">
        <f t="shared" si="22"/>
        <v>1.8999999999991246E-3</v>
      </c>
      <c r="AE369" s="46">
        <f t="shared" si="23"/>
        <v>1.5299999999996317E-2</v>
      </c>
      <c r="AF369" s="46">
        <f t="shared" si="24"/>
        <v>1.5000000000000568E-3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494.47039999999998</v>
      </c>
      <c r="F370" s="46">
        <v>33.191299999999998</v>
      </c>
      <c r="G370" s="46">
        <v>42.284399999999998</v>
      </c>
      <c r="H370" s="46">
        <v>40.951500000000003</v>
      </c>
      <c r="I370" s="66"/>
      <c r="J370" s="66"/>
      <c r="K370" s="67"/>
      <c r="L370" s="29"/>
      <c r="M370" s="46">
        <v>494.54320000000001</v>
      </c>
      <c r="N370" s="46">
        <v>33.191000000000003</v>
      </c>
      <c r="O370" s="46">
        <v>42.296599999999998</v>
      </c>
      <c r="P370" s="46">
        <v>40.938499999999998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-7.2800000000029286E-2</v>
      </c>
      <c r="AD370" s="46">
        <f t="shared" si="22"/>
        <v>2.9999999999574811E-4</v>
      </c>
      <c r="AE370" s="46">
        <f t="shared" si="23"/>
        <v>-1.2199999999999989E-2</v>
      </c>
      <c r="AF370" s="46">
        <f t="shared" si="24"/>
        <v>1.300000000000523E-2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662.15039999999999</v>
      </c>
      <c r="F371" s="45">
        <v>40.842799999999997</v>
      </c>
      <c r="G371" s="45">
        <v>46.485700000000001</v>
      </c>
      <c r="H371" s="45">
        <v>45.7669</v>
      </c>
      <c r="I371" s="79"/>
      <c r="J371" s="79"/>
      <c r="K371" s="80"/>
      <c r="L371" s="29"/>
      <c r="M371" s="45">
        <v>661.78160000000003</v>
      </c>
      <c r="N371" s="45">
        <v>40.844799999999999</v>
      </c>
      <c r="O371" s="45">
        <v>46.487200000000001</v>
      </c>
      <c r="P371" s="45">
        <v>45.7639</v>
      </c>
      <c r="Q371" s="79"/>
      <c r="R371" s="79"/>
      <c r="S371" s="80"/>
      <c r="U371" s="8">
        <f>bdrate($E371:$E374,F371:F374,$M371:$M374,N371:N374)</f>
        <v>-3.6774134364137012E-4</v>
      </c>
      <c r="V371" s="9">
        <f>bdrate($E371:$E374,G371:G374,$M371:$M374,O371:O374)</f>
        <v>1.4886500555055804E-4</v>
      </c>
      <c r="W371" s="10">
        <f>bdrate($E371:$E374,H371:H374,$M371:$M374,P371:P374)</f>
        <v>-5.9592836939781346E-4</v>
      </c>
      <c r="X371" s="29"/>
      <c r="Y371" s="24"/>
      <c r="Z371" s="24"/>
      <c r="AA371" s="27"/>
      <c r="AC371" s="45">
        <f t="shared" si="25"/>
        <v>0.36879999999996471</v>
      </c>
      <c r="AD371" s="45">
        <f t="shared" si="22"/>
        <v>-2.0000000000024443E-3</v>
      </c>
      <c r="AE371" s="45">
        <f t="shared" si="23"/>
        <v>-1.5000000000000568E-3</v>
      </c>
      <c r="AF371" s="45">
        <f t="shared" si="24"/>
        <v>3.0000000000001137E-3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293.31599999999997</v>
      </c>
      <c r="F372" s="46">
        <v>37.9788</v>
      </c>
      <c r="G372" s="46">
        <v>44.809699999999999</v>
      </c>
      <c r="H372" s="46">
        <v>43.886400000000002</v>
      </c>
      <c r="I372" s="66"/>
      <c r="J372" s="66"/>
      <c r="K372" s="67"/>
      <c r="L372" s="29"/>
      <c r="M372" s="46">
        <v>292.98239999999998</v>
      </c>
      <c r="N372" s="46">
        <v>37.983400000000003</v>
      </c>
      <c r="O372" s="46">
        <v>44.820099999999996</v>
      </c>
      <c r="P372" s="46">
        <v>43.894799999999996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0.3335999999999899</v>
      </c>
      <c r="AD372" s="46">
        <f t="shared" si="22"/>
        <v>-4.6000000000034902E-3</v>
      </c>
      <c r="AE372" s="46">
        <f t="shared" si="23"/>
        <v>-1.0399999999997078E-2</v>
      </c>
      <c r="AF372" s="46">
        <f t="shared" si="24"/>
        <v>-8.399999999994634E-3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143.40479999999999</v>
      </c>
      <c r="F373" s="46">
        <v>35.292900000000003</v>
      </c>
      <c r="G373" s="46">
        <v>43.222000000000001</v>
      </c>
      <c r="H373" s="46">
        <v>42.070700000000002</v>
      </c>
      <c r="I373" s="66"/>
      <c r="J373" s="66"/>
      <c r="K373" s="67"/>
      <c r="L373" s="29"/>
      <c r="M373" s="46">
        <v>143.52000000000001</v>
      </c>
      <c r="N373" s="46">
        <v>35.291800000000002</v>
      </c>
      <c r="O373" s="46">
        <v>43.2059</v>
      </c>
      <c r="P373" s="46">
        <v>42.071199999999997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-0.11520000000001573</v>
      </c>
      <c r="AD373" s="46">
        <f t="shared" si="22"/>
        <v>1.1000000000009891E-3</v>
      </c>
      <c r="AE373" s="46">
        <f t="shared" si="23"/>
        <v>1.6100000000001558E-2</v>
      </c>
      <c r="AF373" s="46">
        <f t="shared" si="24"/>
        <v>-4.99999999995282E-4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71.366399999999999</v>
      </c>
      <c r="F374" s="46">
        <v>32.885100000000001</v>
      </c>
      <c r="G374" s="46">
        <v>42.2057</v>
      </c>
      <c r="H374" s="46">
        <v>40.721899999999998</v>
      </c>
      <c r="I374" s="66"/>
      <c r="J374" s="66"/>
      <c r="K374" s="67"/>
      <c r="L374" s="29"/>
      <c r="M374" s="46">
        <v>71.582400000000007</v>
      </c>
      <c r="N374" s="46">
        <v>32.8842</v>
      </c>
      <c r="O374" s="46">
        <v>42.2102</v>
      </c>
      <c r="P374" s="46">
        <v>40.707799999999999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-0.21600000000000819</v>
      </c>
      <c r="AD374" s="46">
        <f t="shared" si="22"/>
        <v>9.0000000000145519E-4</v>
      </c>
      <c r="AE374" s="46">
        <f t="shared" si="23"/>
        <v>-4.5000000000001705E-3</v>
      </c>
      <c r="AF374" s="46">
        <f t="shared" si="24"/>
        <v>1.4099999999999113E-2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659.98080000000004</v>
      </c>
      <c r="F375" s="45">
        <v>40.842599999999997</v>
      </c>
      <c r="G375" s="45">
        <v>46.4816</v>
      </c>
      <c r="H375" s="45">
        <v>45.778100000000002</v>
      </c>
      <c r="I375" s="79"/>
      <c r="J375" s="79"/>
      <c r="K375" s="80"/>
      <c r="L375" s="29"/>
      <c r="M375" s="45">
        <v>659.00879999999995</v>
      </c>
      <c r="N375" s="45">
        <v>40.842700000000001</v>
      </c>
      <c r="O375" s="45">
        <v>46.485300000000002</v>
      </c>
      <c r="P375" s="45">
        <v>45.775399999999998</v>
      </c>
      <c r="Q375" s="79"/>
      <c r="R375" s="79"/>
      <c r="S375" s="80"/>
      <c r="U375" s="8">
        <f>bdrate($E375:$E378,F375:F378,$M375:$M378,N375:N378)</f>
        <v>-9.1727811697861483E-5</v>
      </c>
      <c r="V375" s="9">
        <f>bdrate($E375:$E378,G375:G378,$M375:$M378,O375:O378)</f>
        <v>6.1747558297597926E-4</v>
      </c>
      <c r="W375" s="10">
        <f>bdrate($E375:$E378,H375:H378,$M375:$M378,P375:P378)</f>
        <v>2.0895003096375042E-3</v>
      </c>
      <c r="X375" s="29"/>
      <c r="Y375" s="24"/>
      <c r="Z375" s="24"/>
      <c r="AA375" s="27"/>
      <c r="AB375" s="24"/>
      <c r="AC375" s="45">
        <f t="shared" si="25"/>
        <v>0.97200000000009368</v>
      </c>
      <c r="AD375" s="45">
        <f t="shared" si="22"/>
        <v>-1.0000000000331966E-4</v>
      </c>
      <c r="AE375" s="45">
        <f t="shared" si="23"/>
        <v>-3.700000000002035E-3</v>
      </c>
      <c r="AF375" s="45">
        <f t="shared" si="24"/>
        <v>2.7000000000043656E-3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291.3048</v>
      </c>
      <c r="F376" s="46">
        <v>37.980400000000003</v>
      </c>
      <c r="G376" s="46">
        <v>44.8108</v>
      </c>
      <c r="H376" s="46">
        <v>43.908799999999999</v>
      </c>
      <c r="I376" s="66"/>
      <c r="J376" s="66"/>
      <c r="K376" s="67"/>
      <c r="L376" s="29"/>
      <c r="M376" s="46">
        <v>291.81920000000002</v>
      </c>
      <c r="N376" s="46">
        <v>37.989100000000001</v>
      </c>
      <c r="O376" s="46">
        <v>44.820399999999999</v>
      </c>
      <c r="P376" s="46">
        <v>43.911700000000003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-0.51440000000002328</v>
      </c>
      <c r="AD376" s="46">
        <f t="shared" si="22"/>
        <v>-8.6999999999974875E-3</v>
      </c>
      <c r="AE376" s="46">
        <f t="shared" si="23"/>
        <v>-9.5999999999989427E-3</v>
      </c>
      <c r="AF376" s="46">
        <f t="shared" si="24"/>
        <v>-2.9000000000038995E-3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144.38</v>
      </c>
      <c r="F377" s="46">
        <v>35.295699999999997</v>
      </c>
      <c r="G377" s="46">
        <v>43.225999999999999</v>
      </c>
      <c r="H377" s="46">
        <v>42.099499999999999</v>
      </c>
      <c r="I377" s="66"/>
      <c r="J377" s="66"/>
      <c r="K377" s="67"/>
      <c r="L377" s="29"/>
      <c r="M377" s="46">
        <v>144.26400000000001</v>
      </c>
      <c r="N377" s="46">
        <v>35.289000000000001</v>
      </c>
      <c r="O377" s="46">
        <v>43.207099999999997</v>
      </c>
      <c r="P377" s="46">
        <v>42.089799999999997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0.11599999999998545</v>
      </c>
      <c r="AD377" s="46">
        <f t="shared" si="22"/>
        <v>6.6999999999950433E-3</v>
      </c>
      <c r="AE377" s="46">
        <f t="shared" si="23"/>
        <v>1.8900000000002137E-2</v>
      </c>
      <c r="AF377" s="46">
        <f t="shared" si="24"/>
        <v>9.7000000000022624E-3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71.752799999999993</v>
      </c>
      <c r="F378" s="72">
        <v>32.867800000000003</v>
      </c>
      <c r="G378" s="72">
        <v>42.198</v>
      </c>
      <c r="H378" s="72">
        <v>40.7376</v>
      </c>
      <c r="I378" s="68"/>
      <c r="J378" s="68"/>
      <c r="K378" s="69"/>
      <c r="L378" s="29"/>
      <c r="M378" s="72">
        <v>71.822400000000002</v>
      </c>
      <c r="N378" s="72">
        <v>32.871299999999998</v>
      </c>
      <c r="O378" s="72">
        <v>42.210700000000003</v>
      </c>
      <c r="P378" s="72">
        <v>40.726599999999998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-6.9600000000008322E-2</v>
      </c>
      <c r="AD378" s="72">
        <f t="shared" si="22"/>
        <v>-3.4999999999953957E-3</v>
      </c>
      <c r="AE378" s="72">
        <f t="shared" si="23"/>
        <v>-1.2700000000002376E-2</v>
      </c>
      <c r="AF378" s="72">
        <f t="shared" si="24"/>
        <v>1.1000000000002785E-2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645.58960000000002</v>
      </c>
      <c r="F379" s="45">
        <v>38.509500000000003</v>
      </c>
      <c r="G379" s="78"/>
      <c r="H379" s="78"/>
      <c r="I379" s="79"/>
      <c r="J379" s="79"/>
      <c r="K379" s="80"/>
      <c r="L379" s="29"/>
      <c r="M379" s="45">
        <v>646.03359999999998</v>
      </c>
      <c r="N379" s="45">
        <v>38.5197</v>
      </c>
      <c r="O379" s="78"/>
      <c r="P379" s="78"/>
      <c r="Q379" s="79"/>
      <c r="R379" s="79"/>
      <c r="S379" s="80"/>
      <c r="U379" s="8">
        <f>bdrate($E379:$E382,F379:F382,$M379:$M382,N379:N382)</f>
        <v>-8.4322793284774544E-4</v>
      </c>
      <c r="V379" s="9"/>
      <c r="W379" s="10"/>
      <c r="X379" s="29"/>
      <c r="Y379" s="24"/>
      <c r="Z379" s="24"/>
      <c r="AA379" s="27"/>
      <c r="AB379" s="24"/>
      <c r="AC379" s="45">
        <f t="shared" si="25"/>
        <v>-0.44399999999995998</v>
      </c>
      <c r="AD379" s="45">
        <f t="shared" si="22"/>
        <v>-1.0199999999997544E-2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224.70079999999999</v>
      </c>
      <c r="F380" s="46">
        <v>34.626100000000001</v>
      </c>
      <c r="G380" s="70"/>
      <c r="H380" s="70"/>
      <c r="I380" s="66"/>
      <c r="J380" s="66"/>
      <c r="K380" s="67"/>
      <c r="L380" s="29"/>
      <c r="M380" s="46">
        <v>224.2056</v>
      </c>
      <c r="N380" s="46">
        <v>34.629800000000003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0.49519999999998277</v>
      </c>
      <c r="AD380" s="46">
        <f t="shared" si="22"/>
        <v>-3.700000000002035E-3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103.2064</v>
      </c>
      <c r="F381" s="46">
        <v>32.045200000000001</v>
      </c>
      <c r="G381" s="70"/>
      <c r="H381" s="70"/>
      <c r="I381" s="66"/>
      <c r="J381" s="66"/>
      <c r="K381" s="67"/>
      <c r="L381" s="29"/>
      <c r="M381" s="46">
        <v>102.6528</v>
      </c>
      <c r="N381" s="46">
        <v>32.010100000000001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0.55360000000000298</v>
      </c>
      <c r="AD381" s="46">
        <f t="shared" si="22"/>
        <v>3.5099999999999909E-2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48.863199999999999</v>
      </c>
      <c r="F382" s="46">
        <v>29.280799999999999</v>
      </c>
      <c r="G382" s="70"/>
      <c r="H382" s="70"/>
      <c r="I382" s="66"/>
      <c r="J382" s="66"/>
      <c r="K382" s="67"/>
      <c r="L382" s="29"/>
      <c r="M382" s="46">
        <v>48.680799999999998</v>
      </c>
      <c r="N382" s="46">
        <v>29.2837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0.18240000000000123</v>
      </c>
      <c r="AD382" s="46">
        <f t="shared" si="22"/>
        <v>-2.9000000000003467E-3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275.62</v>
      </c>
      <c r="F383" s="45">
        <v>37.232500000000002</v>
      </c>
      <c r="G383" s="78"/>
      <c r="H383" s="78"/>
      <c r="I383" s="79"/>
      <c r="J383" s="79"/>
      <c r="K383" s="80"/>
      <c r="L383" s="29"/>
      <c r="M383" s="45">
        <v>275.76479999999998</v>
      </c>
      <c r="N383" s="45">
        <v>37.222499999999997</v>
      </c>
      <c r="O383" s="78"/>
      <c r="P383" s="78"/>
      <c r="Q383" s="79"/>
      <c r="R383" s="79"/>
      <c r="S383" s="80"/>
      <c r="U383" s="8">
        <f>bdrate($E383:$E386,F383:F386,$M383:$M386,N383:N386)</f>
        <v>1.2754148441038504E-2</v>
      </c>
      <c r="V383" s="9"/>
      <c r="W383" s="10"/>
      <c r="X383" s="29"/>
      <c r="Y383" s="24"/>
      <c r="Z383" s="24"/>
      <c r="AA383" s="27"/>
      <c r="AB383" s="24"/>
      <c r="AC383" s="45">
        <f t="shared" si="25"/>
        <v>-0.14479999999997517</v>
      </c>
      <c r="AD383" s="45">
        <f t="shared" si="22"/>
        <v>1.0000000000005116E-2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86.893600000000006</v>
      </c>
      <c r="F384" s="46">
        <v>33.673499999999997</v>
      </c>
      <c r="G384" s="70"/>
      <c r="H384" s="70"/>
      <c r="I384" s="66"/>
      <c r="J384" s="66"/>
      <c r="K384" s="67"/>
      <c r="L384" s="29"/>
      <c r="M384" s="46">
        <v>88.7136</v>
      </c>
      <c r="N384" s="46">
        <v>33.650700000000001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-1.8199999999999932</v>
      </c>
      <c r="AD384" s="46">
        <f t="shared" si="22"/>
        <v>2.2799999999996601E-2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40.576799999999999</v>
      </c>
      <c r="F385" s="46">
        <v>31.187000000000001</v>
      </c>
      <c r="G385" s="70"/>
      <c r="H385" s="70"/>
      <c r="I385" s="66"/>
      <c r="J385" s="66"/>
      <c r="K385" s="67"/>
      <c r="L385" s="29"/>
      <c r="M385" s="46">
        <v>40.847999999999999</v>
      </c>
      <c r="N385" s="46">
        <v>31.203800000000001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-0.27120000000000033</v>
      </c>
      <c r="AD385" s="46">
        <f t="shared" si="22"/>
        <v>-1.6799999999999926E-2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21.2272</v>
      </c>
      <c r="F386" s="46">
        <v>28.663599999999999</v>
      </c>
      <c r="G386" s="70"/>
      <c r="H386" s="70"/>
      <c r="I386" s="66"/>
      <c r="J386" s="66"/>
      <c r="K386" s="67"/>
      <c r="L386" s="29"/>
      <c r="M386" s="46">
        <v>21.206399999999999</v>
      </c>
      <c r="N386" s="46">
        <v>28.681000000000001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2.0800000000001262E-2</v>
      </c>
      <c r="AD386" s="46">
        <f t="shared" si="22"/>
        <v>-1.740000000000208E-2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277.34960000000001</v>
      </c>
      <c r="F387" s="45">
        <v>37.073099999999997</v>
      </c>
      <c r="G387" s="78"/>
      <c r="H387" s="78"/>
      <c r="I387" s="79"/>
      <c r="J387" s="79"/>
      <c r="K387" s="80"/>
      <c r="L387" s="29"/>
      <c r="M387" s="45">
        <v>275.8544</v>
      </c>
      <c r="N387" s="45">
        <v>37.079700000000003</v>
      </c>
      <c r="O387" s="78"/>
      <c r="P387" s="78"/>
      <c r="Q387" s="79"/>
      <c r="R387" s="79"/>
      <c r="S387" s="80"/>
      <c r="U387" s="8">
        <f>bdrate($E387:$E390,F387:F390,$M387:$M390,N387:N390)</f>
        <v>1.0005734464908489E-3</v>
      </c>
      <c r="V387" s="9"/>
      <c r="W387" s="10"/>
      <c r="X387" s="29"/>
      <c r="Y387" s="24"/>
      <c r="Z387" s="24"/>
      <c r="AA387" s="27"/>
      <c r="AB387" s="24"/>
      <c r="AC387" s="45">
        <f t="shared" si="25"/>
        <v>1.4952000000000112</v>
      </c>
      <c r="AD387" s="45">
        <f t="shared" si="22"/>
        <v>-6.6000000000059345E-3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85.76</v>
      </c>
      <c r="F388" s="46">
        <v>33.4358</v>
      </c>
      <c r="G388" s="70"/>
      <c r="H388" s="70"/>
      <c r="I388" s="66"/>
      <c r="J388" s="66"/>
      <c r="K388" s="67"/>
      <c r="L388" s="29"/>
      <c r="M388" s="46">
        <v>86.751999999999995</v>
      </c>
      <c r="N388" s="46">
        <v>33.456800000000001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-0.99199999999999022</v>
      </c>
      <c r="AD388" s="46">
        <f t="shared" si="22"/>
        <v>-2.1000000000000796E-2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39.586399999999998</v>
      </c>
      <c r="F389" s="46">
        <v>31.062200000000001</v>
      </c>
      <c r="G389" s="70"/>
      <c r="H389" s="70"/>
      <c r="I389" s="66"/>
      <c r="J389" s="66"/>
      <c r="K389" s="67"/>
      <c r="L389" s="29"/>
      <c r="M389" s="46">
        <v>39.716000000000001</v>
      </c>
      <c r="N389" s="46">
        <v>31.046600000000002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-0.12960000000000349</v>
      </c>
      <c r="AD389" s="46">
        <f t="shared" si="22"/>
        <v>1.559999999999917E-2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21.369599999999998</v>
      </c>
      <c r="F390" s="46">
        <v>28.694199999999999</v>
      </c>
      <c r="G390" s="70"/>
      <c r="H390" s="70"/>
      <c r="I390" s="66"/>
      <c r="J390" s="66"/>
      <c r="K390" s="67"/>
      <c r="L390" s="29"/>
      <c r="M390" s="46">
        <v>20.861599999999999</v>
      </c>
      <c r="N390" s="46">
        <v>28.674399999999999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0.50799999999999912</v>
      </c>
      <c r="AD390" s="46">
        <f t="shared" si="22"/>
        <v>1.980000000000004E-2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40.222900000000003</v>
      </c>
      <c r="G391" s="45">
        <v>46.562199999999997</v>
      </c>
      <c r="H391" s="45">
        <v>46.174999999999997</v>
      </c>
      <c r="I391" s="79"/>
      <c r="J391" s="79"/>
      <c r="K391" s="80"/>
      <c r="L391" s="29"/>
      <c r="M391" s="78"/>
      <c r="N391" s="45">
        <v>40.222700000000003</v>
      </c>
      <c r="O391" s="45">
        <v>46.560899999999997</v>
      </c>
      <c r="P391" s="45">
        <v>46.168500000000002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1.9999999999953388E-4</v>
      </c>
      <c r="AE391" s="45">
        <f t="shared" ref="AE391:AE414" si="26">G391 -O391</f>
        <v>1.300000000000523E-3</v>
      </c>
      <c r="AF391" s="45">
        <f t="shared" ref="AF391:AF414" si="27">H391 -P391</f>
        <v>6.4999999999955094E-3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37.506100000000004</v>
      </c>
      <c r="G392" s="46">
        <v>44.907699999999998</v>
      </c>
      <c r="H392" s="46">
        <v>44.246099999999998</v>
      </c>
      <c r="I392" s="66"/>
      <c r="J392" s="66"/>
      <c r="K392" s="67"/>
      <c r="L392" s="29"/>
      <c r="M392" s="70"/>
      <c r="N392" s="46">
        <v>37.512300000000003</v>
      </c>
      <c r="O392" s="46">
        <v>44.920900000000003</v>
      </c>
      <c r="P392" s="46">
        <v>44.262700000000002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-6.1999999999997613E-3</v>
      </c>
      <c r="AE392" s="46">
        <f t="shared" si="26"/>
        <v>-1.3200000000004763E-2</v>
      </c>
      <c r="AF392" s="46">
        <f t="shared" si="27"/>
        <v>-1.6600000000003945E-2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34.963299999999997</v>
      </c>
      <c r="G393" s="46">
        <v>43.264899999999997</v>
      </c>
      <c r="H393" s="46">
        <v>42.365699999999997</v>
      </c>
      <c r="I393" s="66"/>
      <c r="J393" s="66"/>
      <c r="K393" s="67"/>
      <c r="L393" s="29"/>
      <c r="M393" s="70"/>
      <c r="N393" s="46">
        <v>34.958100000000002</v>
      </c>
      <c r="O393" s="46">
        <v>43.275500000000001</v>
      </c>
      <c r="P393" s="46">
        <v>42.356699999999996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5.1999999999949864E-3</v>
      </c>
      <c r="AE393" s="46">
        <f t="shared" si="26"/>
        <v>-1.0600000000003718E-2</v>
      </c>
      <c r="AF393" s="46">
        <f t="shared" si="27"/>
        <v>9.0000000000003411E-3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32.619300000000003</v>
      </c>
      <c r="G394" s="72">
        <v>42.082900000000002</v>
      </c>
      <c r="H394" s="72">
        <v>40.940100000000001</v>
      </c>
      <c r="I394" s="68"/>
      <c r="J394" s="68"/>
      <c r="K394" s="69"/>
      <c r="L394" s="29"/>
      <c r="M394" s="81"/>
      <c r="N394" s="72">
        <v>32.622199999999999</v>
      </c>
      <c r="O394" s="72">
        <v>42.113999999999997</v>
      </c>
      <c r="P394" s="72">
        <v>40.922400000000003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-2.899999999996794E-3</v>
      </c>
      <c r="AE394" s="72">
        <f t="shared" si="26"/>
        <v>-3.1099999999995021E-2</v>
      </c>
      <c r="AF394" s="72">
        <f t="shared" si="27"/>
        <v>1.7699999999997829E-2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40.307200000000002</v>
      </c>
      <c r="G395" s="45">
        <v>47.045900000000003</v>
      </c>
      <c r="H395" s="45">
        <v>46.278100000000002</v>
      </c>
      <c r="I395" s="66"/>
      <c r="J395" s="66"/>
      <c r="K395" s="67"/>
      <c r="L395" s="29"/>
      <c r="M395" s="70"/>
      <c r="N395" s="45">
        <v>40.305999999999997</v>
      </c>
      <c r="O395" s="45">
        <v>47.074300000000001</v>
      </c>
      <c r="P395" s="45">
        <v>46.27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1.2000000000043087E-3</v>
      </c>
      <c r="AE395" s="45">
        <f t="shared" si="26"/>
        <v>-2.839999999999776E-2</v>
      </c>
      <c r="AF395" s="45">
        <f t="shared" si="27"/>
        <v>8.0999999999988859E-3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37.5443</v>
      </c>
      <c r="G396" s="46">
        <v>45.2577</v>
      </c>
      <c r="H396" s="46">
        <v>44.2928</v>
      </c>
      <c r="I396" s="66"/>
      <c r="J396" s="66"/>
      <c r="K396" s="67"/>
      <c r="L396" s="29"/>
      <c r="M396" s="70"/>
      <c r="N396" s="46">
        <v>37.549999999999997</v>
      </c>
      <c r="O396" s="46">
        <v>45.271700000000003</v>
      </c>
      <c r="P396" s="46">
        <v>44.301900000000003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-5.6999999999973738E-3</v>
      </c>
      <c r="AE396" s="46">
        <f t="shared" si="26"/>
        <v>-1.4000000000002899E-2</v>
      </c>
      <c r="AF396" s="46">
        <f t="shared" si="27"/>
        <v>-9.1000000000036607E-3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34.966799999999999</v>
      </c>
      <c r="G397" s="46">
        <v>43.433799999999998</v>
      </c>
      <c r="H397" s="46">
        <v>42.389899999999997</v>
      </c>
      <c r="I397" s="66"/>
      <c r="J397" s="66"/>
      <c r="K397" s="67"/>
      <c r="L397" s="29"/>
      <c r="M397" s="70"/>
      <c r="N397" s="46">
        <v>34.964100000000002</v>
      </c>
      <c r="O397" s="46">
        <v>43.445099999999996</v>
      </c>
      <c r="P397" s="46">
        <v>42.360599999999998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2.6999999999972601E-3</v>
      </c>
      <c r="AE397" s="46">
        <f t="shared" si="26"/>
        <v>-1.1299999999998533E-2</v>
      </c>
      <c r="AF397" s="46">
        <f t="shared" si="27"/>
        <v>2.9299999999999216E-2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32.589300000000001</v>
      </c>
      <c r="G398" s="72">
        <v>42.117199999999997</v>
      </c>
      <c r="H398" s="72">
        <v>40.891800000000003</v>
      </c>
      <c r="I398" s="68"/>
      <c r="J398" s="68"/>
      <c r="K398" s="69"/>
      <c r="L398" s="29"/>
      <c r="M398" s="81"/>
      <c r="N398" s="46">
        <v>32.597200000000001</v>
      </c>
      <c r="O398" s="72">
        <v>42.129399999999997</v>
      </c>
      <c r="P398" s="72">
        <v>40.885800000000003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-7.899999999999352E-3</v>
      </c>
      <c r="AE398" s="46">
        <f t="shared" si="26"/>
        <v>-1.2199999999999989E-2</v>
      </c>
      <c r="AF398" s="46">
        <f t="shared" si="27"/>
        <v>6.0000000000002274E-3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40.607100000000003</v>
      </c>
      <c r="G399" s="45">
        <v>47.5473</v>
      </c>
      <c r="H399" s="45">
        <v>47.021299999999997</v>
      </c>
      <c r="I399" s="66"/>
      <c r="J399" s="66"/>
      <c r="K399" s="67"/>
      <c r="L399" s="29"/>
      <c r="M399" s="70"/>
      <c r="N399" s="45">
        <v>40.606400000000001</v>
      </c>
      <c r="O399" s="45">
        <v>47.549399999999999</v>
      </c>
      <c r="P399" s="45">
        <v>47.021299999999997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7.0000000000192131E-4</v>
      </c>
      <c r="AE399" s="45">
        <f t="shared" si="26"/>
        <v>-2.0999999999986585E-3</v>
      </c>
      <c r="AF399" s="45">
        <f t="shared" si="27"/>
        <v>0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37.767099999999999</v>
      </c>
      <c r="G400" s="46">
        <v>45.665300000000002</v>
      </c>
      <c r="H400" s="46">
        <v>44.892200000000003</v>
      </c>
      <c r="I400" s="66"/>
      <c r="J400" s="66"/>
      <c r="K400" s="67"/>
      <c r="L400" s="29"/>
      <c r="M400" s="70"/>
      <c r="N400" s="46">
        <v>37.769100000000002</v>
      </c>
      <c r="O400" s="46">
        <v>45.676699999999997</v>
      </c>
      <c r="P400" s="46">
        <v>44.895200000000003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-2.0000000000024443E-3</v>
      </c>
      <c r="AE400" s="46">
        <f t="shared" si="26"/>
        <v>-1.1399999999994748E-2</v>
      </c>
      <c r="AF400" s="46">
        <f t="shared" si="27"/>
        <v>-3.0000000000001137E-3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35.136000000000003</v>
      </c>
      <c r="G401" s="46">
        <v>43.819899999999997</v>
      </c>
      <c r="H401" s="46">
        <v>42.826999999999998</v>
      </c>
      <c r="I401" s="66"/>
      <c r="J401" s="66"/>
      <c r="K401" s="67"/>
      <c r="L401" s="29"/>
      <c r="M401" s="70"/>
      <c r="N401" s="46">
        <v>35.130800000000001</v>
      </c>
      <c r="O401" s="46">
        <v>43.808100000000003</v>
      </c>
      <c r="P401" s="46">
        <v>42.817799999999998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5.2000000000020918E-3</v>
      </c>
      <c r="AE401" s="46">
        <f t="shared" si="26"/>
        <v>1.1799999999993815E-2</v>
      </c>
      <c r="AF401" s="46">
        <f t="shared" si="27"/>
        <v>9.1999999999998749E-3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32.727600000000002</v>
      </c>
      <c r="G402" s="72">
        <v>42.475700000000003</v>
      </c>
      <c r="H402" s="72">
        <v>41.282600000000002</v>
      </c>
      <c r="I402" s="68"/>
      <c r="J402" s="68"/>
      <c r="K402" s="69"/>
      <c r="L402" s="29"/>
      <c r="M402" s="81"/>
      <c r="N402" s="46">
        <v>32.7303</v>
      </c>
      <c r="O402" s="72">
        <v>42.47</v>
      </c>
      <c r="P402" s="72">
        <v>41.273699999999998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-2.6999999999972601E-3</v>
      </c>
      <c r="AE402" s="46">
        <f t="shared" si="26"/>
        <v>5.7000000000044793E-3</v>
      </c>
      <c r="AF402" s="46">
        <f t="shared" si="27"/>
        <v>8.9000000000041268E-3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40.614800000000002</v>
      </c>
      <c r="G403" s="45">
        <v>47.613599999999998</v>
      </c>
      <c r="H403" s="45">
        <v>47.071300000000001</v>
      </c>
      <c r="I403" s="66"/>
      <c r="J403" s="66"/>
      <c r="K403" s="67"/>
      <c r="L403" s="29"/>
      <c r="M403" s="70"/>
      <c r="N403" s="45">
        <v>40.619300000000003</v>
      </c>
      <c r="O403" s="45">
        <v>47.612200000000001</v>
      </c>
      <c r="P403" s="45">
        <v>47.062100000000001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-4.5000000000001705E-3</v>
      </c>
      <c r="AE403" s="45">
        <f t="shared" si="26"/>
        <v>1.3999999999967372E-3</v>
      </c>
      <c r="AF403" s="45">
        <f t="shared" si="27"/>
        <v>9.1999999999998749E-3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37.775700000000001</v>
      </c>
      <c r="G404" s="46">
        <v>45.738900000000001</v>
      </c>
      <c r="H404" s="46">
        <v>44.947800000000001</v>
      </c>
      <c r="I404" s="66"/>
      <c r="J404" s="66"/>
      <c r="K404" s="67"/>
      <c r="L404" s="29"/>
      <c r="M404" s="70"/>
      <c r="N404" s="46">
        <v>37.778700000000001</v>
      </c>
      <c r="O404" s="46">
        <v>45.752499999999998</v>
      </c>
      <c r="P404" s="46">
        <v>44.951700000000002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-3.0000000000001137E-3</v>
      </c>
      <c r="AE404" s="46">
        <f t="shared" si="26"/>
        <v>-1.3599999999996726E-2</v>
      </c>
      <c r="AF404" s="46">
        <f t="shared" si="27"/>
        <v>-3.9000000000015689E-3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35.140599999999999</v>
      </c>
      <c r="G405" s="46">
        <v>43.894100000000002</v>
      </c>
      <c r="H405" s="46">
        <v>42.884999999999998</v>
      </c>
      <c r="I405" s="66"/>
      <c r="J405" s="66"/>
      <c r="K405" s="67"/>
      <c r="L405" s="29"/>
      <c r="M405" s="70"/>
      <c r="N405" s="46">
        <v>35.1342</v>
      </c>
      <c r="O405" s="46">
        <v>43.883800000000001</v>
      </c>
      <c r="P405" s="46">
        <v>42.882599999999996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6.3999999999992951E-3</v>
      </c>
      <c r="AE405" s="46">
        <f t="shared" si="26"/>
        <v>1.0300000000000864E-2</v>
      </c>
      <c r="AF405" s="46">
        <f t="shared" si="27"/>
        <v>2.400000000001512E-3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32.7254</v>
      </c>
      <c r="G406" s="72">
        <v>42.601500000000001</v>
      </c>
      <c r="H406" s="72">
        <v>41.328099999999999</v>
      </c>
      <c r="I406" s="68"/>
      <c r="J406" s="68"/>
      <c r="K406" s="69"/>
      <c r="L406" s="29"/>
      <c r="M406" s="81"/>
      <c r="N406" s="46">
        <v>32.729900000000001</v>
      </c>
      <c r="O406" s="72">
        <v>42.606299999999997</v>
      </c>
      <c r="P406" s="72">
        <v>41.317300000000003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-4.5000000000001705E-3</v>
      </c>
      <c r="AE406" s="46">
        <f t="shared" si="26"/>
        <v>-4.7999999999959186E-3</v>
      </c>
      <c r="AF406" s="46">
        <f t="shared" si="27"/>
        <v>1.0799999999996146E-2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40.323500000000003</v>
      </c>
      <c r="G407" s="45">
        <v>46.717599999999997</v>
      </c>
      <c r="H407" s="45">
        <v>46.419800000000002</v>
      </c>
      <c r="I407" s="66"/>
      <c r="J407" s="66"/>
      <c r="K407" s="67"/>
      <c r="L407" s="29"/>
      <c r="M407" s="70"/>
      <c r="N407" s="45">
        <v>40.327500000000001</v>
      </c>
      <c r="O407" s="45">
        <v>46.744300000000003</v>
      </c>
      <c r="P407" s="45">
        <v>46.415399999999998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-3.9999999999977831E-3</v>
      </c>
      <c r="AE407" s="45">
        <f t="shared" si="26"/>
        <v>-2.6700000000005275E-2</v>
      </c>
      <c r="AF407" s="45">
        <f t="shared" si="27"/>
        <v>4.4000000000039563E-3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37.5593</v>
      </c>
      <c r="G408" s="46">
        <v>45.098599999999998</v>
      </c>
      <c r="H408" s="46">
        <v>44.406199999999998</v>
      </c>
      <c r="I408" s="66"/>
      <c r="J408" s="66"/>
      <c r="K408" s="67"/>
      <c r="L408" s="29"/>
      <c r="M408" s="70"/>
      <c r="N408" s="46">
        <v>37.564399999999999</v>
      </c>
      <c r="O408" s="46">
        <v>45.115000000000002</v>
      </c>
      <c r="P408" s="46">
        <v>44.424399999999999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-5.0999999999987722E-3</v>
      </c>
      <c r="AE408" s="46">
        <f t="shared" si="26"/>
        <v>-1.6400000000004411E-2</v>
      </c>
      <c r="AF408" s="46">
        <f t="shared" si="27"/>
        <v>-1.8200000000000216E-2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34.970399999999998</v>
      </c>
      <c r="G409" s="46">
        <v>43.439900000000002</v>
      </c>
      <c r="H409" s="46">
        <v>42.466200000000001</v>
      </c>
      <c r="I409" s="66"/>
      <c r="J409" s="66"/>
      <c r="K409" s="67"/>
      <c r="L409" s="29"/>
      <c r="M409" s="70"/>
      <c r="N409" s="46">
        <v>34.963200000000001</v>
      </c>
      <c r="O409" s="46">
        <v>43.407600000000002</v>
      </c>
      <c r="P409" s="46">
        <v>42.468699999999998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7.1999999999974307E-3</v>
      </c>
      <c r="AE409" s="46">
        <f t="shared" si="26"/>
        <v>3.2299999999999329E-2</v>
      </c>
      <c r="AF409" s="46">
        <f t="shared" si="27"/>
        <v>-2.4999999999977263E-3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32.574199999999998</v>
      </c>
      <c r="G410" s="72">
        <v>42.168199999999999</v>
      </c>
      <c r="H410" s="72">
        <v>40.915799999999997</v>
      </c>
      <c r="I410" s="68"/>
      <c r="J410" s="68"/>
      <c r="K410" s="69"/>
      <c r="L410" s="29"/>
      <c r="M410" s="81"/>
      <c r="N410" s="72">
        <v>32.582500000000003</v>
      </c>
      <c r="O410" s="72">
        <v>42.172499999999999</v>
      </c>
      <c r="P410" s="72">
        <v>40.913699999999999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-8.3000000000055252E-3</v>
      </c>
      <c r="AE410" s="72">
        <f t="shared" si="26"/>
        <v>-4.3000000000006366E-3</v>
      </c>
      <c r="AF410" s="72">
        <f t="shared" si="27"/>
        <v>2.0999999999986585E-3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40.241100000000003</v>
      </c>
      <c r="G411" s="45">
        <v>46.6038</v>
      </c>
      <c r="H411" s="45">
        <v>46.377699999999997</v>
      </c>
      <c r="I411" s="66"/>
      <c r="J411" s="66"/>
      <c r="K411" s="67"/>
      <c r="L411" s="29"/>
      <c r="M411" s="70"/>
      <c r="N411" s="45">
        <v>40.243299999999998</v>
      </c>
      <c r="O411" s="45">
        <v>46.6297</v>
      </c>
      <c r="P411" s="45">
        <v>46.378799999999998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-2.1999999999948727E-3</v>
      </c>
      <c r="AE411" s="45">
        <f t="shared" si="26"/>
        <v>-2.5900000000000034E-2</v>
      </c>
      <c r="AF411" s="45">
        <f t="shared" si="27"/>
        <v>-1.1000000000009891E-3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37.512999999999998</v>
      </c>
      <c r="G412" s="46">
        <v>45.032899999999998</v>
      </c>
      <c r="H412" s="46">
        <v>44.397500000000001</v>
      </c>
      <c r="I412" s="66"/>
      <c r="J412" s="66"/>
      <c r="K412" s="67"/>
      <c r="L412" s="29"/>
      <c r="M412" s="70"/>
      <c r="N412" s="46">
        <v>37.5227</v>
      </c>
      <c r="O412" s="46">
        <v>45.031500000000001</v>
      </c>
      <c r="P412" s="46">
        <v>44.388599999999997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-9.7000000000022624E-3</v>
      </c>
      <c r="AE412" s="46">
        <f t="shared" si="26"/>
        <v>1.3999999999967372E-3</v>
      </c>
      <c r="AF412" s="46">
        <f t="shared" si="27"/>
        <v>8.9000000000041268E-3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34.9604</v>
      </c>
      <c r="G413" s="46">
        <v>43.393099999999997</v>
      </c>
      <c r="H413" s="46">
        <v>42.4373</v>
      </c>
      <c r="I413" s="66"/>
      <c r="J413" s="66"/>
      <c r="K413" s="67"/>
      <c r="L413" s="29"/>
      <c r="M413" s="70"/>
      <c r="N413" s="46">
        <v>34.951900000000002</v>
      </c>
      <c r="O413" s="46">
        <v>43.357100000000003</v>
      </c>
      <c r="P413" s="46">
        <v>42.452399999999997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8.4999999999979536E-3</v>
      </c>
      <c r="AE413" s="46">
        <f t="shared" si="26"/>
        <v>3.5999999999994259E-2</v>
      </c>
      <c r="AF413" s="46">
        <f t="shared" si="27"/>
        <v>-1.5099999999996783E-2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32.590699999999998</v>
      </c>
      <c r="G414" s="72">
        <v>42.188800000000001</v>
      </c>
      <c r="H414" s="72">
        <v>40.938800000000001</v>
      </c>
      <c r="I414" s="68"/>
      <c r="J414" s="68"/>
      <c r="K414" s="69"/>
      <c r="L414" s="29"/>
      <c r="M414" s="81"/>
      <c r="N414" s="72">
        <v>32.5976</v>
      </c>
      <c r="O414" s="72">
        <v>42.208799999999997</v>
      </c>
      <c r="P414" s="72">
        <v>40.9251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-6.9000000000016826E-3</v>
      </c>
      <c r="AE414" s="72">
        <f t="shared" si="26"/>
        <v>-1.9999999999996021E-2</v>
      </c>
      <c r="AF414" s="72">
        <f t="shared" si="27"/>
        <v>1.3700000000000045E-2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6694.2031999999999</v>
      </c>
      <c r="F415" s="70"/>
      <c r="G415" s="70"/>
      <c r="H415" s="70"/>
      <c r="I415" s="45">
        <v>83810.880000000005</v>
      </c>
      <c r="J415" s="45">
        <v>69.78</v>
      </c>
      <c r="K415" s="45">
        <v>881.14</v>
      </c>
      <c r="L415" s="29"/>
      <c r="M415" s="45">
        <v>6693.2695999999996</v>
      </c>
      <c r="N415" s="70"/>
      <c r="O415" s="70"/>
      <c r="P415" s="70"/>
      <c r="Q415" s="45">
        <v>84136.91</v>
      </c>
      <c r="R415" s="45">
        <v>72.349999999999994</v>
      </c>
      <c r="S415" s="45">
        <v>906.42</v>
      </c>
      <c r="U415" s="8"/>
      <c r="V415" s="9"/>
      <c r="W415" s="10"/>
      <c r="X415" s="29"/>
      <c r="Y415" s="61">
        <f>GEOMEAN(Q415:Q418)/GEOMEAN(I415:I418)</f>
        <v>1.003257202870089</v>
      </c>
      <c r="Z415" s="61">
        <f>GEOMEAN(R415:R418)/GEOMEAN(J415:J418)</f>
        <v>1.0127532865625573</v>
      </c>
      <c r="AA415" s="57">
        <f>GEOMEAN(S415:S418)/GEOMEAN(K415:K418)</f>
        <v>1.0059310861449366</v>
      </c>
      <c r="AB415" s="24"/>
      <c r="AC415" s="45">
        <f>E415 -M415</f>
        <v>0.93360000000029686</v>
      </c>
      <c r="AD415" s="70"/>
      <c r="AE415" s="70"/>
      <c r="AF415" s="70"/>
      <c r="AG415" s="45">
        <f t="shared" ref="AG415:AI418" si="28">I415 -Q415</f>
        <v>-326.02999999999884</v>
      </c>
      <c r="AH415" s="45">
        <f t="shared" si="28"/>
        <v>-2.5699999999999932</v>
      </c>
      <c r="AI415" s="45">
        <f t="shared" si="28"/>
        <v>-25.279999999999973</v>
      </c>
    </row>
    <row r="416" spans="2:35" ht="12">
      <c r="B416" s="36"/>
      <c r="C416" s="29"/>
      <c r="D416" s="32">
        <v>30</v>
      </c>
      <c r="E416" s="46">
        <v>3084.0711999999999</v>
      </c>
      <c r="F416" s="70"/>
      <c r="G416" s="70"/>
      <c r="H416" s="70"/>
      <c r="I416" s="46">
        <v>79637.38</v>
      </c>
      <c r="J416" s="46">
        <v>62.54</v>
      </c>
      <c r="K416" s="46">
        <v>909.16</v>
      </c>
      <c r="L416" s="29"/>
      <c r="M416" s="46">
        <v>3088.1368000000002</v>
      </c>
      <c r="N416" s="70"/>
      <c r="O416" s="70"/>
      <c r="P416" s="70"/>
      <c r="Q416" s="46">
        <v>79773.66</v>
      </c>
      <c r="R416" s="46">
        <v>62.64</v>
      </c>
      <c r="S416" s="46">
        <v>901.93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-4.0656000000003587</v>
      </c>
      <c r="AD416" s="70"/>
      <c r="AE416" s="70"/>
      <c r="AF416" s="70"/>
      <c r="AG416" s="46">
        <f t="shared" si="28"/>
        <v>-136.27999999999884</v>
      </c>
      <c r="AH416" s="46">
        <f t="shared" si="28"/>
        <v>-0.10000000000000142</v>
      </c>
      <c r="AI416" s="46">
        <f t="shared" si="28"/>
        <v>7.2300000000000182</v>
      </c>
    </row>
    <row r="417" spans="1:35" ht="12">
      <c r="B417" s="36"/>
      <c r="C417" s="29"/>
      <c r="D417" s="32">
        <v>35</v>
      </c>
      <c r="E417" s="46">
        <v>1509.3335999999999</v>
      </c>
      <c r="F417" s="70"/>
      <c r="G417" s="70"/>
      <c r="H417" s="70"/>
      <c r="I417" s="46">
        <v>77186.25</v>
      </c>
      <c r="J417" s="46">
        <v>58.5</v>
      </c>
      <c r="K417" s="46">
        <v>907.98</v>
      </c>
      <c r="L417" s="29"/>
      <c r="M417" s="46">
        <v>1509.116</v>
      </c>
      <c r="N417" s="70"/>
      <c r="O417" s="70"/>
      <c r="P417" s="70"/>
      <c r="Q417" s="46">
        <v>77373.240000000005</v>
      </c>
      <c r="R417" s="46">
        <v>58.73</v>
      </c>
      <c r="S417" s="46">
        <v>907.08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0.21759999999994761</v>
      </c>
      <c r="AD417" s="70"/>
      <c r="AE417" s="70"/>
      <c r="AF417" s="70"/>
      <c r="AG417" s="46">
        <f t="shared" si="28"/>
        <v>-186.99000000000524</v>
      </c>
      <c r="AH417" s="46">
        <f t="shared" si="28"/>
        <v>-0.22999999999999687</v>
      </c>
      <c r="AI417" s="46">
        <f t="shared" si="28"/>
        <v>0.89999999999997726</v>
      </c>
    </row>
    <row r="418" spans="1:35" ht="12.75" thickBot="1">
      <c r="A418" s="54"/>
      <c r="B418" s="52"/>
      <c r="C418" s="53"/>
      <c r="D418" s="71">
        <v>40</v>
      </c>
      <c r="E418" s="72">
        <v>734.84640000000002</v>
      </c>
      <c r="F418" s="81"/>
      <c r="G418" s="81"/>
      <c r="H418" s="81"/>
      <c r="I418" s="72">
        <v>75177.149999999994</v>
      </c>
      <c r="J418" s="72">
        <v>55.3</v>
      </c>
      <c r="K418" s="72">
        <v>905.05</v>
      </c>
      <c r="L418" s="29"/>
      <c r="M418" s="72">
        <v>734.49360000000001</v>
      </c>
      <c r="N418" s="81"/>
      <c r="O418" s="81"/>
      <c r="P418" s="81"/>
      <c r="Q418" s="72">
        <v>75553.649999999994</v>
      </c>
      <c r="R418" s="72">
        <v>55.8</v>
      </c>
      <c r="S418" s="72">
        <v>908.99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0.352800000000002</v>
      </c>
      <c r="AD418" s="81"/>
      <c r="AE418" s="81"/>
      <c r="AF418" s="81"/>
      <c r="AG418" s="72">
        <f t="shared" si="28"/>
        <v>-376.5</v>
      </c>
      <c r="AH418" s="72">
        <f t="shared" si="28"/>
        <v>-0.5</v>
      </c>
      <c r="AI418" s="72">
        <f t="shared" si="28"/>
        <v>-3.9400000000000546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30683.645366429551</v>
      </c>
      <c r="J420" s="37">
        <f>GEOMEAN(J51:J54,J103:J106,J155:J158)</f>
        <v>26.467394404511605</v>
      </c>
      <c r="K420" s="39">
        <f>GEOMEAN(K51:K54,K103:K106,K155:K158)</f>
        <v>347.55458320828637</v>
      </c>
      <c r="M420" s="35"/>
      <c r="N420" s="22"/>
      <c r="O420" s="22"/>
      <c r="P420" s="22"/>
      <c r="Q420" s="37">
        <f>GEOMEAN(Q51:Q54,Q103:Q106,Q155:Q158)</f>
        <v>34392.726457786877</v>
      </c>
      <c r="R420" s="37">
        <f>GEOMEAN(R51:R54,R103:R106,R155:R158)</f>
        <v>26.3644428323189</v>
      </c>
      <c r="S420" s="39">
        <f>GEOMEAN(S51:S54,S103:S106,S155:S158)</f>
        <v>344.20675894031785</v>
      </c>
      <c r="AA420" s="20" t="s">
        <v>63</v>
      </c>
      <c r="AB420" s="35">
        <f>SUM(AD420:AI420)</f>
        <v>121270.78339999994</v>
      </c>
      <c r="AC420" s="35">
        <f t="array" ref="AC420">SUM(ABS(AC3:AC418))</f>
        <v>356.15879999999999</v>
      </c>
      <c r="AD420" s="35">
        <f t="array" ref="AD420">SUM(ABS(AD3:AD418))</f>
        <v>6.427599999999849</v>
      </c>
      <c r="AE420" s="35">
        <f t="array" ref="AE420">SUM(ABS(AE3:AE418))</f>
        <v>5.0730999999999753</v>
      </c>
      <c r="AF420" s="35">
        <f t="array" ref="AF420">SUM(ABS(AF3:AF418))</f>
        <v>4.9326999999999686</v>
      </c>
      <c r="AG420" s="35">
        <f t="array" ref="AG420">SUM(ABS(AG3:AG418))</f>
        <v>121047.87999999996</v>
      </c>
      <c r="AH420" s="35">
        <f t="array" ref="AH420">SUM(ABS(AH3:AH418))</f>
        <v>32.180000000000007</v>
      </c>
      <c r="AI420" s="35">
        <f t="array" ref="AI420">SUM(ABS(AI3:AI418))</f>
        <v>174.28999999999991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59155.060157655003</v>
      </c>
      <c r="J421" s="38">
        <f>GEOMEAN(J207:J210,J259:J262,J311:J314,J363:J366)</f>
        <v>48.445933112541148</v>
      </c>
      <c r="K421" s="40">
        <f>GEOMEAN(K207:K210,K259:K262,K311:K314,K363:K366)</f>
        <v>714.54709226527859</v>
      </c>
      <c r="M421" s="36"/>
      <c r="N421" s="24"/>
      <c r="O421" s="24"/>
      <c r="P421" s="24"/>
      <c r="Q421" s="38">
        <f>GEOMEAN(Q207:Q210,Q259:Q262,Q311:Q314,Q363:Q366)</f>
        <v>64000.439506991759</v>
      </c>
      <c r="R421" s="38">
        <f>GEOMEAN(R207:R210,R259:R262,R311:R314,R363:R366)</f>
        <v>48.964003344854277</v>
      </c>
      <c r="S421" s="40">
        <f>GEOMEAN(S207:S210,S259:S262,S311:S314,S363:S366)</f>
        <v>714.28072327542941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44649.092674242886</v>
      </c>
      <c r="J422" s="73">
        <f>GEOMEAN(J51:J54,J103:J106,J155:J158,J207:J210,J259:J262,J311:J314,J363:J366)</f>
        <v>37.388457873700531</v>
      </c>
      <c r="K422" s="74">
        <f>GEOMEAN(K51:K54,K103:K106,K155:K158,K207:K210,K259:K262,K311:K314,K363:K366)</f>
        <v>524.66807698558034</v>
      </c>
      <c r="M422" s="52"/>
      <c r="N422" s="49"/>
      <c r="O422" s="49"/>
      <c r="P422" s="49"/>
      <c r="Q422" s="73">
        <f>GEOMEAN(Q51:Q54,Q103:Q106,Q155:Q158,Q207:Q210,Q259:Q262,Q311:Q314,Q363:Q366)</f>
        <v>49044.491335529368</v>
      </c>
      <c r="R422" s="73">
        <f>GEOMEAN(R51:R54,R103:R106,R155:R158,R207:R210,R259:R262,R311:R314,R363:R366)</f>
        <v>37.553630092914581</v>
      </c>
      <c r="S422" s="74">
        <f>GEOMEAN(S51:S54,S103:S106,S155:S158,S207:S210,S259:S262,S311:S314,S363:S366)</f>
        <v>522.38483082156461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1.1208813700935081</v>
      </c>
      <c r="R423" s="47">
        <f t="shared" si="29"/>
        <v>0.99611024906270507</v>
      </c>
      <c r="S423" s="48">
        <f t="shared" si="29"/>
        <v>0.99036748634685046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1.0819098034288743</v>
      </c>
      <c r="R424" s="47">
        <f t="shared" si="29"/>
        <v>1.0106937816866823</v>
      </c>
      <c r="S424" s="48">
        <f t="shared" si="29"/>
        <v>0.99962721982535152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1.0984431798727703</v>
      </c>
      <c r="R425" s="50">
        <f t="shared" si="29"/>
        <v>1.004417732867507</v>
      </c>
      <c r="S425" s="51">
        <f t="shared" si="29"/>
        <v>0.99564820833557499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1239.0864000000001</v>
      </c>
      <c r="F430" s="78">
        <f t="shared" ref="F430:H433" si="30">AVERAGE(F3,F7)</f>
        <v>42.627800000000001</v>
      </c>
      <c r="G430" s="78">
        <f t="shared" si="30"/>
        <v>43.202799999999996</v>
      </c>
      <c r="H430" s="78">
        <f t="shared" si="30"/>
        <v>43.532700000000006</v>
      </c>
      <c r="I430" s="79"/>
      <c r="J430" s="79"/>
      <c r="K430" s="80"/>
      <c r="L430" s="29"/>
      <c r="M430" s="82">
        <f>M3+M7</f>
        <v>1225.3391999999999</v>
      </c>
      <c r="N430" s="78">
        <f t="shared" ref="N430:P433" si="31">AVERAGE(N3,N7)</f>
        <v>42.638750000000002</v>
      </c>
      <c r="O430" s="78">
        <f t="shared" si="31"/>
        <v>43.197249999999997</v>
      </c>
      <c r="P430" s="78">
        <f t="shared" si="31"/>
        <v>43.530650000000001</v>
      </c>
      <c r="Q430" s="79"/>
      <c r="R430" s="79"/>
      <c r="S430" s="80"/>
      <c r="U430" s="8">
        <f>bdrate($E430:$E433,F430:F433,$M430:$M433,N430:N433)</f>
        <v>-8.3213992404185255E-3</v>
      </c>
      <c r="V430" s="9">
        <f>bdrate($E430:$E433,G430:G433,$M430:$M433,O430:O433)</f>
        <v>-4.079785513160572E-3</v>
      </c>
      <c r="W430" s="10">
        <f>bdrate($E430:$E433,H430:H433,$M430:$M433,P430:P433)</f>
        <v>-7.5078004589738123E-3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654.428</v>
      </c>
      <c r="F431" s="70">
        <f t="shared" si="30"/>
        <v>40.395899999999997</v>
      </c>
      <c r="G431" s="70">
        <f t="shared" si="30"/>
        <v>41.883049999999997</v>
      </c>
      <c r="H431" s="70">
        <f t="shared" si="30"/>
        <v>41.9026</v>
      </c>
      <c r="I431" s="66"/>
      <c r="J431" s="66"/>
      <c r="K431" s="67"/>
      <c r="L431" s="29"/>
      <c r="M431" s="83">
        <f>M4+M8</f>
        <v>649.51679999999999</v>
      </c>
      <c r="N431" s="70">
        <f t="shared" si="31"/>
        <v>40.412750000000003</v>
      </c>
      <c r="O431" s="70">
        <f t="shared" si="31"/>
        <v>41.879649999999998</v>
      </c>
      <c r="P431" s="70">
        <f t="shared" si="31"/>
        <v>41.9011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370.46479999999997</v>
      </c>
      <c r="F432" s="70">
        <f t="shared" si="30"/>
        <v>37.7849</v>
      </c>
      <c r="G432" s="70">
        <f t="shared" si="30"/>
        <v>40.542900000000003</v>
      </c>
      <c r="H432" s="70">
        <f t="shared" si="30"/>
        <v>40.247249999999994</v>
      </c>
      <c r="I432" s="66"/>
      <c r="J432" s="66"/>
      <c r="K432" s="67"/>
      <c r="L432" s="29"/>
      <c r="M432" s="83">
        <f>M5+M9</f>
        <v>368.99360000000001</v>
      </c>
      <c r="N432" s="70">
        <f t="shared" si="31"/>
        <v>37.793549999999996</v>
      </c>
      <c r="O432" s="70">
        <f t="shared" si="31"/>
        <v>40.539450000000002</v>
      </c>
      <c r="P432" s="70">
        <f t="shared" si="31"/>
        <v>40.256050000000002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216.77760000000001</v>
      </c>
      <c r="F433" s="81">
        <f t="shared" si="30"/>
        <v>34.988849999999999</v>
      </c>
      <c r="G433" s="81">
        <f t="shared" si="30"/>
        <v>39.443199999999997</v>
      </c>
      <c r="H433" s="81">
        <f t="shared" si="30"/>
        <v>38.940899999999999</v>
      </c>
      <c r="I433" s="68"/>
      <c r="J433" s="68"/>
      <c r="K433" s="69"/>
      <c r="L433" s="29"/>
      <c r="M433" s="84">
        <f>M6+M10</f>
        <v>216.7792</v>
      </c>
      <c r="N433" s="81">
        <f t="shared" si="31"/>
        <v>35.005549999999999</v>
      </c>
      <c r="O433" s="81">
        <f t="shared" si="31"/>
        <v>39.437250000000006</v>
      </c>
      <c r="P433" s="81">
        <f t="shared" si="31"/>
        <v>38.957049999999995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1633.0416</v>
      </c>
      <c r="F434" s="78">
        <f t="shared" ref="F434:H437" si="32">AVERAGE(F3,F7,F11)</f>
        <v>42.364466666666665</v>
      </c>
      <c r="G434" s="78">
        <f t="shared" si="32"/>
        <v>42.939600000000006</v>
      </c>
      <c r="H434" s="78">
        <f t="shared" si="32"/>
        <v>43.306000000000004</v>
      </c>
      <c r="I434" s="79"/>
      <c r="J434" s="79"/>
      <c r="K434" s="80"/>
      <c r="L434" s="29"/>
      <c r="M434" s="78">
        <f>M3+M7+M11</f>
        <v>1606.0359999999998</v>
      </c>
      <c r="N434" s="78">
        <f t="shared" ref="N434:P437" si="33">AVERAGE(N3,N7,N11)</f>
        <v>42.37766666666667</v>
      </c>
      <c r="O434" s="78">
        <f t="shared" si="33"/>
        <v>42.940699999999993</v>
      </c>
      <c r="P434" s="78">
        <f t="shared" si="33"/>
        <v>43.295733333333338</v>
      </c>
      <c r="Q434" s="79"/>
      <c r="R434" s="79"/>
      <c r="S434" s="80"/>
      <c r="U434" s="8">
        <f>bdrate($E434:$E437,F434:F437,$M434:$M437,N434:N437)</f>
        <v>-1.3005213798327309E-2</v>
      </c>
      <c r="V434" s="9">
        <f>bdrate($E434:$E437,G434:G437,$M434:$M437,O434:O437)</f>
        <v>-1.1397675690298037E-2</v>
      </c>
      <c r="W434" s="10">
        <f>bdrate($E434:$E437,H434:H437,$M434:$M437,P434:P437)</f>
        <v>-1.0439039410836792E-2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843.3528</v>
      </c>
      <c r="F435" s="70">
        <f t="shared" si="32"/>
        <v>40.104066666666661</v>
      </c>
      <c r="G435" s="70">
        <f t="shared" si="32"/>
        <v>41.586133333333329</v>
      </c>
      <c r="H435" s="70">
        <f t="shared" si="32"/>
        <v>41.689500000000002</v>
      </c>
      <c r="I435" s="66"/>
      <c r="J435" s="66"/>
      <c r="K435" s="67"/>
      <c r="L435" s="29"/>
      <c r="M435" s="70">
        <f>M4+M8+M12</f>
        <v>833.86799999999994</v>
      </c>
      <c r="N435" s="70">
        <f t="shared" si="33"/>
        <v>40.126733333333334</v>
      </c>
      <c r="O435" s="70">
        <f t="shared" si="33"/>
        <v>41.586466666666666</v>
      </c>
      <c r="P435" s="70">
        <f t="shared" si="33"/>
        <v>41.685699999999997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472.56079999999997</v>
      </c>
      <c r="F436" s="70">
        <f t="shared" si="32"/>
        <v>37.490499999999997</v>
      </c>
      <c r="G436" s="70">
        <f t="shared" si="32"/>
        <v>40.306833333333337</v>
      </c>
      <c r="H436" s="70">
        <f t="shared" si="32"/>
        <v>40.102366666666661</v>
      </c>
      <c r="I436" s="66"/>
      <c r="J436" s="66"/>
      <c r="K436" s="67"/>
      <c r="L436" s="29"/>
      <c r="M436" s="70">
        <f>M5+M9+M13</f>
        <v>469.43040000000002</v>
      </c>
      <c r="N436" s="70">
        <f t="shared" si="33"/>
        <v>37.510866666666665</v>
      </c>
      <c r="O436" s="70">
        <f t="shared" si="33"/>
        <v>40.316400000000002</v>
      </c>
      <c r="P436" s="70">
        <f t="shared" si="33"/>
        <v>40.113533333333329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271.15359999999998</v>
      </c>
      <c r="F437" s="81">
        <f t="shared" si="32"/>
        <v>34.718933333333332</v>
      </c>
      <c r="G437" s="81">
        <f t="shared" si="32"/>
        <v>39.208266666666667</v>
      </c>
      <c r="H437" s="81">
        <f t="shared" si="32"/>
        <v>38.795099999999998</v>
      </c>
      <c r="I437" s="68"/>
      <c r="J437" s="68"/>
      <c r="K437" s="69"/>
      <c r="L437" s="29"/>
      <c r="M437" s="81">
        <f>M6+M10+M14</f>
        <v>271.34159999999997</v>
      </c>
      <c r="N437" s="81">
        <f t="shared" si="33"/>
        <v>34.740866666666669</v>
      </c>
      <c r="O437" s="81">
        <f t="shared" si="33"/>
        <v>39.218933333333332</v>
      </c>
      <c r="P437" s="81">
        <f t="shared" si="33"/>
        <v>38.816533333333332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1492.4824000000001</v>
      </c>
      <c r="F438" s="78">
        <f t="shared" ref="F438:H441" si="34">AVERAGE(F27,F31,F35)</f>
        <v>42.778500000000001</v>
      </c>
      <c r="G438" s="78">
        <f t="shared" si="34"/>
        <v>45.598233333333333</v>
      </c>
      <c r="H438" s="78">
        <f t="shared" si="34"/>
        <v>45.497566666666671</v>
      </c>
      <c r="I438" s="79"/>
      <c r="J438" s="79"/>
      <c r="K438" s="80"/>
      <c r="L438" s="29"/>
      <c r="M438" s="82">
        <f>M3+M7+M15+M19</f>
        <v>1478.0151999999998</v>
      </c>
      <c r="N438" s="78">
        <f t="shared" ref="N438:P441" si="35">AVERAGE(N27,N31,N35)</f>
        <v>42.785033333333331</v>
      </c>
      <c r="O438" s="78">
        <f t="shared" si="35"/>
        <v>45.577633333333331</v>
      </c>
      <c r="P438" s="78">
        <f t="shared" si="35"/>
        <v>45.467066666666675</v>
      </c>
      <c r="Q438" s="79"/>
      <c r="R438" s="79"/>
      <c r="S438" s="80"/>
      <c r="U438" s="8">
        <f>bdrate($E438:$E441,F438:F441,$M438:$M441,N438:N441)</f>
        <v>-4.7141903433108867E-3</v>
      </c>
      <c r="V438" s="9">
        <f>bdrate($E438:$E441,G438:G441,$M438:$M441,O438:O441)</f>
        <v>1.7727658514827827E-3</v>
      </c>
      <c r="W438" s="10">
        <f>bdrate($E438:$E441,H438:H441,$M438:$M441,P438:P441)</f>
        <v>-4.2828387127543666E-3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743.44159999999999</v>
      </c>
      <c r="F439" s="70">
        <f t="shared" si="34"/>
        <v>40.443766666666669</v>
      </c>
      <c r="G439" s="70">
        <f t="shared" si="34"/>
        <v>43.869266666666668</v>
      </c>
      <c r="H439" s="70">
        <f t="shared" si="34"/>
        <v>43.438433333333336</v>
      </c>
      <c r="I439" s="66"/>
      <c r="J439" s="66"/>
      <c r="K439" s="67"/>
      <c r="L439" s="29"/>
      <c r="M439" s="83">
        <f>M4+M8+M16+M20</f>
        <v>737.56240000000003</v>
      </c>
      <c r="N439" s="70">
        <f t="shared" si="35"/>
        <v>40.436266666666668</v>
      </c>
      <c r="O439" s="70">
        <f t="shared" si="35"/>
        <v>43.848733333333335</v>
      </c>
      <c r="P439" s="70">
        <f t="shared" si="35"/>
        <v>43.432999999999993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411.78480000000002</v>
      </c>
      <c r="F440" s="70">
        <f t="shared" si="34"/>
        <v>37.866633333333333</v>
      </c>
      <c r="G440" s="70">
        <f t="shared" si="34"/>
        <v>42.10646666666667</v>
      </c>
      <c r="H440" s="70">
        <f t="shared" si="34"/>
        <v>41.445700000000002</v>
      </c>
      <c r="I440" s="66"/>
      <c r="J440" s="66"/>
      <c r="K440" s="67"/>
      <c r="L440" s="29"/>
      <c r="M440" s="83">
        <f>M5+M9+M17+M21</f>
        <v>410.06880000000001</v>
      </c>
      <c r="N440" s="70">
        <f t="shared" si="35"/>
        <v>37.860366666666664</v>
      </c>
      <c r="O440" s="70">
        <f t="shared" si="35"/>
        <v>42.073100000000004</v>
      </c>
      <c r="P440" s="70">
        <f t="shared" si="35"/>
        <v>41.447366666666667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238.4616</v>
      </c>
      <c r="F441" s="81">
        <f t="shared" si="34"/>
        <v>35.091699999999996</v>
      </c>
      <c r="G441" s="81">
        <f t="shared" si="34"/>
        <v>40.688000000000002</v>
      </c>
      <c r="H441" s="81">
        <f t="shared" si="34"/>
        <v>39.901266666666665</v>
      </c>
      <c r="I441" s="68"/>
      <c r="J441" s="68"/>
      <c r="K441" s="69"/>
      <c r="L441" s="29"/>
      <c r="M441" s="84">
        <f>M6+M10+M18+M22</f>
        <v>238.61280000000002</v>
      </c>
      <c r="N441" s="81">
        <f t="shared" si="35"/>
        <v>35.101199999999999</v>
      </c>
      <c r="O441" s="81">
        <f t="shared" si="35"/>
        <v>40.703866666666663</v>
      </c>
      <c r="P441" s="81">
        <f t="shared" si="35"/>
        <v>39.9086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2013.4495999999999</v>
      </c>
      <c r="F442" s="78">
        <f t="shared" ref="F442:H445" si="36">AVERAGE(F27,F31,F35,F39,F43,F47)</f>
        <v>42.700899999999997</v>
      </c>
      <c r="G442" s="78">
        <f t="shared" si="36"/>
        <v>45.545466666666663</v>
      </c>
      <c r="H442" s="78">
        <f t="shared" si="36"/>
        <v>45.445566666666672</v>
      </c>
      <c r="I442" s="79"/>
      <c r="J442" s="79"/>
      <c r="K442" s="80"/>
      <c r="L442" s="29"/>
      <c r="M442" s="78">
        <f>M51</f>
        <v>1986.0527999999999</v>
      </c>
      <c r="N442" s="78">
        <f t="shared" ref="N442:P445" si="37">AVERAGE(N27,N31,N35,N39,N43,N47)</f>
        <v>42.700916666666664</v>
      </c>
      <c r="O442" s="78">
        <f t="shared" si="37"/>
        <v>45.519966666666669</v>
      </c>
      <c r="P442" s="78">
        <f t="shared" si="37"/>
        <v>45.406200000000005</v>
      </c>
      <c r="Q442" s="79"/>
      <c r="R442" s="79"/>
      <c r="S442" s="80"/>
      <c r="U442" s="8">
        <f>bdrate($E442:$E445,F442:F445,$M442:$M445,N442:N445)</f>
        <v>-8.1719879349406721E-3</v>
      </c>
      <c r="V442" s="9">
        <f>bdrate($E442:$E445,G442:G445,$M442:$M445,O442:O445)</f>
        <v>7.7488975098205515E-4</v>
      </c>
      <c r="W442" s="10">
        <f>bdrate($E442:$E445,H442:H445,$M442:$M445,P442:P445)</f>
        <v>-8.719327103642982E-3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980.8</v>
      </c>
      <c r="F443" s="70">
        <f t="shared" si="36"/>
        <v>40.38453333333333</v>
      </c>
      <c r="G443" s="70">
        <f t="shared" si="36"/>
        <v>43.811200000000007</v>
      </c>
      <c r="H443" s="70">
        <f t="shared" si="36"/>
        <v>43.388550000000002</v>
      </c>
      <c r="I443" s="66"/>
      <c r="J443" s="66"/>
      <c r="K443" s="67"/>
      <c r="L443" s="29"/>
      <c r="M443" s="70">
        <f>M52</f>
        <v>970.12720000000002</v>
      </c>
      <c r="N443" s="70">
        <f t="shared" si="37"/>
        <v>40.382800000000003</v>
      </c>
      <c r="O443" s="70">
        <f t="shared" si="37"/>
        <v>43.776949999999999</v>
      </c>
      <c r="P443" s="70">
        <f t="shared" si="37"/>
        <v>43.383733333333332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539.18399999999997</v>
      </c>
      <c r="F444" s="70">
        <f t="shared" si="36"/>
        <v>37.805716666666662</v>
      </c>
      <c r="G444" s="70">
        <f t="shared" si="36"/>
        <v>42.065816666666663</v>
      </c>
      <c r="H444" s="70">
        <f t="shared" si="36"/>
        <v>41.401833333333336</v>
      </c>
      <c r="I444" s="66"/>
      <c r="J444" s="66"/>
      <c r="K444" s="67"/>
      <c r="L444" s="29"/>
      <c r="M444" s="70">
        <f>M53</f>
        <v>535.71680000000003</v>
      </c>
      <c r="N444" s="70">
        <f t="shared" si="37"/>
        <v>37.808433333333333</v>
      </c>
      <c r="O444" s="70">
        <f t="shared" si="37"/>
        <v>42.036666666666669</v>
      </c>
      <c r="P444" s="70">
        <f t="shared" si="37"/>
        <v>41.421433333333333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308.29520000000002</v>
      </c>
      <c r="F445" s="81">
        <f t="shared" si="36"/>
        <v>35.02408333333333</v>
      </c>
      <c r="G445" s="81">
        <f t="shared" si="36"/>
        <v>40.643466666666669</v>
      </c>
      <c r="H445" s="81">
        <f t="shared" si="36"/>
        <v>39.855400000000003</v>
      </c>
      <c r="I445" s="68"/>
      <c r="J445" s="68"/>
      <c r="K445" s="69"/>
      <c r="L445" s="29"/>
      <c r="M445" s="81">
        <f>M54</f>
        <v>308.54239999999999</v>
      </c>
      <c r="N445" s="81">
        <f t="shared" si="37"/>
        <v>35.036116666666665</v>
      </c>
      <c r="O445" s="81">
        <f t="shared" si="37"/>
        <v>40.670666666666662</v>
      </c>
      <c r="P445" s="81">
        <f t="shared" si="37"/>
        <v>39.871716666666664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1492.4824000000001</v>
      </c>
      <c r="F446" s="78">
        <f t="shared" ref="F446:H449" si="39">AVERAGE(F3,F7,F27,F31,F35)</f>
        <v>42.718220000000002</v>
      </c>
      <c r="G446" s="78">
        <f t="shared" si="39"/>
        <v>44.640059999999998</v>
      </c>
      <c r="H446" s="78">
        <f t="shared" si="39"/>
        <v>44.711620000000003</v>
      </c>
      <c r="I446" s="79"/>
      <c r="J446" s="79"/>
      <c r="K446" s="80"/>
      <c r="L446" s="29"/>
      <c r="M446" s="78">
        <f t="shared" ref="M446:M453" si="40">M438</f>
        <v>1478.0151999999998</v>
      </c>
      <c r="N446" s="78">
        <f t="shared" ref="N446:P449" si="41">AVERAGE(N3,N7,N27,N31,N35)</f>
        <v>42.726520000000001</v>
      </c>
      <c r="O446" s="78">
        <f t="shared" si="41"/>
        <v>44.625479999999996</v>
      </c>
      <c r="P446" s="78">
        <f t="shared" si="41"/>
        <v>44.692499999999995</v>
      </c>
      <c r="Q446" s="79"/>
      <c r="R446" s="79"/>
      <c r="S446" s="80"/>
      <c r="U446" s="8">
        <f>bdrate($E446:$E449,F446:F449,$M446:$M449,N446:N449)</f>
        <v>-6.2121294631261037E-3</v>
      </c>
      <c r="V446" s="9">
        <f>bdrate($E446:$E449,G446:G449,$M446:$M449,O446:O449)</f>
        <v>-1.7469056453833787E-4</v>
      </c>
      <c r="W446" s="10">
        <f>bdrate($E446:$E449,H446:H449,$M446:$M449,P446:P449)</f>
        <v>-5.4168019953796387E-3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743.44159999999999</v>
      </c>
      <c r="F447" s="70">
        <f t="shared" si="39"/>
        <v>40.424619999999997</v>
      </c>
      <c r="G447" s="70">
        <f t="shared" si="39"/>
        <v>43.074779999999997</v>
      </c>
      <c r="H447" s="70">
        <f t="shared" si="39"/>
        <v>42.824100000000001</v>
      </c>
      <c r="I447" s="66"/>
      <c r="J447" s="66"/>
      <c r="K447" s="67"/>
      <c r="L447" s="29"/>
      <c r="M447" s="70">
        <f t="shared" si="40"/>
        <v>737.56240000000003</v>
      </c>
      <c r="N447" s="70">
        <f t="shared" si="41"/>
        <v>40.426859999999998</v>
      </c>
      <c r="O447" s="70">
        <f t="shared" si="41"/>
        <v>43.061099999999996</v>
      </c>
      <c r="P447" s="70">
        <f t="shared" si="41"/>
        <v>42.820239999999998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411.78480000000002</v>
      </c>
      <c r="F448" s="70">
        <f t="shared" si="39"/>
        <v>37.833939999999998</v>
      </c>
      <c r="G448" s="70">
        <f t="shared" si="39"/>
        <v>41.48104</v>
      </c>
      <c r="H448" s="70">
        <f t="shared" si="39"/>
        <v>40.966319999999996</v>
      </c>
      <c r="I448" s="66"/>
      <c r="J448" s="66"/>
      <c r="K448" s="67"/>
      <c r="L448" s="29"/>
      <c r="M448" s="70">
        <f t="shared" si="40"/>
        <v>410.06880000000001</v>
      </c>
      <c r="N448" s="70">
        <f t="shared" si="41"/>
        <v>37.833640000000003</v>
      </c>
      <c r="O448" s="70">
        <f t="shared" si="41"/>
        <v>41.45964</v>
      </c>
      <c r="P448" s="70">
        <f t="shared" si="41"/>
        <v>40.970840000000003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238.4616</v>
      </c>
      <c r="F449" s="81">
        <f t="shared" si="39"/>
        <v>35.050560000000004</v>
      </c>
      <c r="G449" s="81">
        <f t="shared" si="39"/>
        <v>40.190080000000002</v>
      </c>
      <c r="H449" s="81">
        <f t="shared" si="39"/>
        <v>39.517119999999998</v>
      </c>
      <c r="I449" s="68"/>
      <c r="J449" s="68"/>
      <c r="K449" s="69"/>
      <c r="L449" s="29"/>
      <c r="M449" s="81">
        <f t="shared" si="40"/>
        <v>238.61280000000002</v>
      </c>
      <c r="N449" s="81">
        <f t="shared" si="41"/>
        <v>35.062939999999998</v>
      </c>
      <c r="O449" s="81">
        <f t="shared" si="41"/>
        <v>40.197220000000002</v>
      </c>
      <c r="P449" s="81">
        <f t="shared" si="41"/>
        <v>39.527979999999999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2013.4495999999999</v>
      </c>
      <c r="F450" s="78">
        <f t="shared" ref="F450:H453" si="42">AVERAGE(F3,F7,F11,F27,F31,F35,F39,F43,F47)</f>
        <v>42.588755555555551</v>
      </c>
      <c r="G450" s="78">
        <f t="shared" si="42"/>
        <v>44.676844444444441</v>
      </c>
      <c r="H450" s="78">
        <f t="shared" si="42"/>
        <v>44.732377777777778</v>
      </c>
      <c r="I450" s="79"/>
      <c r="J450" s="79"/>
      <c r="K450" s="80"/>
      <c r="L450" s="29"/>
      <c r="M450" s="78">
        <f t="shared" si="40"/>
        <v>1986.0527999999999</v>
      </c>
      <c r="N450" s="78">
        <f t="shared" ref="N450:P453" si="43">AVERAGE(N3,N7,N11,N27,N31,N35,N39,N43,N47)</f>
        <v>42.593166666666669</v>
      </c>
      <c r="O450" s="78">
        <f t="shared" si="43"/>
        <v>44.660211111111117</v>
      </c>
      <c r="P450" s="78">
        <f t="shared" si="43"/>
        <v>44.7027111111111</v>
      </c>
      <c r="Q450" s="79"/>
      <c r="R450" s="79"/>
      <c r="S450" s="80"/>
      <c r="U450" s="8">
        <f>bdrate($E450:$E453,F450:F453,$M450:$M453,N450:N453)</f>
        <v>-9.6702236957332266E-3</v>
      </c>
      <c r="V450" s="9">
        <f>bdrate($E450:$E453,G450:G453,$M450:$M453,O450:O453)</f>
        <v>-2.4369752825751378E-3</v>
      </c>
      <c r="W450" s="10">
        <f>bdrate($E450:$E453,H450:H453,$M450:$M453,P450:P453)</f>
        <v>-9.0077247153285134E-3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980.8</v>
      </c>
      <c r="F451" s="70">
        <f t="shared" si="42"/>
        <v>40.291044444444452</v>
      </c>
      <c r="G451" s="70">
        <f t="shared" si="42"/>
        <v>43.069511111111105</v>
      </c>
      <c r="H451" s="70">
        <f t="shared" si="42"/>
        <v>42.822199999999995</v>
      </c>
      <c r="I451" s="66"/>
      <c r="J451" s="66"/>
      <c r="K451" s="67"/>
      <c r="L451" s="29"/>
      <c r="M451" s="70">
        <f t="shared" si="40"/>
        <v>970.12720000000002</v>
      </c>
      <c r="N451" s="70">
        <f t="shared" si="43"/>
        <v>40.297444444444444</v>
      </c>
      <c r="O451" s="70">
        <f t="shared" si="43"/>
        <v>43.046788888888891</v>
      </c>
      <c r="P451" s="70">
        <f t="shared" si="43"/>
        <v>42.817722222222223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539.18399999999997</v>
      </c>
      <c r="F452" s="70">
        <f t="shared" si="42"/>
        <v>37.70064444444445</v>
      </c>
      <c r="G452" s="70">
        <f t="shared" si="42"/>
        <v>41.479488888888888</v>
      </c>
      <c r="H452" s="70">
        <f t="shared" si="42"/>
        <v>40.968677777777778</v>
      </c>
      <c r="I452" s="66"/>
      <c r="J452" s="66"/>
      <c r="K452" s="67"/>
      <c r="L452" s="29"/>
      <c r="M452" s="70">
        <f t="shared" si="40"/>
        <v>535.71680000000003</v>
      </c>
      <c r="N452" s="70">
        <f t="shared" si="43"/>
        <v>37.709244444444444</v>
      </c>
      <c r="O452" s="70">
        <f t="shared" si="43"/>
        <v>41.463244444444442</v>
      </c>
      <c r="P452" s="70">
        <f t="shared" si="43"/>
        <v>40.985466666666667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308.29520000000002</v>
      </c>
      <c r="F453" s="81">
        <f t="shared" si="42"/>
        <v>34.922366666666662</v>
      </c>
      <c r="G453" s="81">
        <f t="shared" si="42"/>
        <v>40.165066666666661</v>
      </c>
      <c r="H453" s="81">
        <f t="shared" si="42"/>
        <v>39.501966666666668</v>
      </c>
      <c r="I453" s="68"/>
      <c r="J453" s="68"/>
      <c r="K453" s="69"/>
      <c r="L453" s="29"/>
      <c r="M453" s="81">
        <f t="shared" si="40"/>
        <v>308.54239999999999</v>
      </c>
      <c r="N453" s="81">
        <f t="shared" si="43"/>
        <v>34.9377</v>
      </c>
      <c r="O453" s="81">
        <f t="shared" si="43"/>
        <v>40.186755555555557</v>
      </c>
      <c r="P453" s="81">
        <f t="shared" si="43"/>
        <v>39.519988888888889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1196.4151999999999</v>
      </c>
      <c r="F454" s="78">
        <f t="shared" ref="F454:H457" si="44">AVERAGE(F55,F59)</f>
        <v>43.129800000000003</v>
      </c>
      <c r="G454" s="78">
        <f t="shared" si="44"/>
        <v>44.835799999999999</v>
      </c>
      <c r="H454" s="78">
        <f t="shared" si="44"/>
        <v>44.537099999999995</v>
      </c>
      <c r="I454" s="79"/>
      <c r="J454" s="79"/>
      <c r="K454" s="80"/>
      <c r="L454" s="29"/>
      <c r="M454" s="78">
        <f>M55+M59</f>
        <v>1180.6392000000001</v>
      </c>
      <c r="N454" s="78">
        <f t="shared" ref="N454:P457" si="45">AVERAGE(N55,N59)</f>
        <v>43.135400000000004</v>
      </c>
      <c r="O454" s="78">
        <f t="shared" si="45"/>
        <v>44.827649999999998</v>
      </c>
      <c r="P454" s="78">
        <f t="shared" si="45"/>
        <v>44.529200000000003</v>
      </c>
      <c r="Q454" s="79"/>
      <c r="R454" s="79"/>
      <c r="S454" s="80"/>
      <c r="U454" s="8">
        <f>bdrate($E454:$E457,F454:F457,$M454:$M457,N454:N457)</f>
        <v>-1.2471563643817074E-2</v>
      </c>
      <c r="V454" s="9">
        <f>bdrate($E454:$E457,G454:G457,$M454:$M457,O454:O457)</f>
        <v>-7.5253158359541716E-3</v>
      </c>
      <c r="W454" s="10">
        <f>bdrate($E454:$E457,H454:H457,$M454:$M457,P454:P457)</f>
        <v>-5.4935364862596092E-3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617.39599999999996</v>
      </c>
      <c r="F455" s="70">
        <f t="shared" si="44"/>
        <v>40.845550000000003</v>
      </c>
      <c r="G455" s="70">
        <f t="shared" si="44"/>
        <v>43.922250000000005</v>
      </c>
      <c r="H455" s="70">
        <f t="shared" si="44"/>
        <v>43.038600000000002</v>
      </c>
      <c r="I455" s="66"/>
      <c r="J455" s="66"/>
      <c r="K455" s="67"/>
      <c r="L455" s="29"/>
      <c r="M455" s="70">
        <f>M56+M60</f>
        <v>610.15120000000002</v>
      </c>
      <c r="N455" s="70">
        <f t="shared" si="45"/>
        <v>40.853999999999999</v>
      </c>
      <c r="O455" s="70">
        <f t="shared" si="45"/>
        <v>43.925350000000002</v>
      </c>
      <c r="P455" s="70">
        <f t="shared" si="45"/>
        <v>43.02505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347.20000000000005</v>
      </c>
      <c r="F456" s="70">
        <f t="shared" si="44"/>
        <v>38.372900000000001</v>
      </c>
      <c r="G456" s="70">
        <f t="shared" si="44"/>
        <v>42.934899999999999</v>
      </c>
      <c r="H456" s="70">
        <f t="shared" si="44"/>
        <v>41.491950000000003</v>
      </c>
      <c r="I456" s="66"/>
      <c r="J456" s="66"/>
      <c r="K456" s="67"/>
      <c r="L456" s="29"/>
      <c r="M456" s="70">
        <f>M57+M61</f>
        <v>344.11599999999999</v>
      </c>
      <c r="N456" s="70">
        <f t="shared" si="45"/>
        <v>38.387500000000003</v>
      </c>
      <c r="O456" s="70">
        <f t="shared" si="45"/>
        <v>42.932450000000003</v>
      </c>
      <c r="P456" s="70">
        <f t="shared" si="45"/>
        <v>41.473300000000002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204.26</v>
      </c>
      <c r="F457" s="81">
        <f t="shared" si="44"/>
        <v>35.754649999999998</v>
      </c>
      <c r="G457" s="81">
        <f t="shared" si="44"/>
        <v>42.064499999999995</v>
      </c>
      <c r="H457" s="81">
        <f t="shared" si="44"/>
        <v>40.137450000000001</v>
      </c>
      <c r="I457" s="68"/>
      <c r="J457" s="68"/>
      <c r="K457" s="69"/>
      <c r="L457" s="29"/>
      <c r="M457" s="81">
        <f>M58+M62</f>
        <v>203.09200000000001</v>
      </c>
      <c r="N457" s="81">
        <f t="shared" si="45"/>
        <v>35.7667</v>
      </c>
      <c r="O457" s="81">
        <f t="shared" si="45"/>
        <v>42.033749999999998</v>
      </c>
      <c r="P457" s="81">
        <f t="shared" si="45"/>
        <v>40.147149999999996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1575.7887999999998</v>
      </c>
      <c r="F458" s="78">
        <f t="shared" ref="F458:H461" si="46">AVERAGE(F55,F59,F63)</f>
        <v>42.844799999999999</v>
      </c>
      <c r="G458" s="78">
        <f t="shared" si="46"/>
        <v>44.502066666666671</v>
      </c>
      <c r="H458" s="78">
        <f t="shared" si="46"/>
        <v>44.323999999999991</v>
      </c>
      <c r="I458" s="79"/>
      <c r="J458" s="79"/>
      <c r="K458" s="80"/>
      <c r="L458" s="29"/>
      <c r="M458" s="78">
        <f>M55+M59+M63</f>
        <v>1539.5688</v>
      </c>
      <c r="N458" s="78">
        <f t="shared" ref="N458:P461" si="47">AVERAGE(N55,N59,N63)</f>
        <v>42.855266666666672</v>
      </c>
      <c r="O458" s="78">
        <f t="shared" si="47"/>
        <v>44.491566666666664</v>
      </c>
      <c r="P458" s="78">
        <f t="shared" si="47"/>
        <v>44.309899999999999</v>
      </c>
      <c r="Q458" s="79"/>
      <c r="R458" s="79"/>
      <c r="S458" s="80"/>
      <c r="U458" s="8">
        <f>bdrate($E458:$E461,F458:F461,$M458:$M461,N458:N461)</f>
        <v>-2.4413620519070922E-2</v>
      </c>
      <c r="V458" s="9">
        <f>bdrate($E458:$E461,G458:G461,$M458:$M461,O458:O461)</f>
        <v>-1.4099741229404161E-2</v>
      </c>
      <c r="W458" s="10">
        <f>bdrate($E458:$E461,H458:H461,$M458:$M461,P458:P461)</f>
        <v>-1.0610521324053934E-2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797.37519999999995</v>
      </c>
      <c r="F459" s="70">
        <f t="shared" si="46"/>
        <v>40.560033333333337</v>
      </c>
      <c r="G459" s="70">
        <f t="shared" si="46"/>
        <v>43.547200000000004</v>
      </c>
      <c r="H459" s="70">
        <f t="shared" si="46"/>
        <v>42.849066666666666</v>
      </c>
      <c r="I459" s="66"/>
      <c r="J459" s="66"/>
      <c r="K459" s="67"/>
      <c r="L459" s="29"/>
      <c r="M459" s="70">
        <f>M56+M60+M64</f>
        <v>779.3664</v>
      </c>
      <c r="N459" s="70">
        <f t="shared" si="47"/>
        <v>40.578266666666671</v>
      </c>
      <c r="O459" s="70">
        <f t="shared" si="47"/>
        <v>43.539766666666672</v>
      </c>
      <c r="P459" s="70">
        <f t="shared" si="47"/>
        <v>42.826066666666669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445.18640000000005</v>
      </c>
      <c r="F460" s="70">
        <f t="shared" si="46"/>
        <v>38.112033333333336</v>
      </c>
      <c r="G460" s="70">
        <f t="shared" si="46"/>
        <v>42.624633333333328</v>
      </c>
      <c r="H460" s="70">
        <f t="shared" si="46"/>
        <v>41.394366666666663</v>
      </c>
      <c r="I460" s="66"/>
      <c r="J460" s="66"/>
      <c r="K460" s="67"/>
      <c r="L460" s="29"/>
      <c r="M460" s="70">
        <f>M57+M61+M65</f>
        <v>436.68399999999997</v>
      </c>
      <c r="N460" s="70">
        <f t="shared" si="47"/>
        <v>38.133900000000004</v>
      </c>
      <c r="O460" s="70">
        <f t="shared" si="47"/>
        <v>42.614366666666669</v>
      </c>
      <c r="P460" s="70">
        <f t="shared" si="47"/>
        <v>41.363533333333329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258.32400000000001</v>
      </c>
      <c r="F461" s="81">
        <f t="shared" si="46"/>
        <v>35.502833333333335</v>
      </c>
      <c r="G461" s="81">
        <f t="shared" si="46"/>
        <v>41.732433333333326</v>
      </c>
      <c r="H461" s="81">
        <f t="shared" si="46"/>
        <v>40.064933333333336</v>
      </c>
      <c r="I461" s="68"/>
      <c r="J461" s="68"/>
      <c r="K461" s="69"/>
      <c r="L461" s="29"/>
      <c r="M461" s="81">
        <f>M58+M62+M66</f>
        <v>255.06960000000001</v>
      </c>
      <c r="N461" s="81">
        <f t="shared" si="47"/>
        <v>35.524666666666668</v>
      </c>
      <c r="O461" s="81">
        <f t="shared" si="47"/>
        <v>41.719066666666663</v>
      </c>
      <c r="P461" s="81">
        <f t="shared" si="47"/>
        <v>40.052799999999998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1501.8647999999998</v>
      </c>
      <c r="F462" s="78">
        <f t="shared" ref="F462:H465" si="48">AVERAGE(F79,F83,F87)</f>
        <v>43.277366666666673</v>
      </c>
      <c r="G462" s="78">
        <f t="shared" si="48"/>
        <v>47.221600000000002</v>
      </c>
      <c r="H462" s="78">
        <f t="shared" si="48"/>
        <v>46.311100000000003</v>
      </c>
      <c r="I462" s="79"/>
      <c r="J462" s="79"/>
      <c r="K462" s="80"/>
      <c r="L462" s="29"/>
      <c r="M462" s="78">
        <f>M55+M59+M67+M71</f>
        <v>1486.42</v>
      </c>
      <c r="N462" s="78">
        <f t="shared" ref="N462:P465" si="49">AVERAGE(N79,N83,N87)</f>
        <v>43.272966666666662</v>
      </c>
      <c r="O462" s="78">
        <f t="shared" si="49"/>
        <v>47.198800000000006</v>
      </c>
      <c r="P462" s="78">
        <f t="shared" si="49"/>
        <v>46.276933333333339</v>
      </c>
      <c r="Q462" s="79"/>
      <c r="R462" s="79"/>
      <c r="S462" s="80"/>
      <c r="U462" s="8">
        <f>bdrate($E462:$E465,F462:F465,$M462:$M465,N462:N465)</f>
        <v>-8.0550873388320898E-3</v>
      </c>
      <c r="V462" s="9">
        <f>bdrate($E462:$E465,G462:G465,$M462:$M465,O462:O465)</f>
        <v>-8.9017135258906421E-4</v>
      </c>
      <c r="W462" s="10">
        <f>bdrate($E462:$E465,H462:H465,$M462:$M465,P462:P465)</f>
        <v>-6.224138049202188E-3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733.39119999999991</v>
      </c>
      <c r="F463" s="70">
        <f t="shared" si="48"/>
        <v>40.880233333333337</v>
      </c>
      <c r="G463" s="70">
        <f t="shared" si="48"/>
        <v>46.014966666666659</v>
      </c>
      <c r="H463" s="70">
        <f t="shared" si="48"/>
        <v>44.530133333333339</v>
      </c>
      <c r="I463" s="66"/>
      <c r="J463" s="66"/>
      <c r="K463" s="67"/>
      <c r="L463" s="29"/>
      <c r="M463" s="70">
        <f>M56+M60+M68+M72</f>
        <v>726.13759999999991</v>
      </c>
      <c r="N463" s="70">
        <f t="shared" si="49"/>
        <v>40.873899999999999</v>
      </c>
      <c r="O463" s="70">
        <f t="shared" si="49"/>
        <v>46.002066666666657</v>
      </c>
      <c r="P463" s="70">
        <f t="shared" si="49"/>
        <v>44.527499999999996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404.27120000000008</v>
      </c>
      <c r="F464" s="70">
        <f t="shared" si="48"/>
        <v>38.402899999999995</v>
      </c>
      <c r="G464" s="70">
        <f t="shared" si="48"/>
        <v>44.722666666666669</v>
      </c>
      <c r="H464" s="70">
        <f t="shared" si="48"/>
        <v>42.768966666666664</v>
      </c>
      <c r="I464" s="66"/>
      <c r="J464" s="66"/>
      <c r="K464" s="67"/>
      <c r="L464" s="29"/>
      <c r="M464" s="70">
        <f>M57+M61+M69+M73</f>
        <v>400.77679999999998</v>
      </c>
      <c r="N464" s="70">
        <f t="shared" si="49"/>
        <v>38.399266666666669</v>
      </c>
      <c r="O464" s="70">
        <f t="shared" si="49"/>
        <v>44.710233333333342</v>
      </c>
      <c r="P464" s="70">
        <f t="shared" si="49"/>
        <v>42.766099999999994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232.8296</v>
      </c>
      <c r="F465" s="81">
        <f t="shared" si="48"/>
        <v>35.774666666666668</v>
      </c>
      <c r="G465" s="81">
        <f t="shared" si="48"/>
        <v>43.701966666666664</v>
      </c>
      <c r="H465" s="81">
        <f t="shared" si="48"/>
        <v>41.260933333333334</v>
      </c>
      <c r="I465" s="68"/>
      <c r="J465" s="68"/>
      <c r="K465" s="69"/>
      <c r="L465" s="29"/>
      <c r="M465" s="81">
        <f>M58+M62+M70+M74</f>
        <v>231.66400000000002</v>
      </c>
      <c r="N465" s="81">
        <f t="shared" si="49"/>
        <v>35.787800000000004</v>
      </c>
      <c r="O465" s="81">
        <f t="shared" si="49"/>
        <v>43.679066666666671</v>
      </c>
      <c r="P465" s="81">
        <f t="shared" si="49"/>
        <v>41.259099999999997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2043.9839999999999</v>
      </c>
      <c r="F466" s="78">
        <f t="shared" ref="F466:H469" si="50">AVERAGE(F79,F83,F87,F91,F95,F99)</f>
        <v>43.160433333333337</v>
      </c>
      <c r="G466" s="78">
        <f t="shared" si="50"/>
        <v>47.042466666666677</v>
      </c>
      <c r="H466" s="78">
        <f t="shared" si="50"/>
        <v>46.327999999999996</v>
      </c>
      <c r="I466" s="79"/>
      <c r="J466" s="79"/>
      <c r="K466" s="80"/>
      <c r="L466" s="29"/>
      <c r="M466" s="78">
        <f>M103</f>
        <v>2008.1088</v>
      </c>
      <c r="N466" s="78">
        <f t="shared" ref="N466:P469" si="51">AVERAGE(N79,N83,N87,N91,N95,N99)</f>
        <v>43.152949999999997</v>
      </c>
      <c r="O466" s="78">
        <f t="shared" si="51"/>
        <v>47.017683333333338</v>
      </c>
      <c r="P466" s="78">
        <f t="shared" si="51"/>
        <v>46.296200000000006</v>
      </c>
      <c r="Q466" s="79"/>
      <c r="R466" s="79"/>
      <c r="S466" s="80"/>
      <c r="U466" s="8">
        <f>bdrate($E466:$E469,F466:F469,$M466:$M469,N466:N469)</f>
        <v>-1.6542640582942636E-2</v>
      </c>
      <c r="V466" s="9">
        <f>bdrate($E466:$E469,G466:G469,$M466:$M469,O466:O469)</f>
        <v>-1.9944177274864305E-3</v>
      </c>
      <c r="W466" s="10">
        <f>bdrate($E466:$E469,H466:H469,$M466:$M469,P466:P469)</f>
        <v>-1.1060684830768719E-2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976.28719999999998</v>
      </c>
      <c r="F467" s="70">
        <f t="shared" si="50"/>
        <v>40.773916666666665</v>
      </c>
      <c r="G467" s="70">
        <f t="shared" si="50"/>
        <v>45.875849999999993</v>
      </c>
      <c r="H467" s="70">
        <f t="shared" si="50"/>
        <v>44.539166666666667</v>
      </c>
      <c r="I467" s="66"/>
      <c r="J467" s="66"/>
      <c r="K467" s="67"/>
      <c r="L467" s="29"/>
      <c r="M467" s="70">
        <f>M104</f>
        <v>958.36239999999998</v>
      </c>
      <c r="N467" s="70">
        <f t="shared" si="51"/>
        <v>40.777016666666668</v>
      </c>
      <c r="O467" s="70">
        <f t="shared" si="51"/>
        <v>45.851966666666662</v>
      </c>
      <c r="P467" s="70">
        <f t="shared" si="51"/>
        <v>44.530216666666661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534.73199999999997</v>
      </c>
      <c r="F468" s="70">
        <f t="shared" si="50"/>
        <v>38.310183333333327</v>
      </c>
      <c r="G468" s="70">
        <f t="shared" si="50"/>
        <v>44.668616666666672</v>
      </c>
      <c r="H468" s="70">
        <f t="shared" si="50"/>
        <v>42.784616666666665</v>
      </c>
      <c r="I468" s="66"/>
      <c r="J468" s="66"/>
      <c r="K468" s="67"/>
      <c r="L468" s="29"/>
      <c r="M468" s="70">
        <f>M105</f>
        <v>525.91279999999995</v>
      </c>
      <c r="N468" s="70">
        <f t="shared" si="51"/>
        <v>38.307549999999999</v>
      </c>
      <c r="O468" s="70">
        <f t="shared" si="51"/>
        <v>44.635833333333331</v>
      </c>
      <c r="P468" s="70">
        <f t="shared" si="51"/>
        <v>42.770366666666661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304.74560000000002</v>
      </c>
      <c r="F469" s="81">
        <f t="shared" si="50"/>
        <v>35.688683333333337</v>
      </c>
      <c r="G469" s="81">
        <f t="shared" si="50"/>
        <v>43.632799999999996</v>
      </c>
      <c r="H469" s="81">
        <f t="shared" si="50"/>
        <v>41.257016666666672</v>
      </c>
      <c r="I469" s="68"/>
      <c r="J469" s="68"/>
      <c r="K469" s="69"/>
      <c r="L469" s="29"/>
      <c r="M469" s="81">
        <f>M106</f>
        <v>301.51920000000001</v>
      </c>
      <c r="N469" s="81">
        <f t="shared" si="51"/>
        <v>35.698749999999997</v>
      </c>
      <c r="O469" s="81">
        <f t="shared" si="51"/>
        <v>43.611400000000003</v>
      </c>
      <c r="P469" s="81">
        <f t="shared" si="51"/>
        <v>41.238333333333337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1501.8647999999998</v>
      </c>
      <c r="F470" s="78">
        <f t="shared" ref="F470:H473" si="53">AVERAGE(F55,F59,F79,F83,F87)</f>
        <v>43.218339999999998</v>
      </c>
      <c r="G470" s="78">
        <f t="shared" si="53"/>
        <v>46.267279999999992</v>
      </c>
      <c r="H470" s="78">
        <f t="shared" si="53"/>
        <v>45.601500000000001</v>
      </c>
      <c r="I470" s="79"/>
      <c r="J470" s="79"/>
      <c r="K470" s="80"/>
      <c r="L470" s="29"/>
      <c r="M470" s="78">
        <f t="shared" ref="M470:M477" si="54">M462</f>
        <v>1486.42</v>
      </c>
      <c r="N470" s="78">
        <f t="shared" ref="N470:P473" si="55">AVERAGE(N55,N59,N79,N83,N87)</f>
        <v>43.217939999999999</v>
      </c>
      <c r="O470" s="78">
        <f t="shared" si="55"/>
        <v>46.250340000000001</v>
      </c>
      <c r="P470" s="78">
        <f t="shared" si="55"/>
        <v>45.577840000000002</v>
      </c>
      <c r="Q470" s="79"/>
      <c r="R470" s="79"/>
      <c r="S470" s="80"/>
      <c r="U470" s="8">
        <f>bdrate($E470:$E473,F470:F473,$M470:$M473,N470:N473)</f>
        <v>-9.3892707890632643E-3</v>
      </c>
      <c r="V470" s="9">
        <f>bdrate($E470:$E473,G470:G473,$M470:$M473,O470:O473)</f>
        <v>-2.6942588652782984E-3</v>
      </c>
      <c r="W470" s="10">
        <f>bdrate($E470:$E473,H470:H473,$M470:$M473,P470:P473)</f>
        <v>-5.3884783011991511E-3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733.39119999999991</v>
      </c>
      <c r="F471" s="70">
        <f t="shared" si="53"/>
        <v>40.86636</v>
      </c>
      <c r="G471" s="70">
        <f t="shared" si="53"/>
        <v>45.177880000000002</v>
      </c>
      <c r="H471" s="70">
        <f t="shared" si="53"/>
        <v>43.933520000000001</v>
      </c>
      <c r="I471" s="66"/>
      <c r="J471" s="66"/>
      <c r="K471" s="67"/>
      <c r="L471" s="29"/>
      <c r="M471" s="70">
        <f t="shared" si="54"/>
        <v>726.13759999999991</v>
      </c>
      <c r="N471" s="70">
        <f t="shared" si="55"/>
        <v>40.865940000000002</v>
      </c>
      <c r="O471" s="70">
        <f t="shared" si="55"/>
        <v>45.171379999999999</v>
      </c>
      <c r="P471" s="70">
        <f t="shared" si="55"/>
        <v>43.926519999999996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404.27120000000008</v>
      </c>
      <c r="F472" s="70">
        <f t="shared" si="53"/>
        <v>38.390900000000002</v>
      </c>
      <c r="G472" s="70">
        <f t="shared" si="53"/>
        <v>44.007559999999998</v>
      </c>
      <c r="H472" s="70">
        <f t="shared" si="53"/>
        <v>42.258159999999997</v>
      </c>
      <c r="I472" s="66"/>
      <c r="J472" s="66"/>
      <c r="K472" s="67"/>
      <c r="L472" s="29"/>
      <c r="M472" s="70">
        <f t="shared" si="54"/>
        <v>400.77679999999998</v>
      </c>
      <c r="N472" s="70">
        <f t="shared" si="55"/>
        <v>38.394559999999998</v>
      </c>
      <c r="O472" s="70">
        <f t="shared" si="55"/>
        <v>43.999119999999998</v>
      </c>
      <c r="P472" s="70">
        <f t="shared" si="55"/>
        <v>42.248980000000003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232.8296</v>
      </c>
      <c r="F473" s="81">
        <f t="shared" si="53"/>
        <v>35.766660000000002</v>
      </c>
      <c r="G473" s="81">
        <f t="shared" si="53"/>
        <v>43.046979999999998</v>
      </c>
      <c r="H473" s="81">
        <f t="shared" si="53"/>
        <v>40.811540000000001</v>
      </c>
      <c r="I473" s="68"/>
      <c r="J473" s="68"/>
      <c r="K473" s="69"/>
      <c r="L473" s="29"/>
      <c r="M473" s="81">
        <f t="shared" si="54"/>
        <v>231.66400000000002</v>
      </c>
      <c r="N473" s="81">
        <f t="shared" si="55"/>
        <v>35.779360000000004</v>
      </c>
      <c r="O473" s="81">
        <f t="shared" si="55"/>
        <v>43.020940000000003</v>
      </c>
      <c r="P473" s="81">
        <f t="shared" si="55"/>
        <v>40.814319999999995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2043.9839999999999</v>
      </c>
      <c r="F474" s="78">
        <f t="shared" ref="F474:H477" si="56">AVERAGE(F55,F59,F63,F79,F83,F87,F91,F95,F99)</f>
        <v>43.055222222222227</v>
      </c>
      <c r="G474" s="78">
        <f t="shared" si="56"/>
        <v>46.195666666666668</v>
      </c>
      <c r="H474" s="78">
        <f t="shared" si="56"/>
        <v>45.66</v>
      </c>
      <c r="I474" s="79"/>
      <c r="J474" s="79"/>
      <c r="K474" s="80"/>
      <c r="L474" s="29"/>
      <c r="M474" s="78">
        <f t="shared" si="54"/>
        <v>2008.1088</v>
      </c>
      <c r="N474" s="78">
        <f t="shared" ref="N474:P477" si="57">AVERAGE(N55,N59,N63,N79,N83,N87,N91,N95,N99)</f>
        <v>43.053722222222227</v>
      </c>
      <c r="O474" s="78">
        <f t="shared" si="57"/>
        <v>46.175644444444451</v>
      </c>
      <c r="P474" s="78">
        <f t="shared" si="57"/>
        <v>45.634099999999997</v>
      </c>
      <c r="Q474" s="79"/>
      <c r="R474" s="79"/>
      <c r="S474" s="80"/>
      <c r="U474" s="8">
        <f>bdrate($E474:$E477,F474:F477,$M474:$M477,N474:N477)</f>
        <v>-1.8083934222974163E-2</v>
      </c>
      <c r="V474" s="9">
        <f>bdrate($E474:$E477,G474:G477,$M474:$M477,O474:O477)</f>
        <v>-4.3745625751813177E-3</v>
      </c>
      <c r="W474" s="10">
        <f>bdrate($E474:$E477,H474:H477,$M474:$M477,P474:P477)</f>
        <v>-9.7275751538070665E-3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976.28719999999998</v>
      </c>
      <c r="F475" s="70">
        <f t="shared" si="56"/>
        <v>40.702622222222224</v>
      </c>
      <c r="G475" s="70">
        <f t="shared" si="56"/>
        <v>45.099633333333337</v>
      </c>
      <c r="H475" s="70">
        <f t="shared" si="56"/>
        <v>43.975800000000007</v>
      </c>
      <c r="I475" s="66"/>
      <c r="J475" s="66"/>
      <c r="K475" s="67"/>
      <c r="L475" s="29"/>
      <c r="M475" s="70">
        <f t="shared" si="54"/>
        <v>958.36239999999998</v>
      </c>
      <c r="N475" s="70">
        <f t="shared" si="57"/>
        <v>40.710766666666665</v>
      </c>
      <c r="O475" s="70">
        <f t="shared" si="57"/>
        <v>45.08123333333333</v>
      </c>
      <c r="P475" s="70">
        <f t="shared" si="57"/>
        <v>43.962166666666661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534.73199999999997</v>
      </c>
      <c r="F476" s="70">
        <f t="shared" si="56"/>
        <v>38.244133333333338</v>
      </c>
      <c r="G476" s="70">
        <f t="shared" si="56"/>
        <v>43.987288888888891</v>
      </c>
      <c r="H476" s="70">
        <f t="shared" si="56"/>
        <v>42.321200000000005</v>
      </c>
      <c r="I476" s="66"/>
      <c r="J476" s="66"/>
      <c r="K476" s="67"/>
      <c r="L476" s="29"/>
      <c r="M476" s="70">
        <f t="shared" si="54"/>
        <v>525.91279999999995</v>
      </c>
      <c r="N476" s="70">
        <f t="shared" si="57"/>
        <v>38.24966666666667</v>
      </c>
      <c r="O476" s="70">
        <f t="shared" si="57"/>
        <v>43.962011111111117</v>
      </c>
      <c r="P476" s="70">
        <f t="shared" si="57"/>
        <v>42.301422222222222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304.74560000000002</v>
      </c>
      <c r="F477" s="81">
        <f t="shared" si="56"/>
        <v>35.626733333333334</v>
      </c>
      <c r="G477" s="81">
        <f t="shared" si="56"/>
        <v>42.999344444444446</v>
      </c>
      <c r="H477" s="81">
        <f t="shared" si="56"/>
        <v>40.859655555555555</v>
      </c>
      <c r="I477" s="68"/>
      <c r="J477" s="68"/>
      <c r="K477" s="69"/>
      <c r="L477" s="29"/>
      <c r="M477" s="81">
        <f t="shared" si="54"/>
        <v>301.51920000000001</v>
      </c>
      <c r="N477" s="81">
        <f t="shared" si="57"/>
        <v>35.640722222222223</v>
      </c>
      <c r="O477" s="81">
        <f t="shared" si="57"/>
        <v>42.980622222222223</v>
      </c>
      <c r="P477" s="81">
        <f t="shared" si="57"/>
        <v>40.843155555555562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1303.316</v>
      </c>
      <c r="F478" s="78">
        <f t="shared" ref="F478:H481" si="58">AVERAGE(F107,F111)</f>
        <v>40.812399999999997</v>
      </c>
      <c r="G478" s="78">
        <f t="shared" si="58"/>
        <v>43.52205</v>
      </c>
      <c r="H478" s="78">
        <f t="shared" si="58"/>
        <v>43.618600000000001</v>
      </c>
      <c r="I478" s="79"/>
      <c r="J478" s="79"/>
      <c r="K478" s="80"/>
      <c r="L478" s="29"/>
      <c r="M478" s="82">
        <f>M107+M111</f>
        <v>1301.1279999999999</v>
      </c>
      <c r="N478" s="78">
        <f t="shared" ref="N478:P481" si="59">AVERAGE(N107,N111)</f>
        <v>40.81915</v>
      </c>
      <c r="O478" s="78">
        <f t="shared" si="59"/>
        <v>43.534599999999998</v>
      </c>
      <c r="P478" s="78">
        <f t="shared" si="59"/>
        <v>43.6173</v>
      </c>
      <c r="Q478" s="79"/>
      <c r="R478" s="79"/>
      <c r="S478" s="80"/>
      <c r="U478" s="8">
        <f>bdrate($E478:$E481,F478:F481,$M478:$M481,N478:N481)</f>
        <v>-1.494919567711972E-3</v>
      </c>
      <c r="V478" s="9">
        <f>bdrate($E478:$E481,G478:G481,$M478:$M481,O478:O481)</f>
        <v>-4.8718323122143303E-4</v>
      </c>
      <c r="W478" s="10">
        <f>bdrate($E478:$E481,H478:H481,$M478:$M481,P478:P481)</f>
        <v>-2.8258534266631941E-3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657.52479999999991</v>
      </c>
      <c r="F479" s="70">
        <f t="shared" si="58"/>
        <v>38.448999999999998</v>
      </c>
      <c r="G479" s="70">
        <f t="shared" si="58"/>
        <v>41.887050000000002</v>
      </c>
      <c r="H479" s="70">
        <f t="shared" si="58"/>
        <v>41.962100000000007</v>
      </c>
      <c r="I479" s="66"/>
      <c r="J479" s="66"/>
      <c r="K479" s="67"/>
      <c r="L479" s="29"/>
      <c r="M479" s="83">
        <f>M108+M112</f>
        <v>657.60239999999999</v>
      </c>
      <c r="N479" s="70">
        <f t="shared" si="59"/>
        <v>38.460700000000003</v>
      </c>
      <c r="O479" s="70">
        <f t="shared" si="59"/>
        <v>41.889049999999997</v>
      </c>
      <c r="P479" s="70">
        <f t="shared" si="59"/>
        <v>41.972850000000001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357.03040000000004</v>
      </c>
      <c r="F480" s="70">
        <f t="shared" si="58"/>
        <v>35.961399999999998</v>
      </c>
      <c r="G480" s="70">
        <f t="shared" si="58"/>
        <v>40.361400000000003</v>
      </c>
      <c r="H480" s="70">
        <f t="shared" si="58"/>
        <v>40.360050000000001</v>
      </c>
      <c r="I480" s="66"/>
      <c r="J480" s="66"/>
      <c r="K480" s="67"/>
      <c r="L480" s="29"/>
      <c r="M480" s="83">
        <f>M109+M113</f>
        <v>357.22879999999998</v>
      </c>
      <c r="N480" s="70">
        <f t="shared" si="59"/>
        <v>35.965149999999994</v>
      </c>
      <c r="O480" s="70">
        <f t="shared" si="59"/>
        <v>40.3581</v>
      </c>
      <c r="P480" s="70">
        <f t="shared" si="59"/>
        <v>40.36815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204.61680000000001</v>
      </c>
      <c r="F481" s="81">
        <f t="shared" si="58"/>
        <v>33.45485</v>
      </c>
      <c r="G481" s="81">
        <f t="shared" si="58"/>
        <v>39.197099999999999</v>
      </c>
      <c r="H481" s="81">
        <f t="shared" si="58"/>
        <v>39.11815</v>
      </c>
      <c r="I481" s="68"/>
      <c r="J481" s="68"/>
      <c r="K481" s="69"/>
      <c r="L481" s="29"/>
      <c r="M481" s="84">
        <f>M110+M114</f>
        <v>204.86320000000001</v>
      </c>
      <c r="N481" s="81">
        <f t="shared" si="59"/>
        <v>33.454099999999997</v>
      </c>
      <c r="O481" s="81">
        <f t="shared" si="59"/>
        <v>39.196399999999997</v>
      </c>
      <c r="P481" s="81">
        <f t="shared" si="59"/>
        <v>39.120849999999997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1703.5592000000001</v>
      </c>
      <c r="F482" s="78">
        <f t="shared" ref="F482:H485" si="60">AVERAGE(F107,F111,F115)</f>
        <v>40.49786666666666</v>
      </c>
      <c r="G482" s="78">
        <f t="shared" si="60"/>
        <v>43.29593333333333</v>
      </c>
      <c r="H482" s="78">
        <f t="shared" si="60"/>
        <v>43.323666666666668</v>
      </c>
      <c r="I482" s="79"/>
      <c r="J482" s="79"/>
      <c r="K482" s="80"/>
      <c r="L482" s="29"/>
      <c r="M482" s="78">
        <f>M107+M111+M115</f>
        <v>1695.364</v>
      </c>
      <c r="N482" s="78">
        <f t="shared" ref="N482:P485" si="61">AVERAGE(N107,N111,N115)</f>
        <v>40.506466666666668</v>
      </c>
      <c r="O482" s="78">
        <f t="shared" si="61"/>
        <v>43.304166666666667</v>
      </c>
      <c r="P482" s="78">
        <f t="shared" si="61"/>
        <v>43.325233333333337</v>
      </c>
      <c r="Q482" s="79"/>
      <c r="R482" s="79"/>
      <c r="S482" s="80"/>
      <c r="U482" s="8">
        <f>bdrate($E482:$E485,F482:F485,$M482:$M485,N482:N485)</f>
        <v>-5.5182669842531729E-3</v>
      </c>
      <c r="V482" s="9">
        <f>bdrate($E482:$E485,G482:G485,$M482:$M485,O482:O485)</f>
        <v>-3.6221257990970424E-3</v>
      </c>
      <c r="W482" s="10">
        <f>bdrate($E482:$E485,H482:H485,$M482:$M485,P482:P485)</f>
        <v>-5.1461460511543766E-3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839.79199999999992</v>
      </c>
      <c r="F483" s="70">
        <f t="shared" si="60"/>
        <v>38.123999999999995</v>
      </c>
      <c r="G483" s="70">
        <f t="shared" si="60"/>
        <v>41.707966666666671</v>
      </c>
      <c r="H483" s="70">
        <f t="shared" si="60"/>
        <v>41.663200000000003</v>
      </c>
      <c r="I483" s="66"/>
      <c r="J483" s="66"/>
      <c r="K483" s="67"/>
      <c r="L483" s="29"/>
      <c r="M483" s="70">
        <f>M108+M112+M116</f>
        <v>836.04079999999999</v>
      </c>
      <c r="N483" s="70">
        <f t="shared" si="61"/>
        <v>38.136600000000001</v>
      </c>
      <c r="O483" s="70">
        <f t="shared" si="61"/>
        <v>41.713999999999999</v>
      </c>
      <c r="P483" s="70">
        <f t="shared" si="61"/>
        <v>41.674266666666668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451.46000000000004</v>
      </c>
      <c r="F484" s="70">
        <f t="shared" si="60"/>
        <v>35.64353333333333</v>
      </c>
      <c r="G484" s="70">
        <f t="shared" si="60"/>
        <v>40.264833333333335</v>
      </c>
      <c r="H484" s="70">
        <f t="shared" si="60"/>
        <v>40.129533333333335</v>
      </c>
      <c r="I484" s="66"/>
      <c r="J484" s="66"/>
      <c r="K484" s="67"/>
      <c r="L484" s="29"/>
      <c r="M484" s="70">
        <f>M109+M113+M117</f>
        <v>450.52639999999997</v>
      </c>
      <c r="N484" s="70">
        <f t="shared" si="61"/>
        <v>35.65293333333333</v>
      </c>
      <c r="O484" s="70">
        <f t="shared" si="61"/>
        <v>40.256233333333334</v>
      </c>
      <c r="P484" s="70">
        <f t="shared" si="61"/>
        <v>40.129866666666665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256.27359999999999</v>
      </c>
      <c r="F485" s="81">
        <f t="shared" si="60"/>
        <v>33.131499999999996</v>
      </c>
      <c r="G485" s="81">
        <f t="shared" si="60"/>
        <v>39.135899999999999</v>
      </c>
      <c r="H485" s="81">
        <f t="shared" si="60"/>
        <v>38.9253</v>
      </c>
      <c r="I485" s="68"/>
      <c r="J485" s="68"/>
      <c r="K485" s="69"/>
      <c r="L485" s="29"/>
      <c r="M485" s="81">
        <f>M110+M114+M118</f>
        <v>256.38639999999998</v>
      </c>
      <c r="N485" s="81">
        <f t="shared" si="61"/>
        <v>33.136166666666668</v>
      </c>
      <c r="O485" s="81">
        <f t="shared" si="61"/>
        <v>39.13603333333333</v>
      </c>
      <c r="P485" s="81">
        <f t="shared" si="61"/>
        <v>38.921900000000001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1667.9376</v>
      </c>
      <c r="F486" s="78">
        <f t="shared" ref="F486:H489" si="62">AVERAGE(F131,F135,F139)</f>
        <v>39.987066666666671</v>
      </c>
      <c r="G486" s="78">
        <f t="shared" si="62"/>
        <v>45.73843333333334</v>
      </c>
      <c r="H486" s="78">
        <f t="shared" si="62"/>
        <v>45.854099999999995</v>
      </c>
      <c r="I486" s="79"/>
      <c r="J486" s="79"/>
      <c r="K486" s="80"/>
      <c r="L486" s="29"/>
      <c r="M486" s="78">
        <f>M107+M111+M119+M123</f>
        <v>1664.5591999999999</v>
      </c>
      <c r="N486" s="78">
        <f t="shared" ref="N486:P489" si="63">AVERAGE(N131,N135,N139)</f>
        <v>39.993033333333337</v>
      </c>
      <c r="O486" s="78">
        <f t="shared" si="63"/>
        <v>45.737699999999997</v>
      </c>
      <c r="P486" s="78">
        <f t="shared" si="63"/>
        <v>45.849166666666669</v>
      </c>
      <c r="Q486" s="79"/>
      <c r="R486" s="79"/>
      <c r="S486" s="80"/>
      <c r="U486" s="8">
        <f>bdrate($E486:$E489,F486:F489,$M486:$M489,N486:N489)</f>
        <v>-7.7857151897131605E-4</v>
      </c>
      <c r="V486" s="9">
        <f>bdrate($E486:$E489,G486:G489,$M486:$M489,O486:O489)</f>
        <v>-6.5791865545283823E-4</v>
      </c>
      <c r="W486" s="10">
        <f>bdrate($E486:$E489,H486:H489,$M486:$M489,P486:P489)</f>
        <v>-1.745239339618565E-3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786.64799999999991</v>
      </c>
      <c r="F487" s="70">
        <f t="shared" si="62"/>
        <v>37.792433333333335</v>
      </c>
      <c r="G487" s="70">
        <f t="shared" si="62"/>
        <v>43.921433333333333</v>
      </c>
      <c r="H487" s="70">
        <f t="shared" si="62"/>
        <v>43.966366666666666</v>
      </c>
      <c r="I487" s="66"/>
      <c r="J487" s="66"/>
      <c r="K487" s="67"/>
      <c r="L487" s="29"/>
      <c r="M487" s="70">
        <f>M108+M112+M120+M124</f>
        <v>786.47199999999998</v>
      </c>
      <c r="N487" s="70">
        <f t="shared" si="63"/>
        <v>37.802033333333334</v>
      </c>
      <c r="O487" s="70">
        <f t="shared" si="63"/>
        <v>43.926033333333329</v>
      </c>
      <c r="P487" s="70">
        <f t="shared" si="63"/>
        <v>43.975133333333332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419.07680000000005</v>
      </c>
      <c r="F488" s="70">
        <f t="shared" si="62"/>
        <v>35.579733333333337</v>
      </c>
      <c r="G488" s="70">
        <f t="shared" si="62"/>
        <v>42.138033333333333</v>
      </c>
      <c r="H488" s="70">
        <f t="shared" si="62"/>
        <v>42.079033333333335</v>
      </c>
      <c r="I488" s="66"/>
      <c r="J488" s="66"/>
      <c r="K488" s="67"/>
      <c r="L488" s="29"/>
      <c r="M488" s="70">
        <f>M109+M113+M121+M125</f>
        <v>419.24319999999994</v>
      </c>
      <c r="N488" s="70">
        <f t="shared" si="63"/>
        <v>35.570999999999998</v>
      </c>
      <c r="O488" s="70">
        <f t="shared" si="63"/>
        <v>42.135300000000001</v>
      </c>
      <c r="P488" s="70">
        <f t="shared" si="63"/>
        <v>42.081833333333329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237.268</v>
      </c>
      <c r="F489" s="81">
        <f t="shared" si="62"/>
        <v>33.182299999999998</v>
      </c>
      <c r="G489" s="81">
        <f t="shared" si="62"/>
        <v>40.692133333333338</v>
      </c>
      <c r="H489" s="81">
        <f t="shared" si="62"/>
        <v>40.584899999999998</v>
      </c>
      <c r="I489" s="68"/>
      <c r="J489" s="68"/>
      <c r="K489" s="69"/>
      <c r="L489" s="29"/>
      <c r="M489" s="81">
        <f>M110+M114+M122+M126</f>
        <v>237.44960000000003</v>
      </c>
      <c r="N489" s="81">
        <f t="shared" si="63"/>
        <v>33.190766666666669</v>
      </c>
      <c r="O489" s="81">
        <f t="shared" si="63"/>
        <v>40.6965</v>
      </c>
      <c r="P489" s="81">
        <f t="shared" si="63"/>
        <v>40.590700000000005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2207.4720000000002</v>
      </c>
      <c r="F490" s="78">
        <f t="shared" ref="F490:H493" si="64">AVERAGE(F131,F135,F139,F143,F147,F151)</f>
        <v>40.0428</v>
      </c>
      <c r="G490" s="78">
        <f t="shared" si="64"/>
        <v>45.668749999999996</v>
      </c>
      <c r="H490" s="78">
        <f t="shared" si="64"/>
        <v>45.722049999999996</v>
      </c>
      <c r="I490" s="79"/>
      <c r="J490" s="79"/>
      <c r="K490" s="80"/>
      <c r="L490" s="29"/>
      <c r="M490" s="78">
        <f>M155</f>
        <v>2198.7143999999998</v>
      </c>
      <c r="N490" s="78">
        <f t="shared" ref="N490:P493" si="65">AVERAGE(N131,N135,N139,N143,N147,N151)</f>
        <v>40.047783333333335</v>
      </c>
      <c r="O490" s="78">
        <f t="shared" si="65"/>
        <v>45.667400000000008</v>
      </c>
      <c r="P490" s="78">
        <f t="shared" si="65"/>
        <v>45.715566666666668</v>
      </c>
      <c r="Q490" s="79"/>
      <c r="R490" s="79"/>
      <c r="S490" s="80"/>
      <c r="U490" s="8">
        <f>bdrate($E490:$E493,F490:F493,$M490:$M493,N490:N493)</f>
        <v>-4.0949039567037548E-3</v>
      </c>
      <c r="V490" s="9">
        <f>bdrate($E490:$E493,G490:G493,$M490:$M493,O490:O493)</f>
        <v>-1.639506727438178E-3</v>
      </c>
      <c r="W490" s="10">
        <f>bdrate($E490:$E493,H490:H493,$M490:$M493,P490:P493)</f>
        <v>-5.5949124229999203E-3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1021.9384</v>
      </c>
      <c r="F491" s="70">
        <f t="shared" si="64"/>
        <v>37.77955</v>
      </c>
      <c r="G491" s="70">
        <f t="shared" si="64"/>
        <v>43.868783333333333</v>
      </c>
      <c r="H491" s="70">
        <f t="shared" si="64"/>
        <v>43.797799999999995</v>
      </c>
      <c r="I491" s="66"/>
      <c r="J491" s="66"/>
      <c r="K491" s="67"/>
      <c r="L491" s="29"/>
      <c r="M491" s="70">
        <f>M156</f>
        <v>1018.3664</v>
      </c>
      <c r="N491" s="70">
        <f t="shared" si="65"/>
        <v>37.791216666666664</v>
      </c>
      <c r="O491" s="70">
        <f t="shared" si="65"/>
        <v>43.873483333333333</v>
      </c>
      <c r="P491" s="70">
        <f t="shared" si="65"/>
        <v>43.811900000000001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542.29039999999998</v>
      </c>
      <c r="F492" s="70">
        <f t="shared" si="64"/>
        <v>35.499066666666671</v>
      </c>
      <c r="G492" s="70">
        <f t="shared" si="64"/>
        <v>42.084366666666668</v>
      </c>
      <c r="H492" s="70">
        <f t="shared" si="64"/>
        <v>41.896633333333334</v>
      </c>
      <c r="I492" s="66"/>
      <c r="J492" s="66"/>
      <c r="K492" s="67"/>
      <c r="L492" s="29"/>
      <c r="M492" s="70">
        <f>M157</f>
        <v>541.28560000000004</v>
      </c>
      <c r="N492" s="70">
        <f t="shared" si="65"/>
        <v>35.498483333333333</v>
      </c>
      <c r="O492" s="70">
        <f t="shared" si="65"/>
        <v>42.073016666666668</v>
      </c>
      <c r="P492" s="70">
        <f t="shared" si="65"/>
        <v>41.903483333333334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305.97039999999998</v>
      </c>
      <c r="F493" s="81">
        <f t="shared" si="64"/>
        <v>33.059399999999997</v>
      </c>
      <c r="G493" s="81">
        <f t="shared" si="64"/>
        <v>40.660716666666666</v>
      </c>
      <c r="H493" s="81">
        <f t="shared" si="64"/>
        <v>40.404433333333337</v>
      </c>
      <c r="I493" s="68"/>
      <c r="J493" s="68"/>
      <c r="K493" s="69"/>
      <c r="L493" s="29"/>
      <c r="M493" s="81">
        <f>M158</f>
        <v>305.99200000000002</v>
      </c>
      <c r="N493" s="81">
        <f t="shared" si="65"/>
        <v>33.066000000000003</v>
      </c>
      <c r="O493" s="81">
        <f t="shared" si="65"/>
        <v>40.65645</v>
      </c>
      <c r="P493" s="81">
        <f t="shared" si="65"/>
        <v>40.414383333333333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1667.9376</v>
      </c>
      <c r="F494" s="78">
        <f t="shared" ref="F494:H497" si="67">AVERAGE(F107,F111,F131,F135,F139)</f>
        <v>40.3172</v>
      </c>
      <c r="G494" s="78">
        <f t="shared" si="67"/>
        <v>44.851880000000008</v>
      </c>
      <c r="H494" s="78">
        <f t="shared" si="67"/>
        <v>44.959899999999998</v>
      </c>
      <c r="I494" s="79"/>
      <c r="J494" s="79"/>
      <c r="K494" s="80"/>
      <c r="L494" s="29"/>
      <c r="M494" s="78">
        <f t="shared" ref="M494:M501" si="68">M486</f>
        <v>1664.5591999999999</v>
      </c>
      <c r="N494" s="78">
        <f t="shared" ref="N494:P497" si="69">AVERAGE(N107,N111,N131,N135,N139)</f>
        <v>40.323480000000004</v>
      </c>
      <c r="O494" s="78">
        <f t="shared" si="69"/>
        <v>44.856460000000006</v>
      </c>
      <c r="P494" s="78">
        <f t="shared" si="69"/>
        <v>44.956420000000001</v>
      </c>
      <c r="Q494" s="79"/>
      <c r="R494" s="79"/>
      <c r="S494" s="80"/>
      <c r="U494" s="8">
        <f>bdrate($E494:$E497,F494:F497,$M494:$M497,N494:N497)</f>
        <v>-1.2499475035597785E-3</v>
      </c>
      <c r="V494" s="9">
        <f>bdrate($E494:$E497,G494:G497,$M494:$M497,O494:O497)</f>
        <v>-7.4849344577709864E-4</v>
      </c>
      <c r="W494" s="10">
        <f>bdrate($E494:$E497,H494:H497,$M494:$M497,P494:P497)</f>
        <v>-2.2892332749678834E-3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786.64799999999991</v>
      </c>
      <c r="F495" s="70">
        <f t="shared" si="67"/>
        <v>38.055060000000005</v>
      </c>
      <c r="G495" s="70">
        <f t="shared" si="67"/>
        <v>43.107680000000002</v>
      </c>
      <c r="H495" s="70">
        <f t="shared" si="67"/>
        <v>43.164660000000005</v>
      </c>
      <c r="I495" s="66"/>
      <c r="J495" s="66"/>
      <c r="K495" s="67"/>
      <c r="L495" s="29"/>
      <c r="M495" s="70">
        <f t="shared" si="68"/>
        <v>786.47199999999998</v>
      </c>
      <c r="N495" s="70">
        <f t="shared" si="69"/>
        <v>38.0655</v>
      </c>
      <c r="O495" s="70">
        <f t="shared" si="69"/>
        <v>43.111239999999995</v>
      </c>
      <c r="P495" s="70">
        <f t="shared" si="69"/>
        <v>43.174219999999998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419.07680000000005</v>
      </c>
      <c r="F496" s="70">
        <f t="shared" si="67"/>
        <v>35.732399999999998</v>
      </c>
      <c r="G496" s="70">
        <f t="shared" si="67"/>
        <v>41.427380000000007</v>
      </c>
      <c r="H496" s="70">
        <f t="shared" si="67"/>
        <v>41.391440000000003</v>
      </c>
      <c r="I496" s="66"/>
      <c r="J496" s="66"/>
      <c r="K496" s="67"/>
      <c r="L496" s="29"/>
      <c r="M496" s="70">
        <f t="shared" si="68"/>
        <v>419.24319999999994</v>
      </c>
      <c r="N496" s="70">
        <f t="shared" si="69"/>
        <v>35.728660000000005</v>
      </c>
      <c r="O496" s="70">
        <f t="shared" si="69"/>
        <v>41.424419999999998</v>
      </c>
      <c r="P496" s="70">
        <f t="shared" si="69"/>
        <v>41.396360000000001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237.268</v>
      </c>
      <c r="F497" s="81">
        <f t="shared" si="67"/>
        <v>33.291319999999999</v>
      </c>
      <c r="G497" s="81">
        <f t="shared" si="67"/>
        <v>40.094119999999997</v>
      </c>
      <c r="H497" s="81">
        <f t="shared" si="67"/>
        <v>39.998200000000004</v>
      </c>
      <c r="I497" s="68"/>
      <c r="J497" s="68"/>
      <c r="K497" s="69"/>
      <c r="L497" s="29"/>
      <c r="M497" s="81">
        <f t="shared" si="68"/>
        <v>237.44960000000003</v>
      </c>
      <c r="N497" s="81">
        <f t="shared" si="69"/>
        <v>33.296100000000003</v>
      </c>
      <c r="O497" s="81">
        <f t="shared" si="69"/>
        <v>40.09646</v>
      </c>
      <c r="P497" s="81">
        <f t="shared" si="69"/>
        <v>40.002760000000002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2207.4720000000002</v>
      </c>
      <c r="F498" s="78">
        <f t="shared" ref="F498:H501" si="70">AVERAGE(F107,F111,F115,F131,F135,F139,F143,F147,F151)</f>
        <v>40.194488888888891</v>
      </c>
      <c r="G498" s="78">
        <f t="shared" si="70"/>
        <v>44.877811111111107</v>
      </c>
      <c r="H498" s="78">
        <f t="shared" si="70"/>
        <v>44.922588888888889</v>
      </c>
      <c r="I498" s="79"/>
      <c r="J498" s="79"/>
      <c r="K498" s="80"/>
      <c r="L498" s="29"/>
      <c r="M498" s="78">
        <f t="shared" si="68"/>
        <v>2198.7143999999998</v>
      </c>
      <c r="N498" s="78">
        <f t="shared" ref="N498:P501" si="71">AVERAGE(N107,N111,N115,N131,N135,N139,N143,N147,N151)</f>
        <v>40.200677777777777</v>
      </c>
      <c r="O498" s="78">
        <f t="shared" si="71"/>
        <v>44.879655555555559</v>
      </c>
      <c r="P498" s="78">
        <f t="shared" si="71"/>
        <v>44.918788888888891</v>
      </c>
      <c r="Q498" s="79"/>
      <c r="R498" s="79"/>
      <c r="S498" s="80"/>
      <c r="U498" s="8">
        <f>bdrate($E498:$E501,F498:F501,$M498:$M501,N498:N501)</f>
        <v>-4.4589804016090806E-3</v>
      </c>
      <c r="V498" s="9">
        <f>bdrate($E498:$E501,G498:G501,$M498:$M501,O498:O501)</f>
        <v>-2.0862567283047584E-3</v>
      </c>
      <c r="W498" s="10">
        <f>bdrate($E498:$E501,H498:H501,$M498:$M501,P498:P501)</f>
        <v>-5.3282991848693229E-3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1021.9384</v>
      </c>
      <c r="F499" s="70">
        <f t="shared" si="70"/>
        <v>37.894366666666663</v>
      </c>
      <c r="G499" s="70">
        <f t="shared" si="70"/>
        <v>43.148511111111112</v>
      </c>
      <c r="H499" s="70">
        <f t="shared" si="70"/>
        <v>43.08626666666666</v>
      </c>
      <c r="I499" s="66"/>
      <c r="J499" s="66"/>
      <c r="K499" s="67"/>
      <c r="L499" s="29"/>
      <c r="M499" s="70">
        <f t="shared" si="68"/>
        <v>1018.3664</v>
      </c>
      <c r="N499" s="70">
        <f t="shared" si="71"/>
        <v>37.906344444444443</v>
      </c>
      <c r="O499" s="70">
        <f t="shared" si="71"/>
        <v>43.153655555555552</v>
      </c>
      <c r="P499" s="70">
        <f t="shared" si="71"/>
        <v>43.099355555555547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542.29039999999998</v>
      </c>
      <c r="F500" s="70">
        <f t="shared" si="70"/>
        <v>35.547222222222224</v>
      </c>
      <c r="G500" s="70">
        <f t="shared" si="70"/>
        <v>41.477855555555557</v>
      </c>
      <c r="H500" s="70">
        <f t="shared" si="70"/>
        <v>41.307600000000001</v>
      </c>
      <c r="I500" s="66"/>
      <c r="J500" s="66"/>
      <c r="K500" s="67"/>
      <c r="L500" s="29"/>
      <c r="M500" s="70">
        <f t="shared" si="68"/>
        <v>541.28560000000004</v>
      </c>
      <c r="N500" s="70">
        <f t="shared" si="71"/>
        <v>35.54996666666667</v>
      </c>
      <c r="O500" s="70">
        <f t="shared" si="71"/>
        <v>41.467422222222218</v>
      </c>
      <c r="P500" s="70">
        <f t="shared" si="71"/>
        <v>41.31227777777778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305.97039999999998</v>
      </c>
      <c r="F501" s="81">
        <f t="shared" si="70"/>
        <v>33.083433333333332</v>
      </c>
      <c r="G501" s="81">
        <f t="shared" si="70"/>
        <v>40.152444444444455</v>
      </c>
      <c r="H501" s="81">
        <f t="shared" si="70"/>
        <v>39.911388888888887</v>
      </c>
      <c r="I501" s="68"/>
      <c r="J501" s="68"/>
      <c r="K501" s="69"/>
      <c r="L501" s="29"/>
      <c r="M501" s="81">
        <f t="shared" si="68"/>
        <v>305.99200000000002</v>
      </c>
      <c r="N501" s="81">
        <f t="shared" si="71"/>
        <v>33.089388888888884</v>
      </c>
      <c r="O501" s="81">
        <f t="shared" si="71"/>
        <v>40.149644444444441</v>
      </c>
      <c r="P501" s="81">
        <f t="shared" si="71"/>
        <v>39.916888888888884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4345.78</v>
      </c>
      <c r="F502" s="78">
        <f t="shared" ref="F502:H505" si="72">AVERAGE(F159,F163)</f>
        <v>39.956100000000006</v>
      </c>
      <c r="G502" s="78">
        <f t="shared" si="72"/>
        <v>45.395150000000001</v>
      </c>
      <c r="H502" s="78">
        <f t="shared" si="72"/>
        <v>46.233550000000001</v>
      </c>
      <c r="I502" s="79"/>
      <c r="J502" s="79"/>
      <c r="K502" s="80"/>
      <c r="L502" s="29"/>
      <c r="M502" s="82">
        <f>M159+M163</f>
        <v>4347.0176000000001</v>
      </c>
      <c r="N502" s="78">
        <f t="shared" ref="N502:P505" si="73">AVERAGE(N159,N163)</f>
        <v>39.9574</v>
      </c>
      <c r="O502" s="78">
        <f t="shared" si="73"/>
        <v>45.389099999999999</v>
      </c>
      <c r="P502" s="78">
        <f t="shared" si="73"/>
        <v>46.234400000000001</v>
      </c>
      <c r="Q502" s="79"/>
      <c r="R502" s="79"/>
      <c r="S502" s="80"/>
      <c r="U502" s="8">
        <f>bdrate($E502:$E505,F502:F505,$M502:$M505,N502:N505)</f>
        <v>-1.1086286543303681E-3</v>
      </c>
      <c r="V502" s="9">
        <f>bdrate($E502:$E505,G502:G505,$M502:$M505,O502:O505)</f>
        <v>-5.8499014473623046E-4</v>
      </c>
      <c r="W502" s="10">
        <f>bdrate($E502:$E505,H502:H505,$M502:$M505,P502:P505)</f>
        <v>4.9270958812752674E-4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1853.9295999999999</v>
      </c>
      <c r="F503" s="70">
        <f t="shared" si="72"/>
        <v>37.598199999999999</v>
      </c>
      <c r="G503" s="70">
        <f t="shared" si="72"/>
        <v>43.600250000000003</v>
      </c>
      <c r="H503" s="70">
        <f t="shared" si="72"/>
        <v>44.434049999999999</v>
      </c>
      <c r="I503" s="66"/>
      <c r="J503" s="66"/>
      <c r="K503" s="67"/>
      <c r="L503" s="29"/>
      <c r="M503" s="83">
        <f>M160+M164</f>
        <v>1850.9207999999999</v>
      </c>
      <c r="N503" s="70">
        <f t="shared" si="73"/>
        <v>37.6008</v>
      </c>
      <c r="O503" s="70">
        <f t="shared" si="73"/>
        <v>43.603499999999997</v>
      </c>
      <c r="P503" s="70">
        <f t="shared" si="73"/>
        <v>44.43045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862.00400000000002</v>
      </c>
      <c r="F504" s="70">
        <f t="shared" si="72"/>
        <v>35.451599999999999</v>
      </c>
      <c r="G504" s="70">
        <f t="shared" si="72"/>
        <v>41.792999999999999</v>
      </c>
      <c r="H504" s="70">
        <f t="shared" si="72"/>
        <v>42.609949999999998</v>
      </c>
      <c r="I504" s="66"/>
      <c r="J504" s="66"/>
      <c r="K504" s="67"/>
      <c r="L504" s="29"/>
      <c r="M504" s="83">
        <f>M161+M165</f>
        <v>861.8048</v>
      </c>
      <c r="N504" s="70">
        <f t="shared" si="73"/>
        <v>35.45355</v>
      </c>
      <c r="O504" s="70">
        <f t="shared" si="73"/>
        <v>41.787399999999998</v>
      </c>
      <c r="P504" s="70">
        <f t="shared" si="73"/>
        <v>42.619250000000001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414.60879999999997</v>
      </c>
      <c r="F505" s="81">
        <f t="shared" si="72"/>
        <v>33.310450000000003</v>
      </c>
      <c r="G505" s="81">
        <f t="shared" si="72"/>
        <v>40.515950000000004</v>
      </c>
      <c r="H505" s="81">
        <f t="shared" si="72"/>
        <v>41.385950000000001</v>
      </c>
      <c r="I505" s="68"/>
      <c r="J505" s="68"/>
      <c r="K505" s="69"/>
      <c r="L505" s="29"/>
      <c r="M505" s="84">
        <f>M162+M166</f>
        <v>415.17840000000001</v>
      </c>
      <c r="N505" s="81">
        <f t="shared" si="73"/>
        <v>33.308750000000003</v>
      </c>
      <c r="O505" s="81">
        <f t="shared" si="73"/>
        <v>40.527649999999994</v>
      </c>
      <c r="P505" s="81">
        <f t="shared" si="73"/>
        <v>41.350499999999997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5018.3944000000001</v>
      </c>
      <c r="F506" s="78">
        <f t="shared" ref="F506:H509" si="74">AVERAGE(F159,F163,F167)</f>
        <v>39.84673333333334</v>
      </c>
      <c r="G506" s="78">
        <f t="shared" si="74"/>
        <v>45.359700000000004</v>
      </c>
      <c r="H506" s="78">
        <f t="shared" si="74"/>
        <v>46.200499999999998</v>
      </c>
      <c r="I506" s="79"/>
      <c r="J506" s="79"/>
      <c r="K506" s="80"/>
      <c r="L506" s="29"/>
      <c r="M506" s="78">
        <f>M159+M163+M167</f>
        <v>5019.8024000000005</v>
      </c>
      <c r="N506" s="78">
        <f t="shared" ref="N506:P509" si="75">AVERAGE(N159,N163,N167)</f>
        <v>39.847900000000003</v>
      </c>
      <c r="O506" s="78">
        <f t="shared" si="75"/>
        <v>45.354233333333333</v>
      </c>
      <c r="P506" s="78">
        <f t="shared" si="75"/>
        <v>46.201433333333334</v>
      </c>
      <c r="Q506" s="79"/>
      <c r="R506" s="79"/>
      <c r="S506" s="80"/>
      <c r="U506" s="8">
        <f>bdrate($E506:$E509,F506:F509,$M506:$M509,N506:N509)</f>
        <v>-1.1988338560299239E-3</v>
      </c>
      <c r="V506" s="9">
        <f>bdrate($E506:$E509,G506:G509,$M506:$M509,O506:O509)</f>
        <v>-5.2432579535321988E-4</v>
      </c>
      <c r="W506" s="10">
        <f>bdrate($E506:$E509,H506:H509,$M506:$M509,P506:P509)</f>
        <v>3.8613780561069788E-4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2107.4023999999999</v>
      </c>
      <c r="F507" s="70">
        <f t="shared" si="74"/>
        <v>37.512166666666666</v>
      </c>
      <c r="G507" s="70">
        <f t="shared" si="74"/>
        <v>43.573033333333335</v>
      </c>
      <c r="H507" s="70">
        <f t="shared" si="74"/>
        <v>44.408066666666663</v>
      </c>
      <c r="I507" s="66"/>
      <c r="J507" s="66"/>
      <c r="K507" s="67"/>
      <c r="L507" s="29"/>
      <c r="M507" s="70">
        <f>M160+M164+M168</f>
        <v>2104.6039999999998</v>
      </c>
      <c r="N507" s="70">
        <f t="shared" si="75"/>
        <v>37.514699999999998</v>
      </c>
      <c r="O507" s="70">
        <f t="shared" si="75"/>
        <v>43.575866666666663</v>
      </c>
      <c r="P507" s="70">
        <f t="shared" si="75"/>
        <v>44.404033333333331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975.32320000000004</v>
      </c>
      <c r="F508" s="70">
        <f t="shared" si="74"/>
        <v>35.381333333333338</v>
      </c>
      <c r="G508" s="70">
        <f t="shared" si="74"/>
        <v>41.770999999999994</v>
      </c>
      <c r="H508" s="70">
        <f t="shared" si="74"/>
        <v>42.587733333333333</v>
      </c>
      <c r="I508" s="66"/>
      <c r="J508" s="66"/>
      <c r="K508" s="67"/>
      <c r="L508" s="29"/>
      <c r="M508" s="70">
        <f>M161+M165+M169</f>
        <v>974.952</v>
      </c>
      <c r="N508" s="70">
        <f t="shared" si="75"/>
        <v>35.383966666666666</v>
      </c>
      <c r="O508" s="70">
        <f t="shared" si="75"/>
        <v>41.765099999999997</v>
      </c>
      <c r="P508" s="70">
        <f t="shared" si="75"/>
        <v>42.5976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468.66799999999995</v>
      </c>
      <c r="F509" s="81">
        <f t="shared" si="74"/>
        <v>33.249099999999999</v>
      </c>
      <c r="G509" s="81">
        <f t="shared" si="74"/>
        <v>40.488300000000002</v>
      </c>
      <c r="H509" s="81">
        <f t="shared" si="74"/>
        <v>41.357400000000005</v>
      </c>
      <c r="I509" s="68"/>
      <c r="J509" s="68"/>
      <c r="K509" s="69"/>
      <c r="L509" s="29"/>
      <c r="M509" s="81">
        <f>M162+M166+M170</f>
        <v>469.04640000000001</v>
      </c>
      <c r="N509" s="81">
        <f t="shared" si="75"/>
        <v>33.247466666666668</v>
      </c>
      <c r="O509" s="81">
        <f t="shared" si="75"/>
        <v>40.501100000000001</v>
      </c>
      <c r="P509" s="81">
        <f t="shared" si="75"/>
        <v>41.324166666666663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4803.0727999999999</v>
      </c>
      <c r="F510" s="78">
        <f t="shared" ref="F510:H513" si="76">AVERAGE(F183,F187,F191)</f>
        <v>39.751399999999997</v>
      </c>
      <c r="G510" s="78">
        <f t="shared" si="76"/>
        <v>46.569999999999993</v>
      </c>
      <c r="H510" s="78">
        <f t="shared" si="76"/>
        <v>46.967800000000004</v>
      </c>
      <c r="I510" s="79"/>
      <c r="J510" s="79"/>
      <c r="K510" s="80"/>
      <c r="L510" s="29"/>
      <c r="M510" s="78">
        <f>M159+M163+M171+M175</f>
        <v>4804.4080000000004</v>
      </c>
      <c r="N510" s="78">
        <f t="shared" ref="N510:P513" si="77">AVERAGE(N183,N187,N191)</f>
        <v>39.750400000000006</v>
      </c>
      <c r="O510" s="78">
        <f t="shared" si="77"/>
        <v>46.547566666666661</v>
      </c>
      <c r="P510" s="78">
        <f t="shared" si="77"/>
        <v>46.964866666666666</v>
      </c>
      <c r="Q510" s="79"/>
      <c r="R510" s="79"/>
      <c r="S510" s="80"/>
      <c r="U510" s="8">
        <f>bdrate($E510:$E513,F510:F513,$M510:$M513,N510:N513)</f>
        <v>-5.0320226425915049E-4</v>
      </c>
      <c r="V510" s="9">
        <f>bdrate($E510:$E513,G510:G513,$M510:$M513,O510:O513)</f>
        <v>3.8824843997447012E-3</v>
      </c>
      <c r="W510" s="10">
        <f>bdrate($E510:$E513,H510:H513,$M510:$M513,P510:P513)</f>
        <v>-8.0790135076747038E-4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2017.8104000000001</v>
      </c>
      <c r="F511" s="70">
        <f t="shared" si="76"/>
        <v>37.514066666666672</v>
      </c>
      <c r="G511" s="70">
        <f t="shared" si="76"/>
        <v>44.751400000000011</v>
      </c>
      <c r="H511" s="70">
        <f t="shared" si="76"/>
        <v>45.323133333333338</v>
      </c>
      <c r="I511" s="66"/>
      <c r="J511" s="66"/>
      <c r="K511" s="67"/>
      <c r="L511" s="29"/>
      <c r="M511" s="70">
        <f>M160+M164+M172+M176</f>
        <v>2013.4967999999999</v>
      </c>
      <c r="N511" s="70">
        <f t="shared" si="77"/>
        <v>37.509299999999996</v>
      </c>
      <c r="O511" s="70">
        <f t="shared" si="77"/>
        <v>44.757566666666662</v>
      </c>
      <c r="P511" s="70">
        <f t="shared" si="77"/>
        <v>45.320999999999998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938.25360000000001</v>
      </c>
      <c r="F512" s="70">
        <f t="shared" si="76"/>
        <v>35.423133333333332</v>
      </c>
      <c r="G512" s="70">
        <f t="shared" si="76"/>
        <v>42.853766666666672</v>
      </c>
      <c r="H512" s="70">
        <f t="shared" si="76"/>
        <v>43.503433333333334</v>
      </c>
      <c r="I512" s="66"/>
      <c r="J512" s="66"/>
      <c r="K512" s="67"/>
      <c r="L512" s="29"/>
      <c r="M512" s="70">
        <f>M161+M165+M173+M177</f>
        <v>937.8048</v>
      </c>
      <c r="N512" s="70">
        <f t="shared" si="77"/>
        <v>35.428899999999999</v>
      </c>
      <c r="O512" s="70">
        <f t="shared" si="77"/>
        <v>42.827966666666669</v>
      </c>
      <c r="P512" s="70">
        <f t="shared" si="77"/>
        <v>43.520699999999998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450.62399999999997</v>
      </c>
      <c r="F513" s="81">
        <f t="shared" si="76"/>
        <v>33.311100000000003</v>
      </c>
      <c r="G513" s="81">
        <f t="shared" si="76"/>
        <v>41.479799999999997</v>
      </c>
      <c r="H513" s="81">
        <f t="shared" si="76"/>
        <v>42.211333333333329</v>
      </c>
      <c r="I513" s="68"/>
      <c r="J513" s="68"/>
      <c r="K513" s="69"/>
      <c r="L513" s="29"/>
      <c r="M513" s="81">
        <f>M162+M166+M174+M178</f>
        <v>451.08960000000002</v>
      </c>
      <c r="N513" s="81">
        <f t="shared" si="77"/>
        <v>33.303066666666666</v>
      </c>
      <c r="O513" s="81">
        <f t="shared" si="77"/>
        <v>41.474233333333331</v>
      </c>
      <c r="P513" s="81">
        <f t="shared" si="77"/>
        <v>42.169333333333334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5594.9672</v>
      </c>
      <c r="F514" s="78">
        <f t="shared" ref="F514:H517" si="78">AVERAGE(F183,F187,F191,F195,F199,F203)</f>
        <v>39.743166666666667</v>
      </c>
      <c r="G514" s="78">
        <f t="shared" si="78"/>
        <v>46.526033333333324</v>
      </c>
      <c r="H514" s="78">
        <f t="shared" si="78"/>
        <v>47.01198333333334</v>
      </c>
      <c r="I514" s="79"/>
      <c r="J514" s="79"/>
      <c r="K514" s="80"/>
      <c r="L514" s="29"/>
      <c r="M514" s="78">
        <f>M207</f>
        <v>5596.9152000000004</v>
      </c>
      <c r="N514" s="78">
        <f t="shared" ref="N514:P517" si="79">AVERAGE(N183,N187,N191,N195,N199,N203)</f>
        <v>39.741050000000001</v>
      </c>
      <c r="O514" s="78">
        <f t="shared" si="79"/>
        <v>46.505299999999998</v>
      </c>
      <c r="P514" s="78">
        <f t="shared" si="79"/>
        <v>47.016033333333326</v>
      </c>
      <c r="Q514" s="79"/>
      <c r="R514" s="79"/>
      <c r="S514" s="80"/>
      <c r="U514" s="8">
        <f>bdrate($E514:$E517,F514:F517,$M514:$M517,N514:N517)</f>
        <v>-6.3081852209034839E-4</v>
      </c>
      <c r="V514" s="9">
        <f>bdrate($E514:$E517,G514:G517,$M514:$M517,O514:O517)</f>
        <v>2.0633566959491478E-3</v>
      </c>
      <c r="W514" s="10">
        <f>bdrate($E514:$E517,H514:H517,$M514:$M517,P514:P517)</f>
        <v>-4.6236793494991435E-4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2313.2903999999999</v>
      </c>
      <c r="F515" s="70">
        <f t="shared" si="78"/>
        <v>37.497466666666668</v>
      </c>
      <c r="G515" s="70">
        <f t="shared" si="78"/>
        <v>44.726550000000003</v>
      </c>
      <c r="H515" s="70">
        <f t="shared" si="78"/>
        <v>45.325916666666664</v>
      </c>
      <c r="I515" s="66"/>
      <c r="J515" s="66"/>
      <c r="K515" s="67"/>
      <c r="L515" s="29"/>
      <c r="M515" s="70">
        <f>M208</f>
        <v>2308.6368000000002</v>
      </c>
      <c r="N515" s="70">
        <f t="shared" si="79"/>
        <v>37.49295</v>
      </c>
      <c r="O515" s="70">
        <f t="shared" si="79"/>
        <v>44.72976666666667</v>
      </c>
      <c r="P515" s="70">
        <f t="shared" si="79"/>
        <v>45.322333333333326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1073.2808</v>
      </c>
      <c r="F516" s="70">
        <f t="shared" si="78"/>
        <v>35.40893333333333</v>
      </c>
      <c r="G516" s="70">
        <f t="shared" si="78"/>
        <v>42.808883333333334</v>
      </c>
      <c r="H516" s="70">
        <f t="shared" si="78"/>
        <v>43.475833333333327</v>
      </c>
      <c r="I516" s="66"/>
      <c r="J516" s="66"/>
      <c r="K516" s="67"/>
      <c r="L516" s="29"/>
      <c r="M516" s="70">
        <f>M209</f>
        <v>1072.1496</v>
      </c>
      <c r="N516" s="70">
        <f t="shared" si="79"/>
        <v>35.41448333333333</v>
      </c>
      <c r="O516" s="70">
        <f t="shared" si="79"/>
        <v>42.792116666666665</v>
      </c>
      <c r="P516" s="70">
        <f t="shared" si="79"/>
        <v>43.4831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517.82640000000004</v>
      </c>
      <c r="F517" s="81">
        <f t="shared" si="78"/>
        <v>33.300800000000002</v>
      </c>
      <c r="G517" s="81">
        <f t="shared" si="78"/>
        <v>41.415316666666662</v>
      </c>
      <c r="H517" s="81">
        <f t="shared" si="78"/>
        <v>42.171733333333329</v>
      </c>
      <c r="I517" s="68"/>
      <c r="J517" s="68"/>
      <c r="K517" s="69"/>
      <c r="L517" s="29"/>
      <c r="M517" s="81">
        <f>M210</f>
        <v>518.2432</v>
      </c>
      <c r="N517" s="81">
        <f t="shared" si="79"/>
        <v>33.292916666666663</v>
      </c>
      <c r="O517" s="81">
        <f t="shared" si="79"/>
        <v>41.421633333333325</v>
      </c>
      <c r="P517" s="81">
        <f t="shared" si="79"/>
        <v>42.146166666666666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4803.0727999999999</v>
      </c>
      <c r="F518" s="78">
        <f t="shared" ref="F518:H521" si="81">AVERAGE(F159,F163,F183,F187,F191)</f>
        <v>39.833280000000002</v>
      </c>
      <c r="G518" s="78">
        <f t="shared" si="81"/>
        <v>46.100059999999999</v>
      </c>
      <c r="H518" s="78">
        <f t="shared" si="81"/>
        <v>46.674100000000003</v>
      </c>
      <c r="I518" s="79"/>
      <c r="J518" s="79"/>
      <c r="K518" s="80"/>
      <c r="L518" s="29"/>
      <c r="M518" s="78">
        <f t="shared" ref="M518:M525" si="82">M510</f>
        <v>4804.4080000000004</v>
      </c>
      <c r="N518" s="78">
        <f t="shared" ref="N518:P521" si="83">AVERAGE(N159,N163,N183,N187,N191)</f>
        <v>39.833199999999998</v>
      </c>
      <c r="O518" s="78">
        <f t="shared" si="83"/>
        <v>46.084179999999996</v>
      </c>
      <c r="P518" s="78">
        <f t="shared" si="83"/>
        <v>46.67268</v>
      </c>
      <c r="Q518" s="79"/>
      <c r="R518" s="79"/>
      <c r="S518" s="80"/>
      <c r="U518" s="8">
        <f>bdrate($E518:$E521,F518:F521,$M518:$M521,N518:N521)</f>
        <v>-8.8300111283778904E-4</v>
      </c>
      <c r="V518" s="9">
        <f>bdrate($E518:$E521,G518:G521,$M518:$M521,O518:O521)</f>
        <v>1.9984923804174937E-3</v>
      </c>
      <c r="W518" s="10">
        <f>bdrate($E518:$E521,H518:H521,$M518:$M521,P518:P521)</f>
        <v>-4.1214428108971024E-4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2017.8104000000001</v>
      </c>
      <c r="F519" s="70">
        <f t="shared" si="81"/>
        <v>37.547719999999998</v>
      </c>
      <c r="G519" s="70">
        <f t="shared" si="81"/>
        <v>44.290939999999999</v>
      </c>
      <c r="H519" s="70">
        <f t="shared" si="81"/>
        <v>44.967499999999994</v>
      </c>
      <c r="I519" s="66"/>
      <c r="J519" s="66"/>
      <c r="K519" s="67"/>
      <c r="L519" s="29"/>
      <c r="M519" s="70">
        <f t="shared" si="82"/>
        <v>2013.4967999999999</v>
      </c>
      <c r="N519" s="70">
        <f t="shared" si="83"/>
        <v>37.545900000000003</v>
      </c>
      <c r="O519" s="70">
        <f t="shared" si="83"/>
        <v>44.295940000000002</v>
      </c>
      <c r="P519" s="70">
        <f t="shared" si="83"/>
        <v>44.964780000000005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938.25360000000001</v>
      </c>
      <c r="F520" s="70">
        <f t="shared" si="81"/>
        <v>35.434520000000006</v>
      </c>
      <c r="G520" s="70">
        <f t="shared" si="81"/>
        <v>42.429459999999999</v>
      </c>
      <c r="H520" s="70">
        <f t="shared" si="81"/>
        <v>43.146039999999999</v>
      </c>
      <c r="I520" s="66"/>
      <c r="J520" s="66"/>
      <c r="K520" s="67"/>
      <c r="L520" s="29"/>
      <c r="M520" s="70">
        <f t="shared" si="82"/>
        <v>937.8048</v>
      </c>
      <c r="N520" s="70">
        <f t="shared" si="83"/>
        <v>35.438760000000002</v>
      </c>
      <c r="O520" s="70">
        <f t="shared" si="83"/>
        <v>42.411739999999995</v>
      </c>
      <c r="P520" s="70">
        <f t="shared" si="83"/>
        <v>43.160120000000006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450.62399999999997</v>
      </c>
      <c r="F521" s="81">
        <f t="shared" si="81"/>
        <v>33.310839999999999</v>
      </c>
      <c r="G521" s="81">
        <f t="shared" si="81"/>
        <v>41.094259999999998</v>
      </c>
      <c r="H521" s="81">
        <f t="shared" si="81"/>
        <v>41.881180000000001</v>
      </c>
      <c r="I521" s="68"/>
      <c r="J521" s="68"/>
      <c r="K521" s="69"/>
      <c r="L521" s="29"/>
      <c r="M521" s="81">
        <f t="shared" si="82"/>
        <v>451.08960000000002</v>
      </c>
      <c r="N521" s="81">
        <f t="shared" si="83"/>
        <v>33.305340000000001</v>
      </c>
      <c r="O521" s="81">
        <f t="shared" si="83"/>
        <v>41.095600000000005</v>
      </c>
      <c r="P521" s="81">
        <f t="shared" si="83"/>
        <v>41.841799999999999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5594.9672</v>
      </c>
      <c r="F522" s="78">
        <f t="shared" ref="F522:H525" si="84">AVERAGE(F159,F163,F167,F183,F187,F191,F195,F199,F203)</f>
        <v>39.777688888888889</v>
      </c>
      <c r="G522" s="78">
        <f t="shared" si="84"/>
        <v>46.137255555555562</v>
      </c>
      <c r="H522" s="78">
        <f t="shared" si="84"/>
        <v>46.741488888888881</v>
      </c>
      <c r="I522" s="79"/>
      <c r="J522" s="79"/>
      <c r="K522" s="80"/>
      <c r="L522" s="29"/>
      <c r="M522" s="78">
        <f t="shared" si="82"/>
        <v>5596.9152000000004</v>
      </c>
      <c r="N522" s="78">
        <f t="shared" ref="N522:P525" si="85">AVERAGE(N159,N163,N167,N183,N187,N191,N195,N199,N203)</f>
        <v>39.776666666666671</v>
      </c>
      <c r="O522" s="78">
        <f t="shared" si="85"/>
        <v>46.121611111111108</v>
      </c>
      <c r="P522" s="78">
        <f t="shared" si="85"/>
        <v>46.744500000000002</v>
      </c>
      <c r="Q522" s="79"/>
      <c r="R522" s="79"/>
      <c r="S522" s="80"/>
      <c r="U522" s="8">
        <f>bdrate($E522:$E525,F522:F525,$M522:$M525,N522:N525)</f>
        <v>-9.9035317676476886E-4</v>
      </c>
      <c r="V522" s="9">
        <f>bdrate($E522:$E525,G522:G525,$M522:$M525,O522:O525)</f>
        <v>1.058020369673951E-3</v>
      </c>
      <c r="W522" s="10">
        <f>bdrate($E522:$E525,H522:H525,$M522:$M525,P522:P525)</f>
        <v>-3.5247378164660059E-4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2313.2903999999999</v>
      </c>
      <c r="F523" s="70">
        <f t="shared" si="84"/>
        <v>37.502366666666674</v>
      </c>
      <c r="G523" s="70">
        <f t="shared" si="84"/>
        <v>44.34204444444444</v>
      </c>
      <c r="H523" s="70">
        <f t="shared" si="84"/>
        <v>45.019966666666669</v>
      </c>
      <c r="I523" s="66"/>
      <c r="J523" s="66"/>
      <c r="K523" s="67"/>
      <c r="L523" s="29"/>
      <c r="M523" s="70">
        <f t="shared" si="82"/>
        <v>2308.6368000000002</v>
      </c>
      <c r="N523" s="70">
        <f t="shared" si="85"/>
        <v>37.5002</v>
      </c>
      <c r="O523" s="70">
        <f t="shared" si="85"/>
        <v>44.345133333333337</v>
      </c>
      <c r="P523" s="70">
        <f t="shared" si="85"/>
        <v>45.016233333333339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1073.2808</v>
      </c>
      <c r="F524" s="70">
        <f t="shared" si="84"/>
        <v>35.399733333333337</v>
      </c>
      <c r="G524" s="70">
        <f t="shared" si="84"/>
        <v>42.462922222222218</v>
      </c>
      <c r="H524" s="70">
        <f t="shared" si="84"/>
        <v>43.1798</v>
      </c>
      <c r="I524" s="66"/>
      <c r="J524" s="66"/>
      <c r="K524" s="67"/>
      <c r="L524" s="29"/>
      <c r="M524" s="70">
        <f t="shared" si="82"/>
        <v>1072.1496</v>
      </c>
      <c r="N524" s="70">
        <f t="shared" si="85"/>
        <v>35.40431111111112</v>
      </c>
      <c r="O524" s="70">
        <f t="shared" si="85"/>
        <v>42.449777777777776</v>
      </c>
      <c r="P524" s="70">
        <f t="shared" si="85"/>
        <v>43.187933333333348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517.82640000000004</v>
      </c>
      <c r="F525" s="81">
        <f t="shared" si="84"/>
        <v>33.283566666666658</v>
      </c>
      <c r="G525" s="81">
        <f t="shared" si="84"/>
        <v>41.106311111111111</v>
      </c>
      <c r="H525" s="81">
        <f t="shared" si="84"/>
        <v>41.900288888888888</v>
      </c>
      <c r="I525" s="68"/>
      <c r="J525" s="68"/>
      <c r="K525" s="69"/>
      <c r="L525" s="29"/>
      <c r="M525" s="81">
        <f t="shared" si="82"/>
        <v>518.2432</v>
      </c>
      <c r="N525" s="81">
        <f t="shared" si="85"/>
        <v>33.277766666666672</v>
      </c>
      <c r="O525" s="81">
        <f t="shared" si="85"/>
        <v>41.114788888888896</v>
      </c>
      <c r="P525" s="81">
        <f t="shared" si="85"/>
        <v>41.872166666666665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1083.4009999999998</v>
      </c>
      <c r="F526" s="78">
        <f t="shared" ref="F526:H529" si="86">AVERAGE(F211,F215)</f>
        <v>41.97325</v>
      </c>
      <c r="G526" s="78">
        <f t="shared" si="86"/>
        <v>48.288899999999998</v>
      </c>
      <c r="H526" s="78">
        <f t="shared" si="86"/>
        <v>47.806100000000001</v>
      </c>
      <c r="I526" s="79"/>
      <c r="J526" s="79"/>
      <c r="K526" s="80"/>
      <c r="L526" s="29"/>
      <c r="M526" s="82">
        <f>M211+M215</f>
        <v>1080.8040000000001</v>
      </c>
      <c r="N526" s="78">
        <f t="shared" ref="N526:P529" si="87">AVERAGE(N211,N215)</f>
        <v>41.976600000000005</v>
      </c>
      <c r="O526" s="78">
        <f t="shared" si="87"/>
        <v>48.279200000000003</v>
      </c>
      <c r="P526" s="78">
        <f t="shared" si="87"/>
        <v>47.811949999999996</v>
      </c>
      <c r="Q526" s="79"/>
      <c r="R526" s="79"/>
      <c r="S526" s="80"/>
      <c r="U526" s="8">
        <f>bdrate($E526:$E529,F526:F529,$M526:$M529,N526:N529)</f>
        <v>-2.4814378369898415E-3</v>
      </c>
      <c r="V526" s="9">
        <f>bdrate($E526:$E529,G526:G529,$M526:$M529,O526:O529)</f>
        <v>-4.3673567634050503E-3</v>
      </c>
      <c r="W526" s="10">
        <f>bdrate($E526:$E529,H526:H529,$M526:$M529,P526:P529)</f>
        <v>-7.46370676763497E-3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460.423</v>
      </c>
      <c r="F527" s="70">
        <f t="shared" si="86"/>
        <v>40.978499999999997</v>
      </c>
      <c r="G527" s="70">
        <f t="shared" si="86"/>
        <v>47.253399999999999</v>
      </c>
      <c r="H527" s="70">
        <f t="shared" si="86"/>
        <v>46.910600000000002</v>
      </c>
      <c r="I527" s="66"/>
      <c r="J527" s="66"/>
      <c r="K527" s="67"/>
      <c r="L527" s="29"/>
      <c r="M527" s="83">
        <f>M212+M216</f>
        <v>460.31600000000003</v>
      </c>
      <c r="N527" s="70">
        <f t="shared" si="87"/>
        <v>40.986350000000002</v>
      </c>
      <c r="O527" s="70">
        <f t="shared" si="87"/>
        <v>47.247450000000001</v>
      </c>
      <c r="P527" s="70">
        <f t="shared" si="87"/>
        <v>46.929100000000005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239.03</v>
      </c>
      <c r="F528" s="70">
        <f t="shared" si="86"/>
        <v>39.551199999999994</v>
      </c>
      <c r="G528" s="70">
        <f t="shared" si="86"/>
        <v>45.919849999999997</v>
      </c>
      <c r="H528" s="70">
        <f t="shared" si="86"/>
        <v>45.699849999999998</v>
      </c>
      <c r="I528" s="66"/>
      <c r="J528" s="66"/>
      <c r="K528" s="67"/>
      <c r="L528" s="29"/>
      <c r="M528" s="83">
        <f>M213+M217</f>
        <v>239.827</v>
      </c>
      <c r="N528" s="70">
        <f t="shared" si="87"/>
        <v>39.5642</v>
      </c>
      <c r="O528" s="70">
        <f t="shared" si="87"/>
        <v>45.966700000000003</v>
      </c>
      <c r="P528" s="70">
        <f t="shared" si="87"/>
        <v>45.712949999999999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133.654</v>
      </c>
      <c r="F529" s="81">
        <f t="shared" si="86"/>
        <v>37.755700000000004</v>
      </c>
      <c r="G529" s="81">
        <f t="shared" si="86"/>
        <v>44.793800000000005</v>
      </c>
      <c r="H529" s="81">
        <f t="shared" si="86"/>
        <v>44.6434</v>
      </c>
      <c r="I529" s="68"/>
      <c r="J529" s="68"/>
      <c r="K529" s="69"/>
      <c r="L529" s="29"/>
      <c r="M529" s="84">
        <f>M214+M218</f>
        <v>134.06400000000002</v>
      </c>
      <c r="N529" s="81">
        <f t="shared" si="87"/>
        <v>37.760550000000002</v>
      </c>
      <c r="O529" s="81">
        <f t="shared" si="87"/>
        <v>44.776250000000005</v>
      </c>
      <c r="P529" s="81">
        <f t="shared" si="87"/>
        <v>44.652749999999997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1377.9889999999998</v>
      </c>
      <c r="F530" s="78">
        <f t="shared" ref="F530:H533" si="88">AVERAGE(F211,F215,F219)</f>
        <v>41.875733333333336</v>
      </c>
      <c r="G530" s="78">
        <f t="shared" si="88"/>
        <v>47.943733333333334</v>
      </c>
      <c r="H530" s="78">
        <f t="shared" si="88"/>
        <v>47.391333333333336</v>
      </c>
      <c r="I530" s="79"/>
      <c r="J530" s="79"/>
      <c r="K530" s="80"/>
      <c r="L530" s="29"/>
      <c r="M530" s="78">
        <f>M211+M215+M219</f>
        <v>1366.6010000000001</v>
      </c>
      <c r="N530" s="78">
        <f t="shared" ref="N530:P533" si="89">AVERAGE(N211,N215,N219)</f>
        <v>41.881333333333338</v>
      </c>
      <c r="O530" s="78">
        <f t="shared" si="89"/>
        <v>47.92596666666666</v>
      </c>
      <c r="P530" s="78">
        <f t="shared" si="89"/>
        <v>47.393499999999996</v>
      </c>
      <c r="Q530" s="79"/>
      <c r="R530" s="79"/>
      <c r="S530" s="80"/>
      <c r="U530" s="8">
        <f>bdrate($E530:$E533,F530:F533,$M530:$M533,N530:N533)</f>
        <v>-7.8775427275012966E-3</v>
      </c>
      <c r="V530" s="9">
        <f>bdrate($E530:$E533,G530:G533,$M530:$M533,O530:O533)</f>
        <v>-7.9834142086060433E-3</v>
      </c>
      <c r="W530" s="10">
        <f>bdrate($E530:$E533,H530:H533,$M530:$M533,P530:P533)</f>
        <v>-1.127516594768363E-2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579.99800000000005</v>
      </c>
      <c r="F531" s="70">
        <f t="shared" si="88"/>
        <v>40.895399999999995</v>
      </c>
      <c r="G531" s="70">
        <f t="shared" si="88"/>
        <v>46.922166666666669</v>
      </c>
      <c r="H531" s="70">
        <f t="shared" si="88"/>
        <v>46.409500000000001</v>
      </c>
      <c r="I531" s="66"/>
      <c r="J531" s="66"/>
      <c r="K531" s="67"/>
      <c r="L531" s="29"/>
      <c r="M531" s="70">
        <f>M212+M216+M220</f>
        <v>576.65200000000004</v>
      </c>
      <c r="N531" s="70">
        <f t="shared" si="89"/>
        <v>40.904266666666665</v>
      </c>
      <c r="O531" s="70">
        <f t="shared" si="89"/>
        <v>46.919099999999993</v>
      </c>
      <c r="P531" s="70">
        <f t="shared" si="89"/>
        <v>46.426800000000007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302.94100000000003</v>
      </c>
      <c r="F532" s="70">
        <f t="shared" si="88"/>
        <v>39.479366666666664</v>
      </c>
      <c r="G532" s="70">
        <f t="shared" si="88"/>
        <v>45.720766666666663</v>
      </c>
      <c r="H532" s="70">
        <f t="shared" si="88"/>
        <v>45.272833333333331</v>
      </c>
      <c r="I532" s="66"/>
      <c r="J532" s="66"/>
      <c r="K532" s="67"/>
      <c r="L532" s="29"/>
      <c r="M532" s="70">
        <f>M213+M217+M221</f>
        <v>302.59300000000002</v>
      </c>
      <c r="N532" s="70">
        <f t="shared" si="89"/>
        <v>39.495566666666669</v>
      </c>
      <c r="O532" s="70">
        <f t="shared" si="89"/>
        <v>45.752800000000001</v>
      </c>
      <c r="P532" s="70">
        <f t="shared" si="89"/>
        <v>45.282833333333336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169.96799999999999</v>
      </c>
      <c r="F533" s="81">
        <f t="shared" si="88"/>
        <v>37.67913333333334</v>
      </c>
      <c r="G533" s="81">
        <f t="shared" si="88"/>
        <v>44.619799999999998</v>
      </c>
      <c r="H533" s="81">
        <f t="shared" si="88"/>
        <v>44.226100000000002</v>
      </c>
      <c r="I533" s="68"/>
      <c r="J533" s="68"/>
      <c r="K533" s="69"/>
      <c r="L533" s="29"/>
      <c r="M533" s="81">
        <f>M214+M218+M222</f>
        <v>170.42600000000002</v>
      </c>
      <c r="N533" s="81">
        <f t="shared" si="89"/>
        <v>37.689933333333336</v>
      </c>
      <c r="O533" s="81">
        <f t="shared" si="89"/>
        <v>44.635266666666666</v>
      </c>
      <c r="P533" s="81">
        <f t="shared" si="89"/>
        <v>44.244400000000006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1230.3709999999999</v>
      </c>
      <c r="F534" s="78">
        <f t="shared" ref="F534:H537" si="90">AVERAGE(F235,F239,F243)</f>
        <v>43.135933333333334</v>
      </c>
      <c r="G534" s="78">
        <f t="shared" si="90"/>
        <v>48.75586666666667</v>
      </c>
      <c r="H534" s="78">
        <f t="shared" si="90"/>
        <v>48.176433333333335</v>
      </c>
      <c r="I534" s="79"/>
      <c r="J534" s="79"/>
      <c r="K534" s="80"/>
      <c r="L534" s="29"/>
      <c r="M534" s="78">
        <f>M211+M215+M223+M227</f>
        <v>1227.702</v>
      </c>
      <c r="N534" s="78">
        <f t="shared" ref="N534:P537" si="91">AVERAGE(N235,N239,N243)</f>
        <v>43.134533333333337</v>
      </c>
      <c r="O534" s="78">
        <f t="shared" si="91"/>
        <v>48.7577</v>
      </c>
      <c r="P534" s="78">
        <f t="shared" si="91"/>
        <v>48.129866666666665</v>
      </c>
      <c r="Q534" s="79"/>
      <c r="R534" s="79"/>
      <c r="S534" s="80"/>
      <c r="U534" s="8">
        <f>bdrate($E534:$E537,F534:F537,$M534:$M537,N534:N537)</f>
        <v>-2.4284301772966588E-3</v>
      </c>
      <c r="V534" s="9">
        <f>bdrate($E534:$E537,G534:G537,$M534:$M537,O534:O537)</f>
        <v>-5.0811164468959058E-3</v>
      </c>
      <c r="W534" s="10">
        <f>bdrate($E534:$E537,H534:H537,$M534:$M537,P534:P537)</f>
        <v>8.3180336792927356E-3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521.64200000000005</v>
      </c>
      <c r="F535" s="70">
        <f t="shared" si="90"/>
        <v>41.855266666666665</v>
      </c>
      <c r="G535" s="70">
        <f t="shared" si="90"/>
        <v>47.625300000000003</v>
      </c>
      <c r="H535" s="70">
        <f t="shared" si="90"/>
        <v>47.299533333333329</v>
      </c>
      <c r="I535" s="66"/>
      <c r="J535" s="66"/>
      <c r="K535" s="67"/>
      <c r="L535" s="29"/>
      <c r="M535" s="70">
        <f>M212+M216+M224+M228</f>
        <v>520.89800000000002</v>
      </c>
      <c r="N535" s="70">
        <f t="shared" si="91"/>
        <v>41.861466666666672</v>
      </c>
      <c r="O535" s="70">
        <f t="shared" si="91"/>
        <v>47.623799999999996</v>
      </c>
      <c r="P535" s="70">
        <f t="shared" si="91"/>
        <v>47.271566666666672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272.58</v>
      </c>
      <c r="F536" s="70">
        <f t="shared" si="90"/>
        <v>40.191566666666667</v>
      </c>
      <c r="G536" s="70">
        <f t="shared" si="90"/>
        <v>46.331933333333332</v>
      </c>
      <c r="H536" s="70">
        <f t="shared" si="90"/>
        <v>46.080933333333341</v>
      </c>
      <c r="I536" s="66"/>
      <c r="J536" s="66"/>
      <c r="K536" s="67"/>
      <c r="L536" s="29"/>
      <c r="M536" s="70">
        <f>M213+M217+M225+M229</f>
        <v>272.98999999999995</v>
      </c>
      <c r="N536" s="70">
        <f t="shared" si="91"/>
        <v>40.204333333333331</v>
      </c>
      <c r="O536" s="70">
        <f t="shared" si="91"/>
        <v>46.351700000000001</v>
      </c>
      <c r="P536" s="70">
        <f t="shared" si="91"/>
        <v>46.091966666666671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153.935</v>
      </c>
      <c r="F537" s="81">
        <f t="shared" si="90"/>
        <v>38.173433333333328</v>
      </c>
      <c r="G537" s="81">
        <f t="shared" si="90"/>
        <v>45.214233333333333</v>
      </c>
      <c r="H537" s="81">
        <f t="shared" si="90"/>
        <v>45.025666666666666</v>
      </c>
      <c r="I537" s="68"/>
      <c r="J537" s="68"/>
      <c r="K537" s="69"/>
      <c r="L537" s="29"/>
      <c r="M537" s="81">
        <f>M214+M218+M226+M230</f>
        <v>154.09800000000001</v>
      </c>
      <c r="N537" s="81">
        <f t="shared" si="91"/>
        <v>38.170099999999998</v>
      </c>
      <c r="O537" s="81">
        <f t="shared" si="91"/>
        <v>45.238</v>
      </c>
      <c r="P537" s="81">
        <f t="shared" si="91"/>
        <v>45.056999999999995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1589.645</v>
      </c>
      <c r="F538" s="78">
        <f t="shared" ref="F538:H541" si="92">AVERAGE(F235,F239,F243,F247,F251,F255)</f>
        <v>43.191883333333344</v>
      </c>
      <c r="G538" s="78">
        <f t="shared" si="92"/>
        <v>48.642583333333334</v>
      </c>
      <c r="H538" s="78">
        <f t="shared" si="92"/>
        <v>48.462400000000002</v>
      </c>
      <c r="I538" s="79"/>
      <c r="J538" s="79"/>
      <c r="K538" s="80"/>
      <c r="L538" s="29"/>
      <c r="M538" s="78">
        <f>M259</f>
        <v>1577.885</v>
      </c>
      <c r="N538" s="78">
        <f t="shared" ref="N538:P541" si="93">AVERAGE(N235,N239,N243,N247,N251,N255)</f>
        <v>43.193633333333338</v>
      </c>
      <c r="O538" s="78">
        <f t="shared" si="93"/>
        <v>48.620800000000003</v>
      </c>
      <c r="P538" s="78">
        <f t="shared" si="93"/>
        <v>48.438616666666668</v>
      </c>
      <c r="Q538" s="79"/>
      <c r="R538" s="79"/>
      <c r="S538" s="80"/>
      <c r="U538" s="8">
        <f>bdrate($E538:$E541,F538:F541,$M538:$M541,N538:N541)</f>
        <v>-4.5149528303062292E-3</v>
      </c>
      <c r="V538" s="9">
        <f>bdrate($E538:$E541,G538:G541,$M538:$M541,O538:O541)</f>
        <v>-4.3467463941070372E-3</v>
      </c>
      <c r="W538" s="10">
        <f>bdrate($E538:$E541,H538:H541,$M538:$M541,P538:P541)</f>
        <v>-2.3336009921635092E-3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669.66700000000003</v>
      </c>
      <c r="F539" s="70">
        <f t="shared" si="92"/>
        <v>41.937083333333334</v>
      </c>
      <c r="G539" s="70">
        <f t="shared" si="92"/>
        <v>47.543133333333337</v>
      </c>
      <c r="H539" s="70">
        <f t="shared" si="92"/>
        <v>47.463483333333329</v>
      </c>
      <c r="I539" s="66"/>
      <c r="J539" s="66"/>
      <c r="K539" s="67"/>
      <c r="L539" s="29"/>
      <c r="M539" s="70">
        <f>M260</f>
        <v>665.81399999999996</v>
      </c>
      <c r="N539" s="70">
        <f t="shared" si="93"/>
        <v>41.940466666666666</v>
      </c>
      <c r="O539" s="70">
        <f t="shared" si="93"/>
        <v>47.542566666666659</v>
      </c>
      <c r="P539" s="70">
        <f t="shared" si="93"/>
        <v>47.459300000000006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355.142</v>
      </c>
      <c r="F540" s="70">
        <f t="shared" si="92"/>
        <v>40.29025</v>
      </c>
      <c r="G540" s="70">
        <f t="shared" si="92"/>
        <v>46.2926</v>
      </c>
      <c r="H540" s="70">
        <f t="shared" si="92"/>
        <v>46.244550000000004</v>
      </c>
      <c r="I540" s="66"/>
      <c r="J540" s="66"/>
      <c r="K540" s="67"/>
      <c r="L540" s="29"/>
      <c r="M540" s="70">
        <f>M261</f>
        <v>354.40899999999999</v>
      </c>
      <c r="N540" s="70">
        <f t="shared" si="93"/>
        <v>40.297250000000005</v>
      </c>
      <c r="O540" s="70">
        <f t="shared" si="93"/>
        <v>46.299133333333337</v>
      </c>
      <c r="P540" s="70">
        <f t="shared" si="93"/>
        <v>46.256333333333338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203.721</v>
      </c>
      <c r="F541" s="81">
        <f t="shared" si="92"/>
        <v>38.28093333333333</v>
      </c>
      <c r="G541" s="81">
        <f t="shared" si="92"/>
        <v>45.133749999999999</v>
      </c>
      <c r="H541" s="81">
        <f t="shared" si="92"/>
        <v>45.163766666666675</v>
      </c>
      <c r="I541" s="68"/>
      <c r="J541" s="68"/>
      <c r="K541" s="69"/>
      <c r="L541" s="29"/>
      <c r="M541" s="81">
        <f>M262</f>
        <v>203.95500000000001</v>
      </c>
      <c r="N541" s="81">
        <f t="shared" si="93"/>
        <v>38.271700000000003</v>
      </c>
      <c r="O541" s="81">
        <f t="shared" si="93"/>
        <v>45.16793333333333</v>
      </c>
      <c r="P541" s="81">
        <f t="shared" si="93"/>
        <v>45.165133333333337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1230.3709999999999</v>
      </c>
      <c r="F542" s="78">
        <f t="shared" ref="F542:H545" si="95">AVERAGE(F211,F215,F235,F239,F243)</f>
        <v>42.670859999999998</v>
      </c>
      <c r="G542" s="78">
        <f t="shared" si="95"/>
        <v>48.56908</v>
      </c>
      <c r="H542" s="78">
        <f t="shared" si="95"/>
        <v>48.028300000000002</v>
      </c>
      <c r="I542" s="79"/>
      <c r="J542" s="79"/>
      <c r="K542" s="80"/>
      <c r="L542" s="29"/>
      <c r="M542" s="78">
        <f t="shared" ref="M542:M549" si="96">M534</f>
        <v>1227.702</v>
      </c>
      <c r="N542" s="78">
        <f t="shared" ref="N542:P545" si="97">AVERAGE(N211,N215,N235,N239,N243)</f>
        <v>42.671360000000007</v>
      </c>
      <c r="O542" s="78">
        <f t="shared" si="97"/>
        <v>48.566300000000005</v>
      </c>
      <c r="P542" s="78">
        <f t="shared" si="97"/>
        <v>48.002699999999997</v>
      </c>
      <c r="Q542" s="79"/>
      <c r="R542" s="79"/>
      <c r="S542" s="80"/>
      <c r="U542" s="8">
        <f>bdrate($E542:$E545,F542:F545,$M542:$M545,N542:N545)</f>
        <v>-2.9763099996246156E-3</v>
      </c>
      <c r="V542" s="9">
        <f>bdrate($E542:$E545,G542:G545,$M542:$M545,O542:O545)</f>
        <v>-5.2896667863003843E-3</v>
      </c>
      <c r="W542" s="10">
        <f>bdrate($E542:$E545,H542:H545,$M542:$M545,P542:P545)</f>
        <v>1.4339971571075694E-3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521.64200000000005</v>
      </c>
      <c r="F543" s="70">
        <f t="shared" si="95"/>
        <v>41.504560000000005</v>
      </c>
      <c r="G543" s="70">
        <f t="shared" si="95"/>
        <v>47.476539999999993</v>
      </c>
      <c r="H543" s="70">
        <f t="shared" si="95"/>
        <v>47.14396</v>
      </c>
      <c r="I543" s="66"/>
      <c r="J543" s="66"/>
      <c r="K543" s="67"/>
      <c r="L543" s="29"/>
      <c r="M543" s="70">
        <f t="shared" si="96"/>
        <v>520.89800000000002</v>
      </c>
      <c r="N543" s="70">
        <f t="shared" si="97"/>
        <v>41.511420000000001</v>
      </c>
      <c r="O543" s="70">
        <f t="shared" si="97"/>
        <v>47.473260000000003</v>
      </c>
      <c r="P543" s="70">
        <f t="shared" si="97"/>
        <v>47.134579999999993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272.58</v>
      </c>
      <c r="F544" s="70">
        <f t="shared" si="95"/>
        <v>39.935420000000001</v>
      </c>
      <c r="G544" s="70">
        <f t="shared" si="95"/>
        <v>46.167099999999998</v>
      </c>
      <c r="H544" s="70">
        <f t="shared" si="95"/>
        <v>45.9285</v>
      </c>
      <c r="I544" s="66"/>
      <c r="J544" s="66"/>
      <c r="K544" s="67"/>
      <c r="L544" s="29"/>
      <c r="M544" s="70">
        <f t="shared" si="96"/>
        <v>272.98999999999995</v>
      </c>
      <c r="N544" s="70">
        <f t="shared" si="97"/>
        <v>39.948279999999997</v>
      </c>
      <c r="O544" s="70">
        <f t="shared" si="97"/>
        <v>46.197700000000005</v>
      </c>
      <c r="P544" s="70">
        <f t="shared" si="97"/>
        <v>45.940359999999998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153.935</v>
      </c>
      <c r="F545" s="81">
        <f t="shared" si="95"/>
        <v>38.006340000000002</v>
      </c>
      <c r="G545" s="81">
        <f t="shared" si="95"/>
        <v>45.046059999999997</v>
      </c>
      <c r="H545" s="81">
        <f t="shared" si="95"/>
        <v>44.87276</v>
      </c>
      <c r="I545" s="68"/>
      <c r="J545" s="68"/>
      <c r="K545" s="69"/>
      <c r="L545" s="29"/>
      <c r="M545" s="81">
        <f t="shared" si="96"/>
        <v>154.09800000000001</v>
      </c>
      <c r="N545" s="81">
        <f t="shared" si="97"/>
        <v>38.006279999999997</v>
      </c>
      <c r="O545" s="81">
        <f t="shared" si="97"/>
        <v>45.0533</v>
      </c>
      <c r="P545" s="81">
        <f t="shared" si="97"/>
        <v>44.895299999999999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1589.645</v>
      </c>
      <c r="F546" s="78">
        <f t="shared" ref="F546:H549" si="98">AVERAGE(F211,F215,F219,F235,F239,F243,F247,F251,F255)</f>
        <v>42.753166666666665</v>
      </c>
      <c r="G546" s="78">
        <f t="shared" si="98"/>
        <v>48.409633333333332</v>
      </c>
      <c r="H546" s="78">
        <f t="shared" si="98"/>
        <v>48.105377777777775</v>
      </c>
      <c r="I546" s="79"/>
      <c r="J546" s="79"/>
      <c r="K546" s="80"/>
      <c r="L546" s="29"/>
      <c r="M546" s="78">
        <f t="shared" si="96"/>
        <v>1577.885</v>
      </c>
      <c r="N546" s="78">
        <f t="shared" ref="N546:P549" si="99">AVERAGE(N211,N215,N219,N235,N239,N243,N247,N251,N255)</f>
        <v>42.7562</v>
      </c>
      <c r="O546" s="78">
        <f t="shared" si="99"/>
        <v>48.389188888888889</v>
      </c>
      <c r="P546" s="78">
        <f t="shared" si="99"/>
        <v>48.090244444444444</v>
      </c>
      <c r="Q546" s="79"/>
      <c r="R546" s="79"/>
      <c r="S546" s="80"/>
      <c r="U546" s="8">
        <f>bdrate($E546:$E549,F546:F549,$M546:$M549,N546:N549)</f>
        <v>-5.6614452404116777E-3</v>
      </c>
      <c r="V546" s="9">
        <f>bdrate($E546:$E549,G546:G549,$M546:$M549,O546:O549)</f>
        <v>-5.5822205353039944E-3</v>
      </c>
      <c r="W546" s="10">
        <f>bdrate($E546:$E549,H546:H549,$M546:$M549,P546:P549)</f>
        <v>-5.315615626087733E-3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669.66700000000003</v>
      </c>
      <c r="F547" s="70">
        <f t="shared" si="98"/>
        <v>41.589855555555559</v>
      </c>
      <c r="G547" s="70">
        <f t="shared" si="98"/>
        <v>47.336144444444443</v>
      </c>
      <c r="H547" s="70">
        <f t="shared" si="98"/>
        <v>47.112155555555546</v>
      </c>
      <c r="I547" s="66"/>
      <c r="J547" s="66"/>
      <c r="K547" s="67"/>
      <c r="L547" s="29"/>
      <c r="M547" s="70">
        <f t="shared" si="96"/>
        <v>665.81399999999996</v>
      </c>
      <c r="N547" s="70">
        <f t="shared" si="99"/>
        <v>41.595066666666668</v>
      </c>
      <c r="O547" s="70">
        <f t="shared" si="99"/>
        <v>47.334744444444439</v>
      </c>
      <c r="P547" s="70">
        <f t="shared" si="99"/>
        <v>47.115133333333326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355.142</v>
      </c>
      <c r="F548" s="70">
        <f t="shared" si="98"/>
        <v>40.019955555555555</v>
      </c>
      <c r="G548" s="70">
        <f t="shared" si="98"/>
        <v>46.10198888888889</v>
      </c>
      <c r="H548" s="70">
        <f t="shared" si="98"/>
        <v>45.920644444444449</v>
      </c>
      <c r="I548" s="66"/>
      <c r="J548" s="66"/>
      <c r="K548" s="67"/>
      <c r="L548" s="29"/>
      <c r="M548" s="70">
        <f t="shared" si="96"/>
        <v>354.40899999999999</v>
      </c>
      <c r="N548" s="70">
        <f t="shared" si="99"/>
        <v>40.030022222222229</v>
      </c>
      <c r="O548" s="70">
        <f t="shared" si="99"/>
        <v>46.117022222222218</v>
      </c>
      <c r="P548" s="70">
        <f t="shared" si="99"/>
        <v>45.931833333333344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203.721</v>
      </c>
      <c r="F549" s="81">
        <f t="shared" si="98"/>
        <v>38.080333333333328</v>
      </c>
      <c r="G549" s="81">
        <f t="shared" si="98"/>
        <v>44.962433333333337</v>
      </c>
      <c r="H549" s="81">
        <f t="shared" si="98"/>
        <v>44.851211111111105</v>
      </c>
      <c r="I549" s="68"/>
      <c r="J549" s="68"/>
      <c r="K549" s="69"/>
      <c r="L549" s="29"/>
      <c r="M549" s="81">
        <f t="shared" si="96"/>
        <v>203.95500000000001</v>
      </c>
      <c r="N549" s="81">
        <f t="shared" si="99"/>
        <v>38.077777777777776</v>
      </c>
      <c r="O549" s="81">
        <f t="shared" si="99"/>
        <v>44.990377777777773</v>
      </c>
      <c r="P549" s="81">
        <f t="shared" si="99"/>
        <v>44.858222222222224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3198.4808000000003</v>
      </c>
      <c r="F550" s="78">
        <f t="shared" ref="F550:H553" si="100">AVERAGE(F263,F267)</f>
        <v>39.412999999999997</v>
      </c>
      <c r="G550" s="78">
        <f t="shared" si="100"/>
        <v>46.6721</v>
      </c>
      <c r="H550" s="78">
        <f t="shared" si="100"/>
        <v>45.341450000000002</v>
      </c>
      <c r="I550" s="79"/>
      <c r="J550" s="79"/>
      <c r="K550" s="80"/>
      <c r="L550" s="29"/>
      <c r="M550" s="82">
        <f>M263+M267</f>
        <v>3199.8296</v>
      </c>
      <c r="N550" s="78">
        <f t="shared" ref="N550:P553" si="101">AVERAGE(N263,N267)</f>
        <v>39.415949999999995</v>
      </c>
      <c r="O550" s="78">
        <f t="shared" si="101"/>
        <v>46.655999999999999</v>
      </c>
      <c r="P550" s="78">
        <f t="shared" si="101"/>
        <v>45.332450000000001</v>
      </c>
      <c r="Q550" s="79"/>
      <c r="R550" s="79"/>
      <c r="S550" s="80"/>
      <c r="U550" s="8">
        <f>bdrate($E550:$E553,F550:F553,$M550:$M553,N550:N553)</f>
        <v>-4.344085634155892E-4</v>
      </c>
      <c r="V550" s="9">
        <f>bdrate($E550:$E553,G550:G553,$M550:$M553,O550:O553)</f>
        <v>-1.3188569503167491E-3</v>
      </c>
      <c r="W550" s="10">
        <f>bdrate($E550:$E553,H550:H553,$M550:$M553,P550:P553)</f>
        <v>4.0088984020769658E-4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1182.8335999999999</v>
      </c>
      <c r="F551" s="70">
        <f t="shared" si="100"/>
        <v>37.492750000000001</v>
      </c>
      <c r="G551" s="70">
        <f t="shared" si="100"/>
        <v>45.225300000000004</v>
      </c>
      <c r="H551" s="70">
        <f t="shared" si="100"/>
        <v>43.7941</v>
      </c>
      <c r="I551" s="66"/>
      <c r="J551" s="66"/>
      <c r="K551" s="67"/>
      <c r="L551" s="29"/>
      <c r="M551" s="83">
        <f>M264+M268</f>
        <v>1182.5288</v>
      </c>
      <c r="N551" s="70">
        <f t="shared" si="101"/>
        <v>37.493949999999998</v>
      </c>
      <c r="O551" s="70">
        <f t="shared" si="101"/>
        <v>45.220200000000006</v>
      </c>
      <c r="P551" s="70">
        <f t="shared" si="101"/>
        <v>43.786349999999999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551.72320000000002</v>
      </c>
      <c r="F552" s="70">
        <f t="shared" si="100"/>
        <v>35.531300000000002</v>
      </c>
      <c r="G552" s="70">
        <f t="shared" si="100"/>
        <v>43.594149999999999</v>
      </c>
      <c r="H552" s="70">
        <f t="shared" si="100"/>
        <v>42.274249999999995</v>
      </c>
      <c r="I552" s="66"/>
      <c r="J552" s="66"/>
      <c r="K552" s="67"/>
      <c r="L552" s="29"/>
      <c r="M552" s="83">
        <f>M265+M269</f>
        <v>551.85360000000003</v>
      </c>
      <c r="N552" s="70">
        <f t="shared" si="101"/>
        <v>35.534149999999997</v>
      </c>
      <c r="O552" s="70">
        <f t="shared" si="101"/>
        <v>43.611000000000004</v>
      </c>
      <c r="P552" s="70">
        <f t="shared" si="101"/>
        <v>42.2941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282.02960000000002</v>
      </c>
      <c r="F553" s="81">
        <f t="shared" si="100"/>
        <v>33.487449999999995</v>
      </c>
      <c r="G553" s="81">
        <f t="shared" si="100"/>
        <v>42.3765</v>
      </c>
      <c r="H553" s="81">
        <f t="shared" si="100"/>
        <v>41.1937</v>
      </c>
      <c r="I553" s="68"/>
      <c r="J553" s="68"/>
      <c r="K553" s="69"/>
      <c r="L553" s="29"/>
      <c r="M553" s="84">
        <f>M266+M270</f>
        <v>282.41919999999999</v>
      </c>
      <c r="N553" s="81">
        <f t="shared" si="101"/>
        <v>33.484049999999996</v>
      </c>
      <c r="O553" s="81">
        <f t="shared" si="101"/>
        <v>42.396999999999998</v>
      </c>
      <c r="P553" s="81">
        <f t="shared" si="101"/>
        <v>41.174900000000001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3953.1680000000001</v>
      </c>
      <c r="F554" s="78">
        <f t="shared" ref="F554:H557" si="102">AVERAGE(F263,F267,F271)</f>
        <v>39.243299999999998</v>
      </c>
      <c r="G554" s="78">
        <f t="shared" si="102"/>
        <v>46.589666666666666</v>
      </c>
      <c r="H554" s="78">
        <f t="shared" si="102"/>
        <v>45.603000000000002</v>
      </c>
      <c r="I554" s="79"/>
      <c r="J554" s="79"/>
      <c r="K554" s="80"/>
      <c r="L554" s="29"/>
      <c r="M554" s="78">
        <f>M263+M267+M271</f>
        <v>3952.4704000000002</v>
      </c>
      <c r="N554" s="78">
        <f t="shared" ref="N554:P557" si="103">AVERAGE(N263,N267,N271)</f>
        <v>39.247033333333327</v>
      </c>
      <c r="O554" s="78">
        <f t="shared" si="103"/>
        <v>46.5702</v>
      </c>
      <c r="P554" s="78">
        <f t="shared" si="103"/>
        <v>45.592099999999995</v>
      </c>
      <c r="Q554" s="79"/>
      <c r="R554" s="79"/>
      <c r="S554" s="80"/>
      <c r="U554" s="8">
        <f>bdrate($E554:$E557,F554:F557,$M554:$M557,N554:N557)</f>
        <v>-1.7406002394654285E-3</v>
      </c>
      <c r="V554" s="9">
        <f>bdrate($E554:$E557,G554:G557,$M554:$M557,O554:O557)</f>
        <v>-6.4200448620366224E-4</v>
      </c>
      <c r="W554" s="10">
        <f>bdrate($E554:$E557,H554:H557,$M554:$M557,P554:P557)</f>
        <v>1.6905607630850472E-3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1410.1584</v>
      </c>
      <c r="F555" s="70">
        <f t="shared" si="102"/>
        <v>37.297200000000004</v>
      </c>
      <c r="G555" s="70">
        <f t="shared" si="102"/>
        <v>45.144300000000008</v>
      </c>
      <c r="H555" s="70">
        <f t="shared" si="102"/>
        <v>44.090766666666667</v>
      </c>
      <c r="I555" s="66"/>
      <c r="J555" s="66"/>
      <c r="K555" s="67"/>
      <c r="L555" s="29"/>
      <c r="M555" s="70">
        <f>M264+M268+M272</f>
        <v>1409.5440000000001</v>
      </c>
      <c r="N555" s="70">
        <f t="shared" si="103"/>
        <v>37.299900000000001</v>
      </c>
      <c r="O555" s="70">
        <f t="shared" si="103"/>
        <v>45.136000000000003</v>
      </c>
      <c r="P555" s="70">
        <f t="shared" si="103"/>
        <v>44.082099999999997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644.47519999999997</v>
      </c>
      <c r="F556" s="70">
        <f t="shared" si="102"/>
        <v>35.330266666666667</v>
      </c>
      <c r="G556" s="70">
        <f t="shared" si="102"/>
        <v>43.551866666666662</v>
      </c>
      <c r="H556" s="70">
        <f t="shared" si="102"/>
        <v>42.548299999999998</v>
      </c>
      <c r="I556" s="66"/>
      <c r="J556" s="66"/>
      <c r="K556" s="67"/>
      <c r="L556" s="29"/>
      <c r="M556" s="70">
        <f>M265+M269+M273</f>
        <v>643.53920000000005</v>
      </c>
      <c r="N556" s="70">
        <f t="shared" si="103"/>
        <v>35.334633333333329</v>
      </c>
      <c r="O556" s="70">
        <f t="shared" si="103"/>
        <v>43.564433333333341</v>
      </c>
      <c r="P556" s="70">
        <f t="shared" si="103"/>
        <v>42.561233333333334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323.69440000000003</v>
      </c>
      <c r="F557" s="81">
        <f t="shared" si="102"/>
        <v>33.293833333333332</v>
      </c>
      <c r="G557" s="81">
        <f t="shared" si="102"/>
        <v>42.336233333333332</v>
      </c>
      <c r="H557" s="81">
        <f t="shared" si="102"/>
        <v>41.421300000000002</v>
      </c>
      <c r="I557" s="68"/>
      <c r="J557" s="68"/>
      <c r="K557" s="69"/>
      <c r="L557" s="29"/>
      <c r="M557" s="81">
        <f>M266+M270+M274</f>
        <v>324.45119999999997</v>
      </c>
      <c r="N557" s="81">
        <f t="shared" si="103"/>
        <v>33.293166666666664</v>
      </c>
      <c r="O557" s="81">
        <f t="shared" si="103"/>
        <v>42.36613333333333</v>
      </c>
      <c r="P557" s="81">
        <f t="shared" si="103"/>
        <v>41.398666666666664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3457.1816000000003</v>
      </c>
      <c r="F558" s="78">
        <f t="shared" ref="F558:H561" si="104">AVERAGE(F287,F291,F295)</f>
        <v>40.281466666666667</v>
      </c>
      <c r="G558" s="78">
        <f t="shared" si="104"/>
        <v>47.098666666666666</v>
      </c>
      <c r="H558" s="78">
        <f t="shared" si="104"/>
        <v>46.635799999999996</v>
      </c>
      <c r="I558" s="79"/>
      <c r="J558" s="79"/>
      <c r="K558" s="80"/>
      <c r="L558" s="29"/>
      <c r="M558" s="78">
        <f>M263+M267+M275+M279</f>
        <v>3458.8768</v>
      </c>
      <c r="N558" s="78">
        <f t="shared" ref="N558:P561" si="105">AVERAGE(N287,N291,N295)</f>
        <v>40.282599999999995</v>
      </c>
      <c r="O558" s="78">
        <f t="shared" si="105"/>
        <v>47.063233333333336</v>
      </c>
      <c r="P558" s="78">
        <f t="shared" si="105"/>
        <v>46.614266666666673</v>
      </c>
      <c r="Q558" s="79"/>
      <c r="R558" s="79"/>
      <c r="S558" s="80"/>
      <c r="U558" s="8">
        <f>bdrate($E558:$E561,F558:F561,$M558:$M561,N558:N561)</f>
        <v>-4.1285906456911547E-5</v>
      </c>
      <c r="V558" s="9">
        <f>bdrate($E558:$E561,G558:G561,$M558:$M561,O558:O561)</f>
        <v>-7.421777741495994E-3</v>
      </c>
      <c r="W558" s="10">
        <f>bdrate($E558:$E561,H558:H561,$M558:$M561,P558:P561)</f>
        <v>3.705495954091198E-3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1267.912</v>
      </c>
      <c r="F559" s="70">
        <f t="shared" si="104"/>
        <v>38.126133333333335</v>
      </c>
      <c r="G559" s="70">
        <f t="shared" si="104"/>
        <v>45.62683333333333</v>
      </c>
      <c r="H559" s="70">
        <f t="shared" si="104"/>
        <v>45.039133333333332</v>
      </c>
      <c r="I559" s="66"/>
      <c r="J559" s="66"/>
      <c r="K559" s="67"/>
      <c r="L559" s="29"/>
      <c r="M559" s="70">
        <f>M264+M268+M276+M280</f>
        <v>1268.0160000000001</v>
      </c>
      <c r="N559" s="70">
        <f t="shared" si="105"/>
        <v>38.126933333333334</v>
      </c>
      <c r="O559" s="70">
        <f t="shared" si="105"/>
        <v>45.615333333333332</v>
      </c>
      <c r="P559" s="70">
        <f t="shared" si="105"/>
        <v>45.005733333333332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593.20640000000003</v>
      </c>
      <c r="F560" s="70">
        <f t="shared" si="104"/>
        <v>36.022099999999995</v>
      </c>
      <c r="G560" s="70">
        <f t="shared" si="104"/>
        <v>43.927833333333332</v>
      </c>
      <c r="H560" s="70">
        <f t="shared" si="104"/>
        <v>43.420266666666663</v>
      </c>
      <c r="I560" s="66"/>
      <c r="J560" s="66"/>
      <c r="K560" s="67"/>
      <c r="L560" s="29"/>
      <c r="M560" s="70">
        <f>M265+M269+M277+M281</f>
        <v>593.41920000000005</v>
      </c>
      <c r="N560" s="70">
        <f t="shared" si="105"/>
        <v>36.025200000000005</v>
      </c>
      <c r="O560" s="70">
        <f t="shared" si="105"/>
        <v>43.988533333333329</v>
      </c>
      <c r="P560" s="70">
        <f t="shared" si="105"/>
        <v>43.463933333333337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306.17040000000003</v>
      </c>
      <c r="F561" s="81">
        <f t="shared" si="104"/>
        <v>33.855399999999996</v>
      </c>
      <c r="G561" s="81">
        <f t="shared" si="104"/>
        <v>42.669066666666673</v>
      </c>
      <c r="H561" s="81">
        <f t="shared" si="104"/>
        <v>42.323733333333337</v>
      </c>
      <c r="I561" s="68"/>
      <c r="J561" s="68"/>
      <c r="K561" s="69"/>
      <c r="L561" s="29"/>
      <c r="M561" s="81">
        <f>M266+M270+M278+M282</f>
        <v>306.41360000000003</v>
      </c>
      <c r="N561" s="81">
        <f t="shared" si="105"/>
        <v>33.849400000000003</v>
      </c>
      <c r="O561" s="81">
        <f t="shared" si="105"/>
        <v>42.7254</v>
      </c>
      <c r="P561" s="81">
        <f t="shared" si="105"/>
        <v>42.302233333333334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4326.4128000000001</v>
      </c>
      <c r="F562" s="78">
        <f t="shared" ref="F562:H565" si="106">AVERAGE(F287,F291,F295,F299,F303,F307)</f>
        <v>40.225050000000003</v>
      </c>
      <c r="G562" s="78">
        <f t="shared" si="106"/>
        <v>46.992600000000003</v>
      </c>
      <c r="H562" s="78">
        <f t="shared" si="106"/>
        <v>46.687916666666666</v>
      </c>
      <c r="I562" s="79"/>
      <c r="J562" s="79"/>
      <c r="K562" s="80"/>
      <c r="L562" s="29"/>
      <c r="M562" s="78">
        <f>M311</f>
        <v>4326.8263999999999</v>
      </c>
      <c r="N562" s="78">
        <f t="shared" ref="N562:P565" si="107">AVERAGE(N287,N291,N295,N299,N303,N307)</f>
        <v>40.230533333333334</v>
      </c>
      <c r="O562" s="78">
        <f t="shared" si="107"/>
        <v>46.981133333333332</v>
      </c>
      <c r="P562" s="78">
        <f t="shared" si="107"/>
        <v>46.676933333333331</v>
      </c>
      <c r="Q562" s="79"/>
      <c r="R562" s="79"/>
      <c r="S562" s="80"/>
      <c r="U562" s="8">
        <f>bdrate($E562:$E565,F562:F565,$M562:$M565,N562:N565)</f>
        <v>-5.9628943467271434E-4</v>
      </c>
      <c r="V562" s="9">
        <f>bdrate($E562:$E565,G562:G565,$M562:$M565,O562:O565)</f>
        <v>-8.0528104907179321E-3</v>
      </c>
      <c r="W562" s="10">
        <f>bdrate($E562:$E565,H562:H565,$M562:$M565,P562:P565)</f>
        <v>4.8338455921133061E-3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1532.0896</v>
      </c>
      <c r="F563" s="70">
        <f t="shared" si="106"/>
        <v>38.049716666666669</v>
      </c>
      <c r="G563" s="70">
        <f t="shared" si="106"/>
        <v>45.535400000000003</v>
      </c>
      <c r="H563" s="70">
        <f t="shared" si="106"/>
        <v>45.097016666666669</v>
      </c>
      <c r="I563" s="66"/>
      <c r="J563" s="66"/>
      <c r="K563" s="67"/>
      <c r="L563" s="29"/>
      <c r="M563" s="70">
        <f>M312</f>
        <v>1531.8440000000001</v>
      </c>
      <c r="N563" s="70">
        <f t="shared" si="107"/>
        <v>38.048999999999999</v>
      </c>
      <c r="O563" s="70">
        <f t="shared" si="107"/>
        <v>45.525283333333334</v>
      </c>
      <c r="P563" s="70">
        <f t="shared" si="107"/>
        <v>45.068650000000012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705.13279999999997</v>
      </c>
      <c r="F564" s="70">
        <f t="shared" si="106"/>
        <v>35.947249999999997</v>
      </c>
      <c r="G564" s="70">
        <f t="shared" si="106"/>
        <v>43.826916666666669</v>
      </c>
      <c r="H564" s="70">
        <f t="shared" si="106"/>
        <v>43.421700000000008</v>
      </c>
      <c r="I564" s="66"/>
      <c r="J564" s="66"/>
      <c r="K564" s="67"/>
      <c r="L564" s="29"/>
      <c r="M564" s="70">
        <f>M313</f>
        <v>704.23360000000002</v>
      </c>
      <c r="N564" s="70">
        <f t="shared" si="107"/>
        <v>35.948799999999999</v>
      </c>
      <c r="O564" s="70">
        <f t="shared" si="107"/>
        <v>43.877600000000001</v>
      </c>
      <c r="P564" s="70">
        <f t="shared" si="107"/>
        <v>43.442600000000006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360.86399999999998</v>
      </c>
      <c r="F565" s="81">
        <f t="shared" si="106"/>
        <v>33.776666666666664</v>
      </c>
      <c r="G565" s="81">
        <f t="shared" si="106"/>
        <v>42.566683333333337</v>
      </c>
      <c r="H565" s="81">
        <f t="shared" si="106"/>
        <v>42.228850000000001</v>
      </c>
      <c r="I565" s="68"/>
      <c r="J565" s="68"/>
      <c r="K565" s="69"/>
      <c r="L565" s="29"/>
      <c r="M565" s="81">
        <f>M314</f>
        <v>361.39519999999999</v>
      </c>
      <c r="N565" s="81">
        <f t="shared" si="107"/>
        <v>33.7712</v>
      </c>
      <c r="O565" s="81">
        <f t="shared" si="107"/>
        <v>42.605533333333334</v>
      </c>
      <c r="P565" s="81">
        <f t="shared" si="107"/>
        <v>42.206116666666667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3457.1816000000003</v>
      </c>
      <c r="F566" s="78">
        <f t="shared" ref="F566:H569" si="109">AVERAGE(F263,F267,F287,F291,F295)</f>
        <v>39.934080000000002</v>
      </c>
      <c r="G566" s="78">
        <f t="shared" si="109"/>
        <v>46.928039999999996</v>
      </c>
      <c r="H566" s="78">
        <f t="shared" si="109"/>
        <v>46.11806</v>
      </c>
      <c r="I566" s="79"/>
      <c r="J566" s="79"/>
      <c r="K566" s="80"/>
      <c r="L566" s="29"/>
      <c r="M566" s="78">
        <f t="shared" ref="M566:M573" si="110">M558</f>
        <v>3458.8768</v>
      </c>
      <c r="N566" s="78">
        <f t="shared" ref="N566:P569" si="111">AVERAGE(N263,N267,N287,N291,N295)</f>
        <v>39.935939999999995</v>
      </c>
      <c r="O566" s="78">
        <f t="shared" si="111"/>
        <v>46.90034</v>
      </c>
      <c r="P566" s="78">
        <f t="shared" si="111"/>
        <v>46.10154</v>
      </c>
      <c r="Q566" s="79"/>
      <c r="R566" s="79"/>
      <c r="S566" s="80"/>
      <c r="U566" s="8">
        <f>bdrate($E566:$E569,F566:F569,$M566:$M569,N566:N569)</f>
        <v>-1.5275352686505705E-4</v>
      </c>
      <c r="V566" s="9">
        <f>bdrate($E566:$E569,G566:G569,$M566:$M569,O566:O569)</f>
        <v>-4.9383605493604765E-3</v>
      </c>
      <c r="W566" s="10">
        <f>bdrate($E566:$E569,H566:H569,$M566:$M569,P566:P569)</f>
        <v>2.4842725172387059E-3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1267.912</v>
      </c>
      <c r="F567" s="70">
        <f t="shared" si="109"/>
        <v>37.872779999999999</v>
      </c>
      <c r="G567" s="70">
        <f t="shared" si="109"/>
        <v>45.46622</v>
      </c>
      <c r="H567" s="70">
        <f t="shared" si="109"/>
        <v>44.541119999999999</v>
      </c>
      <c r="I567" s="66"/>
      <c r="J567" s="66"/>
      <c r="K567" s="67"/>
      <c r="L567" s="29"/>
      <c r="M567" s="70">
        <f t="shared" si="110"/>
        <v>1268.0160000000001</v>
      </c>
      <c r="N567" s="70">
        <f t="shared" si="111"/>
        <v>37.873739999999998</v>
      </c>
      <c r="O567" s="70">
        <f t="shared" si="111"/>
        <v>45.457280000000004</v>
      </c>
      <c r="P567" s="70">
        <f t="shared" si="111"/>
        <v>44.517980000000001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593.20640000000003</v>
      </c>
      <c r="F568" s="70">
        <f t="shared" si="109"/>
        <v>35.825779999999995</v>
      </c>
      <c r="G568" s="70">
        <f t="shared" si="109"/>
        <v>43.794359999999998</v>
      </c>
      <c r="H568" s="70">
        <f t="shared" si="109"/>
        <v>42.961859999999994</v>
      </c>
      <c r="I568" s="66"/>
      <c r="J568" s="66"/>
      <c r="K568" s="67"/>
      <c r="L568" s="29"/>
      <c r="M568" s="70">
        <f t="shared" si="110"/>
        <v>593.41920000000005</v>
      </c>
      <c r="N568" s="70">
        <f t="shared" si="111"/>
        <v>35.828780000000002</v>
      </c>
      <c r="O568" s="70">
        <f t="shared" si="111"/>
        <v>43.837519999999998</v>
      </c>
      <c r="P568" s="70">
        <f t="shared" si="111"/>
        <v>42.996000000000002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306.17040000000003</v>
      </c>
      <c r="F569" s="81">
        <f t="shared" si="109"/>
        <v>33.708219999999997</v>
      </c>
      <c r="G569" s="81">
        <f t="shared" si="109"/>
        <v>42.552039999999998</v>
      </c>
      <c r="H569" s="81">
        <f t="shared" si="109"/>
        <v>41.871719999999996</v>
      </c>
      <c r="I569" s="68"/>
      <c r="J569" s="68"/>
      <c r="K569" s="69"/>
      <c r="L569" s="29"/>
      <c r="M569" s="81">
        <f t="shared" si="110"/>
        <v>306.41360000000003</v>
      </c>
      <c r="N569" s="81">
        <f t="shared" si="111"/>
        <v>33.70326</v>
      </c>
      <c r="O569" s="81">
        <f t="shared" si="111"/>
        <v>42.59404</v>
      </c>
      <c r="P569" s="81">
        <f t="shared" si="111"/>
        <v>41.851299999999995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4326.4128000000001</v>
      </c>
      <c r="F570" s="78">
        <f t="shared" ref="F570:H573" si="112">AVERAGE(F263,F267,F271,F287,F291,F295,F299,F303,F307)</f>
        <v>39.897799999999989</v>
      </c>
      <c r="G570" s="78">
        <f t="shared" si="112"/>
        <v>46.858288888888893</v>
      </c>
      <c r="H570" s="78">
        <f t="shared" si="112"/>
        <v>46.326277777777783</v>
      </c>
      <c r="I570" s="79"/>
      <c r="J570" s="79"/>
      <c r="K570" s="80"/>
      <c r="L570" s="29"/>
      <c r="M570" s="78">
        <f t="shared" si="110"/>
        <v>4326.8263999999999</v>
      </c>
      <c r="N570" s="78">
        <f t="shared" ref="N570:P573" si="113">AVERAGE(N263,N267,N271,N287,N291,N295,N299,N303,N307)</f>
        <v>39.902699999999996</v>
      </c>
      <c r="O570" s="78">
        <f t="shared" si="113"/>
        <v>46.844155555555552</v>
      </c>
      <c r="P570" s="78">
        <f t="shared" si="113"/>
        <v>46.315322222222221</v>
      </c>
      <c r="Q570" s="79"/>
      <c r="R570" s="79"/>
      <c r="S570" s="80"/>
      <c r="U570" s="8">
        <f>bdrate($E570:$E573,F570:F573,$M570:$M573,N570:N573)</f>
        <v>-9.2815911073718116E-4</v>
      </c>
      <c r="V570" s="9">
        <f>bdrate($E570:$E573,G570:G573,$M570:$M573,O570:O573)</f>
        <v>-5.5643976551811303E-3</v>
      </c>
      <c r="W570" s="10">
        <f>bdrate($E570:$E573,H570:H573,$M570:$M573,P570:P573)</f>
        <v>3.8781413665192055E-3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1532.0896</v>
      </c>
      <c r="F571" s="70">
        <f t="shared" si="112"/>
        <v>37.798877777777776</v>
      </c>
      <c r="G571" s="70">
        <f t="shared" si="112"/>
        <v>45.405033333333336</v>
      </c>
      <c r="H571" s="70">
        <f t="shared" si="112"/>
        <v>44.761600000000001</v>
      </c>
      <c r="I571" s="66"/>
      <c r="J571" s="66"/>
      <c r="K571" s="67"/>
      <c r="L571" s="29"/>
      <c r="M571" s="70">
        <f t="shared" si="110"/>
        <v>1531.8440000000001</v>
      </c>
      <c r="N571" s="70">
        <f t="shared" si="113"/>
        <v>37.799300000000002</v>
      </c>
      <c r="O571" s="70">
        <f t="shared" si="113"/>
        <v>45.395522222222226</v>
      </c>
      <c r="P571" s="70">
        <f t="shared" si="113"/>
        <v>44.739799999999995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705.13279999999997</v>
      </c>
      <c r="F572" s="70">
        <f t="shared" si="112"/>
        <v>35.741588888888892</v>
      </c>
      <c r="G572" s="70">
        <f t="shared" si="112"/>
        <v>43.735233333333333</v>
      </c>
      <c r="H572" s="70">
        <f t="shared" si="112"/>
        <v>43.130566666666667</v>
      </c>
      <c r="I572" s="66"/>
      <c r="J572" s="66"/>
      <c r="K572" s="67"/>
      <c r="L572" s="29"/>
      <c r="M572" s="70">
        <f t="shared" si="110"/>
        <v>704.23360000000002</v>
      </c>
      <c r="N572" s="70">
        <f t="shared" si="113"/>
        <v>35.744077777777783</v>
      </c>
      <c r="O572" s="70">
        <f t="shared" si="113"/>
        <v>43.773211111111117</v>
      </c>
      <c r="P572" s="70">
        <f t="shared" si="113"/>
        <v>43.148811111111108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360.86399999999998</v>
      </c>
      <c r="F573" s="81">
        <f t="shared" si="112"/>
        <v>33.615722222222217</v>
      </c>
      <c r="G573" s="81">
        <f t="shared" si="112"/>
        <v>42.489866666666671</v>
      </c>
      <c r="H573" s="81">
        <f t="shared" si="112"/>
        <v>41.959666666666664</v>
      </c>
      <c r="I573" s="68"/>
      <c r="J573" s="68"/>
      <c r="K573" s="69"/>
      <c r="L573" s="29"/>
      <c r="M573" s="81">
        <f t="shared" si="110"/>
        <v>361.39519999999999</v>
      </c>
      <c r="N573" s="81">
        <f t="shared" si="113"/>
        <v>33.61185555555555</v>
      </c>
      <c r="O573" s="81">
        <f t="shared" si="113"/>
        <v>42.525733333333335</v>
      </c>
      <c r="P573" s="81">
        <f t="shared" si="113"/>
        <v>41.936966666666663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5670.2160000000003</v>
      </c>
      <c r="F574" s="78">
        <f t="shared" ref="F574:H577" si="114">AVERAGE(F315,F319)</f>
        <v>38.374899999999997</v>
      </c>
      <c r="G574" s="78">
        <f t="shared" si="114"/>
        <v>46.607300000000002</v>
      </c>
      <c r="H574" s="78">
        <f t="shared" si="114"/>
        <v>45.96555</v>
      </c>
      <c r="I574" s="79"/>
      <c r="J574" s="79"/>
      <c r="K574" s="80"/>
      <c r="L574" s="29"/>
      <c r="M574" s="82">
        <f>M315+M319</f>
        <v>5671.8055999999997</v>
      </c>
      <c r="N574" s="78">
        <f t="shared" ref="N574:P577" si="115">AVERAGE(N315,N319)</f>
        <v>38.376300000000001</v>
      </c>
      <c r="O574" s="78">
        <f t="shared" si="115"/>
        <v>46.604849999999999</v>
      </c>
      <c r="P574" s="78">
        <f t="shared" si="115"/>
        <v>45.962500000000006</v>
      </c>
      <c r="Q574" s="79"/>
      <c r="R574" s="79"/>
      <c r="S574" s="80"/>
      <c r="U574" s="8">
        <f>bdrate($E574:$E577,F574:F577,$M574:$M577,N574:N577)</f>
        <v>3.8446032616290537E-4</v>
      </c>
      <c r="V574" s="9">
        <f>bdrate($E574:$E577,G574:G577,$M574:$M577,O574:O577)</f>
        <v>2.2334989672421202E-3</v>
      </c>
      <c r="W574" s="10">
        <f>bdrate($E574:$E577,H574:H577,$M574:$M577,P574:P577)</f>
        <v>-4.7053091335971242E-3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2412.4839999999999</v>
      </c>
      <c r="F575" s="70">
        <f t="shared" si="114"/>
        <v>35.608649999999997</v>
      </c>
      <c r="G575" s="70">
        <f t="shared" si="114"/>
        <v>45.138599999999997</v>
      </c>
      <c r="H575" s="70">
        <f t="shared" si="114"/>
        <v>44.571650000000005</v>
      </c>
      <c r="I575" s="66"/>
      <c r="J575" s="66"/>
      <c r="K575" s="67"/>
      <c r="L575" s="29"/>
      <c r="M575" s="83">
        <f>M316+M320</f>
        <v>2412.0304000000001</v>
      </c>
      <c r="N575" s="70">
        <f t="shared" si="115"/>
        <v>35.609250000000003</v>
      </c>
      <c r="O575" s="70">
        <f t="shared" si="115"/>
        <v>45.130449999999996</v>
      </c>
      <c r="P575" s="70">
        <f t="shared" si="115"/>
        <v>44.585549999999998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1105.3127999999999</v>
      </c>
      <c r="F576" s="70">
        <f t="shared" si="114"/>
        <v>33.145150000000001</v>
      </c>
      <c r="G576" s="70">
        <f t="shared" si="114"/>
        <v>43.811800000000005</v>
      </c>
      <c r="H576" s="70">
        <f t="shared" si="114"/>
        <v>43.35295</v>
      </c>
      <c r="I576" s="66"/>
      <c r="J576" s="66"/>
      <c r="K576" s="67"/>
      <c r="L576" s="29"/>
      <c r="M576" s="83">
        <f>M317+M321</f>
        <v>1105.4056</v>
      </c>
      <c r="N576" s="70">
        <f t="shared" si="115"/>
        <v>33.143000000000001</v>
      </c>
      <c r="O576" s="70">
        <f t="shared" si="115"/>
        <v>43.805799999999998</v>
      </c>
      <c r="P576" s="70">
        <f t="shared" si="115"/>
        <v>43.353049999999996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518.76159999999993</v>
      </c>
      <c r="F577" s="81">
        <f t="shared" si="114"/>
        <v>30.875350000000001</v>
      </c>
      <c r="G577" s="81">
        <f t="shared" si="114"/>
        <v>43.012</v>
      </c>
      <c r="H577" s="81">
        <f t="shared" si="114"/>
        <v>42.598100000000002</v>
      </c>
      <c r="I577" s="68"/>
      <c r="J577" s="68"/>
      <c r="K577" s="69"/>
      <c r="L577" s="29"/>
      <c r="M577" s="84">
        <f>M318+M322</f>
        <v>519.12639999999999</v>
      </c>
      <c r="N577" s="81">
        <f t="shared" si="115"/>
        <v>30.869799999999998</v>
      </c>
      <c r="O577" s="81">
        <f t="shared" si="115"/>
        <v>43.031099999999995</v>
      </c>
      <c r="P577" s="81">
        <f t="shared" si="115"/>
        <v>42.6096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6664.5944</v>
      </c>
      <c r="F578" s="78">
        <f t="shared" ref="F578:H581" si="116">AVERAGE(F315,F319,F323)</f>
        <v>38.286633333333334</v>
      </c>
      <c r="G578" s="78">
        <f t="shared" si="116"/>
        <v>46.573500000000003</v>
      </c>
      <c r="H578" s="78">
        <f t="shared" si="116"/>
        <v>45.900033333333333</v>
      </c>
      <c r="I578" s="79"/>
      <c r="J578" s="79"/>
      <c r="K578" s="80"/>
      <c r="L578" s="29"/>
      <c r="M578" s="78">
        <f>M315+M319+M323</f>
        <v>6665.4407999999994</v>
      </c>
      <c r="N578" s="78">
        <f t="shared" ref="N578:P581" si="117">AVERAGE(N315,N319,N323)</f>
        <v>38.288233333333331</v>
      </c>
      <c r="O578" s="78">
        <f t="shared" si="117"/>
        <v>46.570066666666662</v>
      </c>
      <c r="P578" s="78">
        <f t="shared" si="117"/>
        <v>45.898466666666671</v>
      </c>
      <c r="Q578" s="79"/>
      <c r="R578" s="79"/>
      <c r="S578" s="80"/>
      <c r="U578" s="8">
        <f>bdrate($E578:$E581,F578:F581,$M578:$M581,N578:N581)</f>
        <v>2.8319777214447228E-4</v>
      </c>
      <c r="V578" s="9">
        <f>bdrate($E578:$E581,G578:G581,$M578:$M581,O578:O581)</f>
        <v>2.1938118112181382E-3</v>
      </c>
      <c r="W578" s="10">
        <f>bdrate($E578:$E581,H578:H581,$M578:$M581,P578:P581)</f>
        <v>-5.2175926572501918E-3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2797.7255999999998</v>
      </c>
      <c r="F579" s="70">
        <f t="shared" si="116"/>
        <v>35.568233333333332</v>
      </c>
      <c r="G579" s="70">
        <f t="shared" si="116"/>
        <v>45.107333333333337</v>
      </c>
      <c r="H579" s="70">
        <f t="shared" si="116"/>
        <v>44.517600000000009</v>
      </c>
      <c r="I579" s="66"/>
      <c r="J579" s="66"/>
      <c r="K579" s="67"/>
      <c r="L579" s="29"/>
      <c r="M579" s="70">
        <f>M316+M320+M324</f>
        <v>2797.2080000000001</v>
      </c>
      <c r="N579" s="70">
        <f t="shared" si="117"/>
        <v>35.56966666666667</v>
      </c>
      <c r="O579" s="70">
        <f t="shared" si="117"/>
        <v>45.100299999999997</v>
      </c>
      <c r="P579" s="70">
        <f t="shared" si="117"/>
        <v>44.530799999999999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1284.3144</v>
      </c>
      <c r="F580" s="70">
        <f t="shared" si="116"/>
        <v>33.126733333333334</v>
      </c>
      <c r="G580" s="70">
        <f t="shared" si="116"/>
        <v>43.788366666666668</v>
      </c>
      <c r="H580" s="70">
        <f t="shared" si="116"/>
        <v>43.3123</v>
      </c>
      <c r="I580" s="66"/>
      <c r="J580" s="66"/>
      <c r="K580" s="67"/>
      <c r="L580" s="29"/>
      <c r="M580" s="70">
        <f>M317+M321+M325</f>
        <v>1284.8384000000001</v>
      </c>
      <c r="N580" s="70">
        <f t="shared" si="117"/>
        <v>33.125</v>
      </c>
      <c r="O580" s="70">
        <f t="shared" si="117"/>
        <v>43.782399999999996</v>
      </c>
      <c r="P580" s="70">
        <f t="shared" si="117"/>
        <v>43.313899999999997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608.99439999999993</v>
      </c>
      <c r="F581" s="81">
        <f t="shared" si="116"/>
        <v>30.860800000000001</v>
      </c>
      <c r="G581" s="81">
        <f t="shared" si="116"/>
        <v>42.990066666666671</v>
      </c>
      <c r="H581" s="81">
        <f t="shared" si="116"/>
        <v>42.556833333333337</v>
      </c>
      <c r="I581" s="68"/>
      <c r="J581" s="68"/>
      <c r="K581" s="69"/>
      <c r="L581" s="29"/>
      <c r="M581" s="81">
        <f>M318+M322+M326</f>
        <v>609.55759999999998</v>
      </c>
      <c r="N581" s="81">
        <f t="shared" si="117"/>
        <v>30.856633333333331</v>
      </c>
      <c r="O581" s="81">
        <f t="shared" si="117"/>
        <v>43.008566666666667</v>
      </c>
      <c r="P581" s="81">
        <f t="shared" si="117"/>
        <v>42.571466666666666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6055.1896000000006</v>
      </c>
      <c r="F582" s="78">
        <f t="shared" ref="F582:H585" si="118">AVERAGE(F339,F343,F347)</f>
        <v>38.480199999999996</v>
      </c>
      <c r="G582" s="78">
        <f t="shared" si="118"/>
        <v>46.953966666666666</v>
      </c>
      <c r="H582" s="78">
        <f t="shared" si="118"/>
        <v>46.262066666666669</v>
      </c>
      <c r="I582" s="79"/>
      <c r="J582" s="79"/>
      <c r="K582" s="80"/>
      <c r="L582" s="29"/>
      <c r="M582" s="78">
        <f>M315+M319+M327+M331</f>
        <v>6057.5271999999995</v>
      </c>
      <c r="N582" s="78">
        <f t="shared" ref="N582:P585" si="119">AVERAGE(N339,N343,N347)</f>
        <v>38.46436666666667</v>
      </c>
      <c r="O582" s="78">
        <f t="shared" si="119"/>
        <v>46.958266666666667</v>
      </c>
      <c r="P582" s="78">
        <f t="shared" si="119"/>
        <v>46.214099999999995</v>
      </c>
      <c r="Q582" s="79"/>
      <c r="R582" s="79"/>
      <c r="S582" s="80"/>
      <c r="U582" s="8">
        <f>bdrate($E582:$E585,F582:F585,$M582:$M585,N582:N585)</f>
        <v>5.2385475038896345E-4</v>
      </c>
      <c r="V582" s="9">
        <f>bdrate($E582:$E585,G582:G585,$M582:$M585,O582:O585)</f>
        <v>7.615326768422026E-4</v>
      </c>
      <c r="W582" s="10">
        <f>bdrate($E582:$E585,H582:H585,$M582:$M585,P582:P585)</f>
        <v>-1.1247475620276837E-2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2593.5495999999998</v>
      </c>
      <c r="F583" s="70">
        <f t="shared" si="118"/>
        <v>35.628733333333336</v>
      </c>
      <c r="G583" s="70">
        <f t="shared" si="118"/>
        <v>45.502266666666664</v>
      </c>
      <c r="H583" s="70">
        <f t="shared" si="118"/>
        <v>44.859199999999994</v>
      </c>
      <c r="I583" s="66"/>
      <c r="J583" s="66"/>
      <c r="K583" s="67"/>
      <c r="L583" s="29"/>
      <c r="M583" s="70">
        <f>M316+M320+M328+M332</f>
        <v>2592.3224</v>
      </c>
      <c r="N583" s="70">
        <f t="shared" si="119"/>
        <v>35.637833333333333</v>
      </c>
      <c r="O583" s="70">
        <f t="shared" si="119"/>
        <v>45.499733333333324</v>
      </c>
      <c r="P583" s="70">
        <f t="shared" si="119"/>
        <v>44.919900000000005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1204.2023999999999</v>
      </c>
      <c r="F584" s="70">
        <f t="shared" si="118"/>
        <v>33.132100000000001</v>
      </c>
      <c r="G584" s="70">
        <f t="shared" si="118"/>
        <v>44.204866666666668</v>
      </c>
      <c r="H584" s="70">
        <f t="shared" si="118"/>
        <v>43.709766666666667</v>
      </c>
      <c r="I584" s="66"/>
      <c r="J584" s="66"/>
      <c r="K584" s="67"/>
      <c r="L584" s="29"/>
      <c r="M584" s="70">
        <f>M317+M321+M329+M333</f>
        <v>1204.5688</v>
      </c>
      <c r="N584" s="70">
        <f t="shared" si="119"/>
        <v>33.123266666666666</v>
      </c>
      <c r="O584" s="70">
        <f t="shared" si="119"/>
        <v>44.198033333333335</v>
      </c>
      <c r="P584" s="70">
        <f t="shared" si="119"/>
        <v>43.695133333333331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571.85039999999992</v>
      </c>
      <c r="F585" s="81">
        <f t="shared" si="118"/>
        <v>30.807666666666666</v>
      </c>
      <c r="G585" s="81">
        <f t="shared" si="118"/>
        <v>43.422333333333334</v>
      </c>
      <c r="H585" s="81">
        <f t="shared" si="118"/>
        <v>42.955199999999998</v>
      </c>
      <c r="I585" s="68"/>
      <c r="J585" s="68"/>
      <c r="K585" s="69"/>
      <c r="L585" s="29"/>
      <c r="M585" s="81">
        <f>M318+M322+M330+M334</f>
        <v>572.57279999999992</v>
      </c>
      <c r="N585" s="81">
        <f t="shared" si="119"/>
        <v>30.8095</v>
      </c>
      <c r="O585" s="81">
        <f t="shared" si="119"/>
        <v>43.435433333333343</v>
      </c>
      <c r="P585" s="81">
        <f t="shared" si="119"/>
        <v>42.9726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7175.6863999999996</v>
      </c>
      <c r="F586" s="78">
        <f t="shared" ref="F586:H589" si="120">AVERAGE(F339,F343,F347,F351,F355,F359)</f>
        <v>38.468166666666669</v>
      </c>
      <c r="G586" s="78">
        <f t="shared" si="120"/>
        <v>46.767116666666674</v>
      </c>
      <c r="H586" s="78">
        <f t="shared" si="120"/>
        <v>46.377700000000004</v>
      </c>
      <c r="I586" s="79"/>
      <c r="J586" s="79"/>
      <c r="K586" s="80"/>
      <c r="L586" s="29"/>
      <c r="M586" s="78">
        <f>M363</f>
        <v>7177.3159999999998</v>
      </c>
      <c r="N586" s="78">
        <f t="shared" ref="N586:P589" si="121">AVERAGE(N339,N343,N347,N351,N355,N359)</f>
        <v>38.463850000000001</v>
      </c>
      <c r="O586" s="78">
        <f t="shared" si="121"/>
        <v>46.754983333333335</v>
      </c>
      <c r="P586" s="78">
        <f t="shared" si="121"/>
        <v>46.359116666666665</v>
      </c>
      <c r="Q586" s="79"/>
      <c r="R586" s="79"/>
      <c r="S586" s="80"/>
      <c r="U586" s="8">
        <f>bdrate($E586:$E589,F586:F589,$M586:$M589,N586:N589)</f>
        <v>6.9198161867611852E-4</v>
      </c>
      <c r="V586" s="9">
        <f>bdrate($E586:$E589,G586:G589,$M586:$M589,O586:O589)</f>
        <v>1.3605843933683914E-3</v>
      </c>
      <c r="W586" s="10">
        <f>bdrate($E586:$E589,H586:H589,$M586:$M589,P586:P589)</f>
        <v>-4.2384084993790649E-3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3042.0376000000001</v>
      </c>
      <c r="F587" s="70">
        <f t="shared" si="120"/>
        <v>35.635266666666666</v>
      </c>
      <c r="G587" s="70">
        <f t="shared" si="120"/>
        <v>45.335933333333337</v>
      </c>
      <c r="H587" s="70">
        <f t="shared" si="120"/>
        <v>44.922183333333329</v>
      </c>
      <c r="I587" s="66"/>
      <c r="J587" s="66"/>
      <c r="K587" s="67"/>
      <c r="L587" s="29"/>
      <c r="M587" s="70">
        <f>M364</f>
        <v>3041.1336000000001</v>
      </c>
      <c r="N587" s="70">
        <f t="shared" si="121"/>
        <v>35.641149999999996</v>
      </c>
      <c r="O587" s="70">
        <f t="shared" si="121"/>
        <v>45.335666666666661</v>
      </c>
      <c r="P587" s="70">
        <f t="shared" si="121"/>
        <v>44.95238333333333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1421.6608000000001</v>
      </c>
      <c r="F588" s="70">
        <f t="shared" si="120"/>
        <v>33.148683333333331</v>
      </c>
      <c r="G588" s="70">
        <f t="shared" si="120"/>
        <v>44.025633333333332</v>
      </c>
      <c r="H588" s="70">
        <f t="shared" si="120"/>
        <v>43.667533333333331</v>
      </c>
      <c r="I588" s="66"/>
      <c r="J588" s="66"/>
      <c r="K588" s="67"/>
      <c r="L588" s="29"/>
      <c r="M588" s="70">
        <f>M365</f>
        <v>1422.1264000000001</v>
      </c>
      <c r="N588" s="70">
        <f t="shared" si="121"/>
        <v>33.140016666666668</v>
      </c>
      <c r="O588" s="70">
        <f t="shared" si="121"/>
        <v>44.019316666666668</v>
      </c>
      <c r="P588" s="70">
        <f t="shared" si="121"/>
        <v>43.6496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686.22720000000004</v>
      </c>
      <c r="F589" s="81">
        <f t="shared" si="120"/>
        <v>30.829616666666666</v>
      </c>
      <c r="G589" s="81">
        <f t="shared" si="120"/>
        <v>43.247716666666662</v>
      </c>
      <c r="H589" s="81">
        <f t="shared" si="120"/>
        <v>42.861266666666666</v>
      </c>
      <c r="I589" s="68"/>
      <c r="J589" s="68"/>
      <c r="K589" s="69"/>
      <c r="L589" s="29"/>
      <c r="M589" s="81">
        <f>M366</f>
        <v>687.17679999999996</v>
      </c>
      <c r="N589" s="81">
        <f t="shared" si="121"/>
        <v>30.825716666666665</v>
      </c>
      <c r="O589" s="81">
        <f t="shared" si="121"/>
        <v>43.264633333333336</v>
      </c>
      <c r="P589" s="81">
        <f t="shared" si="121"/>
        <v>42.884033333333328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6055.1896000000006</v>
      </c>
      <c r="F590" s="78">
        <f t="shared" ref="F590:H593" si="123">AVERAGE(F315,F319,F339,F343,F347)</f>
        <v>38.438079999999999</v>
      </c>
      <c r="G590" s="78">
        <f t="shared" si="123"/>
        <v>46.815300000000001</v>
      </c>
      <c r="H590" s="78">
        <f t="shared" si="123"/>
        <v>46.143460000000005</v>
      </c>
      <c r="I590" s="79"/>
      <c r="J590" s="79"/>
      <c r="K590" s="80"/>
      <c r="L590" s="29"/>
      <c r="M590" s="78">
        <f t="shared" ref="M590:M597" si="124">M582</f>
        <v>6057.5271999999995</v>
      </c>
      <c r="N590" s="78">
        <f t="shared" ref="N590:P593" si="125">AVERAGE(N315,N319,N339,N343,N347)</f>
        <v>38.429139999999997</v>
      </c>
      <c r="O590" s="78">
        <f t="shared" si="125"/>
        <v>46.816899999999997</v>
      </c>
      <c r="P590" s="78">
        <f t="shared" si="125"/>
        <v>46.113460000000011</v>
      </c>
      <c r="Q590" s="79"/>
      <c r="R590" s="79"/>
      <c r="S590" s="80"/>
      <c r="U590" s="8">
        <f>bdrate($E590:$E593,F590:F593,$M590:$M593,N590:N593)</f>
        <v>4.8390098417372407E-4</v>
      </c>
      <c r="V590" s="9">
        <f>bdrate($E590:$E593,G590:G593,$M590:$M593,O590:O593)</f>
        <v>1.3367511636028784E-3</v>
      </c>
      <c r="W590" s="10">
        <f>bdrate($E590:$E593,H590:H593,$M590:$M593,P590:P593)</f>
        <v>-8.5103698097992453E-3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2593.5495999999998</v>
      </c>
      <c r="F591" s="70">
        <f t="shared" si="123"/>
        <v>35.620699999999999</v>
      </c>
      <c r="G591" s="70">
        <f t="shared" si="123"/>
        <v>45.356799999999993</v>
      </c>
      <c r="H591" s="70">
        <f t="shared" si="123"/>
        <v>44.74418</v>
      </c>
      <c r="I591" s="66"/>
      <c r="J591" s="66"/>
      <c r="K591" s="67"/>
      <c r="L591" s="29"/>
      <c r="M591" s="70">
        <f t="shared" si="124"/>
        <v>2592.3224</v>
      </c>
      <c r="N591" s="70">
        <f t="shared" si="125"/>
        <v>35.626400000000004</v>
      </c>
      <c r="O591" s="70">
        <f t="shared" si="125"/>
        <v>45.352019999999996</v>
      </c>
      <c r="P591" s="70">
        <f t="shared" si="125"/>
        <v>44.786159999999995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1204.2023999999999</v>
      </c>
      <c r="F592" s="70">
        <f t="shared" si="123"/>
        <v>33.137320000000003</v>
      </c>
      <c r="G592" s="70">
        <f t="shared" si="123"/>
        <v>44.047640000000001</v>
      </c>
      <c r="H592" s="70">
        <f t="shared" si="123"/>
        <v>43.567040000000006</v>
      </c>
      <c r="I592" s="66"/>
      <c r="J592" s="66"/>
      <c r="K592" s="67"/>
      <c r="L592" s="29"/>
      <c r="M592" s="70">
        <f t="shared" si="124"/>
        <v>1204.5688</v>
      </c>
      <c r="N592" s="70">
        <f t="shared" si="125"/>
        <v>33.131160000000001</v>
      </c>
      <c r="O592" s="70">
        <f t="shared" si="125"/>
        <v>44.041139999999999</v>
      </c>
      <c r="P592" s="70">
        <f t="shared" si="125"/>
        <v>43.558300000000003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571.85039999999992</v>
      </c>
      <c r="F593" s="81">
        <f t="shared" si="123"/>
        <v>30.83474</v>
      </c>
      <c r="G593" s="81">
        <f t="shared" si="123"/>
        <v>43.258200000000002</v>
      </c>
      <c r="H593" s="81">
        <f t="shared" si="123"/>
        <v>42.812359999999998</v>
      </c>
      <c r="I593" s="68"/>
      <c r="J593" s="68"/>
      <c r="K593" s="69"/>
      <c r="L593" s="29"/>
      <c r="M593" s="81">
        <f t="shared" si="124"/>
        <v>572.57279999999992</v>
      </c>
      <c r="N593" s="81">
        <f t="shared" si="125"/>
        <v>30.833619999999996</v>
      </c>
      <c r="O593" s="81">
        <f t="shared" si="125"/>
        <v>43.273699999999998</v>
      </c>
      <c r="P593" s="81">
        <f t="shared" si="125"/>
        <v>42.827399999999997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7175.6863999999996</v>
      </c>
      <c r="F594" s="78">
        <f t="shared" ref="F594:H597" si="126">AVERAGE(F315,F319,F323,F339,F343,F347,F351,F355,F359)</f>
        <v>38.407655555555557</v>
      </c>
      <c r="G594" s="78">
        <f t="shared" si="126"/>
        <v>46.702577777777776</v>
      </c>
      <c r="H594" s="78">
        <f t="shared" si="126"/>
        <v>46.218477777777771</v>
      </c>
      <c r="I594" s="79"/>
      <c r="J594" s="79"/>
      <c r="K594" s="80"/>
      <c r="L594" s="29"/>
      <c r="M594" s="78">
        <f t="shared" si="124"/>
        <v>7177.3159999999998</v>
      </c>
      <c r="N594" s="78">
        <f t="shared" ref="N594:P597" si="127">AVERAGE(N315,N319,N323,N339,N343,N347,N351,N355,N359)</f>
        <v>38.405311111111104</v>
      </c>
      <c r="O594" s="78">
        <f t="shared" si="127"/>
        <v>46.693344444444442</v>
      </c>
      <c r="P594" s="78">
        <f t="shared" si="127"/>
        <v>46.20556666666667</v>
      </c>
      <c r="Q594" s="79"/>
      <c r="R594" s="79"/>
      <c r="S594" s="80"/>
      <c r="U594" s="8">
        <f>bdrate($E594:$E597,F594:F597,$M594:$M597,N594:N597)</f>
        <v>5.5577712687449043E-4</v>
      </c>
      <c r="V594" s="9">
        <f>bdrate($E594:$E597,G594:G597,$M594:$M597,O594:O597)</f>
        <v>1.6186658891483852E-3</v>
      </c>
      <c r="W594" s="10">
        <f>bdrate($E594:$E597,H594:H597,$M594:$M597,P594:P597)</f>
        <v>-4.5335802830004379E-3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3042.0376000000001</v>
      </c>
      <c r="F595" s="70">
        <f t="shared" si="126"/>
        <v>35.612922222222224</v>
      </c>
      <c r="G595" s="70">
        <f t="shared" si="126"/>
        <v>45.259733333333337</v>
      </c>
      <c r="H595" s="70">
        <f t="shared" si="126"/>
        <v>44.787322222222222</v>
      </c>
      <c r="I595" s="66"/>
      <c r="J595" s="66"/>
      <c r="K595" s="67"/>
      <c r="L595" s="29"/>
      <c r="M595" s="70">
        <f t="shared" si="124"/>
        <v>3041.1336000000001</v>
      </c>
      <c r="N595" s="70">
        <f t="shared" si="127"/>
        <v>35.617322222222221</v>
      </c>
      <c r="O595" s="70">
        <f t="shared" si="127"/>
        <v>45.257211111111111</v>
      </c>
      <c r="P595" s="70">
        <f t="shared" si="127"/>
        <v>44.81185555555556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1421.6608000000001</v>
      </c>
      <c r="F596" s="70">
        <f t="shared" si="126"/>
        <v>33.141366666666663</v>
      </c>
      <c r="G596" s="70">
        <f t="shared" si="126"/>
        <v>43.946544444444449</v>
      </c>
      <c r="H596" s="70">
        <f t="shared" si="126"/>
        <v>43.549122222222223</v>
      </c>
      <c r="I596" s="66"/>
      <c r="J596" s="66"/>
      <c r="K596" s="67"/>
      <c r="L596" s="29"/>
      <c r="M596" s="70">
        <f t="shared" si="124"/>
        <v>1422.1264000000001</v>
      </c>
      <c r="N596" s="70">
        <f t="shared" si="127"/>
        <v>33.135011111111112</v>
      </c>
      <c r="O596" s="70">
        <f t="shared" si="127"/>
        <v>43.940344444444449</v>
      </c>
      <c r="P596" s="70">
        <f t="shared" si="127"/>
        <v>43.537700000000001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686.22720000000004</v>
      </c>
      <c r="F597" s="81">
        <f t="shared" si="126"/>
        <v>30.84001111111111</v>
      </c>
      <c r="G597" s="81">
        <f t="shared" si="126"/>
        <v>43.161833333333341</v>
      </c>
      <c r="H597" s="81">
        <f t="shared" si="126"/>
        <v>42.759788888888892</v>
      </c>
      <c r="I597" s="68"/>
      <c r="J597" s="68"/>
      <c r="K597" s="69"/>
      <c r="L597" s="29"/>
      <c r="M597" s="81">
        <f t="shared" si="124"/>
        <v>687.17679999999996</v>
      </c>
      <c r="N597" s="81">
        <f t="shared" si="127"/>
        <v>30.836022222222216</v>
      </c>
      <c r="O597" s="81">
        <f t="shared" si="127"/>
        <v>43.17927777777777</v>
      </c>
      <c r="P597" s="81">
        <f t="shared" si="127"/>
        <v>42.77984444444445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4829.8664000000008</v>
      </c>
      <c r="F598" s="78">
        <f t="shared" ref="F598:H601" si="128">AVERAGE(F367,F371)</f>
        <v>41.163600000000002</v>
      </c>
      <c r="G598" s="78">
        <f t="shared" si="128"/>
        <v>46.542200000000001</v>
      </c>
      <c r="H598" s="78">
        <f t="shared" si="128"/>
        <v>45.906750000000002</v>
      </c>
      <c r="I598" s="79"/>
      <c r="J598" s="79"/>
      <c r="K598" s="80"/>
      <c r="L598" s="29"/>
      <c r="M598" s="78">
        <f>M367+M371</f>
        <v>4830.8112000000001</v>
      </c>
      <c r="N598" s="78">
        <f t="shared" ref="N598:P601" si="129">AVERAGE(N367,N371)</f>
        <v>41.165149999999997</v>
      </c>
      <c r="O598" s="78">
        <f t="shared" si="129"/>
        <v>46.543800000000005</v>
      </c>
      <c r="P598" s="78">
        <f t="shared" si="129"/>
        <v>45.903300000000002</v>
      </c>
      <c r="Q598" s="79"/>
      <c r="R598" s="79"/>
      <c r="S598" s="80"/>
      <c r="U598" s="8">
        <f>bdrate($E598:$E601,F598:F601,$M598:$M601,N598:N601)</f>
        <v>-3.16759508379727E-5</v>
      </c>
      <c r="V598" s="9">
        <f>bdrate($E598:$E601,G598:G601,$M598:$M601,O598:O601)</f>
        <v>5.9968448070479852E-4</v>
      </c>
      <c r="W598" s="10">
        <f>bdrate($E598:$E601,H598:H601,$M598:$M601,P598:P601)</f>
        <v>2.4168845026006913E-4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2389.6151999999997</v>
      </c>
      <c r="F599" s="70">
        <f t="shared" si="128"/>
        <v>38.233400000000003</v>
      </c>
      <c r="G599" s="70">
        <f t="shared" si="128"/>
        <v>44.852599999999995</v>
      </c>
      <c r="H599" s="70">
        <f t="shared" si="128"/>
        <v>44.0017</v>
      </c>
      <c r="I599" s="66"/>
      <c r="J599" s="66"/>
      <c r="K599" s="67"/>
      <c r="L599" s="29"/>
      <c r="M599" s="70">
        <f>M368+M372</f>
        <v>2390.8496</v>
      </c>
      <c r="N599" s="70">
        <f t="shared" si="129"/>
        <v>38.237949999999998</v>
      </c>
      <c r="O599" s="70">
        <f t="shared" si="129"/>
        <v>44.862250000000003</v>
      </c>
      <c r="P599" s="70">
        <f t="shared" si="129"/>
        <v>44.008600000000001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1175.7872</v>
      </c>
      <c r="F600" s="70">
        <f t="shared" si="128"/>
        <v>35.481099999999998</v>
      </c>
      <c r="G600" s="70">
        <f t="shared" si="128"/>
        <v>43.248400000000004</v>
      </c>
      <c r="H600" s="70">
        <f t="shared" si="128"/>
        <v>42.153400000000005</v>
      </c>
      <c r="I600" s="66"/>
      <c r="J600" s="66"/>
      <c r="K600" s="67"/>
      <c r="L600" s="29"/>
      <c r="M600" s="70">
        <f>M369+M373</f>
        <v>1175.8384000000001</v>
      </c>
      <c r="N600" s="70">
        <f t="shared" si="129"/>
        <v>35.479600000000005</v>
      </c>
      <c r="O600" s="70">
        <f t="shared" si="129"/>
        <v>43.232700000000001</v>
      </c>
      <c r="P600" s="70">
        <f t="shared" si="129"/>
        <v>42.152900000000002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565.83680000000004</v>
      </c>
      <c r="F601" s="81">
        <f t="shared" si="128"/>
        <v>33.038200000000003</v>
      </c>
      <c r="G601" s="81">
        <f t="shared" si="128"/>
        <v>42.245049999999999</v>
      </c>
      <c r="H601" s="81">
        <f t="shared" si="128"/>
        <v>40.8367</v>
      </c>
      <c r="I601" s="68"/>
      <c r="J601" s="68"/>
      <c r="K601" s="69"/>
      <c r="L601" s="29"/>
      <c r="M601" s="81">
        <f>M370+M374</f>
        <v>566.12560000000008</v>
      </c>
      <c r="N601" s="81">
        <f t="shared" si="129"/>
        <v>33.037599999999998</v>
      </c>
      <c r="O601" s="81">
        <f t="shared" si="129"/>
        <v>42.253399999999999</v>
      </c>
      <c r="P601" s="81">
        <f t="shared" si="129"/>
        <v>40.823149999999998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5489.8472000000011</v>
      </c>
      <c r="F602" s="78">
        <f t="shared" ref="F602:H605" si="130">AVERAGE(F367,F371,F375)</f>
        <v>41.056600000000003</v>
      </c>
      <c r="G602" s="78">
        <f t="shared" si="130"/>
        <v>46.521999999999998</v>
      </c>
      <c r="H602" s="78">
        <f t="shared" si="130"/>
        <v>45.863866666666667</v>
      </c>
      <c r="I602" s="79"/>
      <c r="J602" s="79"/>
      <c r="K602" s="80"/>
      <c r="L602" s="29"/>
      <c r="M602" s="78">
        <f>M367+M371+M375</f>
        <v>5489.82</v>
      </c>
      <c r="N602" s="78">
        <f t="shared" ref="N602:P605" si="131">AVERAGE(N367,N371,N375)</f>
        <v>41.05766666666667</v>
      </c>
      <c r="O602" s="78">
        <f t="shared" si="131"/>
        <v>46.524300000000004</v>
      </c>
      <c r="P602" s="78">
        <f t="shared" si="131"/>
        <v>45.860666666666667</v>
      </c>
      <c r="Q602" s="79"/>
      <c r="R602" s="79"/>
      <c r="S602" s="80"/>
      <c r="U602" s="8">
        <f>bdrate($E602:$E605,F602:F605,$M602:$M605,N602:N605)</f>
        <v>-4.3506475052246252E-5</v>
      </c>
      <c r="V602" s="9">
        <f>bdrate($E602:$E605,G602:G605,$M602:$M605,O602:O605)</f>
        <v>6.3518556940223014E-4</v>
      </c>
      <c r="W602" s="10">
        <f>bdrate($E602:$E605,H602:H605,$M602:$M605,P602:P605)</f>
        <v>8.570333994681878E-4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2680.9199999999996</v>
      </c>
      <c r="F603" s="70">
        <f t="shared" si="130"/>
        <v>38.14906666666667</v>
      </c>
      <c r="G603" s="70">
        <f t="shared" si="130"/>
        <v>44.838666666666661</v>
      </c>
      <c r="H603" s="70">
        <f t="shared" si="130"/>
        <v>43.970733333333328</v>
      </c>
      <c r="I603" s="66"/>
      <c r="J603" s="66"/>
      <c r="K603" s="67"/>
      <c r="L603" s="29"/>
      <c r="M603" s="70">
        <f>M368+M372+M376</f>
        <v>2682.6687999999999</v>
      </c>
      <c r="N603" s="70">
        <f t="shared" si="131"/>
        <v>38.155000000000001</v>
      </c>
      <c r="O603" s="70">
        <f t="shared" si="131"/>
        <v>44.848300000000002</v>
      </c>
      <c r="P603" s="70">
        <f t="shared" si="131"/>
        <v>43.976300000000002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1320.1671999999999</v>
      </c>
      <c r="F604" s="70">
        <f t="shared" si="130"/>
        <v>35.4193</v>
      </c>
      <c r="G604" s="70">
        <f t="shared" si="130"/>
        <v>43.240933333333338</v>
      </c>
      <c r="H604" s="70">
        <f t="shared" si="130"/>
        <v>42.135433333333339</v>
      </c>
      <c r="I604" s="66"/>
      <c r="J604" s="66"/>
      <c r="K604" s="67"/>
      <c r="L604" s="29"/>
      <c r="M604" s="70">
        <f>M369+M373+M377</f>
        <v>1320.1024000000002</v>
      </c>
      <c r="N604" s="70">
        <f t="shared" si="131"/>
        <v>35.416066666666673</v>
      </c>
      <c r="O604" s="70">
        <f t="shared" si="131"/>
        <v>43.224166666666669</v>
      </c>
      <c r="P604" s="70">
        <f t="shared" si="131"/>
        <v>42.131866666666667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637.58960000000002</v>
      </c>
      <c r="F605" s="81">
        <f t="shared" si="130"/>
        <v>32.981400000000001</v>
      </c>
      <c r="G605" s="81">
        <f t="shared" si="130"/>
        <v>42.229366666666664</v>
      </c>
      <c r="H605" s="81">
        <f t="shared" si="130"/>
        <v>40.803666666666665</v>
      </c>
      <c r="I605" s="68"/>
      <c r="J605" s="68"/>
      <c r="K605" s="69"/>
      <c r="L605" s="29"/>
      <c r="M605" s="81">
        <f>M370+M374+M378</f>
        <v>637.94800000000009</v>
      </c>
      <c r="N605" s="81">
        <f t="shared" si="131"/>
        <v>32.982166666666664</v>
      </c>
      <c r="O605" s="81">
        <f t="shared" si="131"/>
        <v>42.239166666666669</v>
      </c>
      <c r="P605" s="81">
        <f t="shared" si="131"/>
        <v>40.790966666666662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5751.0760000000009</v>
      </c>
      <c r="F606" s="78">
        <f t="shared" ref="F606:H609" si="132">AVERAGE(F391,F395,F399)</f>
        <v>40.379066666666667</v>
      </c>
      <c r="G606" s="78">
        <f t="shared" si="132"/>
        <v>47.051800000000007</v>
      </c>
      <c r="H606" s="78">
        <f t="shared" si="132"/>
        <v>46.491466666666668</v>
      </c>
      <c r="I606" s="79"/>
      <c r="J606" s="79"/>
      <c r="K606" s="80"/>
      <c r="L606" s="29"/>
      <c r="M606" s="78">
        <f>M367+M371+M379+M383</f>
        <v>5752.6095999999998</v>
      </c>
      <c r="N606" s="78">
        <f t="shared" ref="N606:P609" si="133">AVERAGE(N391,N395,N399)</f>
        <v>40.378366666666665</v>
      </c>
      <c r="O606" s="78">
        <f t="shared" si="133"/>
        <v>47.06153333333333</v>
      </c>
      <c r="P606" s="78">
        <f t="shared" si="133"/>
        <v>46.486600000000003</v>
      </c>
      <c r="Q606" s="79"/>
      <c r="R606" s="79"/>
      <c r="S606" s="80"/>
      <c r="U606" s="8">
        <f>bdrate($E606:$E609,F606:F609,$M606:$M609,N606:N609)</f>
        <v>1.693993444735753E-4</v>
      </c>
      <c r="V606" s="9">
        <f>bdrate($E606:$E609,G606:G609,$M606:$M609,O606:O609)</f>
        <v>-3.7267686819533186E-3</v>
      </c>
      <c r="W606" s="10">
        <f>bdrate($E606:$E609,H606:H609,$M606:$M609,P606:P609)</f>
        <v>2.0026884716435323E-3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2701.2095999999997</v>
      </c>
      <c r="F607" s="70">
        <f t="shared" si="132"/>
        <v>37.605833333333329</v>
      </c>
      <c r="G607" s="70">
        <f t="shared" si="132"/>
        <v>45.276900000000005</v>
      </c>
      <c r="H607" s="70">
        <f t="shared" si="132"/>
        <v>44.477033333333338</v>
      </c>
      <c r="I607" s="66"/>
      <c r="J607" s="66"/>
      <c r="K607" s="67"/>
      <c r="L607" s="29"/>
      <c r="M607" s="70">
        <f>M368+M372+M380+M384</f>
        <v>2703.7687999999998</v>
      </c>
      <c r="N607" s="70">
        <f t="shared" si="133"/>
        <v>37.610466666666667</v>
      </c>
      <c r="O607" s="70">
        <f t="shared" si="133"/>
        <v>45.289766666666672</v>
      </c>
      <c r="P607" s="70">
        <f t="shared" si="133"/>
        <v>44.48660000000001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1319.5704000000001</v>
      </c>
      <c r="F608" s="70">
        <f t="shared" si="132"/>
        <v>35.022033333333333</v>
      </c>
      <c r="G608" s="70">
        <f t="shared" si="132"/>
        <v>43.5062</v>
      </c>
      <c r="H608" s="70">
        <f t="shared" si="132"/>
        <v>42.527533333333331</v>
      </c>
      <c r="I608" s="66"/>
      <c r="J608" s="66"/>
      <c r="K608" s="67"/>
      <c r="L608" s="29"/>
      <c r="M608" s="70">
        <f>M369+M373+M381+M385</f>
        <v>1319.3392000000001</v>
      </c>
      <c r="N608" s="70">
        <f t="shared" si="133"/>
        <v>35.017666666666663</v>
      </c>
      <c r="O608" s="70">
        <f t="shared" si="133"/>
        <v>43.509566666666665</v>
      </c>
      <c r="P608" s="70">
        <f t="shared" si="133"/>
        <v>42.511699999999998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635.92720000000008</v>
      </c>
      <c r="F609" s="81">
        <f t="shared" si="132"/>
        <v>32.645400000000002</v>
      </c>
      <c r="G609" s="81">
        <f t="shared" si="132"/>
        <v>42.225266666666663</v>
      </c>
      <c r="H609" s="81">
        <f t="shared" si="132"/>
        <v>41.038166666666669</v>
      </c>
      <c r="I609" s="68"/>
      <c r="J609" s="68"/>
      <c r="K609" s="69"/>
      <c r="L609" s="29"/>
      <c r="M609" s="81">
        <f>M370+M374+M382+M386</f>
        <v>636.01280000000008</v>
      </c>
      <c r="N609" s="81">
        <f t="shared" si="133"/>
        <v>32.649900000000002</v>
      </c>
      <c r="O609" s="81">
        <f t="shared" si="133"/>
        <v>42.2378</v>
      </c>
      <c r="P609" s="81">
        <f t="shared" si="133"/>
        <v>41.027299999999997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6694.2031999999999</v>
      </c>
      <c r="F610" s="78">
        <f t="shared" ref="F610:H613" si="134">AVERAGE(F391,F395,F399,F403,F407,F411)</f>
        <v>40.386099999999999</v>
      </c>
      <c r="G610" s="78">
        <f t="shared" si="134"/>
        <v>47.015066666666662</v>
      </c>
      <c r="H610" s="78">
        <f t="shared" si="134"/>
        <v>46.557200000000002</v>
      </c>
      <c r="I610" s="79"/>
      <c r="J610" s="79"/>
      <c r="K610" s="80"/>
      <c r="L610" s="29"/>
      <c r="M610" s="78">
        <f>M415</f>
        <v>6693.2695999999996</v>
      </c>
      <c r="N610" s="78">
        <f t="shared" ref="N610:P613" si="135">AVERAGE(N391,N395,N399,N403,N407,N411)</f>
        <v>40.387533333333337</v>
      </c>
      <c r="O610" s="78">
        <f t="shared" si="135"/>
        <v>47.028466666666667</v>
      </c>
      <c r="P610" s="78">
        <f t="shared" si="135"/>
        <v>46.552683333333334</v>
      </c>
      <c r="Q610" s="79"/>
      <c r="R610" s="79"/>
      <c r="S610" s="80"/>
      <c r="U610" s="8">
        <f>bdrate($E610:$E613,F610:F613,$M610:$M613,N610:N613)</f>
        <v>1.6091451784694399E-4</v>
      </c>
      <c r="V610" s="9">
        <f>bdrate($E610:$E613,G610:G613,$M610:$M613,O610:O613)</f>
        <v>-1.2193557804162092E-3</v>
      </c>
      <c r="W610" s="10">
        <f>bdrate($E610:$E613,H610:H613,$M610:$M613,P610:P613)</f>
        <v>8.7158048496083218E-4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3084.0711999999999</v>
      </c>
      <c r="F611" s="70">
        <f t="shared" si="134"/>
        <v>37.610916666666668</v>
      </c>
      <c r="G611" s="70">
        <f t="shared" si="134"/>
        <v>45.283516666666664</v>
      </c>
      <c r="H611" s="70">
        <f t="shared" si="134"/>
        <v>44.530433333333328</v>
      </c>
      <c r="I611" s="66"/>
      <c r="J611" s="66"/>
      <c r="K611" s="67"/>
      <c r="L611" s="29"/>
      <c r="M611" s="70">
        <f>M416</f>
        <v>3088.1368000000002</v>
      </c>
      <c r="N611" s="70">
        <f t="shared" si="135"/>
        <v>37.616199999999999</v>
      </c>
      <c r="O611" s="70">
        <f t="shared" si="135"/>
        <v>45.294716666666666</v>
      </c>
      <c r="P611" s="70">
        <f t="shared" si="135"/>
        <v>44.537416666666672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1509.3335999999999</v>
      </c>
      <c r="F612" s="70">
        <f t="shared" si="134"/>
        <v>35.022916666666667</v>
      </c>
      <c r="G612" s="70">
        <f t="shared" si="134"/>
        <v>43.540950000000002</v>
      </c>
      <c r="H612" s="70">
        <f t="shared" si="134"/>
        <v>42.561849999999993</v>
      </c>
      <c r="I612" s="66"/>
      <c r="J612" s="66"/>
      <c r="K612" s="67"/>
      <c r="L612" s="29"/>
      <c r="M612" s="70">
        <f>M417</f>
        <v>1509.116</v>
      </c>
      <c r="N612" s="70">
        <f t="shared" si="135"/>
        <v>35.017049999999998</v>
      </c>
      <c r="O612" s="70">
        <f t="shared" si="135"/>
        <v>43.529533333333326</v>
      </c>
      <c r="P612" s="70">
        <f t="shared" si="135"/>
        <v>42.556466666666665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734.84640000000002</v>
      </c>
      <c r="F613" s="81">
        <f t="shared" si="134"/>
        <v>32.637750000000004</v>
      </c>
      <c r="G613" s="81">
        <f t="shared" si="134"/>
        <v>42.27238333333333</v>
      </c>
      <c r="H613" s="81">
        <f t="shared" si="134"/>
        <v>41.049533333333329</v>
      </c>
      <c r="I613" s="68"/>
      <c r="J613" s="68"/>
      <c r="K613" s="69"/>
      <c r="L613" s="29"/>
      <c r="M613" s="81">
        <f>M418</f>
        <v>734.49360000000001</v>
      </c>
      <c r="N613" s="81">
        <f t="shared" si="135"/>
        <v>32.643283333333336</v>
      </c>
      <c r="O613" s="81">
        <f t="shared" si="135"/>
        <v>42.283499999999997</v>
      </c>
      <c r="P613" s="81">
        <f t="shared" si="135"/>
        <v>41.039666666666669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5751.0760000000009</v>
      </c>
      <c r="F614" s="78">
        <f t="shared" ref="F614:H617" si="137">AVERAGE(F367,F371,F391,F395,F399)</f>
        <v>40.692880000000002</v>
      </c>
      <c r="G614" s="78">
        <f t="shared" si="137"/>
        <v>46.84796</v>
      </c>
      <c r="H614" s="78">
        <f t="shared" si="137"/>
        <v>46.257579999999997</v>
      </c>
      <c r="I614" s="79"/>
      <c r="J614" s="79"/>
      <c r="K614" s="80"/>
      <c r="L614" s="29"/>
      <c r="M614" s="78">
        <f t="shared" ref="M614:M621" si="138">M606</f>
        <v>5752.6095999999998</v>
      </c>
      <c r="N614" s="78">
        <f t="shared" ref="N614:P617" si="139">AVERAGE(N367,N371,N391,N395,N399)</f>
        <v>40.693079999999995</v>
      </c>
      <c r="O614" s="78">
        <f t="shared" si="139"/>
        <v>46.854439999999997</v>
      </c>
      <c r="P614" s="78">
        <f t="shared" si="139"/>
        <v>46.253280000000004</v>
      </c>
      <c r="Q614" s="79"/>
      <c r="R614" s="79"/>
      <c r="S614" s="80"/>
      <c r="U614" s="8">
        <f>bdrate($E614:$E617,F614:F617,$M614:$M617,N614:N617)</f>
        <v>1.0364479011459871E-4</v>
      </c>
      <c r="V614" s="9">
        <f>bdrate($E614:$E617,G614:G617,$M614:$M617,O614:O617)</f>
        <v>-2.0967739126473983E-3</v>
      </c>
      <c r="W614" s="10">
        <f>bdrate($E614:$E617,H614:H617,$M614:$M617,P614:P617)</f>
        <v>1.349422882310547E-3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2701.2095999999997</v>
      </c>
      <c r="F615" s="70">
        <f t="shared" si="137"/>
        <v>37.856859999999998</v>
      </c>
      <c r="G615" s="70">
        <f t="shared" si="137"/>
        <v>45.10718</v>
      </c>
      <c r="H615" s="70">
        <f t="shared" si="137"/>
        <v>44.286900000000003</v>
      </c>
      <c r="I615" s="66"/>
      <c r="J615" s="66"/>
      <c r="K615" s="67"/>
      <c r="L615" s="29"/>
      <c r="M615" s="70">
        <f t="shared" si="138"/>
        <v>2703.7687999999998</v>
      </c>
      <c r="N615" s="70">
        <f t="shared" si="139"/>
        <v>37.861460000000008</v>
      </c>
      <c r="O615" s="70">
        <f t="shared" si="139"/>
        <v>45.118759999999995</v>
      </c>
      <c r="P615" s="70">
        <f t="shared" si="139"/>
        <v>44.295399999999994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1319.5704000000001</v>
      </c>
      <c r="F616" s="70">
        <f t="shared" si="137"/>
        <v>35.205660000000002</v>
      </c>
      <c r="G616" s="70">
        <f t="shared" si="137"/>
        <v>43.403080000000003</v>
      </c>
      <c r="H616" s="70">
        <f t="shared" si="137"/>
        <v>42.377880000000005</v>
      </c>
      <c r="I616" s="66"/>
      <c r="J616" s="66"/>
      <c r="K616" s="67"/>
      <c r="L616" s="29"/>
      <c r="M616" s="70">
        <f t="shared" si="138"/>
        <v>1319.3392000000001</v>
      </c>
      <c r="N616" s="70">
        <f t="shared" si="139"/>
        <v>35.202440000000003</v>
      </c>
      <c r="O616" s="70">
        <f t="shared" si="139"/>
        <v>43.398820000000001</v>
      </c>
      <c r="P616" s="70">
        <f t="shared" si="139"/>
        <v>42.368180000000002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635.92720000000008</v>
      </c>
      <c r="F617" s="81">
        <f t="shared" si="137"/>
        <v>32.802520000000001</v>
      </c>
      <c r="G617" s="81">
        <f t="shared" si="137"/>
        <v>42.233180000000004</v>
      </c>
      <c r="H617" s="81">
        <f t="shared" si="137"/>
        <v>40.95758</v>
      </c>
      <c r="I617" s="68"/>
      <c r="J617" s="68"/>
      <c r="K617" s="69"/>
      <c r="L617" s="29"/>
      <c r="M617" s="81">
        <f t="shared" si="138"/>
        <v>636.01280000000008</v>
      </c>
      <c r="N617" s="81">
        <f t="shared" si="139"/>
        <v>32.80498</v>
      </c>
      <c r="O617" s="81">
        <f t="shared" si="139"/>
        <v>42.244039999999998</v>
      </c>
      <c r="P617" s="81">
        <f t="shared" si="139"/>
        <v>40.945639999999997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6694.2031999999999</v>
      </c>
      <c r="F618" s="78">
        <f t="shared" ref="F618:H621" si="140">AVERAGE(F367,F371,F375,F391,F395,F399,F403,F407,F411)</f>
        <v>40.609600000000007</v>
      </c>
      <c r="G618" s="78">
        <f t="shared" si="140"/>
        <v>46.85071111111111</v>
      </c>
      <c r="H618" s="78">
        <f t="shared" si="140"/>
        <v>46.32608888888889</v>
      </c>
      <c r="I618" s="79"/>
      <c r="J618" s="79"/>
      <c r="K618" s="80"/>
      <c r="L618" s="29"/>
      <c r="M618" s="78">
        <f t="shared" si="138"/>
        <v>6693.2695999999996</v>
      </c>
      <c r="N618" s="78">
        <f t="shared" ref="N618:P621" si="141">AVERAGE(N367,N371,N375,N391,N395,N399,N403,N407,N411)</f>
        <v>40.610911111111108</v>
      </c>
      <c r="O618" s="78">
        <f t="shared" si="141"/>
        <v>46.860411111111112</v>
      </c>
      <c r="P618" s="78">
        <f t="shared" si="141"/>
        <v>46.322011111111102</v>
      </c>
      <c r="Q618" s="79"/>
      <c r="R618" s="79"/>
      <c r="S618" s="80"/>
      <c r="U618" s="8">
        <f>bdrate($E618:$E621,F618:F621,$M618:$M621,N618:N621)</f>
        <v>1.1487453995395747E-4</v>
      </c>
      <c r="V618" s="9">
        <f>bdrate($E618:$E621,G618:G621,$M618:$M621,O618:O621)</f>
        <v>-6.1493632645326368E-4</v>
      </c>
      <c r="W618" s="10">
        <f>bdrate($E618:$E621,H618:H621,$M618:$M621,P618:P621)</f>
        <v>9.0106592971195276E-4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3084.0711999999999</v>
      </c>
      <c r="F619" s="70">
        <f t="shared" si="140"/>
        <v>37.790299999999995</v>
      </c>
      <c r="G619" s="70">
        <f t="shared" si="140"/>
        <v>45.135233333333332</v>
      </c>
      <c r="H619" s="70">
        <f t="shared" si="140"/>
        <v>44.343866666666671</v>
      </c>
      <c r="I619" s="66"/>
      <c r="J619" s="66"/>
      <c r="K619" s="67"/>
      <c r="L619" s="29"/>
      <c r="M619" s="70">
        <f t="shared" si="138"/>
        <v>3088.1368000000002</v>
      </c>
      <c r="N619" s="70">
        <f t="shared" si="141"/>
        <v>37.7958</v>
      </c>
      <c r="O619" s="70">
        <f t="shared" si="141"/>
        <v>45.145911111111111</v>
      </c>
      <c r="P619" s="70">
        <f t="shared" si="141"/>
        <v>44.350377777777773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1509.3335999999999</v>
      </c>
      <c r="F620" s="70">
        <f t="shared" si="140"/>
        <v>35.155044444444442</v>
      </c>
      <c r="G620" s="70">
        <f t="shared" si="140"/>
        <v>43.440944444444447</v>
      </c>
      <c r="H620" s="70">
        <f t="shared" si="140"/>
        <v>42.419711111111113</v>
      </c>
      <c r="I620" s="66"/>
      <c r="J620" s="66"/>
      <c r="K620" s="67"/>
      <c r="L620" s="29"/>
      <c r="M620" s="70">
        <f t="shared" si="138"/>
        <v>1509.116</v>
      </c>
      <c r="N620" s="70">
        <f t="shared" si="141"/>
        <v>35.150055555555554</v>
      </c>
      <c r="O620" s="70">
        <f t="shared" si="141"/>
        <v>43.42774444444445</v>
      </c>
      <c r="P620" s="70">
        <f t="shared" si="141"/>
        <v>42.414933333333337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734.84640000000002</v>
      </c>
      <c r="F621" s="81">
        <f t="shared" si="140"/>
        <v>32.752300000000005</v>
      </c>
      <c r="G621" s="81">
        <f t="shared" si="140"/>
        <v>42.258044444444444</v>
      </c>
      <c r="H621" s="81">
        <f t="shared" si="140"/>
        <v>40.967577777777784</v>
      </c>
      <c r="I621" s="68"/>
      <c r="J621" s="68"/>
      <c r="K621" s="69"/>
      <c r="L621" s="29"/>
      <c r="M621" s="81">
        <f t="shared" si="138"/>
        <v>734.49360000000001</v>
      </c>
      <c r="N621" s="81">
        <f t="shared" si="141"/>
        <v>32.756244444444434</v>
      </c>
      <c r="O621" s="81">
        <f t="shared" si="141"/>
        <v>42.268722222222223</v>
      </c>
      <c r="P621" s="81">
        <f t="shared" si="141"/>
        <v>40.956766666666667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2015-05-22T02:40:39Z</dcterms:modified>
</cp:coreProperties>
</file>