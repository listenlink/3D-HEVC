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3600" yWindow="1665" windowWidth="19320" windowHeight="12120" tabRatio="547"/>
  </bookViews>
  <sheets>
    <sheet name="summary (auto)" sheetId="27" r:id="rId1"/>
    <sheet name="experimental data" sheetId="21" r:id="rId2"/>
  </sheets>
  <functionGroups/>
  <calcPr calcId="125725" concurrentCalc="0"/>
</workbook>
</file>

<file path=xl/calcChain.xml><?xml version="1.0" encoding="utf-8"?>
<calcChain xmlns="http://schemas.openxmlformats.org/spreadsheetml/2006/main">
  <c r="M609" i="21"/>
  <c r="M608"/>
  <c r="M607"/>
  <c r="M606"/>
  <c r="N606"/>
  <c r="N607"/>
  <c r="N608"/>
  <c r="N609"/>
  <c r="E609"/>
  <c r="E608"/>
  <c r="E607"/>
  <c r="E606"/>
  <c r="F606"/>
  <c r="F607"/>
  <c r="F608"/>
  <c r="F609"/>
  <c r="U606"/>
  <c r="G28" i="27"/>
  <c r="M617" i="21"/>
  <c r="M616"/>
  <c r="M615"/>
  <c r="M614"/>
  <c r="N598"/>
  <c r="N599"/>
  <c r="N600"/>
  <c r="N601"/>
  <c r="E617"/>
  <c r="E616"/>
  <c r="E615"/>
  <c r="E614"/>
  <c r="F598"/>
  <c r="F599"/>
  <c r="F600"/>
  <c r="F601"/>
  <c r="F28" i="27"/>
  <c r="M601" i="21"/>
  <c r="M600"/>
  <c r="M599"/>
  <c r="M598"/>
  <c r="E601"/>
  <c r="E600"/>
  <c r="E599"/>
  <c r="E598"/>
  <c r="U598"/>
  <c r="E28" i="27"/>
  <c r="U371" i="21"/>
  <c r="D28" i="27"/>
  <c r="U367" i="21"/>
  <c r="C28" i="27"/>
  <c r="B598" i="21"/>
  <c r="B28" i="27"/>
  <c r="M585" i="21"/>
  <c r="M584"/>
  <c r="M583"/>
  <c r="M582"/>
  <c r="N582"/>
  <c r="N583"/>
  <c r="N584"/>
  <c r="N585"/>
  <c r="E585"/>
  <c r="E584"/>
  <c r="E583"/>
  <c r="E582"/>
  <c r="F582"/>
  <c r="F583"/>
  <c r="F584"/>
  <c r="F585"/>
  <c r="U582"/>
  <c r="G27" i="27"/>
  <c r="M593" i="21"/>
  <c r="M592"/>
  <c r="M591"/>
  <c r="M590"/>
  <c r="N574"/>
  <c r="N575"/>
  <c r="N576"/>
  <c r="N577"/>
  <c r="E593"/>
  <c r="E592"/>
  <c r="E591"/>
  <c r="E590"/>
  <c r="F574"/>
  <c r="F575"/>
  <c r="F576"/>
  <c r="F577"/>
  <c r="F27" i="27"/>
  <c r="M577" i="21"/>
  <c r="M576"/>
  <c r="M575"/>
  <c r="M574"/>
  <c r="E577"/>
  <c r="E576"/>
  <c r="E575"/>
  <c r="E574"/>
  <c r="U574"/>
  <c r="E27" i="27"/>
  <c r="U319" i="21"/>
  <c r="D27" i="27"/>
  <c r="U315" i="21"/>
  <c r="C27" i="27"/>
  <c r="B27"/>
  <c r="M561" i="21"/>
  <c r="M560"/>
  <c r="M559"/>
  <c r="M558"/>
  <c r="N558"/>
  <c r="N559"/>
  <c r="N560"/>
  <c r="N561"/>
  <c r="E561"/>
  <c r="E560"/>
  <c r="E559"/>
  <c r="E558"/>
  <c r="F558"/>
  <c r="F559"/>
  <c r="F560"/>
  <c r="F561"/>
  <c r="U558"/>
  <c r="G26" i="27"/>
  <c r="M569" i="21"/>
  <c r="M568"/>
  <c r="M567"/>
  <c r="M566"/>
  <c r="N550"/>
  <c r="N551"/>
  <c r="N552"/>
  <c r="N553"/>
  <c r="E569"/>
  <c r="E568"/>
  <c r="E567"/>
  <c r="E566"/>
  <c r="F550"/>
  <c r="F551"/>
  <c r="F552"/>
  <c r="F553"/>
  <c r="F26" i="27"/>
  <c r="M553" i="21"/>
  <c r="M552"/>
  <c r="M551"/>
  <c r="M550"/>
  <c r="E553"/>
  <c r="E552"/>
  <c r="E551"/>
  <c r="E550"/>
  <c r="U550"/>
  <c r="E26" i="27"/>
  <c r="U267" i="21"/>
  <c r="D26" i="27"/>
  <c r="U263" i="21"/>
  <c r="C26" i="27"/>
  <c r="B26"/>
  <c r="M537" i="21"/>
  <c r="M536"/>
  <c r="M535"/>
  <c r="M534"/>
  <c r="N534"/>
  <c r="N535"/>
  <c r="N536"/>
  <c r="N537"/>
  <c r="E537"/>
  <c r="E536"/>
  <c r="E535"/>
  <c r="E534"/>
  <c r="F534"/>
  <c r="F535"/>
  <c r="F536"/>
  <c r="F537"/>
  <c r="U534"/>
  <c r="G25" i="27"/>
  <c r="M545" i="21"/>
  <c r="M544"/>
  <c r="M543"/>
  <c r="M542"/>
  <c r="N526"/>
  <c r="N527"/>
  <c r="N528"/>
  <c r="N529"/>
  <c r="E545"/>
  <c r="E544"/>
  <c r="E543"/>
  <c r="E542"/>
  <c r="F526"/>
  <c r="F527"/>
  <c r="F528"/>
  <c r="F529"/>
  <c r="F25" i="27"/>
  <c r="M529" i="21"/>
  <c r="M528"/>
  <c r="M527"/>
  <c r="M526"/>
  <c r="E529"/>
  <c r="E528"/>
  <c r="E527"/>
  <c r="E526"/>
  <c r="U526"/>
  <c r="E25" i="27"/>
  <c r="U215" i="21"/>
  <c r="D25" i="27"/>
  <c r="U211" i="21"/>
  <c r="C25" i="27"/>
  <c r="B25"/>
  <c r="M513" i="21"/>
  <c r="M512"/>
  <c r="M511"/>
  <c r="M510"/>
  <c r="N510"/>
  <c r="N511"/>
  <c r="N512"/>
  <c r="N513"/>
  <c r="E513"/>
  <c r="E512"/>
  <c r="E511"/>
  <c r="E510"/>
  <c r="F510"/>
  <c r="F511"/>
  <c r="F512"/>
  <c r="F513"/>
  <c r="U510"/>
  <c r="G24" i="27"/>
  <c r="M521" i="21"/>
  <c r="M520"/>
  <c r="M519"/>
  <c r="M518"/>
  <c r="N502"/>
  <c r="N503"/>
  <c r="N504"/>
  <c r="N505"/>
  <c r="E521"/>
  <c r="E520"/>
  <c r="E519"/>
  <c r="E518"/>
  <c r="F502"/>
  <c r="F503"/>
  <c r="F504"/>
  <c r="F505"/>
  <c r="F24" i="27"/>
  <c r="M505" i="21"/>
  <c r="M504"/>
  <c r="M503"/>
  <c r="M502"/>
  <c r="E505"/>
  <c r="E504"/>
  <c r="E503"/>
  <c r="E502"/>
  <c r="U502"/>
  <c r="E24" i="27"/>
  <c r="U163" i="21"/>
  <c r="D24" i="27"/>
  <c r="U159" i="21"/>
  <c r="C24" i="27"/>
  <c r="B24"/>
  <c r="M489" i="21"/>
  <c r="M488"/>
  <c r="M487"/>
  <c r="M486"/>
  <c r="N486"/>
  <c r="N487"/>
  <c r="N488"/>
  <c r="N489"/>
  <c r="E489"/>
  <c r="E488"/>
  <c r="E487"/>
  <c r="E486"/>
  <c r="F486"/>
  <c r="F487"/>
  <c r="F488"/>
  <c r="F489"/>
  <c r="U486"/>
  <c r="G23" i="27"/>
  <c r="M497" i="21"/>
  <c r="M496"/>
  <c r="M495"/>
  <c r="M494"/>
  <c r="N478"/>
  <c r="N479"/>
  <c r="N480"/>
  <c r="N481"/>
  <c r="E497"/>
  <c r="E496"/>
  <c r="E495"/>
  <c r="E494"/>
  <c r="F478"/>
  <c r="F479"/>
  <c r="F480"/>
  <c r="F481"/>
  <c r="F23" i="27"/>
  <c r="M481" i="21"/>
  <c r="M480"/>
  <c r="M479"/>
  <c r="M478"/>
  <c r="E481"/>
  <c r="E480"/>
  <c r="E479"/>
  <c r="E478"/>
  <c r="U478"/>
  <c r="E23" i="27"/>
  <c r="U111" i="21"/>
  <c r="D23" i="27"/>
  <c r="U107" i="21"/>
  <c r="C23" i="27"/>
  <c r="B23"/>
  <c r="M465" i="21"/>
  <c r="M464"/>
  <c r="M463"/>
  <c r="M462"/>
  <c r="N462"/>
  <c r="N463"/>
  <c r="N464"/>
  <c r="N465"/>
  <c r="E465"/>
  <c r="E464"/>
  <c r="E463"/>
  <c r="E462"/>
  <c r="F462"/>
  <c r="F463"/>
  <c r="F464"/>
  <c r="F465"/>
  <c r="U462"/>
  <c r="G22" i="27"/>
  <c r="M473" i="21"/>
  <c r="M472"/>
  <c r="M471"/>
  <c r="M470"/>
  <c r="N454"/>
  <c r="N455"/>
  <c r="N456"/>
  <c r="N457"/>
  <c r="E473"/>
  <c r="E472"/>
  <c r="E471"/>
  <c r="E470"/>
  <c r="F454"/>
  <c r="F455"/>
  <c r="F456"/>
  <c r="F457"/>
  <c r="F22" i="27"/>
  <c r="M457" i="21"/>
  <c r="M456"/>
  <c r="M455"/>
  <c r="M454"/>
  <c r="E457"/>
  <c r="E456"/>
  <c r="E455"/>
  <c r="E454"/>
  <c r="U454"/>
  <c r="E22" i="27"/>
  <c r="U59" i="21"/>
  <c r="D22" i="27"/>
  <c r="U55" i="21"/>
  <c r="C22" i="27"/>
  <c r="B22"/>
  <c r="M441" i="21"/>
  <c r="M440"/>
  <c r="M439"/>
  <c r="M438"/>
  <c r="N438"/>
  <c r="N439"/>
  <c r="N440"/>
  <c r="N441"/>
  <c r="E441"/>
  <c r="E440"/>
  <c r="E439"/>
  <c r="E438"/>
  <c r="F438"/>
  <c r="F439"/>
  <c r="F440"/>
  <c r="F441"/>
  <c r="U438"/>
  <c r="G21" i="27"/>
  <c r="M449" i="21"/>
  <c r="M448"/>
  <c r="M447"/>
  <c r="M446"/>
  <c r="N430"/>
  <c r="N431"/>
  <c r="N432"/>
  <c r="N433"/>
  <c r="E449"/>
  <c r="E448"/>
  <c r="E447"/>
  <c r="E446"/>
  <c r="F430"/>
  <c r="F431"/>
  <c r="F432"/>
  <c r="F433"/>
  <c r="F21" i="27"/>
  <c r="M433" i="21"/>
  <c r="M432"/>
  <c r="M431"/>
  <c r="M430"/>
  <c r="E433"/>
  <c r="E432"/>
  <c r="E431"/>
  <c r="E430"/>
  <c r="U430"/>
  <c r="E21" i="27"/>
  <c r="U7" i="21"/>
  <c r="D21" i="27"/>
  <c r="U3" i="21"/>
  <c r="C21" i="27"/>
  <c r="B21"/>
  <c r="AA415" i="21"/>
  <c r="K12" i="27"/>
  <c r="Z415" i="21"/>
  <c r="J12" i="27"/>
  <c r="Y415" i="21"/>
  <c r="I12" i="27"/>
  <c r="M613" i="21"/>
  <c r="M612"/>
  <c r="M611"/>
  <c r="M610"/>
  <c r="N610"/>
  <c r="N611"/>
  <c r="N612"/>
  <c r="N613"/>
  <c r="E613"/>
  <c r="E612"/>
  <c r="E611"/>
  <c r="E610"/>
  <c r="F610"/>
  <c r="F611"/>
  <c r="F612"/>
  <c r="F613"/>
  <c r="U610"/>
  <c r="H12" i="27"/>
  <c r="M621" i="21"/>
  <c r="M620"/>
  <c r="M619"/>
  <c r="M618"/>
  <c r="N602"/>
  <c r="N603"/>
  <c r="N604"/>
  <c r="N605"/>
  <c r="E621"/>
  <c r="E620"/>
  <c r="E619"/>
  <c r="E618"/>
  <c r="F602"/>
  <c r="F603"/>
  <c r="F604"/>
  <c r="F605"/>
  <c r="G12" i="27"/>
  <c r="M605" i="21"/>
  <c r="M604"/>
  <c r="M603"/>
  <c r="M602"/>
  <c r="E605"/>
  <c r="E604"/>
  <c r="E603"/>
  <c r="E602"/>
  <c r="U602"/>
  <c r="F12" i="27"/>
  <c r="U375" i="21"/>
  <c r="E12" i="27"/>
  <c r="D12"/>
  <c r="C12"/>
  <c r="B12"/>
  <c r="AA363" i="21"/>
  <c r="K11" i="27"/>
  <c r="Z363" i="21"/>
  <c r="J11" i="27"/>
  <c r="Y363" i="21"/>
  <c r="I11" i="27"/>
  <c r="M589" i="21"/>
  <c r="M588"/>
  <c r="M587"/>
  <c r="M586"/>
  <c r="N586"/>
  <c r="N587"/>
  <c r="N588"/>
  <c r="N589"/>
  <c r="E589"/>
  <c r="E588"/>
  <c r="E587"/>
  <c r="E586"/>
  <c r="F586"/>
  <c r="F587"/>
  <c r="F588"/>
  <c r="F589"/>
  <c r="U586"/>
  <c r="H11" i="27"/>
  <c r="M597" i="21"/>
  <c r="M596"/>
  <c r="M595"/>
  <c r="M594"/>
  <c r="N578"/>
  <c r="N579"/>
  <c r="N580"/>
  <c r="N581"/>
  <c r="E597"/>
  <c r="E596"/>
  <c r="E595"/>
  <c r="E594"/>
  <c r="F578"/>
  <c r="F579"/>
  <c r="F580"/>
  <c r="F581"/>
  <c r="G11" i="27"/>
  <c r="M581" i="21"/>
  <c r="M580"/>
  <c r="M579"/>
  <c r="M578"/>
  <c r="E581"/>
  <c r="E580"/>
  <c r="E579"/>
  <c r="E578"/>
  <c r="U578"/>
  <c r="F11" i="27"/>
  <c r="U323" i="21"/>
  <c r="E11" i="27"/>
  <c r="D11"/>
  <c r="C11"/>
  <c r="B11"/>
  <c r="AA311" i="21"/>
  <c r="K10" i="27"/>
  <c r="Z311" i="21"/>
  <c r="J10" i="27"/>
  <c r="Y311" i="21"/>
  <c r="I10" i="27"/>
  <c r="M565" i="21"/>
  <c r="M564"/>
  <c r="M563"/>
  <c r="M562"/>
  <c r="N562"/>
  <c r="N563"/>
  <c r="N564"/>
  <c r="N565"/>
  <c r="E565"/>
  <c r="E564"/>
  <c r="E563"/>
  <c r="E562"/>
  <c r="F562"/>
  <c r="F563"/>
  <c r="F564"/>
  <c r="F565"/>
  <c r="U562"/>
  <c r="H10" i="27"/>
  <c r="M573" i="21"/>
  <c r="M572"/>
  <c r="M571"/>
  <c r="M570"/>
  <c r="N554"/>
  <c r="N555"/>
  <c r="N556"/>
  <c r="N557"/>
  <c r="E573"/>
  <c r="E572"/>
  <c r="E571"/>
  <c r="E570"/>
  <c r="F554"/>
  <c r="F555"/>
  <c r="F556"/>
  <c r="F557"/>
  <c r="G10" i="27"/>
  <c r="M557" i="21"/>
  <c r="M556"/>
  <c r="M555"/>
  <c r="M554"/>
  <c r="E557"/>
  <c r="E556"/>
  <c r="E555"/>
  <c r="E554"/>
  <c r="U554"/>
  <c r="F10" i="27"/>
  <c r="U271" i="21"/>
  <c r="E10" i="27"/>
  <c r="D10"/>
  <c r="C10"/>
  <c r="B10"/>
  <c r="AA259" i="21"/>
  <c r="K9" i="27"/>
  <c r="Z259" i="21"/>
  <c r="J9" i="27"/>
  <c r="Y259" i="21"/>
  <c r="I9" i="27"/>
  <c r="M541" i="21"/>
  <c r="M540"/>
  <c r="M539"/>
  <c r="M538"/>
  <c r="N538"/>
  <c r="N539"/>
  <c r="N540"/>
  <c r="N541"/>
  <c r="E541"/>
  <c r="E540"/>
  <c r="E539"/>
  <c r="E538"/>
  <c r="F538"/>
  <c r="F539"/>
  <c r="F540"/>
  <c r="F541"/>
  <c r="U538"/>
  <c r="H9" i="27"/>
  <c r="M549" i="21"/>
  <c r="M548"/>
  <c r="M547"/>
  <c r="M546"/>
  <c r="N530"/>
  <c r="N531"/>
  <c r="N532"/>
  <c r="N533"/>
  <c r="E549"/>
  <c r="E548"/>
  <c r="E547"/>
  <c r="E546"/>
  <c r="F530"/>
  <c r="F531"/>
  <c r="F532"/>
  <c r="F533"/>
  <c r="G9" i="27"/>
  <c r="M533" i="21"/>
  <c r="M532"/>
  <c r="M531"/>
  <c r="M530"/>
  <c r="E533"/>
  <c r="E532"/>
  <c r="E531"/>
  <c r="E530"/>
  <c r="U530"/>
  <c r="F9" i="27"/>
  <c r="U219" i="21"/>
  <c r="E9" i="27"/>
  <c r="D9"/>
  <c r="C9"/>
  <c r="B9"/>
  <c r="AA207" i="21"/>
  <c r="K8" i="27"/>
  <c r="Z207" i="21"/>
  <c r="J8" i="27"/>
  <c r="Y207" i="21"/>
  <c r="I8" i="27"/>
  <c r="M517" i="21"/>
  <c r="M516"/>
  <c r="M515"/>
  <c r="M514"/>
  <c r="N514"/>
  <c r="N515"/>
  <c r="N516"/>
  <c r="N517"/>
  <c r="E517"/>
  <c r="E516"/>
  <c r="E515"/>
  <c r="E514"/>
  <c r="F514"/>
  <c r="F515"/>
  <c r="F516"/>
  <c r="F517"/>
  <c r="U514"/>
  <c r="H8" i="27"/>
  <c r="M525" i="21"/>
  <c r="M524"/>
  <c r="M523"/>
  <c r="M522"/>
  <c r="N506"/>
  <c r="N507"/>
  <c r="N508"/>
  <c r="N509"/>
  <c r="E525"/>
  <c r="E524"/>
  <c r="E523"/>
  <c r="E522"/>
  <c r="F506"/>
  <c r="F507"/>
  <c r="F508"/>
  <c r="F509"/>
  <c r="G8" i="27"/>
  <c r="M509" i="21"/>
  <c r="M508"/>
  <c r="M507"/>
  <c r="M506"/>
  <c r="E509"/>
  <c r="E508"/>
  <c r="E507"/>
  <c r="E506"/>
  <c r="U506"/>
  <c r="F8" i="27"/>
  <c r="U167" i="21"/>
  <c r="E8" i="27"/>
  <c r="D8"/>
  <c r="C8"/>
  <c r="B8"/>
  <c r="AA155" i="21"/>
  <c r="K7" i="27"/>
  <c r="Z155" i="21"/>
  <c r="J7" i="27"/>
  <c r="Y155" i="21"/>
  <c r="I7" i="27"/>
  <c r="M493" i="21"/>
  <c r="M492"/>
  <c r="M491"/>
  <c r="M490"/>
  <c r="N490"/>
  <c r="N491"/>
  <c r="N492"/>
  <c r="N493"/>
  <c r="E493"/>
  <c r="E492"/>
  <c r="E491"/>
  <c r="E490"/>
  <c r="F490"/>
  <c r="F491"/>
  <c r="F492"/>
  <c r="F493"/>
  <c r="U490"/>
  <c r="H7" i="27"/>
  <c r="M501" i="21"/>
  <c r="M500"/>
  <c r="M499"/>
  <c r="M498"/>
  <c r="N482"/>
  <c r="N483"/>
  <c r="N484"/>
  <c r="N485"/>
  <c r="E501"/>
  <c r="E500"/>
  <c r="E499"/>
  <c r="E498"/>
  <c r="F482"/>
  <c r="F483"/>
  <c r="F484"/>
  <c r="F485"/>
  <c r="G7" i="27"/>
  <c r="M485" i="21"/>
  <c r="M484"/>
  <c r="M483"/>
  <c r="M482"/>
  <c r="E485"/>
  <c r="E484"/>
  <c r="E483"/>
  <c r="E482"/>
  <c r="U482"/>
  <c r="F7" i="27"/>
  <c r="U115" i="21"/>
  <c r="E7" i="27"/>
  <c r="D7"/>
  <c r="C7"/>
  <c r="B7"/>
  <c r="AA103" i="21"/>
  <c r="K6" i="27"/>
  <c r="Z103" i="21"/>
  <c r="J6" i="27"/>
  <c r="Y103" i="21"/>
  <c r="I6" i="27"/>
  <c r="M469" i="21"/>
  <c r="M468"/>
  <c r="M467"/>
  <c r="M466"/>
  <c r="N466"/>
  <c r="N467"/>
  <c r="N468"/>
  <c r="N469"/>
  <c r="E469"/>
  <c r="E468"/>
  <c r="E467"/>
  <c r="E466"/>
  <c r="F466"/>
  <c r="F467"/>
  <c r="F468"/>
  <c r="F469"/>
  <c r="U466"/>
  <c r="H6" i="27"/>
  <c r="M477" i="21"/>
  <c r="M476"/>
  <c r="M475"/>
  <c r="M474"/>
  <c r="N458"/>
  <c r="N459"/>
  <c r="N460"/>
  <c r="N461"/>
  <c r="E477"/>
  <c r="E476"/>
  <c r="E475"/>
  <c r="E474"/>
  <c r="F458"/>
  <c r="F459"/>
  <c r="F460"/>
  <c r="F461"/>
  <c r="G6" i="27"/>
  <c r="M461" i="21"/>
  <c r="M460"/>
  <c r="M459"/>
  <c r="M458"/>
  <c r="E461"/>
  <c r="E460"/>
  <c r="E459"/>
  <c r="E458"/>
  <c r="U458"/>
  <c r="F6" i="27"/>
  <c r="U63" i="21"/>
  <c r="E6" i="27"/>
  <c r="D6"/>
  <c r="C6"/>
  <c r="B6"/>
  <c r="AA51" i="21"/>
  <c r="K5" i="27"/>
  <c r="Z51" i="21"/>
  <c r="J5" i="27"/>
  <c r="Y51" i="21"/>
  <c r="I5" i="27"/>
  <c r="M445" i="21"/>
  <c r="M444"/>
  <c r="M443"/>
  <c r="M442"/>
  <c r="N442"/>
  <c r="N443"/>
  <c r="N444"/>
  <c r="N445"/>
  <c r="E445"/>
  <c r="E444"/>
  <c r="E443"/>
  <c r="E442"/>
  <c r="F442"/>
  <c r="F443"/>
  <c r="F444"/>
  <c r="F445"/>
  <c r="U442"/>
  <c r="H5" i="27"/>
  <c r="M453" i="21"/>
  <c r="M452"/>
  <c r="M451"/>
  <c r="M450"/>
  <c r="N434"/>
  <c r="N435"/>
  <c r="N436"/>
  <c r="N437"/>
  <c r="E453"/>
  <c r="E452"/>
  <c r="E451"/>
  <c r="E450"/>
  <c r="F434"/>
  <c r="F435"/>
  <c r="F436"/>
  <c r="F437"/>
  <c r="G5" i="27"/>
  <c r="M437" i="21"/>
  <c r="M436"/>
  <c r="M435"/>
  <c r="M434"/>
  <c r="E437"/>
  <c r="E436"/>
  <c r="E435"/>
  <c r="E434"/>
  <c r="U434"/>
  <c r="F5" i="27"/>
  <c r="U11" i="21"/>
  <c r="E5" i="27"/>
  <c r="D5"/>
  <c r="C5"/>
  <c r="B5"/>
  <c r="G31"/>
  <c r="F31"/>
  <c r="E31"/>
  <c r="D31"/>
  <c r="C31"/>
  <c r="G30"/>
  <c r="F30"/>
  <c r="E30"/>
  <c r="D30"/>
  <c r="C30"/>
  <c r="G29"/>
  <c r="F29"/>
  <c r="E29"/>
  <c r="D29"/>
  <c r="C29"/>
  <c r="K15"/>
  <c r="J15"/>
  <c r="I15"/>
  <c r="H15"/>
  <c r="G15"/>
  <c r="F15"/>
  <c r="E15"/>
  <c r="D15"/>
  <c r="C15"/>
  <c r="K14"/>
  <c r="J14"/>
  <c r="I14"/>
  <c r="H14"/>
  <c r="G14"/>
  <c r="F14"/>
  <c r="E14"/>
  <c r="D14"/>
  <c r="C14"/>
  <c r="K13"/>
  <c r="J13"/>
  <c r="I13"/>
  <c r="H13"/>
  <c r="G13"/>
  <c r="F13"/>
  <c r="E13"/>
  <c r="D13"/>
  <c r="C13"/>
  <c r="P621" i="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W618"/>
  <c r="V618"/>
  <c r="U618"/>
  <c r="W614"/>
  <c r="V614"/>
  <c r="U614"/>
  <c r="W610"/>
  <c r="V610"/>
  <c r="W606"/>
  <c r="V606"/>
  <c r="W602"/>
  <c r="V602"/>
  <c r="W598"/>
  <c r="V598"/>
  <c r="U387"/>
  <c r="U383"/>
  <c r="U379"/>
  <c r="W375"/>
  <c r="V375"/>
  <c r="W371"/>
  <c r="V371"/>
  <c r="W367"/>
  <c r="V367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S425"/>
  <c r="R422"/>
  <c r="Q422"/>
  <c r="S421"/>
  <c r="R421"/>
  <c r="J421"/>
  <c r="R424"/>
  <c r="Q421"/>
  <c r="S420"/>
  <c r="R420"/>
  <c r="Q420"/>
  <c r="K421"/>
  <c r="K420"/>
  <c r="S423"/>
  <c r="J422"/>
  <c r="J420"/>
  <c r="R423"/>
  <c r="I422"/>
  <c r="I421"/>
  <c r="Q424"/>
  <c r="I420"/>
  <c r="Q423"/>
  <c r="Q425"/>
  <c r="R425"/>
  <c r="S424"/>
  <c r="W454"/>
  <c r="V570"/>
  <c r="W522"/>
  <c r="W462"/>
  <c r="W446"/>
  <c r="U570"/>
  <c r="U518"/>
  <c r="V514"/>
  <c r="U335"/>
  <c r="W115"/>
  <c r="W478"/>
  <c r="W263"/>
  <c r="V434"/>
  <c r="W442"/>
  <c r="W490"/>
  <c r="W438"/>
  <c r="V462"/>
  <c r="W267"/>
  <c r="V506"/>
  <c r="V510"/>
  <c r="W562"/>
  <c r="V450"/>
  <c r="W498"/>
  <c r="W514"/>
  <c r="U522"/>
  <c r="U75"/>
  <c r="W590"/>
  <c r="W566"/>
  <c r="W107"/>
  <c r="V430"/>
  <c r="V11"/>
  <c r="U171"/>
  <c r="W458"/>
  <c r="V522"/>
  <c r="U494"/>
  <c r="W594"/>
  <c r="U175"/>
  <c r="W526"/>
  <c r="V542"/>
  <c r="U446"/>
  <c r="W319"/>
  <c r="U566"/>
  <c r="U231"/>
  <c r="V115"/>
  <c r="U119"/>
  <c r="U127"/>
  <c r="V215"/>
  <c r="V494"/>
  <c r="V263"/>
  <c r="V111"/>
  <c r="W211"/>
  <c r="U71"/>
  <c r="V63"/>
  <c r="V458"/>
  <c r="V271"/>
  <c r="W167"/>
  <c r="V562"/>
  <c r="V55"/>
  <c r="W474"/>
  <c r="W502"/>
  <c r="U279"/>
  <c r="U498"/>
  <c r="W271"/>
  <c r="V530"/>
  <c r="W111"/>
  <c r="W219"/>
  <c r="W546"/>
  <c r="U227"/>
  <c r="U594"/>
  <c r="U275"/>
  <c r="U327"/>
  <c r="V3"/>
  <c r="U123"/>
  <c r="V566"/>
  <c r="V474"/>
  <c r="W63"/>
  <c r="U546"/>
  <c r="W558"/>
  <c r="V442"/>
  <c r="V267"/>
  <c r="W510"/>
  <c r="W3"/>
  <c r="U542"/>
  <c r="U590"/>
  <c r="U223"/>
  <c r="W159"/>
  <c r="W586"/>
  <c r="V438"/>
  <c r="W542"/>
  <c r="V315"/>
  <c r="V107"/>
  <c r="W430"/>
  <c r="U67"/>
  <c r="V466"/>
  <c r="V534"/>
  <c r="U19"/>
  <c r="W466"/>
  <c r="V550"/>
  <c r="W574"/>
  <c r="V498"/>
  <c r="W550"/>
  <c r="U23"/>
  <c r="W582"/>
  <c r="W486"/>
  <c r="V590"/>
  <c r="W578"/>
  <c r="V211"/>
  <c r="V486"/>
  <c r="V159"/>
  <c r="W538"/>
  <c r="W534"/>
  <c r="V59"/>
  <c r="V546"/>
  <c r="V219"/>
  <c r="V319"/>
  <c r="V554"/>
  <c r="V490"/>
  <c r="V502"/>
  <c r="W506"/>
  <c r="V482"/>
  <c r="W554"/>
  <c r="V518"/>
  <c r="U283"/>
  <c r="V167"/>
  <c r="V538"/>
  <c r="W434"/>
  <c r="U450"/>
  <c r="W518"/>
  <c r="V586"/>
  <c r="U179"/>
  <c r="V582"/>
  <c r="V594"/>
  <c r="W530"/>
  <c r="W7"/>
  <c r="W55"/>
  <c r="V7"/>
  <c r="V470"/>
  <c r="V323"/>
  <c r="U331"/>
  <c r="V558"/>
  <c r="V578"/>
  <c r="W470"/>
  <c r="W11"/>
  <c r="W482"/>
  <c r="W570"/>
  <c r="V163"/>
  <c r="W215"/>
  <c r="W59"/>
  <c r="W450"/>
  <c r="U15"/>
  <c r="V454"/>
  <c r="W494"/>
  <c r="V526"/>
  <c r="V478"/>
  <c r="W163"/>
  <c r="V574"/>
  <c r="W323"/>
  <c r="U474"/>
  <c r="V446"/>
  <c r="U470"/>
  <c r="W315"/>
</calcChain>
</file>

<file path=xl/sharedStrings.xml><?xml version="1.0" encoding="utf-8"?>
<sst xmlns="http://schemas.openxmlformats.org/spreadsheetml/2006/main" count="822" uniqueCount="63">
  <si>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</si>
  <si>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</si>
  <si>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</si>
  <si>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</si>
  <si>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</si>
  <si>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</si>
  <si>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</si>
  <si>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</si>
  <si>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</si>
  <si>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</si>
  <si>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</si>
  <si>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</si>
  <si>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</si>
  <si>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</si>
  <si>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</si>
  <si>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</si>
  <si>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</si>
  <si>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</si>
  <si>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</si>
  <si>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</si>
  <si>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</si>
  <si>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</si>
  <si>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</si>
  <si>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</si>
  <si>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</si>
  <si>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</si>
  <si>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</si>
  <si>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</si>
  <si>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</si>
  <si>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</si>
  <si>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</si>
  <si>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</si>
  <si>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</si>
  <si>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</si>
  <si>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</si>
  <si>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</si>
  <si>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</si>
  <si>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</si>
  <si>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</si>
  <si>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</si>
  <si>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</si>
  <si>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</si>
  <si>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</si>
  <si>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</si>
  <si>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</si>
  <si>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</si>
  <si>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</si>
  <si>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</si>
  <si>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</si>
  <si>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</si>
  <si>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</si>
  <si>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</si>
  <si>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</si>
  <si>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</si>
  <si>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</si>
  <si>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</si>
  <si>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</si>
  <si>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</si>
  <si>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</si>
  <si>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</si>
  <si>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</si>
  <si>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</si>
  <si>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 xml:space="preserve"> 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</si>
</sst>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000"/>
  </numFmts>
  <fonts count="16">
    <font>
      <sz val="12"/>
      <color theme="1"/>
      <name val="Calibri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1"/>
      <name val="Cambria"/>
      <family val="1"/>
      <scheme val="major"/>
    </font>
    <font>
      <b/>
      <sz val="10"/>
      <color indexed="8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29"/>
      <scheme val="minor"/>
    </font>
    <font>
      <sz val="11"/>
      <name val="ＭＳ Ｐゴシック"/>
      <family val="2"/>
      <charset val="128"/>
    </font>
    <font>
      <sz val="8"/>
      <name val="Calibri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640">
    <xf numFmtId="0" fontId="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</cellStyleXfs>
  <cellXfs count="15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64" fontId="1" fillId="0" borderId="4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64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64" fontId="1" fillId="0" borderId="9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64" fontId="5" fillId="0" borderId="0" xfId="0" applyNumberFormat="1" applyFont="1" applyBorder="1"/>
    <xf numFmtId="164" fontId="5" fillId="0" borderId="10" xfId="0" applyNumberFormat="1" applyFont="1" applyBorder="1"/>
    <xf numFmtId="0" fontId="5" fillId="0" borderId="12" xfId="0" applyFont="1" applyBorder="1"/>
    <xf numFmtId="164" fontId="5" fillId="0" borderId="12" xfId="0" applyNumberFormat="1" applyFont="1" applyBorder="1"/>
    <xf numFmtId="164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64" fontId="5" fillId="0" borderId="9" xfId="0" applyNumberFormat="1" applyFont="1" applyBorder="1" applyAlignment="1">
      <alignment horizontal="center"/>
    </xf>
    <xf numFmtId="164" fontId="5" fillId="0" borderId="10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164" fontId="5" fillId="0" borderId="5" xfId="0" applyNumberFormat="1" applyFont="1" applyBorder="1" applyAlignment="1">
      <alignment horizontal="center"/>
    </xf>
    <xf numFmtId="164" fontId="5" fillId="0" borderId="7" xfId="0" applyNumberFormat="1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64" fontId="5" fillId="0" borderId="14" xfId="0" applyNumberFormat="1" applyFont="1" applyBorder="1" applyAlignment="1">
      <alignment horizontal="center"/>
    </xf>
    <xf numFmtId="164" fontId="5" fillId="0" borderId="12" xfId="0" applyNumberFormat="1" applyFont="1" applyBorder="1" applyAlignment="1">
      <alignment horizontal="center"/>
    </xf>
    <xf numFmtId="164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65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2" fontId="5" fillId="0" borderId="12" xfId="0" applyNumberFormat="1" applyFont="1" applyBorder="1"/>
    <xf numFmtId="2" fontId="5" fillId="0" borderId="13" xfId="0" applyNumberFormat="1" applyFont="1" applyBorder="1"/>
    <xf numFmtId="164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5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65" fontId="5" fillId="0" borderId="12" xfId="0" applyNumberFormat="1" applyFont="1" applyFill="1" applyBorder="1"/>
    <xf numFmtId="165" fontId="5" fillId="0" borderId="4" xfId="0" applyNumberFormat="1" applyFont="1" applyFill="1" applyBorder="1"/>
    <xf numFmtId="165" fontId="5" fillId="0" borderId="9" xfId="0" applyNumberFormat="1" applyFont="1" applyFill="1" applyBorder="1"/>
    <xf numFmtId="165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64" fontId="1" fillId="0" borderId="14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64" fontId="9" fillId="0" borderId="1" xfId="0" applyNumberFormat="1" applyFont="1" applyBorder="1" applyAlignment="1">
      <alignment horizontal="center"/>
    </xf>
    <xf numFmtId="164" fontId="9" fillId="0" borderId="2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164" fontId="9" fillId="0" borderId="13" xfId="0" applyNumberFormat="1" applyFont="1" applyBorder="1" applyAlignment="1">
      <alignment horizontal="center"/>
    </xf>
    <xf numFmtId="164" fontId="8" fillId="0" borderId="12" xfId="0" applyNumberFormat="1" applyFont="1" applyBorder="1" applyAlignment="1">
      <alignment horizontal="center"/>
    </xf>
    <xf numFmtId="164" fontId="8" fillId="0" borderId="13" xfId="0" applyNumberFormat="1" applyFont="1" applyBorder="1" applyAlignment="1">
      <alignment horizontal="center"/>
    </xf>
    <xf numFmtId="0" fontId="10" fillId="0" borderId="0" xfId="0" applyFont="1"/>
    <xf numFmtId="164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64" fontId="5" fillId="0" borderId="15" xfId="0" applyNumberFormat="1" applyFont="1" applyBorder="1" applyAlignment="1">
      <alignment horizontal="center"/>
    </xf>
    <xf numFmtId="164" fontId="5" fillId="0" borderId="16" xfId="0" applyNumberFormat="1" applyFont="1" applyBorder="1" applyAlignment="1">
      <alignment horizontal="center"/>
    </xf>
    <xf numFmtId="164" fontId="5" fillId="0" borderId="17" xfId="0" applyNumberFormat="1" applyFont="1" applyBorder="1" applyAlignment="1">
      <alignment horizontal="center"/>
    </xf>
    <xf numFmtId="164" fontId="8" fillId="0" borderId="17" xfId="0" applyNumberFormat="1" applyFont="1" applyBorder="1" applyAlignment="1">
      <alignment horizontal="center"/>
    </xf>
    <xf numFmtId="164" fontId="9" fillId="0" borderId="12" xfId="0" applyNumberFormat="1" applyFont="1" applyBorder="1" applyAlignment="1">
      <alignment horizontal="center"/>
    </xf>
    <xf numFmtId="0" fontId="5" fillId="2" borderId="4" xfId="0" applyFont="1" applyFill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 wrapText="1"/>
    </xf>
    <xf numFmtId="0" fontId="5" fillId="2" borderId="5" xfId="0" applyFont="1" applyFill="1" applyBorder="1" applyAlignment="1">
      <alignment horizontal="center" wrapText="1"/>
    </xf>
    <xf numFmtId="0" fontId="5" fillId="2" borderId="7" xfId="0" applyFont="1" applyFill="1" applyBorder="1" applyAlignment="1">
      <alignment horizontal="center" wrapText="1"/>
    </xf>
    <xf numFmtId="0" fontId="5" fillId="2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" xfId="0" applyNumberFormat="1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0" fontId="12" fillId="0" borderId="19" xfId="7" applyFill="1" applyBorder="1" applyAlignment="1">
      <alignment horizontal="center"/>
    </xf>
    <xf numFmtId="0" fontId="12" fillId="0" borderId="19" xfId="7" applyBorder="1" applyAlignment="1">
      <alignment horizontal="center"/>
    </xf>
    <xf numFmtId="0" fontId="12" fillId="0" borderId="18" xfId="7" applyBorder="1" applyAlignment="1">
      <alignment horizontal="center"/>
    </xf>
    <xf numFmtId="0" fontId="12" fillId="0" borderId="0" xfId="7" applyFill="1" applyBorder="1" applyAlignment="1">
      <alignment horizontal="center"/>
    </xf>
    <xf numFmtId="0" fontId="12" fillId="0" borderId="0" xfId="7" applyBorder="1" applyAlignment="1">
      <alignment horizontal="center"/>
    </xf>
    <xf numFmtId="0" fontId="12" fillId="0" borderId="20" xfId="7" applyBorder="1" applyAlignment="1">
      <alignment horizontal="center"/>
    </xf>
    <xf numFmtId="0" fontId="12" fillId="0" borderId="22" xfId="7" applyFill="1" applyBorder="1" applyAlignment="1">
      <alignment horizontal="center"/>
    </xf>
    <xf numFmtId="0" fontId="12" fillId="0" borderId="22" xfId="7" applyBorder="1" applyAlignment="1">
      <alignment horizontal="center"/>
    </xf>
    <xf numFmtId="0" fontId="12" fillId="0" borderId="21" xfId="7" applyBorder="1" applyAlignment="1">
      <alignment horizontal="center"/>
    </xf>
    <xf numFmtId="0" fontId="12" fillId="0" borderId="19" xfId="7" applyFill="1" applyBorder="1" applyAlignment="1">
      <alignment horizontal="center"/>
    </xf>
    <xf numFmtId="0" fontId="12" fillId="0" borderId="19" xfId="7" applyBorder="1" applyAlignment="1">
      <alignment horizontal="center"/>
    </xf>
    <xf numFmtId="0" fontId="12" fillId="0" borderId="18" xfId="7" applyBorder="1" applyAlignment="1">
      <alignment horizontal="center"/>
    </xf>
    <xf numFmtId="0" fontId="12" fillId="0" borderId="0" xfId="7" applyFill="1" applyBorder="1" applyAlignment="1">
      <alignment horizontal="center"/>
    </xf>
    <xf numFmtId="0" fontId="12" fillId="0" borderId="0" xfId="7" applyBorder="1" applyAlignment="1">
      <alignment horizontal="center"/>
    </xf>
    <xf numFmtId="0" fontId="12" fillId="0" borderId="20" xfId="7" applyBorder="1" applyAlignment="1">
      <alignment horizontal="center"/>
    </xf>
    <xf numFmtId="0" fontId="12" fillId="0" borderId="22" xfId="7" applyFill="1" applyBorder="1" applyAlignment="1">
      <alignment horizontal="center"/>
    </xf>
    <xf numFmtId="0" fontId="12" fillId="0" borderId="22" xfId="7" applyBorder="1" applyAlignment="1">
      <alignment horizontal="center"/>
    </xf>
    <xf numFmtId="0" fontId="12" fillId="0" borderId="21" xfId="7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9640">
    <cellStyle name="Normal 2" xfId="2"/>
    <cellStyle name="Normal 3" xfId="3"/>
    <cellStyle name="Normal 3 2" xfId="4"/>
    <cellStyle name="標準_AQMS_KTA12_data" xfId="9386"/>
    <cellStyle name="常规" xfId="0" builtinId="0"/>
    <cellStyle name="표준 10" xfId="5"/>
    <cellStyle name="표준 11" xfId="6"/>
    <cellStyle name="표준 12" xfId="7"/>
    <cellStyle name="표준 13" xfId="1"/>
    <cellStyle name="표준 2" xfId="8"/>
    <cellStyle name="표준 2 10" xfId="9"/>
    <cellStyle name="표준 2 100" xfId="10"/>
    <cellStyle name="표준 2 101" xfId="11"/>
    <cellStyle name="표준 2 102" xfId="12"/>
    <cellStyle name="표준 2 103" xfId="13"/>
    <cellStyle name="표준 2 104" xfId="14"/>
    <cellStyle name="표준 2 105" xfId="15"/>
    <cellStyle name="표준 2 106" xfId="16"/>
    <cellStyle name="표준 2 107" xfId="17"/>
    <cellStyle name="표준 2 108" xfId="18"/>
    <cellStyle name="표준 2 109" xfId="19"/>
    <cellStyle name="표준 2 11" xfId="20"/>
    <cellStyle name="표준 2 110" xfId="21"/>
    <cellStyle name="표준 2 111" xfId="22"/>
    <cellStyle name="표준 2 112" xfId="23"/>
    <cellStyle name="표준 2 113" xfId="24"/>
    <cellStyle name="표준 2 114" xfId="25"/>
    <cellStyle name="표준 2 115" xfId="26"/>
    <cellStyle name="표준 2 116" xfId="27"/>
    <cellStyle name="표준 2 117" xfId="28"/>
    <cellStyle name="표준 2 118" xfId="29"/>
    <cellStyle name="표준 2 119" xfId="30"/>
    <cellStyle name="표준 2 12" xfId="31"/>
    <cellStyle name="표준 2 120" xfId="32"/>
    <cellStyle name="표준 2 121" xfId="33"/>
    <cellStyle name="표준 2 122" xfId="34"/>
    <cellStyle name="표준 2 123" xfId="35"/>
    <cellStyle name="표준 2 124" xfId="36"/>
    <cellStyle name="표준 2 125" xfId="37"/>
    <cellStyle name="표준 2 126" xfId="38"/>
    <cellStyle name="표준 2 127" xfId="39"/>
    <cellStyle name="표준 2 128" xfId="40"/>
    <cellStyle name="표준 2 129" xfId="41"/>
    <cellStyle name="표준 2 13" xfId="42"/>
    <cellStyle name="표준 2 130" xfId="43"/>
    <cellStyle name="표준 2 131" xfId="44"/>
    <cellStyle name="표준 2 132" xfId="45"/>
    <cellStyle name="표준 2 133" xfId="46"/>
    <cellStyle name="표준 2 134" xfId="47"/>
    <cellStyle name="표준 2 135" xfId="48"/>
    <cellStyle name="표준 2 136" xfId="49"/>
    <cellStyle name="표준 2 137" xfId="50"/>
    <cellStyle name="표준 2 138" xfId="51"/>
    <cellStyle name="표준 2 139" xfId="52"/>
    <cellStyle name="표준 2 14" xfId="53"/>
    <cellStyle name="표준 2 140" xfId="54"/>
    <cellStyle name="표준 2 141" xfId="55"/>
    <cellStyle name="표준 2 142" xfId="56"/>
    <cellStyle name="표준 2 143" xfId="57"/>
    <cellStyle name="표준 2 144" xfId="58"/>
    <cellStyle name="표준 2 145" xfId="59"/>
    <cellStyle name="표준 2 146" xfId="60"/>
    <cellStyle name="표준 2 147" xfId="61"/>
    <cellStyle name="표준 2 148" xfId="62"/>
    <cellStyle name="표준 2 149" xfId="63"/>
    <cellStyle name="표준 2 15" xfId="64"/>
    <cellStyle name="표준 2 150" xfId="65"/>
    <cellStyle name="표준 2 151" xfId="66"/>
    <cellStyle name="표준 2 152" xfId="67"/>
    <cellStyle name="표준 2 153" xfId="68"/>
    <cellStyle name="표준 2 154" xfId="69"/>
    <cellStyle name="표준 2 155" xfId="70"/>
    <cellStyle name="표준 2 156" xfId="71"/>
    <cellStyle name="표준 2 157" xfId="72"/>
    <cellStyle name="표준 2 158" xfId="73"/>
    <cellStyle name="표준 2 159" xfId="74"/>
    <cellStyle name="표준 2 16" xfId="75"/>
    <cellStyle name="표준 2 160" xfId="76"/>
    <cellStyle name="표준 2 161" xfId="77"/>
    <cellStyle name="표준 2 162" xfId="78"/>
    <cellStyle name="표준 2 163" xfId="79"/>
    <cellStyle name="표준 2 164" xfId="80"/>
    <cellStyle name="표준 2 165" xfId="81"/>
    <cellStyle name="표준 2 166" xfId="82"/>
    <cellStyle name="표준 2 167" xfId="83"/>
    <cellStyle name="표준 2 168" xfId="84"/>
    <cellStyle name="표준 2 169" xfId="85"/>
    <cellStyle name="표준 2 17" xfId="86"/>
    <cellStyle name="표준 2 170" xfId="87"/>
    <cellStyle name="표준 2 171" xfId="88"/>
    <cellStyle name="표준 2 172" xfId="89"/>
    <cellStyle name="표준 2 173" xfId="90"/>
    <cellStyle name="표준 2 174" xfId="91"/>
    <cellStyle name="표준 2 175" xfId="92"/>
    <cellStyle name="표준 2 176" xfId="93"/>
    <cellStyle name="표준 2 177" xfId="94"/>
    <cellStyle name="표준 2 178" xfId="95"/>
    <cellStyle name="표준 2 179" xfId="96"/>
    <cellStyle name="표준 2 18" xfId="97"/>
    <cellStyle name="표준 2 180" xfId="98"/>
    <cellStyle name="표준 2 181" xfId="99"/>
    <cellStyle name="표준 2 182" xfId="100"/>
    <cellStyle name="표준 2 183" xfId="101"/>
    <cellStyle name="표준 2 184" xfId="102"/>
    <cellStyle name="표준 2 185" xfId="103"/>
    <cellStyle name="표준 2 186" xfId="104"/>
    <cellStyle name="표준 2 187" xfId="105"/>
    <cellStyle name="표준 2 188" xfId="106"/>
    <cellStyle name="표준 2 189" xfId="107"/>
    <cellStyle name="표준 2 19" xfId="108"/>
    <cellStyle name="표준 2 190" xfId="109"/>
    <cellStyle name="표준 2 191" xfId="110"/>
    <cellStyle name="표준 2 192" xfId="111"/>
    <cellStyle name="표준 2 193" xfId="112"/>
    <cellStyle name="표준 2 194" xfId="113"/>
    <cellStyle name="표준 2 195" xfId="114"/>
    <cellStyle name="표준 2 196" xfId="115"/>
    <cellStyle name="표준 2 197" xfId="116"/>
    <cellStyle name="표준 2 198" xfId="117"/>
    <cellStyle name="표준 2 199" xfId="118"/>
    <cellStyle name="표준 2 2" xfId="119"/>
    <cellStyle name="표준 2 2 10" xfId="120"/>
    <cellStyle name="표준 2 2 10 2" xfId="121"/>
    <cellStyle name="표준 2 2 10 2 2" xfId="122"/>
    <cellStyle name="표준 2 2 10 2 2 2" xfId="123"/>
    <cellStyle name="표준 2 2 10 2 2 2 2" xfId="124"/>
    <cellStyle name="표준 2 2 10 2 2 2 2 2" xfId="125"/>
    <cellStyle name="표준 2 2 10 2 2 2 2 2 2" xfId="126"/>
    <cellStyle name="표준 2 2 10 2 2 2 2 2 3" xfId="127"/>
    <cellStyle name="표준 2 2 10 2 2 2 2 2 3 2" xfId="128"/>
    <cellStyle name="표준 2 2 10 2 2 2 2 3" xfId="129"/>
    <cellStyle name="표준 2 2 10 2 2 2 2 3 2" xfId="130"/>
    <cellStyle name="표준 2 2 10 2 2 2 2 3 3" xfId="131"/>
    <cellStyle name="표준 2 2 10 2 2 2 2 3 3 2" xfId="132"/>
    <cellStyle name="표준 2 2 10 2 2 2 2 4" xfId="133"/>
    <cellStyle name="표준 2 2 10 2 2 2 2 5" xfId="134"/>
    <cellStyle name="표준 2 2 10 2 2 2 2 5 2" xfId="135"/>
    <cellStyle name="표준 2 2 10 2 2 2 3" xfId="136"/>
    <cellStyle name="표준 2 2 10 2 2 2 3 2" xfId="137"/>
    <cellStyle name="표준 2 2 10 2 2 2 3 2 2" xfId="138"/>
    <cellStyle name="표준 2 2 10 2 2 2 3 2 3" xfId="139"/>
    <cellStyle name="표준 2 2 10 2 2 2 3 2 3 2" xfId="140"/>
    <cellStyle name="표준 2 2 10 2 2 2 3 3" xfId="141"/>
    <cellStyle name="표준 2 2 10 2 2 2 3 3 2" xfId="142"/>
    <cellStyle name="표준 2 2 10 2 2 2 3 3 3" xfId="143"/>
    <cellStyle name="표준 2 2 10 2 2 2 3 3 3 2" xfId="144"/>
    <cellStyle name="표준 2 2 10 2 2 2 3 4" xfId="145"/>
    <cellStyle name="표준 2 2 10 2 2 2 3 5" xfId="146"/>
    <cellStyle name="표준 2 2 10 2 2 2 3 5 2" xfId="147"/>
    <cellStyle name="표준 2 2 10 2 2 2 4" xfId="148"/>
    <cellStyle name="표준 2 2 10 2 2 2 4 2" xfId="149"/>
    <cellStyle name="표준 2 2 10 2 2 2 4 3" xfId="150"/>
    <cellStyle name="표준 2 2 10 2 2 2 4 3 2" xfId="151"/>
    <cellStyle name="표준 2 2 10 2 2 2 5" xfId="152"/>
    <cellStyle name="표준 2 2 10 2 2 2 5 2" xfId="153"/>
    <cellStyle name="표준 2 2 10 2 2 2 5 3" xfId="154"/>
    <cellStyle name="표준 2 2 10 2 2 2 5 3 2" xfId="155"/>
    <cellStyle name="표준 2 2 10 2 2 2 6" xfId="156"/>
    <cellStyle name="표준 2 2 10 2 2 2 7" xfId="157"/>
    <cellStyle name="표준 2 2 10 2 2 2 7 2" xfId="158"/>
    <cellStyle name="표준 2 2 10 2 2 3" xfId="159"/>
    <cellStyle name="표준 2 2 10 2 2 3 2" xfId="160"/>
    <cellStyle name="표준 2 2 10 2 2 3 2 2" xfId="161"/>
    <cellStyle name="표준 2 2 10 2 2 3 2 3" xfId="162"/>
    <cellStyle name="표준 2 2 10 2 2 3 2 3 2" xfId="163"/>
    <cellStyle name="표준 2 2 10 2 2 3 3" xfId="164"/>
    <cellStyle name="표준 2 2 10 2 2 3 3 2" xfId="165"/>
    <cellStyle name="표준 2 2 10 2 2 3 3 3" xfId="166"/>
    <cellStyle name="표준 2 2 10 2 2 3 3 3 2" xfId="167"/>
    <cellStyle name="표준 2 2 10 2 2 3 4" xfId="168"/>
    <cellStyle name="표준 2 2 10 2 2 3 5" xfId="169"/>
    <cellStyle name="표준 2 2 10 2 2 3 5 2" xfId="170"/>
    <cellStyle name="표준 2 2 10 2 2 4" xfId="171"/>
    <cellStyle name="표준 2 2 10 2 2 4 2" xfId="172"/>
    <cellStyle name="표준 2 2 10 2 2 4 2 2" xfId="173"/>
    <cellStyle name="표준 2 2 10 2 2 4 2 3" xfId="174"/>
    <cellStyle name="표준 2 2 10 2 2 4 2 3 2" xfId="175"/>
    <cellStyle name="표준 2 2 10 2 2 4 3" xfId="176"/>
    <cellStyle name="표준 2 2 10 2 2 4 3 2" xfId="177"/>
    <cellStyle name="표준 2 2 10 2 2 4 3 3" xfId="178"/>
    <cellStyle name="표준 2 2 10 2 2 4 3 3 2" xfId="179"/>
    <cellStyle name="표준 2 2 10 2 2 4 4" xfId="180"/>
    <cellStyle name="표준 2 2 10 2 2 4 5" xfId="181"/>
    <cellStyle name="표준 2 2 10 2 2 4 5 2" xfId="182"/>
    <cellStyle name="표준 2 2 10 2 2 5" xfId="183"/>
    <cellStyle name="표준 2 2 10 2 2 5 2" xfId="184"/>
    <cellStyle name="표준 2 2 10 2 2 5 3" xfId="185"/>
    <cellStyle name="표준 2 2 10 2 2 5 3 2" xfId="186"/>
    <cellStyle name="표준 2 2 10 2 2 6" xfId="187"/>
    <cellStyle name="표준 2 2 10 2 2 6 2" xfId="188"/>
    <cellStyle name="표준 2 2 10 2 2 6 3" xfId="189"/>
    <cellStyle name="표준 2 2 10 2 2 6 3 2" xfId="190"/>
    <cellStyle name="표준 2 2 10 2 2 7" xfId="191"/>
    <cellStyle name="표준 2 2 10 2 2 8" xfId="192"/>
    <cellStyle name="표준 2 2 10 2 2 8 2" xfId="193"/>
    <cellStyle name="표준 2 2 10 2 3" xfId="194"/>
    <cellStyle name="표준 2 2 10 2 3 2" xfId="195"/>
    <cellStyle name="표준 2 2 10 2 3 2 2" xfId="196"/>
    <cellStyle name="표준 2 2 10 2 3 2 2 2" xfId="197"/>
    <cellStyle name="표준 2 2 10 2 3 2 2 3" xfId="198"/>
    <cellStyle name="표준 2 2 10 2 3 2 2 3 2" xfId="199"/>
    <cellStyle name="표준 2 2 10 2 3 2 3" xfId="200"/>
    <cellStyle name="표준 2 2 10 2 3 2 3 2" xfId="201"/>
    <cellStyle name="표준 2 2 10 2 3 2 3 3" xfId="202"/>
    <cellStyle name="표준 2 2 10 2 3 2 3 3 2" xfId="203"/>
    <cellStyle name="표준 2 2 10 2 3 2 4" xfId="204"/>
    <cellStyle name="표준 2 2 10 2 3 2 5" xfId="205"/>
    <cellStyle name="표준 2 2 10 2 3 2 5 2" xfId="206"/>
    <cellStyle name="표준 2 2 10 2 3 3" xfId="207"/>
    <cellStyle name="표준 2 2 10 2 3 3 2" xfId="208"/>
    <cellStyle name="표준 2 2 10 2 3 3 2 2" xfId="209"/>
    <cellStyle name="표준 2 2 10 2 3 3 2 3" xfId="210"/>
    <cellStyle name="표준 2 2 10 2 3 3 2 3 2" xfId="211"/>
    <cellStyle name="표준 2 2 10 2 3 3 3" xfId="212"/>
    <cellStyle name="표준 2 2 10 2 3 3 3 2" xfId="213"/>
    <cellStyle name="표준 2 2 10 2 3 3 3 3" xfId="214"/>
    <cellStyle name="표준 2 2 10 2 3 3 3 3 2" xfId="215"/>
    <cellStyle name="표준 2 2 10 2 3 3 4" xfId="216"/>
    <cellStyle name="표준 2 2 10 2 3 3 5" xfId="217"/>
    <cellStyle name="표준 2 2 10 2 3 3 5 2" xfId="218"/>
    <cellStyle name="표준 2 2 10 2 3 4" xfId="219"/>
    <cellStyle name="표준 2 2 10 2 3 4 2" xfId="220"/>
    <cellStyle name="표준 2 2 10 2 3 4 3" xfId="221"/>
    <cellStyle name="표준 2 2 10 2 3 4 3 2" xfId="222"/>
    <cellStyle name="표준 2 2 10 2 3 5" xfId="223"/>
    <cellStyle name="표준 2 2 10 2 3 5 2" xfId="224"/>
    <cellStyle name="표준 2 2 10 2 3 5 3" xfId="225"/>
    <cellStyle name="표준 2 2 10 2 3 5 3 2" xfId="226"/>
    <cellStyle name="표준 2 2 10 2 3 6" xfId="227"/>
    <cellStyle name="표준 2 2 10 2 3 7" xfId="228"/>
    <cellStyle name="표준 2 2 10 2 3 7 2" xfId="229"/>
    <cellStyle name="표준 2 2 10 2 4" xfId="230"/>
    <cellStyle name="표준 2 2 10 2 4 2" xfId="231"/>
    <cellStyle name="표준 2 2 10 2 4 2 2" xfId="232"/>
    <cellStyle name="표준 2 2 10 2 4 2 3" xfId="233"/>
    <cellStyle name="표준 2 2 10 2 4 2 3 2" xfId="234"/>
    <cellStyle name="표준 2 2 10 2 4 3" xfId="235"/>
    <cellStyle name="표준 2 2 10 2 4 3 2" xfId="236"/>
    <cellStyle name="표준 2 2 10 2 4 3 3" xfId="237"/>
    <cellStyle name="표준 2 2 10 2 4 3 3 2" xfId="238"/>
    <cellStyle name="표준 2 2 10 2 4 4" xfId="239"/>
    <cellStyle name="표준 2 2 10 2 4 5" xfId="240"/>
    <cellStyle name="표준 2 2 10 2 4 5 2" xfId="241"/>
    <cellStyle name="표준 2 2 10 2 5" xfId="242"/>
    <cellStyle name="표준 2 2 10 2 5 2" xfId="243"/>
    <cellStyle name="표준 2 2 10 2 5 2 2" xfId="244"/>
    <cellStyle name="표준 2 2 10 2 5 2 3" xfId="245"/>
    <cellStyle name="표준 2 2 10 2 5 2 3 2" xfId="246"/>
    <cellStyle name="표준 2 2 10 2 5 3" xfId="247"/>
    <cellStyle name="표준 2 2 10 2 5 3 2" xfId="248"/>
    <cellStyle name="표준 2 2 10 2 5 3 3" xfId="249"/>
    <cellStyle name="표준 2 2 10 2 5 3 3 2" xfId="250"/>
    <cellStyle name="표준 2 2 10 2 5 4" xfId="251"/>
    <cellStyle name="표준 2 2 10 2 5 5" xfId="252"/>
    <cellStyle name="표준 2 2 10 2 5 5 2" xfId="253"/>
    <cellStyle name="표준 2 2 10 2 6" xfId="254"/>
    <cellStyle name="표준 2 2 10 2 6 2" xfId="255"/>
    <cellStyle name="표준 2 2 10 2 6 3" xfId="256"/>
    <cellStyle name="표준 2 2 10 2 6 3 2" xfId="257"/>
    <cellStyle name="표준 2 2 10 2 7" xfId="258"/>
    <cellStyle name="표준 2 2 10 2 7 2" xfId="259"/>
    <cellStyle name="표준 2 2 10 2 7 3" xfId="260"/>
    <cellStyle name="표준 2 2 10 2 7 3 2" xfId="261"/>
    <cellStyle name="표준 2 2 10 2 8" xfId="262"/>
    <cellStyle name="표준 2 2 10 2 9" xfId="263"/>
    <cellStyle name="표준 2 2 10 2 9 2" xfId="264"/>
    <cellStyle name="표준 2 2 10 3" xfId="265"/>
    <cellStyle name="표준 2 2 10 3 2" xfId="266"/>
    <cellStyle name="표준 2 2 10 3 2 2" xfId="267"/>
    <cellStyle name="표준 2 2 10 3 2 2 2" xfId="268"/>
    <cellStyle name="표준 2 2 10 3 2 2 2 2" xfId="269"/>
    <cellStyle name="표준 2 2 10 3 2 2 2 3" xfId="270"/>
    <cellStyle name="표준 2 2 10 3 2 2 2 3 2" xfId="271"/>
    <cellStyle name="표준 2 2 10 3 2 2 3" xfId="272"/>
    <cellStyle name="표준 2 2 10 3 2 2 3 2" xfId="273"/>
    <cellStyle name="표준 2 2 10 3 2 2 3 3" xfId="274"/>
    <cellStyle name="표준 2 2 10 3 2 2 3 3 2" xfId="275"/>
    <cellStyle name="표준 2 2 10 3 2 2 4" xfId="276"/>
    <cellStyle name="표준 2 2 10 3 2 2 5" xfId="277"/>
    <cellStyle name="표준 2 2 10 3 2 2 5 2" xfId="278"/>
    <cellStyle name="표준 2 2 10 3 2 3" xfId="279"/>
    <cellStyle name="표준 2 2 10 3 2 3 2" xfId="280"/>
    <cellStyle name="표준 2 2 10 3 2 3 2 2" xfId="281"/>
    <cellStyle name="표준 2 2 10 3 2 3 2 3" xfId="282"/>
    <cellStyle name="표준 2 2 10 3 2 3 2 3 2" xfId="283"/>
    <cellStyle name="표준 2 2 10 3 2 3 3" xfId="284"/>
    <cellStyle name="표준 2 2 10 3 2 3 3 2" xfId="285"/>
    <cellStyle name="표준 2 2 10 3 2 3 3 3" xfId="286"/>
    <cellStyle name="표준 2 2 10 3 2 3 3 3 2" xfId="287"/>
    <cellStyle name="표준 2 2 10 3 2 3 4" xfId="288"/>
    <cellStyle name="표준 2 2 10 3 2 3 5" xfId="289"/>
    <cellStyle name="표준 2 2 10 3 2 3 5 2" xfId="290"/>
    <cellStyle name="표준 2 2 10 3 2 4" xfId="291"/>
    <cellStyle name="표준 2 2 10 3 2 4 2" xfId="292"/>
    <cellStyle name="표준 2 2 10 3 2 4 3" xfId="293"/>
    <cellStyle name="표준 2 2 10 3 2 4 3 2" xfId="294"/>
    <cellStyle name="표준 2 2 10 3 2 5" xfId="295"/>
    <cellStyle name="표준 2 2 10 3 2 5 2" xfId="296"/>
    <cellStyle name="표준 2 2 10 3 2 5 3" xfId="297"/>
    <cellStyle name="표준 2 2 10 3 2 5 3 2" xfId="298"/>
    <cellStyle name="표준 2 2 10 3 2 6" xfId="299"/>
    <cellStyle name="표준 2 2 10 3 2 7" xfId="300"/>
    <cellStyle name="표준 2 2 10 3 2 7 2" xfId="301"/>
    <cellStyle name="표준 2 2 10 3 3" xfId="302"/>
    <cellStyle name="표준 2 2 10 3 3 2" xfId="303"/>
    <cellStyle name="표준 2 2 10 3 3 2 2" xfId="304"/>
    <cellStyle name="표준 2 2 10 3 3 2 3" xfId="305"/>
    <cellStyle name="표준 2 2 10 3 3 2 3 2" xfId="306"/>
    <cellStyle name="표준 2 2 10 3 3 3" xfId="307"/>
    <cellStyle name="표준 2 2 10 3 3 3 2" xfId="308"/>
    <cellStyle name="표준 2 2 10 3 3 3 3" xfId="309"/>
    <cellStyle name="표준 2 2 10 3 3 3 3 2" xfId="310"/>
    <cellStyle name="표준 2 2 10 3 3 4" xfId="311"/>
    <cellStyle name="표준 2 2 10 3 3 5" xfId="312"/>
    <cellStyle name="표준 2 2 10 3 3 5 2" xfId="313"/>
    <cellStyle name="표준 2 2 10 3 4" xfId="314"/>
    <cellStyle name="표준 2 2 10 3 4 2" xfId="315"/>
    <cellStyle name="표준 2 2 10 3 4 2 2" xfId="316"/>
    <cellStyle name="표준 2 2 10 3 4 2 3" xfId="317"/>
    <cellStyle name="표준 2 2 10 3 4 2 3 2" xfId="318"/>
    <cellStyle name="표준 2 2 10 3 4 3" xfId="319"/>
    <cellStyle name="표준 2 2 10 3 4 3 2" xfId="320"/>
    <cellStyle name="표준 2 2 10 3 4 3 3" xfId="321"/>
    <cellStyle name="표준 2 2 10 3 4 3 3 2" xfId="322"/>
    <cellStyle name="표준 2 2 10 3 4 4" xfId="323"/>
    <cellStyle name="표준 2 2 10 3 4 5" xfId="324"/>
    <cellStyle name="표준 2 2 10 3 4 5 2" xfId="325"/>
    <cellStyle name="표준 2 2 10 3 5" xfId="326"/>
    <cellStyle name="표준 2 2 10 3 5 2" xfId="327"/>
    <cellStyle name="표준 2 2 10 3 5 3" xfId="328"/>
    <cellStyle name="표준 2 2 10 3 5 3 2" xfId="329"/>
    <cellStyle name="표준 2 2 10 3 6" xfId="330"/>
    <cellStyle name="표준 2 2 10 3 6 2" xfId="331"/>
    <cellStyle name="표준 2 2 10 3 6 3" xfId="332"/>
    <cellStyle name="표준 2 2 10 3 6 3 2" xfId="333"/>
    <cellStyle name="표준 2 2 10 3 7" xfId="334"/>
    <cellStyle name="표준 2 2 10 3 8" xfId="335"/>
    <cellStyle name="표준 2 2 10 3 8 2" xfId="336"/>
    <cellStyle name="표준 2 2 10 4" xfId="337"/>
    <cellStyle name="표준 2 2 10 4 2" xfId="338"/>
    <cellStyle name="표준 2 2 10 4 2 2" xfId="339"/>
    <cellStyle name="표준 2 2 10 4 2 3" xfId="340"/>
    <cellStyle name="표준 2 2 10 4 2 3 2" xfId="341"/>
    <cellStyle name="표준 2 2 10 4 3" xfId="342"/>
    <cellStyle name="표준 2 2 10 4 3 2" xfId="343"/>
    <cellStyle name="표준 2 2 10 4 3 3" xfId="344"/>
    <cellStyle name="표준 2 2 10 4 3 3 2" xfId="345"/>
    <cellStyle name="표준 2 2 10 4 4" xfId="346"/>
    <cellStyle name="표준 2 2 10 4 5" xfId="347"/>
    <cellStyle name="표준 2 2 10 4 5 2" xfId="348"/>
    <cellStyle name="표준 2 2 10 5" xfId="349"/>
    <cellStyle name="표준 2 2 10 5 2" xfId="350"/>
    <cellStyle name="표준 2 2 10 5 2 2" xfId="351"/>
    <cellStyle name="표준 2 2 10 5 2 3" xfId="352"/>
    <cellStyle name="표준 2 2 10 5 2 3 2" xfId="353"/>
    <cellStyle name="표준 2 2 10 5 3" xfId="354"/>
    <cellStyle name="표준 2 2 10 5 3 2" xfId="355"/>
    <cellStyle name="표준 2 2 10 5 3 3" xfId="356"/>
    <cellStyle name="표준 2 2 10 5 3 3 2" xfId="357"/>
    <cellStyle name="표준 2 2 10 5 4" xfId="358"/>
    <cellStyle name="표준 2 2 10 5 5" xfId="359"/>
    <cellStyle name="표준 2 2 10 5 5 2" xfId="360"/>
    <cellStyle name="표준 2 2 10 6" xfId="361"/>
    <cellStyle name="표준 2 2 10 6 2" xfId="362"/>
    <cellStyle name="표준 2 2 10 6 3" xfId="363"/>
    <cellStyle name="표준 2 2 10 6 3 2" xfId="364"/>
    <cellStyle name="표준 2 2 10 7" xfId="365"/>
    <cellStyle name="표준 2 2 10 7 2" xfId="366"/>
    <cellStyle name="표준 2 2 10 7 3" xfId="367"/>
    <cellStyle name="표준 2 2 10 7 3 2" xfId="368"/>
    <cellStyle name="표준 2 2 10 8" xfId="369"/>
    <cellStyle name="표준 2 2 10 9" xfId="370"/>
    <cellStyle name="표준 2 2 10 9 2" xfId="371"/>
    <cellStyle name="표준 2 2 11" xfId="372"/>
    <cellStyle name="표준 2 2 11 2" xfId="373"/>
    <cellStyle name="표준 2 2 11 2 2" xfId="374"/>
    <cellStyle name="표준 2 2 11 2 2 2" xfId="375"/>
    <cellStyle name="표준 2 2 11 2 2 2 2" xfId="376"/>
    <cellStyle name="표준 2 2 11 2 2 2 2 2" xfId="377"/>
    <cellStyle name="표준 2 2 11 2 2 2 2 2 2" xfId="378"/>
    <cellStyle name="표준 2 2 11 2 2 2 2 2 3" xfId="379"/>
    <cellStyle name="표준 2 2 11 2 2 2 2 2 3 2" xfId="380"/>
    <cellStyle name="표준 2 2 11 2 2 2 2 3" xfId="381"/>
    <cellStyle name="표준 2 2 11 2 2 2 2 3 2" xfId="382"/>
    <cellStyle name="표준 2 2 11 2 2 2 2 3 3" xfId="383"/>
    <cellStyle name="표준 2 2 11 2 2 2 2 3 3 2" xfId="384"/>
    <cellStyle name="표준 2 2 11 2 2 2 2 4" xfId="385"/>
    <cellStyle name="표준 2 2 11 2 2 2 2 5" xfId="386"/>
    <cellStyle name="표준 2 2 11 2 2 2 2 5 2" xfId="387"/>
    <cellStyle name="표준 2 2 11 2 2 2 3" xfId="388"/>
    <cellStyle name="표준 2 2 11 2 2 2 3 2" xfId="389"/>
    <cellStyle name="표준 2 2 11 2 2 2 3 2 2" xfId="390"/>
    <cellStyle name="표준 2 2 11 2 2 2 3 2 3" xfId="391"/>
    <cellStyle name="표준 2 2 11 2 2 2 3 2 3 2" xfId="392"/>
    <cellStyle name="표준 2 2 11 2 2 2 3 3" xfId="393"/>
    <cellStyle name="표준 2 2 11 2 2 2 3 3 2" xfId="394"/>
    <cellStyle name="표준 2 2 11 2 2 2 3 3 3" xfId="395"/>
    <cellStyle name="표준 2 2 11 2 2 2 3 3 3 2" xfId="396"/>
    <cellStyle name="표준 2 2 11 2 2 2 3 4" xfId="397"/>
    <cellStyle name="표준 2 2 11 2 2 2 3 5" xfId="398"/>
    <cellStyle name="표준 2 2 11 2 2 2 3 5 2" xfId="399"/>
    <cellStyle name="표준 2 2 11 2 2 2 4" xfId="400"/>
    <cellStyle name="표준 2 2 11 2 2 2 4 2" xfId="401"/>
    <cellStyle name="표준 2 2 11 2 2 2 4 3" xfId="402"/>
    <cellStyle name="표준 2 2 11 2 2 2 4 3 2" xfId="403"/>
    <cellStyle name="표준 2 2 11 2 2 2 5" xfId="404"/>
    <cellStyle name="표준 2 2 11 2 2 2 5 2" xfId="405"/>
    <cellStyle name="표준 2 2 11 2 2 2 5 3" xfId="406"/>
    <cellStyle name="표준 2 2 11 2 2 2 5 3 2" xfId="407"/>
    <cellStyle name="표준 2 2 11 2 2 2 6" xfId="408"/>
    <cellStyle name="표준 2 2 11 2 2 2 7" xfId="409"/>
    <cellStyle name="표준 2 2 11 2 2 2 7 2" xfId="410"/>
    <cellStyle name="표준 2 2 11 2 2 3" xfId="411"/>
    <cellStyle name="표준 2 2 11 2 2 3 2" xfId="412"/>
    <cellStyle name="표준 2 2 11 2 2 3 2 2" xfId="413"/>
    <cellStyle name="표준 2 2 11 2 2 3 2 3" xfId="414"/>
    <cellStyle name="표준 2 2 11 2 2 3 2 3 2" xfId="415"/>
    <cellStyle name="표준 2 2 11 2 2 3 3" xfId="416"/>
    <cellStyle name="표준 2 2 11 2 2 3 3 2" xfId="417"/>
    <cellStyle name="표준 2 2 11 2 2 3 3 3" xfId="418"/>
    <cellStyle name="표준 2 2 11 2 2 3 3 3 2" xfId="419"/>
    <cellStyle name="표준 2 2 11 2 2 3 4" xfId="420"/>
    <cellStyle name="표준 2 2 11 2 2 3 5" xfId="421"/>
    <cellStyle name="표준 2 2 11 2 2 3 5 2" xfId="422"/>
    <cellStyle name="표준 2 2 11 2 2 4" xfId="423"/>
    <cellStyle name="표준 2 2 11 2 2 4 2" xfId="424"/>
    <cellStyle name="표준 2 2 11 2 2 4 2 2" xfId="425"/>
    <cellStyle name="표준 2 2 11 2 2 4 2 3" xfId="426"/>
    <cellStyle name="표준 2 2 11 2 2 4 2 3 2" xfId="427"/>
    <cellStyle name="표준 2 2 11 2 2 4 3" xfId="428"/>
    <cellStyle name="표준 2 2 11 2 2 4 3 2" xfId="429"/>
    <cellStyle name="표준 2 2 11 2 2 4 3 3" xfId="430"/>
    <cellStyle name="표준 2 2 11 2 2 4 3 3 2" xfId="431"/>
    <cellStyle name="표준 2 2 11 2 2 4 4" xfId="432"/>
    <cellStyle name="표준 2 2 11 2 2 4 5" xfId="433"/>
    <cellStyle name="표준 2 2 11 2 2 4 5 2" xfId="434"/>
    <cellStyle name="표준 2 2 11 2 2 5" xfId="435"/>
    <cellStyle name="표준 2 2 11 2 2 5 2" xfId="436"/>
    <cellStyle name="표준 2 2 11 2 2 5 3" xfId="437"/>
    <cellStyle name="표준 2 2 11 2 2 5 3 2" xfId="438"/>
    <cellStyle name="표준 2 2 11 2 2 6" xfId="439"/>
    <cellStyle name="표준 2 2 11 2 2 6 2" xfId="440"/>
    <cellStyle name="표준 2 2 11 2 2 6 3" xfId="441"/>
    <cellStyle name="표준 2 2 11 2 2 6 3 2" xfId="442"/>
    <cellStyle name="표준 2 2 11 2 2 7" xfId="443"/>
    <cellStyle name="표준 2 2 11 2 2 8" xfId="444"/>
    <cellStyle name="표준 2 2 11 2 2 8 2" xfId="445"/>
    <cellStyle name="표준 2 2 11 2 3" xfId="446"/>
    <cellStyle name="표준 2 2 11 2 3 2" xfId="447"/>
    <cellStyle name="표준 2 2 11 2 3 2 2" xfId="448"/>
    <cellStyle name="표준 2 2 11 2 3 2 2 2" xfId="449"/>
    <cellStyle name="표준 2 2 11 2 3 2 2 3" xfId="450"/>
    <cellStyle name="표준 2 2 11 2 3 2 2 3 2" xfId="451"/>
    <cellStyle name="표준 2 2 11 2 3 2 3" xfId="452"/>
    <cellStyle name="표준 2 2 11 2 3 2 3 2" xfId="453"/>
    <cellStyle name="표준 2 2 11 2 3 2 3 3" xfId="454"/>
    <cellStyle name="표준 2 2 11 2 3 2 3 3 2" xfId="455"/>
    <cellStyle name="표준 2 2 11 2 3 2 4" xfId="456"/>
    <cellStyle name="표준 2 2 11 2 3 2 5" xfId="457"/>
    <cellStyle name="표준 2 2 11 2 3 2 5 2" xfId="458"/>
    <cellStyle name="표준 2 2 11 2 3 3" xfId="459"/>
    <cellStyle name="표준 2 2 11 2 3 3 2" xfId="460"/>
    <cellStyle name="표준 2 2 11 2 3 3 2 2" xfId="461"/>
    <cellStyle name="표준 2 2 11 2 3 3 2 3" xfId="462"/>
    <cellStyle name="표준 2 2 11 2 3 3 2 3 2" xfId="463"/>
    <cellStyle name="표준 2 2 11 2 3 3 3" xfId="464"/>
    <cellStyle name="표준 2 2 11 2 3 3 3 2" xfId="465"/>
    <cellStyle name="표준 2 2 11 2 3 3 3 3" xfId="466"/>
    <cellStyle name="표준 2 2 11 2 3 3 3 3 2" xfId="467"/>
    <cellStyle name="표준 2 2 11 2 3 3 4" xfId="468"/>
    <cellStyle name="표준 2 2 11 2 3 3 5" xfId="469"/>
    <cellStyle name="표준 2 2 11 2 3 3 5 2" xfId="470"/>
    <cellStyle name="표준 2 2 11 2 3 4" xfId="471"/>
    <cellStyle name="표준 2 2 11 2 3 4 2" xfId="472"/>
    <cellStyle name="표준 2 2 11 2 3 4 3" xfId="473"/>
    <cellStyle name="표준 2 2 11 2 3 4 3 2" xfId="474"/>
    <cellStyle name="표준 2 2 11 2 3 5" xfId="475"/>
    <cellStyle name="표준 2 2 11 2 3 5 2" xfId="476"/>
    <cellStyle name="표준 2 2 11 2 3 5 3" xfId="477"/>
    <cellStyle name="표준 2 2 11 2 3 5 3 2" xfId="478"/>
    <cellStyle name="표준 2 2 11 2 3 6" xfId="479"/>
    <cellStyle name="표준 2 2 11 2 3 7" xfId="480"/>
    <cellStyle name="표준 2 2 11 2 3 7 2" xfId="481"/>
    <cellStyle name="표준 2 2 11 2 4" xfId="482"/>
    <cellStyle name="표준 2 2 11 2 4 2" xfId="483"/>
    <cellStyle name="표준 2 2 11 2 4 2 2" xfId="484"/>
    <cellStyle name="표준 2 2 11 2 4 2 3" xfId="485"/>
    <cellStyle name="표준 2 2 11 2 4 2 3 2" xfId="486"/>
    <cellStyle name="표준 2 2 11 2 4 3" xfId="487"/>
    <cellStyle name="표준 2 2 11 2 4 3 2" xfId="488"/>
    <cellStyle name="표준 2 2 11 2 4 3 3" xfId="489"/>
    <cellStyle name="표준 2 2 11 2 4 3 3 2" xfId="490"/>
    <cellStyle name="표준 2 2 11 2 4 4" xfId="491"/>
    <cellStyle name="표준 2 2 11 2 4 5" xfId="492"/>
    <cellStyle name="표준 2 2 11 2 4 5 2" xfId="493"/>
    <cellStyle name="표준 2 2 11 2 5" xfId="494"/>
    <cellStyle name="표준 2 2 11 2 5 2" xfId="495"/>
    <cellStyle name="표준 2 2 11 2 5 2 2" xfId="496"/>
    <cellStyle name="표준 2 2 11 2 5 2 3" xfId="497"/>
    <cellStyle name="표준 2 2 11 2 5 2 3 2" xfId="498"/>
    <cellStyle name="표준 2 2 11 2 5 3" xfId="499"/>
    <cellStyle name="표준 2 2 11 2 5 3 2" xfId="500"/>
    <cellStyle name="표준 2 2 11 2 5 3 3" xfId="501"/>
    <cellStyle name="표준 2 2 11 2 5 3 3 2" xfId="502"/>
    <cellStyle name="표준 2 2 11 2 5 4" xfId="503"/>
    <cellStyle name="표준 2 2 11 2 5 5" xfId="504"/>
    <cellStyle name="표준 2 2 11 2 5 5 2" xfId="505"/>
    <cellStyle name="표준 2 2 11 2 6" xfId="506"/>
    <cellStyle name="표준 2 2 11 2 6 2" xfId="507"/>
    <cellStyle name="표준 2 2 11 2 6 3" xfId="508"/>
    <cellStyle name="표준 2 2 11 2 6 3 2" xfId="509"/>
    <cellStyle name="표준 2 2 11 2 7" xfId="510"/>
    <cellStyle name="표준 2 2 11 2 7 2" xfId="511"/>
    <cellStyle name="표준 2 2 11 2 7 3" xfId="512"/>
    <cellStyle name="표준 2 2 11 2 7 3 2" xfId="513"/>
    <cellStyle name="표준 2 2 11 2 8" xfId="514"/>
    <cellStyle name="표준 2 2 11 2 9" xfId="515"/>
    <cellStyle name="표준 2 2 11 2 9 2" xfId="516"/>
    <cellStyle name="표준 2 2 11 3" xfId="517"/>
    <cellStyle name="표준 2 2 11 3 2" xfId="518"/>
    <cellStyle name="표준 2 2 11 3 2 2" xfId="519"/>
    <cellStyle name="표준 2 2 11 3 2 2 2" xfId="520"/>
    <cellStyle name="표준 2 2 11 3 2 2 2 2" xfId="521"/>
    <cellStyle name="표준 2 2 11 3 2 2 2 3" xfId="522"/>
    <cellStyle name="표준 2 2 11 3 2 2 2 3 2" xfId="523"/>
    <cellStyle name="표준 2 2 11 3 2 2 3" xfId="524"/>
    <cellStyle name="표준 2 2 11 3 2 2 3 2" xfId="525"/>
    <cellStyle name="표준 2 2 11 3 2 2 3 3" xfId="526"/>
    <cellStyle name="표준 2 2 11 3 2 2 3 3 2" xfId="527"/>
    <cellStyle name="표준 2 2 11 3 2 2 4" xfId="528"/>
    <cellStyle name="표준 2 2 11 3 2 2 5" xfId="529"/>
    <cellStyle name="표준 2 2 11 3 2 2 5 2" xfId="530"/>
    <cellStyle name="표준 2 2 11 3 2 3" xfId="531"/>
    <cellStyle name="표준 2 2 11 3 2 3 2" xfId="532"/>
    <cellStyle name="표준 2 2 11 3 2 3 2 2" xfId="533"/>
    <cellStyle name="표준 2 2 11 3 2 3 2 3" xfId="534"/>
    <cellStyle name="표준 2 2 11 3 2 3 2 3 2" xfId="535"/>
    <cellStyle name="표준 2 2 11 3 2 3 3" xfId="536"/>
    <cellStyle name="표준 2 2 11 3 2 3 3 2" xfId="537"/>
    <cellStyle name="표준 2 2 11 3 2 3 3 3" xfId="538"/>
    <cellStyle name="표준 2 2 11 3 2 3 3 3 2" xfId="539"/>
    <cellStyle name="표준 2 2 11 3 2 3 4" xfId="540"/>
    <cellStyle name="표준 2 2 11 3 2 3 5" xfId="541"/>
    <cellStyle name="표준 2 2 11 3 2 3 5 2" xfId="542"/>
    <cellStyle name="표준 2 2 11 3 2 4" xfId="543"/>
    <cellStyle name="표준 2 2 11 3 2 4 2" xfId="544"/>
    <cellStyle name="표준 2 2 11 3 2 4 3" xfId="545"/>
    <cellStyle name="표준 2 2 11 3 2 4 3 2" xfId="546"/>
    <cellStyle name="표준 2 2 11 3 2 5" xfId="547"/>
    <cellStyle name="표준 2 2 11 3 2 5 2" xfId="548"/>
    <cellStyle name="표준 2 2 11 3 2 5 3" xfId="549"/>
    <cellStyle name="표준 2 2 11 3 2 5 3 2" xfId="550"/>
    <cellStyle name="표준 2 2 11 3 2 6" xfId="551"/>
    <cellStyle name="표준 2 2 11 3 2 7" xfId="552"/>
    <cellStyle name="표준 2 2 11 3 2 7 2" xfId="553"/>
    <cellStyle name="표준 2 2 11 3 3" xfId="554"/>
    <cellStyle name="표준 2 2 11 3 3 2" xfId="555"/>
    <cellStyle name="표준 2 2 11 3 3 2 2" xfId="556"/>
    <cellStyle name="표준 2 2 11 3 3 2 3" xfId="557"/>
    <cellStyle name="표준 2 2 11 3 3 2 3 2" xfId="558"/>
    <cellStyle name="표준 2 2 11 3 3 3" xfId="559"/>
    <cellStyle name="표준 2 2 11 3 3 3 2" xfId="560"/>
    <cellStyle name="표준 2 2 11 3 3 3 3" xfId="561"/>
    <cellStyle name="표준 2 2 11 3 3 3 3 2" xfId="562"/>
    <cellStyle name="표준 2 2 11 3 3 4" xfId="563"/>
    <cellStyle name="표준 2 2 11 3 3 5" xfId="564"/>
    <cellStyle name="표준 2 2 11 3 3 5 2" xfId="565"/>
    <cellStyle name="표준 2 2 11 3 4" xfId="566"/>
    <cellStyle name="표준 2 2 11 3 4 2" xfId="567"/>
    <cellStyle name="표준 2 2 11 3 4 2 2" xfId="568"/>
    <cellStyle name="표준 2 2 11 3 4 2 3" xfId="569"/>
    <cellStyle name="표준 2 2 11 3 4 2 3 2" xfId="570"/>
    <cellStyle name="표준 2 2 11 3 4 3" xfId="571"/>
    <cellStyle name="표준 2 2 11 3 4 3 2" xfId="572"/>
    <cellStyle name="표준 2 2 11 3 4 3 3" xfId="573"/>
    <cellStyle name="표준 2 2 11 3 4 3 3 2" xfId="574"/>
    <cellStyle name="표준 2 2 11 3 4 4" xfId="575"/>
    <cellStyle name="표준 2 2 11 3 4 5" xfId="576"/>
    <cellStyle name="표준 2 2 11 3 4 5 2" xfId="577"/>
    <cellStyle name="표준 2 2 11 3 5" xfId="578"/>
    <cellStyle name="표준 2 2 11 3 5 2" xfId="579"/>
    <cellStyle name="표준 2 2 11 3 5 3" xfId="580"/>
    <cellStyle name="표준 2 2 11 3 5 3 2" xfId="581"/>
    <cellStyle name="표준 2 2 11 3 6" xfId="582"/>
    <cellStyle name="표준 2 2 11 3 6 2" xfId="583"/>
    <cellStyle name="표준 2 2 11 3 6 3" xfId="584"/>
    <cellStyle name="표준 2 2 11 3 6 3 2" xfId="585"/>
    <cellStyle name="표준 2 2 11 3 7" xfId="586"/>
    <cellStyle name="표준 2 2 11 3 8" xfId="587"/>
    <cellStyle name="표준 2 2 11 3 8 2" xfId="588"/>
    <cellStyle name="표준 2 2 11 4" xfId="589"/>
    <cellStyle name="표준 2 2 11 4 2" xfId="590"/>
    <cellStyle name="표준 2 2 11 4 2 2" xfId="591"/>
    <cellStyle name="표준 2 2 11 4 2 3" xfId="592"/>
    <cellStyle name="표준 2 2 11 4 2 3 2" xfId="593"/>
    <cellStyle name="표준 2 2 11 4 3" xfId="594"/>
    <cellStyle name="표준 2 2 11 4 3 2" xfId="595"/>
    <cellStyle name="표준 2 2 11 4 3 3" xfId="596"/>
    <cellStyle name="표준 2 2 11 4 3 3 2" xfId="597"/>
    <cellStyle name="표준 2 2 11 4 4" xfId="598"/>
    <cellStyle name="표준 2 2 11 4 5" xfId="599"/>
    <cellStyle name="표준 2 2 11 4 5 2" xfId="600"/>
    <cellStyle name="표준 2 2 11 5" xfId="601"/>
    <cellStyle name="표준 2 2 11 5 2" xfId="602"/>
    <cellStyle name="표준 2 2 11 5 2 2" xfId="603"/>
    <cellStyle name="표준 2 2 11 5 2 3" xfId="604"/>
    <cellStyle name="표준 2 2 11 5 2 3 2" xfId="605"/>
    <cellStyle name="표준 2 2 11 5 3" xfId="606"/>
    <cellStyle name="표준 2 2 11 5 3 2" xfId="607"/>
    <cellStyle name="표준 2 2 11 5 3 3" xfId="608"/>
    <cellStyle name="표준 2 2 11 5 3 3 2" xfId="609"/>
    <cellStyle name="표준 2 2 11 5 4" xfId="610"/>
    <cellStyle name="표준 2 2 11 5 5" xfId="611"/>
    <cellStyle name="표준 2 2 11 5 5 2" xfId="612"/>
    <cellStyle name="표준 2 2 11 6" xfId="613"/>
    <cellStyle name="표준 2 2 11 6 2" xfId="614"/>
    <cellStyle name="표준 2 2 11 6 3" xfId="615"/>
    <cellStyle name="표준 2 2 11 6 3 2" xfId="616"/>
    <cellStyle name="표준 2 2 11 7" xfId="617"/>
    <cellStyle name="표준 2 2 11 7 2" xfId="618"/>
    <cellStyle name="표준 2 2 11 7 3" xfId="619"/>
    <cellStyle name="표준 2 2 11 7 3 2" xfId="620"/>
    <cellStyle name="표준 2 2 11 8" xfId="621"/>
    <cellStyle name="표준 2 2 11 9" xfId="622"/>
    <cellStyle name="표준 2 2 11 9 2" xfId="623"/>
    <cellStyle name="표준 2 2 12" xfId="624"/>
    <cellStyle name="표준 2 2 12 2" xfId="625"/>
    <cellStyle name="표준 2 2 12 2 2" xfId="626"/>
    <cellStyle name="표준 2 2 12 2 2 2" xfId="627"/>
    <cellStyle name="표준 2 2 12 2 2 2 2" xfId="628"/>
    <cellStyle name="표준 2 2 12 2 2 2 2 2" xfId="629"/>
    <cellStyle name="표준 2 2 12 2 2 2 2 2 2" xfId="630"/>
    <cellStyle name="표준 2 2 12 2 2 2 2 2 3" xfId="631"/>
    <cellStyle name="표준 2 2 12 2 2 2 2 2 3 2" xfId="632"/>
    <cellStyle name="표준 2 2 12 2 2 2 2 3" xfId="633"/>
    <cellStyle name="표준 2 2 12 2 2 2 2 3 2" xfId="634"/>
    <cellStyle name="표준 2 2 12 2 2 2 2 3 3" xfId="635"/>
    <cellStyle name="표준 2 2 12 2 2 2 2 3 3 2" xfId="636"/>
    <cellStyle name="표준 2 2 12 2 2 2 2 4" xfId="637"/>
    <cellStyle name="표준 2 2 12 2 2 2 2 5" xfId="638"/>
    <cellStyle name="표준 2 2 12 2 2 2 2 5 2" xfId="639"/>
    <cellStyle name="표준 2 2 12 2 2 2 3" xfId="640"/>
    <cellStyle name="표준 2 2 12 2 2 2 3 2" xfId="641"/>
    <cellStyle name="표준 2 2 12 2 2 2 3 2 2" xfId="642"/>
    <cellStyle name="표준 2 2 12 2 2 2 3 2 3" xfId="643"/>
    <cellStyle name="표준 2 2 12 2 2 2 3 2 3 2" xfId="644"/>
    <cellStyle name="표준 2 2 12 2 2 2 3 3" xfId="645"/>
    <cellStyle name="표준 2 2 12 2 2 2 3 3 2" xfId="646"/>
    <cellStyle name="표준 2 2 12 2 2 2 3 3 3" xfId="647"/>
    <cellStyle name="표준 2 2 12 2 2 2 3 3 3 2" xfId="648"/>
    <cellStyle name="표준 2 2 12 2 2 2 3 4" xfId="649"/>
    <cellStyle name="표준 2 2 12 2 2 2 3 5" xfId="650"/>
    <cellStyle name="표준 2 2 12 2 2 2 3 5 2" xfId="651"/>
    <cellStyle name="표준 2 2 12 2 2 2 4" xfId="652"/>
    <cellStyle name="표준 2 2 12 2 2 2 4 2" xfId="653"/>
    <cellStyle name="표준 2 2 12 2 2 2 4 3" xfId="654"/>
    <cellStyle name="표준 2 2 12 2 2 2 4 3 2" xfId="655"/>
    <cellStyle name="표준 2 2 12 2 2 2 5" xfId="656"/>
    <cellStyle name="표준 2 2 12 2 2 2 5 2" xfId="657"/>
    <cellStyle name="표준 2 2 12 2 2 2 5 3" xfId="658"/>
    <cellStyle name="표준 2 2 12 2 2 2 5 3 2" xfId="659"/>
    <cellStyle name="표준 2 2 12 2 2 2 6" xfId="660"/>
    <cellStyle name="표준 2 2 12 2 2 2 7" xfId="661"/>
    <cellStyle name="표준 2 2 12 2 2 2 7 2" xfId="662"/>
    <cellStyle name="표준 2 2 12 2 2 3" xfId="663"/>
    <cellStyle name="표준 2 2 12 2 2 3 2" xfId="664"/>
    <cellStyle name="표준 2 2 12 2 2 3 2 2" xfId="665"/>
    <cellStyle name="표준 2 2 12 2 2 3 2 3" xfId="666"/>
    <cellStyle name="표준 2 2 12 2 2 3 2 3 2" xfId="667"/>
    <cellStyle name="표준 2 2 12 2 2 3 3" xfId="668"/>
    <cellStyle name="표준 2 2 12 2 2 3 3 2" xfId="669"/>
    <cellStyle name="표준 2 2 12 2 2 3 3 3" xfId="670"/>
    <cellStyle name="표준 2 2 12 2 2 3 3 3 2" xfId="671"/>
    <cellStyle name="표준 2 2 12 2 2 3 4" xfId="672"/>
    <cellStyle name="표준 2 2 12 2 2 3 5" xfId="673"/>
    <cellStyle name="표준 2 2 12 2 2 3 5 2" xfId="674"/>
    <cellStyle name="표준 2 2 12 2 2 4" xfId="675"/>
    <cellStyle name="표준 2 2 12 2 2 4 2" xfId="676"/>
    <cellStyle name="표준 2 2 12 2 2 4 2 2" xfId="677"/>
    <cellStyle name="표준 2 2 12 2 2 4 2 3" xfId="678"/>
    <cellStyle name="표준 2 2 12 2 2 4 2 3 2" xfId="679"/>
    <cellStyle name="표준 2 2 12 2 2 4 3" xfId="680"/>
    <cellStyle name="표준 2 2 12 2 2 4 3 2" xfId="681"/>
    <cellStyle name="표준 2 2 12 2 2 4 3 3" xfId="682"/>
    <cellStyle name="표준 2 2 12 2 2 4 3 3 2" xfId="683"/>
    <cellStyle name="표준 2 2 12 2 2 4 4" xfId="684"/>
    <cellStyle name="표준 2 2 12 2 2 4 5" xfId="685"/>
    <cellStyle name="표준 2 2 12 2 2 4 5 2" xfId="686"/>
    <cellStyle name="표준 2 2 12 2 2 5" xfId="687"/>
    <cellStyle name="표준 2 2 12 2 2 5 2" xfId="688"/>
    <cellStyle name="표준 2 2 12 2 2 5 3" xfId="689"/>
    <cellStyle name="표준 2 2 12 2 2 5 3 2" xfId="690"/>
    <cellStyle name="표준 2 2 12 2 2 6" xfId="691"/>
    <cellStyle name="표준 2 2 12 2 2 6 2" xfId="692"/>
    <cellStyle name="표준 2 2 12 2 2 6 3" xfId="693"/>
    <cellStyle name="표준 2 2 12 2 2 6 3 2" xfId="694"/>
    <cellStyle name="표준 2 2 12 2 2 7" xfId="695"/>
    <cellStyle name="표준 2 2 12 2 2 8" xfId="696"/>
    <cellStyle name="표준 2 2 12 2 2 8 2" xfId="697"/>
    <cellStyle name="표준 2 2 12 2 3" xfId="698"/>
    <cellStyle name="표준 2 2 12 2 3 2" xfId="699"/>
    <cellStyle name="표준 2 2 12 2 3 2 2" xfId="700"/>
    <cellStyle name="표준 2 2 12 2 3 2 2 2" xfId="701"/>
    <cellStyle name="표준 2 2 12 2 3 2 2 3" xfId="702"/>
    <cellStyle name="표준 2 2 12 2 3 2 2 3 2" xfId="703"/>
    <cellStyle name="표준 2 2 12 2 3 2 3" xfId="704"/>
    <cellStyle name="표준 2 2 12 2 3 2 3 2" xfId="705"/>
    <cellStyle name="표준 2 2 12 2 3 2 3 3" xfId="706"/>
    <cellStyle name="표준 2 2 12 2 3 2 3 3 2" xfId="707"/>
    <cellStyle name="표준 2 2 12 2 3 2 4" xfId="708"/>
    <cellStyle name="표준 2 2 12 2 3 2 5" xfId="709"/>
    <cellStyle name="표준 2 2 12 2 3 2 5 2" xfId="710"/>
    <cellStyle name="표준 2 2 12 2 3 3" xfId="711"/>
    <cellStyle name="표준 2 2 12 2 3 3 2" xfId="712"/>
    <cellStyle name="표준 2 2 12 2 3 3 2 2" xfId="713"/>
    <cellStyle name="표준 2 2 12 2 3 3 2 3" xfId="714"/>
    <cellStyle name="표준 2 2 12 2 3 3 2 3 2" xfId="715"/>
    <cellStyle name="표준 2 2 12 2 3 3 3" xfId="716"/>
    <cellStyle name="표준 2 2 12 2 3 3 3 2" xfId="717"/>
    <cellStyle name="표준 2 2 12 2 3 3 3 3" xfId="718"/>
    <cellStyle name="표준 2 2 12 2 3 3 3 3 2" xfId="719"/>
    <cellStyle name="표준 2 2 12 2 3 3 4" xfId="720"/>
    <cellStyle name="표준 2 2 12 2 3 3 5" xfId="721"/>
    <cellStyle name="표준 2 2 12 2 3 3 5 2" xfId="722"/>
    <cellStyle name="표준 2 2 12 2 3 4" xfId="723"/>
    <cellStyle name="표준 2 2 12 2 3 4 2" xfId="724"/>
    <cellStyle name="표준 2 2 12 2 3 4 3" xfId="725"/>
    <cellStyle name="표준 2 2 12 2 3 4 3 2" xfId="726"/>
    <cellStyle name="표준 2 2 12 2 3 5" xfId="727"/>
    <cellStyle name="표준 2 2 12 2 3 5 2" xfId="728"/>
    <cellStyle name="표준 2 2 12 2 3 5 3" xfId="729"/>
    <cellStyle name="표준 2 2 12 2 3 5 3 2" xfId="730"/>
    <cellStyle name="표준 2 2 12 2 3 6" xfId="731"/>
    <cellStyle name="표준 2 2 12 2 3 7" xfId="732"/>
    <cellStyle name="표준 2 2 12 2 3 7 2" xfId="733"/>
    <cellStyle name="표준 2 2 12 2 4" xfId="734"/>
    <cellStyle name="표준 2 2 12 2 4 2" xfId="735"/>
    <cellStyle name="표준 2 2 12 2 4 2 2" xfId="736"/>
    <cellStyle name="표준 2 2 12 2 4 2 3" xfId="737"/>
    <cellStyle name="표준 2 2 12 2 4 2 3 2" xfId="738"/>
    <cellStyle name="표준 2 2 12 2 4 3" xfId="739"/>
    <cellStyle name="표준 2 2 12 2 4 3 2" xfId="740"/>
    <cellStyle name="표준 2 2 12 2 4 3 3" xfId="741"/>
    <cellStyle name="표준 2 2 12 2 4 3 3 2" xfId="742"/>
    <cellStyle name="표준 2 2 12 2 4 4" xfId="743"/>
    <cellStyle name="표준 2 2 12 2 4 5" xfId="744"/>
    <cellStyle name="표준 2 2 12 2 4 5 2" xfId="745"/>
    <cellStyle name="표준 2 2 12 2 5" xfId="746"/>
    <cellStyle name="표준 2 2 12 2 5 2" xfId="747"/>
    <cellStyle name="표준 2 2 12 2 5 2 2" xfId="748"/>
    <cellStyle name="표준 2 2 12 2 5 2 3" xfId="749"/>
    <cellStyle name="표준 2 2 12 2 5 2 3 2" xfId="750"/>
    <cellStyle name="표준 2 2 12 2 5 3" xfId="751"/>
    <cellStyle name="표준 2 2 12 2 5 3 2" xfId="752"/>
    <cellStyle name="표준 2 2 12 2 5 3 3" xfId="753"/>
    <cellStyle name="표준 2 2 12 2 5 3 3 2" xfId="754"/>
    <cellStyle name="표준 2 2 12 2 5 4" xfId="755"/>
    <cellStyle name="표준 2 2 12 2 5 5" xfId="756"/>
    <cellStyle name="표준 2 2 12 2 5 5 2" xfId="757"/>
    <cellStyle name="표준 2 2 12 2 6" xfId="758"/>
    <cellStyle name="표준 2 2 12 2 6 2" xfId="759"/>
    <cellStyle name="표준 2 2 12 2 6 3" xfId="760"/>
    <cellStyle name="표준 2 2 12 2 6 3 2" xfId="761"/>
    <cellStyle name="표준 2 2 12 2 7" xfId="762"/>
    <cellStyle name="표준 2 2 12 2 7 2" xfId="763"/>
    <cellStyle name="표준 2 2 12 2 7 3" xfId="764"/>
    <cellStyle name="표준 2 2 12 2 7 3 2" xfId="765"/>
    <cellStyle name="표준 2 2 12 2 8" xfId="766"/>
    <cellStyle name="표준 2 2 12 2 9" xfId="767"/>
    <cellStyle name="표준 2 2 12 2 9 2" xfId="768"/>
    <cellStyle name="표준 2 2 12 3" xfId="769"/>
    <cellStyle name="표준 2 2 12 3 2" xfId="770"/>
    <cellStyle name="표준 2 2 12 3 2 2" xfId="771"/>
    <cellStyle name="표준 2 2 12 3 2 2 2" xfId="772"/>
    <cellStyle name="표준 2 2 12 3 2 2 2 2" xfId="773"/>
    <cellStyle name="표준 2 2 12 3 2 2 2 3" xfId="774"/>
    <cellStyle name="표준 2 2 12 3 2 2 2 3 2" xfId="775"/>
    <cellStyle name="표준 2 2 12 3 2 2 3" xfId="776"/>
    <cellStyle name="표준 2 2 12 3 2 2 3 2" xfId="777"/>
    <cellStyle name="표준 2 2 12 3 2 2 3 3" xfId="778"/>
    <cellStyle name="표준 2 2 12 3 2 2 3 3 2" xfId="779"/>
    <cellStyle name="표준 2 2 12 3 2 2 4" xfId="780"/>
    <cellStyle name="표준 2 2 12 3 2 2 5" xfId="781"/>
    <cellStyle name="표준 2 2 12 3 2 2 5 2" xfId="782"/>
    <cellStyle name="표준 2 2 12 3 2 3" xfId="783"/>
    <cellStyle name="표준 2 2 12 3 2 3 2" xfId="784"/>
    <cellStyle name="표준 2 2 12 3 2 3 2 2" xfId="785"/>
    <cellStyle name="표준 2 2 12 3 2 3 2 3" xfId="786"/>
    <cellStyle name="표준 2 2 12 3 2 3 2 3 2" xfId="787"/>
    <cellStyle name="표준 2 2 12 3 2 3 3" xfId="788"/>
    <cellStyle name="표준 2 2 12 3 2 3 3 2" xfId="789"/>
    <cellStyle name="표준 2 2 12 3 2 3 3 3" xfId="790"/>
    <cellStyle name="표준 2 2 12 3 2 3 3 3 2" xfId="791"/>
    <cellStyle name="표준 2 2 12 3 2 3 4" xfId="792"/>
    <cellStyle name="표준 2 2 12 3 2 3 5" xfId="793"/>
    <cellStyle name="표준 2 2 12 3 2 3 5 2" xfId="794"/>
    <cellStyle name="표준 2 2 12 3 2 4" xfId="795"/>
    <cellStyle name="표준 2 2 12 3 2 4 2" xfId="796"/>
    <cellStyle name="표준 2 2 12 3 2 4 3" xfId="797"/>
    <cellStyle name="표준 2 2 12 3 2 4 3 2" xfId="798"/>
    <cellStyle name="표준 2 2 12 3 2 5" xfId="799"/>
    <cellStyle name="표준 2 2 12 3 2 5 2" xfId="800"/>
    <cellStyle name="표준 2 2 12 3 2 5 3" xfId="801"/>
    <cellStyle name="표준 2 2 12 3 2 5 3 2" xfId="802"/>
    <cellStyle name="표준 2 2 12 3 2 6" xfId="803"/>
    <cellStyle name="표준 2 2 12 3 2 7" xfId="804"/>
    <cellStyle name="표준 2 2 12 3 2 7 2" xfId="805"/>
    <cellStyle name="표준 2 2 12 3 3" xfId="806"/>
    <cellStyle name="표준 2 2 12 3 3 2" xfId="807"/>
    <cellStyle name="표준 2 2 12 3 3 2 2" xfId="808"/>
    <cellStyle name="표준 2 2 12 3 3 2 3" xfId="809"/>
    <cellStyle name="표준 2 2 12 3 3 2 3 2" xfId="810"/>
    <cellStyle name="표준 2 2 12 3 3 3" xfId="811"/>
    <cellStyle name="표준 2 2 12 3 3 3 2" xfId="812"/>
    <cellStyle name="표준 2 2 12 3 3 3 3" xfId="813"/>
    <cellStyle name="표준 2 2 12 3 3 3 3 2" xfId="814"/>
    <cellStyle name="표준 2 2 12 3 3 4" xfId="815"/>
    <cellStyle name="표준 2 2 12 3 3 5" xfId="816"/>
    <cellStyle name="표준 2 2 12 3 3 5 2" xfId="817"/>
    <cellStyle name="표준 2 2 12 3 4" xfId="818"/>
    <cellStyle name="표준 2 2 12 3 4 2" xfId="819"/>
    <cellStyle name="표준 2 2 12 3 4 2 2" xfId="820"/>
    <cellStyle name="표준 2 2 12 3 4 2 3" xfId="821"/>
    <cellStyle name="표준 2 2 12 3 4 2 3 2" xfId="822"/>
    <cellStyle name="표준 2 2 12 3 4 3" xfId="823"/>
    <cellStyle name="표준 2 2 12 3 4 3 2" xfId="824"/>
    <cellStyle name="표준 2 2 12 3 4 3 3" xfId="825"/>
    <cellStyle name="표준 2 2 12 3 4 3 3 2" xfId="826"/>
    <cellStyle name="표준 2 2 12 3 4 4" xfId="827"/>
    <cellStyle name="표준 2 2 12 3 4 5" xfId="828"/>
    <cellStyle name="표준 2 2 12 3 4 5 2" xfId="829"/>
    <cellStyle name="표준 2 2 12 3 5" xfId="830"/>
    <cellStyle name="표준 2 2 12 3 5 2" xfId="831"/>
    <cellStyle name="표준 2 2 12 3 5 3" xfId="832"/>
    <cellStyle name="표준 2 2 12 3 5 3 2" xfId="833"/>
    <cellStyle name="표준 2 2 12 3 6" xfId="834"/>
    <cellStyle name="표준 2 2 12 3 6 2" xfId="835"/>
    <cellStyle name="표준 2 2 12 3 6 3" xfId="836"/>
    <cellStyle name="표준 2 2 12 3 6 3 2" xfId="837"/>
    <cellStyle name="표준 2 2 12 3 7" xfId="838"/>
    <cellStyle name="표준 2 2 12 3 8" xfId="839"/>
    <cellStyle name="표준 2 2 12 3 8 2" xfId="840"/>
    <cellStyle name="표준 2 2 12 4" xfId="841"/>
    <cellStyle name="표준 2 2 12 4 2" xfId="842"/>
    <cellStyle name="표준 2 2 12 4 2 2" xfId="843"/>
    <cellStyle name="표준 2 2 12 4 2 3" xfId="844"/>
    <cellStyle name="표준 2 2 12 4 2 3 2" xfId="845"/>
    <cellStyle name="표준 2 2 12 4 3" xfId="846"/>
    <cellStyle name="표준 2 2 12 4 3 2" xfId="847"/>
    <cellStyle name="표준 2 2 12 4 3 3" xfId="848"/>
    <cellStyle name="표준 2 2 12 4 3 3 2" xfId="849"/>
    <cellStyle name="표준 2 2 12 4 4" xfId="850"/>
    <cellStyle name="표준 2 2 12 4 5" xfId="851"/>
    <cellStyle name="표준 2 2 12 4 5 2" xfId="852"/>
    <cellStyle name="표준 2 2 12 5" xfId="853"/>
    <cellStyle name="표준 2 2 12 5 2" xfId="854"/>
    <cellStyle name="표준 2 2 12 5 2 2" xfId="855"/>
    <cellStyle name="표준 2 2 12 5 2 3" xfId="856"/>
    <cellStyle name="표준 2 2 12 5 2 3 2" xfId="857"/>
    <cellStyle name="표준 2 2 12 5 3" xfId="858"/>
    <cellStyle name="표준 2 2 12 5 3 2" xfId="859"/>
    <cellStyle name="표준 2 2 12 5 3 3" xfId="860"/>
    <cellStyle name="표준 2 2 12 5 3 3 2" xfId="861"/>
    <cellStyle name="표준 2 2 12 5 4" xfId="862"/>
    <cellStyle name="표준 2 2 12 5 5" xfId="863"/>
    <cellStyle name="표준 2 2 12 5 5 2" xfId="864"/>
    <cellStyle name="표준 2 2 12 6" xfId="865"/>
    <cellStyle name="표준 2 2 12 6 2" xfId="866"/>
    <cellStyle name="표준 2 2 12 6 3" xfId="867"/>
    <cellStyle name="표준 2 2 12 6 3 2" xfId="868"/>
    <cellStyle name="표준 2 2 12 7" xfId="869"/>
    <cellStyle name="표준 2 2 12 7 2" xfId="870"/>
    <cellStyle name="표준 2 2 12 7 3" xfId="871"/>
    <cellStyle name="표준 2 2 12 7 3 2" xfId="872"/>
    <cellStyle name="표준 2 2 12 8" xfId="873"/>
    <cellStyle name="표준 2 2 12 9" xfId="874"/>
    <cellStyle name="표준 2 2 12 9 2" xfId="875"/>
    <cellStyle name="표준 2 2 13" xfId="876"/>
    <cellStyle name="표준 2 2 13 2" xfId="877"/>
    <cellStyle name="표준 2 2 13 2 2" xfId="878"/>
    <cellStyle name="표준 2 2 13 2 2 2" xfId="879"/>
    <cellStyle name="표준 2 2 13 2 2 2 2" xfId="880"/>
    <cellStyle name="표준 2 2 13 2 2 2 2 2" xfId="881"/>
    <cellStyle name="표준 2 2 13 2 2 2 2 2 2" xfId="882"/>
    <cellStyle name="표준 2 2 13 2 2 2 2 2 3" xfId="883"/>
    <cellStyle name="표준 2 2 13 2 2 2 2 2 3 2" xfId="884"/>
    <cellStyle name="표준 2 2 13 2 2 2 2 3" xfId="885"/>
    <cellStyle name="표준 2 2 13 2 2 2 2 3 2" xfId="886"/>
    <cellStyle name="표준 2 2 13 2 2 2 2 3 3" xfId="887"/>
    <cellStyle name="표준 2 2 13 2 2 2 2 3 3 2" xfId="888"/>
    <cellStyle name="표준 2 2 13 2 2 2 2 4" xfId="889"/>
    <cellStyle name="표준 2 2 13 2 2 2 2 5" xfId="890"/>
    <cellStyle name="표준 2 2 13 2 2 2 2 5 2" xfId="891"/>
    <cellStyle name="표준 2 2 13 2 2 2 3" xfId="892"/>
    <cellStyle name="표준 2 2 13 2 2 2 3 2" xfId="893"/>
    <cellStyle name="표준 2 2 13 2 2 2 3 2 2" xfId="894"/>
    <cellStyle name="표준 2 2 13 2 2 2 3 2 3" xfId="895"/>
    <cellStyle name="표준 2 2 13 2 2 2 3 2 3 2" xfId="896"/>
    <cellStyle name="표준 2 2 13 2 2 2 3 3" xfId="897"/>
    <cellStyle name="표준 2 2 13 2 2 2 3 3 2" xfId="898"/>
    <cellStyle name="표준 2 2 13 2 2 2 3 3 3" xfId="899"/>
    <cellStyle name="표준 2 2 13 2 2 2 3 3 3 2" xfId="900"/>
    <cellStyle name="표준 2 2 13 2 2 2 3 4" xfId="901"/>
    <cellStyle name="표준 2 2 13 2 2 2 3 5" xfId="902"/>
    <cellStyle name="표준 2 2 13 2 2 2 3 5 2" xfId="903"/>
    <cellStyle name="표준 2 2 13 2 2 2 4" xfId="904"/>
    <cellStyle name="표준 2 2 13 2 2 2 4 2" xfId="905"/>
    <cellStyle name="표준 2 2 13 2 2 2 4 3" xfId="906"/>
    <cellStyle name="표준 2 2 13 2 2 2 4 3 2" xfId="907"/>
    <cellStyle name="표준 2 2 13 2 2 2 5" xfId="908"/>
    <cellStyle name="표준 2 2 13 2 2 2 5 2" xfId="909"/>
    <cellStyle name="표준 2 2 13 2 2 2 5 3" xfId="910"/>
    <cellStyle name="표준 2 2 13 2 2 2 5 3 2" xfId="911"/>
    <cellStyle name="표준 2 2 13 2 2 2 6" xfId="912"/>
    <cellStyle name="표준 2 2 13 2 2 2 7" xfId="913"/>
    <cellStyle name="표준 2 2 13 2 2 2 7 2" xfId="914"/>
    <cellStyle name="표준 2 2 13 2 2 3" xfId="915"/>
    <cellStyle name="표준 2 2 13 2 2 3 2" xfId="916"/>
    <cellStyle name="표준 2 2 13 2 2 3 2 2" xfId="917"/>
    <cellStyle name="표준 2 2 13 2 2 3 2 3" xfId="918"/>
    <cellStyle name="표준 2 2 13 2 2 3 2 3 2" xfId="919"/>
    <cellStyle name="표준 2 2 13 2 2 3 3" xfId="920"/>
    <cellStyle name="표준 2 2 13 2 2 3 3 2" xfId="921"/>
    <cellStyle name="표준 2 2 13 2 2 3 3 3" xfId="922"/>
    <cellStyle name="표준 2 2 13 2 2 3 3 3 2" xfId="923"/>
    <cellStyle name="표준 2 2 13 2 2 3 4" xfId="924"/>
    <cellStyle name="표준 2 2 13 2 2 3 5" xfId="925"/>
    <cellStyle name="표준 2 2 13 2 2 3 5 2" xfId="926"/>
    <cellStyle name="표준 2 2 13 2 2 4" xfId="927"/>
    <cellStyle name="표준 2 2 13 2 2 4 2" xfId="928"/>
    <cellStyle name="표준 2 2 13 2 2 4 2 2" xfId="929"/>
    <cellStyle name="표준 2 2 13 2 2 4 2 3" xfId="930"/>
    <cellStyle name="표준 2 2 13 2 2 4 2 3 2" xfId="931"/>
    <cellStyle name="표준 2 2 13 2 2 4 3" xfId="932"/>
    <cellStyle name="표준 2 2 13 2 2 4 3 2" xfId="933"/>
    <cellStyle name="표준 2 2 13 2 2 4 3 3" xfId="934"/>
    <cellStyle name="표준 2 2 13 2 2 4 3 3 2" xfId="935"/>
    <cellStyle name="표준 2 2 13 2 2 4 4" xfId="936"/>
    <cellStyle name="표준 2 2 13 2 2 4 5" xfId="937"/>
    <cellStyle name="표준 2 2 13 2 2 4 5 2" xfId="938"/>
    <cellStyle name="표준 2 2 13 2 2 5" xfId="939"/>
    <cellStyle name="표준 2 2 13 2 2 5 2" xfId="940"/>
    <cellStyle name="표준 2 2 13 2 2 5 3" xfId="941"/>
    <cellStyle name="표준 2 2 13 2 2 5 3 2" xfId="942"/>
    <cellStyle name="표준 2 2 13 2 2 6" xfId="943"/>
    <cellStyle name="표준 2 2 13 2 2 6 2" xfId="944"/>
    <cellStyle name="표준 2 2 13 2 2 6 3" xfId="945"/>
    <cellStyle name="표준 2 2 13 2 2 6 3 2" xfId="946"/>
    <cellStyle name="표준 2 2 13 2 2 7" xfId="947"/>
    <cellStyle name="표준 2 2 13 2 2 8" xfId="948"/>
    <cellStyle name="표준 2 2 13 2 2 8 2" xfId="949"/>
    <cellStyle name="표준 2 2 13 2 3" xfId="950"/>
    <cellStyle name="표준 2 2 13 2 3 2" xfId="951"/>
    <cellStyle name="표준 2 2 13 2 3 2 2" xfId="952"/>
    <cellStyle name="표준 2 2 13 2 3 2 2 2" xfId="953"/>
    <cellStyle name="표준 2 2 13 2 3 2 2 3" xfId="954"/>
    <cellStyle name="표준 2 2 13 2 3 2 2 3 2" xfId="955"/>
    <cellStyle name="표준 2 2 13 2 3 2 3" xfId="956"/>
    <cellStyle name="표준 2 2 13 2 3 2 3 2" xfId="957"/>
    <cellStyle name="표준 2 2 13 2 3 2 3 3" xfId="958"/>
    <cellStyle name="표준 2 2 13 2 3 2 3 3 2" xfId="959"/>
    <cellStyle name="표준 2 2 13 2 3 2 4" xfId="960"/>
    <cellStyle name="표준 2 2 13 2 3 2 5" xfId="961"/>
    <cellStyle name="표준 2 2 13 2 3 2 5 2" xfId="962"/>
    <cellStyle name="표준 2 2 13 2 3 3" xfId="963"/>
    <cellStyle name="표준 2 2 13 2 3 3 2" xfId="964"/>
    <cellStyle name="표준 2 2 13 2 3 3 2 2" xfId="965"/>
    <cellStyle name="표준 2 2 13 2 3 3 2 3" xfId="966"/>
    <cellStyle name="표준 2 2 13 2 3 3 2 3 2" xfId="967"/>
    <cellStyle name="표준 2 2 13 2 3 3 3" xfId="968"/>
    <cellStyle name="표준 2 2 13 2 3 3 3 2" xfId="969"/>
    <cellStyle name="표준 2 2 13 2 3 3 3 3" xfId="970"/>
    <cellStyle name="표준 2 2 13 2 3 3 3 3 2" xfId="971"/>
    <cellStyle name="표준 2 2 13 2 3 3 4" xfId="972"/>
    <cellStyle name="표준 2 2 13 2 3 3 5" xfId="973"/>
    <cellStyle name="표준 2 2 13 2 3 3 5 2" xfId="974"/>
    <cellStyle name="표준 2 2 13 2 3 4" xfId="975"/>
    <cellStyle name="표준 2 2 13 2 3 4 2" xfId="976"/>
    <cellStyle name="표준 2 2 13 2 3 4 3" xfId="977"/>
    <cellStyle name="표준 2 2 13 2 3 4 3 2" xfId="978"/>
    <cellStyle name="표준 2 2 13 2 3 5" xfId="979"/>
    <cellStyle name="표준 2 2 13 2 3 5 2" xfId="980"/>
    <cellStyle name="표준 2 2 13 2 3 5 3" xfId="981"/>
    <cellStyle name="표준 2 2 13 2 3 5 3 2" xfId="982"/>
    <cellStyle name="표준 2 2 13 2 3 6" xfId="983"/>
    <cellStyle name="표준 2 2 13 2 3 7" xfId="984"/>
    <cellStyle name="표준 2 2 13 2 3 7 2" xfId="985"/>
    <cellStyle name="표준 2 2 13 2 4" xfId="986"/>
    <cellStyle name="표준 2 2 13 2 4 2" xfId="987"/>
    <cellStyle name="표준 2 2 13 2 4 2 2" xfId="988"/>
    <cellStyle name="표준 2 2 13 2 4 2 3" xfId="989"/>
    <cellStyle name="표준 2 2 13 2 4 2 3 2" xfId="990"/>
    <cellStyle name="표준 2 2 13 2 4 3" xfId="991"/>
    <cellStyle name="표준 2 2 13 2 4 3 2" xfId="992"/>
    <cellStyle name="표준 2 2 13 2 4 3 3" xfId="993"/>
    <cellStyle name="표준 2 2 13 2 4 3 3 2" xfId="994"/>
    <cellStyle name="표준 2 2 13 2 4 4" xfId="995"/>
    <cellStyle name="표준 2 2 13 2 4 5" xfId="996"/>
    <cellStyle name="표준 2 2 13 2 4 5 2" xfId="997"/>
    <cellStyle name="표준 2 2 13 2 5" xfId="998"/>
    <cellStyle name="표준 2 2 13 2 5 2" xfId="999"/>
    <cellStyle name="표준 2 2 13 2 5 2 2" xfId="1000"/>
    <cellStyle name="표준 2 2 13 2 5 2 3" xfId="1001"/>
    <cellStyle name="표준 2 2 13 2 5 2 3 2" xfId="1002"/>
    <cellStyle name="표준 2 2 13 2 5 3" xfId="1003"/>
    <cellStyle name="표준 2 2 13 2 5 3 2" xfId="1004"/>
    <cellStyle name="표준 2 2 13 2 5 3 3" xfId="1005"/>
    <cellStyle name="표준 2 2 13 2 5 3 3 2" xfId="1006"/>
    <cellStyle name="표준 2 2 13 2 5 4" xfId="1007"/>
    <cellStyle name="표준 2 2 13 2 5 5" xfId="1008"/>
    <cellStyle name="표준 2 2 13 2 5 5 2" xfId="1009"/>
    <cellStyle name="표준 2 2 13 2 6" xfId="1010"/>
    <cellStyle name="표준 2 2 13 2 6 2" xfId="1011"/>
    <cellStyle name="표준 2 2 13 2 6 3" xfId="1012"/>
    <cellStyle name="표준 2 2 13 2 6 3 2" xfId="1013"/>
    <cellStyle name="표준 2 2 13 2 7" xfId="1014"/>
    <cellStyle name="표준 2 2 13 2 7 2" xfId="1015"/>
    <cellStyle name="표준 2 2 13 2 7 3" xfId="1016"/>
    <cellStyle name="표준 2 2 13 2 7 3 2" xfId="1017"/>
    <cellStyle name="표준 2 2 13 2 8" xfId="1018"/>
    <cellStyle name="표준 2 2 13 2 9" xfId="1019"/>
    <cellStyle name="표준 2 2 13 2 9 2" xfId="1020"/>
    <cellStyle name="표준 2 2 13 3" xfId="1021"/>
    <cellStyle name="표준 2 2 13 3 2" xfId="1022"/>
    <cellStyle name="표준 2 2 13 3 2 2" xfId="1023"/>
    <cellStyle name="표준 2 2 13 3 2 2 2" xfId="1024"/>
    <cellStyle name="표준 2 2 13 3 2 2 2 2" xfId="1025"/>
    <cellStyle name="표준 2 2 13 3 2 2 2 3" xfId="1026"/>
    <cellStyle name="표준 2 2 13 3 2 2 2 3 2" xfId="1027"/>
    <cellStyle name="표준 2 2 13 3 2 2 3" xfId="1028"/>
    <cellStyle name="표준 2 2 13 3 2 2 3 2" xfId="1029"/>
    <cellStyle name="표준 2 2 13 3 2 2 3 3" xfId="1030"/>
    <cellStyle name="표준 2 2 13 3 2 2 3 3 2" xfId="1031"/>
    <cellStyle name="표준 2 2 13 3 2 2 4" xfId="1032"/>
    <cellStyle name="표준 2 2 13 3 2 2 5" xfId="1033"/>
    <cellStyle name="표준 2 2 13 3 2 2 5 2" xfId="1034"/>
    <cellStyle name="표준 2 2 13 3 2 3" xfId="1035"/>
    <cellStyle name="표준 2 2 13 3 2 3 2" xfId="1036"/>
    <cellStyle name="표준 2 2 13 3 2 3 2 2" xfId="1037"/>
    <cellStyle name="표준 2 2 13 3 2 3 2 3" xfId="1038"/>
    <cellStyle name="표준 2 2 13 3 2 3 2 3 2" xfId="1039"/>
    <cellStyle name="표준 2 2 13 3 2 3 3" xfId="1040"/>
    <cellStyle name="표준 2 2 13 3 2 3 3 2" xfId="1041"/>
    <cellStyle name="표준 2 2 13 3 2 3 3 3" xfId="1042"/>
    <cellStyle name="표준 2 2 13 3 2 3 3 3 2" xfId="1043"/>
    <cellStyle name="표준 2 2 13 3 2 3 4" xfId="1044"/>
    <cellStyle name="표준 2 2 13 3 2 3 5" xfId="1045"/>
    <cellStyle name="표준 2 2 13 3 2 3 5 2" xfId="1046"/>
    <cellStyle name="표준 2 2 13 3 2 4" xfId="1047"/>
    <cellStyle name="표준 2 2 13 3 2 4 2" xfId="1048"/>
    <cellStyle name="표준 2 2 13 3 2 4 3" xfId="1049"/>
    <cellStyle name="표준 2 2 13 3 2 4 3 2" xfId="1050"/>
    <cellStyle name="표준 2 2 13 3 2 5" xfId="1051"/>
    <cellStyle name="표준 2 2 13 3 2 5 2" xfId="1052"/>
    <cellStyle name="표준 2 2 13 3 2 5 3" xfId="1053"/>
    <cellStyle name="표준 2 2 13 3 2 5 3 2" xfId="1054"/>
    <cellStyle name="표준 2 2 13 3 2 6" xfId="1055"/>
    <cellStyle name="표준 2 2 13 3 2 7" xfId="1056"/>
    <cellStyle name="표준 2 2 13 3 2 7 2" xfId="1057"/>
    <cellStyle name="표준 2 2 13 3 3" xfId="1058"/>
    <cellStyle name="표준 2 2 13 3 3 2" xfId="1059"/>
    <cellStyle name="표준 2 2 13 3 3 2 2" xfId="1060"/>
    <cellStyle name="표준 2 2 13 3 3 2 3" xfId="1061"/>
    <cellStyle name="표준 2 2 13 3 3 2 3 2" xfId="1062"/>
    <cellStyle name="표준 2 2 13 3 3 3" xfId="1063"/>
    <cellStyle name="표준 2 2 13 3 3 3 2" xfId="1064"/>
    <cellStyle name="표준 2 2 13 3 3 3 3" xfId="1065"/>
    <cellStyle name="표준 2 2 13 3 3 3 3 2" xfId="1066"/>
    <cellStyle name="표준 2 2 13 3 3 4" xfId="1067"/>
    <cellStyle name="표준 2 2 13 3 3 5" xfId="1068"/>
    <cellStyle name="표준 2 2 13 3 3 5 2" xfId="1069"/>
    <cellStyle name="표준 2 2 13 3 4" xfId="1070"/>
    <cellStyle name="표준 2 2 13 3 4 2" xfId="1071"/>
    <cellStyle name="표준 2 2 13 3 4 2 2" xfId="1072"/>
    <cellStyle name="표준 2 2 13 3 4 2 3" xfId="1073"/>
    <cellStyle name="표준 2 2 13 3 4 2 3 2" xfId="1074"/>
    <cellStyle name="표준 2 2 13 3 4 3" xfId="1075"/>
    <cellStyle name="표준 2 2 13 3 4 3 2" xfId="1076"/>
    <cellStyle name="표준 2 2 13 3 4 3 3" xfId="1077"/>
    <cellStyle name="표준 2 2 13 3 4 3 3 2" xfId="1078"/>
    <cellStyle name="표준 2 2 13 3 4 4" xfId="1079"/>
    <cellStyle name="표준 2 2 13 3 4 5" xfId="1080"/>
    <cellStyle name="표준 2 2 13 3 4 5 2" xfId="1081"/>
    <cellStyle name="표준 2 2 13 3 5" xfId="1082"/>
    <cellStyle name="표준 2 2 13 3 5 2" xfId="1083"/>
    <cellStyle name="표준 2 2 13 3 5 3" xfId="1084"/>
    <cellStyle name="표준 2 2 13 3 5 3 2" xfId="1085"/>
    <cellStyle name="표준 2 2 13 3 6" xfId="1086"/>
    <cellStyle name="표준 2 2 13 3 6 2" xfId="1087"/>
    <cellStyle name="표준 2 2 13 3 6 3" xfId="1088"/>
    <cellStyle name="표준 2 2 13 3 6 3 2" xfId="1089"/>
    <cellStyle name="표준 2 2 13 3 7" xfId="1090"/>
    <cellStyle name="표준 2 2 13 3 8" xfId="1091"/>
    <cellStyle name="표준 2 2 13 3 8 2" xfId="1092"/>
    <cellStyle name="표준 2 2 13 4" xfId="1093"/>
    <cellStyle name="표준 2 2 13 4 2" xfId="1094"/>
    <cellStyle name="표준 2 2 13 4 2 2" xfId="1095"/>
    <cellStyle name="표준 2 2 13 4 2 3" xfId="1096"/>
    <cellStyle name="표준 2 2 13 4 2 3 2" xfId="1097"/>
    <cellStyle name="표준 2 2 13 4 3" xfId="1098"/>
    <cellStyle name="표준 2 2 13 4 3 2" xfId="1099"/>
    <cellStyle name="표준 2 2 13 4 3 3" xfId="1100"/>
    <cellStyle name="표준 2 2 13 4 3 3 2" xfId="1101"/>
    <cellStyle name="표준 2 2 13 4 4" xfId="1102"/>
    <cellStyle name="표준 2 2 13 4 5" xfId="1103"/>
    <cellStyle name="표준 2 2 13 4 5 2" xfId="1104"/>
    <cellStyle name="표준 2 2 13 5" xfId="1105"/>
    <cellStyle name="표준 2 2 13 5 2" xfId="1106"/>
    <cellStyle name="표준 2 2 13 5 2 2" xfId="1107"/>
    <cellStyle name="표준 2 2 13 5 2 3" xfId="1108"/>
    <cellStyle name="표준 2 2 13 5 2 3 2" xfId="1109"/>
    <cellStyle name="표준 2 2 13 5 3" xfId="1110"/>
    <cellStyle name="표준 2 2 13 5 3 2" xfId="1111"/>
    <cellStyle name="표준 2 2 13 5 3 3" xfId="1112"/>
    <cellStyle name="표준 2 2 13 5 3 3 2" xfId="1113"/>
    <cellStyle name="표준 2 2 13 5 4" xfId="1114"/>
    <cellStyle name="표준 2 2 13 5 5" xfId="1115"/>
    <cellStyle name="표준 2 2 13 5 5 2" xfId="1116"/>
    <cellStyle name="표준 2 2 13 6" xfId="1117"/>
    <cellStyle name="표준 2 2 13 6 2" xfId="1118"/>
    <cellStyle name="표준 2 2 13 6 3" xfId="1119"/>
    <cellStyle name="표준 2 2 13 6 3 2" xfId="1120"/>
    <cellStyle name="표준 2 2 13 7" xfId="1121"/>
    <cellStyle name="표준 2 2 13 7 2" xfId="1122"/>
    <cellStyle name="표준 2 2 13 7 3" xfId="1123"/>
    <cellStyle name="표준 2 2 13 7 3 2" xfId="1124"/>
    <cellStyle name="표준 2 2 13 8" xfId="1125"/>
    <cellStyle name="표준 2 2 13 9" xfId="1126"/>
    <cellStyle name="표준 2 2 13 9 2" xfId="1127"/>
    <cellStyle name="표준 2 2 14" xfId="1128"/>
    <cellStyle name="표준 2 2 14 2" xfId="1129"/>
    <cellStyle name="표준 2 2 14 2 2" xfId="1130"/>
    <cellStyle name="표준 2 2 14 2 2 2" xfId="1131"/>
    <cellStyle name="표준 2 2 14 2 2 2 2" xfId="1132"/>
    <cellStyle name="표준 2 2 14 2 2 2 2 2" xfId="1133"/>
    <cellStyle name="표준 2 2 14 2 2 2 2 2 2" xfId="1134"/>
    <cellStyle name="표준 2 2 14 2 2 2 2 2 3" xfId="1135"/>
    <cellStyle name="표준 2 2 14 2 2 2 2 2 3 2" xfId="1136"/>
    <cellStyle name="표준 2 2 14 2 2 2 2 3" xfId="1137"/>
    <cellStyle name="표준 2 2 14 2 2 2 2 3 2" xfId="1138"/>
    <cellStyle name="표준 2 2 14 2 2 2 2 3 3" xfId="1139"/>
    <cellStyle name="표준 2 2 14 2 2 2 2 3 3 2" xfId="1140"/>
    <cellStyle name="표준 2 2 14 2 2 2 2 4" xfId="1141"/>
    <cellStyle name="표준 2 2 14 2 2 2 2 5" xfId="1142"/>
    <cellStyle name="표준 2 2 14 2 2 2 2 5 2" xfId="1143"/>
    <cellStyle name="표준 2 2 14 2 2 2 3" xfId="1144"/>
    <cellStyle name="표준 2 2 14 2 2 2 3 2" xfId="1145"/>
    <cellStyle name="표준 2 2 14 2 2 2 3 2 2" xfId="1146"/>
    <cellStyle name="표준 2 2 14 2 2 2 3 2 3" xfId="1147"/>
    <cellStyle name="표준 2 2 14 2 2 2 3 2 3 2" xfId="1148"/>
    <cellStyle name="표준 2 2 14 2 2 2 3 3" xfId="1149"/>
    <cellStyle name="표준 2 2 14 2 2 2 3 3 2" xfId="1150"/>
    <cellStyle name="표준 2 2 14 2 2 2 3 3 3" xfId="1151"/>
    <cellStyle name="표준 2 2 14 2 2 2 3 3 3 2" xfId="1152"/>
    <cellStyle name="표준 2 2 14 2 2 2 3 4" xfId="1153"/>
    <cellStyle name="표준 2 2 14 2 2 2 3 5" xfId="1154"/>
    <cellStyle name="표준 2 2 14 2 2 2 3 5 2" xfId="1155"/>
    <cellStyle name="표준 2 2 14 2 2 2 4" xfId="1156"/>
    <cellStyle name="표준 2 2 14 2 2 2 4 2" xfId="1157"/>
    <cellStyle name="표준 2 2 14 2 2 2 4 3" xfId="1158"/>
    <cellStyle name="표준 2 2 14 2 2 2 4 3 2" xfId="1159"/>
    <cellStyle name="표준 2 2 14 2 2 2 5" xfId="1160"/>
    <cellStyle name="표준 2 2 14 2 2 2 5 2" xfId="1161"/>
    <cellStyle name="표준 2 2 14 2 2 2 5 3" xfId="1162"/>
    <cellStyle name="표준 2 2 14 2 2 2 5 3 2" xfId="1163"/>
    <cellStyle name="표준 2 2 14 2 2 2 6" xfId="1164"/>
    <cellStyle name="표준 2 2 14 2 2 2 7" xfId="1165"/>
    <cellStyle name="표준 2 2 14 2 2 2 7 2" xfId="1166"/>
    <cellStyle name="표준 2 2 14 2 2 3" xfId="1167"/>
    <cellStyle name="표준 2 2 14 2 2 3 2" xfId="1168"/>
    <cellStyle name="표준 2 2 14 2 2 3 2 2" xfId="1169"/>
    <cellStyle name="표준 2 2 14 2 2 3 2 3" xfId="1170"/>
    <cellStyle name="표준 2 2 14 2 2 3 2 3 2" xfId="1171"/>
    <cellStyle name="표준 2 2 14 2 2 3 3" xfId="1172"/>
    <cellStyle name="표준 2 2 14 2 2 3 3 2" xfId="1173"/>
    <cellStyle name="표준 2 2 14 2 2 3 3 3" xfId="1174"/>
    <cellStyle name="표준 2 2 14 2 2 3 3 3 2" xfId="1175"/>
    <cellStyle name="표준 2 2 14 2 2 3 4" xfId="1176"/>
    <cellStyle name="표준 2 2 14 2 2 3 5" xfId="1177"/>
    <cellStyle name="표준 2 2 14 2 2 3 5 2" xfId="1178"/>
    <cellStyle name="표준 2 2 14 2 2 4" xfId="1179"/>
    <cellStyle name="표준 2 2 14 2 2 4 2" xfId="1180"/>
    <cellStyle name="표준 2 2 14 2 2 4 2 2" xfId="1181"/>
    <cellStyle name="표준 2 2 14 2 2 4 2 3" xfId="1182"/>
    <cellStyle name="표준 2 2 14 2 2 4 2 3 2" xfId="1183"/>
    <cellStyle name="표준 2 2 14 2 2 4 3" xfId="1184"/>
    <cellStyle name="표준 2 2 14 2 2 4 3 2" xfId="1185"/>
    <cellStyle name="표준 2 2 14 2 2 4 3 3" xfId="1186"/>
    <cellStyle name="표준 2 2 14 2 2 4 3 3 2" xfId="1187"/>
    <cellStyle name="표준 2 2 14 2 2 4 4" xfId="1188"/>
    <cellStyle name="표준 2 2 14 2 2 4 5" xfId="1189"/>
    <cellStyle name="표준 2 2 14 2 2 4 5 2" xfId="1190"/>
    <cellStyle name="표준 2 2 14 2 2 5" xfId="1191"/>
    <cellStyle name="표준 2 2 14 2 2 5 2" xfId="1192"/>
    <cellStyle name="표준 2 2 14 2 2 5 3" xfId="1193"/>
    <cellStyle name="표준 2 2 14 2 2 5 3 2" xfId="1194"/>
    <cellStyle name="표준 2 2 14 2 2 6" xfId="1195"/>
    <cellStyle name="표준 2 2 14 2 2 6 2" xfId="1196"/>
    <cellStyle name="표준 2 2 14 2 2 6 3" xfId="1197"/>
    <cellStyle name="표준 2 2 14 2 2 6 3 2" xfId="1198"/>
    <cellStyle name="표준 2 2 14 2 2 7" xfId="1199"/>
    <cellStyle name="표준 2 2 14 2 2 8" xfId="1200"/>
    <cellStyle name="표준 2 2 14 2 2 8 2" xfId="1201"/>
    <cellStyle name="표준 2 2 14 2 3" xfId="1202"/>
    <cellStyle name="표준 2 2 14 2 3 2" xfId="1203"/>
    <cellStyle name="표준 2 2 14 2 3 2 2" xfId="1204"/>
    <cellStyle name="표준 2 2 14 2 3 2 2 2" xfId="1205"/>
    <cellStyle name="표준 2 2 14 2 3 2 2 3" xfId="1206"/>
    <cellStyle name="표준 2 2 14 2 3 2 2 3 2" xfId="1207"/>
    <cellStyle name="표준 2 2 14 2 3 2 3" xfId="1208"/>
    <cellStyle name="표준 2 2 14 2 3 2 3 2" xfId="1209"/>
    <cellStyle name="표준 2 2 14 2 3 2 3 3" xfId="1210"/>
    <cellStyle name="표준 2 2 14 2 3 2 3 3 2" xfId="1211"/>
    <cellStyle name="표준 2 2 14 2 3 2 4" xfId="1212"/>
    <cellStyle name="표준 2 2 14 2 3 2 5" xfId="1213"/>
    <cellStyle name="표준 2 2 14 2 3 2 5 2" xfId="1214"/>
    <cellStyle name="표준 2 2 14 2 3 3" xfId="1215"/>
    <cellStyle name="표준 2 2 14 2 3 3 2" xfId="1216"/>
    <cellStyle name="표준 2 2 14 2 3 3 2 2" xfId="1217"/>
    <cellStyle name="표준 2 2 14 2 3 3 2 3" xfId="1218"/>
    <cellStyle name="표준 2 2 14 2 3 3 2 3 2" xfId="1219"/>
    <cellStyle name="표준 2 2 14 2 3 3 3" xfId="1220"/>
    <cellStyle name="표준 2 2 14 2 3 3 3 2" xfId="1221"/>
    <cellStyle name="표준 2 2 14 2 3 3 3 3" xfId="1222"/>
    <cellStyle name="표준 2 2 14 2 3 3 3 3 2" xfId="1223"/>
    <cellStyle name="표준 2 2 14 2 3 3 4" xfId="1224"/>
    <cellStyle name="표준 2 2 14 2 3 3 5" xfId="1225"/>
    <cellStyle name="표준 2 2 14 2 3 3 5 2" xfId="1226"/>
    <cellStyle name="표준 2 2 14 2 3 4" xfId="1227"/>
    <cellStyle name="표준 2 2 14 2 3 4 2" xfId="1228"/>
    <cellStyle name="표준 2 2 14 2 3 4 3" xfId="1229"/>
    <cellStyle name="표준 2 2 14 2 3 4 3 2" xfId="1230"/>
    <cellStyle name="표준 2 2 14 2 3 5" xfId="1231"/>
    <cellStyle name="표준 2 2 14 2 3 5 2" xfId="1232"/>
    <cellStyle name="표준 2 2 14 2 3 5 3" xfId="1233"/>
    <cellStyle name="표준 2 2 14 2 3 5 3 2" xfId="1234"/>
    <cellStyle name="표준 2 2 14 2 3 6" xfId="1235"/>
    <cellStyle name="표준 2 2 14 2 3 7" xfId="1236"/>
    <cellStyle name="표준 2 2 14 2 3 7 2" xfId="1237"/>
    <cellStyle name="표준 2 2 14 2 4" xfId="1238"/>
    <cellStyle name="표준 2 2 14 2 4 2" xfId="1239"/>
    <cellStyle name="표준 2 2 14 2 4 2 2" xfId="1240"/>
    <cellStyle name="표준 2 2 14 2 4 2 3" xfId="1241"/>
    <cellStyle name="표준 2 2 14 2 4 2 3 2" xfId="1242"/>
    <cellStyle name="표준 2 2 14 2 4 3" xfId="1243"/>
    <cellStyle name="표준 2 2 14 2 4 3 2" xfId="1244"/>
    <cellStyle name="표준 2 2 14 2 4 3 3" xfId="1245"/>
    <cellStyle name="표준 2 2 14 2 4 3 3 2" xfId="1246"/>
    <cellStyle name="표준 2 2 14 2 4 4" xfId="1247"/>
    <cellStyle name="표준 2 2 14 2 4 5" xfId="1248"/>
    <cellStyle name="표준 2 2 14 2 4 5 2" xfId="1249"/>
    <cellStyle name="표준 2 2 14 2 5" xfId="1250"/>
    <cellStyle name="표준 2 2 14 2 5 2" xfId="1251"/>
    <cellStyle name="표준 2 2 14 2 5 2 2" xfId="1252"/>
    <cellStyle name="표준 2 2 14 2 5 2 3" xfId="1253"/>
    <cellStyle name="표준 2 2 14 2 5 2 3 2" xfId="1254"/>
    <cellStyle name="표준 2 2 14 2 5 3" xfId="1255"/>
    <cellStyle name="표준 2 2 14 2 5 3 2" xfId="1256"/>
    <cellStyle name="표준 2 2 14 2 5 3 3" xfId="1257"/>
    <cellStyle name="표준 2 2 14 2 5 3 3 2" xfId="1258"/>
    <cellStyle name="표준 2 2 14 2 5 4" xfId="1259"/>
    <cellStyle name="표준 2 2 14 2 5 5" xfId="1260"/>
    <cellStyle name="표준 2 2 14 2 5 5 2" xfId="1261"/>
    <cellStyle name="표준 2 2 14 2 6" xfId="1262"/>
    <cellStyle name="표준 2 2 14 2 6 2" xfId="1263"/>
    <cellStyle name="표준 2 2 14 2 6 3" xfId="1264"/>
    <cellStyle name="표준 2 2 14 2 6 3 2" xfId="1265"/>
    <cellStyle name="표준 2 2 14 2 7" xfId="1266"/>
    <cellStyle name="표준 2 2 14 2 7 2" xfId="1267"/>
    <cellStyle name="표준 2 2 14 2 7 3" xfId="1268"/>
    <cellStyle name="표준 2 2 14 2 7 3 2" xfId="1269"/>
    <cellStyle name="표준 2 2 14 2 8" xfId="1270"/>
    <cellStyle name="표준 2 2 14 2 9" xfId="1271"/>
    <cellStyle name="표준 2 2 14 2 9 2" xfId="1272"/>
    <cellStyle name="표준 2 2 14 3" xfId="1273"/>
    <cellStyle name="표준 2 2 14 3 2" xfId="1274"/>
    <cellStyle name="표준 2 2 14 3 2 2" xfId="1275"/>
    <cellStyle name="표준 2 2 14 3 2 2 2" xfId="1276"/>
    <cellStyle name="표준 2 2 14 3 2 2 2 2" xfId="1277"/>
    <cellStyle name="표준 2 2 14 3 2 2 2 3" xfId="1278"/>
    <cellStyle name="표준 2 2 14 3 2 2 2 3 2" xfId="1279"/>
    <cellStyle name="표준 2 2 14 3 2 2 3" xfId="1280"/>
    <cellStyle name="표준 2 2 14 3 2 2 3 2" xfId="1281"/>
    <cellStyle name="표준 2 2 14 3 2 2 3 3" xfId="1282"/>
    <cellStyle name="표준 2 2 14 3 2 2 3 3 2" xfId="1283"/>
    <cellStyle name="표준 2 2 14 3 2 2 4" xfId="1284"/>
    <cellStyle name="표준 2 2 14 3 2 2 5" xfId="1285"/>
    <cellStyle name="표준 2 2 14 3 2 2 5 2" xfId="1286"/>
    <cellStyle name="표준 2 2 14 3 2 3" xfId="1287"/>
    <cellStyle name="표준 2 2 14 3 2 3 2" xfId="1288"/>
    <cellStyle name="표준 2 2 14 3 2 3 2 2" xfId="1289"/>
    <cellStyle name="표준 2 2 14 3 2 3 2 3" xfId="1290"/>
    <cellStyle name="표준 2 2 14 3 2 3 2 3 2" xfId="1291"/>
    <cellStyle name="표준 2 2 14 3 2 3 3" xfId="1292"/>
    <cellStyle name="표준 2 2 14 3 2 3 3 2" xfId="1293"/>
    <cellStyle name="표준 2 2 14 3 2 3 3 3" xfId="1294"/>
    <cellStyle name="표준 2 2 14 3 2 3 3 3 2" xfId="1295"/>
    <cellStyle name="표준 2 2 14 3 2 3 4" xfId="1296"/>
    <cellStyle name="표준 2 2 14 3 2 3 5" xfId="1297"/>
    <cellStyle name="표준 2 2 14 3 2 3 5 2" xfId="1298"/>
    <cellStyle name="표준 2 2 14 3 2 4" xfId="1299"/>
    <cellStyle name="표준 2 2 14 3 2 4 2" xfId="1300"/>
    <cellStyle name="표준 2 2 14 3 2 4 3" xfId="1301"/>
    <cellStyle name="표준 2 2 14 3 2 4 3 2" xfId="1302"/>
    <cellStyle name="표준 2 2 14 3 2 5" xfId="1303"/>
    <cellStyle name="표준 2 2 14 3 2 5 2" xfId="1304"/>
    <cellStyle name="표준 2 2 14 3 2 5 3" xfId="1305"/>
    <cellStyle name="표준 2 2 14 3 2 5 3 2" xfId="1306"/>
    <cellStyle name="표준 2 2 14 3 2 6" xfId="1307"/>
    <cellStyle name="표준 2 2 14 3 2 7" xfId="1308"/>
    <cellStyle name="표준 2 2 14 3 2 7 2" xfId="1309"/>
    <cellStyle name="표준 2 2 14 3 3" xfId="1310"/>
    <cellStyle name="표준 2 2 14 3 3 2" xfId="1311"/>
    <cellStyle name="표준 2 2 14 3 3 2 2" xfId="1312"/>
    <cellStyle name="표준 2 2 14 3 3 2 3" xfId="1313"/>
    <cellStyle name="표준 2 2 14 3 3 2 3 2" xfId="1314"/>
    <cellStyle name="표준 2 2 14 3 3 3" xfId="1315"/>
    <cellStyle name="표준 2 2 14 3 3 3 2" xfId="1316"/>
    <cellStyle name="표준 2 2 14 3 3 3 3" xfId="1317"/>
    <cellStyle name="표준 2 2 14 3 3 3 3 2" xfId="1318"/>
    <cellStyle name="표준 2 2 14 3 3 4" xfId="1319"/>
    <cellStyle name="표준 2 2 14 3 3 5" xfId="1320"/>
    <cellStyle name="표준 2 2 14 3 3 5 2" xfId="1321"/>
    <cellStyle name="표준 2 2 14 3 4" xfId="1322"/>
    <cellStyle name="표준 2 2 14 3 4 2" xfId="1323"/>
    <cellStyle name="표준 2 2 14 3 4 2 2" xfId="1324"/>
    <cellStyle name="표준 2 2 14 3 4 2 3" xfId="1325"/>
    <cellStyle name="표준 2 2 14 3 4 2 3 2" xfId="1326"/>
    <cellStyle name="표준 2 2 14 3 4 3" xfId="1327"/>
    <cellStyle name="표준 2 2 14 3 4 3 2" xfId="1328"/>
    <cellStyle name="표준 2 2 14 3 4 3 3" xfId="1329"/>
    <cellStyle name="표준 2 2 14 3 4 3 3 2" xfId="1330"/>
    <cellStyle name="표준 2 2 14 3 4 4" xfId="1331"/>
    <cellStyle name="표준 2 2 14 3 4 5" xfId="1332"/>
    <cellStyle name="표준 2 2 14 3 4 5 2" xfId="1333"/>
    <cellStyle name="표준 2 2 14 3 5" xfId="1334"/>
    <cellStyle name="표준 2 2 14 3 5 2" xfId="1335"/>
    <cellStyle name="표준 2 2 14 3 5 3" xfId="1336"/>
    <cellStyle name="표준 2 2 14 3 5 3 2" xfId="1337"/>
    <cellStyle name="표준 2 2 14 3 6" xfId="1338"/>
    <cellStyle name="표준 2 2 14 3 6 2" xfId="1339"/>
    <cellStyle name="표준 2 2 14 3 6 3" xfId="1340"/>
    <cellStyle name="표준 2 2 14 3 6 3 2" xfId="1341"/>
    <cellStyle name="표준 2 2 14 3 7" xfId="1342"/>
    <cellStyle name="표준 2 2 14 3 8" xfId="1343"/>
    <cellStyle name="표준 2 2 14 3 8 2" xfId="1344"/>
    <cellStyle name="표준 2 2 14 4" xfId="1345"/>
    <cellStyle name="표준 2 2 14 4 2" xfId="1346"/>
    <cellStyle name="표준 2 2 14 4 2 2" xfId="1347"/>
    <cellStyle name="표준 2 2 14 4 2 3" xfId="1348"/>
    <cellStyle name="표준 2 2 14 4 2 3 2" xfId="1349"/>
    <cellStyle name="표준 2 2 14 4 3" xfId="1350"/>
    <cellStyle name="표준 2 2 14 4 3 2" xfId="1351"/>
    <cellStyle name="표준 2 2 14 4 3 3" xfId="1352"/>
    <cellStyle name="표준 2 2 14 4 3 3 2" xfId="1353"/>
    <cellStyle name="표준 2 2 14 4 4" xfId="1354"/>
    <cellStyle name="표준 2 2 14 4 5" xfId="1355"/>
    <cellStyle name="표준 2 2 14 4 5 2" xfId="1356"/>
    <cellStyle name="표준 2 2 14 5" xfId="1357"/>
    <cellStyle name="표준 2 2 14 5 2" xfId="1358"/>
    <cellStyle name="표준 2 2 14 5 2 2" xfId="1359"/>
    <cellStyle name="표준 2 2 14 5 2 3" xfId="1360"/>
    <cellStyle name="표준 2 2 14 5 2 3 2" xfId="1361"/>
    <cellStyle name="표준 2 2 14 5 3" xfId="1362"/>
    <cellStyle name="표준 2 2 14 5 3 2" xfId="1363"/>
    <cellStyle name="표준 2 2 14 5 3 3" xfId="1364"/>
    <cellStyle name="표준 2 2 14 5 3 3 2" xfId="1365"/>
    <cellStyle name="표준 2 2 14 5 4" xfId="1366"/>
    <cellStyle name="표준 2 2 14 5 5" xfId="1367"/>
    <cellStyle name="표준 2 2 14 5 5 2" xfId="1368"/>
    <cellStyle name="표준 2 2 14 6" xfId="1369"/>
    <cellStyle name="표준 2 2 14 6 2" xfId="1370"/>
    <cellStyle name="표준 2 2 14 6 3" xfId="1371"/>
    <cellStyle name="표준 2 2 14 6 3 2" xfId="1372"/>
    <cellStyle name="표준 2 2 14 7" xfId="1373"/>
    <cellStyle name="표준 2 2 14 7 2" xfId="1374"/>
    <cellStyle name="표준 2 2 14 7 3" xfId="1375"/>
    <cellStyle name="표준 2 2 14 7 3 2" xfId="1376"/>
    <cellStyle name="표준 2 2 14 8" xfId="1377"/>
    <cellStyle name="표준 2 2 14 9" xfId="1378"/>
    <cellStyle name="표준 2 2 14 9 2" xfId="1379"/>
    <cellStyle name="표준 2 2 15" xfId="1380"/>
    <cellStyle name="표준 2 2 15 2" xfId="1381"/>
    <cellStyle name="표준 2 2 15 2 2" xfId="1382"/>
    <cellStyle name="표준 2 2 15 2 2 2" xfId="1383"/>
    <cellStyle name="표준 2 2 15 2 2 2 2" xfId="1384"/>
    <cellStyle name="표준 2 2 15 2 2 2 2 2" xfId="1385"/>
    <cellStyle name="표준 2 2 15 2 2 2 2 2 2" xfId="1386"/>
    <cellStyle name="표준 2 2 15 2 2 2 2 2 3" xfId="1387"/>
    <cellStyle name="표준 2 2 15 2 2 2 2 2 3 2" xfId="1388"/>
    <cellStyle name="표준 2 2 15 2 2 2 2 3" xfId="1389"/>
    <cellStyle name="표준 2 2 15 2 2 2 2 3 2" xfId="1390"/>
    <cellStyle name="표준 2 2 15 2 2 2 2 3 3" xfId="1391"/>
    <cellStyle name="표준 2 2 15 2 2 2 2 3 3 2" xfId="1392"/>
    <cellStyle name="표준 2 2 15 2 2 2 2 4" xfId="1393"/>
    <cellStyle name="표준 2 2 15 2 2 2 2 5" xfId="1394"/>
    <cellStyle name="표준 2 2 15 2 2 2 2 5 2" xfId="1395"/>
    <cellStyle name="표준 2 2 15 2 2 2 3" xfId="1396"/>
    <cellStyle name="표준 2 2 15 2 2 2 3 2" xfId="1397"/>
    <cellStyle name="표준 2 2 15 2 2 2 3 2 2" xfId="1398"/>
    <cellStyle name="표준 2 2 15 2 2 2 3 2 3" xfId="1399"/>
    <cellStyle name="표준 2 2 15 2 2 2 3 2 3 2" xfId="1400"/>
    <cellStyle name="표준 2 2 15 2 2 2 3 3" xfId="1401"/>
    <cellStyle name="표준 2 2 15 2 2 2 3 3 2" xfId="1402"/>
    <cellStyle name="표준 2 2 15 2 2 2 3 3 3" xfId="1403"/>
    <cellStyle name="표준 2 2 15 2 2 2 3 3 3 2" xfId="1404"/>
    <cellStyle name="표준 2 2 15 2 2 2 3 4" xfId="1405"/>
    <cellStyle name="표준 2 2 15 2 2 2 3 5" xfId="1406"/>
    <cellStyle name="표준 2 2 15 2 2 2 3 5 2" xfId="1407"/>
    <cellStyle name="표준 2 2 15 2 2 2 4" xfId="1408"/>
    <cellStyle name="표준 2 2 15 2 2 2 4 2" xfId="1409"/>
    <cellStyle name="표준 2 2 15 2 2 2 4 3" xfId="1410"/>
    <cellStyle name="표준 2 2 15 2 2 2 4 3 2" xfId="1411"/>
    <cellStyle name="표준 2 2 15 2 2 2 5" xfId="1412"/>
    <cellStyle name="표준 2 2 15 2 2 2 5 2" xfId="1413"/>
    <cellStyle name="표준 2 2 15 2 2 2 5 3" xfId="1414"/>
    <cellStyle name="표준 2 2 15 2 2 2 5 3 2" xfId="1415"/>
    <cellStyle name="표준 2 2 15 2 2 2 6" xfId="1416"/>
    <cellStyle name="표준 2 2 15 2 2 2 7" xfId="1417"/>
    <cellStyle name="표준 2 2 15 2 2 2 7 2" xfId="1418"/>
    <cellStyle name="표준 2 2 15 2 2 3" xfId="1419"/>
    <cellStyle name="표준 2 2 15 2 2 3 2" xfId="1420"/>
    <cellStyle name="표준 2 2 15 2 2 3 2 2" xfId="1421"/>
    <cellStyle name="표준 2 2 15 2 2 3 2 3" xfId="1422"/>
    <cellStyle name="표준 2 2 15 2 2 3 2 3 2" xfId="1423"/>
    <cellStyle name="표준 2 2 15 2 2 3 3" xfId="1424"/>
    <cellStyle name="표준 2 2 15 2 2 3 3 2" xfId="1425"/>
    <cellStyle name="표준 2 2 15 2 2 3 3 3" xfId="1426"/>
    <cellStyle name="표준 2 2 15 2 2 3 3 3 2" xfId="1427"/>
    <cellStyle name="표준 2 2 15 2 2 3 4" xfId="1428"/>
    <cellStyle name="표준 2 2 15 2 2 3 5" xfId="1429"/>
    <cellStyle name="표준 2 2 15 2 2 3 5 2" xfId="1430"/>
    <cellStyle name="표준 2 2 15 2 2 4" xfId="1431"/>
    <cellStyle name="표준 2 2 15 2 2 4 2" xfId="1432"/>
    <cellStyle name="표준 2 2 15 2 2 4 2 2" xfId="1433"/>
    <cellStyle name="표준 2 2 15 2 2 4 2 3" xfId="1434"/>
    <cellStyle name="표준 2 2 15 2 2 4 2 3 2" xfId="1435"/>
    <cellStyle name="표준 2 2 15 2 2 4 3" xfId="1436"/>
    <cellStyle name="표준 2 2 15 2 2 4 3 2" xfId="1437"/>
    <cellStyle name="표준 2 2 15 2 2 4 3 3" xfId="1438"/>
    <cellStyle name="표준 2 2 15 2 2 4 3 3 2" xfId="1439"/>
    <cellStyle name="표준 2 2 15 2 2 4 4" xfId="1440"/>
    <cellStyle name="표준 2 2 15 2 2 4 5" xfId="1441"/>
    <cellStyle name="표준 2 2 15 2 2 4 5 2" xfId="1442"/>
    <cellStyle name="표준 2 2 15 2 2 5" xfId="1443"/>
    <cellStyle name="표준 2 2 15 2 2 5 2" xfId="1444"/>
    <cellStyle name="표준 2 2 15 2 2 5 3" xfId="1445"/>
    <cellStyle name="표준 2 2 15 2 2 5 3 2" xfId="1446"/>
    <cellStyle name="표준 2 2 15 2 2 6" xfId="1447"/>
    <cellStyle name="표준 2 2 15 2 2 6 2" xfId="1448"/>
    <cellStyle name="표준 2 2 15 2 2 6 3" xfId="1449"/>
    <cellStyle name="표준 2 2 15 2 2 6 3 2" xfId="1450"/>
    <cellStyle name="표준 2 2 15 2 2 7" xfId="1451"/>
    <cellStyle name="표준 2 2 15 2 2 8" xfId="1452"/>
    <cellStyle name="표준 2 2 15 2 2 8 2" xfId="1453"/>
    <cellStyle name="표준 2 2 15 2 3" xfId="1454"/>
    <cellStyle name="표준 2 2 15 2 3 2" xfId="1455"/>
    <cellStyle name="표준 2 2 15 2 3 2 2" xfId="1456"/>
    <cellStyle name="표준 2 2 15 2 3 2 2 2" xfId="1457"/>
    <cellStyle name="표준 2 2 15 2 3 2 2 3" xfId="1458"/>
    <cellStyle name="표준 2 2 15 2 3 2 2 3 2" xfId="1459"/>
    <cellStyle name="표준 2 2 15 2 3 2 3" xfId="1460"/>
    <cellStyle name="표준 2 2 15 2 3 2 3 2" xfId="1461"/>
    <cellStyle name="표준 2 2 15 2 3 2 3 3" xfId="1462"/>
    <cellStyle name="표준 2 2 15 2 3 2 3 3 2" xfId="1463"/>
    <cellStyle name="표준 2 2 15 2 3 2 4" xfId="1464"/>
    <cellStyle name="표준 2 2 15 2 3 2 5" xfId="1465"/>
    <cellStyle name="표준 2 2 15 2 3 2 5 2" xfId="1466"/>
    <cellStyle name="표준 2 2 15 2 3 3" xfId="1467"/>
    <cellStyle name="표준 2 2 15 2 3 3 2" xfId="1468"/>
    <cellStyle name="표준 2 2 15 2 3 3 2 2" xfId="1469"/>
    <cellStyle name="표준 2 2 15 2 3 3 2 3" xfId="1470"/>
    <cellStyle name="표준 2 2 15 2 3 3 2 3 2" xfId="1471"/>
    <cellStyle name="표준 2 2 15 2 3 3 3" xfId="1472"/>
    <cellStyle name="표준 2 2 15 2 3 3 3 2" xfId="1473"/>
    <cellStyle name="표준 2 2 15 2 3 3 3 3" xfId="1474"/>
    <cellStyle name="표준 2 2 15 2 3 3 3 3 2" xfId="1475"/>
    <cellStyle name="표준 2 2 15 2 3 3 4" xfId="1476"/>
    <cellStyle name="표준 2 2 15 2 3 3 5" xfId="1477"/>
    <cellStyle name="표준 2 2 15 2 3 3 5 2" xfId="1478"/>
    <cellStyle name="표준 2 2 15 2 3 4" xfId="1479"/>
    <cellStyle name="표준 2 2 15 2 3 4 2" xfId="1480"/>
    <cellStyle name="표준 2 2 15 2 3 4 3" xfId="1481"/>
    <cellStyle name="표준 2 2 15 2 3 4 3 2" xfId="1482"/>
    <cellStyle name="표준 2 2 15 2 3 5" xfId="1483"/>
    <cellStyle name="표준 2 2 15 2 3 5 2" xfId="1484"/>
    <cellStyle name="표준 2 2 15 2 3 5 3" xfId="1485"/>
    <cellStyle name="표준 2 2 15 2 3 5 3 2" xfId="1486"/>
    <cellStyle name="표준 2 2 15 2 3 6" xfId="1487"/>
    <cellStyle name="표준 2 2 15 2 3 7" xfId="1488"/>
    <cellStyle name="표준 2 2 15 2 3 7 2" xfId="1489"/>
    <cellStyle name="표준 2 2 15 2 4" xfId="1490"/>
    <cellStyle name="표준 2 2 15 2 4 2" xfId="1491"/>
    <cellStyle name="표준 2 2 15 2 4 2 2" xfId="1492"/>
    <cellStyle name="표준 2 2 15 2 4 2 3" xfId="1493"/>
    <cellStyle name="표준 2 2 15 2 4 2 3 2" xfId="1494"/>
    <cellStyle name="표준 2 2 15 2 4 3" xfId="1495"/>
    <cellStyle name="표준 2 2 15 2 4 3 2" xfId="1496"/>
    <cellStyle name="표준 2 2 15 2 4 3 3" xfId="1497"/>
    <cellStyle name="표준 2 2 15 2 4 3 3 2" xfId="1498"/>
    <cellStyle name="표준 2 2 15 2 4 4" xfId="1499"/>
    <cellStyle name="표준 2 2 15 2 4 5" xfId="1500"/>
    <cellStyle name="표준 2 2 15 2 4 5 2" xfId="1501"/>
    <cellStyle name="표준 2 2 15 2 5" xfId="1502"/>
    <cellStyle name="표준 2 2 15 2 5 2" xfId="1503"/>
    <cellStyle name="표준 2 2 15 2 5 2 2" xfId="1504"/>
    <cellStyle name="표준 2 2 15 2 5 2 3" xfId="1505"/>
    <cellStyle name="표준 2 2 15 2 5 2 3 2" xfId="1506"/>
    <cellStyle name="표준 2 2 15 2 5 3" xfId="1507"/>
    <cellStyle name="표준 2 2 15 2 5 3 2" xfId="1508"/>
    <cellStyle name="표준 2 2 15 2 5 3 3" xfId="1509"/>
    <cellStyle name="표준 2 2 15 2 5 3 3 2" xfId="1510"/>
    <cellStyle name="표준 2 2 15 2 5 4" xfId="1511"/>
    <cellStyle name="표준 2 2 15 2 5 5" xfId="1512"/>
    <cellStyle name="표준 2 2 15 2 5 5 2" xfId="1513"/>
    <cellStyle name="표준 2 2 15 2 6" xfId="1514"/>
    <cellStyle name="표준 2 2 15 2 6 2" xfId="1515"/>
    <cellStyle name="표준 2 2 15 2 6 3" xfId="1516"/>
    <cellStyle name="표준 2 2 15 2 6 3 2" xfId="1517"/>
    <cellStyle name="표준 2 2 15 2 7" xfId="1518"/>
    <cellStyle name="표준 2 2 15 2 7 2" xfId="1519"/>
    <cellStyle name="표준 2 2 15 2 7 3" xfId="1520"/>
    <cellStyle name="표준 2 2 15 2 7 3 2" xfId="1521"/>
    <cellStyle name="표준 2 2 15 2 8" xfId="1522"/>
    <cellStyle name="표준 2 2 15 2 9" xfId="1523"/>
    <cellStyle name="표준 2 2 15 2 9 2" xfId="1524"/>
    <cellStyle name="표준 2 2 15 3" xfId="1525"/>
    <cellStyle name="표준 2 2 15 3 2" xfId="1526"/>
    <cellStyle name="표준 2 2 15 3 2 2" xfId="1527"/>
    <cellStyle name="표준 2 2 15 3 2 2 2" xfId="1528"/>
    <cellStyle name="표준 2 2 15 3 2 2 2 2" xfId="1529"/>
    <cellStyle name="표준 2 2 15 3 2 2 2 3" xfId="1530"/>
    <cellStyle name="표준 2 2 15 3 2 2 2 3 2" xfId="1531"/>
    <cellStyle name="표준 2 2 15 3 2 2 3" xfId="1532"/>
    <cellStyle name="표준 2 2 15 3 2 2 3 2" xfId="1533"/>
    <cellStyle name="표준 2 2 15 3 2 2 3 3" xfId="1534"/>
    <cellStyle name="표준 2 2 15 3 2 2 3 3 2" xfId="1535"/>
    <cellStyle name="표준 2 2 15 3 2 2 4" xfId="1536"/>
    <cellStyle name="표준 2 2 15 3 2 2 5" xfId="1537"/>
    <cellStyle name="표준 2 2 15 3 2 2 5 2" xfId="1538"/>
    <cellStyle name="표준 2 2 15 3 2 3" xfId="1539"/>
    <cellStyle name="표준 2 2 15 3 2 3 2" xfId="1540"/>
    <cellStyle name="표준 2 2 15 3 2 3 2 2" xfId="1541"/>
    <cellStyle name="표준 2 2 15 3 2 3 2 3" xfId="1542"/>
    <cellStyle name="표준 2 2 15 3 2 3 2 3 2" xfId="1543"/>
    <cellStyle name="표준 2 2 15 3 2 3 3" xfId="1544"/>
    <cellStyle name="표준 2 2 15 3 2 3 3 2" xfId="1545"/>
    <cellStyle name="표준 2 2 15 3 2 3 3 3" xfId="1546"/>
    <cellStyle name="표준 2 2 15 3 2 3 3 3 2" xfId="1547"/>
    <cellStyle name="표준 2 2 15 3 2 3 4" xfId="1548"/>
    <cellStyle name="표준 2 2 15 3 2 3 5" xfId="1549"/>
    <cellStyle name="표준 2 2 15 3 2 3 5 2" xfId="1550"/>
    <cellStyle name="표준 2 2 15 3 2 4" xfId="1551"/>
    <cellStyle name="표준 2 2 15 3 2 4 2" xfId="1552"/>
    <cellStyle name="표준 2 2 15 3 2 4 3" xfId="1553"/>
    <cellStyle name="표준 2 2 15 3 2 4 3 2" xfId="1554"/>
    <cellStyle name="표준 2 2 15 3 2 5" xfId="1555"/>
    <cellStyle name="표준 2 2 15 3 2 5 2" xfId="1556"/>
    <cellStyle name="표준 2 2 15 3 2 5 3" xfId="1557"/>
    <cellStyle name="표준 2 2 15 3 2 5 3 2" xfId="1558"/>
    <cellStyle name="표준 2 2 15 3 2 6" xfId="1559"/>
    <cellStyle name="표준 2 2 15 3 2 7" xfId="1560"/>
    <cellStyle name="표준 2 2 15 3 2 7 2" xfId="1561"/>
    <cellStyle name="표준 2 2 15 3 3" xfId="1562"/>
    <cellStyle name="표준 2 2 15 3 3 2" xfId="1563"/>
    <cellStyle name="표준 2 2 15 3 3 2 2" xfId="1564"/>
    <cellStyle name="표준 2 2 15 3 3 2 3" xfId="1565"/>
    <cellStyle name="표준 2 2 15 3 3 2 3 2" xfId="1566"/>
    <cellStyle name="표준 2 2 15 3 3 3" xfId="1567"/>
    <cellStyle name="표준 2 2 15 3 3 3 2" xfId="1568"/>
    <cellStyle name="표준 2 2 15 3 3 3 3" xfId="1569"/>
    <cellStyle name="표준 2 2 15 3 3 3 3 2" xfId="1570"/>
    <cellStyle name="표준 2 2 15 3 3 4" xfId="1571"/>
    <cellStyle name="표준 2 2 15 3 3 5" xfId="1572"/>
    <cellStyle name="표준 2 2 15 3 3 5 2" xfId="1573"/>
    <cellStyle name="표준 2 2 15 3 4" xfId="1574"/>
    <cellStyle name="표준 2 2 15 3 4 2" xfId="1575"/>
    <cellStyle name="표준 2 2 15 3 4 2 2" xfId="1576"/>
    <cellStyle name="표준 2 2 15 3 4 2 3" xfId="1577"/>
    <cellStyle name="표준 2 2 15 3 4 2 3 2" xfId="1578"/>
    <cellStyle name="표준 2 2 15 3 4 3" xfId="1579"/>
    <cellStyle name="표준 2 2 15 3 4 3 2" xfId="1580"/>
    <cellStyle name="표준 2 2 15 3 4 3 3" xfId="1581"/>
    <cellStyle name="표준 2 2 15 3 4 3 3 2" xfId="1582"/>
    <cellStyle name="표준 2 2 15 3 4 4" xfId="1583"/>
    <cellStyle name="표준 2 2 15 3 4 5" xfId="1584"/>
    <cellStyle name="표준 2 2 15 3 4 5 2" xfId="1585"/>
    <cellStyle name="표준 2 2 15 3 5" xfId="1586"/>
    <cellStyle name="표준 2 2 15 3 5 2" xfId="1587"/>
    <cellStyle name="표준 2 2 15 3 5 3" xfId="1588"/>
    <cellStyle name="표준 2 2 15 3 5 3 2" xfId="1589"/>
    <cellStyle name="표준 2 2 15 3 6" xfId="1590"/>
    <cellStyle name="표준 2 2 15 3 6 2" xfId="1591"/>
    <cellStyle name="표준 2 2 15 3 6 3" xfId="1592"/>
    <cellStyle name="표준 2 2 15 3 6 3 2" xfId="1593"/>
    <cellStyle name="표준 2 2 15 3 7" xfId="1594"/>
    <cellStyle name="표준 2 2 15 3 8" xfId="1595"/>
    <cellStyle name="표준 2 2 15 3 8 2" xfId="1596"/>
    <cellStyle name="표준 2 2 15 4" xfId="1597"/>
    <cellStyle name="표준 2 2 15 4 2" xfId="1598"/>
    <cellStyle name="표준 2 2 15 4 2 2" xfId="1599"/>
    <cellStyle name="표준 2 2 15 4 2 3" xfId="1600"/>
    <cellStyle name="표준 2 2 15 4 2 3 2" xfId="1601"/>
    <cellStyle name="표준 2 2 15 4 3" xfId="1602"/>
    <cellStyle name="표준 2 2 15 4 3 2" xfId="1603"/>
    <cellStyle name="표준 2 2 15 4 3 3" xfId="1604"/>
    <cellStyle name="표준 2 2 15 4 3 3 2" xfId="1605"/>
    <cellStyle name="표준 2 2 15 4 4" xfId="1606"/>
    <cellStyle name="표준 2 2 15 4 5" xfId="1607"/>
    <cellStyle name="표준 2 2 15 4 5 2" xfId="1608"/>
    <cellStyle name="표준 2 2 15 5" xfId="1609"/>
    <cellStyle name="표준 2 2 15 5 2" xfId="1610"/>
    <cellStyle name="표준 2 2 15 5 2 2" xfId="1611"/>
    <cellStyle name="표준 2 2 15 5 2 3" xfId="1612"/>
    <cellStyle name="표준 2 2 15 5 2 3 2" xfId="1613"/>
    <cellStyle name="표준 2 2 15 5 3" xfId="1614"/>
    <cellStyle name="표준 2 2 15 5 3 2" xfId="1615"/>
    <cellStyle name="표준 2 2 15 5 3 3" xfId="1616"/>
    <cellStyle name="표준 2 2 15 5 3 3 2" xfId="1617"/>
    <cellStyle name="표준 2 2 15 5 4" xfId="1618"/>
    <cellStyle name="표준 2 2 15 5 5" xfId="1619"/>
    <cellStyle name="표준 2 2 15 5 5 2" xfId="1620"/>
    <cellStyle name="표준 2 2 15 6" xfId="1621"/>
    <cellStyle name="표준 2 2 15 6 2" xfId="1622"/>
    <cellStyle name="표준 2 2 15 6 3" xfId="1623"/>
    <cellStyle name="표준 2 2 15 6 3 2" xfId="1624"/>
    <cellStyle name="표준 2 2 15 7" xfId="1625"/>
    <cellStyle name="표준 2 2 15 7 2" xfId="1626"/>
    <cellStyle name="표준 2 2 15 7 3" xfId="1627"/>
    <cellStyle name="표준 2 2 15 7 3 2" xfId="1628"/>
    <cellStyle name="표준 2 2 15 8" xfId="1629"/>
    <cellStyle name="표준 2 2 15 9" xfId="1630"/>
    <cellStyle name="표준 2 2 15 9 2" xfId="1631"/>
    <cellStyle name="표준 2 2 16" xfId="1632"/>
    <cellStyle name="표준 2 2 16 2" xfId="1633"/>
    <cellStyle name="표준 2 2 16 2 2" xfId="1634"/>
    <cellStyle name="표준 2 2 16 2 2 2" xfId="1635"/>
    <cellStyle name="표준 2 2 16 2 2 2 2" xfId="1636"/>
    <cellStyle name="표준 2 2 16 2 2 2 2 2" xfId="1637"/>
    <cellStyle name="표준 2 2 16 2 2 2 2 2 2" xfId="1638"/>
    <cellStyle name="표준 2 2 16 2 2 2 2 2 3" xfId="1639"/>
    <cellStyle name="표준 2 2 16 2 2 2 2 2 3 2" xfId="1640"/>
    <cellStyle name="표준 2 2 16 2 2 2 2 3" xfId="1641"/>
    <cellStyle name="표준 2 2 16 2 2 2 2 3 2" xfId="1642"/>
    <cellStyle name="표준 2 2 16 2 2 2 2 3 3" xfId="1643"/>
    <cellStyle name="표준 2 2 16 2 2 2 2 3 3 2" xfId="1644"/>
    <cellStyle name="표준 2 2 16 2 2 2 2 4" xfId="1645"/>
    <cellStyle name="표준 2 2 16 2 2 2 2 5" xfId="1646"/>
    <cellStyle name="표준 2 2 16 2 2 2 2 5 2" xfId="1647"/>
    <cellStyle name="표준 2 2 16 2 2 2 3" xfId="1648"/>
    <cellStyle name="표준 2 2 16 2 2 2 3 2" xfId="1649"/>
    <cellStyle name="표준 2 2 16 2 2 2 3 2 2" xfId="1650"/>
    <cellStyle name="표준 2 2 16 2 2 2 3 2 3" xfId="1651"/>
    <cellStyle name="표준 2 2 16 2 2 2 3 2 3 2" xfId="1652"/>
    <cellStyle name="표준 2 2 16 2 2 2 3 3" xfId="1653"/>
    <cellStyle name="표준 2 2 16 2 2 2 3 3 2" xfId="1654"/>
    <cellStyle name="표준 2 2 16 2 2 2 3 3 3" xfId="1655"/>
    <cellStyle name="표준 2 2 16 2 2 2 3 3 3 2" xfId="1656"/>
    <cellStyle name="표준 2 2 16 2 2 2 3 4" xfId="1657"/>
    <cellStyle name="표준 2 2 16 2 2 2 3 5" xfId="1658"/>
    <cellStyle name="표준 2 2 16 2 2 2 3 5 2" xfId="1659"/>
    <cellStyle name="표준 2 2 16 2 2 2 4" xfId="1660"/>
    <cellStyle name="표준 2 2 16 2 2 2 4 2" xfId="1661"/>
    <cellStyle name="표준 2 2 16 2 2 2 4 3" xfId="1662"/>
    <cellStyle name="표준 2 2 16 2 2 2 4 3 2" xfId="1663"/>
    <cellStyle name="표준 2 2 16 2 2 2 5" xfId="1664"/>
    <cellStyle name="표준 2 2 16 2 2 2 5 2" xfId="1665"/>
    <cellStyle name="표준 2 2 16 2 2 2 5 3" xfId="1666"/>
    <cellStyle name="표준 2 2 16 2 2 2 5 3 2" xfId="1667"/>
    <cellStyle name="표준 2 2 16 2 2 2 6" xfId="1668"/>
    <cellStyle name="표준 2 2 16 2 2 2 7" xfId="1669"/>
    <cellStyle name="표준 2 2 16 2 2 2 7 2" xfId="1670"/>
    <cellStyle name="표준 2 2 16 2 2 3" xfId="1671"/>
    <cellStyle name="표준 2 2 16 2 2 3 2" xfId="1672"/>
    <cellStyle name="표준 2 2 16 2 2 3 2 2" xfId="1673"/>
    <cellStyle name="표준 2 2 16 2 2 3 2 3" xfId="1674"/>
    <cellStyle name="표준 2 2 16 2 2 3 2 3 2" xfId="1675"/>
    <cellStyle name="표준 2 2 16 2 2 3 3" xfId="1676"/>
    <cellStyle name="표준 2 2 16 2 2 3 3 2" xfId="1677"/>
    <cellStyle name="표준 2 2 16 2 2 3 3 3" xfId="1678"/>
    <cellStyle name="표준 2 2 16 2 2 3 3 3 2" xfId="1679"/>
    <cellStyle name="표준 2 2 16 2 2 3 4" xfId="1680"/>
    <cellStyle name="표준 2 2 16 2 2 3 5" xfId="1681"/>
    <cellStyle name="표준 2 2 16 2 2 3 5 2" xfId="1682"/>
    <cellStyle name="표준 2 2 16 2 2 4" xfId="1683"/>
    <cellStyle name="표준 2 2 16 2 2 4 2" xfId="1684"/>
    <cellStyle name="표준 2 2 16 2 2 4 2 2" xfId="1685"/>
    <cellStyle name="표준 2 2 16 2 2 4 2 3" xfId="1686"/>
    <cellStyle name="표준 2 2 16 2 2 4 2 3 2" xfId="1687"/>
    <cellStyle name="표준 2 2 16 2 2 4 3" xfId="1688"/>
    <cellStyle name="표준 2 2 16 2 2 4 3 2" xfId="1689"/>
    <cellStyle name="표준 2 2 16 2 2 4 3 3" xfId="1690"/>
    <cellStyle name="표준 2 2 16 2 2 4 3 3 2" xfId="1691"/>
    <cellStyle name="표준 2 2 16 2 2 4 4" xfId="1692"/>
    <cellStyle name="표준 2 2 16 2 2 4 5" xfId="1693"/>
    <cellStyle name="표준 2 2 16 2 2 4 5 2" xfId="1694"/>
    <cellStyle name="표준 2 2 16 2 2 5" xfId="1695"/>
    <cellStyle name="표준 2 2 16 2 2 5 2" xfId="1696"/>
    <cellStyle name="표준 2 2 16 2 2 5 3" xfId="1697"/>
    <cellStyle name="표준 2 2 16 2 2 5 3 2" xfId="1698"/>
    <cellStyle name="표준 2 2 16 2 2 6" xfId="1699"/>
    <cellStyle name="표준 2 2 16 2 2 6 2" xfId="1700"/>
    <cellStyle name="표준 2 2 16 2 2 6 3" xfId="1701"/>
    <cellStyle name="표준 2 2 16 2 2 6 3 2" xfId="1702"/>
    <cellStyle name="표준 2 2 16 2 2 7" xfId="1703"/>
    <cellStyle name="표준 2 2 16 2 2 8" xfId="1704"/>
    <cellStyle name="표준 2 2 16 2 2 8 2" xfId="1705"/>
    <cellStyle name="표준 2 2 16 2 3" xfId="1706"/>
    <cellStyle name="표준 2 2 16 2 3 2" xfId="1707"/>
    <cellStyle name="표준 2 2 16 2 3 2 2" xfId="1708"/>
    <cellStyle name="표준 2 2 16 2 3 2 2 2" xfId="1709"/>
    <cellStyle name="표준 2 2 16 2 3 2 2 3" xfId="1710"/>
    <cellStyle name="표준 2 2 16 2 3 2 2 3 2" xfId="1711"/>
    <cellStyle name="표준 2 2 16 2 3 2 3" xfId="1712"/>
    <cellStyle name="표준 2 2 16 2 3 2 3 2" xfId="1713"/>
    <cellStyle name="표준 2 2 16 2 3 2 3 3" xfId="1714"/>
    <cellStyle name="표준 2 2 16 2 3 2 3 3 2" xfId="1715"/>
    <cellStyle name="표준 2 2 16 2 3 2 4" xfId="1716"/>
    <cellStyle name="표준 2 2 16 2 3 2 5" xfId="1717"/>
    <cellStyle name="표준 2 2 16 2 3 2 5 2" xfId="1718"/>
    <cellStyle name="표준 2 2 16 2 3 3" xfId="1719"/>
    <cellStyle name="표준 2 2 16 2 3 3 2" xfId="1720"/>
    <cellStyle name="표준 2 2 16 2 3 3 2 2" xfId="1721"/>
    <cellStyle name="표준 2 2 16 2 3 3 2 3" xfId="1722"/>
    <cellStyle name="표준 2 2 16 2 3 3 2 3 2" xfId="1723"/>
    <cellStyle name="표준 2 2 16 2 3 3 3" xfId="1724"/>
    <cellStyle name="표준 2 2 16 2 3 3 3 2" xfId="1725"/>
    <cellStyle name="표준 2 2 16 2 3 3 3 3" xfId="1726"/>
    <cellStyle name="표준 2 2 16 2 3 3 3 3 2" xfId="1727"/>
    <cellStyle name="표준 2 2 16 2 3 3 4" xfId="1728"/>
    <cellStyle name="표준 2 2 16 2 3 3 5" xfId="1729"/>
    <cellStyle name="표준 2 2 16 2 3 3 5 2" xfId="1730"/>
    <cellStyle name="표준 2 2 16 2 3 4" xfId="1731"/>
    <cellStyle name="표준 2 2 16 2 3 4 2" xfId="1732"/>
    <cellStyle name="표준 2 2 16 2 3 4 3" xfId="1733"/>
    <cellStyle name="표준 2 2 16 2 3 4 3 2" xfId="1734"/>
    <cellStyle name="표준 2 2 16 2 3 5" xfId="1735"/>
    <cellStyle name="표준 2 2 16 2 3 5 2" xfId="1736"/>
    <cellStyle name="표준 2 2 16 2 3 5 3" xfId="1737"/>
    <cellStyle name="표준 2 2 16 2 3 5 3 2" xfId="1738"/>
    <cellStyle name="표준 2 2 16 2 3 6" xfId="1739"/>
    <cellStyle name="표준 2 2 16 2 3 7" xfId="1740"/>
    <cellStyle name="표준 2 2 16 2 3 7 2" xfId="1741"/>
    <cellStyle name="표준 2 2 16 2 4" xfId="1742"/>
    <cellStyle name="표준 2 2 16 2 4 2" xfId="1743"/>
    <cellStyle name="표준 2 2 16 2 4 2 2" xfId="1744"/>
    <cellStyle name="표준 2 2 16 2 4 2 3" xfId="1745"/>
    <cellStyle name="표준 2 2 16 2 4 2 3 2" xfId="1746"/>
    <cellStyle name="표준 2 2 16 2 4 3" xfId="1747"/>
    <cellStyle name="표준 2 2 16 2 4 3 2" xfId="1748"/>
    <cellStyle name="표준 2 2 16 2 4 3 3" xfId="1749"/>
    <cellStyle name="표준 2 2 16 2 4 3 3 2" xfId="1750"/>
    <cellStyle name="표준 2 2 16 2 4 4" xfId="1751"/>
    <cellStyle name="표준 2 2 16 2 4 5" xfId="1752"/>
    <cellStyle name="표준 2 2 16 2 4 5 2" xfId="1753"/>
    <cellStyle name="표준 2 2 16 2 5" xfId="1754"/>
    <cellStyle name="표준 2 2 16 2 5 2" xfId="1755"/>
    <cellStyle name="표준 2 2 16 2 5 2 2" xfId="1756"/>
    <cellStyle name="표준 2 2 16 2 5 2 3" xfId="1757"/>
    <cellStyle name="표준 2 2 16 2 5 2 3 2" xfId="1758"/>
    <cellStyle name="표준 2 2 16 2 5 3" xfId="1759"/>
    <cellStyle name="표준 2 2 16 2 5 3 2" xfId="1760"/>
    <cellStyle name="표준 2 2 16 2 5 3 3" xfId="1761"/>
    <cellStyle name="표준 2 2 16 2 5 3 3 2" xfId="1762"/>
    <cellStyle name="표준 2 2 16 2 5 4" xfId="1763"/>
    <cellStyle name="표준 2 2 16 2 5 5" xfId="1764"/>
    <cellStyle name="표준 2 2 16 2 5 5 2" xfId="1765"/>
    <cellStyle name="표준 2 2 16 2 6" xfId="1766"/>
    <cellStyle name="표준 2 2 16 2 6 2" xfId="1767"/>
    <cellStyle name="표준 2 2 16 2 6 3" xfId="1768"/>
    <cellStyle name="표준 2 2 16 2 6 3 2" xfId="1769"/>
    <cellStyle name="표준 2 2 16 2 7" xfId="1770"/>
    <cellStyle name="표준 2 2 16 2 7 2" xfId="1771"/>
    <cellStyle name="표준 2 2 16 2 7 3" xfId="1772"/>
    <cellStyle name="표준 2 2 16 2 7 3 2" xfId="1773"/>
    <cellStyle name="표준 2 2 16 2 8" xfId="1774"/>
    <cellStyle name="표준 2 2 16 2 9" xfId="1775"/>
    <cellStyle name="표준 2 2 16 2 9 2" xfId="1776"/>
    <cellStyle name="표준 2 2 16 3" xfId="1777"/>
    <cellStyle name="표준 2 2 16 3 2" xfId="1778"/>
    <cellStyle name="표준 2 2 16 3 2 2" xfId="1779"/>
    <cellStyle name="표준 2 2 16 3 2 2 2" xfId="1780"/>
    <cellStyle name="표준 2 2 16 3 2 2 2 2" xfId="1781"/>
    <cellStyle name="표준 2 2 16 3 2 2 2 3" xfId="1782"/>
    <cellStyle name="표준 2 2 16 3 2 2 2 3 2" xfId="1783"/>
    <cellStyle name="표준 2 2 16 3 2 2 3" xfId="1784"/>
    <cellStyle name="표준 2 2 16 3 2 2 3 2" xfId="1785"/>
    <cellStyle name="표준 2 2 16 3 2 2 3 3" xfId="1786"/>
    <cellStyle name="표준 2 2 16 3 2 2 3 3 2" xfId="1787"/>
    <cellStyle name="표준 2 2 16 3 2 2 4" xfId="1788"/>
    <cellStyle name="표준 2 2 16 3 2 2 5" xfId="1789"/>
    <cellStyle name="표준 2 2 16 3 2 2 5 2" xfId="1790"/>
    <cellStyle name="표준 2 2 16 3 2 3" xfId="1791"/>
    <cellStyle name="표준 2 2 16 3 2 3 2" xfId="1792"/>
    <cellStyle name="표준 2 2 16 3 2 3 2 2" xfId="1793"/>
    <cellStyle name="표준 2 2 16 3 2 3 2 3" xfId="1794"/>
    <cellStyle name="표준 2 2 16 3 2 3 2 3 2" xfId="1795"/>
    <cellStyle name="표준 2 2 16 3 2 3 3" xfId="1796"/>
    <cellStyle name="표준 2 2 16 3 2 3 3 2" xfId="1797"/>
    <cellStyle name="표준 2 2 16 3 2 3 3 3" xfId="1798"/>
    <cellStyle name="표준 2 2 16 3 2 3 3 3 2" xfId="1799"/>
    <cellStyle name="표준 2 2 16 3 2 3 4" xfId="1800"/>
    <cellStyle name="표준 2 2 16 3 2 3 5" xfId="1801"/>
    <cellStyle name="표준 2 2 16 3 2 3 5 2" xfId="1802"/>
    <cellStyle name="표준 2 2 16 3 2 4" xfId="1803"/>
    <cellStyle name="표준 2 2 16 3 2 4 2" xfId="1804"/>
    <cellStyle name="표준 2 2 16 3 2 4 3" xfId="1805"/>
    <cellStyle name="표준 2 2 16 3 2 4 3 2" xfId="1806"/>
    <cellStyle name="표준 2 2 16 3 2 5" xfId="1807"/>
    <cellStyle name="표준 2 2 16 3 2 5 2" xfId="1808"/>
    <cellStyle name="표준 2 2 16 3 2 5 3" xfId="1809"/>
    <cellStyle name="표준 2 2 16 3 2 5 3 2" xfId="1810"/>
    <cellStyle name="표준 2 2 16 3 2 6" xfId="1811"/>
    <cellStyle name="표준 2 2 16 3 2 7" xfId="1812"/>
    <cellStyle name="표준 2 2 16 3 2 7 2" xfId="1813"/>
    <cellStyle name="표준 2 2 16 3 3" xfId="1814"/>
    <cellStyle name="표준 2 2 16 3 3 2" xfId="1815"/>
    <cellStyle name="표준 2 2 16 3 3 2 2" xfId="1816"/>
    <cellStyle name="표준 2 2 16 3 3 2 3" xfId="1817"/>
    <cellStyle name="표준 2 2 16 3 3 2 3 2" xfId="1818"/>
    <cellStyle name="표준 2 2 16 3 3 3" xfId="1819"/>
    <cellStyle name="표준 2 2 16 3 3 3 2" xfId="1820"/>
    <cellStyle name="표준 2 2 16 3 3 3 3" xfId="1821"/>
    <cellStyle name="표준 2 2 16 3 3 3 3 2" xfId="1822"/>
    <cellStyle name="표준 2 2 16 3 3 4" xfId="1823"/>
    <cellStyle name="표준 2 2 16 3 3 5" xfId="1824"/>
    <cellStyle name="표준 2 2 16 3 3 5 2" xfId="1825"/>
    <cellStyle name="표준 2 2 16 3 4" xfId="1826"/>
    <cellStyle name="표준 2 2 16 3 4 2" xfId="1827"/>
    <cellStyle name="표준 2 2 16 3 4 2 2" xfId="1828"/>
    <cellStyle name="표준 2 2 16 3 4 2 3" xfId="1829"/>
    <cellStyle name="표준 2 2 16 3 4 2 3 2" xfId="1830"/>
    <cellStyle name="표준 2 2 16 3 4 3" xfId="1831"/>
    <cellStyle name="표준 2 2 16 3 4 3 2" xfId="1832"/>
    <cellStyle name="표준 2 2 16 3 4 3 3" xfId="1833"/>
    <cellStyle name="표준 2 2 16 3 4 3 3 2" xfId="1834"/>
    <cellStyle name="표준 2 2 16 3 4 4" xfId="1835"/>
    <cellStyle name="표준 2 2 16 3 4 5" xfId="1836"/>
    <cellStyle name="표준 2 2 16 3 4 5 2" xfId="1837"/>
    <cellStyle name="표준 2 2 16 3 5" xfId="1838"/>
    <cellStyle name="표준 2 2 16 3 5 2" xfId="1839"/>
    <cellStyle name="표준 2 2 16 3 5 3" xfId="1840"/>
    <cellStyle name="표준 2 2 16 3 5 3 2" xfId="1841"/>
    <cellStyle name="표준 2 2 16 3 6" xfId="1842"/>
    <cellStyle name="표준 2 2 16 3 6 2" xfId="1843"/>
    <cellStyle name="표준 2 2 16 3 6 3" xfId="1844"/>
    <cellStyle name="표준 2 2 16 3 6 3 2" xfId="1845"/>
    <cellStyle name="표준 2 2 16 3 7" xfId="1846"/>
    <cellStyle name="표준 2 2 16 3 8" xfId="1847"/>
    <cellStyle name="표준 2 2 16 3 8 2" xfId="1848"/>
    <cellStyle name="표준 2 2 16 4" xfId="1849"/>
    <cellStyle name="표준 2 2 16 4 2" xfId="1850"/>
    <cellStyle name="표준 2 2 16 4 2 2" xfId="1851"/>
    <cellStyle name="표준 2 2 16 4 2 3" xfId="1852"/>
    <cellStyle name="표준 2 2 16 4 2 3 2" xfId="1853"/>
    <cellStyle name="표준 2 2 16 4 3" xfId="1854"/>
    <cellStyle name="표준 2 2 16 4 3 2" xfId="1855"/>
    <cellStyle name="표준 2 2 16 4 3 3" xfId="1856"/>
    <cellStyle name="표준 2 2 16 4 3 3 2" xfId="1857"/>
    <cellStyle name="표준 2 2 16 4 4" xfId="1858"/>
    <cellStyle name="표준 2 2 16 4 5" xfId="1859"/>
    <cellStyle name="표준 2 2 16 4 5 2" xfId="1860"/>
    <cellStyle name="표준 2 2 16 5" xfId="1861"/>
    <cellStyle name="표준 2 2 16 5 2" xfId="1862"/>
    <cellStyle name="표준 2 2 16 5 2 2" xfId="1863"/>
    <cellStyle name="표준 2 2 16 5 2 3" xfId="1864"/>
    <cellStyle name="표준 2 2 16 5 2 3 2" xfId="1865"/>
    <cellStyle name="표준 2 2 16 5 3" xfId="1866"/>
    <cellStyle name="표준 2 2 16 5 3 2" xfId="1867"/>
    <cellStyle name="표준 2 2 16 5 3 3" xfId="1868"/>
    <cellStyle name="표준 2 2 16 5 3 3 2" xfId="1869"/>
    <cellStyle name="표준 2 2 16 5 4" xfId="1870"/>
    <cellStyle name="표준 2 2 16 5 5" xfId="1871"/>
    <cellStyle name="표준 2 2 16 5 5 2" xfId="1872"/>
    <cellStyle name="표준 2 2 16 6" xfId="1873"/>
    <cellStyle name="표준 2 2 16 6 2" xfId="1874"/>
    <cellStyle name="표준 2 2 16 6 3" xfId="1875"/>
    <cellStyle name="표준 2 2 16 6 3 2" xfId="1876"/>
    <cellStyle name="표준 2 2 16 7" xfId="1877"/>
    <cellStyle name="표준 2 2 16 7 2" xfId="1878"/>
    <cellStyle name="표준 2 2 16 7 3" xfId="1879"/>
    <cellStyle name="표준 2 2 16 7 3 2" xfId="1880"/>
    <cellStyle name="표준 2 2 16 8" xfId="1881"/>
    <cellStyle name="표준 2 2 16 9" xfId="1882"/>
    <cellStyle name="표준 2 2 16 9 2" xfId="1883"/>
    <cellStyle name="표준 2 2 17" xfId="1884"/>
    <cellStyle name="표준 2 2 17 2" xfId="1885"/>
    <cellStyle name="표준 2 2 17 2 2" xfId="1886"/>
    <cellStyle name="표준 2 2 17 2 2 2" xfId="1887"/>
    <cellStyle name="표준 2 2 17 2 2 2 2" xfId="1888"/>
    <cellStyle name="표준 2 2 17 2 2 2 2 2" xfId="1889"/>
    <cellStyle name="표준 2 2 17 2 2 2 2 2 2" xfId="1890"/>
    <cellStyle name="표준 2 2 17 2 2 2 2 2 3" xfId="1891"/>
    <cellStyle name="표준 2 2 17 2 2 2 2 2 3 2" xfId="1892"/>
    <cellStyle name="표준 2 2 17 2 2 2 2 3" xfId="1893"/>
    <cellStyle name="표준 2 2 17 2 2 2 2 3 2" xfId="1894"/>
    <cellStyle name="표준 2 2 17 2 2 2 2 3 3" xfId="1895"/>
    <cellStyle name="표준 2 2 17 2 2 2 2 3 3 2" xfId="1896"/>
    <cellStyle name="표준 2 2 17 2 2 2 2 4" xfId="1897"/>
    <cellStyle name="표준 2 2 17 2 2 2 2 5" xfId="1898"/>
    <cellStyle name="표준 2 2 17 2 2 2 2 5 2" xfId="1899"/>
    <cellStyle name="표준 2 2 17 2 2 2 3" xfId="1900"/>
    <cellStyle name="표준 2 2 17 2 2 2 3 2" xfId="1901"/>
    <cellStyle name="표준 2 2 17 2 2 2 3 2 2" xfId="1902"/>
    <cellStyle name="표준 2 2 17 2 2 2 3 2 3" xfId="1903"/>
    <cellStyle name="표준 2 2 17 2 2 2 3 2 3 2" xfId="1904"/>
    <cellStyle name="표준 2 2 17 2 2 2 3 3" xfId="1905"/>
    <cellStyle name="표준 2 2 17 2 2 2 3 3 2" xfId="1906"/>
    <cellStyle name="표준 2 2 17 2 2 2 3 3 3" xfId="1907"/>
    <cellStyle name="표준 2 2 17 2 2 2 3 3 3 2" xfId="1908"/>
    <cellStyle name="표준 2 2 17 2 2 2 3 4" xfId="1909"/>
    <cellStyle name="표준 2 2 17 2 2 2 3 5" xfId="1910"/>
    <cellStyle name="표준 2 2 17 2 2 2 3 5 2" xfId="1911"/>
    <cellStyle name="표준 2 2 17 2 2 2 4" xfId="1912"/>
    <cellStyle name="표준 2 2 17 2 2 2 4 2" xfId="1913"/>
    <cellStyle name="표준 2 2 17 2 2 2 4 3" xfId="1914"/>
    <cellStyle name="표준 2 2 17 2 2 2 4 3 2" xfId="1915"/>
    <cellStyle name="표준 2 2 17 2 2 2 5" xfId="1916"/>
    <cellStyle name="표준 2 2 17 2 2 2 5 2" xfId="1917"/>
    <cellStyle name="표준 2 2 17 2 2 2 5 3" xfId="1918"/>
    <cellStyle name="표준 2 2 17 2 2 2 5 3 2" xfId="1919"/>
    <cellStyle name="표준 2 2 17 2 2 2 6" xfId="1920"/>
    <cellStyle name="표준 2 2 17 2 2 2 7" xfId="1921"/>
    <cellStyle name="표준 2 2 17 2 2 2 7 2" xfId="1922"/>
    <cellStyle name="표준 2 2 17 2 2 3" xfId="1923"/>
    <cellStyle name="표준 2 2 17 2 2 3 2" xfId="1924"/>
    <cellStyle name="표준 2 2 17 2 2 3 2 2" xfId="1925"/>
    <cellStyle name="표준 2 2 17 2 2 3 2 3" xfId="1926"/>
    <cellStyle name="표준 2 2 17 2 2 3 2 3 2" xfId="1927"/>
    <cellStyle name="표준 2 2 17 2 2 3 3" xfId="1928"/>
    <cellStyle name="표준 2 2 17 2 2 3 3 2" xfId="1929"/>
    <cellStyle name="표준 2 2 17 2 2 3 3 3" xfId="1930"/>
    <cellStyle name="표준 2 2 17 2 2 3 3 3 2" xfId="1931"/>
    <cellStyle name="표준 2 2 17 2 2 3 4" xfId="1932"/>
    <cellStyle name="표준 2 2 17 2 2 3 5" xfId="1933"/>
    <cellStyle name="표준 2 2 17 2 2 3 5 2" xfId="1934"/>
    <cellStyle name="표준 2 2 17 2 2 4" xfId="1935"/>
    <cellStyle name="표준 2 2 17 2 2 4 2" xfId="1936"/>
    <cellStyle name="표준 2 2 17 2 2 4 2 2" xfId="1937"/>
    <cellStyle name="표준 2 2 17 2 2 4 2 3" xfId="1938"/>
    <cellStyle name="표준 2 2 17 2 2 4 2 3 2" xfId="1939"/>
    <cellStyle name="표준 2 2 17 2 2 4 3" xfId="1940"/>
    <cellStyle name="표준 2 2 17 2 2 4 3 2" xfId="1941"/>
    <cellStyle name="표준 2 2 17 2 2 4 3 3" xfId="1942"/>
    <cellStyle name="표준 2 2 17 2 2 4 3 3 2" xfId="1943"/>
    <cellStyle name="표준 2 2 17 2 2 4 4" xfId="1944"/>
    <cellStyle name="표준 2 2 17 2 2 4 5" xfId="1945"/>
    <cellStyle name="표준 2 2 17 2 2 4 5 2" xfId="1946"/>
    <cellStyle name="표준 2 2 17 2 2 5" xfId="1947"/>
    <cellStyle name="표준 2 2 17 2 2 5 2" xfId="1948"/>
    <cellStyle name="표준 2 2 17 2 2 5 3" xfId="1949"/>
    <cellStyle name="표준 2 2 17 2 2 5 3 2" xfId="1950"/>
    <cellStyle name="표준 2 2 17 2 2 6" xfId="1951"/>
    <cellStyle name="표준 2 2 17 2 2 6 2" xfId="1952"/>
    <cellStyle name="표준 2 2 17 2 2 6 3" xfId="1953"/>
    <cellStyle name="표준 2 2 17 2 2 6 3 2" xfId="1954"/>
    <cellStyle name="표준 2 2 17 2 2 7" xfId="1955"/>
    <cellStyle name="표준 2 2 17 2 2 8" xfId="1956"/>
    <cellStyle name="표준 2 2 17 2 2 8 2" xfId="1957"/>
    <cellStyle name="표준 2 2 17 2 3" xfId="1958"/>
    <cellStyle name="표준 2 2 17 2 3 2" xfId="1959"/>
    <cellStyle name="표준 2 2 17 2 3 2 2" xfId="1960"/>
    <cellStyle name="표준 2 2 17 2 3 2 2 2" xfId="1961"/>
    <cellStyle name="표준 2 2 17 2 3 2 2 3" xfId="1962"/>
    <cellStyle name="표준 2 2 17 2 3 2 2 3 2" xfId="1963"/>
    <cellStyle name="표준 2 2 17 2 3 2 3" xfId="1964"/>
    <cellStyle name="표준 2 2 17 2 3 2 3 2" xfId="1965"/>
    <cellStyle name="표준 2 2 17 2 3 2 3 3" xfId="1966"/>
    <cellStyle name="표준 2 2 17 2 3 2 3 3 2" xfId="1967"/>
    <cellStyle name="표준 2 2 17 2 3 2 4" xfId="1968"/>
    <cellStyle name="표준 2 2 17 2 3 2 5" xfId="1969"/>
    <cellStyle name="표준 2 2 17 2 3 2 5 2" xfId="1970"/>
    <cellStyle name="표준 2 2 17 2 3 3" xfId="1971"/>
    <cellStyle name="표준 2 2 17 2 3 3 2" xfId="1972"/>
    <cellStyle name="표준 2 2 17 2 3 3 2 2" xfId="1973"/>
    <cellStyle name="표준 2 2 17 2 3 3 2 3" xfId="1974"/>
    <cellStyle name="표준 2 2 17 2 3 3 2 3 2" xfId="1975"/>
    <cellStyle name="표준 2 2 17 2 3 3 3" xfId="1976"/>
    <cellStyle name="표준 2 2 17 2 3 3 3 2" xfId="1977"/>
    <cellStyle name="표준 2 2 17 2 3 3 3 3" xfId="1978"/>
    <cellStyle name="표준 2 2 17 2 3 3 3 3 2" xfId="1979"/>
    <cellStyle name="표준 2 2 17 2 3 3 4" xfId="1980"/>
    <cellStyle name="표준 2 2 17 2 3 3 5" xfId="1981"/>
    <cellStyle name="표준 2 2 17 2 3 3 5 2" xfId="1982"/>
    <cellStyle name="표준 2 2 17 2 3 4" xfId="1983"/>
    <cellStyle name="표준 2 2 17 2 3 4 2" xfId="1984"/>
    <cellStyle name="표준 2 2 17 2 3 4 3" xfId="1985"/>
    <cellStyle name="표준 2 2 17 2 3 4 3 2" xfId="1986"/>
    <cellStyle name="표준 2 2 17 2 3 5" xfId="1987"/>
    <cellStyle name="표준 2 2 17 2 3 5 2" xfId="1988"/>
    <cellStyle name="표준 2 2 17 2 3 5 3" xfId="1989"/>
    <cellStyle name="표준 2 2 17 2 3 5 3 2" xfId="1990"/>
    <cellStyle name="표준 2 2 17 2 3 6" xfId="1991"/>
    <cellStyle name="표준 2 2 17 2 3 7" xfId="1992"/>
    <cellStyle name="표준 2 2 17 2 3 7 2" xfId="1993"/>
    <cellStyle name="표준 2 2 17 2 4" xfId="1994"/>
    <cellStyle name="표준 2 2 17 2 4 2" xfId="1995"/>
    <cellStyle name="표준 2 2 17 2 4 2 2" xfId="1996"/>
    <cellStyle name="표준 2 2 17 2 4 2 3" xfId="1997"/>
    <cellStyle name="표준 2 2 17 2 4 2 3 2" xfId="1998"/>
    <cellStyle name="표준 2 2 17 2 4 3" xfId="1999"/>
    <cellStyle name="표준 2 2 17 2 4 3 2" xfId="2000"/>
    <cellStyle name="표준 2 2 17 2 4 3 3" xfId="2001"/>
    <cellStyle name="표준 2 2 17 2 4 3 3 2" xfId="2002"/>
    <cellStyle name="표준 2 2 17 2 4 4" xfId="2003"/>
    <cellStyle name="표준 2 2 17 2 4 5" xfId="2004"/>
    <cellStyle name="표준 2 2 17 2 4 5 2" xfId="2005"/>
    <cellStyle name="표준 2 2 17 2 5" xfId="2006"/>
    <cellStyle name="표준 2 2 17 2 5 2" xfId="2007"/>
    <cellStyle name="표준 2 2 17 2 5 2 2" xfId="2008"/>
    <cellStyle name="표준 2 2 17 2 5 2 3" xfId="2009"/>
    <cellStyle name="표준 2 2 17 2 5 2 3 2" xfId="2010"/>
    <cellStyle name="표준 2 2 17 2 5 3" xfId="2011"/>
    <cellStyle name="표준 2 2 17 2 5 3 2" xfId="2012"/>
    <cellStyle name="표준 2 2 17 2 5 3 3" xfId="2013"/>
    <cellStyle name="표준 2 2 17 2 5 3 3 2" xfId="2014"/>
    <cellStyle name="표준 2 2 17 2 5 4" xfId="2015"/>
    <cellStyle name="표준 2 2 17 2 5 5" xfId="2016"/>
    <cellStyle name="표준 2 2 17 2 5 5 2" xfId="2017"/>
    <cellStyle name="표준 2 2 17 2 6" xfId="2018"/>
    <cellStyle name="표준 2 2 17 2 6 2" xfId="2019"/>
    <cellStyle name="표준 2 2 17 2 6 3" xfId="2020"/>
    <cellStyle name="표준 2 2 17 2 6 3 2" xfId="2021"/>
    <cellStyle name="표준 2 2 17 2 7" xfId="2022"/>
    <cellStyle name="표준 2 2 17 2 7 2" xfId="2023"/>
    <cellStyle name="표준 2 2 17 2 7 3" xfId="2024"/>
    <cellStyle name="표준 2 2 17 2 7 3 2" xfId="2025"/>
    <cellStyle name="표준 2 2 17 2 8" xfId="2026"/>
    <cellStyle name="표준 2 2 17 2 9" xfId="2027"/>
    <cellStyle name="표준 2 2 17 2 9 2" xfId="2028"/>
    <cellStyle name="표준 2 2 17 3" xfId="2029"/>
    <cellStyle name="표준 2 2 17 3 2" xfId="2030"/>
    <cellStyle name="표준 2 2 17 3 2 2" xfId="2031"/>
    <cellStyle name="표준 2 2 17 3 2 2 2" xfId="2032"/>
    <cellStyle name="표준 2 2 17 3 2 2 2 2" xfId="2033"/>
    <cellStyle name="표준 2 2 17 3 2 2 2 3" xfId="2034"/>
    <cellStyle name="표준 2 2 17 3 2 2 2 3 2" xfId="2035"/>
    <cellStyle name="표준 2 2 17 3 2 2 3" xfId="2036"/>
    <cellStyle name="표준 2 2 17 3 2 2 3 2" xfId="2037"/>
    <cellStyle name="표준 2 2 17 3 2 2 3 3" xfId="2038"/>
    <cellStyle name="표준 2 2 17 3 2 2 3 3 2" xfId="2039"/>
    <cellStyle name="표준 2 2 17 3 2 2 4" xfId="2040"/>
    <cellStyle name="표준 2 2 17 3 2 2 5" xfId="2041"/>
    <cellStyle name="표준 2 2 17 3 2 2 5 2" xfId="2042"/>
    <cellStyle name="표준 2 2 17 3 2 3" xfId="2043"/>
    <cellStyle name="표준 2 2 17 3 2 3 2" xfId="2044"/>
    <cellStyle name="표준 2 2 17 3 2 3 2 2" xfId="2045"/>
    <cellStyle name="표준 2 2 17 3 2 3 2 3" xfId="2046"/>
    <cellStyle name="표준 2 2 17 3 2 3 2 3 2" xfId="2047"/>
    <cellStyle name="표준 2 2 17 3 2 3 3" xfId="2048"/>
    <cellStyle name="표준 2 2 17 3 2 3 3 2" xfId="2049"/>
    <cellStyle name="표준 2 2 17 3 2 3 3 3" xfId="2050"/>
    <cellStyle name="표준 2 2 17 3 2 3 3 3 2" xfId="2051"/>
    <cellStyle name="표준 2 2 17 3 2 3 4" xfId="2052"/>
    <cellStyle name="표준 2 2 17 3 2 3 5" xfId="2053"/>
    <cellStyle name="표준 2 2 17 3 2 3 5 2" xfId="2054"/>
    <cellStyle name="표준 2 2 17 3 2 4" xfId="2055"/>
    <cellStyle name="표준 2 2 17 3 2 4 2" xfId="2056"/>
    <cellStyle name="표준 2 2 17 3 2 4 3" xfId="2057"/>
    <cellStyle name="표준 2 2 17 3 2 4 3 2" xfId="2058"/>
    <cellStyle name="표준 2 2 17 3 2 5" xfId="2059"/>
    <cellStyle name="표준 2 2 17 3 2 5 2" xfId="2060"/>
    <cellStyle name="표준 2 2 17 3 2 5 3" xfId="2061"/>
    <cellStyle name="표준 2 2 17 3 2 5 3 2" xfId="2062"/>
    <cellStyle name="표준 2 2 17 3 2 6" xfId="2063"/>
    <cellStyle name="표준 2 2 17 3 2 7" xfId="2064"/>
    <cellStyle name="표준 2 2 17 3 2 7 2" xfId="2065"/>
    <cellStyle name="표준 2 2 17 3 3" xfId="2066"/>
    <cellStyle name="표준 2 2 17 3 3 2" xfId="2067"/>
    <cellStyle name="표준 2 2 17 3 3 2 2" xfId="2068"/>
    <cellStyle name="표준 2 2 17 3 3 2 3" xfId="2069"/>
    <cellStyle name="표준 2 2 17 3 3 2 3 2" xfId="2070"/>
    <cellStyle name="표준 2 2 17 3 3 3" xfId="2071"/>
    <cellStyle name="표준 2 2 17 3 3 3 2" xfId="2072"/>
    <cellStyle name="표준 2 2 17 3 3 3 3" xfId="2073"/>
    <cellStyle name="표준 2 2 17 3 3 3 3 2" xfId="2074"/>
    <cellStyle name="표준 2 2 17 3 3 4" xfId="2075"/>
    <cellStyle name="표준 2 2 17 3 3 5" xfId="2076"/>
    <cellStyle name="표준 2 2 17 3 3 5 2" xfId="2077"/>
    <cellStyle name="표준 2 2 17 3 4" xfId="2078"/>
    <cellStyle name="표준 2 2 17 3 4 2" xfId="2079"/>
    <cellStyle name="표준 2 2 17 3 4 2 2" xfId="2080"/>
    <cellStyle name="표준 2 2 17 3 4 2 3" xfId="2081"/>
    <cellStyle name="표준 2 2 17 3 4 2 3 2" xfId="2082"/>
    <cellStyle name="표준 2 2 17 3 4 3" xfId="2083"/>
    <cellStyle name="표준 2 2 17 3 4 3 2" xfId="2084"/>
    <cellStyle name="표준 2 2 17 3 4 3 3" xfId="2085"/>
    <cellStyle name="표준 2 2 17 3 4 3 3 2" xfId="2086"/>
    <cellStyle name="표준 2 2 17 3 4 4" xfId="2087"/>
    <cellStyle name="표준 2 2 17 3 4 5" xfId="2088"/>
    <cellStyle name="표준 2 2 17 3 4 5 2" xfId="2089"/>
    <cellStyle name="표준 2 2 17 3 5" xfId="2090"/>
    <cellStyle name="표준 2 2 17 3 5 2" xfId="2091"/>
    <cellStyle name="표준 2 2 17 3 5 3" xfId="2092"/>
    <cellStyle name="표준 2 2 17 3 5 3 2" xfId="2093"/>
    <cellStyle name="표준 2 2 17 3 6" xfId="2094"/>
    <cellStyle name="표준 2 2 17 3 6 2" xfId="2095"/>
    <cellStyle name="표준 2 2 17 3 6 3" xfId="2096"/>
    <cellStyle name="표준 2 2 17 3 6 3 2" xfId="2097"/>
    <cellStyle name="표준 2 2 17 3 7" xfId="2098"/>
    <cellStyle name="표준 2 2 17 3 8" xfId="2099"/>
    <cellStyle name="표준 2 2 17 3 8 2" xfId="2100"/>
    <cellStyle name="표준 2 2 17 4" xfId="2101"/>
    <cellStyle name="표준 2 2 17 4 2" xfId="2102"/>
    <cellStyle name="표준 2 2 17 4 2 2" xfId="2103"/>
    <cellStyle name="표준 2 2 17 4 2 3" xfId="2104"/>
    <cellStyle name="표준 2 2 17 4 2 3 2" xfId="2105"/>
    <cellStyle name="표준 2 2 17 4 3" xfId="2106"/>
    <cellStyle name="표준 2 2 17 4 3 2" xfId="2107"/>
    <cellStyle name="표준 2 2 17 4 3 3" xfId="2108"/>
    <cellStyle name="표준 2 2 17 4 3 3 2" xfId="2109"/>
    <cellStyle name="표준 2 2 17 4 4" xfId="2110"/>
    <cellStyle name="표준 2 2 17 4 5" xfId="2111"/>
    <cellStyle name="표준 2 2 17 4 5 2" xfId="2112"/>
    <cellStyle name="표준 2 2 17 5" xfId="2113"/>
    <cellStyle name="표준 2 2 17 5 2" xfId="2114"/>
    <cellStyle name="표준 2 2 17 5 2 2" xfId="2115"/>
    <cellStyle name="표준 2 2 17 5 2 3" xfId="2116"/>
    <cellStyle name="표준 2 2 17 5 2 3 2" xfId="2117"/>
    <cellStyle name="표준 2 2 17 5 3" xfId="2118"/>
    <cellStyle name="표준 2 2 17 5 3 2" xfId="2119"/>
    <cellStyle name="표준 2 2 17 5 3 3" xfId="2120"/>
    <cellStyle name="표준 2 2 17 5 3 3 2" xfId="2121"/>
    <cellStyle name="표준 2 2 17 5 4" xfId="2122"/>
    <cellStyle name="표준 2 2 17 5 5" xfId="2123"/>
    <cellStyle name="표준 2 2 17 5 5 2" xfId="2124"/>
    <cellStyle name="표준 2 2 17 6" xfId="2125"/>
    <cellStyle name="표준 2 2 17 6 2" xfId="2126"/>
    <cellStyle name="표준 2 2 17 6 3" xfId="2127"/>
    <cellStyle name="표준 2 2 17 6 3 2" xfId="2128"/>
    <cellStyle name="표준 2 2 17 7" xfId="2129"/>
    <cellStyle name="표준 2 2 17 7 2" xfId="2130"/>
    <cellStyle name="표준 2 2 17 7 3" xfId="2131"/>
    <cellStyle name="표준 2 2 17 7 3 2" xfId="2132"/>
    <cellStyle name="표준 2 2 17 8" xfId="2133"/>
    <cellStyle name="표준 2 2 17 9" xfId="2134"/>
    <cellStyle name="표준 2 2 17 9 2" xfId="2135"/>
    <cellStyle name="표준 2 2 18" xfId="2136"/>
    <cellStyle name="표준 2 2 18 2" xfId="2137"/>
    <cellStyle name="표준 2 2 18 2 2" xfId="2138"/>
    <cellStyle name="표준 2 2 18 2 2 2" xfId="2139"/>
    <cellStyle name="표준 2 2 18 2 2 2 2" xfId="2140"/>
    <cellStyle name="표준 2 2 18 2 2 2 2 2" xfId="2141"/>
    <cellStyle name="표준 2 2 18 2 2 2 2 2 2" xfId="2142"/>
    <cellStyle name="표준 2 2 18 2 2 2 2 2 3" xfId="2143"/>
    <cellStyle name="표준 2 2 18 2 2 2 2 2 3 2" xfId="2144"/>
    <cellStyle name="표준 2 2 18 2 2 2 2 3" xfId="2145"/>
    <cellStyle name="표준 2 2 18 2 2 2 2 3 2" xfId="2146"/>
    <cellStyle name="표준 2 2 18 2 2 2 2 3 3" xfId="2147"/>
    <cellStyle name="표준 2 2 18 2 2 2 2 3 3 2" xfId="2148"/>
    <cellStyle name="표준 2 2 18 2 2 2 2 4" xfId="2149"/>
    <cellStyle name="표준 2 2 18 2 2 2 2 5" xfId="2150"/>
    <cellStyle name="표준 2 2 18 2 2 2 2 5 2" xfId="2151"/>
    <cellStyle name="표준 2 2 18 2 2 2 3" xfId="2152"/>
    <cellStyle name="표준 2 2 18 2 2 2 3 2" xfId="2153"/>
    <cellStyle name="표준 2 2 18 2 2 2 3 2 2" xfId="2154"/>
    <cellStyle name="표준 2 2 18 2 2 2 3 2 3" xfId="2155"/>
    <cellStyle name="표준 2 2 18 2 2 2 3 2 3 2" xfId="2156"/>
    <cellStyle name="표준 2 2 18 2 2 2 3 3" xfId="2157"/>
    <cellStyle name="표준 2 2 18 2 2 2 3 3 2" xfId="2158"/>
    <cellStyle name="표준 2 2 18 2 2 2 3 3 3" xfId="2159"/>
    <cellStyle name="표준 2 2 18 2 2 2 3 3 3 2" xfId="2160"/>
    <cellStyle name="표준 2 2 18 2 2 2 3 4" xfId="2161"/>
    <cellStyle name="표준 2 2 18 2 2 2 3 5" xfId="2162"/>
    <cellStyle name="표준 2 2 18 2 2 2 3 5 2" xfId="2163"/>
    <cellStyle name="표준 2 2 18 2 2 2 4" xfId="2164"/>
    <cellStyle name="표준 2 2 18 2 2 2 4 2" xfId="2165"/>
    <cellStyle name="표준 2 2 18 2 2 2 4 3" xfId="2166"/>
    <cellStyle name="표준 2 2 18 2 2 2 4 3 2" xfId="2167"/>
    <cellStyle name="표준 2 2 18 2 2 2 5" xfId="2168"/>
    <cellStyle name="표준 2 2 18 2 2 2 5 2" xfId="2169"/>
    <cellStyle name="표준 2 2 18 2 2 2 5 3" xfId="2170"/>
    <cellStyle name="표준 2 2 18 2 2 2 5 3 2" xfId="2171"/>
    <cellStyle name="표준 2 2 18 2 2 2 6" xfId="2172"/>
    <cellStyle name="표준 2 2 18 2 2 2 7" xfId="2173"/>
    <cellStyle name="표준 2 2 18 2 2 2 7 2" xfId="2174"/>
    <cellStyle name="표준 2 2 18 2 2 3" xfId="2175"/>
    <cellStyle name="표준 2 2 18 2 2 3 2" xfId="2176"/>
    <cellStyle name="표준 2 2 18 2 2 3 2 2" xfId="2177"/>
    <cellStyle name="표준 2 2 18 2 2 3 2 3" xfId="2178"/>
    <cellStyle name="표준 2 2 18 2 2 3 2 3 2" xfId="2179"/>
    <cellStyle name="표준 2 2 18 2 2 3 3" xfId="2180"/>
    <cellStyle name="표준 2 2 18 2 2 3 3 2" xfId="2181"/>
    <cellStyle name="표준 2 2 18 2 2 3 3 3" xfId="2182"/>
    <cellStyle name="표준 2 2 18 2 2 3 3 3 2" xfId="2183"/>
    <cellStyle name="표준 2 2 18 2 2 3 4" xfId="2184"/>
    <cellStyle name="표준 2 2 18 2 2 3 5" xfId="2185"/>
    <cellStyle name="표준 2 2 18 2 2 3 5 2" xfId="2186"/>
    <cellStyle name="표준 2 2 18 2 2 4" xfId="2187"/>
    <cellStyle name="표준 2 2 18 2 2 4 2" xfId="2188"/>
    <cellStyle name="표준 2 2 18 2 2 4 2 2" xfId="2189"/>
    <cellStyle name="표준 2 2 18 2 2 4 2 3" xfId="2190"/>
    <cellStyle name="표준 2 2 18 2 2 4 2 3 2" xfId="2191"/>
    <cellStyle name="표준 2 2 18 2 2 4 3" xfId="2192"/>
    <cellStyle name="표준 2 2 18 2 2 4 3 2" xfId="2193"/>
    <cellStyle name="표준 2 2 18 2 2 4 3 3" xfId="2194"/>
    <cellStyle name="표준 2 2 18 2 2 4 3 3 2" xfId="2195"/>
    <cellStyle name="표준 2 2 18 2 2 4 4" xfId="2196"/>
    <cellStyle name="표준 2 2 18 2 2 4 5" xfId="2197"/>
    <cellStyle name="표준 2 2 18 2 2 4 5 2" xfId="2198"/>
    <cellStyle name="표준 2 2 18 2 2 5" xfId="2199"/>
    <cellStyle name="표준 2 2 18 2 2 5 2" xfId="2200"/>
    <cellStyle name="표준 2 2 18 2 2 5 3" xfId="2201"/>
    <cellStyle name="표준 2 2 18 2 2 5 3 2" xfId="2202"/>
    <cellStyle name="표준 2 2 18 2 2 6" xfId="2203"/>
    <cellStyle name="표준 2 2 18 2 2 6 2" xfId="2204"/>
    <cellStyle name="표준 2 2 18 2 2 6 3" xfId="2205"/>
    <cellStyle name="표준 2 2 18 2 2 6 3 2" xfId="2206"/>
    <cellStyle name="표준 2 2 18 2 2 7" xfId="2207"/>
    <cellStyle name="표준 2 2 18 2 2 8" xfId="2208"/>
    <cellStyle name="표준 2 2 18 2 2 8 2" xfId="2209"/>
    <cellStyle name="표준 2 2 18 2 3" xfId="2210"/>
    <cellStyle name="표준 2 2 18 2 3 2" xfId="2211"/>
    <cellStyle name="표준 2 2 18 2 3 2 2" xfId="2212"/>
    <cellStyle name="표준 2 2 18 2 3 2 2 2" xfId="2213"/>
    <cellStyle name="표준 2 2 18 2 3 2 2 3" xfId="2214"/>
    <cellStyle name="표준 2 2 18 2 3 2 2 3 2" xfId="2215"/>
    <cellStyle name="표준 2 2 18 2 3 2 3" xfId="2216"/>
    <cellStyle name="표준 2 2 18 2 3 2 3 2" xfId="2217"/>
    <cellStyle name="표준 2 2 18 2 3 2 3 3" xfId="2218"/>
    <cellStyle name="표준 2 2 18 2 3 2 3 3 2" xfId="2219"/>
    <cellStyle name="표준 2 2 18 2 3 2 4" xfId="2220"/>
    <cellStyle name="표준 2 2 18 2 3 2 5" xfId="2221"/>
    <cellStyle name="표준 2 2 18 2 3 2 5 2" xfId="2222"/>
    <cellStyle name="표준 2 2 18 2 3 3" xfId="2223"/>
    <cellStyle name="표준 2 2 18 2 3 3 2" xfId="2224"/>
    <cellStyle name="표준 2 2 18 2 3 3 2 2" xfId="2225"/>
    <cellStyle name="표준 2 2 18 2 3 3 2 3" xfId="2226"/>
    <cellStyle name="표준 2 2 18 2 3 3 2 3 2" xfId="2227"/>
    <cellStyle name="표준 2 2 18 2 3 3 3" xfId="2228"/>
    <cellStyle name="표준 2 2 18 2 3 3 3 2" xfId="2229"/>
    <cellStyle name="표준 2 2 18 2 3 3 3 3" xfId="2230"/>
    <cellStyle name="표준 2 2 18 2 3 3 3 3 2" xfId="2231"/>
    <cellStyle name="표준 2 2 18 2 3 3 4" xfId="2232"/>
    <cellStyle name="표준 2 2 18 2 3 3 5" xfId="2233"/>
    <cellStyle name="표준 2 2 18 2 3 3 5 2" xfId="2234"/>
    <cellStyle name="표준 2 2 18 2 3 4" xfId="2235"/>
    <cellStyle name="표준 2 2 18 2 3 4 2" xfId="2236"/>
    <cellStyle name="표준 2 2 18 2 3 4 3" xfId="2237"/>
    <cellStyle name="표준 2 2 18 2 3 4 3 2" xfId="2238"/>
    <cellStyle name="표준 2 2 18 2 3 5" xfId="2239"/>
    <cellStyle name="표준 2 2 18 2 3 5 2" xfId="2240"/>
    <cellStyle name="표준 2 2 18 2 3 5 3" xfId="2241"/>
    <cellStyle name="표준 2 2 18 2 3 5 3 2" xfId="2242"/>
    <cellStyle name="표준 2 2 18 2 3 6" xfId="2243"/>
    <cellStyle name="표준 2 2 18 2 3 7" xfId="2244"/>
    <cellStyle name="표준 2 2 18 2 3 7 2" xfId="2245"/>
    <cellStyle name="표준 2 2 18 2 4" xfId="2246"/>
    <cellStyle name="표준 2 2 18 2 4 2" xfId="2247"/>
    <cellStyle name="표준 2 2 18 2 4 2 2" xfId="2248"/>
    <cellStyle name="표준 2 2 18 2 4 2 3" xfId="2249"/>
    <cellStyle name="표준 2 2 18 2 4 2 3 2" xfId="2250"/>
    <cellStyle name="표준 2 2 18 2 4 3" xfId="2251"/>
    <cellStyle name="표준 2 2 18 2 4 3 2" xfId="2252"/>
    <cellStyle name="표준 2 2 18 2 4 3 3" xfId="2253"/>
    <cellStyle name="표준 2 2 18 2 4 3 3 2" xfId="2254"/>
    <cellStyle name="표준 2 2 18 2 4 4" xfId="2255"/>
    <cellStyle name="표준 2 2 18 2 4 5" xfId="2256"/>
    <cellStyle name="표준 2 2 18 2 4 5 2" xfId="2257"/>
    <cellStyle name="표준 2 2 18 2 5" xfId="2258"/>
    <cellStyle name="표준 2 2 18 2 5 2" xfId="2259"/>
    <cellStyle name="표준 2 2 18 2 5 2 2" xfId="2260"/>
    <cellStyle name="표준 2 2 18 2 5 2 3" xfId="2261"/>
    <cellStyle name="표준 2 2 18 2 5 2 3 2" xfId="2262"/>
    <cellStyle name="표준 2 2 18 2 5 3" xfId="2263"/>
    <cellStyle name="표준 2 2 18 2 5 3 2" xfId="2264"/>
    <cellStyle name="표준 2 2 18 2 5 3 3" xfId="2265"/>
    <cellStyle name="표준 2 2 18 2 5 3 3 2" xfId="2266"/>
    <cellStyle name="표준 2 2 18 2 5 4" xfId="2267"/>
    <cellStyle name="표준 2 2 18 2 5 5" xfId="2268"/>
    <cellStyle name="표준 2 2 18 2 5 5 2" xfId="2269"/>
    <cellStyle name="표준 2 2 18 2 6" xfId="2270"/>
    <cellStyle name="표준 2 2 18 2 6 2" xfId="2271"/>
    <cellStyle name="표준 2 2 18 2 6 3" xfId="2272"/>
    <cellStyle name="표준 2 2 18 2 6 3 2" xfId="2273"/>
    <cellStyle name="표준 2 2 18 2 7" xfId="2274"/>
    <cellStyle name="표준 2 2 18 2 7 2" xfId="2275"/>
    <cellStyle name="표준 2 2 18 2 7 3" xfId="2276"/>
    <cellStyle name="표준 2 2 18 2 7 3 2" xfId="2277"/>
    <cellStyle name="표준 2 2 18 2 8" xfId="2278"/>
    <cellStyle name="표준 2 2 18 2 9" xfId="2279"/>
    <cellStyle name="표준 2 2 18 2 9 2" xfId="2280"/>
    <cellStyle name="표준 2 2 18 3" xfId="2281"/>
    <cellStyle name="표준 2 2 18 3 2" xfId="2282"/>
    <cellStyle name="표준 2 2 18 3 2 2" xfId="2283"/>
    <cellStyle name="표준 2 2 18 3 2 2 2" xfId="2284"/>
    <cellStyle name="표준 2 2 18 3 2 2 2 2" xfId="2285"/>
    <cellStyle name="표준 2 2 18 3 2 2 2 3" xfId="2286"/>
    <cellStyle name="표준 2 2 18 3 2 2 2 3 2" xfId="2287"/>
    <cellStyle name="표준 2 2 18 3 2 2 3" xfId="2288"/>
    <cellStyle name="표준 2 2 18 3 2 2 3 2" xfId="2289"/>
    <cellStyle name="표준 2 2 18 3 2 2 3 3" xfId="2290"/>
    <cellStyle name="표준 2 2 18 3 2 2 3 3 2" xfId="2291"/>
    <cellStyle name="표준 2 2 18 3 2 2 4" xfId="2292"/>
    <cellStyle name="표준 2 2 18 3 2 2 5" xfId="2293"/>
    <cellStyle name="표준 2 2 18 3 2 2 5 2" xfId="2294"/>
    <cellStyle name="표준 2 2 18 3 2 3" xfId="2295"/>
    <cellStyle name="표준 2 2 18 3 2 3 2" xfId="2296"/>
    <cellStyle name="표준 2 2 18 3 2 3 2 2" xfId="2297"/>
    <cellStyle name="표준 2 2 18 3 2 3 2 3" xfId="2298"/>
    <cellStyle name="표준 2 2 18 3 2 3 2 3 2" xfId="2299"/>
    <cellStyle name="표준 2 2 18 3 2 3 3" xfId="2300"/>
    <cellStyle name="표준 2 2 18 3 2 3 3 2" xfId="2301"/>
    <cellStyle name="표준 2 2 18 3 2 3 3 3" xfId="2302"/>
    <cellStyle name="표준 2 2 18 3 2 3 3 3 2" xfId="2303"/>
    <cellStyle name="표준 2 2 18 3 2 3 4" xfId="2304"/>
    <cellStyle name="표준 2 2 18 3 2 3 5" xfId="2305"/>
    <cellStyle name="표준 2 2 18 3 2 3 5 2" xfId="2306"/>
    <cellStyle name="표준 2 2 18 3 2 4" xfId="2307"/>
    <cellStyle name="표준 2 2 18 3 2 4 2" xfId="2308"/>
    <cellStyle name="표준 2 2 18 3 2 4 3" xfId="2309"/>
    <cellStyle name="표준 2 2 18 3 2 4 3 2" xfId="2310"/>
    <cellStyle name="표준 2 2 18 3 2 5" xfId="2311"/>
    <cellStyle name="표준 2 2 18 3 2 5 2" xfId="2312"/>
    <cellStyle name="표준 2 2 18 3 2 5 3" xfId="2313"/>
    <cellStyle name="표준 2 2 18 3 2 5 3 2" xfId="2314"/>
    <cellStyle name="표준 2 2 18 3 2 6" xfId="2315"/>
    <cellStyle name="표준 2 2 18 3 2 7" xfId="2316"/>
    <cellStyle name="표준 2 2 18 3 2 7 2" xfId="2317"/>
    <cellStyle name="표준 2 2 18 3 3" xfId="2318"/>
    <cellStyle name="표준 2 2 18 3 3 2" xfId="2319"/>
    <cellStyle name="표준 2 2 18 3 3 2 2" xfId="2320"/>
    <cellStyle name="표준 2 2 18 3 3 2 3" xfId="2321"/>
    <cellStyle name="표준 2 2 18 3 3 2 3 2" xfId="2322"/>
    <cellStyle name="표준 2 2 18 3 3 3" xfId="2323"/>
    <cellStyle name="표준 2 2 18 3 3 3 2" xfId="2324"/>
    <cellStyle name="표준 2 2 18 3 3 3 3" xfId="2325"/>
    <cellStyle name="표준 2 2 18 3 3 3 3 2" xfId="2326"/>
    <cellStyle name="표준 2 2 18 3 3 4" xfId="2327"/>
    <cellStyle name="표준 2 2 18 3 3 5" xfId="2328"/>
    <cellStyle name="표준 2 2 18 3 3 5 2" xfId="2329"/>
    <cellStyle name="표준 2 2 18 3 4" xfId="2330"/>
    <cellStyle name="표준 2 2 18 3 4 2" xfId="2331"/>
    <cellStyle name="표준 2 2 18 3 4 2 2" xfId="2332"/>
    <cellStyle name="표준 2 2 18 3 4 2 3" xfId="2333"/>
    <cellStyle name="표준 2 2 18 3 4 2 3 2" xfId="2334"/>
    <cellStyle name="표준 2 2 18 3 4 3" xfId="2335"/>
    <cellStyle name="표준 2 2 18 3 4 3 2" xfId="2336"/>
    <cellStyle name="표준 2 2 18 3 4 3 3" xfId="2337"/>
    <cellStyle name="표준 2 2 18 3 4 3 3 2" xfId="2338"/>
    <cellStyle name="표준 2 2 18 3 4 4" xfId="2339"/>
    <cellStyle name="표준 2 2 18 3 4 5" xfId="2340"/>
    <cellStyle name="표준 2 2 18 3 4 5 2" xfId="2341"/>
    <cellStyle name="표준 2 2 18 3 5" xfId="2342"/>
    <cellStyle name="표준 2 2 18 3 5 2" xfId="2343"/>
    <cellStyle name="표준 2 2 18 3 5 3" xfId="2344"/>
    <cellStyle name="표준 2 2 18 3 5 3 2" xfId="2345"/>
    <cellStyle name="표준 2 2 18 3 6" xfId="2346"/>
    <cellStyle name="표준 2 2 18 3 6 2" xfId="2347"/>
    <cellStyle name="표준 2 2 18 3 6 3" xfId="2348"/>
    <cellStyle name="표준 2 2 18 3 6 3 2" xfId="2349"/>
    <cellStyle name="표준 2 2 18 3 7" xfId="2350"/>
    <cellStyle name="표준 2 2 18 3 8" xfId="2351"/>
    <cellStyle name="표준 2 2 18 3 8 2" xfId="2352"/>
    <cellStyle name="표준 2 2 18 4" xfId="2353"/>
    <cellStyle name="표준 2 2 18 4 2" xfId="2354"/>
    <cellStyle name="표준 2 2 18 4 2 2" xfId="2355"/>
    <cellStyle name="표준 2 2 18 4 2 3" xfId="2356"/>
    <cellStyle name="표준 2 2 18 4 2 3 2" xfId="2357"/>
    <cellStyle name="표준 2 2 18 4 3" xfId="2358"/>
    <cellStyle name="표준 2 2 18 4 3 2" xfId="2359"/>
    <cellStyle name="표준 2 2 18 4 3 3" xfId="2360"/>
    <cellStyle name="표준 2 2 18 4 3 3 2" xfId="2361"/>
    <cellStyle name="표준 2 2 18 4 4" xfId="2362"/>
    <cellStyle name="표준 2 2 18 4 5" xfId="2363"/>
    <cellStyle name="표준 2 2 18 4 5 2" xfId="2364"/>
    <cellStyle name="표준 2 2 18 5" xfId="2365"/>
    <cellStyle name="표준 2 2 18 5 2" xfId="2366"/>
    <cellStyle name="표준 2 2 18 5 2 2" xfId="2367"/>
    <cellStyle name="표준 2 2 18 5 2 3" xfId="2368"/>
    <cellStyle name="표준 2 2 18 5 2 3 2" xfId="2369"/>
    <cellStyle name="표준 2 2 18 5 3" xfId="2370"/>
    <cellStyle name="표준 2 2 18 5 3 2" xfId="2371"/>
    <cellStyle name="표준 2 2 18 5 3 3" xfId="2372"/>
    <cellStyle name="표준 2 2 18 5 3 3 2" xfId="2373"/>
    <cellStyle name="표준 2 2 18 5 4" xfId="2374"/>
    <cellStyle name="표준 2 2 18 5 5" xfId="2375"/>
    <cellStyle name="표준 2 2 18 5 5 2" xfId="2376"/>
    <cellStyle name="표준 2 2 18 6" xfId="2377"/>
    <cellStyle name="표준 2 2 18 6 2" xfId="2378"/>
    <cellStyle name="표준 2 2 18 6 3" xfId="2379"/>
    <cellStyle name="표준 2 2 18 6 3 2" xfId="2380"/>
    <cellStyle name="표준 2 2 18 7" xfId="2381"/>
    <cellStyle name="표준 2 2 18 7 2" xfId="2382"/>
    <cellStyle name="표준 2 2 18 7 3" xfId="2383"/>
    <cellStyle name="표준 2 2 18 7 3 2" xfId="2384"/>
    <cellStyle name="표준 2 2 18 8" xfId="2385"/>
    <cellStyle name="표준 2 2 18 9" xfId="2386"/>
    <cellStyle name="표준 2 2 18 9 2" xfId="2387"/>
    <cellStyle name="표준 2 2 19" xfId="2388"/>
    <cellStyle name="표준 2 2 19 2" xfId="2389"/>
    <cellStyle name="표준 2 2 19 2 2" xfId="2390"/>
    <cellStyle name="표준 2 2 19 2 2 2" xfId="2391"/>
    <cellStyle name="표준 2 2 19 2 2 2 2" xfId="2392"/>
    <cellStyle name="표준 2 2 19 2 2 2 2 2" xfId="2393"/>
    <cellStyle name="표준 2 2 19 2 2 2 2 2 2" xfId="2394"/>
    <cellStyle name="표준 2 2 19 2 2 2 2 2 3" xfId="2395"/>
    <cellStyle name="표준 2 2 19 2 2 2 2 2 3 2" xfId="2396"/>
    <cellStyle name="표준 2 2 19 2 2 2 2 3" xfId="2397"/>
    <cellStyle name="표준 2 2 19 2 2 2 2 3 2" xfId="2398"/>
    <cellStyle name="표준 2 2 19 2 2 2 2 3 3" xfId="2399"/>
    <cellStyle name="표준 2 2 19 2 2 2 2 3 3 2" xfId="2400"/>
    <cellStyle name="표준 2 2 19 2 2 2 2 4" xfId="2401"/>
    <cellStyle name="표준 2 2 19 2 2 2 2 5" xfId="2402"/>
    <cellStyle name="표준 2 2 19 2 2 2 2 5 2" xfId="2403"/>
    <cellStyle name="표준 2 2 19 2 2 2 3" xfId="2404"/>
    <cellStyle name="표준 2 2 19 2 2 2 3 2" xfId="2405"/>
    <cellStyle name="표준 2 2 19 2 2 2 3 2 2" xfId="2406"/>
    <cellStyle name="표준 2 2 19 2 2 2 3 2 3" xfId="2407"/>
    <cellStyle name="표준 2 2 19 2 2 2 3 2 3 2" xfId="2408"/>
    <cellStyle name="표준 2 2 19 2 2 2 3 3" xfId="2409"/>
    <cellStyle name="표준 2 2 19 2 2 2 3 3 2" xfId="2410"/>
    <cellStyle name="표준 2 2 19 2 2 2 3 3 3" xfId="2411"/>
    <cellStyle name="표준 2 2 19 2 2 2 3 3 3 2" xfId="2412"/>
    <cellStyle name="표준 2 2 19 2 2 2 3 4" xfId="2413"/>
    <cellStyle name="표준 2 2 19 2 2 2 3 5" xfId="2414"/>
    <cellStyle name="표준 2 2 19 2 2 2 3 5 2" xfId="2415"/>
    <cellStyle name="표준 2 2 19 2 2 2 4" xfId="2416"/>
    <cellStyle name="표준 2 2 19 2 2 2 4 2" xfId="2417"/>
    <cellStyle name="표준 2 2 19 2 2 2 4 3" xfId="2418"/>
    <cellStyle name="표준 2 2 19 2 2 2 4 3 2" xfId="2419"/>
    <cellStyle name="표준 2 2 19 2 2 2 5" xfId="2420"/>
    <cellStyle name="표준 2 2 19 2 2 2 5 2" xfId="2421"/>
    <cellStyle name="표준 2 2 19 2 2 2 5 3" xfId="2422"/>
    <cellStyle name="표준 2 2 19 2 2 2 5 3 2" xfId="2423"/>
    <cellStyle name="표준 2 2 19 2 2 2 6" xfId="2424"/>
    <cellStyle name="표준 2 2 19 2 2 2 7" xfId="2425"/>
    <cellStyle name="표준 2 2 19 2 2 2 7 2" xfId="2426"/>
    <cellStyle name="표준 2 2 19 2 2 3" xfId="2427"/>
    <cellStyle name="표준 2 2 19 2 2 3 2" xfId="2428"/>
    <cellStyle name="표준 2 2 19 2 2 3 2 2" xfId="2429"/>
    <cellStyle name="표준 2 2 19 2 2 3 2 3" xfId="2430"/>
    <cellStyle name="표준 2 2 19 2 2 3 2 3 2" xfId="2431"/>
    <cellStyle name="표준 2 2 19 2 2 3 3" xfId="2432"/>
    <cellStyle name="표준 2 2 19 2 2 3 3 2" xfId="2433"/>
    <cellStyle name="표준 2 2 19 2 2 3 3 3" xfId="2434"/>
    <cellStyle name="표준 2 2 19 2 2 3 3 3 2" xfId="2435"/>
    <cellStyle name="표준 2 2 19 2 2 3 4" xfId="2436"/>
    <cellStyle name="표준 2 2 19 2 2 3 5" xfId="2437"/>
    <cellStyle name="표준 2 2 19 2 2 3 5 2" xfId="2438"/>
    <cellStyle name="표준 2 2 19 2 2 4" xfId="2439"/>
    <cellStyle name="표준 2 2 19 2 2 4 2" xfId="2440"/>
    <cellStyle name="표준 2 2 19 2 2 4 2 2" xfId="2441"/>
    <cellStyle name="표준 2 2 19 2 2 4 2 3" xfId="2442"/>
    <cellStyle name="표준 2 2 19 2 2 4 2 3 2" xfId="2443"/>
    <cellStyle name="표준 2 2 19 2 2 4 3" xfId="2444"/>
    <cellStyle name="표준 2 2 19 2 2 4 3 2" xfId="2445"/>
    <cellStyle name="표준 2 2 19 2 2 4 3 3" xfId="2446"/>
    <cellStyle name="표준 2 2 19 2 2 4 3 3 2" xfId="2447"/>
    <cellStyle name="표준 2 2 19 2 2 4 4" xfId="2448"/>
    <cellStyle name="표준 2 2 19 2 2 4 5" xfId="2449"/>
    <cellStyle name="표준 2 2 19 2 2 4 5 2" xfId="2450"/>
    <cellStyle name="표준 2 2 19 2 2 5" xfId="2451"/>
    <cellStyle name="표준 2 2 19 2 2 5 2" xfId="2452"/>
    <cellStyle name="표준 2 2 19 2 2 5 3" xfId="2453"/>
    <cellStyle name="표준 2 2 19 2 2 5 3 2" xfId="2454"/>
    <cellStyle name="표준 2 2 19 2 2 6" xfId="2455"/>
    <cellStyle name="표준 2 2 19 2 2 6 2" xfId="2456"/>
    <cellStyle name="표준 2 2 19 2 2 6 3" xfId="2457"/>
    <cellStyle name="표준 2 2 19 2 2 6 3 2" xfId="2458"/>
    <cellStyle name="표준 2 2 19 2 2 7" xfId="2459"/>
    <cellStyle name="표준 2 2 19 2 2 8" xfId="2460"/>
    <cellStyle name="표준 2 2 19 2 2 8 2" xfId="2461"/>
    <cellStyle name="표준 2 2 19 2 3" xfId="2462"/>
    <cellStyle name="표준 2 2 19 2 3 2" xfId="2463"/>
    <cellStyle name="표준 2 2 19 2 3 2 2" xfId="2464"/>
    <cellStyle name="표준 2 2 19 2 3 2 2 2" xfId="2465"/>
    <cellStyle name="표준 2 2 19 2 3 2 2 3" xfId="2466"/>
    <cellStyle name="표준 2 2 19 2 3 2 2 3 2" xfId="2467"/>
    <cellStyle name="표준 2 2 19 2 3 2 3" xfId="2468"/>
    <cellStyle name="표준 2 2 19 2 3 2 3 2" xfId="2469"/>
    <cellStyle name="표준 2 2 19 2 3 2 3 3" xfId="2470"/>
    <cellStyle name="표준 2 2 19 2 3 2 3 3 2" xfId="2471"/>
    <cellStyle name="표준 2 2 19 2 3 2 4" xfId="2472"/>
    <cellStyle name="표준 2 2 19 2 3 2 5" xfId="2473"/>
    <cellStyle name="표준 2 2 19 2 3 2 5 2" xfId="2474"/>
    <cellStyle name="표준 2 2 19 2 3 3" xfId="2475"/>
    <cellStyle name="표준 2 2 19 2 3 3 2" xfId="2476"/>
    <cellStyle name="표준 2 2 19 2 3 3 2 2" xfId="2477"/>
    <cellStyle name="표준 2 2 19 2 3 3 2 3" xfId="2478"/>
    <cellStyle name="표준 2 2 19 2 3 3 2 3 2" xfId="2479"/>
    <cellStyle name="표준 2 2 19 2 3 3 3" xfId="2480"/>
    <cellStyle name="표준 2 2 19 2 3 3 3 2" xfId="2481"/>
    <cellStyle name="표준 2 2 19 2 3 3 3 3" xfId="2482"/>
    <cellStyle name="표준 2 2 19 2 3 3 3 3 2" xfId="2483"/>
    <cellStyle name="표준 2 2 19 2 3 3 4" xfId="2484"/>
    <cellStyle name="표준 2 2 19 2 3 3 5" xfId="2485"/>
    <cellStyle name="표준 2 2 19 2 3 3 5 2" xfId="2486"/>
    <cellStyle name="표준 2 2 19 2 3 4" xfId="2487"/>
    <cellStyle name="표준 2 2 19 2 3 4 2" xfId="2488"/>
    <cellStyle name="표준 2 2 19 2 3 4 3" xfId="2489"/>
    <cellStyle name="표준 2 2 19 2 3 4 3 2" xfId="2490"/>
    <cellStyle name="표준 2 2 19 2 3 5" xfId="2491"/>
    <cellStyle name="표준 2 2 19 2 3 5 2" xfId="2492"/>
    <cellStyle name="표준 2 2 19 2 3 5 3" xfId="2493"/>
    <cellStyle name="표준 2 2 19 2 3 5 3 2" xfId="2494"/>
    <cellStyle name="표준 2 2 19 2 3 6" xfId="2495"/>
    <cellStyle name="표준 2 2 19 2 3 7" xfId="2496"/>
    <cellStyle name="표준 2 2 19 2 3 7 2" xfId="2497"/>
    <cellStyle name="표준 2 2 19 2 4" xfId="2498"/>
    <cellStyle name="표준 2 2 19 2 4 2" xfId="2499"/>
    <cellStyle name="표준 2 2 19 2 4 2 2" xfId="2500"/>
    <cellStyle name="표준 2 2 19 2 4 2 3" xfId="2501"/>
    <cellStyle name="표준 2 2 19 2 4 2 3 2" xfId="2502"/>
    <cellStyle name="표준 2 2 19 2 4 3" xfId="2503"/>
    <cellStyle name="표준 2 2 19 2 4 3 2" xfId="2504"/>
    <cellStyle name="표준 2 2 19 2 4 3 3" xfId="2505"/>
    <cellStyle name="표준 2 2 19 2 4 3 3 2" xfId="2506"/>
    <cellStyle name="표준 2 2 19 2 4 4" xfId="2507"/>
    <cellStyle name="표준 2 2 19 2 4 5" xfId="2508"/>
    <cellStyle name="표준 2 2 19 2 4 5 2" xfId="2509"/>
    <cellStyle name="표준 2 2 19 2 5" xfId="2510"/>
    <cellStyle name="표준 2 2 19 2 5 2" xfId="2511"/>
    <cellStyle name="표준 2 2 19 2 5 2 2" xfId="2512"/>
    <cellStyle name="표준 2 2 19 2 5 2 3" xfId="2513"/>
    <cellStyle name="표준 2 2 19 2 5 2 3 2" xfId="2514"/>
    <cellStyle name="표준 2 2 19 2 5 3" xfId="2515"/>
    <cellStyle name="표준 2 2 19 2 5 3 2" xfId="2516"/>
    <cellStyle name="표준 2 2 19 2 5 3 3" xfId="2517"/>
    <cellStyle name="표준 2 2 19 2 5 3 3 2" xfId="2518"/>
    <cellStyle name="표준 2 2 19 2 5 4" xfId="2519"/>
    <cellStyle name="표준 2 2 19 2 5 5" xfId="2520"/>
    <cellStyle name="표준 2 2 19 2 5 5 2" xfId="2521"/>
    <cellStyle name="표준 2 2 19 2 6" xfId="2522"/>
    <cellStyle name="표준 2 2 19 2 6 2" xfId="2523"/>
    <cellStyle name="표준 2 2 19 2 6 3" xfId="2524"/>
    <cellStyle name="표준 2 2 19 2 6 3 2" xfId="2525"/>
    <cellStyle name="표준 2 2 19 2 7" xfId="2526"/>
    <cellStyle name="표준 2 2 19 2 7 2" xfId="2527"/>
    <cellStyle name="표준 2 2 19 2 7 3" xfId="2528"/>
    <cellStyle name="표준 2 2 19 2 7 3 2" xfId="2529"/>
    <cellStyle name="표준 2 2 19 2 8" xfId="2530"/>
    <cellStyle name="표준 2 2 19 2 9" xfId="2531"/>
    <cellStyle name="표준 2 2 19 2 9 2" xfId="2532"/>
    <cellStyle name="표준 2 2 19 3" xfId="2533"/>
    <cellStyle name="표준 2 2 19 3 2" xfId="2534"/>
    <cellStyle name="표준 2 2 19 3 2 2" xfId="2535"/>
    <cellStyle name="표준 2 2 19 3 2 2 2" xfId="2536"/>
    <cellStyle name="표준 2 2 19 3 2 2 2 2" xfId="2537"/>
    <cellStyle name="표준 2 2 19 3 2 2 2 3" xfId="2538"/>
    <cellStyle name="표준 2 2 19 3 2 2 2 3 2" xfId="2539"/>
    <cellStyle name="표준 2 2 19 3 2 2 3" xfId="2540"/>
    <cellStyle name="표준 2 2 19 3 2 2 3 2" xfId="2541"/>
    <cellStyle name="표준 2 2 19 3 2 2 3 3" xfId="2542"/>
    <cellStyle name="표준 2 2 19 3 2 2 3 3 2" xfId="2543"/>
    <cellStyle name="표준 2 2 19 3 2 2 4" xfId="2544"/>
    <cellStyle name="표준 2 2 19 3 2 2 5" xfId="2545"/>
    <cellStyle name="표준 2 2 19 3 2 2 5 2" xfId="2546"/>
    <cellStyle name="표준 2 2 19 3 2 3" xfId="2547"/>
    <cellStyle name="표준 2 2 19 3 2 3 2" xfId="2548"/>
    <cellStyle name="표준 2 2 19 3 2 3 2 2" xfId="2549"/>
    <cellStyle name="표준 2 2 19 3 2 3 2 3" xfId="2550"/>
    <cellStyle name="표준 2 2 19 3 2 3 2 3 2" xfId="2551"/>
    <cellStyle name="표준 2 2 19 3 2 3 3" xfId="2552"/>
    <cellStyle name="표준 2 2 19 3 2 3 3 2" xfId="2553"/>
    <cellStyle name="표준 2 2 19 3 2 3 3 3" xfId="2554"/>
    <cellStyle name="표준 2 2 19 3 2 3 3 3 2" xfId="2555"/>
    <cellStyle name="표준 2 2 19 3 2 3 4" xfId="2556"/>
    <cellStyle name="표준 2 2 19 3 2 3 5" xfId="2557"/>
    <cellStyle name="표준 2 2 19 3 2 3 5 2" xfId="2558"/>
    <cellStyle name="표준 2 2 19 3 2 4" xfId="2559"/>
    <cellStyle name="표준 2 2 19 3 2 4 2" xfId="2560"/>
    <cellStyle name="표준 2 2 19 3 2 4 3" xfId="2561"/>
    <cellStyle name="표준 2 2 19 3 2 4 3 2" xfId="2562"/>
    <cellStyle name="표준 2 2 19 3 2 5" xfId="2563"/>
    <cellStyle name="표준 2 2 19 3 2 5 2" xfId="2564"/>
    <cellStyle name="표준 2 2 19 3 2 5 3" xfId="2565"/>
    <cellStyle name="표준 2 2 19 3 2 5 3 2" xfId="2566"/>
    <cellStyle name="표준 2 2 19 3 2 6" xfId="2567"/>
    <cellStyle name="표준 2 2 19 3 2 7" xfId="2568"/>
    <cellStyle name="표준 2 2 19 3 2 7 2" xfId="2569"/>
    <cellStyle name="표준 2 2 19 3 3" xfId="2570"/>
    <cellStyle name="표준 2 2 19 3 3 2" xfId="2571"/>
    <cellStyle name="표준 2 2 19 3 3 2 2" xfId="2572"/>
    <cellStyle name="표준 2 2 19 3 3 2 3" xfId="2573"/>
    <cellStyle name="표준 2 2 19 3 3 2 3 2" xfId="2574"/>
    <cellStyle name="표준 2 2 19 3 3 3" xfId="2575"/>
    <cellStyle name="표준 2 2 19 3 3 3 2" xfId="2576"/>
    <cellStyle name="표준 2 2 19 3 3 3 3" xfId="2577"/>
    <cellStyle name="표준 2 2 19 3 3 3 3 2" xfId="2578"/>
    <cellStyle name="표준 2 2 19 3 3 4" xfId="2579"/>
    <cellStyle name="표준 2 2 19 3 3 5" xfId="2580"/>
    <cellStyle name="표준 2 2 19 3 3 5 2" xfId="2581"/>
    <cellStyle name="표준 2 2 19 3 4" xfId="2582"/>
    <cellStyle name="표준 2 2 19 3 4 2" xfId="2583"/>
    <cellStyle name="표준 2 2 19 3 4 2 2" xfId="2584"/>
    <cellStyle name="표준 2 2 19 3 4 2 3" xfId="2585"/>
    <cellStyle name="표준 2 2 19 3 4 2 3 2" xfId="2586"/>
    <cellStyle name="표준 2 2 19 3 4 3" xfId="2587"/>
    <cellStyle name="표준 2 2 19 3 4 3 2" xfId="2588"/>
    <cellStyle name="표준 2 2 19 3 4 3 3" xfId="2589"/>
    <cellStyle name="표준 2 2 19 3 4 3 3 2" xfId="2590"/>
    <cellStyle name="표준 2 2 19 3 4 4" xfId="2591"/>
    <cellStyle name="표준 2 2 19 3 4 5" xfId="2592"/>
    <cellStyle name="표준 2 2 19 3 4 5 2" xfId="2593"/>
    <cellStyle name="표준 2 2 19 3 5" xfId="2594"/>
    <cellStyle name="표준 2 2 19 3 5 2" xfId="2595"/>
    <cellStyle name="표준 2 2 19 3 5 3" xfId="2596"/>
    <cellStyle name="표준 2 2 19 3 5 3 2" xfId="2597"/>
    <cellStyle name="표준 2 2 19 3 6" xfId="2598"/>
    <cellStyle name="표준 2 2 19 3 6 2" xfId="2599"/>
    <cellStyle name="표준 2 2 19 3 6 3" xfId="2600"/>
    <cellStyle name="표준 2 2 19 3 6 3 2" xfId="2601"/>
    <cellStyle name="표준 2 2 19 3 7" xfId="2602"/>
    <cellStyle name="표준 2 2 19 3 8" xfId="2603"/>
    <cellStyle name="표준 2 2 19 3 8 2" xfId="2604"/>
    <cellStyle name="표준 2 2 19 4" xfId="2605"/>
    <cellStyle name="표준 2 2 19 4 2" xfId="2606"/>
    <cellStyle name="표준 2 2 19 4 2 2" xfId="2607"/>
    <cellStyle name="표준 2 2 19 4 2 3" xfId="2608"/>
    <cellStyle name="표준 2 2 19 4 2 3 2" xfId="2609"/>
    <cellStyle name="표준 2 2 19 4 3" xfId="2610"/>
    <cellStyle name="표준 2 2 19 4 3 2" xfId="2611"/>
    <cellStyle name="표준 2 2 19 4 3 3" xfId="2612"/>
    <cellStyle name="표준 2 2 19 4 3 3 2" xfId="2613"/>
    <cellStyle name="표준 2 2 19 4 4" xfId="2614"/>
    <cellStyle name="표준 2 2 19 4 5" xfId="2615"/>
    <cellStyle name="표준 2 2 19 4 5 2" xfId="2616"/>
    <cellStyle name="표준 2 2 19 5" xfId="2617"/>
    <cellStyle name="표준 2 2 19 5 2" xfId="2618"/>
    <cellStyle name="표준 2 2 19 5 2 2" xfId="2619"/>
    <cellStyle name="표준 2 2 19 5 2 3" xfId="2620"/>
    <cellStyle name="표준 2 2 19 5 2 3 2" xfId="2621"/>
    <cellStyle name="표준 2 2 19 5 3" xfId="2622"/>
    <cellStyle name="표준 2 2 19 5 3 2" xfId="2623"/>
    <cellStyle name="표준 2 2 19 5 3 3" xfId="2624"/>
    <cellStyle name="표준 2 2 19 5 3 3 2" xfId="2625"/>
    <cellStyle name="표준 2 2 19 5 4" xfId="2626"/>
    <cellStyle name="표준 2 2 19 5 5" xfId="2627"/>
    <cellStyle name="표준 2 2 19 5 5 2" xfId="2628"/>
    <cellStyle name="표준 2 2 19 6" xfId="2629"/>
    <cellStyle name="표준 2 2 19 6 2" xfId="2630"/>
    <cellStyle name="표준 2 2 19 6 3" xfId="2631"/>
    <cellStyle name="표준 2 2 19 6 3 2" xfId="2632"/>
    <cellStyle name="표준 2 2 19 7" xfId="2633"/>
    <cellStyle name="표준 2 2 19 7 2" xfId="2634"/>
    <cellStyle name="표준 2 2 19 7 3" xfId="2635"/>
    <cellStyle name="표준 2 2 19 7 3 2" xfId="2636"/>
    <cellStyle name="표준 2 2 19 8" xfId="2637"/>
    <cellStyle name="표준 2 2 19 9" xfId="2638"/>
    <cellStyle name="표준 2 2 19 9 2" xfId="2639"/>
    <cellStyle name="표준 2 2 2" xfId="2640"/>
    <cellStyle name="표준 2 2 2 10" xfId="2641"/>
    <cellStyle name="표준 2 2 2 11" xfId="2642"/>
    <cellStyle name="표준 2 2 2 12" xfId="2643"/>
    <cellStyle name="표준 2 2 2 13" xfId="2644"/>
    <cellStyle name="표준 2 2 2 14" xfId="2645"/>
    <cellStyle name="표준 2 2 2 15" xfId="2646"/>
    <cellStyle name="표준 2 2 2 16" xfId="2647"/>
    <cellStyle name="표준 2 2 2 17" xfId="2648"/>
    <cellStyle name="표준 2 2 2 18" xfId="2649"/>
    <cellStyle name="표준 2 2 2 19" xfId="2650"/>
    <cellStyle name="표준 2 2 2 2" xfId="2651"/>
    <cellStyle name="표준 2 2 2 2 10" xfId="2652"/>
    <cellStyle name="표준 2 2 2 2 10 2" xfId="2653"/>
    <cellStyle name="표준 2 2 2 2 10 2 2" xfId="2654"/>
    <cellStyle name="표준 2 2 2 2 10 2 2 2" xfId="2655"/>
    <cellStyle name="표준 2 2 2 2 10 2 2 2 2" xfId="2656"/>
    <cellStyle name="표준 2 2 2 2 10 2 2 2 2 2" xfId="2657"/>
    <cellStyle name="표준 2 2 2 2 10 2 2 2 2 2 2" xfId="2658"/>
    <cellStyle name="표준 2 2 2 2 10 2 2 2 2 2 3" xfId="2659"/>
    <cellStyle name="표준 2 2 2 2 10 2 2 2 2 2 3 2" xfId="2660"/>
    <cellStyle name="표준 2 2 2 2 10 2 2 2 2 3" xfId="2661"/>
    <cellStyle name="표준 2 2 2 2 10 2 2 2 2 3 2" xfId="2662"/>
    <cellStyle name="표준 2 2 2 2 10 2 2 2 2 3 3" xfId="2663"/>
    <cellStyle name="표준 2 2 2 2 10 2 2 2 2 3 3 2" xfId="2664"/>
    <cellStyle name="표준 2 2 2 2 10 2 2 2 2 4" xfId="2665"/>
    <cellStyle name="표준 2 2 2 2 10 2 2 2 2 5" xfId="2666"/>
    <cellStyle name="표준 2 2 2 2 10 2 2 2 2 5 2" xfId="2667"/>
    <cellStyle name="표준 2 2 2 2 10 2 2 2 3" xfId="2668"/>
    <cellStyle name="표준 2 2 2 2 10 2 2 2 3 2" xfId="2669"/>
    <cellStyle name="표준 2 2 2 2 10 2 2 2 3 2 2" xfId="2670"/>
    <cellStyle name="표준 2 2 2 2 10 2 2 2 3 2 3" xfId="2671"/>
    <cellStyle name="표준 2 2 2 2 10 2 2 2 3 2 3 2" xfId="2672"/>
    <cellStyle name="표준 2 2 2 2 10 2 2 2 3 3" xfId="2673"/>
    <cellStyle name="표준 2 2 2 2 10 2 2 2 3 3 2" xfId="2674"/>
    <cellStyle name="표준 2 2 2 2 10 2 2 2 3 3 3" xfId="2675"/>
    <cellStyle name="표준 2 2 2 2 10 2 2 2 3 3 3 2" xfId="2676"/>
    <cellStyle name="표준 2 2 2 2 10 2 2 2 3 4" xfId="2677"/>
    <cellStyle name="표준 2 2 2 2 10 2 2 2 3 5" xfId="2678"/>
    <cellStyle name="표준 2 2 2 2 10 2 2 2 3 5 2" xfId="2679"/>
    <cellStyle name="표준 2 2 2 2 10 2 2 2 4" xfId="2680"/>
    <cellStyle name="표준 2 2 2 2 10 2 2 2 4 2" xfId="2681"/>
    <cellStyle name="표준 2 2 2 2 10 2 2 2 4 3" xfId="2682"/>
    <cellStyle name="표준 2 2 2 2 10 2 2 2 4 3 2" xfId="2683"/>
    <cellStyle name="표준 2 2 2 2 10 2 2 2 5" xfId="2684"/>
    <cellStyle name="표준 2 2 2 2 10 2 2 2 5 2" xfId="2685"/>
    <cellStyle name="표준 2 2 2 2 10 2 2 2 5 3" xfId="2686"/>
    <cellStyle name="표준 2 2 2 2 10 2 2 2 5 3 2" xfId="2687"/>
    <cellStyle name="표준 2 2 2 2 10 2 2 2 6" xfId="2688"/>
    <cellStyle name="표준 2 2 2 2 10 2 2 2 7" xfId="2689"/>
    <cellStyle name="표준 2 2 2 2 10 2 2 2 7 2" xfId="2690"/>
    <cellStyle name="표준 2 2 2 2 10 2 2 3" xfId="2691"/>
    <cellStyle name="표준 2 2 2 2 10 2 2 3 2" xfId="2692"/>
    <cellStyle name="표준 2 2 2 2 10 2 2 3 2 2" xfId="2693"/>
    <cellStyle name="표준 2 2 2 2 10 2 2 3 2 3" xfId="2694"/>
    <cellStyle name="표준 2 2 2 2 10 2 2 3 2 3 2" xfId="2695"/>
    <cellStyle name="표준 2 2 2 2 10 2 2 3 3" xfId="2696"/>
    <cellStyle name="표준 2 2 2 2 10 2 2 3 3 2" xfId="2697"/>
    <cellStyle name="표준 2 2 2 2 10 2 2 3 3 3" xfId="2698"/>
    <cellStyle name="표준 2 2 2 2 10 2 2 3 3 3 2" xfId="2699"/>
    <cellStyle name="표준 2 2 2 2 10 2 2 3 4" xfId="2700"/>
    <cellStyle name="표준 2 2 2 2 10 2 2 3 5" xfId="2701"/>
    <cellStyle name="표준 2 2 2 2 10 2 2 3 5 2" xfId="2702"/>
    <cellStyle name="표준 2 2 2 2 10 2 2 4" xfId="2703"/>
    <cellStyle name="표준 2 2 2 2 10 2 2 4 2" xfId="2704"/>
    <cellStyle name="표준 2 2 2 2 10 2 2 4 2 2" xfId="2705"/>
    <cellStyle name="표준 2 2 2 2 10 2 2 4 2 3" xfId="2706"/>
    <cellStyle name="표준 2 2 2 2 10 2 2 4 2 3 2" xfId="2707"/>
    <cellStyle name="표준 2 2 2 2 10 2 2 4 3" xfId="2708"/>
    <cellStyle name="표준 2 2 2 2 10 2 2 4 3 2" xfId="2709"/>
    <cellStyle name="표준 2 2 2 2 10 2 2 4 3 3" xfId="2710"/>
    <cellStyle name="표준 2 2 2 2 10 2 2 4 3 3 2" xfId="2711"/>
    <cellStyle name="표준 2 2 2 2 10 2 2 4 4" xfId="2712"/>
    <cellStyle name="표준 2 2 2 2 10 2 2 4 5" xfId="2713"/>
    <cellStyle name="표준 2 2 2 2 10 2 2 4 5 2" xfId="2714"/>
    <cellStyle name="표준 2 2 2 2 10 2 2 5" xfId="2715"/>
    <cellStyle name="표준 2 2 2 2 10 2 2 5 2" xfId="2716"/>
    <cellStyle name="표준 2 2 2 2 10 2 2 5 3" xfId="2717"/>
    <cellStyle name="표준 2 2 2 2 10 2 2 5 3 2" xfId="2718"/>
    <cellStyle name="표준 2 2 2 2 10 2 2 6" xfId="2719"/>
    <cellStyle name="표준 2 2 2 2 10 2 2 6 2" xfId="2720"/>
    <cellStyle name="표준 2 2 2 2 10 2 2 6 3" xfId="2721"/>
    <cellStyle name="표준 2 2 2 2 10 2 2 6 3 2" xfId="2722"/>
    <cellStyle name="표준 2 2 2 2 10 2 2 7" xfId="2723"/>
    <cellStyle name="표준 2 2 2 2 10 2 2 8" xfId="2724"/>
    <cellStyle name="표준 2 2 2 2 10 2 2 8 2" xfId="2725"/>
    <cellStyle name="표준 2 2 2 2 10 2 3" xfId="2726"/>
    <cellStyle name="표준 2 2 2 2 10 2 3 2" xfId="2727"/>
    <cellStyle name="표준 2 2 2 2 10 2 3 2 2" xfId="2728"/>
    <cellStyle name="표준 2 2 2 2 10 2 3 2 2 2" xfId="2729"/>
    <cellStyle name="표준 2 2 2 2 10 2 3 2 2 3" xfId="2730"/>
    <cellStyle name="표준 2 2 2 2 10 2 3 2 2 3 2" xfId="2731"/>
    <cellStyle name="표준 2 2 2 2 10 2 3 2 3" xfId="2732"/>
    <cellStyle name="표준 2 2 2 2 10 2 3 2 3 2" xfId="2733"/>
    <cellStyle name="표준 2 2 2 2 10 2 3 2 3 3" xfId="2734"/>
    <cellStyle name="표준 2 2 2 2 10 2 3 2 3 3 2" xfId="2735"/>
    <cellStyle name="표준 2 2 2 2 10 2 3 2 4" xfId="2736"/>
    <cellStyle name="표준 2 2 2 2 10 2 3 2 5" xfId="2737"/>
    <cellStyle name="표준 2 2 2 2 10 2 3 2 5 2" xfId="2738"/>
    <cellStyle name="표준 2 2 2 2 10 2 3 3" xfId="2739"/>
    <cellStyle name="표준 2 2 2 2 10 2 3 3 2" xfId="2740"/>
    <cellStyle name="표준 2 2 2 2 10 2 3 3 2 2" xfId="2741"/>
    <cellStyle name="표준 2 2 2 2 10 2 3 3 2 3" xfId="2742"/>
    <cellStyle name="표준 2 2 2 2 10 2 3 3 2 3 2" xfId="2743"/>
    <cellStyle name="표준 2 2 2 2 10 2 3 3 3" xfId="2744"/>
    <cellStyle name="표준 2 2 2 2 10 2 3 3 3 2" xfId="2745"/>
    <cellStyle name="표준 2 2 2 2 10 2 3 3 3 3" xfId="2746"/>
    <cellStyle name="표준 2 2 2 2 10 2 3 3 3 3 2" xfId="2747"/>
    <cellStyle name="표준 2 2 2 2 10 2 3 3 4" xfId="2748"/>
    <cellStyle name="표준 2 2 2 2 10 2 3 3 5" xfId="2749"/>
    <cellStyle name="표준 2 2 2 2 10 2 3 3 5 2" xfId="2750"/>
    <cellStyle name="표준 2 2 2 2 10 2 3 4" xfId="2751"/>
    <cellStyle name="표준 2 2 2 2 10 2 3 4 2" xfId="2752"/>
    <cellStyle name="표준 2 2 2 2 10 2 3 4 3" xfId="2753"/>
    <cellStyle name="표준 2 2 2 2 10 2 3 4 3 2" xfId="2754"/>
    <cellStyle name="표준 2 2 2 2 10 2 3 5" xfId="2755"/>
    <cellStyle name="표준 2 2 2 2 10 2 3 5 2" xfId="2756"/>
    <cellStyle name="표준 2 2 2 2 10 2 3 5 3" xfId="2757"/>
    <cellStyle name="표준 2 2 2 2 10 2 3 5 3 2" xfId="2758"/>
    <cellStyle name="표준 2 2 2 2 10 2 3 6" xfId="2759"/>
    <cellStyle name="표준 2 2 2 2 10 2 3 7" xfId="2760"/>
    <cellStyle name="표준 2 2 2 2 10 2 3 7 2" xfId="2761"/>
    <cellStyle name="표준 2 2 2 2 10 2 4" xfId="2762"/>
    <cellStyle name="표준 2 2 2 2 10 2 4 2" xfId="2763"/>
    <cellStyle name="표준 2 2 2 2 10 2 4 2 2" xfId="2764"/>
    <cellStyle name="표준 2 2 2 2 10 2 4 2 3" xfId="2765"/>
    <cellStyle name="표준 2 2 2 2 10 2 4 2 3 2" xfId="2766"/>
    <cellStyle name="표준 2 2 2 2 10 2 4 3" xfId="2767"/>
    <cellStyle name="표준 2 2 2 2 10 2 4 3 2" xfId="2768"/>
    <cellStyle name="표준 2 2 2 2 10 2 4 3 3" xfId="2769"/>
    <cellStyle name="표준 2 2 2 2 10 2 4 3 3 2" xfId="2770"/>
    <cellStyle name="표준 2 2 2 2 10 2 4 4" xfId="2771"/>
    <cellStyle name="표준 2 2 2 2 10 2 4 5" xfId="2772"/>
    <cellStyle name="표준 2 2 2 2 10 2 4 5 2" xfId="2773"/>
    <cellStyle name="표준 2 2 2 2 10 2 5" xfId="2774"/>
    <cellStyle name="표준 2 2 2 2 10 2 5 2" xfId="2775"/>
    <cellStyle name="표준 2 2 2 2 10 2 5 2 2" xfId="2776"/>
    <cellStyle name="표준 2 2 2 2 10 2 5 2 3" xfId="2777"/>
    <cellStyle name="표준 2 2 2 2 10 2 5 2 3 2" xfId="2778"/>
    <cellStyle name="표준 2 2 2 2 10 2 5 3" xfId="2779"/>
    <cellStyle name="표준 2 2 2 2 10 2 5 3 2" xfId="2780"/>
    <cellStyle name="표준 2 2 2 2 10 2 5 3 3" xfId="2781"/>
    <cellStyle name="표준 2 2 2 2 10 2 5 3 3 2" xfId="2782"/>
    <cellStyle name="표준 2 2 2 2 10 2 5 4" xfId="2783"/>
    <cellStyle name="표준 2 2 2 2 10 2 5 5" xfId="2784"/>
    <cellStyle name="표준 2 2 2 2 10 2 5 5 2" xfId="2785"/>
    <cellStyle name="표준 2 2 2 2 10 2 6" xfId="2786"/>
    <cellStyle name="표준 2 2 2 2 10 2 6 2" xfId="2787"/>
    <cellStyle name="표준 2 2 2 2 10 2 6 3" xfId="2788"/>
    <cellStyle name="표준 2 2 2 2 10 2 6 3 2" xfId="2789"/>
    <cellStyle name="표준 2 2 2 2 10 2 7" xfId="2790"/>
    <cellStyle name="표준 2 2 2 2 10 2 7 2" xfId="2791"/>
    <cellStyle name="표준 2 2 2 2 10 2 7 3" xfId="2792"/>
    <cellStyle name="표준 2 2 2 2 10 2 7 3 2" xfId="2793"/>
    <cellStyle name="표준 2 2 2 2 10 2 8" xfId="2794"/>
    <cellStyle name="표준 2 2 2 2 10 2 9" xfId="2795"/>
    <cellStyle name="표준 2 2 2 2 10 2 9 2" xfId="2796"/>
    <cellStyle name="표준 2 2 2 2 10 3" xfId="2797"/>
    <cellStyle name="표준 2 2 2 2 10 3 2" xfId="2798"/>
    <cellStyle name="표준 2 2 2 2 10 3 2 2" xfId="2799"/>
    <cellStyle name="표준 2 2 2 2 10 3 2 2 2" xfId="2800"/>
    <cellStyle name="표준 2 2 2 2 10 3 2 2 2 2" xfId="2801"/>
    <cellStyle name="표준 2 2 2 2 10 3 2 2 2 3" xfId="2802"/>
    <cellStyle name="표준 2 2 2 2 10 3 2 2 2 3 2" xfId="2803"/>
    <cellStyle name="표준 2 2 2 2 10 3 2 2 3" xfId="2804"/>
    <cellStyle name="표준 2 2 2 2 10 3 2 2 3 2" xfId="2805"/>
    <cellStyle name="표준 2 2 2 2 10 3 2 2 3 3" xfId="2806"/>
    <cellStyle name="표준 2 2 2 2 10 3 2 2 3 3 2" xfId="2807"/>
    <cellStyle name="표준 2 2 2 2 10 3 2 2 4" xfId="2808"/>
    <cellStyle name="표준 2 2 2 2 10 3 2 2 5" xfId="2809"/>
    <cellStyle name="표준 2 2 2 2 10 3 2 2 5 2" xfId="2810"/>
    <cellStyle name="표준 2 2 2 2 10 3 2 3" xfId="2811"/>
    <cellStyle name="표준 2 2 2 2 10 3 2 3 2" xfId="2812"/>
    <cellStyle name="표준 2 2 2 2 10 3 2 3 2 2" xfId="2813"/>
    <cellStyle name="표준 2 2 2 2 10 3 2 3 2 3" xfId="2814"/>
    <cellStyle name="표준 2 2 2 2 10 3 2 3 2 3 2" xfId="2815"/>
    <cellStyle name="표준 2 2 2 2 10 3 2 3 3" xfId="2816"/>
    <cellStyle name="표준 2 2 2 2 10 3 2 3 3 2" xfId="2817"/>
    <cellStyle name="표준 2 2 2 2 10 3 2 3 3 3" xfId="2818"/>
    <cellStyle name="표준 2 2 2 2 10 3 2 3 3 3 2" xfId="2819"/>
    <cellStyle name="표준 2 2 2 2 10 3 2 3 4" xfId="2820"/>
    <cellStyle name="표준 2 2 2 2 10 3 2 3 5" xfId="2821"/>
    <cellStyle name="표준 2 2 2 2 10 3 2 3 5 2" xfId="2822"/>
    <cellStyle name="표준 2 2 2 2 10 3 2 4" xfId="2823"/>
    <cellStyle name="표준 2 2 2 2 10 3 2 4 2" xfId="2824"/>
    <cellStyle name="표준 2 2 2 2 10 3 2 4 3" xfId="2825"/>
    <cellStyle name="표준 2 2 2 2 10 3 2 4 3 2" xfId="2826"/>
    <cellStyle name="표준 2 2 2 2 10 3 2 5" xfId="2827"/>
    <cellStyle name="표준 2 2 2 2 10 3 2 5 2" xfId="2828"/>
    <cellStyle name="표준 2 2 2 2 10 3 2 5 3" xfId="2829"/>
    <cellStyle name="표준 2 2 2 2 10 3 2 5 3 2" xfId="2830"/>
    <cellStyle name="표준 2 2 2 2 10 3 2 6" xfId="2831"/>
    <cellStyle name="표준 2 2 2 2 10 3 2 7" xfId="2832"/>
    <cellStyle name="표준 2 2 2 2 10 3 2 7 2" xfId="2833"/>
    <cellStyle name="표준 2 2 2 2 10 3 3" xfId="2834"/>
    <cellStyle name="표준 2 2 2 2 10 3 3 2" xfId="2835"/>
    <cellStyle name="표준 2 2 2 2 10 3 3 2 2" xfId="2836"/>
    <cellStyle name="표준 2 2 2 2 10 3 3 2 3" xfId="2837"/>
    <cellStyle name="표준 2 2 2 2 10 3 3 2 3 2" xfId="2838"/>
    <cellStyle name="표준 2 2 2 2 10 3 3 3" xfId="2839"/>
    <cellStyle name="표준 2 2 2 2 10 3 3 3 2" xfId="2840"/>
    <cellStyle name="표준 2 2 2 2 10 3 3 3 3" xfId="2841"/>
    <cellStyle name="표준 2 2 2 2 10 3 3 3 3 2" xfId="2842"/>
    <cellStyle name="표준 2 2 2 2 10 3 3 4" xfId="2843"/>
    <cellStyle name="표준 2 2 2 2 10 3 3 5" xfId="2844"/>
    <cellStyle name="표준 2 2 2 2 10 3 3 5 2" xfId="2845"/>
    <cellStyle name="표준 2 2 2 2 10 3 4" xfId="2846"/>
    <cellStyle name="표준 2 2 2 2 10 3 4 2" xfId="2847"/>
    <cellStyle name="표준 2 2 2 2 10 3 4 2 2" xfId="2848"/>
    <cellStyle name="표준 2 2 2 2 10 3 4 2 3" xfId="2849"/>
    <cellStyle name="표준 2 2 2 2 10 3 4 2 3 2" xfId="2850"/>
    <cellStyle name="표준 2 2 2 2 10 3 4 3" xfId="2851"/>
    <cellStyle name="표준 2 2 2 2 10 3 4 3 2" xfId="2852"/>
    <cellStyle name="표준 2 2 2 2 10 3 4 3 3" xfId="2853"/>
    <cellStyle name="표준 2 2 2 2 10 3 4 3 3 2" xfId="2854"/>
    <cellStyle name="표준 2 2 2 2 10 3 4 4" xfId="2855"/>
    <cellStyle name="표준 2 2 2 2 10 3 4 5" xfId="2856"/>
    <cellStyle name="표준 2 2 2 2 10 3 4 5 2" xfId="2857"/>
    <cellStyle name="표준 2 2 2 2 10 3 5" xfId="2858"/>
    <cellStyle name="표준 2 2 2 2 10 3 5 2" xfId="2859"/>
    <cellStyle name="표준 2 2 2 2 10 3 5 3" xfId="2860"/>
    <cellStyle name="표준 2 2 2 2 10 3 5 3 2" xfId="2861"/>
    <cellStyle name="표준 2 2 2 2 10 3 6" xfId="2862"/>
    <cellStyle name="표준 2 2 2 2 10 3 6 2" xfId="2863"/>
    <cellStyle name="표준 2 2 2 2 10 3 6 3" xfId="2864"/>
    <cellStyle name="표준 2 2 2 2 10 3 6 3 2" xfId="2865"/>
    <cellStyle name="표준 2 2 2 2 10 3 7" xfId="2866"/>
    <cellStyle name="표준 2 2 2 2 10 3 8" xfId="2867"/>
    <cellStyle name="표준 2 2 2 2 10 3 8 2" xfId="2868"/>
    <cellStyle name="표준 2 2 2 2 10 4" xfId="2869"/>
    <cellStyle name="표준 2 2 2 2 10 4 2" xfId="2870"/>
    <cellStyle name="표준 2 2 2 2 10 4 2 2" xfId="2871"/>
    <cellStyle name="표준 2 2 2 2 10 4 2 3" xfId="2872"/>
    <cellStyle name="표준 2 2 2 2 10 4 2 3 2" xfId="2873"/>
    <cellStyle name="표준 2 2 2 2 10 4 3" xfId="2874"/>
    <cellStyle name="표준 2 2 2 2 10 4 3 2" xfId="2875"/>
    <cellStyle name="표준 2 2 2 2 10 4 3 3" xfId="2876"/>
    <cellStyle name="표준 2 2 2 2 10 4 3 3 2" xfId="2877"/>
    <cellStyle name="표준 2 2 2 2 10 4 4" xfId="2878"/>
    <cellStyle name="표준 2 2 2 2 10 4 5" xfId="2879"/>
    <cellStyle name="표준 2 2 2 2 10 4 5 2" xfId="2880"/>
    <cellStyle name="표준 2 2 2 2 10 5" xfId="2881"/>
    <cellStyle name="표준 2 2 2 2 10 5 2" xfId="2882"/>
    <cellStyle name="표준 2 2 2 2 10 5 2 2" xfId="2883"/>
    <cellStyle name="표준 2 2 2 2 10 5 2 3" xfId="2884"/>
    <cellStyle name="표준 2 2 2 2 10 5 2 3 2" xfId="2885"/>
    <cellStyle name="표준 2 2 2 2 10 5 3" xfId="2886"/>
    <cellStyle name="표준 2 2 2 2 10 5 3 2" xfId="2887"/>
    <cellStyle name="표준 2 2 2 2 10 5 3 3" xfId="2888"/>
    <cellStyle name="표준 2 2 2 2 10 5 3 3 2" xfId="2889"/>
    <cellStyle name="표준 2 2 2 2 10 5 4" xfId="2890"/>
    <cellStyle name="표준 2 2 2 2 10 5 5" xfId="2891"/>
    <cellStyle name="표준 2 2 2 2 10 5 5 2" xfId="2892"/>
    <cellStyle name="표준 2 2 2 2 10 6" xfId="2893"/>
    <cellStyle name="표준 2 2 2 2 10 6 2" xfId="2894"/>
    <cellStyle name="표준 2 2 2 2 10 6 3" xfId="2895"/>
    <cellStyle name="표준 2 2 2 2 10 6 3 2" xfId="2896"/>
    <cellStyle name="표준 2 2 2 2 10 7" xfId="2897"/>
    <cellStyle name="표준 2 2 2 2 10 7 2" xfId="2898"/>
    <cellStyle name="표준 2 2 2 2 10 7 3" xfId="2899"/>
    <cellStyle name="표준 2 2 2 2 10 7 3 2" xfId="2900"/>
    <cellStyle name="표준 2 2 2 2 10 8" xfId="2901"/>
    <cellStyle name="표준 2 2 2 2 10 9" xfId="2902"/>
    <cellStyle name="표준 2 2 2 2 10 9 2" xfId="2903"/>
    <cellStyle name="표준 2 2 2 2 11" xfId="2904"/>
    <cellStyle name="표준 2 2 2 2 11 2" xfId="2905"/>
    <cellStyle name="표준 2 2 2 2 11 2 2" xfId="2906"/>
    <cellStyle name="표준 2 2 2 2 11 2 2 2" xfId="2907"/>
    <cellStyle name="표준 2 2 2 2 11 2 2 2 2" xfId="2908"/>
    <cellStyle name="표준 2 2 2 2 11 2 2 2 2 2" xfId="2909"/>
    <cellStyle name="표준 2 2 2 2 11 2 2 2 2 2 2" xfId="2910"/>
    <cellStyle name="표준 2 2 2 2 11 2 2 2 2 2 3" xfId="2911"/>
    <cellStyle name="표준 2 2 2 2 11 2 2 2 2 2 3 2" xfId="2912"/>
    <cellStyle name="표준 2 2 2 2 11 2 2 2 2 3" xfId="2913"/>
    <cellStyle name="표준 2 2 2 2 11 2 2 2 2 3 2" xfId="2914"/>
    <cellStyle name="표준 2 2 2 2 11 2 2 2 2 3 3" xfId="2915"/>
    <cellStyle name="표준 2 2 2 2 11 2 2 2 2 3 3 2" xfId="2916"/>
    <cellStyle name="표준 2 2 2 2 11 2 2 2 2 4" xfId="2917"/>
    <cellStyle name="표준 2 2 2 2 11 2 2 2 2 5" xfId="2918"/>
    <cellStyle name="표준 2 2 2 2 11 2 2 2 2 5 2" xfId="2919"/>
    <cellStyle name="표준 2 2 2 2 11 2 2 2 3" xfId="2920"/>
    <cellStyle name="표준 2 2 2 2 11 2 2 2 3 2" xfId="2921"/>
    <cellStyle name="표준 2 2 2 2 11 2 2 2 3 2 2" xfId="2922"/>
    <cellStyle name="표준 2 2 2 2 11 2 2 2 3 2 3" xfId="2923"/>
    <cellStyle name="표준 2 2 2 2 11 2 2 2 3 2 3 2" xfId="2924"/>
    <cellStyle name="표준 2 2 2 2 11 2 2 2 3 3" xfId="2925"/>
    <cellStyle name="표준 2 2 2 2 11 2 2 2 3 3 2" xfId="2926"/>
    <cellStyle name="표준 2 2 2 2 11 2 2 2 3 3 3" xfId="2927"/>
    <cellStyle name="표준 2 2 2 2 11 2 2 2 3 3 3 2" xfId="2928"/>
    <cellStyle name="표준 2 2 2 2 11 2 2 2 3 4" xfId="2929"/>
    <cellStyle name="표준 2 2 2 2 11 2 2 2 3 5" xfId="2930"/>
    <cellStyle name="표준 2 2 2 2 11 2 2 2 3 5 2" xfId="2931"/>
    <cellStyle name="표준 2 2 2 2 11 2 2 2 4" xfId="2932"/>
    <cellStyle name="표준 2 2 2 2 11 2 2 2 4 2" xfId="2933"/>
    <cellStyle name="표준 2 2 2 2 11 2 2 2 4 3" xfId="2934"/>
    <cellStyle name="표준 2 2 2 2 11 2 2 2 4 3 2" xfId="2935"/>
    <cellStyle name="표준 2 2 2 2 11 2 2 2 5" xfId="2936"/>
    <cellStyle name="표준 2 2 2 2 11 2 2 2 5 2" xfId="2937"/>
    <cellStyle name="표준 2 2 2 2 11 2 2 2 5 3" xfId="2938"/>
    <cellStyle name="표준 2 2 2 2 11 2 2 2 5 3 2" xfId="2939"/>
    <cellStyle name="표준 2 2 2 2 11 2 2 2 6" xfId="2940"/>
    <cellStyle name="표준 2 2 2 2 11 2 2 2 7" xfId="2941"/>
    <cellStyle name="표준 2 2 2 2 11 2 2 2 7 2" xfId="2942"/>
    <cellStyle name="표준 2 2 2 2 11 2 2 3" xfId="2943"/>
    <cellStyle name="표준 2 2 2 2 11 2 2 3 2" xfId="2944"/>
    <cellStyle name="표준 2 2 2 2 11 2 2 3 2 2" xfId="2945"/>
    <cellStyle name="표준 2 2 2 2 11 2 2 3 2 3" xfId="2946"/>
    <cellStyle name="표준 2 2 2 2 11 2 2 3 2 3 2" xfId="2947"/>
    <cellStyle name="표준 2 2 2 2 11 2 2 3 3" xfId="2948"/>
    <cellStyle name="표준 2 2 2 2 11 2 2 3 3 2" xfId="2949"/>
    <cellStyle name="표준 2 2 2 2 11 2 2 3 3 3" xfId="2950"/>
    <cellStyle name="표준 2 2 2 2 11 2 2 3 3 3 2" xfId="2951"/>
    <cellStyle name="표준 2 2 2 2 11 2 2 3 4" xfId="2952"/>
    <cellStyle name="표준 2 2 2 2 11 2 2 3 5" xfId="2953"/>
    <cellStyle name="표준 2 2 2 2 11 2 2 3 5 2" xfId="2954"/>
    <cellStyle name="표준 2 2 2 2 11 2 2 4" xfId="2955"/>
    <cellStyle name="표준 2 2 2 2 11 2 2 4 2" xfId="2956"/>
    <cellStyle name="표준 2 2 2 2 11 2 2 4 2 2" xfId="2957"/>
    <cellStyle name="표준 2 2 2 2 11 2 2 4 2 3" xfId="2958"/>
    <cellStyle name="표준 2 2 2 2 11 2 2 4 2 3 2" xfId="2959"/>
    <cellStyle name="표준 2 2 2 2 11 2 2 4 3" xfId="2960"/>
    <cellStyle name="표준 2 2 2 2 11 2 2 4 3 2" xfId="2961"/>
    <cellStyle name="표준 2 2 2 2 11 2 2 4 3 3" xfId="2962"/>
    <cellStyle name="표준 2 2 2 2 11 2 2 4 3 3 2" xfId="2963"/>
    <cellStyle name="표준 2 2 2 2 11 2 2 4 4" xfId="2964"/>
    <cellStyle name="표준 2 2 2 2 11 2 2 4 5" xfId="2965"/>
    <cellStyle name="표준 2 2 2 2 11 2 2 4 5 2" xfId="2966"/>
    <cellStyle name="표준 2 2 2 2 11 2 2 5" xfId="2967"/>
    <cellStyle name="표준 2 2 2 2 11 2 2 5 2" xfId="2968"/>
    <cellStyle name="표준 2 2 2 2 11 2 2 5 3" xfId="2969"/>
    <cellStyle name="표준 2 2 2 2 11 2 2 5 3 2" xfId="2970"/>
    <cellStyle name="표준 2 2 2 2 11 2 2 6" xfId="2971"/>
    <cellStyle name="표준 2 2 2 2 11 2 2 6 2" xfId="2972"/>
    <cellStyle name="표준 2 2 2 2 11 2 2 6 3" xfId="2973"/>
    <cellStyle name="표준 2 2 2 2 11 2 2 6 3 2" xfId="2974"/>
    <cellStyle name="표준 2 2 2 2 11 2 2 7" xfId="2975"/>
    <cellStyle name="표준 2 2 2 2 11 2 2 8" xfId="2976"/>
    <cellStyle name="표준 2 2 2 2 11 2 2 8 2" xfId="2977"/>
    <cellStyle name="표준 2 2 2 2 11 2 3" xfId="2978"/>
    <cellStyle name="표준 2 2 2 2 11 2 3 2" xfId="2979"/>
    <cellStyle name="표준 2 2 2 2 11 2 3 2 2" xfId="2980"/>
    <cellStyle name="표준 2 2 2 2 11 2 3 2 2 2" xfId="2981"/>
    <cellStyle name="표준 2 2 2 2 11 2 3 2 2 3" xfId="2982"/>
    <cellStyle name="표준 2 2 2 2 11 2 3 2 2 3 2" xfId="2983"/>
    <cellStyle name="표준 2 2 2 2 11 2 3 2 3" xfId="2984"/>
    <cellStyle name="표준 2 2 2 2 11 2 3 2 3 2" xfId="2985"/>
    <cellStyle name="표준 2 2 2 2 11 2 3 2 3 3" xfId="2986"/>
    <cellStyle name="표준 2 2 2 2 11 2 3 2 3 3 2" xfId="2987"/>
    <cellStyle name="표준 2 2 2 2 11 2 3 2 4" xfId="2988"/>
    <cellStyle name="표준 2 2 2 2 11 2 3 2 5" xfId="2989"/>
    <cellStyle name="표준 2 2 2 2 11 2 3 2 5 2" xfId="2990"/>
    <cellStyle name="표준 2 2 2 2 11 2 3 3" xfId="2991"/>
    <cellStyle name="표준 2 2 2 2 11 2 3 3 2" xfId="2992"/>
    <cellStyle name="표준 2 2 2 2 11 2 3 3 2 2" xfId="2993"/>
    <cellStyle name="표준 2 2 2 2 11 2 3 3 2 3" xfId="2994"/>
    <cellStyle name="표준 2 2 2 2 11 2 3 3 2 3 2" xfId="2995"/>
    <cellStyle name="표준 2 2 2 2 11 2 3 3 3" xfId="2996"/>
    <cellStyle name="표준 2 2 2 2 11 2 3 3 3 2" xfId="2997"/>
    <cellStyle name="표준 2 2 2 2 11 2 3 3 3 3" xfId="2998"/>
    <cellStyle name="표준 2 2 2 2 11 2 3 3 3 3 2" xfId="2999"/>
    <cellStyle name="표준 2 2 2 2 11 2 3 3 4" xfId="3000"/>
    <cellStyle name="표준 2 2 2 2 11 2 3 3 5" xfId="3001"/>
    <cellStyle name="표준 2 2 2 2 11 2 3 3 5 2" xfId="3002"/>
    <cellStyle name="표준 2 2 2 2 11 2 3 4" xfId="3003"/>
    <cellStyle name="표준 2 2 2 2 11 2 3 4 2" xfId="3004"/>
    <cellStyle name="표준 2 2 2 2 11 2 3 4 3" xfId="3005"/>
    <cellStyle name="표준 2 2 2 2 11 2 3 4 3 2" xfId="3006"/>
    <cellStyle name="표준 2 2 2 2 11 2 3 5" xfId="3007"/>
    <cellStyle name="표준 2 2 2 2 11 2 3 5 2" xfId="3008"/>
    <cellStyle name="표준 2 2 2 2 11 2 3 5 3" xfId="3009"/>
    <cellStyle name="표준 2 2 2 2 11 2 3 5 3 2" xfId="3010"/>
    <cellStyle name="표준 2 2 2 2 11 2 3 6" xfId="3011"/>
    <cellStyle name="표준 2 2 2 2 11 2 3 7" xfId="3012"/>
    <cellStyle name="표준 2 2 2 2 11 2 3 7 2" xfId="3013"/>
    <cellStyle name="표준 2 2 2 2 11 2 4" xfId="3014"/>
    <cellStyle name="표준 2 2 2 2 11 2 4 2" xfId="3015"/>
    <cellStyle name="표준 2 2 2 2 11 2 4 2 2" xfId="3016"/>
    <cellStyle name="표준 2 2 2 2 11 2 4 2 3" xfId="3017"/>
    <cellStyle name="표준 2 2 2 2 11 2 4 2 3 2" xfId="3018"/>
    <cellStyle name="표준 2 2 2 2 11 2 4 3" xfId="3019"/>
    <cellStyle name="표준 2 2 2 2 11 2 4 3 2" xfId="3020"/>
    <cellStyle name="표준 2 2 2 2 11 2 4 3 3" xfId="3021"/>
    <cellStyle name="표준 2 2 2 2 11 2 4 3 3 2" xfId="3022"/>
    <cellStyle name="표준 2 2 2 2 11 2 4 4" xfId="3023"/>
    <cellStyle name="표준 2 2 2 2 11 2 4 5" xfId="3024"/>
    <cellStyle name="표준 2 2 2 2 11 2 4 5 2" xfId="3025"/>
    <cellStyle name="표준 2 2 2 2 11 2 5" xfId="3026"/>
    <cellStyle name="표준 2 2 2 2 11 2 5 2" xfId="3027"/>
    <cellStyle name="표준 2 2 2 2 11 2 5 2 2" xfId="3028"/>
    <cellStyle name="표준 2 2 2 2 11 2 5 2 3" xfId="3029"/>
    <cellStyle name="표준 2 2 2 2 11 2 5 2 3 2" xfId="3030"/>
    <cellStyle name="표준 2 2 2 2 11 2 5 3" xfId="3031"/>
    <cellStyle name="표준 2 2 2 2 11 2 5 3 2" xfId="3032"/>
    <cellStyle name="표준 2 2 2 2 11 2 5 3 3" xfId="3033"/>
    <cellStyle name="표준 2 2 2 2 11 2 5 3 3 2" xfId="3034"/>
    <cellStyle name="표준 2 2 2 2 11 2 5 4" xfId="3035"/>
    <cellStyle name="표준 2 2 2 2 11 2 5 5" xfId="3036"/>
    <cellStyle name="표준 2 2 2 2 11 2 5 5 2" xfId="3037"/>
    <cellStyle name="표준 2 2 2 2 11 2 6" xfId="3038"/>
    <cellStyle name="표준 2 2 2 2 11 2 6 2" xfId="3039"/>
    <cellStyle name="표준 2 2 2 2 11 2 6 3" xfId="3040"/>
    <cellStyle name="표준 2 2 2 2 11 2 6 3 2" xfId="3041"/>
    <cellStyle name="표준 2 2 2 2 11 2 7" xfId="3042"/>
    <cellStyle name="표준 2 2 2 2 11 2 7 2" xfId="3043"/>
    <cellStyle name="표준 2 2 2 2 11 2 7 3" xfId="3044"/>
    <cellStyle name="표준 2 2 2 2 11 2 7 3 2" xfId="3045"/>
    <cellStyle name="표준 2 2 2 2 11 2 8" xfId="3046"/>
    <cellStyle name="표준 2 2 2 2 11 2 9" xfId="3047"/>
    <cellStyle name="표준 2 2 2 2 11 2 9 2" xfId="3048"/>
    <cellStyle name="표준 2 2 2 2 11 3" xfId="3049"/>
    <cellStyle name="표준 2 2 2 2 11 3 2" xfId="3050"/>
    <cellStyle name="표준 2 2 2 2 11 3 2 2" xfId="3051"/>
    <cellStyle name="표준 2 2 2 2 11 3 2 2 2" xfId="3052"/>
    <cellStyle name="표준 2 2 2 2 11 3 2 2 2 2" xfId="3053"/>
    <cellStyle name="표준 2 2 2 2 11 3 2 2 2 3" xfId="3054"/>
    <cellStyle name="표준 2 2 2 2 11 3 2 2 2 3 2" xfId="3055"/>
    <cellStyle name="표준 2 2 2 2 11 3 2 2 3" xfId="3056"/>
    <cellStyle name="표준 2 2 2 2 11 3 2 2 3 2" xfId="3057"/>
    <cellStyle name="표준 2 2 2 2 11 3 2 2 3 3" xfId="3058"/>
    <cellStyle name="표준 2 2 2 2 11 3 2 2 3 3 2" xfId="3059"/>
    <cellStyle name="표준 2 2 2 2 11 3 2 2 4" xfId="3060"/>
    <cellStyle name="표준 2 2 2 2 11 3 2 2 5" xfId="3061"/>
    <cellStyle name="표준 2 2 2 2 11 3 2 2 5 2" xfId="3062"/>
    <cellStyle name="표준 2 2 2 2 11 3 2 3" xfId="3063"/>
    <cellStyle name="표준 2 2 2 2 11 3 2 3 2" xfId="3064"/>
    <cellStyle name="표준 2 2 2 2 11 3 2 3 2 2" xfId="3065"/>
    <cellStyle name="표준 2 2 2 2 11 3 2 3 2 3" xfId="3066"/>
    <cellStyle name="표준 2 2 2 2 11 3 2 3 2 3 2" xfId="3067"/>
    <cellStyle name="표준 2 2 2 2 11 3 2 3 3" xfId="3068"/>
    <cellStyle name="표준 2 2 2 2 11 3 2 3 3 2" xfId="3069"/>
    <cellStyle name="표준 2 2 2 2 11 3 2 3 3 3" xfId="3070"/>
    <cellStyle name="표준 2 2 2 2 11 3 2 3 3 3 2" xfId="3071"/>
    <cellStyle name="표준 2 2 2 2 11 3 2 3 4" xfId="3072"/>
    <cellStyle name="표준 2 2 2 2 11 3 2 3 5" xfId="3073"/>
    <cellStyle name="표준 2 2 2 2 11 3 2 3 5 2" xfId="3074"/>
    <cellStyle name="표준 2 2 2 2 11 3 2 4" xfId="3075"/>
    <cellStyle name="표준 2 2 2 2 11 3 2 4 2" xfId="3076"/>
    <cellStyle name="표준 2 2 2 2 11 3 2 4 3" xfId="3077"/>
    <cellStyle name="표준 2 2 2 2 11 3 2 4 3 2" xfId="3078"/>
    <cellStyle name="표준 2 2 2 2 11 3 2 5" xfId="3079"/>
    <cellStyle name="표준 2 2 2 2 11 3 2 5 2" xfId="3080"/>
    <cellStyle name="표준 2 2 2 2 11 3 2 5 3" xfId="3081"/>
    <cellStyle name="표준 2 2 2 2 11 3 2 5 3 2" xfId="3082"/>
    <cellStyle name="표준 2 2 2 2 11 3 2 6" xfId="3083"/>
    <cellStyle name="표준 2 2 2 2 11 3 2 7" xfId="3084"/>
    <cellStyle name="표준 2 2 2 2 11 3 2 7 2" xfId="3085"/>
    <cellStyle name="표준 2 2 2 2 11 3 3" xfId="3086"/>
    <cellStyle name="표준 2 2 2 2 11 3 3 2" xfId="3087"/>
    <cellStyle name="표준 2 2 2 2 11 3 3 2 2" xfId="3088"/>
    <cellStyle name="표준 2 2 2 2 11 3 3 2 3" xfId="3089"/>
    <cellStyle name="표준 2 2 2 2 11 3 3 2 3 2" xfId="3090"/>
    <cellStyle name="표준 2 2 2 2 11 3 3 3" xfId="3091"/>
    <cellStyle name="표준 2 2 2 2 11 3 3 3 2" xfId="3092"/>
    <cellStyle name="표준 2 2 2 2 11 3 3 3 3" xfId="3093"/>
    <cellStyle name="표준 2 2 2 2 11 3 3 3 3 2" xfId="3094"/>
    <cellStyle name="표준 2 2 2 2 11 3 3 4" xfId="3095"/>
    <cellStyle name="표준 2 2 2 2 11 3 3 5" xfId="3096"/>
    <cellStyle name="표준 2 2 2 2 11 3 3 5 2" xfId="3097"/>
    <cellStyle name="표준 2 2 2 2 11 3 4" xfId="3098"/>
    <cellStyle name="표준 2 2 2 2 11 3 4 2" xfId="3099"/>
    <cellStyle name="표준 2 2 2 2 11 3 4 2 2" xfId="3100"/>
    <cellStyle name="표준 2 2 2 2 11 3 4 2 3" xfId="3101"/>
    <cellStyle name="표준 2 2 2 2 11 3 4 2 3 2" xfId="3102"/>
    <cellStyle name="표준 2 2 2 2 11 3 4 3" xfId="3103"/>
    <cellStyle name="표준 2 2 2 2 11 3 4 3 2" xfId="3104"/>
    <cellStyle name="표준 2 2 2 2 11 3 4 3 3" xfId="3105"/>
    <cellStyle name="표준 2 2 2 2 11 3 4 3 3 2" xfId="3106"/>
    <cellStyle name="표준 2 2 2 2 11 3 4 4" xfId="3107"/>
    <cellStyle name="표준 2 2 2 2 11 3 4 5" xfId="3108"/>
    <cellStyle name="표준 2 2 2 2 11 3 4 5 2" xfId="3109"/>
    <cellStyle name="표준 2 2 2 2 11 3 5" xfId="3110"/>
    <cellStyle name="표준 2 2 2 2 11 3 5 2" xfId="3111"/>
    <cellStyle name="표준 2 2 2 2 11 3 5 3" xfId="3112"/>
    <cellStyle name="표준 2 2 2 2 11 3 5 3 2" xfId="3113"/>
    <cellStyle name="표준 2 2 2 2 11 3 6" xfId="3114"/>
    <cellStyle name="표준 2 2 2 2 11 3 6 2" xfId="3115"/>
    <cellStyle name="표준 2 2 2 2 11 3 6 3" xfId="3116"/>
    <cellStyle name="표준 2 2 2 2 11 3 6 3 2" xfId="3117"/>
    <cellStyle name="표준 2 2 2 2 11 3 7" xfId="3118"/>
    <cellStyle name="표준 2 2 2 2 11 3 8" xfId="3119"/>
    <cellStyle name="표준 2 2 2 2 11 3 8 2" xfId="3120"/>
    <cellStyle name="표준 2 2 2 2 11 4" xfId="3121"/>
    <cellStyle name="표준 2 2 2 2 11 4 2" xfId="3122"/>
    <cellStyle name="표준 2 2 2 2 11 4 2 2" xfId="3123"/>
    <cellStyle name="표준 2 2 2 2 11 4 2 3" xfId="3124"/>
    <cellStyle name="표준 2 2 2 2 11 4 2 3 2" xfId="3125"/>
    <cellStyle name="표준 2 2 2 2 11 4 3" xfId="3126"/>
    <cellStyle name="표준 2 2 2 2 11 4 3 2" xfId="3127"/>
    <cellStyle name="표준 2 2 2 2 11 4 3 3" xfId="3128"/>
    <cellStyle name="표준 2 2 2 2 11 4 3 3 2" xfId="3129"/>
    <cellStyle name="표준 2 2 2 2 11 4 4" xfId="3130"/>
    <cellStyle name="표준 2 2 2 2 11 4 5" xfId="3131"/>
    <cellStyle name="표준 2 2 2 2 11 4 5 2" xfId="3132"/>
    <cellStyle name="표준 2 2 2 2 11 5" xfId="3133"/>
    <cellStyle name="표준 2 2 2 2 11 5 2" xfId="3134"/>
    <cellStyle name="표준 2 2 2 2 11 5 2 2" xfId="3135"/>
    <cellStyle name="표준 2 2 2 2 11 5 2 3" xfId="3136"/>
    <cellStyle name="표준 2 2 2 2 11 5 2 3 2" xfId="3137"/>
    <cellStyle name="표준 2 2 2 2 11 5 3" xfId="3138"/>
    <cellStyle name="표준 2 2 2 2 11 5 3 2" xfId="3139"/>
    <cellStyle name="표준 2 2 2 2 11 5 3 3" xfId="3140"/>
    <cellStyle name="표준 2 2 2 2 11 5 3 3 2" xfId="3141"/>
    <cellStyle name="표준 2 2 2 2 11 5 4" xfId="3142"/>
    <cellStyle name="표준 2 2 2 2 11 5 5" xfId="3143"/>
    <cellStyle name="표준 2 2 2 2 11 5 5 2" xfId="3144"/>
    <cellStyle name="표준 2 2 2 2 11 6" xfId="3145"/>
    <cellStyle name="표준 2 2 2 2 11 6 2" xfId="3146"/>
    <cellStyle name="표준 2 2 2 2 11 6 3" xfId="3147"/>
    <cellStyle name="표준 2 2 2 2 11 6 3 2" xfId="3148"/>
    <cellStyle name="표준 2 2 2 2 11 7" xfId="3149"/>
    <cellStyle name="표준 2 2 2 2 11 7 2" xfId="3150"/>
    <cellStyle name="표준 2 2 2 2 11 7 3" xfId="3151"/>
    <cellStyle name="표준 2 2 2 2 11 7 3 2" xfId="3152"/>
    <cellStyle name="표준 2 2 2 2 11 8" xfId="3153"/>
    <cellStyle name="표준 2 2 2 2 11 9" xfId="3154"/>
    <cellStyle name="표준 2 2 2 2 11 9 2" xfId="3155"/>
    <cellStyle name="표준 2 2 2 2 12" xfId="3156"/>
    <cellStyle name="표준 2 2 2 2 12 2" xfId="3157"/>
    <cellStyle name="표준 2 2 2 2 12 2 2" xfId="3158"/>
    <cellStyle name="표준 2 2 2 2 12 2 2 2" xfId="3159"/>
    <cellStyle name="표준 2 2 2 2 12 2 2 2 2" xfId="3160"/>
    <cellStyle name="표준 2 2 2 2 12 2 2 2 2 2" xfId="3161"/>
    <cellStyle name="표준 2 2 2 2 12 2 2 2 2 2 2" xfId="3162"/>
    <cellStyle name="표준 2 2 2 2 12 2 2 2 2 2 3" xfId="3163"/>
    <cellStyle name="표준 2 2 2 2 12 2 2 2 2 2 3 2" xfId="3164"/>
    <cellStyle name="표준 2 2 2 2 12 2 2 2 2 3" xfId="3165"/>
    <cellStyle name="표준 2 2 2 2 12 2 2 2 2 3 2" xfId="3166"/>
    <cellStyle name="표준 2 2 2 2 12 2 2 2 2 3 3" xfId="3167"/>
    <cellStyle name="표준 2 2 2 2 12 2 2 2 2 3 3 2" xfId="3168"/>
    <cellStyle name="표준 2 2 2 2 12 2 2 2 2 4" xfId="3169"/>
    <cellStyle name="표준 2 2 2 2 12 2 2 2 2 5" xfId="3170"/>
    <cellStyle name="표준 2 2 2 2 12 2 2 2 2 5 2" xfId="3171"/>
    <cellStyle name="표준 2 2 2 2 12 2 2 2 3" xfId="3172"/>
    <cellStyle name="표준 2 2 2 2 12 2 2 2 3 2" xfId="3173"/>
    <cellStyle name="표준 2 2 2 2 12 2 2 2 3 2 2" xfId="3174"/>
    <cellStyle name="표준 2 2 2 2 12 2 2 2 3 2 3" xfId="3175"/>
    <cellStyle name="표준 2 2 2 2 12 2 2 2 3 2 3 2" xfId="3176"/>
    <cellStyle name="표준 2 2 2 2 12 2 2 2 3 3" xfId="3177"/>
    <cellStyle name="표준 2 2 2 2 12 2 2 2 3 3 2" xfId="3178"/>
    <cellStyle name="표준 2 2 2 2 12 2 2 2 3 3 3" xfId="3179"/>
    <cellStyle name="표준 2 2 2 2 12 2 2 2 3 3 3 2" xfId="3180"/>
    <cellStyle name="표준 2 2 2 2 12 2 2 2 3 4" xfId="3181"/>
    <cellStyle name="표준 2 2 2 2 12 2 2 2 3 5" xfId="3182"/>
    <cellStyle name="표준 2 2 2 2 12 2 2 2 3 5 2" xfId="3183"/>
    <cellStyle name="표준 2 2 2 2 12 2 2 2 4" xfId="3184"/>
    <cellStyle name="표준 2 2 2 2 12 2 2 2 4 2" xfId="3185"/>
    <cellStyle name="표준 2 2 2 2 12 2 2 2 4 3" xfId="3186"/>
    <cellStyle name="표준 2 2 2 2 12 2 2 2 4 3 2" xfId="3187"/>
    <cellStyle name="표준 2 2 2 2 12 2 2 2 5" xfId="3188"/>
    <cellStyle name="표준 2 2 2 2 12 2 2 2 5 2" xfId="3189"/>
    <cellStyle name="표준 2 2 2 2 12 2 2 2 5 3" xfId="3190"/>
    <cellStyle name="표준 2 2 2 2 12 2 2 2 5 3 2" xfId="3191"/>
    <cellStyle name="표준 2 2 2 2 12 2 2 2 6" xfId="3192"/>
    <cellStyle name="표준 2 2 2 2 12 2 2 2 7" xfId="3193"/>
    <cellStyle name="표준 2 2 2 2 12 2 2 2 7 2" xfId="3194"/>
    <cellStyle name="표준 2 2 2 2 12 2 2 3" xfId="3195"/>
    <cellStyle name="표준 2 2 2 2 12 2 2 3 2" xfId="3196"/>
    <cellStyle name="표준 2 2 2 2 12 2 2 3 2 2" xfId="3197"/>
    <cellStyle name="표준 2 2 2 2 12 2 2 3 2 3" xfId="3198"/>
    <cellStyle name="표준 2 2 2 2 12 2 2 3 2 3 2" xfId="3199"/>
    <cellStyle name="표준 2 2 2 2 12 2 2 3 3" xfId="3200"/>
    <cellStyle name="표준 2 2 2 2 12 2 2 3 3 2" xfId="3201"/>
    <cellStyle name="표준 2 2 2 2 12 2 2 3 3 3" xfId="3202"/>
    <cellStyle name="표준 2 2 2 2 12 2 2 3 3 3 2" xfId="3203"/>
    <cellStyle name="표준 2 2 2 2 12 2 2 3 4" xfId="3204"/>
    <cellStyle name="표준 2 2 2 2 12 2 2 3 5" xfId="3205"/>
    <cellStyle name="표준 2 2 2 2 12 2 2 3 5 2" xfId="3206"/>
    <cellStyle name="표준 2 2 2 2 12 2 2 4" xfId="3207"/>
    <cellStyle name="표준 2 2 2 2 12 2 2 4 2" xfId="3208"/>
    <cellStyle name="표준 2 2 2 2 12 2 2 4 2 2" xfId="3209"/>
    <cellStyle name="표준 2 2 2 2 12 2 2 4 2 3" xfId="3210"/>
    <cellStyle name="표준 2 2 2 2 12 2 2 4 2 3 2" xfId="3211"/>
    <cellStyle name="표준 2 2 2 2 12 2 2 4 3" xfId="3212"/>
    <cellStyle name="표준 2 2 2 2 12 2 2 4 3 2" xfId="3213"/>
    <cellStyle name="표준 2 2 2 2 12 2 2 4 3 3" xfId="3214"/>
    <cellStyle name="표준 2 2 2 2 12 2 2 4 3 3 2" xfId="3215"/>
    <cellStyle name="표준 2 2 2 2 12 2 2 4 4" xfId="3216"/>
    <cellStyle name="표준 2 2 2 2 12 2 2 4 5" xfId="3217"/>
    <cellStyle name="표준 2 2 2 2 12 2 2 4 5 2" xfId="3218"/>
    <cellStyle name="표준 2 2 2 2 12 2 2 5" xfId="3219"/>
    <cellStyle name="표준 2 2 2 2 12 2 2 5 2" xfId="3220"/>
    <cellStyle name="표준 2 2 2 2 12 2 2 5 3" xfId="3221"/>
    <cellStyle name="표준 2 2 2 2 12 2 2 5 3 2" xfId="3222"/>
    <cellStyle name="표준 2 2 2 2 12 2 2 6" xfId="3223"/>
    <cellStyle name="표준 2 2 2 2 12 2 2 6 2" xfId="3224"/>
    <cellStyle name="표준 2 2 2 2 12 2 2 6 3" xfId="3225"/>
    <cellStyle name="표준 2 2 2 2 12 2 2 6 3 2" xfId="3226"/>
    <cellStyle name="표준 2 2 2 2 12 2 2 7" xfId="3227"/>
    <cellStyle name="표준 2 2 2 2 12 2 2 8" xfId="3228"/>
    <cellStyle name="표준 2 2 2 2 12 2 2 8 2" xfId="3229"/>
    <cellStyle name="표준 2 2 2 2 12 2 3" xfId="3230"/>
    <cellStyle name="표준 2 2 2 2 12 2 3 2" xfId="3231"/>
    <cellStyle name="표준 2 2 2 2 12 2 3 2 2" xfId="3232"/>
    <cellStyle name="표준 2 2 2 2 12 2 3 2 2 2" xfId="3233"/>
    <cellStyle name="표준 2 2 2 2 12 2 3 2 2 3" xfId="3234"/>
    <cellStyle name="표준 2 2 2 2 12 2 3 2 2 3 2" xfId="3235"/>
    <cellStyle name="표준 2 2 2 2 12 2 3 2 3" xfId="3236"/>
    <cellStyle name="표준 2 2 2 2 12 2 3 2 3 2" xfId="3237"/>
    <cellStyle name="표준 2 2 2 2 12 2 3 2 3 3" xfId="3238"/>
    <cellStyle name="표준 2 2 2 2 12 2 3 2 3 3 2" xfId="3239"/>
    <cellStyle name="표준 2 2 2 2 12 2 3 2 4" xfId="3240"/>
    <cellStyle name="표준 2 2 2 2 12 2 3 2 5" xfId="3241"/>
    <cellStyle name="표준 2 2 2 2 12 2 3 2 5 2" xfId="3242"/>
    <cellStyle name="표준 2 2 2 2 12 2 3 3" xfId="3243"/>
    <cellStyle name="표준 2 2 2 2 12 2 3 3 2" xfId="3244"/>
    <cellStyle name="표준 2 2 2 2 12 2 3 3 2 2" xfId="3245"/>
    <cellStyle name="표준 2 2 2 2 12 2 3 3 2 3" xfId="3246"/>
    <cellStyle name="표준 2 2 2 2 12 2 3 3 2 3 2" xfId="3247"/>
    <cellStyle name="표준 2 2 2 2 12 2 3 3 3" xfId="3248"/>
    <cellStyle name="표준 2 2 2 2 12 2 3 3 3 2" xfId="3249"/>
    <cellStyle name="표준 2 2 2 2 12 2 3 3 3 3" xfId="3250"/>
    <cellStyle name="표준 2 2 2 2 12 2 3 3 3 3 2" xfId="3251"/>
    <cellStyle name="표준 2 2 2 2 12 2 3 3 4" xfId="3252"/>
    <cellStyle name="표준 2 2 2 2 12 2 3 3 5" xfId="3253"/>
    <cellStyle name="표준 2 2 2 2 12 2 3 3 5 2" xfId="3254"/>
    <cellStyle name="표준 2 2 2 2 12 2 3 4" xfId="3255"/>
    <cellStyle name="표준 2 2 2 2 12 2 3 4 2" xfId="3256"/>
    <cellStyle name="표준 2 2 2 2 12 2 3 4 3" xfId="3257"/>
    <cellStyle name="표준 2 2 2 2 12 2 3 4 3 2" xfId="3258"/>
    <cellStyle name="표준 2 2 2 2 12 2 3 5" xfId="3259"/>
    <cellStyle name="표준 2 2 2 2 12 2 3 5 2" xfId="3260"/>
    <cellStyle name="표준 2 2 2 2 12 2 3 5 3" xfId="3261"/>
    <cellStyle name="표준 2 2 2 2 12 2 3 5 3 2" xfId="3262"/>
    <cellStyle name="표준 2 2 2 2 12 2 3 6" xfId="3263"/>
    <cellStyle name="표준 2 2 2 2 12 2 3 7" xfId="3264"/>
    <cellStyle name="표준 2 2 2 2 12 2 3 7 2" xfId="3265"/>
    <cellStyle name="표준 2 2 2 2 12 2 4" xfId="3266"/>
    <cellStyle name="표준 2 2 2 2 12 2 4 2" xfId="3267"/>
    <cellStyle name="표준 2 2 2 2 12 2 4 2 2" xfId="3268"/>
    <cellStyle name="표준 2 2 2 2 12 2 4 2 3" xfId="3269"/>
    <cellStyle name="표준 2 2 2 2 12 2 4 2 3 2" xfId="3270"/>
    <cellStyle name="표준 2 2 2 2 12 2 4 3" xfId="3271"/>
    <cellStyle name="표준 2 2 2 2 12 2 4 3 2" xfId="3272"/>
    <cellStyle name="표준 2 2 2 2 12 2 4 3 3" xfId="3273"/>
    <cellStyle name="표준 2 2 2 2 12 2 4 3 3 2" xfId="3274"/>
    <cellStyle name="표준 2 2 2 2 12 2 4 4" xfId="3275"/>
    <cellStyle name="표준 2 2 2 2 12 2 4 5" xfId="3276"/>
    <cellStyle name="표준 2 2 2 2 12 2 4 5 2" xfId="3277"/>
    <cellStyle name="표준 2 2 2 2 12 2 5" xfId="3278"/>
    <cellStyle name="표준 2 2 2 2 12 2 5 2" xfId="3279"/>
    <cellStyle name="표준 2 2 2 2 12 2 5 2 2" xfId="3280"/>
    <cellStyle name="표준 2 2 2 2 12 2 5 2 3" xfId="3281"/>
    <cellStyle name="표준 2 2 2 2 12 2 5 2 3 2" xfId="3282"/>
    <cellStyle name="표준 2 2 2 2 12 2 5 3" xfId="3283"/>
    <cellStyle name="표준 2 2 2 2 12 2 5 3 2" xfId="3284"/>
    <cellStyle name="표준 2 2 2 2 12 2 5 3 3" xfId="3285"/>
    <cellStyle name="표준 2 2 2 2 12 2 5 3 3 2" xfId="3286"/>
    <cellStyle name="표준 2 2 2 2 12 2 5 4" xfId="3287"/>
    <cellStyle name="표준 2 2 2 2 12 2 5 5" xfId="3288"/>
    <cellStyle name="표준 2 2 2 2 12 2 5 5 2" xfId="3289"/>
    <cellStyle name="표준 2 2 2 2 12 2 6" xfId="3290"/>
    <cellStyle name="표준 2 2 2 2 12 2 6 2" xfId="3291"/>
    <cellStyle name="표준 2 2 2 2 12 2 6 3" xfId="3292"/>
    <cellStyle name="표준 2 2 2 2 12 2 6 3 2" xfId="3293"/>
    <cellStyle name="표준 2 2 2 2 12 2 7" xfId="3294"/>
    <cellStyle name="표준 2 2 2 2 12 2 7 2" xfId="3295"/>
    <cellStyle name="표준 2 2 2 2 12 2 7 3" xfId="3296"/>
    <cellStyle name="표준 2 2 2 2 12 2 7 3 2" xfId="3297"/>
    <cellStyle name="표준 2 2 2 2 12 2 8" xfId="3298"/>
    <cellStyle name="표준 2 2 2 2 12 2 9" xfId="3299"/>
    <cellStyle name="표준 2 2 2 2 12 2 9 2" xfId="3300"/>
    <cellStyle name="표준 2 2 2 2 12 3" xfId="3301"/>
    <cellStyle name="표준 2 2 2 2 12 3 2" xfId="3302"/>
    <cellStyle name="표준 2 2 2 2 12 3 2 2" xfId="3303"/>
    <cellStyle name="표준 2 2 2 2 12 3 2 2 2" xfId="3304"/>
    <cellStyle name="표준 2 2 2 2 12 3 2 2 2 2" xfId="3305"/>
    <cellStyle name="표준 2 2 2 2 12 3 2 2 2 3" xfId="3306"/>
    <cellStyle name="표준 2 2 2 2 12 3 2 2 2 3 2" xfId="3307"/>
    <cellStyle name="표준 2 2 2 2 12 3 2 2 3" xfId="3308"/>
    <cellStyle name="표준 2 2 2 2 12 3 2 2 3 2" xfId="3309"/>
    <cellStyle name="표준 2 2 2 2 12 3 2 2 3 3" xfId="3310"/>
    <cellStyle name="표준 2 2 2 2 12 3 2 2 3 3 2" xfId="3311"/>
    <cellStyle name="표준 2 2 2 2 12 3 2 2 4" xfId="3312"/>
    <cellStyle name="표준 2 2 2 2 12 3 2 2 5" xfId="3313"/>
    <cellStyle name="표준 2 2 2 2 12 3 2 2 5 2" xfId="3314"/>
    <cellStyle name="표준 2 2 2 2 12 3 2 3" xfId="3315"/>
    <cellStyle name="표준 2 2 2 2 12 3 2 3 2" xfId="3316"/>
    <cellStyle name="표준 2 2 2 2 12 3 2 3 2 2" xfId="3317"/>
    <cellStyle name="표준 2 2 2 2 12 3 2 3 2 3" xfId="3318"/>
    <cellStyle name="표준 2 2 2 2 12 3 2 3 2 3 2" xfId="3319"/>
    <cellStyle name="표준 2 2 2 2 12 3 2 3 3" xfId="3320"/>
    <cellStyle name="표준 2 2 2 2 12 3 2 3 3 2" xfId="3321"/>
    <cellStyle name="표준 2 2 2 2 12 3 2 3 3 3" xfId="3322"/>
    <cellStyle name="표준 2 2 2 2 12 3 2 3 3 3 2" xfId="3323"/>
    <cellStyle name="표준 2 2 2 2 12 3 2 3 4" xfId="3324"/>
    <cellStyle name="표준 2 2 2 2 12 3 2 3 5" xfId="3325"/>
    <cellStyle name="표준 2 2 2 2 12 3 2 3 5 2" xfId="3326"/>
    <cellStyle name="표준 2 2 2 2 12 3 2 4" xfId="3327"/>
    <cellStyle name="표준 2 2 2 2 12 3 2 4 2" xfId="3328"/>
    <cellStyle name="표준 2 2 2 2 12 3 2 4 3" xfId="3329"/>
    <cellStyle name="표준 2 2 2 2 12 3 2 4 3 2" xfId="3330"/>
    <cellStyle name="표준 2 2 2 2 12 3 2 5" xfId="3331"/>
    <cellStyle name="표준 2 2 2 2 12 3 2 5 2" xfId="3332"/>
    <cellStyle name="표준 2 2 2 2 12 3 2 5 3" xfId="3333"/>
    <cellStyle name="표준 2 2 2 2 12 3 2 5 3 2" xfId="3334"/>
    <cellStyle name="표준 2 2 2 2 12 3 2 6" xfId="3335"/>
    <cellStyle name="표준 2 2 2 2 12 3 2 7" xfId="3336"/>
    <cellStyle name="표준 2 2 2 2 12 3 2 7 2" xfId="3337"/>
    <cellStyle name="표준 2 2 2 2 12 3 3" xfId="3338"/>
    <cellStyle name="표준 2 2 2 2 12 3 3 2" xfId="3339"/>
    <cellStyle name="표준 2 2 2 2 12 3 3 2 2" xfId="3340"/>
    <cellStyle name="표준 2 2 2 2 12 3 3 2 3" xfId="3341"/>
    <cellStyle name="표준 2 2 2 2 12 3 3 2 3 2" xfId="3342"/>
    <cellStyle name="표준 2 2 2 2 12 3 3 3" xfId="3343"/>
    <cellStyle name="표준 2 2 2 2 12 3 3 3 2" xfId="3344"/>
    <cellStyle name="표준 2 2 2 2 12 3 3 3 3" xfId="3345"/>
    <cellStyle name="표준 2 2 2 2 12 3 3 3 3 2" xfId="3346"/>
    <cellStyle name="표준 2 2 2 2 12 3 3 4" xfId="3347"/>
    <cellStyle name="표준 2 2 2 2 12 3 3 5" xfId="3348"/>
    <cellStyle name="표준 2 2 2 2 12 3 3 5 2" xfId="3349"/>
    <cellStyle name="표준 2 2 2 2 12 3 4" xfId="3350"/>
    <cellStyle name="표준 2 2 2 2 12 3 4 2" xfId="3351"/>
    <cellStyle name="표준 2 2 2 2 12 3 4 2 2" xfId="3352"/>
    <cellStyle name="표준 2 2 2 2 12 3 4 2 3" xfId="3353"/>
    <cellStyle name="표준 2 2 2 2 12 3 4 2 3 2" xfId="3354"/>
    <cellStyle name="표준 2 2 2 2 12 3 4 3" xfId="3355"/>
    <cellStyle name="표준 2 2 2 2 12 3 4 3 2" xfId="3356"/>
    <cellStyle name="표준 2 2 2 2 12 3 4 3 3" xfId="3357"/>
    <cellStyle name="표준 2 2 2 2 12 3 4 3 3 2" xfId="3358"/>
    <cellStyle name="표준 2 2 2 2 12 3 4 4" xfId="3359"/>
    <cellStyle name="표준 2 2 2 2 12 3 4 5" xfId="3360"/>
    <cellStyle name="표준 2 2 2 2 12 3 4 5 2" xfId="3361"/>
    <cellStyle name="표준 2 2 2 2 12 3 5" xfId="3362"/>
    <cellStyle name="표준 2 2 2 2 12 3 5 2" xfId="3363"/>
    <cellStyle name="표준 2 2 2 2 12 3 5 3" xfId="3364"/>
    <cellStyle name="표준 2 2 2 2 12 3 5 3 2" xfId="3365"/>
    <cellStyle name="표준 2 2 2 2 12 3 6" xfId="3366"/>
    <cellStyle name="표준 2 2 2 2 12 3 6 2" xfId="3367"/>
    <cellStyle name="표준 2 2 2 2 12 3 6 3" xfId="3368"/>
    <cellStyle name="표준 2 2 2 2 12 3 6 3 2" xfId="3369"/>
    <cellStyle name="표준 2 2 2 2 12 3 7" xfId="3370"/>
    <cellStyle name="표준 2 2 2 2 12 3 8" xfId="3371"/>
    <cellStyle name="표준 2 2 2 2 12 3 8 2" xfId="3372"/>
    <cellStyle name="표준 2 2 2 2 12 4" xfId="3373"/>
    <cellStyle name="표준 2 2 2 2 12 4 2" xfId="3374"/>
    <cellStyle name="표준 2 2 2 2 12 4 2 2" xfId="3375"/>
    <cellStyle name="표준 2 2 2 2 12 4 2 3" xfId="3376"/>
    <cellStyle name="표준 2 2 2 2 12 4 2 3 2" xfId="3377"/>
    <cellStyle name="표준 2 2 2 2 12 4 3" xfId="3378"/>
    <cellStyle name="표준 2 2 2 2 12 4 3 2" xfId="3379"/>
    <cellStyle name="표준 2 2 2 2 12 4 3 3" xfId="3380"/>
    <cellStyle name="표준 2 2 2 2 12 4 3 3 2" xfId="3381"/>
    <cellStyle name="표준 2 2 2 2 12 4 4" xfId="3382"/>
    <cellStyle name="표준 2 2 2 2 12 4 5" xfId="3383"/>
    <cellStyle name="표준 2 2 2 2 12 4 5 2" xfId="3384"/>
    <cellStyle name="표준 2 2 2 2 12 5" xfId="3385"/>
    <cellStyle name="표준 2 2 2 2 12 5 2" xfId="3386"/>
    <cellStyle name="표준 2 2 2 2 12 5 2 2" xfId="3387"/>
    <cellStyle name="표준 2 2 2 2 12 5 2 3" xfId="3388"/>
    <cellStyle name="표준 2 2 2 2 12 5 2 3 2" xfId="3389"/>
    <cellStyle name="표준 2 2 2 2 12 5 3" xfId="3390"/>
    <cellStyle name="표준 2 2 2 2 12 5 3 2" xfId="3391"/>
    <cellStyle name="표준 2 2 2 2 12 5 3 3" xfId="3392"/>
    <cellStyle name="표준 2 2 2 2 12 5 3 3 2" xfId="3393"/>
    <cellStyle name="표준 2 2 2 2 12 5 4" xfId="3394"/>
    <cellStyle name="표준 2 2 2 2 12 5 5" xfId="3395"/>
    <cellStyle name="표준 2 2 2 2 12 5 5 2" xfId="3396"/>
    <cellStyle name="표준 2 2 2 2 12 6" xfId="3397"/>
    <cellStyle name="표준 2 2 2 2 12 6 2" xfId="3398"/>
    <cellStyle name="표준 2 2 2 2 12 6 3" xfId="3399"/>
    <cellStyle name="표준 2 2 2 2 12 6 3 2" xfId="3400"/>
    <cellStyle name="표준 2 2 2 2 12 7" xfId="3401"/>
    <cellStyle name="표준 2 2 2 2 12 7 2" xfId="3402"/>
    <cellStyle name="표준 2 2 2 2 12 7 3" xfId="3403"/>
    <cellStyle name="표준 2 2 2 2 12 7 3 2" xfId="3404"/>
    <cellStyle name="표준 2 2 2 2 12 8" xfId="3405"/>
    <cellStyle name="표준 2 2 2 2 12 9" xfId="3406"/>
    <cellStyle name="표준 2 2 2 2 12 9 2" xfId="3407"/>
    <cellStyle name="표준 2 2 2 2 13" xfId="3408"/>
    <cellStyle name="표준 2 2 2 2 13 2" xfId="3409"/>
    <cellStyle name="표준 2 2 2 2 13 2 2" xfId="3410"/>
    <cellStyle name="표준 2 2 2 2 13 2 3" xfId="3411"/>
    <cellStyle name="표준 2 2 2 2 13 2 3 2" xfId="3412"/>
    <cellStyle name="표준 2 2 2 2 13 3" xfId="3413"/>
    <cellStyle name="표준 2 2 2 2 13 3 2" xfId="3414"/>
    <cellStyle name="표준 2 2 2 2 13 3 3" xfId="3415"/>
    <cellStyle name="표준 2 2 2 2 13 3 3 2" xfId="3416"/>
    <cellStyle name="표준 2 2 2 2 13 4" xfId="3417"/>
    <cellStyle name="표준 2 2 2 2 13 5" xfId="3418"/>
    <cellStyle name="표준 2 2 2 2 13 5 2" xfId="3419"/>
    <cellStyle name="표준 2 2 2 2 14" xfId="3420"/>
    <cellStyle name="표준 2 2 2 2 14 2" xfId="3421"/>
    <cellStyle name="표준 2 2 2 2 14 2 2" xfId="3422"/>
    <cellStyle name="표준 2 2 2 2 14 2 3" xfId="3423"/>
    <cellStyle name="표준 2 2 2 2 14 2 3 2" xfId="3424"/>
    <cellStyle name="표준 2 2 2 2 14 3" xfId="3425"/>
    <cellStyle name="표준 2 2 2 2 14 3 2" xfId="3426"/>
    <cellStyle name="표준 2 2 2 2 14 3 3" xfId="3427"/>
    <cellStyle name="표준 2 2 2 2 14 3 3 2" xfId="3428"/>
    <cellStyle name="표준 2 2 2 2 14 4" xfId="3429"/>
    <cellStyle name="표준 2 2 2 2 14 5" xfId="3430"/>
    <cellStyle name="표준 2 2 2 2 14 5 2" xfId="3431"/>
    <cellStyle name="표준 2 2 2 2 15" xfId="3432"/>
    <cellStyle name="표준 2 2 2 2 15 2" xfId="3433"/>
    <cellStyle name="표준 2 2 2 2 15 3" xfId="3434"/>
    <cellStyle name="표준 2 2 2 2 15 3 2" xfId="3435"/>
    <cellStyle name="표준 2 2 2 2 16" xfId="3436"/>
    <cellStyle name="표준 2 2 2 2 16 2" xfId="3437"/>
    <cellStyle name="표준 2 2 2 2 16 3" xfId="3438"/>
    <cellStyle name="표준 2 2 2 2 16 3 2" xfId="3439"/>
    <cellStyle name="표준 2 2 2 2 17" xfId="3440"/>
    <cellStyle name="표준 2 2 2 2 18" xfId="3441"/>
    <cellStyle name="표준 2 2 2 2 18 2" xfId="3442"/>
    <cellStyle name="표준 2 2 2 2 2" xfId="3443"/>
    <cellStyle name="표준 2 2 2 2 2 10" xfId="3444"/>
    <cellStyle name="표준 2 2 2 2 2 11" xfId="3445"/>
    <cellStyle name="표준 2 2 2 2 2 12" xfId="3446"/>
    <cellStyle name="표준 2 2 2 2 2 13" xfId="3447"/>
    <cellStyle name="표준 2 2 2 2 2 13 2" xfId="3448"/>
    <cellStyle name="표준 2 2 2 2 2 13 2 2" xfId="3449"/>
    <cellStyle name="표준 2 2 2 2 2 13 2 2 2" xfId="3450"/>
    <cellStyle name="표준 2 2 2 2 2 13 2 2 2 2" xfId="3451"/>
    <cellStyle name="표준 2 2 2 2 2 13 2 2 2 2 2" xfId="3452"/>
    <cellStyle name="표준 2 2 2 2 2 13 2 2 2 2 3" xfId="3453"/>
    <cellStyle name="표준 2 2 2 2 2 13 2 2 2 2 3 2" xfId="3454"/>
    <cellStyle name="표준 2 2 2 2 2 13 2 2 2 3" xfId="3455"/>
    <cellStyle name="표준 2 2 2 2 2 13 2 2 2 3 2" xfId="3456"/>
    <cellStyle name="표준 2 2 2 2 2 13 2 2 2 3 3" xfId="3457"/>
    <cellStyle name="표준 2 2 2 2 2 13 2 2 2 3 3 2" xfId="3458"/>
    <cellStyle name="표준 2 2 2 2 2 13 2 2 2 4" xfId="3459"/>
    <cellStyle name="표준 2 2 2 2 2 13 2 2 2 5" xfId="3460"/>
    <cellStyle name="표준 2 2 2 2 2 13 2 2 2 5 2" xfId="3461"/>
    <cellStyle name="표준 2 2 2 2 2 13 2 2 3" xfId="3462"/>
    <cellStyle name="표준 2 2 2 2 2 13 2 2 3 2" xfId="3463"/>
    <cellStyle name="표준 2 2 2 2 2 13 2 2 3 2 2" xfId="3464"/>
    <cellStyle name="표준 2 2 2 2 2 13 2 2 3 2 3" xfId="3465"/>
    <cellStyle name="표준 2 2 2 2 2 13 2 2 3 2 3 2" xfId="3466"/>
    <cellStyle name="표준 2 2 2 2 2 13 2 2 3 3" xfId="3467"/>
    <cellStyle name="표준 2 2 2 2 2 13 2 2 3 3 2" xfId="3468"/>
    <cellStyle name="표준 2 2 2 2 2 13 2 2 3 3 3" xfId="3469"/>
    <cellStyle name="표준 2 2 2 2 2 13 2 2 3 3 3 2" xfId="3470"/>
    <cellStyle name="표준 2 2 2 2 2 13 2 2 3 4" xfId="3471"/>
    <cellStyle name="표준 2 2 2 2 2 13 2 2 3 5" xfId="3472"/>
    <cellStyle name="표준 2 2 2 2 2 13 2 2 3 5 2" xfId="3473"/>
    <cellStyle name="표준 2 2 2 2 2 13 2 2 4" xfId="3474"/>
    <cellStyle name="표준 2 2 2 2 2 13 2 2 4 2" xfId="3475"/>
    <cellStyle name="표준 2 2 2 2 2 13 2 2 4 3" xfId="3476"/>
    <cellStyle name="표준 2 2 2 2 2 13 2 2 4 3 2" xfId="3477"/>
    <cellStyle name="표준 2 2 2 2 2 13 2 2 5" xfId="3478"/>
    <cellStyle name="표준 2 2 2 2 2 13 2 2 5 2" xfId="3479"/>
    <cellStyle name="표준 2 2 2 2 2 13 2 2 5 3" xfId="3480"/>
    <cellStyle name="표준 2 2 2 2 2 13 2 2 5 3 2" xfId="3481"/>
    <cellStyle name="표준 2 2 2 2 2 13 2 2 6" xfId="3482"/>
    <cellStyle name="표준 2 2 2 2 2 13 2 2 7" xfId="3483"/>
    <cellStyle name="표준 2 2 2 2 2 13 2 2 7 2" xfId="3484"/>
    <cellStyle name="표준 2 2 2 2 2 13 2 3" xfId="3485"/>
    <cellStyle name="표준 2 2 2 2 2 13 2 3 2" xfId="3486"/>
    <cellStyle name="표준 2 2 2 2 2 13 2 3 2 2" xfId="3487"/>
    <cellStyle name="표준 2 2 2 2 2 13 2 3 2 3" xfId="3488"/>
    <cellStyle name="표준 2 2 2 2 2 13 2 3 2 3 2" xfId="3489"/>
    <cellStyle name="표준 2 2 2 2 2 13 2 3 3" xfId="3490"/>
    <cellStyle name="표준 2 2 2 2 2 13 2 3 3 2" xfId="3491"/>
    <cellStyle name="표준 2 2 2 2 2 13 2 3 3 3" xfId="3492"/>
    <cellStyle name="표준 2 2 2 2 2 13 2 3 3 3 2" xfId="3493"/>
    <cellStyle name="표준 2 2 2 2 2 13 2 3 4" xfId="3494"/>
    <cellStyle name="표준 2 2 2 2 2 13 2 3 5" xfId="3495"/>
    <cellStyle name="표준 2 2 2 2 2 13 2 3 5 2" xfId="3496"/>
    <cellStyle name="표준 2 2 2 2 2 13 2 4" xfId="3497"/>
    <cellStyle name="표준 2 2 2 2 2 13 2 4 2" xfId="3498"/>
    <cellStyle name="표준 2 2 2 2 2 13 2 4 2 2" xfId="3499"/>
    <cellStyle name="표준 2 2 2 2 2 13 2 4 2 3" xfId="3500"/>
    <cellStyle name="표준 2 2 2 2 2 13 2 4 2 3 2" xfId="3501"/>
    <cellStyle name="표준 2 2 2 2 2 13 2 4 3" xfId="3502"/>
    <cellStyle name="표준 2 2 2 2 2 13 2 4 3 2" xfId="3503"/>
    <cellStyle name="표준 2 2 2 2 2 13 2 4 3 3" xfId="3504"/>
    <cellStyle name="표준 2 2 2 2 2 13 2 4 3 3 2" xfId="3505"/>
    <cellStyle name="표준 2 2 2 2 2 13 2 4 4" xfId="3506"/>
    <cellStyle name="표준 2 2 2 2 2 13 2 4 5" xfId="3507"/>
    <cellStyle name="표준 2 2 2 2 2 13 2 4 5 2" xfId="3508"/>
    <cellStyle name="표준 2 2 2 2 2 13 2 5" xfId="3509"/>
    <cellStyle name="표준 2 2 2 2 2 13 2 5 2" xfId="3510"/>
    <cellStyle name="표준 2 2 2 2 2 13 2 5 3" xfId="3511"/>
    <cellStyle name="표준 2 2 2 2 2 13 2 5 3 2" xfId="3512"/>
    <cellStyle name="표준 2 2 2 2 2 13 2 6" xfId="3513"/>
    <cellStyle name="표준 2 2 2 2 2 13 2 6 2" xfId="3514"/>
    <cellStyle name="표준 2 2 2 2 2 13 2 6 3" xfId="3515"/>
    <cellStyle name="표준 2 2 2 2 2 13 2 6 3 2" xfId="3516"/>
    <cellStyle name="표준 2 2 2 2 2 13 2 7" xfId="3517"/>
    <cellStyle name="표준 2 2 2 2 2 13 2 8" xfId="3518"/>
    <cellStyle name="표준 2 2 2 2 2 13 2 8 2" xfId="3519"/>
    <cellStyle name="표준 2 2 2 2 2 13 3" xfId="3520"/>
    <cellStyle name="표준 2 2 2 2 2 13 3 2" xfId="3521"/>
    <cellStyle name="표준 2 2 2 2 2 13 3 2 2" xfId="3522"/>
    <cellStyle name="표준 2 2 2 2 2 13 3 2 2 2" xfId="3523"/>
    <cellStyle name="표준 2 2 2 2 2 13 3 2 2 3" xfId="3524"/>
    <cellStyle name="표준 2 2 2 2 2 13 3 2 2 3 2" xfId="3525"/>
    <cellStyle name="표준 2 2 2 2 2 13 3 2 3" xfId="3526"/>
    <cellStyle name="표준 2 2 2 2 2 13 3 2 3 2" xfId="3527"/>
    <cellStyle name="표준 2 2 2 2 2 13 3 2 3 3" xfId="3528"/>
    <cellStyle name="표준 2 2 2 2 2 13 3 2 3 3 2" xfId="3529"/>
    <cellStyle name="표준 2 2 2 2 2 13 3 2 4" xfId="3530"/>
    <cellStyle name="표준 2 2 2 2 2 13 3 2 5" xfId="3531"/>
    <cellStyle name="표준 2 2 2 2 2 13 3 2 5 2" xfId="3532"/>
    <cellStyle name="표준 2 2 2 2 2 13 3 3" xfId="3533"/>
    <cellStyle name="표준 2 2 2 2 2 13 3 3 2" xfId="3534"/>
    <cellStyle name="표준 2 2 2 2 2 13 3 3 2 2" xfId="3535"/>
    <cellStyle name="표준 2 2 2 2 2 13 3 3 2 3" xfId="3536"/>
    <cellStyle name="표준 2 2 2 2 2 13 3 3 2 3 2" xfId="3537"/>
    <cellStyle name="표준 2 2 2 2 2 13 3 3 3" xfId="3538"/>
    <cellStyle name="표준 2 2 2 2 2 13 3 3 3 2" xfId="3539"/>
    <cellStyle name="표준 2 2 2 2 2 13 3 3 3 3" xfId="3540"/>
    <cellStyle name="표준 2 2 2 2 2 13 3 3 3 3 2" xfId="3541"/>
    <cellStyle name="표준 2 2 2 2 2 13 3 3 4" xfId="3542"/>
    <cellStyle name="표준 2 2 2 2 2 13 3 3 5" xfId="3543"/>
    <cellStyle name="표준 2 2 2 2 2 13 3 3 5 2" xfId="3544"/>
    <cellStyle name="표준 2 2 2 2 2 13 3 4" xfId="3545"/>
    <cellStyle name="표준 2 2 2 2 2 13 3 4 2" xfId="3546"/>
    <cellStyle name="표준 2 2 2 2 2 13 3 4 3" xfId="3547"/>
    <cellStyle name="표준 2 2 2 2 2 13 3 4 3 2" xfId="3548"/>
    <cellStyle name="표준 2 2 2 2 2 13 3 5" xfId="3549"/>
    <cellStyle name="표준 2 2 2 2 2 13 3 5 2" xfId="3550"/>
    <cellStyle name="표준 2 2 2 2 2 13 3 5 3" xfId="3551"/>
    <cellStyle name="표준 2 2 2 2 2 13 3 5 3 2" xfId="3552"/>
    <cellStyle name="표준 2 2 2 2 2 13 3 6" xfId="3553"/>
    <cellStyle name="표준 2 2 2 2 2 13 3 7" xfId="3554"/>
    <cellStyle name="표준 2 2 2 2 2 13 3 7 2" xfId="3555"/>
    <cellStyle name="표준 2 2 2 2 2 13 4" xfId="3556"/>
    <cellStyle name="표준 2 2 2 2 2 13 4 2" xfId="3557"/>
    <cellStyle name="표준 2 2 2 2 2 13 4 2 2" xfId="3558"/>
    <cellStyle name="표준 2 2 2 2 2 13 4 2 3" xfId="3559"/>
    <cellStyle name="표준 2 2 2 2 2 13 4 2 3 2" xfId="3560"/>
    <cellStyle name="표준 2 2 2 2 2 13 4 3" xfId="3561"/>
    <cellStyle name="표준 2 2 2 2 2 13 4 3 2" xfId="3562"/>
    <cellStyle name="표준 2 2 2 2 2 13 4 3 3" xfId="3563"/>
    <cellStyle name="표준 2 2 2 2 2 13 4 3 3 2" xfId="3564"/>
    <cellStyle name="표준 2 2 2 2 2 13 4 4" xfId="3565"/>
    <cellStyle name="표준 2 2 2 2 2 13 4 5" xfId="3566"/>
    <cellStyle name="표준 2 2 2 2 2 13 4 5 2" xfId="3567"/>
    <cellStyle name="표준 2 2 2 2 2 13 5" xfId="3568"/>
    <cellStyle name="표준 2 2 2 2 2 13 5 2" xfId="3569"/>
    <cellStyle name="표준 2 2 2 2 2 13 5 2 2" xfId="3570"/>
    <cellStyle name="표준 2 2 2 2 2 13 5 2 3" xfId="3571"/>
    <cellStyle name="표준 2 2 2 2 2 13 5 2 3 2" xfId="3572"/>
    <cellStyle name="표준 2 2 2 2 2 13 5 3" xfId="3573"/>
    <cellStyle name="표준 2 2 2 2 2 13 5 3 2" xfId="3574"/>
    <cellStyle name="표준 2 2 2 2 2 13 5 3 3" xfId="3575"/>
    <cellStyle name="표준 2 2 2 2 2 13 5 3 3 2" xfId="3576"/>
    <cellStyle name="표준 2 2 2 2 2 13 5 4" xfId="3577"/>
    <cellStyle name="표준 2 2 2 2 2 13 5 5" xfId="3578"/>
    <cellStyle name="표준 2 2 2 2 2 13 5 5 2" xfId="3579"/>
    <cellStyle name="표준 2 2 2 2 2 13 6" xfId="3580"/>
    <cellStyle name="표준 2 2 2 2 2 13 6 2" xfId="3581"/>
    <cellStyle name="표준 2 2 2 2 2 13 6 3" xfId="3582"/>
    <cellStyle name="표준 2 2 2 2 2 13 6 3 2" xfId="3583"/>
    <cellStyle name="표준 2 2 2 2 2 13 7" xfId="3584"/>
    <cellStyle name="표준 2 2 2 2 2 13 7 2" xfId="3585"/>
    <cellStyle name="표준 2 2 2 2 2 13 7 3" xfId="3586"/>
    <cellStyle name="표준 2 2 2 2 2 13 7 3 2" xfId="3587"/>
    <cellStyle name="표준 2 2 2 2 2 13 8" xfId="3588"/>
    <cellStyle name="표준 2 2 2 2 2 13 9" xfId="3589"/>
    <cellStyle name="표준 2 2 2 2 2 13 9 2" xfId="3590"/>
    <cellStyle name="표준 2 2 2 2 2 14" xfId="3591"/>
    <cellStyle name="표준 2 2 2 2 2 14 2" xfId="3592"/>
    <cellStyle name="표준 2 2 2 2 2 14 2 2" xfId="3593"/>
    <cellStyle name="표준 2 2 2 2 2 14 2 2 2" xfId="3594"/>
    <cellStyle name="표준 2 2 2 2 2 14 2 2 2 2" xfId="3595"/>
    <cellStyle name="표준 2 2 2 2 2 14 2 2 2 3" xfId="3596"/>
    <cellStyle name="표준 2 2 2 2 2 14 2 2 2 3 2" xfId="3597"/>
    <cellStyle name="표준 2 2 2 2 2 14 2 2 3" xfId="3598"/>
    <cellStyle name="표준 2 2 2 2 2 14 2 2 3 2" xfId="3599"/>
    <cellStyle name="표준 2 2 2 2 2 14 2 2 3 3" xfId="3600"/>
    <cellStyle name="표준 2 2 2 2 2 14 2 2 3 3 2" xfId="3601"/>
    <cellStyle name="표준 2 2 2 2 2 14 2 2 4" xfId="3602"/>
    <cellStyle name="표준 2 2 2 2 2 14 2 2 5" xfId="3603"/>
    <cellStyle name="표준 2 2 2 2 2 14 2 2 5 2" xfId="3604"/>
    <cellStyle name="표준 2 2 2 2 2 14 2 3" xfId="3605"/>
    <cellStyle name="표준 2 2 2 2 2 14 2 3 2" xfId="3606"/>
    <cellStyle name="표준 2 2 2 2 2 14 2 3 2 2" xfId="3607"/>
    <cellStyle name="표준 2 2 2 2 2 14 2 3 2 3" xfId="3608"/>
    <cellStyle name="표준 2 2 2 2 2 14 2 3 2 3 2" xfId="3609"/>
    <cellStyle name="표준 2 2 2 2 2 14 2 3 3" xfId="3610"/>
    <cellStyle name="표준 2 2 2 2 2 14 2 3 3 2" xfId="3611"/>
    <cellStyle name="표준 2 2 2 2 2 14 2 3 3 3" xfId="3612"/>
    <cellStyle name="표준 2 2 2 2 2 14 2 3 3 3 2" xfId="3613"/>
    <cellStyle name="표준 2 2 2 2 2 14 2 3 4" xfId="3614"/>
    <cellStyle name="표준 2 2 2 2 2 14 2 3 5" xfId="3615"/>
    <cellStyle name="표준 2 2 2 2 2 14 2 3 5 2" xfId="3616"/>
    <cellStyle name="표준 2 2 2 2 2 14 2 4" xfId="3617"/>
    <cellStyle name="표준 2 2 2 2 2 14 2 4 2" xfId="3618"/>
    <cellStyle name="표준 2 2 2 2 2 14 2 4 3" xfId="3619"/>
    <cellStyle name="표준 2 2 2 2 2 14 2 4 3 2" xfId="3620"/>
    <cellStyle name="표준 2 2 2 2 2 14 2 5" xfId="3621"/>
    <cellStyle name="표준 2 2 2 2 2 14 2 5 2" xfId="3622"/>
    <cellStyle name="표준 2 2 2 2 2 14 2 5 3" xfId="3623"/>
    <cellStyle name="표준 2 2 2 2 2 14 2 5 3 2" xfId="3624"/>
    <cellStyle name="표준 2 2 2 2 2 14 2 6" xfId="3625"/>
    <cellStyle name="표준 2 2 2 2 2 14 2 7" xfId="3626"/>
    <cellStyle name="표준 2 2 2 2 2 14 2 7 2" xfId="3627"/>
    <cellStyle name="표준 2 2 2 2 2 14 3" xfId="3628"/>
    <cellStyle name="표준 2 2 2 2 2 14 3 2" xfId="3629"/>
    <cellStyle name="표준 2 2 2 2 2 14 3 2 2" xfId="3630"/>
    <cellStyle name="표준 2 2 2 2 2 14 3 2 3" xfId="3631"/>
    <cellStyle name="표준 2 2 2 2 2 14 3 2 3 2" xfId="3632"/>
    <cellStyle name="표준 2 2 2 2 2 14 3 3" xfId="3633"/>
    <cellStyle name="표준 2 2 2 2 2 14 3 3 2" xfId="3634"/>
    <cellStyle name="표준 2 2 2 2 2 14 3 3 3" xfId="3635"/>
    <cellStyle name="표준 2 2 2 2 2 14 3 3 3 2" xfId="3636"/>
    <cellStyle name="표준 2 2 2 2 2 14 3 4" xfId="3637"/>
    <cellStyle name="표준 2 2 2 2 2 14 3 5" xfId="3638"/>
    <cellStyle name="표준 2 2 2 2 2 14 3 5 2" xfId="3639"/>
    <cellStyle name="표준 2 2 2 2 2 14 4" xfId="3640"/>
    <cellStyle name="표준 2 2 2 2 2 14 4 2" xfId="3641"/>
    <cellStyle name="표준 2 2 2 2 2 14 4 2 2" xfId="3642"/>
    <cellStyle name="표준 2 2 2 2 2 14 4 2 3" xfId="3643"/>
    <cellStyle name="표준 2 2 2 2 2 14 4 2 3 2" xfId="3644"/>
    <cellStyle name="표준 2 2 2 2 2 14 4 3" xfId="3645"/>
    <cellStyle name="표준 2 2 2 2 2 14 4 3 2" xfId="3646"/>
    <cellStyle name="표준 2 2 2 2 2 14 4 3 3" xfId="3647"/>
    <cellStyle name="표준 2 2 2 2 2 14 4 3 3 2" xfId="3648"/>
    <cellStyle name="표준 2 2 2 2 2 14 4 4" xfId="3649"/>
    <cellStyle name="표준 2 2 2 2 2 14 4 5" xfId="3650"/>
    <cellStyle name="표준 2 2 2 2 2 14 4 5 2" xfId="3651"/>
    <cellStyle name="표준 2 2 2 2 2 14 5" xfId="3652"/>
    <cellStyle name="표준 2 2 2 2 2 14 5 2" xfId="3653"/>
    <cellStyle name="표준 2 2 2 2 2 14 5 3" xfId="3654"/>
    <cellStyle name="표준 2 2 2 2 2 14 5 3 2" xfId="3655"/>
    <cellStyle name="표준 2 2 2 2 2 14 6" xfId="3656"/>
    <cellStyle name="표준 2 2 2 2 2 14 6 2" xfId="3657"/>
    <cellStyle name="표준 2 2 2 2 2 14 6 3" xfId="3658"/>
    <cellStyle name="표준 2 2 2 2 2 14 6 3 2" xfId="3659"/>
    <cellStyle name="표준 2 2 2 2 2 14 7" xfId="3660"/>
    <cellStyle name="표준 2 2 2 2 2 14 8" xfId="3661"/>
    <cellStyle name="표준 2 2 2 2 2 14 8 2" xfId="3662"/>
    <cellStyle name="표준 2 2 2 2 2 2" xfId="3663"/>
    <cellStyle name="표준 2 2 2 2 2 2 2" xfId="3664"/>
    <cellStyle name="표준 2 2 2 2 2 2 3" xfId="3665"/>
    <cellStyle name="표준 2 2 2 2 2 2 3 2" xfId="3666"/>
    <cellStyle name="표준 2 2 2 2 2 2 3 2 2" xfId="3667"/>
    <cellStyle name="표준 2 2 2 2 2 2 3 2 3" xfId="3668"/>
    <cellStyle name="표준 2 2 2 2 2 2 3 2 3 2" xfId="3669"/>
    <cellStyle name="표준 2 2 2 2 2 2 3 3" xfId="3670"/>
    <cellStyle name="표준 2 2 2 2 2 2 3 3 2" xfId="3671"/>
    <cellStyle name="표준 2 2 2 2 2 2 3 3 3" xfId="3672"/>
    <cellStyle name="표준 2 2 2 2 2 2 3 3 3 2" xfId="3673"/>
    <cellStyle name="표준 2 2 2 2 2 2 3 4" xfId="3674"/>
    <cellStyle name="표준 2 2 2 2 2 2 3 5" xfId="3675"/>
    <cellStyle name="표준 2 2 2 2 2 2 3 5 2" xfId="3676"/>
    <cellStyle name="표준 2 2 2 2 2 2 4" xfId="3677"/>
    <cellStyle name="표준 2 2 2 2 2 2 4 2" xfId="3678"/>
    <cellStyle name="표준 2 2 2 2 2 2 4 2 2" xfId="3679"/>
    <cellStyle name="표준 2 2 2 2 2 2 4 2 3" xfId="3680"/>
    <cellStyle name="표준 2 2 2 2 2 2 4 2 3 2" xfId="3681"/>
    <cellStyle name="표준 2 2 2 2 2 2 4 3" xfId="3682"/>
    <cellStyle name="표준 2 2 2 2 2 2 4 3 2" xfId="3683"/>
    <cellStyle name="표준 2 2 2 2 2 2 4 3 3" xfId="3684"/>
    <cellStyle name="표준 2 2 2 2 2 2 4 3 3 2" xfId="3685"/>
    <cellStyle name="표준 2 2 2 2 2 2 4 4" xfId="3686"/>
    <cellStyle name="표준 2 2 2 2 2 2 4 5" xfId="3687"/>
    <cellStyle name="표준 2 2 2 2 2 2 4 5 2" xfId="3688"/>
    <cellStyle name="표준 2 2 2 2 2 2 5" xfId="3689"/>
    <cellStyle name="표준 2 2 2 2 2 2 5 2" xfId="3690"/>
    <cellStyle name="표준 2 2 2 2 2 2 5 3" xfId="3691"/>
    <cellStyle name="표준 2 2 2 2 2 2 5 3 2" xfId="3692"/>
    <cellStyle name="표준 2 2 2 2 2 2 6" xfId="3693"/>
    <cellStyle name="표준 2 2 2 2 2 2 6 2" xfId="3694"/>
    <cellStyle name="표준 2 2 2 2 2 2 6 3" xfId="3695"/>
    <cellStyle name="표준 2 2 2 2 2 2 6 3 2" xfId="3696"/>
    <cellStyle name="표준 2 2 2 2 2 2 7" xfId="3697"/>
    <cellStyle name="표준 2 2 2 2 2 2 8" xfId="3698"/>
    <cellStyle name="표준 2 2 2 2 2 2 8 2" xfId="3699"/>
    <cellStyle name="표준 2 2 2 2 2 3" xfId="3700"/>
    <cellStyle name="표준 2 2 2 2 2 4" xfId="3701"/>
    <cellStyle name="표준 2 2 2 2 2 5" xfId="3702"/>
    <cellStyle name="표준 2 2 2 2 2 6" xfId="3703"/>
    <cellStyle name="표준 2 2 2 2 2 7" xfId="3704"/>
    <cellStyle name="표준 2 2 2 2 2 8" xfId="3705"/>
    <cellStyle name="표준 2 2 2 2 2 9" xfId="3706"/>
    <cellStyle name="표준 2 2 2 2 3" xfId="3707"/>
    <cellStyle name="표준 2 2 2 2 3 2" xfId="3708"/>
    <cellStyle name="표준 2 2 2 2 3 2 2" xfId="3709"/>
    <cellStyle name="표준 2 2 2 2 3 2 2 2" xfId="3710"/>
    <cellStyle name="표준 2 2 2 2 3 2 2 2 2" xfId="3711"/>
    <cellStyle name="표준 2 2 2 2 3 2 2 2 2 2" xfId="3712"/>
    <cellStyle name="표준 2 2 2 2 3 2 2 2 2 2 2" xfId="3713"/>
    <cellStyle name="표준 2 2 2 2 3 2 2 2 2 2 3" xfId="3714"/>
    <cellStyle name="표준 2 2 2 2 3 2 2 2 2 2 3 2" xfId="3715"/>
    <cellStyle name="표준 2 2 2 2 3 2 2 2 2 3" xfId="3716"/>
    <cellStyle name="표준 2 2 2 2 3 2 2 2 2 3 2" xfId="3717"/>
    <cellStyle name="표준 2 2 2 2 3 2 2 2 2 3 3" xfId="3718"/>
    <cellStyle name="표준 2 2 2 2 3 2 2 2 2 3 3 2" xfId="3719"/>
    <cellStyle name="표준 2 2 2 2 3 2 2 2 2 4" xfId="3720"/>
    <cellStyle name="표준 2 2 2 2 3 2 2 2 2 5" xfId="3721"/>
    <cellStyle name="표준 2 2 2 2 3 2 2 2 2 5 2" xfId="3722"/>
    <cellStyle name="표준 2 2 2 2 3 2 2 2 3" xfId="3723"/>
    <cellStyle name="표준 2 2 2 2 3 2 2 2 3 2" xfId="3724"/>
    <cellStyle name="표준 2 2 2 2 3 2 2 2 3 2 2" xfId="3725"/>
    <cellStyle name="표준 2 2 2 2 3 2 2 2 3 2 3" xfId="3726"/>
    <cellStyle name="표준 2 2 2 2 3 2 2 2 3 2 3 2" xfId="3727"/>
    <cellStyle name="표준 2 2 2 2 3 2 2 2 3 3" xfId="3728"/>
    <cellStyle name="표준 2 2 2 2 3 2 2 2 3 3 2" xfId="3729"/>
    <cellStyle name="표준 2 2 2 2 3 2 2 2 3 3 3" xfId="3730"/>
    <cellStyle name="표준 2 2 2 2 3 2 2 2 3 3 3 2" xfId="3731"/>
    <cellStyle name="표준 2 2 2 2 3 2 2 2 3 4" xfId="3732"/>
    <cellStyle name="표준 2 2 2 2 3 2 2 2 3 5" xfId="3733"/>
    <cellStyle name="표준 2 2 2 2 3 2 2 2 3 5 2" xfId="3734"/>
    <cellStyle name="표준 2 2 2 2 3 2 2 2 4" xfId="3735"/>
    <cellStyle name="표준 2 2 2 2 3 2 2 2 4 2" xfId="3736"/>
    <cellStyle name="표준 2 2 2 2 3 2 2 2 4 3" xfId="3737"/>
    <cellStyle name="표준 2 2 2 2 3 2 2 2 4 3 2" xfId="3738"/>
    <cellStyle name="표준 2 2 2 2 3 2 2 2 5" xfId="3739"/>
    <cellStyle name="표준 2 2 2 2 3 2 2 2 5 2" xfId="3740"/>
    <cellStyle name="표준 2 2 2 2 3 2 2 2 5 3" xfId="3741"/>
    <cellStyle name="표준 2 2 2 2 3 2 2 2 5 3 2" xfId="3742"/>
    <cellStyle name="표준 2 2 2 2 3 2 2 2 6" xfId="3743"/>
    <cellStyle name="표준 2 2 2 2 3 2 2 2 7" xfId="3744"/>
    <cellStyle name="표준 2 2 2 2 3 2 2 2 7 2" xfId="3745"/>
    <cellStyle name="표준 2 2 2 2 3 2 2 3" xfId="3746"/>
    <cellStyle name="표준 2 2 2 2 3 2 2 3 2" xfId="3747"/>
    <cellStyle name="표준 2 2 2 2 3 2 2 3 2 2" xfId="3748"/>
    <cellStyle name="표준 2 2 2 2 3 2 2 3 2 3" xfId="3749"/>
    <cellStyle name="표준 2 2 2 2 3 2 2 3 2 3 2" xfId="3750"/>
    <cellStyle name="표준 2 2 2 2 3 2 2 3 3" xfId="3751"/>
    <cellStyle name="표준 2 2 2 2 3 2 2 3 3 2" xfId="3752"/>
    <cellStyle name="표준 2 2 2 2 3 2 2 3 3 3" xfId="3753"/>
    <cellStyle name="표준 2 2 2 2 3 2 2 3 3 3 2" xfId="3754"/>
    <cellStyle name="표준 2 2 2 2 3 2 2 3 4" xfId="3755"/>
    <cellStyle name="표준 2 2 2 2 3 2 2 3 5" xfId="3756"/>
    <cellStyle name="표준 2 2 2 2 3 2 2 3 5 2" xfId="3757"/>
    <cellStyle name="표준 2 2 2 2 3 2 2 4" xfId="3758"/>
    <cellStyle name="표준 2 2 2 2 3 2 2 4 2" xfId="3759"/>
    <cellStyle name="표준 2 2 2 2 3 2 2 4 2 2" xfId="3760"/>
    <cellStyle name="표준 2 2 2 2 3 2 2 4 2 3" xfId="3761"/>
    <cellStyle name="표준 2 2 2 2 3 2 2 4 2 3 2" xfId="3762"/>
    <cellStyle name="표준 2 2 2 2 3 2 2 4 3" xfId="3763"/>
    <cellStyle name="표준 2 2 2 2 3 2 2 4 3 2" xfId="3764"/>
    <cellStyle name="표준 2 2 2 2 3 2 2 4 3 3" xfId="3765"/>
    <cellStyle name="표준 2 2 2 2 3 2 2 4 3 3 2" xfId="3766"/>
    <cellStyle name="표준 2 2 2 2 3 2 2 4 4" xfId="3767"/>
    <cellStyle name="표준 2 2 2 2 3 2 2 4 5" xfId="3768"/>
    <cellStyle name="표준 2 2 2 2 3 2 2 4 5 2" xfId="3769"/>
    <cellStyle name="표준 2 2 2 2 3 2 2 5" xfId="3770"/>
    <cellStyle name="표준 2 2 2 2 3 2 2 5 2" xfId="3771"/>
    <cellStyle name="표준 2 2 2 2 3 2 2 5 3" xfId="3772"/>
    <cellStyle name="표준 2 2 2 2 3 2 2 5 3 2" xfId="3773"/>
    <cellStyle name="표준 2 2 2 2 3 2 2 6" xfId="3774"/>
    <cellStyle name="표준 2 2 2 2 3 2 2 6 2" xfId="3775"/>
    <cellStyle name="표준 2 2 2 2 3 2 2 6 3" xfId="3776"/>
    <cellStyle name="표준 2 2 2 2 3 2 2 6 3 2" xfId="3777"/>
    <cellStyle name="표준 2 2 2 2 3 2 2 7" xfId="3778"/>
    <cellStyle name="표준 2 2 2 2 3 2 2 8" xfId="3779"/>
    <cellStyle name="표준 2 2 2 2 3 2 2 8 2" xfId="3780"/>
    <cellStyle name="표준 2 2 2 2 3 2 3" xfId="3781"/>
    <cellStyle name="표준 2 2 2 2 3 2 3 2" xfId="3782"/>
    <cellStyle name="표준 2 2 2 2 3 2 3 2 2" xfId="3783"/>
    <cellStyle name="표준 2 2 2 2 3 2 3 2 2 2" xfId="3784"/>
    <cellStyle name="표준 2 2 2 2 3 2 3 2 2 3" xfId="3785"/>
    <cellStyle name="표준 2 2 2 2 3 2 3 2 2 3 2" xfId="3786"/>
    <cellStyle name="표준 2 2 2 2 3 2 3 2 3" xfId="3787"/>
    <cellStyle name="표준 2 2 2 2 3 2 3 2 3 2" xfId="3788"/>
    <cellStyle name="표준 2 2 2 2 3 2 3 2 3 3" xfId="3789"/>
    <cellStyle name="표준 2 2 2 2 3 2 3 2 3 3 2" xfId="3790"/>
    <cellStyle name="표준 2 2 2 2 3 2 3 2 4" xfId="3791"/>
    <cellStyle name="표준 2 2 2 2 3 2 3 2 5" xfId="3792"/>
    <cellStyle name="표준 2 2 2 2 3 2 3 2 5 2" xfId="3793"/>
    <cellStyle name="표준 2 2 2 2 3 2 3 3" xfId="3794"/>
    <cellStyle name="표준 2 2 2 2 3 2 3 3 2" xfId="3795"/>
    <cellStyle name="표준 2 2 2 2 3 2 3 3 2 2" xfId="3796"/>
    <cellStyle name="표준 2 2 2 2 3 2 3 3 2 3" xfId="3797"/>
    <cellStyle name="표준 2 2 2 2 3 2 3 3 2 3 2" xfId="3798"/>
    <cellStyle name="표준 2 2 2 2 3 2 3 3 3" xfId="3799"/>
    <cellStyle name="표준 2 2 2 2 3 2 3 3 3 2" xfId="3800"/>
    <cellStyle name="표준 2 2 2 2 3 2 3 3 3 3" xfId="3801"/>
    <cellStyle name="표준 2 2 2 2 3 2 3 3 3 3 2" xfId="3802"/>
    <cellStyle name="표준 2 2 2 2 3 2 3 3 4" xfId="3803"/>
    <cellStyle name="표준 2 2 2 2 3 2 3 3 5" xfId="3804"/>
    <cellStyle name="표준 2 2 2 2 3 2 3 3 5 2" xfId="3805"/>
    <cellStyle name="표준 2 2 2 2 3 2 3 4" xfId="3806"/>
    <cellStyle name="표준 2 2 2 2 3 2 3 4 2" xfId="3807"/>
    <cellStyle name="표준 2 2 2 2 3 2 3 4 3" xfId="3808"/>
    <cellStyle name="표준 2 2 2 2 3 2 3 4 3 2" xfId="3809"/>
    <cellStyle name="표준 2 2 2 2 3 2 3 5" xfId="3810"/>
    <cellStyle name="표준 2 2 2 2 3 2 3 5 2" xfId="3811"/>
    <cellStyle name="표준 2 2 2 2 3 2 3 5 3" xfId="3812"/>
    <cellStyle name="표준 2 2 2 2 3 2 3 5 3 2" xfId="3813"/>
    <cellStyle name="표준 2 2 2 2 3 2 3 6" xfId="3814"/>
    <cellStyle name="표준 2 2 2 2 3 2 3 7" xfId="3815"/>
    <cellStyle name="표준 2 2 2 2 3 2 3 7 2" xfId="3816"/>
    <cellStyle name="표준 2 2 2 2 3 2 4" xfId="3817"/>
    <cellStyle name="표준 2 2 2 2 3 2 4 2" xfId="3818"/>
    <cellStyle name="표준 2 2 2 2 3 2 4 2 2" xfId="3819"/>
    <cellStyle name="표준 2 2 2 2 3 2 4 2 3" xfId="3820"/>
    <cellStyle name="표준 2 2 2 2 3 2 4 2 3 2" xfId="3821"/>
    <cellStyle name="표준 2 2 2 2 3 2 4 3" xfId="3822"/>
    <cellStyle name="표준 2 2 2 2 3 2 4 3 2" xfId="3823"/>
    <cellStyle name="표준 2 2 2 2 3 2 4 3 3" xfId="3824"/>
    <cellStyle name="표준 2 2 2 2 3 2 4 3 3 2" xfId="3825"/>
    <cellStyle name="표준 2 2 2 2 3 2 4 4" xfId="3826"/>
    <cellStyle name="표준 2 2 2 2 3 2 4 5" xfId="3827"/>
    <cellStyle name="표준 2 2 2 2 3 2 4 5 2" xfId="3828"/>
    <cellStyle name="표준 2 2 2 2 3 2 5" xfId="3829"/>
    <cellStyle name="표준 2 2 2 2 3 2 5 2" xfId="3830"/>
    <cellStyle name="표준 2 2 2 2 3 2 5 2 2" xfId="3831"/>
    <cellStyle name="표준 2 2 2 2 3 2 5 2 3" xfId="3832"/>
    <cellStyle name="표준 2 2 2 2 3 2 5 2 3 2" xfId="3833"/>
    <cellStyle name="표준 2 2 2 2 3 2 5 3" xfId="3834"/>
    <cellStyle name="표준 2 2 2 2 3 2 5 3 2" xfId="3835"/>
    <cellStyle name="표준 2 2 2 2 3 2 5 3 3" xfId="3836"/>
    <cellStyle name="표준 2 2 2 2 3 2 5 3 3 2" xfId="3837"/>
    <cellStyle name="표준 2 2 2 2 3 2 5 4" xfId="3838"/>
    <cellStyle name="표준 2 2 2 2 3 2 5 5" xfId="3839"/>
    <cellStyle name="표준 2 2 2 2 3 2 5 5 2" xfId="3840"/>
    <cellStyle name="표준 2 2 2 2 3 2 6" xfId="3841"/>
    <cellStyle name="표준 2 2 2 2 3 2 6 2" xfId="3842"/>
    <cellStyle name="표준 2 2 2 2 3 2 6 3" xfId="3843"/>
    <cellStyle name="표준 2 2 2 2 3 2 6 3 2" xfId="3844"/>
    <cellStyle name="표준 2 2 2 2 3 2 7" xfId="3845"/>
    <cellStyle name="표준 2 2 2 2 3 2 7 2" xfId="3846"/>
    <cellStyle name="표준 2 2 2 2 3 2 7 3" xfId="3847"/>
    <cellStyle name="표준 2 2 2 2 3 2 7 3 2" xfId="3848"/>
    <cellStyle name="표준 2 2 2 2 3 2 8" xfId="3849"/>
    <cellStyle name="표준 2 2 2 2 3 2 9" xfId="3850"/>
    <cellStyle name="표준 2 2 2 2 3 2 9 2" xfId="3851"/>
    <cellStyle name="표준 2 2 2 2 3 3" xfId="3852"/>
    <cellStyle name="표준 2 2 2 2 3 3 2" xfId="3853"/>
    <cellStyle name="표준 2 2 2 2 3 3 2 2" xfId="3854"/>
    <cellStyle name="표준 2 2 2 2 3 3 2 2 2" xfId="3855"/>
    <cellStyle name="표준 2 2 2 2 3 3 2 2 2 2" xfId="3856"/>
    <cellStyle name="표준 2 2 2 2 3 3 2 2 2 3" xfId="3857"/>
    <cellStyle name="표준 2 2 2 2 3 3 2 2 2 3 2" xfId="3858"/>
    <cellStyle name="표준 2 2 2 2 3 3 2 2 3" xfId="3859"/>
    <cellStyle name="표준 2 2 2 2 3 3 2 2 3 2" xfId="3860"/>
    <cellStyle name="표준 2 2 2 2 3 3 2 2 3 3" xfId="3861"/>
    <cellStyle name="표준 2 2 2 2 3 3 2 2 3 3 2" xfId="3862"/>
    <cellStyle name="표준 2 2 2 2 3 3 2 2 4" xfId="3863"/>
    <cellStyle name="표준 2 2 2 2 3 3 2 2 5" xfId="3864"/>
    <cellStyle name="표준 2 2 2 2 3 3 2 2 5 2" xfId="3865"/>
    <cellStyle name="표준 2 2 2 2 3 3 2 3" xfId="3866"/>
    <cellStyle name="표준 2 2 2 2 3 3 2 3 2" xfId="3867"/>
    <cellStyle name="표준 2 2 2 2 3 3 2 3 2 2" xfId="3868"/>
    <cellStyle name="표준 2 2 2 2 3 3 2 3 2 3" xfId="3869"/>
    <cellStyle name="표준 2 2 2 2 3 3 2 3 2 3 2" xfId="3870"/>
    <cellStyle name="표준 2 2 2 2 3 3 2 3 3" xfId="3871"/>
    <cellStyle name="표준 2 2 2 2 3 3 2 3 3 2" xfId="3872"/>
    <cellStyle name="표준 2 2 2 2 3 3 2 3 3 3" xfId="3873"/>
    <cellStyle name="표준 2 2 2 2 3 3 2 3 3 3 2" xfId="3874"/>
    <cellStyle name="표준 2 2 2 2 3 3 2 3 4" xfId="3875"/>
    <cellStyle name="표준 2 2 2 2 3 3 2 3 5" xfId="3876"/>
    <cellStyle name="표준 2 2 2 2 3 3 2 3 5 2" xfId="3877"/>
    <cellStyle name="표준 2 2 2 2 3 3 2 4" xfId="3878"/>
    <cellStyle name="표준 2 2 2 2 3 3 2 4 2" xfId="3879"/>
    <cellStyle name="표준 2 2 2 2 3 3 2 4 3" xfId="3880"/>
    <cellStyle name="표준 2 2 2 2 3 3 2 4 3 2" xfId="3881"/>
    <cellStyle name="표준 2 2 2 2 3 3 2 5" xfId="3882"/>
    <cellStyle name="표준 2 2 2 2 3 3 2 5 2" xfId="3883"/>
    <cellStyle name="표준 2 2 2 2 3 3 2 5 3" xfId="3884"/>
    <cellStyle name="표준 2 2 2 2 3 3 2 5 3 2" xfId="3885"/>
    <cellStyle name="표준 2 2 2 2 3 3 2 6" xfId="3886"/>
    <cellStyle name="표준 2 2 2 2 3 3 2 7" xfId="3887"/>
    <cellStyle name="표준 2 2 2 2 3 3 2 7 2" xfId="3888"/>
    <cellStyle name="표준 2 2 2 2 3 3 3" xfId="3889"/>
    <cellStyle name="표준 2 2 2 2 3 3 3 2" xfId="3890"/>
    <cellStyle name="표준 2 2 2 2 3 3 3 2 2" xfId="3891"/>
    <cellStyle name="표준 2 2 2 2 3 3 3 2 3" xfId="3892"/>
    <cellStyle name="표준 2 2 2 2 3 3 3 2 3 2" xfId="3893"/>
    <cellStyle name="표준 2 2 2 2 3 3 3 3" xfId="3894"/>
    <cellStyle name="표준 2 2 2 2 3 3 3 3 2" xfId="3895"/>
    <cellStyle name="표준 2 2 2 2 3 3 3 3 3" xfId="3896"/>
    <cellStyle name="표준 2 2 2 2 3 3 3 3 3 2" xfId="3897"/>
    <cellStyle name="표준 2 2 2 2 3 3 3 4" xfId="3898"/>
    <cellStyle name="표준 2 2 2 2 3 3 3 5" xfId="3899"/>
    <cellStyle name="표준 2 2 2 2 3 3 3 5 2" xfId="3900"/>
    <cellStyle name="표준 2 2 2 2 3 3 4" xfId="3901"/>
    <cellStyle name="표준 2 2 2 2 3 3 4 2" xfId="3902"/>
    <cellStyle name="표준 2 2 2 2 3 3 4 2 2" xfId="3903"/>
    <cellStyle name="표준 2 2 2 2 3 3 4 2 3" xfId="3904"/>
    <cellStyle name="표준 2 2 2 2 3 3 4 2 3 2" xfId="3905"/>
    <cellStyle name="표준 2 2 2 2 3 3 4 3" xfId="3906"/>
    <cellStyle name="표준 2 2 2 2 3 3 4 3 2" xfId="3907"/>
    <cellStyle name="표준 2 2 2 2 3 3 4 3 3" xfId="3908"/>
    <cellStyle name="표준 2 2 2 2 3 3 4 3 3 2" xfId="3909"/>
    <cellStyle name="표준 2 2 2 2 3 3 4 4" xfId="3910"/>
    <cellStyle name="표준 2 2 2 2 3 3 4 5" xfId="3911"/>
    <cellStyle name="표준 2 2 2 2 3 3 4 5 2" xfId="3912"/>
    <cellStyle name="표준 2 2 2 2 3 3 5" xfId="3913"/>
    <cellStyle name="표준 2 2 2 2 3 3 5 2" xfId="3914"/>
    <cellStyle name="표준 2 2 2 2 3 3 5 3" xfId="3915"/>
    <cellStyle name="표준 2 2 2 2 3 3 5 3 2" xfId="3916"/>
    <cellStyle name="표준 2 2 2 2 3 3 6" xfId="3917"/>
    <cellStyle name="표준 2 2 2 2 3 3 6 2" xfId="3918"/>
    <cellStyle name="표준 2 2 2 2 3 3 6 3" xfId="3919"/>
    <cellStyle name="표준 2 2 2 2 3 3 6 3 2" xfId="3920"/>
    <cellStyle name="표준 2 2 2 2 3 3 7" xfId="3921"/>
    <cellStyle name="표준 2 2 2 2 3 3 8" xfId="3922"/>
    <cellStyle name="표준 2 2 2 2 3 3 8 2" xfId="3923"/>
    <cellStyle name="표준 2 2 2 2 3 4" xfId="3924"/>
    <cellStyle name="표준 2 2 2 2 3 4 2" xfId="3925"/>
    <cellStyle name="표준 2 2 2 2 3 4 2 2" xfId="3926"/>
    <cellStyle name="표준 2 2 2 2 3 4 2 3" xfId="3927"/>
    <cellStyle name="표준 2 2 2 2 3 4 2 3 2" xfId="3928"/>
    <cellStyle name="표준 2 2 2 2 3 4 3" xfId="3929"/>
    <cellStyle name="표준 2 2 2 2 3 4 3 2" xfId="3930"/>
    <cellStyle name="표준 2 2 2 2 3 4 3 3" xfId="3931"/>
    <cellStyle name="표준 2 2 2 2 3 4 3 3 2" xfId="3932"/>
    <cellStyle name="표준 2 2 2 2 3 4 4" xfId="3933"/>
    <cellStyle name="표준 2 2 2 2 3 4 5" xfId="3934"/>
    <cellStyle name="표준 2 2 2 2 3 4 5 2" xfId="3935"/>
    <cellStyle name="표준 2 2 2 2 3 5" xfId="3936"/>
    <cellStyle name="표준 2 2 2 2 3 5 2" xfId="3937"/>
    <cellStyle name="표준 2 2 2 2 3 5 2 2" xfId="3938"/>
    <cellStyle name="표준 2 2 2 2 3 5 2 3" xfId="3939"/>
    <cellStyle name="표준 2 2 2 2 3 5 2 3 2" xfId="3940"/>
    <cellStyle name="표준 2 2 2 2 3 5 3" xfId="3941"/>
    <cellStyle name="표준 2 2 2 2 3 5 3 2" xfId="3942"/>
    <cellStyle name="표준 2 2 2 2 3 5 3 3" xfId="3943"/>
    <cellStyle name="표준 2 2 2 2 3 5 3 3 2" xfId="3944"/>
    <cellStyle name="표준 2 2 2 2 3 5 4" xfId="3945"/>
    <cellStyle name="표준 2 2 2 2 3 5 5" xfId="3946"/>
    <cellStyle name="표준 2 2 2 2 3 5 5 2" xfId="3947"/>
    <cellStyle name="표준 2 2 2 2 3 6" xfId="3948"/>
    <cellStyle name="표준 2 2 2 2 3 6 2" xfId="3949"/>
    <cellStyle name="표준 2 2 2 2 3 6 3" xfId="3950"/>
    <cellStyle name="표준 2 2 2 2 3 6 3 2" xfId="3951"/>
    <cellStyle name="표준 2 2 2 2 3 7" xfId="3952"/>
    <cellStyle name="표준 2 2 2 2 3 7 2" xfId="3953"/>
    <cellStyle name="표준 2 2 2 2 3 7 3" xfId="3954"/>
    <cellStyle name="표준 2 2 2 2 3 7 3 2" xfId="3955"/>
    <cellStyle name="표준 2 2 2 2 3 8" xfId="3956"/>
    <cellStyle name="표준 2 2 2 2 3 9" xfId="3957"/>
    <cellStyle name="표준 2 2 2 2 3 9 2" xfId="3958"/>
    <cellStyle name="표준 2 2 2 2 4" xfId="3959"/>
    <cellStyle name="표준 2 2 2 2 4 2" xfId="3960"/>
    <cellStyle name="표준 2 2 2 2 4 2 2" xfId="3961"/>
    <cellStyle name="표준 2 2 2 2 4 2 2 2" xfId="3962"/>
    <cellStyle name="표준 2 2 2 2 4 2 2 2 2" xfId="3963"/>
    <cellStyle name="표준 2 2 2 2 4 2 2 2 2 2" xfId="3964"/>
    <cellStyle name="표준 2 2 2 2 4 2 2 2 2 2 2" xfId="3965"/>
    <cellStyle name="표준 2 2 2 2 4 2 2 2 2 2 3" xfId="3966"/>
    <cellStyle name="표준 2 2 2 2 4 2 2 2 2 2 3 2" xfId="3967"/>
    <cellStyle name="표준 2 2 2 2 4 2 2 2 2 3" xfId="3968"/>
    <cellStyle name="표준 2 2 2 2 4 2 2 2 2 3 2" xfId="3969"/>
    <cellStyle name="표준 2 2 2 2 4 2 2 2 2 3 3" xfId="3970"/>
    <cellStyle name="표준 2 2 2 2 4 2 2 2 2 3 3 2" xfId="3971"/>
    <cellStyle name="표준 2 2 2 2 4 2 2 2 2 4" xfId="3972"/>
    <cellStyle name="표준 2 2 2 2 4 2 2 2 2 5" xfId="3973"/>
    <cellStyle name="표준 2 2 2 2 4 2 2 2 2 5 2" xfId="3974"/>
    <cellStyle name="표준 2 2 2 2 4 2 2 2 3" xfId="3975"/>
    <cellStyle name="표준 2 2 2 2 4 2 2 2 3 2" xfId="3976"/>
    <cellStyle name="표준 2 2 2 2 4 2 2 2 3 2 2" xfId="3977"/>
    <cellStyle name="표준 2 2 2 2 4 2 2 2 3 2 3" xfId="3978"/>
    <cellStyle name="표준 2 2 2 2 4 2 2 2 3 2 3 2" xfId="3979"/>
    <cellStyle name="표준 2 2 2 2 4 2 2 2 3 3" xfId="3980"/>
    <cellStyle name="표준 2 2 2 2 4 2 2 2 3 3 2" xfId="3981"/>
    <cellStyle name="표준 2 2 2 2 4 2 2 2 3 3 3" xfId="3982"/>
    <cellStyle name="표준 2 2 2 2 4 2 2 2 3 3 3 2" xfId="3983"/>
    <cellStyle name="표준 2 2 2 2 4 2 2 2 3 4" xfId="3984"/>
    <cellStyle name="표준 2 2 2 2 4 2 2 2 3 5" xfId="3985"/>
    <cellStyle name="표준 2 2 2 2 4 2 2 2 3 5 2" xfId="3986"/>
    <cellStyle name="표준 2 2 2 2 4 2 2 2 4" xfId="3987"/>
    <cellStyle name="표준 2 2 2 2 4 2 2 2 4 2" xfId="3988"/>
    <cellStyle name="표준 2 2 2 2 4 2 2 2 4 3" xfId="3989"/>
    <cellStyle name="표준 2 2 2 2 4 2 2 2 4 3 2" xfId="3990"/>
    <cellStyle name="표준 2 2 2 2 4 2 2 2 5" xfId="3991"/>
    <cellStyle name="표준 2 2 2 2 4 2 2 2 5 2" xfId="3992"/>
    <cellStyle name="표준 2 2 2 2 4 2 2 2 5 3" xfId="3993"/>
    <cellStyle name="표준 2 2 2 2 4 2 2 2 5 3 2" xfId="3994"/>
    <cellStyle name="표준 2 2 2 2 4 2 2 2 6" xfId="3995"/>
    <cellStyle name="표준 2 2 2 2 4 2 2 2 7" xfId="3996"/>
    <cellStyle name="표준 2 2 2 2 4 2 2 2 7 2" xfId="3997"/>
    <cellStyle name="표준 2 2 2 2 4 2 2 3" xfId="3998"/>
    <cellStyle name="표준 2 2 2 2 4 2 2 3 2" xfId="3999"/>
    <cellStyle name="표준 2 2 2 2 4 2 2 3 2 2" xfId="4000"/>
    <cellStyle name="표준 2 2 2 2 4 2 2 3 2 3" xfId="4001"/>
    <cellStyle name="표준 2 2 2 2 4 2 2 3 2 3 2" xfId="4002"/>
    <cellStyle name="표준 2 2 2 2 4 2 2 3 3" xfId="4003"/>
    <cellStyle name="표준 2 2 2 2 4 2 2 3 3 2" xfId="4004"/>
    <cellStyle name="표준 2 2 2 2 4 2 2 3 3 3" xfId="4005"/>
    <cellStyle name="표준 2 2 2 2 4 2 2 3 3 3 2" xfId="4006"/>
    <cellStyle name="표준 2 2 2 2 4 2 2 3 4" xfId="4007"/>
    <cellStyle name="표준 2 2 2 2 4 2 2 3 5" xfId="4008"/>
    <cellStyle name="표준 2 2 2 2 4 2 2 3 5 2" xfId="4009"/>
    <cellStyle name="표준 2 2 2 2 4 2 2 4" xfId="4010"/>
    <cellStyle name="표준 2 2 2 2 4 2 2 4 2" xfId="4011"/>
    <cellStyle name="표준 2 2 2 2 4 2 2 4 2 2" xfId="4012"/>
    <cellStyle name="표준 2 2 2 2 4 2 2 4 2 3" xfId="4013"/>
    <cellStyle name="표준 2 2 2 2 4 2 2 4 2 3 2" xfId="4014"/>
    <cellStyle name="표준 2 2 2 2 4 2 2 4 3" xfId="4015"/>
    <cellStyle name="표준 2 2 2 2 4 2 2 4 3 2" xfId="4016"/>
    <cellStyle name="표준 2 2 2 2 4 2 2 4 3 3" xfId="4017"/>
    <cellStyle name="표준 2 2 2 2 4 2 2 4 3 3 2" xfId="4018"/>
    <cellStyle name="표준 2 2 2 2 4 2 2 4 4" xfId="4019"/>
    <cellStyle name="표준 2 2 2 2 4 2 2 4 5" xfId="4020"/>
    <cellStyle name="표준 2 2 2 2 4 2 2 4 5 2" xfId="4021"/>
    <cellStyle name="표준 2 2 2 2 4 2 2 5" xfId="4022"/>
    <cellStyle name="표준 2 2 2 2 4 2 2 5 2" xfId="4023"/>
    <cellStyle name="표준 2 2 2 2 4 2 2 5 3" xfId="4024"/>
    <cellStyle name="표준 2 2 2 2 4 2 2 5 3 2" xfId="4025"/>
    <cellStyle name="표준 2 2 2 2 4 2 2 6" xfId="4026"/>
    <cellStyle name="표준 2 2 2 2 4 2 2 6 2" xfId="4027"/>
    <cellStyle name="표준 2 2 2 2 4 2 2 6 3" xfId="4028"/>
    <cellStyle name="표준 2 2 2 2 4 2 2 6 3 2" xfId="4029"/>
    <cellStyle name="표준 2 2 2 2 4 2 2 7" xfId="4030"/>
    <cellStyle name="표준 2 2 2 2 4 2 2 8" xfId="4031"/>
    <cellStyle name="표준 2 2 2 2 4 2 2 8 2" xfId="4032"/>
    <cellStyle name="표준 2 2 2 2 4 2 3" xfId="4033"/>
    <cellStyle name="표준 2 2 2 2 4 2 3 2" xfId="4034"/>
    <cellStyle name="표준 2 2 2 2 4 2 3 2 2" xfId="4035"/>
    <cellStyle name="표준 2 2 2 2 4 2 3 2 2 2" xfId="4036"/>
    <cellStyle name="표준 2 2 2 2 4 2 3 2 2 3" xfId="4037"/>
    <cellStyle name="표준 2 2 2 2 4 2 3 2 2 3 2" xfId="4038"/>
    <cellStyle name="표준 2 2 2 2 4 2 3 2 3" xfId="4039"/>
    <cellStyle name="표준 2 2 2 2 4 2 3 2 3 2" xfId="4040"/>
    <cellStyle name="표준 2 2 2 2 4 2 3 2 3 3" xfId="4041"/>
    <cellStyle name="표준 2 2 2 2 4 2 3 2 3 3 2" xfId="4042"/>
    <cellStyle name="표준 2 2 2 2 4 2 3 2 4" xfId="4043"/>
    <cellStyle name="표준 2 2 2 2 4 2 3 2 5" xfId="4044"/>
    <cellStyle name="표준 2 2 2 2 4 2 3 2 5 2" xfId="4045"/>
    <cellStyle name="표준 2 2 2 2 4 2 3 3" xfId="4046"/>
    <cellStyle name="표준 2 2 2 2 4 2 3 3 2" xfId="4047"/>
    <cellStyle name="표준 2 2 2 2 4 2 3 3 2 2" xfId="4048"/>
    <cellStyle name="표준 2 2 2 2 4 2 3 3 2 3" xfId="4049"/>
    <cellStyle name="표준 2 2 2 2 4 2 3 3 2 3 2" xfId="4050"/>
    <cellStyle name="표준 2 2 2 2 4 2 3 3 3" xfId="4051"/>
    <cellStyle name="표준 2 2 2 2 4 2 3 3 3 2" xfId="4052"/>
    <cellStyle name="표준 2 2 2 2 4 2 3 3 3 3" xfId="4053"/>
    <cellStyle name="표준 2 2 2 2 4 2 3 3 3 3 2" xfId="4054"/>
    <cellStyle name="표준 2 2 2 2 4 2 3 3 4" xfId="4055"/>
    <cellStyle name="표준 2 2 2 2 4 2 3 3 5" xfId="4056"/>
    <cellStyle name="표준 2 2 2 2 4 2 3 3 5 2" xfId="4057"/>
    <cellStyle name="표준 2 2 2 2 4 2 3 4" xfId="4058"/>
    <cellStyle name="표준 2 2 2 2 4 2 3 4 2" xfId="4059"/>
    <cellStyle name="표준 2 2 2 2 4 2 3 4 3" xfId="4060"/>
    <cellStyle name="표준 2 2 2 2 4 2 3 4 3 2" xfId="4061"/>
    <cellStyle name="표준 2 2 2 2 4 2 3 5" xfId="4062"/>
    <cellStyle name="표준 2 2 2 2 4 2 3 5 2" xfId="4063"/>
    <cellStyle name="표준 2 2 2 2 4 2 3 5 3" xfId="4064"/>
    <cellStyle name="표준 2 2 2 2 4 2 3 5 3 2" xfId="4065"/>
    <cellStyle name="표준 2 2 2 2 4 2 3 6" xfId="4066"/>
    <cellStyle name="표준 2 2 2 2 4 2 3 7" xfId="4067"/>
    <cellStyle name="표준 2 2 2 2 4 2 3 7 2" xfId="4068"/>
    <cellStyle name="표준 2 2 2 2 4 2 4" xfId="4069"/>
    <cellStyle name="표준 2 2 2 2 4 2 4 2" xfId="4070"/>
    <cellStyle name="표준 2 2 2 2 4 2 4 2 2" xfId="4071"/>
    <cellStyle name="표준 2 2 2 2 4 2 4 2 3" xfId="4072"/>
    <cellStyle name="표준 2 2 2 2 4 2 4 2 3 2" xfId="4073"/>
    <cellStyle name="표준 2 2 2 2 4 2 4 3" xfId="4074"/>
    <cellStyle name="표준 2 2 2 2 4 2 4 3 2" xfId="4075"/>
    <cellStyle name="표준 2 2 2 2 4 2 4 3 3" xfId="4076"/>
    <cellStyle name="표준 2 2 2 2 4 2 4 3 3 2" xfId="4077"/>
    <cellStyle name="표준 2 2 2 2 4 2 4 4" xfId="4078"/>
    <cellStyle name="표준 2 2 2 2 4 2 4 5" xfId="4079"/>
    <cellStyle name="표준 2 2 2 2 4 2 4 5 2" xfId="4080"/>
    <cellStyle name="표준 2 2 2 2 4 2 5" xfId="4081"/>
    <cellStyle name="표준 2 2 2 2 4 2 5 2" xfId="4082"/>
    <cellStyle name="표준 2 2 2 2 4 2 5 2 2" xfId="4083"/>
    <cellStyle name="표준 2 2 2 2 4 2 5 2 3" xfId="4084"/>
    <cellStyle name="표준 2 2 2 2 4 2 5 2 3 2" xfId="4085"/>
    <cellStyle name="표준 2 2 2 2 4 2 5 3" xfId="4086"/>
    <cellStyle name="표준 2 2 2 2 4 2 5 3 2" xfId="4087"/>
    <cellStyle name="표준 2 2 2 2 4 2 5 3 3" xfId="4088"/>
    <cellStyle name="표준 2 2 2 2 4 2 5 3 3 2" xfId="4089"/>
    <cellStyle name="표준 2 2 2 2 4 2 5 4" xfId="4090"/>
    <cellStyle name="표준 2 2 2 2 4 2 5 5" xfId="4091"/>
    <cellStyle name="표준 2 2 2 2 4 2 5 5 2" xfId="4092"/>
    <cellStyle name="표준 2 2 2 2 4 2 6" xfId="4093"/>
    <cellStyle name="표준 2 2 2 2 4 2 6 2" xfId="4094"/>
    <cellStyle name="표준 2 2 2 2 4 2 6 3" xfId="4095"/>
    <cellStyle name="표준 2 2 2 2 4 2 6 3 2" xfId="4096"/>
    <cellStyle name="표준 2 2 2 2 4 2 7" xfId="4097"/>
    <cellStyle name="표준 2 2 2 2 4 2 7 2" xfId="4098"/>
    <cellStyle name="표준 2 2 2 2 4 2 7 3" xfId="4099"/>
    <cellStyle name="표준 2 2 2 2 4 2 7 3 2" xfId="4100"/>
    <cellStyle name="표준 2 2 2 2 4 2 8" xfId="4101"/>
    <cellStyle name="표준 2 2 2 2 4 2 9" xfId="4102"/>
    <cellStyle name="표준 2 2 2 2 4 2 9 2" xfId="4103"/>
    <cellStyle name="표준 2 2 2 2 4 3" xfId="4104"/>
    <cellStyle name="표준 2 2 2 2 4 3 2" xfId="4105"/>
    <cellStyle name="표준 2 2 2 2 4 3 2 2" xfId="4106"/>
    <cellStyle name="표준 2 2 2 2 4 3 2 2 2" xfId="4107"/>
    <cellStyle name="표준 2 2 2 2 4 3 2 2 2 2" xfId="4108"/>
    <cellStyle name="표준 2 2 2 2 4 3 2 2 2 3" xfId="4109"/>
    <cellStyle name="표준 2 2 2 2 4 3 2 2 2 3 2" xfId="4110"/>
    <cellStyle name="표준 2 2 2 2 4 3 2 2 3" xfId="4111"/>
    <cellStyle name="표준 2 2 2 2 4 3 2 2 3 2" xfId="4112"/>
    <cellStyle name="표준 2 2 2 2 4 3 2 2 3 3" xfId="4113"/>
    <cellStyle name="표준 2 2 2 2 4 3 2 2 3 3 2" xfId="4114"/>
    <cellStyle name="표준 2 2 2 2 4 3 2 2 4" xfId="4115"/>
    <cellStyle name="표준 2 2 2 2 4 3 2 2 5" xfId="4116"/>
    <cellStyle name="표준 2 2 2 2 4 3 2 2 5 2" xfId="4117"/>
    <cellStyle name="표준 2 2 2 2 4 3 2 3" xfId="4118"/>
    <cellStyle name="표준 2 2 2 2 4 3 2 3 2" xfId="4119"/>
    <cellStyle name="표준 2 2 2 2 4 3 2 3 2 2" xfId="4120"/>
    <cellStyle name="표준 2 2 2 2 4 3 2 3 2 3" xfId="4121"/>
    <cellStyle name="표준 2 2 2 2 4 3 2 3 2 3 2" xfId="4122"/>
    <cellStyle name="표준 2 2 2 2 4 3 2 3 3" xfId="4123"/>
    <cellStyle name="표준 2 2 2 2 4 3 2 3 3 2" xfId="4124"/>
    <cellStyle name="표준 2 2 2 2 4 3 2 3 3 3" xfId="4125"/>
    <cellStyle name="표준 2 2 2 2 4 3 2 3 3 3 2" xfId="4126"/>
    <cellStyle name="표준 2 2 2 2 4 3 2 3 4" xfId="4127"/>
    <cellStyle name="표준 2 2 2 2 4 3 2 3 5" xfId="4128"/>
    <cellStyle name="표준 2 2 2 2 4 3 2 3 5 2" xfId="4129"/>
    <cellStyle name="표준 2 2 2 2 4 3 2 4" xfId="4130"/>
    <cellStyle name="표준 2 2 2 2 4 3 2 4 2" xfId="4131"/>
    <cellStyle name="표준 2 2 2 2 4 3 2 4 3" xfId="4132"/>
    <cellStyle name="표준 2 2 2 2 4 3 2 4 3 2" xfId="4133"/>
    <cellStyle name="표준 2 2 2 2 4 3 2 5" xfId="4134"/>
    <cellStyle name="표준 2 2 2 2 4 3 2 5 2" xfId="4135"/>
    <cellStyle name="표준 2 2 2 2 4 3 2 5 3" xfId="4136"/>
    <cellStyle name="표준 2 2 2 2 4 3 2 5 3 2" xfId="4137"/>
    <cellStyle name="표준 2 2 2 2 4 3 2 6" xfId="4138"/>
    <cellStyle name="표준 2 2 2 2 4 3 2 7" xfId="4139"/>
    <cellStyle name="표준 2 2 2 2 4 3 2 7 2" xfId="4140"/>
    <cellStyle name="표준 2 2 2 2 4 3 3" xfId="4141"/>
    <cellStyle name="표준 2 2 2 2 4 3 3 2" xfId="4142"/>
    <cellStyle name="표준 2 2 2 2 4 3 3 2 2" xfId="4143"/>
    <cellStyle name="표준 2 2 2 2 4 3 3 2 3" xfId="4144"/>
    <cellStyle name="표준 2 2 2 2 4 3 3 2 3 2" xfId="4145"/>
    <cellStyle name="표준 2 2 2 2 4 3 3 3" xfId="4146"/>
    <cellStyle name="표준 2 2 2 2 4 3 3 3 2" xfId="4147"/>
    <cellStyle name="표준 2 2 2 2 4 3 3 3 3" xfId="4148"/>
    <cellStyle name="표준 2 2 2 2 4 3 3 3 3 2" xfId="4149"/>
    <cellStyle name="표준 2 2 2 2 4 3 3 4" xfId="4150"/>
    <cellStyle name="표준 2 2 2 2 4 3 3 5" xfId="4151"/>
    <cellStyle name="표준 2 2 2 2 4 3 3 5 2" xfId="4152"/>
    <cellStyle name="표준 2 2 2 2 4 3 4" xfId="4153"/>
    <cellStyle name="표준 2 2 2 2 4 3 4 2" xfId="4154"/>
    <cellStyle name="표준 2 2 2 2 4 3 4 2 2" xfId="4155"/>
    <cellStyle name="표준 2 2 2 2 4 3 4 2 3" xfId="4156"/>
    <cellStyle name="표준 2 2 2 2 4 3 4 2 3 2" xfId="4157"/>
    <cellStyle name="표준 2 2 2 2 4 3 4 3" xfId="4158"/>
    <cellStyle name="표준 2 2 2 2 4 3 4 3 2" xfId="4159"/>
    <cellStyle name="표준 2 2 2 2 4 3 4 3 3" xfId="4160"/>
    <cellStyle name="표준 2 2 2 2 4 3 4 3 3 2" xfId="4161"/>
    <cellStyle name="표준 2 2 2 2 4 3 4 4" xfId="4162"/>
    <cellStyle name="표준 2 2 2 2 4 3 4 5" xfId="4163"/>
    <cellStyle name="표준 2 2 2 2 4 3 4 5 2" xfId="4164"/>
    <cellStyle name="표준 2 2 2 2 4 3 5" xfId="4165"/>
    <cellStyle name="표준 2 2 2 2 4 3 5 2" xfId="4166"/>
    <cellStyle name="표준 2 2 2 2 4 3 5 3" xfId="4167"/>
    <cellStyle name="표준 2 2 2 2 4 3 5 3 2" xfId="4168"/>
    <cellStyle name="표준 2 2 2 2 4 3 6" xfId="4169"/>
    <cellStyle name="표준 2 2 2 2 4 3 6 2" xfId="4170"/>
    <cellStyle name="표준 2 2 2 2 4 3 6 3" xfId="4171"/>
    <cellStyle name="표준 2 2 2 2 4 3 6 3 2" xfId="4172"/>
    <cellStyle name="표준 2 2 2 2 4 3 7" xfId="4173"/>
    <cellStyle name="표준 2 2 2 2 4 3 8" xfId="4174"/>
    <cellStyle name="표준 2 2 2 2 4 3 8 2" xfId="4175"/>
    <cellStyle name="표준 2 2 2 2 4 4" xfId="4176"/>
    <cellStyle name="표준 2 2 2 2 4 4 2" xfId="4177"/>
    <cellStyle name="표준 2 2 2 2 4 4 2 2" xfId="4178"/>
    <cellStyle name="표준 2 2 2 2 4 4 2 3" xfId="4179"/>
    <cellStyle name="표준 2 2 2 2 4 4 2 3 2" xfId="4180"/>
    <cellStyle name="표준 2 2 2 2 4 4 3" xfId="4181"/>
    <cellStyle name="표준 2 2 2 2 4 4 3 2" xfId="4182"/>
    <cellStyle name="표준 2 2 2 2 4 4 3 3" xfId="4183"/>
    <cellStyle name="표준 2 2 2 2 4 4 3 3 2" xfId="4184"/>
    <cellStyle name="표준 2 2 2 2 4 4 4" xfId="4185"/>
    <cellStyle name="표준 2 2 2 2 4 4 5" xfId="4186"/>
    <cellStyle name="표준 2 2 2 2 4 4 5 2" xfId="4187"/>
    <cellStyle name="표준 2 2 2 2 4 5" xfId="4188"/>
    <cellStyle name="표준 2 2 2 2 4 5 2" xfId="4189"/>
    <cellStyle name="표준 2 2 2 2 4 5 2 2" xfId="4190"/>
    <cellStyle name="표준 2 2 2 2 4 5 2 3" xfId="4191"/>
    <cellStyle name="표준 2 2 2 2 4 5 2 3 2" xfId="4192"/>
    <cellStyle name="표준 2 2 2 2 4 5 3" xfId="4193"/>
    <cellStyle name="표준 2 2 2 2 4 5 3 2" xfId="4194"/>
    <cellStyle name="표준 2 2 2 2 4 5 3 3" xfId="4195"/>
    <cellStyle name="표준 2 2 2 2 4 5 3 3 2" xfId="4196"/>
    <cellStyle name="표준 2 2 2 2 4 5 4" xfId="4197"/>
    <cellStyle name="표준 2 2 2 2 4 5 5" xfId="4198"/>
    <cellStyle name="표준 2 2 2 2 4 5 5 2" xfId="4199"/>
    <cellStyle name="표준 2 2 2 2 4 6" xfId="4200"/>
    <cellStyle name="표준 2 2 2 2 4 6 2" xfId="4201"/>
    <cellStyle name="표준 2 2 2 2 4 6 3" xfId="4202"/>
    <cellStyle name="표준 2 2 2 2 4 6 3 2" xfId="4203"/>
    <cellStyle name="표준 2 2 2 2 4 7" xfId="4204"/>
    <cellStyle name="표준 2 2 2 2 4 7 2" xfId="4205"/>
    <cellStyle name="표준 2 2 2 2 4 7 3" xfId="4206"/>
    <cellStyle name="표준 2 2 2 2 4 7 3 2" xfId="4207"/>
    <cellStyle name="표준 2 2 2 2 4 8" xfId="4208"/>
    <cellStyle name="표준 2 2 2 2 4 9" xfId="4209"/>
    <cellStyle name="표준 2 2 2 2 4 9 2" xfId="4210"/>
    <cellStyle name="표준 2 2 2 2 5" xfId="4211"/>
    <cellStyle name="표준 2 2 2 2 5 2" xfId="4212"/>
    <cellStyle name="표준 2 2 2 2 5 2 2" xfId="4213"/>
    <cellStyle name="표준 2 2 2 2 5 2 2 2" xfId="4214"/>
    <cellStyle name="표준 2 2 2 2 5 2 2 2 2" xfId="4215"/>
    <cellStyle name="표준 2 2 2 2 5 2 2 2 2 2" xfId="4216"/>
    <cellStyle name="표준 2 2 2 2 5 2 2 2 2 2 2" xfId="4217"/>
    <cellStyle name="표준 2 2 2 2 5 2 2 2 2 2 3" xfId="4218"/>
    <cellStyle name="표준 2 2 2 2 5 2 2 2 2 2 3 2" xfId="4219"/>
    <cellStyle name="표준 2 2 2 2 5 2 2 2 2 3" xfId="4220"/>
    <cellStyle name="표준 2 2 2 2 5 2 2 2 2 3 2" xfId="4221"/>
    <cellStyle name="표준 2 2 2 2 5 2 2 2 2 3 3" xfId="4222"/>
    <cellStyle name="표준 2 2 2 2 5 2 2 2 2 3 3 2" xfId="4223"/>
    <cellStyle name="표준 2 2 2 2 5 2 2 2 2 4" xfId="4224"/>
    <cellStyle name="표준 2 2 2 2 5 2 2 2 2 5" xfId="4225"/>
    <cellStyle name="표준 2 2 2 2 5 2 2 2 2 5 2" xfId="4226"/>
    <cellStyle name="표준 2 2 2 2 5 2 2 2 3" xfId="4227"/>
    <cellStyle name="표준 2 2 2 2 5 2 2 2 3 2" xfId="4228"/>
    <cellStyle name="표준 2 2 2 2 5 2 2 2 3 2 2" xfId="4229"/>
    <cellStyle name="표준 2 2 2 2 5 2 2 2 3 2 3" xfId="4230"/>
    <cellStyle name="표준 2 2 2 2 5 2 2 2 3 2 3 2" xfId="4231"/>
    <cellStyle name="표준 2 2 2 2 5 2 2 2 3 3" xfId="4232"/>
    <cellStyle name="표준 2 2 2 2 5 2 2 2 3 3 2" xfId="4233"/>
    <cellStyle name="표준 2 2 2 2 5 2 2 2 3 3 3" xfId="4234"/>
    <cellStyle name="표준 2 2 2 2 5 2 2 2 3 3 3 2" xfId="4235"/>
    <cellStyle name="표준 2 2 2 2 5 2 2 2 3 4" xfId="4236"/>
    <cellStyle name="표준 2 2 2 2 5 2 2 2 3 5" xfId="4237"/>
    <cellStyle name="표준 2 2 2 2 5 2 2 2 3 5 2" xfId="4238"/>
    <cellStyle name="표준 2 2 2 2 5 2 2 2 4" xfId="4239"/>
    <cellStyle name="표준 2 2 2 2 5 2 2 2 4 2" xfId="4240"/>
    <cellStyle name="표준 2 2 2 2 5 2 2 2 4 3" xfId="4241"/>
    <cellStyle name="표준 2 2 2 2 5 2 2 2 4 3 2" xfId="4242"/>
    <cellStyle name="표준 2 2 2 2 5 2 2 2 5" xfId="4243"/>
    <cellStyle name="표준 2 2 2 2 5 2 2 2 5 2" xfId="4244"/>
    <cellStyle name="표준 2 2 2 2 5 2 2 2 5 3" xfId="4245"/>
    <cellStyle name="표준 2 2 2 2 5 2 2 2 5 3 2" xfId="4246"/>
    <cellStyle name="표준 2 2 2 2 5 2 2 2 6" xfId="4247"/>
    <cellStyle name="표준 2 2 2 2 5 2 2 2 7" xfId="4248"/>
    <cellStyle name="표준 2 2 2 2 5 2 2 2 7 2" xfId="4249"/>
    <cellStyle name="표준 2 2 2 2 5 2 2 3" xfId="4250"/>
    <cellStyle name="표준 2 2 2 2 5 2 2 3 2" xfId="4251"/>
    <cellStyle name="표준 2 2 2 2 5 2 2 3 2 2" xfId="4252"/>
    <cellStyle name="표준 2 2 2 2 5 2 2 3 2 3" xfId="4253"/>
    <cellStyle name="표준 2 2 2 2 5 2 2 3 2 3 2" xfId="4254"/>
    <cellStyle name="표준 2 2 2 2 5 2 2 3 3" xfId="4255"/>
    <cellStyle name="표준 2 2 2 2 5 2 2 3 3 2" xfId="4256"/>
    <cellStyle name="표준 2 2 2 2 5 2 2 3 3 3" xfId="4257"/>
    <cellStyle name="표준 2 2 2 2 5 2 2 3 3 3 2" xfId="4258"/>
    <cellStyle name="표준 2 2 2 2 5 2 2 3 4" xfId="4259"/>
    <cellStyle name="표준 2 2 2 2 5 2 2 3 5" xfId="4260"/>
    <cellStyle name="표준 2 2 2 2 5 2 2 3 5 2" xfId="4261"/>
    <cellStyle name="표준 2 2 2 2 5 2 2 4" xfId="4262"/>
    <cellStyle name="표준 2 2 2 2 5 2 2 4 2" xfId="4263"/>
    <cellStyle name="표준 2 2 2 2 5 2 2 4 2 2" xfId="4264"/>
    <cellStyle name="표준 2 2 2 2 5 2 2 4 2 3" xfId="4265"/>
    <cellStyle name="표준 2 2 2 2 5 2 2 4 2 3 2" xfId="4266"/>
    <cellStyle name="표준 2 2 2 2 5 2 2 4 3" xfId="4267"/>
    <cellStyle name="표준 2 2 2 2 5 2 2 4 3 2" xfId="4268"/>
    <cellStyle name="표준 2 2 2 2 5 2 2 4 3 3" xfId="4269"/>
    <cellStyle name="표준 2 2 2 2 5 2 2 4 3 3 2" xfId="4270"/>
    <cellStyle name="표준 2 2 2 2 5 2 2 4 4" xfId="4271"/>
    <cellStyle name="표준 2 2 2 2 5 2 2 4 5" xfId="4272"/>
    <cellStyle name="표준 2 2 2 2 5 2 2 4 5 2" xfId="4273"/>
    <cellStyle name="표준 2 2 2 2 5 2 2 5" xfId="4274"/>
    <cellStyle name="표준 2 2 2 2 5 2 2 5 2" xfId="4275"/>
    <cellStyle name="표준 2 2 2 2 5 2 2 5 3" xfId="4276"/>
    <cellStyle name="표준 2 2 2 2 5 2 2 5 3 2" xfId="4277"/>
    <cellStyle name="표준 2 2 2 2 5 2 2 6" xfId="4278"/>
    <cellStyle name="표준 2 2 2 2 5 2 2 6 2" xfId="4279"/>
    <cellStyle name="표준 2 2 2 2 5 2 2 6 3" xfId="4280"/>
    <cellStyle name="표준 2 2 2 2 5 2 2 6 3 2" xfId="4281"/>
    <cellStyle name="표준 2 2 2 2 5 2 2 7" xfId="4282"/>
    <cellStyle name="표준 2 2 2 2 5 2 2 8" xfId="4283"/>
    <cellStyle name="표준 2 2 2 2 5 2 2 8 2" xfId="4284"/>
    <cellStyle name="표준 2 2 2 2 5 2 3" xfId="4285"/>
    <cellStyle name="표준 2 2 2 2 5 2 3 2" xfId="4286"/>
    <cellStyle name="표준 2 2 2 2 5 2 3 2 2" xfId="4287"/>
    <cellStyle name="표준 2 2 2 2 5 2 3 2 2 2" xfId="4288"/>
    <cellStyle name="표준 2 2 2 2 5 2 3 2 2 3" xfId="4289"/>
    <cellStyle name="표준 2 2 2 2 5 2 3 2 2 3 2" xfId="4290"/>
    <cellStyle name="표준 2 2 2 2 5 2 3 2 3" xfId="4291"/>
    <cellStyle name="표준 2 2 2 2 5 2 3 2 3 2" xfId="4292"/>
    <cellStyle name="표준 2 2 2 2 5 2 3 2 3 3" xfId="4293"/>
    <cellStyle name="표준 2 2 2 2 5 2 3 2 3 3 2" xfId="4294"/>
    <cellStyle name="표준 2 2 2 2 5 2 3 2 4" xfId="4295"/>
    <cellStyle name="표준 2 2 2 2 5 2 3 2 5" xfId="4296"/>
    <cellStyle name="표준 2 2 2 2 5 2 3 2 5 2" xfId="4297"/>
    <cellStyle name="표준 2 2 2 2 5 2 3 3" xfId="4298"/>
    <cellStyle name="표준 2 2 2 2 5 2 3 3 2" xfId="4299"/>
    <cellStyle name="표준 2 2 2 2 5 2 3 3 2 2" xfId="4300"/>
    <cellStyle name="표준 2 2 2 2 5 2 3 3 2 3" xfId="4301"/>
    <cellStyle name="표준 2 2 2 2 5 2 3 3 2 3 2" xfId="4302"/>
    <cellStyle name="표준 2 2 2 2 5 2 3 3 3" xfId="4303"/>
    <cellStyle name="표준 2 2 2 2 5 2 3 3 3 2" xfId="4304"/>
    <cellStyle name="표준 2 2 2 2 5 2 3 3 3 3" xfId="4305"/>
    <cellStyle name="표준 2 2 2 2 5 2 3 3 3 3 2" xfId="4306"/>
    <cellStyle name="표준 2 2 2 2 5 2 3 3 4" xfId="4307"/>
    <cellStyle name="표준 2 2 2 2 5 2 3 3 5" xfId="4308"/>
    <cellStyle name="표준 2 2 2 2 5 2 3 3 5 2" xfId="4309"/>
    <cellStyle name="표준 2 2 2 2 5 2 3 4" xfId="4310"/>
    <cellStyle name="표준 2 2 2 2 5 2 3 4 2" xfId="4311"/>
    <cellStyle name="표준 2 2 2 2 5 2 3 4 3" xfId="4312"/>
    <cellStyle name="표준 2 2 2 2 5 2 3 4 3 2" xfId="4313"/>
    <cellStyle name="표준 2 2 2 2 5 2 3 5" xfId="4314"/>
    <cellStyle name="표준 2 2 2 2 5 2 3 5 2" xfId="4315"/>
    <cellStyle name="표준 2 2 2 2 5 2 3 5 3" xfId="4316"/>
    <cellStyle name="표준 2 2 2 2 5 2 3 5 3 2" xfId="4317"/>
    <cellStyle name="표준 2 2 2 2 5 2 3 6" xfId="4318"/>
    <cellStyle name="표준 2 2 2 2 5 2 3 7" xfId="4319"/>
    <cellStyle name="표준 2 2 2 2 5 2 3 7 2" xfId="4320"/>
    <cellStyle name="표준 2 2 2 2 5 2 4" xfId="4321"/>
    <cellStyle name="표준 2 2 2 2 5 2 4 2" xfId="4322"/>
    <cellStyle name="표준 2 2 2 2 5 2 4 2 2" xfId="4323"/>
    <cellStyle name="표준 2 2 2 2 5 2 4 2 3" xfId="4324"/>
    <cellStyle name="표준 2 2 2 2 5 2 4 2 3 2" xfId="4325"/>
    <cellStyle name="표준 2 2 2 2 5 2 4 3" xfId="4326"/>
    <cellStyle name="표준 2 2 2 2 5 2 4 3 2" xfId="4327"/>
    <cellStyle name="표준 2 2 2 2 5 2 4 3 3" xfId="4328"/>
    <cellStyle name="표준 2 2 2 2 5 2 4 3 3 2" xfId="4329"/>
    <cellStyle name="표준 2 2 2 2 5 2 4 4" xfId="4330"/>
    <cellStyle name="표준 2 2 2 2 5 2 4 5" xfId="4331"/>
    <cellStyle name="표준 2 2 2 2 5 2 4 5 2" xfId="4332"/>
    <cellStyle name="표준 2 2 2 2 5 2 5" xfId="4333"/>
    <cellStyle name="표준 2 2 2 2 5 2 5 2" xfId="4334"/>
    <cellStyle name="표준 2 2 2 2 5 2 5 2 2" xfId="4335"/>
    <cellStyle name="표준 2 2 2 2 5 2 5 2 3" xfId="4336"/>
    <cellStyle name="표준 2 2 2 2 5 2 5 2 3 2" xfId="4337"/>
    <cellStyle name="표준 2 2 2 2 5 2 5 3" xfId="4338"/>
    <cellStyle name="표준 2 2 2 2 5 2 5 3 2" xfId="4339"/>
    <cellStyle name="표준 2 2 2 2 5 2 5 3 3" xfId="4340"/>
    <cellStyle name="표준 2 2 2 2 5 2 5 3 3 2" xfId="4341"/>
    <cellStyle name="표준 2 2 2 2 5 2 5 4" xfId="4342"/>
    <cellStyle name="표준 2 2 2 2 5 2 5 5" xfId="4343"/>
    <cellStyle name="표준 2 2 2 2 5 2 5 5 2" xfId="4344"/>
    <cellStyle name="표준 2 2 2 2 5 2 6" xfId="4345"/>
    <cellStyle name="표준 2 2 2 2 5 2 6 2" xfId="4346"/>
    <cellStyle name="표준 2 2 2 2 5 2 6 3" xfId="4347"/>
    <cellStyle name="표준 2 2 2 2 5 2 6 3 2" xfId="4348"/>
    <cellStyle name="표준 2 2 2 2 5 2 7" xfId="4349"/>
    <cellStyle name="표준 2 2 2 2 5 2 7 2" xfId="4350"/>
    <cellStyle name="표준 2 2 2 2 5 2 7 3" xfId="4351"/>
    <cellStyle name="표준 2 2 2 2 5 2 7 3 2" xfId="4352"/>
    <cellStyle name="표준 2 2 2 2 5 2 8" xfId="4353"/>
    <cellStyle name="표준 2 2 2 2 5 2 9" xfId="4354"/>
    <cellStyle name="표준 2 2 2 2 5 2 9 2" xfId="4355"/>
    <cellStyle name="표준 2 2 2 2 5 3" xfId="4356"/>
    <cellStyle name="표준 2 2 2 2 5 3 2" xfId="4357"/>
    <cellStyle name="표준 2 2 2 2 5 3 2 2" xfId="4358"/>
    <cellStyle name="표준 2 2 2 2 5 3 2 2 2" xfId="4359"/>
    <cellStyle name="표준 2 2 2 2 5 3 2 2 2 2" xfId="4360"/>
    <cellStyle name="표준 2 2 2 2 5 3 2 2 2 3" xfId="4361"/>
    <cellStyle name="표준 2 2 2 2 5 3 2 2 2 3 2" xfId="4362"/>
    <cellStyle name="표준 2 2 2 2 5 3 2 2 3" xfId="4363"/>
    <cellStyle name="표준 2 2 2 2 5 3 2 2 3 2" xfId="4364"/>
    <cellStyle name="표준 2 2 2 2 5 3 2 2 3 3" xfId="4365"/>
    <cellStyle name="표준 2 2 2 2 5 3 2 2 3 3 2" xfId="4366"/>
    <cellStyle name="표준 2 2 2 2 5 3 2 2 4" xfId="4367"/>
    <cellStyle name="표준 2 2 2 2 5 3 2 2 5" xfId="4368"/>
    <cellStyle name="표준 2 2 2 2 5 3 2 2 5 2" xfId="4369"/>
    <cellStyle name="표준 2 2 2 2 5 3 2 3" xfId="4370"/>
    <cellStyle name="표준 2 2 2 2 5 3 2 3 2" xfId="4371"/>
    <cellStyle name="표준 2 2 2 2 5 3 2 3 2 2" xfId="4372"/>
    <cellStyle name="표준 2 2 2 2 5 3 2 3 2 3" xfId="4373"/>
    <cellStyle name="표준 2 2 2 2 5 3 2 3 2 3 2" xfId="4374"/>
    <cellStyle name="표준 2 2 2 2 5 3 2 3 3" xfId="4375"/>
    <cellStyle name="표준 2 2 2 2 5 3 2 3 3 2" xfId="4376"/>
    <cellStyle name="표준 2 2 2 2 5 3 2 3 3 3" xfId="4377"/>
    <cellStyle name="표준 2 2 2 2 5 3 2 3 3 3 2" xfId="4378"/>
    <cellStyle name="표준 2 2 2 2 5 3 2 3 4" xfId="4379"/>
    <cellStyle name="표준 2 2 2 2 5 3 2 3 5" xfId="4380"/>
    <cellStyle name="표준 2 2 2 2 5 3 2 3 5 2" xfId="4381"/>
    <cellStyle name="표준 2 2 2 2 5 3 2 4" xfId="4382"/>
    <cellStyle name="표준 2 2 2 2 5 3 2 4 2" xfId="4383"/>
    <cellStyle name="표준 2 2 2 2 5 3 2 4 3" xfId="4384"/>
    <cellStyle name="표준 2 2 2 2 5 3 2 4 3 2" xfId="4385"/>
    <cellStyle name="표준 2 2 2 2 5 3 2 5" xfId="4386"/>
    <cellStyle name="표준 2 2 2 2 5 3 2 5 2" xfId="4387"/>
    <cellStyle name="표준 2 2 2 2 5 3 2 5 3" xfId="4388"/>
    <cellStyle name="표준 2 2 2 2 5 3 2 5 3 2" xfId="4389"/>
    <cellStyle name="표준 2 2 2 2 5 3 2 6" xfId="4390"/>
    <cellStyle name="표준 2 2 2 2 5 3 2 7" xfId="4391"/>
    <cellStyle name="표준 2 2 2 2 5 3 2 7 2" xfId="4392"/>
    <cellStyle name="표준 2 2 2 2 5 3 3" xfId="4393"/>
    <cellStyle name="표준 2 2 2 2 5 3 3 2" xfId="4394"/>
    <cellStyle name="표준 2 2 2 2 5 3 3 2 2" xfId="4395"/>
    <cellStyle name="표준 2 2 2 2 5 3 3 2 3" xfId="4396"/>
    <cellStyle name="표준 2 2 2 2 5 3 3 2 3 2" xfId="4397"/>
    <cellStyle name="표준 2 2 2 2 5 3 3 3" xfId="4398"/>
    <cellStyle name="표준 2 2 2 2 5 3 3 3 2" xfId="4399"/>
    <cellStyle name="표준 2 2 2 2 5 3 3 3 3" xfId="4400"/>
    <cellStyle name="표준 2 2 2 2 5 3 3 3 3 2" xfId="4401"/>
    <cellStyle name="표준 2 2 2 2 5 3 3 4" xfId="4402"/>
    <cellStyle name="표준 2 2 2 2 5 3 3 5" xfId="4403"/>
    <cellStyle name="표준 2 2 2 2 5 3 3 5 2" xfId="4404"/>
    <cellStyle name="표준 2 2 2 2 5 3 4" xfId="4405"/>
    <cellStyle name="표준 2 2 2 2 5 3 4 2" xfId="4406"/>
    <cellStyle name="표준 2 2 2 2 5 3 4 2 2" xfId="4407"/>
    <cellStyle name="표준 2 2 2 2 5 3 4 2 3" xfId="4408"/>
    <cellStyle name="표준 2 2 2 2 5 3 4 2 3 2" xfId="4409"/>
    <cellStyle name="표준 2 2 2 2 5 3 4 3" xfId="4410"/>
    <cellStyle name="표준 2 2 2 2 5 3 4 3 2" xfId="4411"/>
    <cellStyle name="표준 2 2 2 2 5 3 4 3 3" xfId="4412"/>
    <cellStyle name="표준 2 2 2 2 5 3 4 3 3 2" xfId="4413"/>
    <cellStyle name="표준 2 2 2 2 5 3 4 4" xfId="4414"/>
    <cellStyle name="표준 2 2 2 2 5 3 4 5" xfId="4415"/>
    <cellStyle name="표준 2 2 2 2 5 3 4 5 2" xfId="4416"/>
    <cellStyle name="표준 2 2 2 2 5 3 5" xfId="4417"/>
    <cellStyle name="표준 2 2 2 2 5 3 5 2" xfId="4418"/>
    <cellStyle name="표준 2 2 2 2 5 3 5 3" xfId="4419"/>
    <cellStyle name="표준 2 2 2 2 5 3 5 3 2" xfId="4420"/>
    <cellStyle name="표준 2 2 2 2 5 3 6" xfId="4421"/>
    <cellStyle name="표준 2 2 2 2 5 3 6 2" xfId="4422"/>
    <cellStyle name="표준 2 2 2 2 5 3 6 3" xfId="4423"/>
    <cellStyle name="표준 2 2 2 2 5 3 6 3 2" xfId="4424"/>
    <cellStyle name="표준 2 2 2 2 5 3 7" xfId="4425"/>
    <cellStyle name="표준 2 2 2 2 5 3 8" xfId="4426"/>
    <cellStyle name="표준 2 2 2 2 5 3 8 2" xfId="4427"/>
    <cellStyle name="표준 2 2 2 2 5 4" xfId="4428"/>
    <cellStyle name="표준 2 2 2 2 5 4 2" xfId="4429"/>
    <cellStyle name="표준 2 2 2 2 5 4 2 2" xfId="4430"/>
    <cellStyle name="표준 2 2 2 2 5 4 2 3" xfId="4431"/>
    <cellStyle name="표준 2 2 2 2 5 4 2 3 2" xfId="4432"/>
    <cellStyle name="표준 2 2 2 2 5 4 3" xfId="4433"/>
    <cellStyle name="표준 2 2 2 2 5 4 3 2" xfId="4434"/>
    <cellStyle name="표준 2 2 2 2 5 4 3 3" xfId="4435"/>
    <cellStyle name="표준 2 2 2 2 5 4 3 3 2" xfId="4436"/>
    <cellStyle name="표준 2 2 2 2 5 4 4" xfId="4437"/>
    <cellStyle name="표준 2 2 2 2 5 4 5" xfId="4438"/>
    <cellStyle name="표준 2 2 2 2 5 4 5 2" xfId="4439"/>
    <cellStyle name="표준 2 2 2 2 5 5" xfId="4440"/>
    <cellStyle name="표준 2 2 2 2 5 5 2" xfId="4441"/>
    <cellStyle name="표준 2 2 2 2 5 5 2 2" xfId="4442"/>
    <cellStyle name="표준 2 2 2 2 5 5 2 3" xfId="4443"/>
    <cellStyle name="표준 2 2 2 2 5 5 2 3 2" xfId="4444"/>
    <cellStyle name="표준 2 2 2 2 5 5 3" xfId="4445"/>
    <cellStyle name="표준 2 2 2 2 5 5 3 2" xfId="4446"/>
    <cellStyle name="표준 2 2 2 2 5 5 3 3" xfId="4447"/>
    <cellStyle name="표준 2 2 2 2 5 5 3 3 2" xfId="4448"/>
    <cellStyle name="표준 2 2 2 2 5 5 4" xfId="4449"/>
    <cellStyle name="표준 2 2 2 2 5 5 5" xfId="4450"/>
    <cellStyle name="표준 2 2 2 2 5 5 5 2" xfId="4451"/>
    <cellStyle name="표준 2 2 2 2 5 6" xfId="4452"/>
    <cellStyle name="표준 2 2 2 2 5 6 2" xfId="4453"/>
    <cellStyle name="표준 2 2 2 2 5 6 3" xfId="4454"/>
    <cellStyle name="표준 2 2 2 2 5 6 3 2" xfId="4455"/>
    <cellStyle name="표준 2 2 2 2 5 7" xfId="4456"/>
    <cellStyle name="표준 2 2 2 2 5 7 2" xfId="4457"/>
    <cellStyle name="표준 2 2 2 2 5 7 3" xfId="4458"/>
    <cellStyle name="표준 2 2 2 2 5 7 3 2" xfId="4459"/>
    <cellStyle name="표준 2 2 2 2 5 8" xfId="4460"/>
    <cellStyle name="표준 2 2 2 2 5 9" xfId="4461"/>
    <cellStyle name="표준 2 2 2 2 5 9 2" xfId="4462"/>
    <cellStyle name="표준 2 2 2 2 6" xfId="4463"/>
    <cellStyle name="표준 2 2 2 2 6 2" xfId="4464"/>
    <cellStyle name="표준 2 2 2 2 6 2 2" xfId="4465"/>
    <cellStyle name="표준 2 2 2 2 6 2 2 2" xfId="4466"/>
    <cellStyle name="표준 2 2 2 2 6 2 2 2 2" xfId="4467"/>
    <cellStyle name="표준 2 2 2 2 6 2 2 2 2 2" xfId="4468"/>
    <cellStyle name="표준 2 2 2 2 6 2 2 2 2 2 2" xfId="4469"/>
    <cellStyle name="표준 2 2 2 2 6 2 2 2 2 2 3" xfId="4470"/>
    <cellStyle name="표준 2 2 2 2 6 2 2 2 2 2 3 2" xfId="4471"/>
    <cellStyle name="표준 2 2 2 2 6 2 2 2 2 3" xfId="4472"/>
    <cellStyle name="표준 2 2 2 2 6 2 2 2 2 3 2" xfId="4473"/>
    <cellStyle name="표준 2 2 2 2 6 2 2 2 2 3 3" xfId="4474"/>
    <cellStyle name="표준 2 2 2 2 6 2 2 2 2 3 3 2" xfId="4475"/>
    <cellStyle name="표준 2 2 2 2 6 2 2 2 2 4" xfId="4476"/>
    <cellStyle name="표준 2 2 2 2 6 2 2 2 2 5" xfId="4477"/>
    <cellStyle name="표준 2 2 2 2 6 2 2 2 2 5 2" xfId="4478"/>
    <cellStyle name="표준 2 2 2 2 6 2 2 2 3" xfId="4479"/>
    <cellStyle name="표준 2 2 2 2 6 2 2 2 3 2" xfId="4480"/>
    <cellStyle name="표준 2 2 2 2 6 2 2 2 3 2 2" xfId="4481"/>
    <cellStyle name="표준 2 2 2 2 6 2 2 2 3 2 3" xfId="4482"/>
    <cellStyle name="표준 2 2 2 2 6 2 2 2 3 2 3 2" xfId="4483"/>
    <cellStyle name="표준 2 2 2 2 6 2 2 2 3 3" xfId="4484"/>
    <cellStyle name="표준 2 2 2 2 6 2 2 2 3 3 2" xfId="4485"/>
    <cellStyle name="표준 2 2 2 2 6 2 2 2 3 3 3" xfId="4486"/>
    <cellStyle name="표준 2 2 2 2 6 2 2 2 3 3 3 2" xfId="4487"/>
    <cellStyle name="표준 2 2 2 2 6 2 2 2 3 4" xfId="4488"/>
    <cellStyle name="표준 2 2 2 2 6 2 2 2 3 5" xfId="4489"/>
    <cellStyle name="표준 2 2 2 2 6 2 2 2 3 5 2" xfId="4490"/>
    <cellStyle name="표준 2 2 2 2 6 2 2 2 4" xfId="4491"/>
    <cellStyle name="표준 2 2 2 2 6 2 2 2 4 2" xfId="4492"/>
    <cellStyle name="표준 2 2 2 2 6 2 2 2 4 3" xfId="4493"/>
    <cellStyle name="표준 2 2 2 2 6 2 2 2 4 3 2" xfId="4494"/>
    <cellStyle name="표준 2 2 2 2 6 2 2 2 5" xfId="4495"/>
    <cellStyle name="표준 2 2 2 2 6 2 2 2 5 2" xfId="4496"/>
    <cellStyle name="표준 2 2 2 2 6 2 2 2 5 3" xfId="4497"/>
    <cellStyle name="표준 2 2 2 2 6 2 2 2 5 3 2" xfId="4498"/>
    <cellStyle name="표준 2 2 2 2 6 2 2 2 6" xfId="4499"/>
    <cellStyle name="표준 2 2 2 2 6 2 2 2 7" xfId="4500"/>
    <cellStyle name="표준 2 2 2 2 6 2 2 2 7 2" xfId="4501"/>
    <cellStyle name="표준 2 2 2 2 6 2 2 3" xfId="4502"/>
    <cellStyle name="표준 2 2 2 2 6 2 2 3 2" xfId="4503"/>
    <cellStyle name="표준 2 2 2 2 6 2 2 3 2 2" xfId="4504"/>
    <cellStyle name="표준 2 2 2 2 6 2 2 3 2 3" xfId="4505"/>
    <cellStyle name="표준 2 2 2 2 6 2 2 3 2 3 2" xfId="4506"/>
    <cellStyle name="표준 2 2 2 2 6 2 2 3 3" xfId="4507"/>
    <cellStyle name="표준 2 2 2 2 6 2 2 3 3 2" xfId="4508"/>
    <cellStyle name="표준 2 2 2 2 6 2 2 3 3 3" xfId="4509"/>
    <cellStyle name="표준 2 2 2 2 6 2 2 3 3 3 2" xfId="4510"/>
    <cellStyle name="표준 2 2 2 2 6 2 2 3 4" xfId="4511"/>
    <cellStyle name="표준 2 2 2 2 6 2 2 3 5" xfId="4512"/>
    <cellStyle name="표준 2 2 2 2 6 2 2 3 5 2" xfId="4513"/>
    <cellStyle name="표준 2 2 2 2 6 2 2 4" xfId="4514"/>
    <cellStyle name="표준 2 2 2 2 6 2 2 4 2" xfId="4515"/>
    <cellStyle name="표준 2 2 2 2 6 2 2 4 2 2" xfId="4516"/>
    <cellStyle name="표준 2 2 2 2 6 2 2 4 2 3" xfId="4517"/>
    <cellStyle name="표준 2 2 2 2 6 2 2 4 2 3 2" xfId="4518"/>
    <cellStyle name="표준 2 2 2 2 6 2 2 4 3" xfId="4519"/>
    <cellStyle name="표준 2 2 2 2 6 2 2 4 3 2" xfId="4520"/>
    <cellStyle name="표준 2 2 2 2 6 2 2 4 3 3" xfId="4521"/>
    <cellStyle name="표준 2 2 2 2 6 2 2 4 3 3 2" xfId="4522"/>
    <cellStyle name="표준 2 2 2 2 6 2 2 4 4" xfId="4523"/>
    <cellStyle name="표준 2 2 2 2 6 2 2 4 5" xfId="4524"/>
    <cellStyle name="표준 2 2 2 2 6 2 2 4 5 2" xfId="4525"/>
    <cellStyle name="표준 2 2 2 2 6 2 2 5" xfId="4526"/>
    <cellStyle name="표준 2 2 2 2 6 2 2 5 2" xfId="4527"/>
    <cellStyle name="표준 2 2 2 2 6 2 2 5 3" xfId="4528"/>
    <cellStyle name="표준 2 2 2 2 6 2 2 5 3 2" xfId="4529"/>
    <cellStyle name="표준 2 2 2 2 6 2 2 6" xfId="4530"/>
    <cellStyle name="표준 2 2 2 2 6 2 2 6 2" xfId="4531"/>
    <cellStyle name="표준 2 2 2 2 6 2 2 6 3" xfId="4532"/>
    <cellStyle name="표준 2 2 2 2 6 2 2 6 3 2" xfId="4533"/>
    <cellStyle name="표준 2 2 2 2 6 2 2 7" xfId="4534"/>
    <cellStyle name="표준 2 2 2 2 6 2 2 8" xfId="4535"/>
    <cellStyle name="표준 2 2 2 2 6 2 2 8 2" xfId="4536"/>
    <cellStyle name="표준 2 2 2 2 6 2 3" xfId="4537"/>
    <cellStyle name="표준 2 2 2 2 6 2 3 2" xfId="4538"/>
    <cellStyle name="표준 2 2 2 2 6 2 3 2 2" xfId="4539"/>
    <cellStyle name="표준 2 2 2 2 6 2 3 2 2 2" xfId="4540"/>
    <cellStyle name="표준 2 2 2 2 6 2 3 2 2 3" xfId="4541"/>
    <cellStyle name="표준 2 2 2 2 6 2 3 2 2 3 2" xfId="4542"/>
    <cellStyle name="표준 2 2 2 2 6 2 3 2 3" xfId="4543"/>
    <cellStyle name="표준 2 2 2 2 6 2 3 2 3 2" xfId="4544"/>
    <cellStyle name="표준 2 2 2 2 6 2 3 2 3 3" xfId="4545"/>
    <cellStyle name="표준 2 2 2 2 6 2 3 2 3 3 2" xfId="4546"/>
    <cellStyle name="표준 2 2 2 2 6 2 3 2 4" xfId="4547"/>
    <cellStyle name="표준 2 2 2 2 6 2 3 2 5" xfId="4548"/>
    <cellStyle name="표준 2 2 2 2 6 2 3 2 5 2" xfId="4549"/>
    <cellStyle name="표준 2 2 2 2 6 2 3 3" xfId="4550"/>
    <cellStyle name="표준 2 2 2 2 6 2 3 3 2" xfId="4551"/>
    <cellStyle name="표준 2 2 2 2 6 2 3 3 2 2" xfId="4552"/>
    <cellStyle name="표준 2 2 2 2 6 2 3 3 2 3" xfId="4553"/>
    <cellStyle name="표준 2 2 2 2 6 2 3 3 2 3 2" xfId="4554"/>
    <cellStyle name="표준 2 2 2 2 6 2 3 3 3" xfId="4555"/>
    <cellStyle name="표준 2 2 2 2 6 2 3 3 3 2" xfId="4556"/>
    <cellStyle name="표준 2 2 2 2 6 2 3 3 3 3" xfId="4557"/>
    <cellStyle name="표준 2 2 2 2 6 2 3 3 3 3 2" xfId="4558"/>
    <cellStyle name="표준 2 2 2 2 6 2 3 3 4" xfId="4559"/>
    <cellStyle name="표준 2 2 2 2 6 2 3 3 5" xfId="4560"/>
    <cellStyle name="표준 2 2 2 2 6 2 3 3 5 2" xfId="4561"/>
    <cellStyle name="표준 2 2 2 2 6 2 3 4" xfId="4562"/>
    <cellStyle name="표준 2 2 2 2 6 2 3 4 2" xfId="4563"/>
    <cellStyle name="표준 2 2 2 2 6 2 3 4 3" xfId="4564"/>
    <cellStyle name="표준 2 2 2 2 6 2 3 4 3 2" xfId="4565"/>
    <cellStyle name="표준 2 2 2 2 6 2 3 5" xfId="4566"/>
    <cellStyle name="표준 2 2 2 2 6 2 3 5 2" xfId="4567"/>
    <cellStyle name="표준 2 2 2 2 6 2 3 5 3" xfId="4568"/>
    <cellStyle name="표준 2 2 2 2 6 2 3 5 3 2" xfId="4569"/>
    <cellStyle name="표준 2 2 2 2 6 2 3 6" xfId="4570"/>
    <cellStyle name="표준 2 2 2 2 6 2 3 7" xfId="4571"/>
    <cellStyle name="표준 2 2 2 2 6 2 3 7 2" xfId="4572"/>
    <cellStyle name="표준 2 2 2 2 6 2 4" xfId="4573"/>
    <cellStyle name="표준 2 2 2 2 6 2 4 2" xfId="4574"/>
    <cellStyle name="표준 2 2 2 2 6 2 4 2 2" xfId="4575"/>
    <cellStyle name="표준 2 2 2 2 6 2 4 2 3" xfId="4576"/>
    <cellStyle name="표준 2 2 2 2 6 2 4 2 3 2" xfId="4577"/>
    <cellStyle name="표준 2 2 2 2 6 2 4 3" xfId="4578"/>
    <cellStyle name="표준 2 2 2 2 6 2 4 3 2" xfId="4579"/>
    <cellStyle name="표준 2 2 2 2 6 2 4 3 3" xfId="4580"/>
    <cellStyle name="표준 2 2 2 2 6 2 4 3 3 2" xfId="4581"/>
    <cellStyle name="표준 2 2 2 2 6 2 4 4" xfId="4582"/>
    <cellStyle name="표준 2 2 2 2 6 2 4 5" xfId="4583"/>
    <cellStyle name="표준 2 2 2 2 6 2 4 5 2" xfId="4584"/>
    <cellStyle name="표준 2 2 2 2 6 2 5" xfId="4585"/>
    <cellStyle name="표준 2 2 2 2 6 2 5 2" xfId="4586"/>
    <cellStyle name="표준 2 2 2 2 6 2 5 2 2" xfId="4587"/>
    <cellStyle name="표준 2 2 2 2 6 2 5 2 3" xfId="4588"/>
    <cellStyle name="표준 2 2 2 2 6 2 5 2 3 2" xfId="4589"/>
    <cellStyle name="표준 2 2 2 2 6 2 5 3" xfId="4590"/>
    <cellStyle name="표준 2 2 2 2 6 2 5 3 2" xfId="4591"/>
    <cellStyle name="표준 2 2 2 2 6 2 5 3 3" xfId="4592"/>
    <cellStyle name="표준 2 2 2 2 6 2 5 3 3 2" xfId="4593"/>
    <cellStyle name="표준 2 2 2 2 6 2 5 4" xfId="4594"/>
    <cellStyle name="표준 2 2 2 2 6 2 5 5" xfId="4595"/>
    <cellStyle name="표준 2 2 2 2 6 2 5 5 2" xfId="4596"/>
    <cellStyle name="표준 2 2 2 2 6 2 6" xfId="4597"/>
    <cellStyle name="표준 2 2 2 2 6 2 6 2" xfId="4598"/>
    <cellStyle name="표준 2 2 2 2 6 2 6 3" xfId="4599"/>
    <cellStyle name="표준 2 2 2 2 6 2 6 3 2" xfId="4600"/>
    <cellStyle name="표준 2 2 2 2 6 2 7" xfId="4601"/>
    <cellStyle name="표준 2 2 2 2 6 2 7 2" xfId="4602"/>
    <cellStyle name="표준 2 2 2 2 6 2 7 3" xfId="4603"/>
    <cellStyle name="표준 2 2 2 2 6 2 7 3 2" xfId="4604"/>
    <cellStyle name="표준 2 2 2 2 6 2 8" xfId="4605"/>
    <cellStyle name="표준 2 2 2 2 6 2 9" xfId="4606"/>
    <cellStyle name="표준 2 2 2 2 6 2 9 2" xfId="4607"/>
    <cellStyle name="표준 2 2 2 2 6 3" xfId="4608"/>
    <cellStyle name="표준 2 2 2 2 6 3 2" xfId="4609"/>
    <cellStyle name="표준 2 2 2 2 6 3 2 2" xfId="4610"/>
    <cellStyle name="표준 2 2 2 2 6 3 2 2 2" xfId="4611"/>
    <cellStyle name="표준 2 2 2 2 6 3 2 2 2 2" xfId="4612"/>
    <cellStyle name="표준 2 2 2 2 6 3 2 2 2 3" xfId="4613"/>
    <cellStyle name="표준 2 2 2 2 6 3 2 2 2 3 2" xfId="4614"/>
    <cellStyle name="표준 2 2 2 2 6 3 2 2 3" xfId="4615"/>
    <cellStyle name="표준 2 2 2 2 6 3 2 2 3 2" xfId="4616"/>
    <cellStyle name="표준 2 2 2 2 6 3 2 2 3 3" xfId="4617"/>
    <cellStyle name="표준 2 2 2 2 6 3 2 2 3 3 2" xfId="4618"/>
    <cellStyle name="표준 2 2 2 2 6 3 2 2 4" xfId="4619"/>
    <cellStyle name="표준 2 2 2 2 6 3 2 2 5" xfId="4620"/>
    <cellStyle name="표준 2 2 2 2 6 3 2 2 5 2" xfId="4621"/>
    <cellStyle name="표준 2 2 2 2 6 3 2 3" xfId="4622"/>
    <cellStyle name="표준 2 2 2 2 6 3 2 3 2" xfId="4623"/>
    <cellStyle name="표준 2 2 2 2 6 3 2 3 2 2" xfId="4624"/>
    <cellStyle name="표준 2 2 2 2 6 3 2 3 2 3" xfId="4625"/>
    <cellStyle name="표준 2 2 2 2 6 3 2 3 2 3 2" xfId="4626"/>
    <cellStyle name="표준 2 2 2 2 6 3 2 3 3" xfId="4627"/>
    <cellStyle name="표준 2 2 2 2 6 3 2 3 3 2" xfId="4628"/>
    <cellStyle name="표준 2 2 2 2 6 3 2 3 3 3" xfId="4629"/>
    <cellStyle name="표준 2 2 2 2 6 3 2 3 3 3 2" xfId="4630"/>
    <cellStyle name="표준 2 2 2 2 6 3 2 3 4" xfId="4631"/>
    <cellStyle name="표준 2 2 2 2 6 3 2 3 5" xfId="4632"/>
    <cellStyle name="표준 2 2 2 2 6 3 2 3 5 2" xfId="4633"/>
    <cellStyle name="표준 2 2 2 2 6 3 2 4" xfId="4634"/>
    <cellStyle name="표준 2 2 2 2 6 3 2 4 2" xfId="4635"/>
    <cellStyle name="표준 2 2 2 2 6 3 2 4 3" xfId="4636"/>
    <cellStyle name="표준 2 2 2 2 6 3 2 4 3 2" xfId="4637"/>
    <cellStyle name="표준 2 2 2 2 6 3 2 5" xfId="4638"/>
    <cellStyle name="표준 2 2 2 2 6 3 2 5 2" xfId="4639"/>
    <cellStyle name="표준 2 2 2 2 6 3 2 5 3" xfId="4640"/>
    <cellStyle name="표준 2 2 2 2 6 3 2 5 3 2" xfId="4641"/>
    <cellStyle name="표준 2 2 2 2 6 3 2 6" xfId="4642"/>
    <cellStyle name="표준 2 2 2 2 6 3 2 7" xfId="4643"/>
    <cellStyle name="표준 2 2 2 2 6 3 2 7 2" xfId="4644"/>
    <cellStyle name="표준 2 2 2 2 6 3 3" xfId="4645"/>
    <cellStyle name="표준 2 2 2 2 6 3 3 2" xfId="4646"/>
    <cellStyle name="표준 2 2 2 2 6 3 3 2 2" xfId="4647"/>
    <cellStyle name="표준 2 2 2 2 6 3 3 2 3" xfId="4648"/>
    <cellStyle name="표준 2 2 2 2 6 3 3 2 3 2" xfId="4649"/>
    <cellStyle name="표준 2 2 2 2 6 3 3 3" xfId="4650"/>
    <cellStyle name="표준 2 2 2 2 6 3 3 3 2" xfId="4651"/>
    <cellStyle name="표준 2 2 2 2 6 3 3 3 3" xfId="4652"/>
    <cellStyle name="표준 2 2 2 2 6 3 3 3 3 2" xfId="4653"/>
    <cellStyle name="표준 2 2 2 2 6 3 3 4" xfId="4654"/>
    <cellStyle name="표준 2 2 2 2 6 3 3 5" xfId="4655"/>
    <cellStyle name="표준 2 2 2 2 6 3 3 5 2" xfId="4656"/>
    <cellStyle name="표준 2 2 2 2 6 3 4" xfId="4657"/>
    <cellStyle name="표준 2 2 2 2 6 3 4 2" xfId="4658"/>
    <cellStyle name="표준 2 2 2 2 6 3 4 2 2" xfId="4659"/>
    <cellStyle name="표준 2 2 2 2 6 3 4 2 3" xfId="4660"/>
    <cellStyle name="표준 2 2 2 2 6 3 4 2 3 2" xfId="4661"/>
    <cellStyle name="표준 2 2 2 2 6 3 4 3" xfId="4662"/>
    <cellStyle name="표준 2 2 2 2 6 3 4 3 2" xfId="4663"/>
    <cellStyle name="표준 2 2 2 2 6 3 4 3 3" xfId="4664"/>
    <cellStyle name="표준 2 2 2 2 6 3 4 3 3 2" xfId="4665"/>
    <cellStyle name="표준 2 2 2 2 6 3 4 4" xfId="4666"/>
    <cellStyle name="표준 2 2 2 2 6 3 4 5" xfId="4667"/>
    <cellStyle name="표준 2 2 2 2 6 3 4 5 2" xfId="4668"/>
    <cellStyle name="표준 2 2 2 2 6 3 5" xfId="4669"/>
    <cellStyle name="표준 2 2 2 2 6 3 5 2" xfId="4670"/>
    <cellStyle name="표준 2 2 2 2 6 3 5 3" xfId="4671"/>
    <cellStyle name="표준 2 2 2 2 6 3 5 3 2" xfId="4672"/>
    <cellStyle name="표준 2 2 2 2 6 3 6" xfId="4673"/>
    <cellStyle name="표준 2 2 2 2 6 3 6 2" xfId="4674"/>
    <cellStyle name="표준 2 2 2 2 6 3 6 3" xfId="4675"/>
    <cellStyle name="표준 2 2 2 2 6 3 6 3 2" xfId="4676"/>
    <cellStyle name="표준 2 2 2 2 6 3 7" xfId="4677"/>
    <cellStyle name="표준 2 2 2 2 6 3 8" xfId="4678"/>
    <cellStyle name="표준 2 2 2 2 6 3 8 2" xfId="4679"/>
    <cellStyle name="표준 2 2 2 2 6 4" xfId="4680"/>
    <cellStyle name="표준 2 2 2 2 6 4 2" xfId="4681"/>
    <cellStyle name="표준 2 2 2 2 6 4 2 2" xfId="4682"/>
    <cellStyle name="표준 2 2 2 2 6 4 2 3" xfId="4683"/>
    <cellStyle name="표준 2 2 2 2 6 4 2 3 2" xfId="4684"/>
    <cellStyle name="표준 2 2 2 2 6 4 3" xfId="4685"/>
    <cellStyle name="표준 2 2 2 2 6 4 3 2" xfId="4686"/>
    <cellStyle name="표준 2 2 2 2 6 4 3 3" xfId="4687"/>
    <cellStyle name="표준 2 2 2 2 6 4 3 3 2" xfId="4688"/>
    <cellStyle name="표준 2 2 2 2 6 4 4" xfId="4689"/>
    <cellStyle name="표준 2 2 2 2 6 4 5" xfId="4690"/>
    <cellStyle name="표준 2 2 2 2 6 4 5 2" xfId="4691"/>
    <cellStyle name="표준 2 2 2 2 6 5" xfId="4692"/>
    <cellStyle name="표준 2 2 2 2 6 5 2" xfId="4693"/>
    <cellStyle name="표준 2 2 2 2 6 5 2 2" xfId="4694"/>
    <cellStyle name="표준 2 2 2 2 6 5 2 3" xfId="4695"/>
    <cellStyle name="표준 2 2 2 2 6 5 2 3 2" xfId="4696"/>
    <cellStyle name="표준 2 2 2 2 6 5 3" xfId="4697"/>
    <cellStyle name="표준 2 2 2 2 6 5 3 2" xfId="4698"/>
    <cellStyle name="표준 2 2 2 2 6 5 3 3" xfId="4699"/>
    <cellStyle name="표준 2 2 2 2 6 5 3 3 2" xfId="4700"/>
    <cellStyle name="표준 2 2 2 2 6 5 4" xfId="4701"/>
    <cellStyle name="표준 2 2 2 2 6 5 5" xfId="4702"/>
    <cellStyle name="표준 2 2 2 2 6 5 5 2" xfId="4703"/>
    <cellStyle name="표준 2 2 2 2 6 6" xfId="4704"/>
    <cellStyle name="표준 2 2 2 2 6 6 2" xfId="4705"/>
    <cellStyle name="표준 2 2 2 2 6 6 3" xfId="4706"/>
    <cellStyle name="표준 2 2 2 2 6 6 3 2" xfId="4707"/>
    <cellStyle name="표준 2 2 2 2 6 7" xfId="4708"/>
    <cellStyle name="표준 2 2 2 2 6 7 2" xfId="4709"/>
    <cellStyle name="표준 2 2 2 2 6 7 3" xfId="4710"/>
    <cellStyle name="표준 2 2 2 2 6 7 3 2" xfId="4711"/>
    <cellStyle name="표준 2 2 2 2 6 8" xfId="4712"/>
    <cellStyle name="표준 2 2 2 2 6 9" xfId="4713"/>
    <cellStyle name="표준 2 2 2 2 6 9 2" xfId="4714"/>
    <cellStyle name="표준 2 2 2 2 7" xfId="4715"/>
    <cellStyle name="표준 2 2 2 2 7 2" xfId="4716"/>
    <cellStyle name="표준 2 2 2 2 7 2 2" xfId="4717"/>
    <cellStyle name="표준 2 2 2 2 7 2 2 2" xfId="4718"/>
    <cellStyle name="표준 2 2 2 2 7 2 2 2 2" xfId="4719"/>
    <cellStyle name="표준 2 2 2 2 7 2 2 2 2 2" xfId="4720"/>
    <cellStyle name="표준 2 2 2 2 7 2 2 2 2 2 2" xfId="4721"/>
    <cellStyle name="표준 2 2 2 2 7 2 2 2 2 2 3" xfId="4722"/>
    <cellStyle name="표준 2 2 2 2 7 2 2 2 2 2 3 2" xfId="4723"/>
    <cellStyle name="표준 2 2 2 2 7 2 2 2 2 3" xfId="4724"/>
    <cellStyle name="표준 2 2 2 2 7 2 2 2 2 3 2" xfId="4725"/>
    <cellStyle name="표준 2 2 2 2 7 2 2 2 2 3 3" xfId="4726"/>
    <cellStyle name="표준 2 2 2 2 7 2 2 2 2 3 3 2" xfId="4727"/>
    <cellStyle name="표준 2 2 2 2 7 2 2 2 2 4" xfId="4728"/>
    <cellStyle name="표준 2 2 2 2 7 2 2 2 2 5" xfId="4729"/>
    <cellStyle name="표준 2 2 2 2 7 2 2 2 2 5 2" xfId="4730"/>
    <cellStyle name="표준 2 2 2 2 7 2 2 2 3" xfId="4731"/>
    <cellStyle name="표준 2 2 2 2 7 2 2 2 3 2" xfId="4732"/>
    <cellStyle name="표준 2 2 2 2 7 2 2 2 3 2 2" xfId="4733"/>
    <cellStyle name="표준 2 2 2 2 7 2 2 2 3 2 3" xfId="4734"/>
    <cellStyle name="표준 2 2 2 2 7 2 2 2 3 2 3 2" xfId="4735"/>
    <cellStyle name="표준 2 2 2 2 7 2 2 2 3 3" xfId="4736"/>
    <cellStyle name="표준 2 2 2 2 7 2 2 2 3 3 2" xfId="4737"/>
    <cellStyle name="표준 2 2 2 2 7 2 2 2 3 3 3" xfId="4738"/>
    <cellStyle name="표준 2 2 2 2 7 2 2 2 3 3 3 2" xfId="4739"/>
    <cellStyle name="표준 2 2 2 2 7 2 2 2 3 4" xfId="4740"/>
    <cellStyle name="표준 2 2 2 2 7 2 2 2 3 5" xfId="4741"/>
    <cellStyle name="표준 2 2 2 2 7 2 2 2 3 5 2" xfId="4742"/>
    <cellStyle name="표준 2 2 2 2 7 2 2 2 4" xfId="4743"/>
    <cellStyle name="표준 2 2 2 2 7 2 2 2 4 2" xfId="4744"/>
    <cellStyle name="표준 2 2 2 2 7 2 2 2 4 3" xfId="4745"/>
    <cellStyle name="표준 2 2 2 2 7 2 2 2 4 3 2" xfId="4746"/>
    <cellStyle name="표준 2 2 2 2 7 2 2 2 5" xfId="4747"/>
    <cellStyle name="표준 2 2 2 2 7 2 2 2 5 2" xfId="4748"/>
    <cellStyle name="표준 2 2 2 2 7 2 2 2 5 3" xfId="4749"/>
    <cellStyle name="표준 2 2 2 2 7 2 2 2 5 3 2" xfId="4750"/>
    <cellStyle name="표준 2 2 2 2 7 2 2 2 6" xfId="4751"/>
    <cellStyle name="표준 2 2 2 2 7 2 2 2 7" xfId="4752"/>
    <cellStyle name="표준 2 2 2 2 7 2 2 2 7 2" xfId="4753"/>
    <cellStyle name="표준 2 2 2 2 7 2 2 3" xfId="4754"/>
    <cellStyle name="표준 2 2 2 2 7 2 2 3 2" xfId="4755"/>
    <cellStyle name="표준 2 2 2 2 7 2 2 3 2 2" xfId="4756"/>
    <cellStyle name="표준 2 2 2 2 7 2 2 3 2 3" xfId="4757"/>
    <cellStyle name="표준 2 2 2 2 7 2 2 3 2 3 2" xfId="4758"/>
    <cellStyle name="표준 2 2 2 2 7 2 2 3 3" xfId="4759"/>
    <cellStyle name="표준 2 2 2 2 7 2 2 3 3 2" xfId="4760"/>
    <cellStyle name="표준 2 2 2 2 7 2 2 3 3 3" xfId="4761"/>
    <cellStyle name="표준 2 2 2 2 7 2 2 3 3 3 2" xfId="4762"/>
    <cellStyle name="표준 2 2 2 2 7 2 2 3 4" xfId="4763"/>
    <cellStyle name="표준 2 2 2 2 7 2 2 3 5" xfId="4764"/>
    <cellStyle name="표준 2 2 2 2 7 2 2 3 5 2" xfId="4765"/>
    <cellStyle name="표준 2 2 2 2 7 2 2 4" xfId="4766"/>
    <cellStyle name="표준 2 2 2 2 7 2 2 4 2" xfId="4767"/>
    <cellStyle name="표준 2 2 2 2 7 2 2 4 2 2" xfId="4768"/>
    <cellStyle name="표준 2 2 2 2 7 2 2 4 2 3" xfId="4769"/>
    <cellStyle name="표준 2 2 2 2 7 2 2 4 2 3 2" xfId="4770"/>
    <cellStyle name="표준 2 2 2 2 7 2 2 4 3" xfId="4771"/>
    <cellStyle name="표준 2 2 2 2 7 2 2 4 3 2" xfId="4772"/>
    <cellStyle name="표준 2 2 2 2 7 2 2 4 3 3" xfId="4773"/>
    <cellStyle name="표준 2 2 2 2 7 2 2 4 3 3 2" xfId="4774"/>
    <cellStyle name="표준 2 2 2 2 7 2 2 4 4" xfId="4775"/>
    <cellStyle name="표준 2 2 2 2 7 2 2 4 5" xfId="4776"/>
    <cellStyle name="표준 2 2 2 2 7 2 2 4 5 2" xfId="4777"/>
    <cellStyle name="표준 2 2 2 2 7 2 2 5" xfId="4778"/>
    <cellStyle name="표준 2 2 2 2 7 2 2 5 2" xfId="4779"/>
    <cellStyle name="표준 2 2 2 2 7 2 2 5 3" xfId="4780"/>
    <cellStyle name="표준 2 2 2 2 7 2 2 5 3 2" xfId="4781"/>
    <cellStyle name="표준 2 2 2 2 7 2 2 6" xfId="4782"/>
    <cellStyle name="표준 2 2 2 2 7 2 2 6 2" xfId="4783"/>
    <cellStyle name="표준 2 2 2 2 7 2 2 6 3" xfId="4784"/>
    <cellStyle name="표준 2 2 2 2 7 2 2 6 3 2" xfId="4785"/>
    <cellStyle name="표준 2 2 2 2 7 2 2 7" xfId="4786"/>
    <cellStyle name="표준 2 2 2 2 7 2 2 8" xfId="4787"/>
    <cellStyle name="표준 2 2 2 2 7 2 2 8 2" xfId="4788"/>
    <cellStyle name="표준 2 2 2 2 7 2 3" xfId="4789"/>
    <cellStyle name="표준 2 2 2 2 7 2 3 2" xfId="4790"/>
    <cellStyle name="표준 2 2 2 2 7 2 3 2 2" xfId="4791"/>
    <cellStyle name="표준 2 2 2 2 7 2 3 2 2 2" xfId="4792"/>
    <cellStyle name="표준 2 2 2 2 7 2 3 2 2 3" xfId="4793"/>
    <cellStyle name="표준 2 2 2 2 7 2 3 2 2 3 2" xfId="4794"/>
    <cellStyle name="표준 2 2 2 2 7 2 3 2 3" xfId="4795"/>
    <cellStyle name="표준 2 2 2 2 7 2 3 2 3 2" xfId="4796"/>
    <cellStyle name="표준 2 2 2 2 7 2 3 2 3 3" xfId="4797"/>
    <cellStyle name="표준 2 2 2 2 7 2 3 2 3 3 2" xfId="4798"/>
    <cellStyle name="표준 2 2 2 2 7 2 3 2 4" xfId="4799"/>
    <cellStyle name="표준 2 2 2 2 7 2 3 2 5" xfId="4800"/>
    <cellStyle name="표준 2 2 2 2 7 2 3 2 5 2" xfId="4801"/>
    <cellStyle name="표준 2 2 2 2 7 2 3 3" xfId="4802"/>
    <cellStyle name="표준 2 2 2 2 7 2 3 3 2" xfId="4803"/>
    <cellStyle name="표준 2 2 2 2 7 2 3 3 2 2" xfId="4804"/>
    <cellStyle name="표준 2 2 2 2 7 2 3 3 2 3" xfId="4805"/>
    <cellStyle name="표준 2 2 2 2 7 2 3 3 2 3 2" xfId="4806"/>
    <cellStyle name="표준 2 2 2 2 7 2 3 3 3" xfId="4807"/>
    <cellStyle name="표준 2 2 2 2 7 2 3 3 3 2" xfId="4808"/>
    <cellStyle name="표준 2 2 2 2 7 2 3 3 3 3" xfId="4809"/>
    <cellStyle name="표준 2 2 2 2 7 2 3 3 3 3 2" xfId="4810"/>
    <cellStyle name="표준 2 2 2 2 7 2 3 3 4" xfId="4811"/>
    <cellStyle name="표준 2 2 2 2 7 2 3 3 5" xfId="4812"/>
    <cellStyle name="표준 2 2 2 2 7 2 3 3 5 2" xfId="4813"/>
    <cellStyle name="표준 2 2 2 2 7 2 3 4" xfId="4814"/>
    <cellStyle name="표준 2 2 2 2 7 2 3 4 2" xfId="4815"/>
    <cellStyle name="표준 2 2 2 2 7 2 3 4 3" xfId="4816"/>
    <cellStyle name="표준 2 2 2 2 7 2 3 4 3 2" xfId="4817"/>
    <cellStyle name="표준 2 2 2 2 7 2 3 5" xfId="4818"/>
    <cellStyle name="표준 2 2 2 2 7 2 3 5 2" xfId="4819"/>
    <cellStyle name="표준 2 2 2 2 7 2 3 5 3" xfId="4820"/>
    <cellStyle name="표준 2 2 2 2 7 2 3 5 3 2" xfId="4821"/>
    <cellStyle name="표준 2 2 2 2 7 2 3 6" xfId="4822"/>
    <cellStyle name="표준 2 2 2 2 7 2 3 7" xfId="4823"/>
    <cellStyle name="표준 2 2 2 2 7 2 3 7 2" xfId="4824"/>
    <cellStyle name="표준 2 2 2 2 7 2 4" xfId="4825"/>
    <cellStyle name="표준 2 2 2 2 7 2 4 2" xfId="4826"/>
    <cellStyle name="표준 2 2 2 2 7 2 4 2 2" xfId="4827"/>
    <cellStyle name="표준 2 2 2 2 7 2 4 2 3" xfId="4828"/>
    <cellStyle name="표준 2 2 2 2 7 2 4 2 3 2" xfId="4829"/>
    <cellStyle name="표준 2 2 2 2 7 2 4 3" xfId="4830"/>
    <cellStyle name="표준 2 2 2 2 7 2 4 3 2" xfId="4831"/>
    <cellStyle name="표준 2 2 2 2 7 2 4 3 3" xfId="4832"/>
    <cellStyle name="표준 2 2 2 2 7 2 4 3 3 2" xfId="4833"/>
    <cellStyle name="표준 2 2 2 2 7 2 4 4" xfId="4834"/>
    <cellStyle name="표준 2 2 2 2 7 2 4 5" xfId="4835"/>
    <cellStyle name="표준 2 2 2 2 7 2 4 5 2" xfId="4836"/>
    <cellStyle name="표준 2 2 2 2 7 2 5" xfId="4837"/>
    <cellStyle name="표준 2 2 2 2 7 2 5 2" xfId="4838"/>
    <cellStyle name="표준 2 2 2 2 7 2 5 2 2" xfId="4839"/>
    <cellStyle name="표준 2 2 2 2 7 2 5 2 3" xfId="4840"/>
    <cellStyle name="표준 2 2 2 2 7 2 5 2 3 2" xfId="4841"/>
    <cellStyle name="표준 2 2 2 2 7 2 5 3" xfId="4842"/>
    <cellStyle name="표준 2 2 2 2 7 2 5 3 2" xfId="4843"/>
    <cellStyle name="표준 2 2 2 2 7 2 5 3 3" xfId="4844"/>
    <cellStyle name="표준 2 2 2 2 7 2 5 3 3 2" xfId="4845"/>
    <cellStyle name="표준 2 2 2 2 7 2 5 4" xfId="4846"/>
    <cellStyle name="표준 2 2 2 2 7 2 5 5" xfId="4847"/>
    <cellStyle name="표준 2 2 2 2 7 2 5 5 2" xfId="4848"/>
    <cellStyle name="표준 2 2 2 2 7 2 6" xfId="4849"/>
    <cellStyle name="표준 2 2 2 2 7 2 6 2" xfId="4850"/>
    <cellStyle name="표준 2 2 2 2 7 2 6 3" xfId="4851"/>
    <cellStyle name="표준 2 2 2 2 7 2 6 3 2" xfId="4852"/>
    <cellStyle name="표준 2 2 2 2 7 2 7" xfId="4853"/>
    <cellStyle name="표준 2 2 2 2 7 2 7 2" xfId="4854"/>
    <cellStyle name="표준 2 2 2 2 7 2 7 3" xfId="4855"/>
    <cellStyle name="표준 2 2 2 2 7 2 7 3 2" xfId="4856"/>
    <cellStyle name="표준 2 2 2 2 7 2 8" xfId="4857"/>
    <cellStyle name="표준 2 2 2 2 7 2 9" xfId="4858"/>
    <cellStyle name="표준 2 2 2 2 7 2 9 2" xfId="4859"/>
    <cellStyle name="표준 2 2 2 2 7 3" xfId="4860"/>
    <cellStyle name="표준 2 2 2 2 7 3 2" xfId="4861"/>
    <cellStyle name="표준 2 2 2 2 7 3 2 2" xfId="4862"/>
    <cellStyle name="표준 2 2 2 2 7 3 2 2 2" xfId="4863"/>
    <cellStyle name="표준 2 2 2 2 7 3 2 2 2 2" xfId="4864"/>
    <cellStyle name="표준 2 2 2 2 7 3 2 2 2 3" xfId="4865"/>
    <cellStyle name="표준 2 2 2 2 7 3 2 2 2 3 2" xfId="4866"/>
    <cellStyle name="표준 2 2 2 2 7 3 2 2 3" xfId="4867"/>
    <cellStyle name="표준 2 2 2 2 7 3 2 2 3 2" xfId="4868"/>
    <cellStyle name="표준 2 2 2 2 7 3 2 2 3 3" xfId="4869"/>
    <cellStyle name="표준 2 2 2 2 7 3 2 2 3 3 2" xfId="4870"/>
    <cellStyle name="표준 2 2 2 2 7 3 2 2 4" xfId="4871"/>
    <cellStyle name="표준 2 2 2 2 7 3 2 2 5" xfId="4872"/>
    <cellStyle name="표준 2 2 2 2 7 3 2 2 5 2" xfId="4873"/>
    <cellStyle name="표준 2 2 2 2 7 3 2 3" xfId="4874"/>
    <cellStyle name="표준 2 2 2 2 7 3 2 3 2" xfId="4875"/>
    <cellStyle name="표준 2 2 2 2 7 3 2 3 2 2" xfId="4876"/>
    <cellStyle name="표준 2 2 2 2 7 3 2 3 2 3" xfId="4877"/>
    <cellStyle name="표준 2 2 2 2 7 3 2 3 2 3 2" xfId="4878"/>
    <cellStyle name="표준 2 2 2 2 7 3 2 3 3" xfId="4879"/>
    <cellStyle name="표준 2 2 2 2 7 3 2 3 3 2" xfId="4880"/>
    <cellStyle name="표준 2 2 2 2 7 3 2 3 3 3" xfId="4881"/>
    <cellStyle name="표준 2 2 2 2 7 3 2 3 3 3 2" xfId="4882"/>
    <cellStyle name="표준 2 2 2 2 7 3 2 3 4" xfId="4883"/>
    <cellStyle name="표준 2 2 2 2 7 3 2 3 5" xfId="4884"/>
    <cellStyle name="표준 2 2 2 2 7 3 2 3 5 2" xfId="4885"/>
    <cellStyle name="표준 2 2 2 2 7 3 2 4" xfId="4886"/>
    <cellStyle name="표준 2 2 2 2 7 3 2 4 2" xfId="4887"/>
    <cellStyle name="표준 2 2 2 2 7 3 2 4 3" xfId="4888"/>
    <cellStyle name="표준 2 2 2 2 7 3 2 4 3 2" xfId="4889"/>
    <cellStyle name="표준 2 2 2 2 7 3 2 5" xfId="4890"/>
    <cellStyle name="표준 2 2 2 2 7 3 2 5 2" xfId="4891"/>
    <cellStyle name="표준 2 2 2 2 7 3 2 5 3" xfId="4892"/>
    <cellStyle name="표준 2 2 2 2 7 3 2 5 3 2" xfId="4893"/>
    <cellStyle name="표준 2 2 2 2 7 3 2 6" xfId="4894"/>
    <cellStyle name="표준 2 2 2 2 7 3 2 7" xfId="4895"/>
    <cellStyle name="표준 2 2 2 2 7 3 2 7 2" xfId="4896"/>
    <cellStyle name="표준 2 2 2 2 7 3 3" xfId="4897"/>
    <cellStyle name="표준 2 2 2 2 7 3 3 2" xfId="4898"/>
    <cellStyle name="표준 2 2 2 2 7 3 3 2 2" xfId="4899"/>
    <cellStyle name="표준 2 2 2 2 7 3 3 2 3" xfId="4900"/>
    <cellStyle name="표준 2 2 2 2 7 3 3 2 3 2" xfId="4901"/>
    <cellStyle name="표준 2 2 2 2 7 3 3 3" xfId="4902"/>
    <cellStyle name="표준 2 2 2 2 7 3 3 3 2" xfId="4903"/>
    <cellStyle name="표준 2 2 2 2 7 3 3 3 3" xfId="4904"/>
    <cellStyle name="표준 2 2 2 2 7 3 3 3 3 2" xfId="4905"/>
    <cellStyle name="표준 2 2 2 2 7 3 3 4" xfId="4906"/>
    <cellStyle name="표준 2 2 2 2 7 3 3 5" xfId="4907"/>
    <cellStyle name="표준 2 2 2 2 7 3 3 5 2" xfId="4908"/>
    <cellStyle name="표준 2 2 2 2 7 3 4" xfId="4909"/>
    <cellStyle name="표준 2 2 2 2 7 3 4 2" xfId="4910"/>
    <cellStyle name="표준 2 2 2 2 7 3 4 2 2" xfId="4911"/>
    <cellStyle name="표준 2 2 2 2 7 3 4 2 3" xfId="4912"/>
    <cellStyle name="표준 2 2 2 2 7 3 4 2 3 2" xfId="4913"/>
    <cellStyle name="표준 2 2 2 2 7 3 4 3" xfId="4914"/>
    <cellStyle name="표준 2 2 2 2 7 3 4 3 2" xfId="4915"/>
    <cellStyle name="표준 2 2 2 2 7 3 4 3 3" xfId="4916"/>
    <cellStyle name="표준 2 2 2 2 7 3 4 3 3 2" xfId="4917"/>
    <cellStyle name="표준 2 2 2 2 7 3 4 4" xfId="4918"/>
    <cellStyle name="표준 2 2 2 2 7 3 4 5" xfId="4919"/>
    <cellStyle name="표준 2 2 2 2 7 3 4 5 2" xfId="4920"/>
    <cellStyle name="표준 2 2 2 2 7 3 5" xfId="4921"/>
    <cellStyle name="표준 2 2 2 2 7 3 5 2" xfId="4922"/>
    <cellStyle name="표준 2 2 2 2 7 3 5 3" xfId="4923"/>
    <cellStyle name="표준 2 2 2 2 7 3 5 3 2" xfId="4924"/>
    <cellStyle name="표준 2 2 2 2 7 3 6" xfId="4925"/>
    <cellStyle name="표준 2 2 2 2 7 3 6 2" xfId="4926"/>
    <cellStyle name="표준 2 2 2 2 7 3 6 3" xfId="4927"/>
    <cellStyle name="표준 2 2 2 2 7 3 6 3 2" xfId="4928"/>
    <cellStyle name="표준 2 2 2 2 7 3 7" xfId="4929"/>
    <cellStyle name="표준 2 2 2 2 7 3 8" xfId="4930"/>
    <cellStyle name="표준 2 2 2 2 7 3 8 2" xfId="4931"/>
    <cellStyle name="표준 2 2 2 2 7 4" xfId="4932"/>
    <cellStyle name="표준 2 2 2 2 7 4 2" xfId="4933"/>
    <cellStyle name="표준 2 2 2 2 7 4 2 2" xfId="4934"/>
    <cellStyle name="표준 2 2 2 2 7 4 2 3" xfId="4935"/>
    <cellStyle name="표준 2 2 2 2 7 4 2 3 2" xfId="4936"/>
    <cellStyle name="표준 2 2 2 2 7 4 3" xfId="4937"/>
    <cellStyle name="표준 2 2 2 2 7 4 3 2" xfId="4938"/>
    <cellStyle name="표준 2 2 2 2 7 4 3 3" xfId="4939"/>
    <cellStyle name="표준 2 2 2 2 7 4 3 3 2" xfId="4940"/>
    <cellStyle name="표준 2 2 2 2 7 4 4" xfId="4941"/>
    <cellStyle name="표준 2 2 2 2 7 4 5" xfId="4942"/>
    <cellStyle name="표준 2 2 2 2 7 4 5 2" xfId="4943"/>
    <cellStyle name="표준 2 2 2 2 7 5" xfId="4944"/>
    <cellStyle name="표준 2 2 2 2 7 5 2" xfId="4945"/>
    <cellStyle name="표준 2 2 2 2 7 5 2 2" xfId="4946"/>
    <cellStyle name="표준 2 2 2 2 7 5 2 3" xfId="4947"/>
    <cellStyle name="표준 2 2 2 2 7 5 2 3 2" xfId="4948"/>
    <cellStyle name="표준 2 2 2 2 7 5 3" xfId="4949"/>
    <cellStyle name="표준 2 2 2 2 7 5 3 2" xfId="4950"/>
    <cellStyle name="표준 2 2 2 2 7 5 3 3" xfId="4951"/>
    <cellStyle name="표준 2 2 2 2 7 5 3 3 2" xfId="4952"/>
    <cellStyle name="표준 2 2 2 2 7 5 4" xfId="4953"/>
    <cellStyle name="표준 2 2 2 2 7 5 5" xfId="4954"/>
    <cellStyle name="표준 2 2 2 2 7 5 5 2" xfId="4955"/>
    <cellStyle name="표준 2 2 2 2 7 6" xfId="4956"/>
    <cellStyle name="표준 2 2 2 2 7 6 2" xfId="4957"/>
    <cellStyle name="표준 2 2 2 2 7 6 3" xfId="4958"/>
    <cellStyle name="표준 2 2 2 2 7 6 3 2" xfId="4959"/>
    <cellStyle name="표준 2 2 2 2 7 7" xfId="4960"/>
    <cellStyle name="표준 2 2 2 2 7 7 2" xfId="4961"/>
    <cellStyle name="표준 2 2 2 2 7 7 3" xfId="4962"/>
    <cellStyle name="표준 2 2 2 2 7 7 3 2" xfId="4963"/>
    <cellStyle name="표준 2 2 2 2 7 8" xfId="4964"/>
    <cellStyle name="표준 2 2 2 2 7 9" xfId="4965"/>
    <cellStyle name="표준 2 2 2 2 7 9 2" xfId="4966"/>
    <cellStyle name="표준 2 2 2 2 8" xfId="4967"/>
    <cellStyle name="표준 2 2 2 2 8 2" xfId="4968"/>
    <cellStyle name="표준 2 2 2 2 8 2 2" xfId="4969"/>
    <cellStyle name="표준 2 2 2 2 8 2 2 2" xfId="4970"/>
    <cellStyle name="표준 2 2 2 2 8 2 2 2 2" xfId="4971"/>
    <cellStyle name="표준 2 2 2 2 8 2 2 2 2 2" xfId="4972"/>
    <cellStyle name="표준 2 2 2 2 8 2 2 2 2 2 2" xfId="4973"/>
    <cellStyle name="표준 2 2 2 2 8 2 2 2 2 2 3" xfId="4974"/>
    <cellStyle name="표준 2 2 2 2 8 2 2 2 2 2 3 2" xfId="4975"/>
    <cellStyle name="표준 2 2 2 2 8 2 2 2 2 3" xfId="4976"/>
    <cellStyle name="표준 2 2 2 2 8 2 2 2 2 3 2" xfId="4977"/>
    <cellStyle name="표준 2 2 2 2 8 2 2 2 2 3 3" xfId="4978"/>
    <cellStyle name="표준 2 2 2 2 8 2 2 2 2 3 3 2" xfId="4979"/>
    <cellStyle name="표준 2 2 2 2 8 2 2 2 2 4" xfId="4980"/>
    <cellStyle name="표준 2 2 2 2 8 2 2 2 2 5" xfId="4981"/>
    <cellStyle name="표준 2 2 2 2 8 2 2 2 2 5 2" xfId="4982"/>
    <cellStyle name="표준 2 2 2 2 8 2 2 2 3" xfId="4983"/>
    <cellStyle name="표준 2 2 2 2 8 2 2 2 3 2" xfId="4984"/>
    <cellStyle name="표준 2 2 2 2 8 2 2 2 3 2 2" xfId="4985"/>
    <cellStyle name="표준 2 2 2 2 8 2 2 2 3 2 3" xfId="4986"/>
    <cellStyle name="표준 2 2 2 2 8 2 2 2 3 2 3 2" xfId="4987"/>
    <cellStyle name="표준 2 2 2 2 8 2 2 2 3 3" xfId="4988"/>
    <cellStyle name="표준 2 2 2 2 8 2 2 2 3 3 2" xfId="4989"/>
    <cellStyle name="표준 2 2 2 2 8 2 2 2 3 3 3" xfId="4990"/>
    <cellStyle name="표준 2 2 2 2 8 2 2 2 3 3 3 2" xfId="4991"/>
    <cellStyle name="표준 2 2 2 2 8 2 2 2 3 4" xfId="4992"/>
    <cellStyle name="표준 2 2 2 2 8 2 2 2 3 5" xfId="4993"/>
    <cellStyle name="표준 2 2 2 2 8 2 2 2 3 5 2" xfId="4994"/>
    <cellStyle name="표준 2 2 2 2 8 2 2 2 4" xfId="4995"/>
    <cellStyle name="표준 2 2 2 2 8 2 2 2 4 2" xfId="4996"/>
    <cellStyle name="표준 2 2 2 2 8 2 2 2 4 3" xfId="4997"/>
    <cellStyle name="표준 2 2 2 2 8 2 2 2 4 3 2" xfId="4998"/>
    <cellStyle name="표준 2 2 2 2 8 2 2 2 5" xfId="4999"/>
    <cellStyle name="표준 2 2 2 2 8 2 2 2 5 2" xfId="5000"/>
    <cellStyle name="표준 2 2 2 2 8 2 2 2 5 3" xfId="5001"/>
    <cellStyle name="표준 2 2 2 2 8 2 2 2 5 3 2" xfId="5002"/>
    <cellStyle name="표준 2 2 2 2 8 2 2 2 6" xfId="5003"/>
    <cellStyle name="표준 2 2 2 2 8 2 2 2 7" xfId="5004"/>
    <cellStyle name="표준 2 2 2 2 8 2 2 2 7 2" xfId="5005"/>
    <cellStyle name="표준 2 2 2 2 8 2 2 3" xfId="5006"/>
    <cellStyle name="표준 2 2 2 2 8 2 2 3 2" xfId="5007"/>
    <cellStyle name="표준 2 2 2 2 8 2 2 3 2 2" xfId="5008"/>
    <cellStyle name="표준 2 2 2 2 8 2 2 3 2 3" xfId="5009"/>
    <cellStyle name="표준 2 2 2 2 8 2 2 3 2 3 2" xfId="5010"/>
    <cellStyle name="표준 2 2 2 2 8 2 2 3 3" xfId="5011"/>
    <cellStyle name="표준 2 2 2 2 8 2 2 3 3 2" xfId="5012"/>
    <cellStyle name="표준 2 2 2 2 8 2 2 3 3 3" xfId="5013"/>
    <cellStyle name="표준 2 2 2 2 8 2 2 3 3 3 2" xfId="5014"/>
    <cellStyle name="표준 2 2 2 2 8 2 2 3 4" xfId="5015"/>
    <cellStyle name="표준 2 2 2 2 8 2 2 3 5" xfId="5016"/>
    <cellStyle name="표준 2 2 2 2 8 2 2 3 5 2" xfId="5017"/>
    <cellStyle name="표준 2 2 2 2 8 2 2 4" xfId="5018"/>
    <cellStyle name="표준 2 2 2 2 8 2 2 4 2" xfId="5019"/>
    <cellStyle name="표준 2 2 2 2 8 2 2 4 2 2" xfId="5020"/>
    <cellStyle name="표준 2 2 2 2 8 2 2 4 2 3" xfId="5021"/>
    <cellStyle name="표준 2 2 2 2 8 2 2 4 2 3 2" xfId="5022"/>
    <cellStyle name="표준 2 2 2 2 8 2 2 4 3" xfId="5023"/>
    <cellStyle name="표준 2 2 2 2 8 2 2 4 3 2" xfId="5024"/>
    <cellStyle name="표준 2 2 2 2 8 2 2 4 3 3" xfId="5025"/>
    <cellStyle name="표준 2 2 2 2 8 2 2 4 3 3 2" xfId="5026"/>
    <cellStyle name="표준 2 2 2 2 8 2 2 4 4" xfId="5027"/>
    <cellStyle name="표준 2 2 2 2 8 2 2 4 5" xfId="5028"/>
    <cellStyle name="표준 2 2 2 2 8 2 2 4 5 2" xfId="5029"/>
    <cellStyle name="표준 2 2 2 2 8 2 2 5" xfId="5030"/>
    <cellStyle name="표준 2 2 2 2 8 2 2 5 2" xfId="5031"/>
    <cellStyle name="표준 2 2 2 2 8 2 2 5 3" xfId="5032"/>
    <cellStyle name="표준 2 2 2 2 8 2 2 5 3 2" xfId="5033"/>
    <cellStyle name="표준 2 2 2 2 8 2 2 6" xfId="5034"/>
    <cellStyle name="표준 2 2 2 2 8 2 2 6 2" xfId="5035"/>
    <cellStyle name="표준 2 2 2 2 8 2 2 6 3" xfId="5036"/>
    <cellStyle name="표준 2 2 2 2 8 2 2 6 3 2" xfId="5037"/>
    <cellStyle name="표준 2 2 2 2 8 2 2 7" xfId="5038"/>
    <cellStyle name="표준 2 2 2 2 8 2 2 8" xfId="5039"/>
    <cellStyle name="표준 2 2 2 2 8 2 2 8 2" xfId="5040"/>
    <cellStyle name="표준 2 2 2 2 8 2 3" xfId="5041"/>
    <cellStyle name="표준 2 2 2 2 8 2 3 2" xfId="5042"/>
    <cellStyle name="표준 2 2 2 2 8 2 3 2 2" xfId="5043"/>
    <cellStyle name="표준 2 2 2 2 8 2 3 2 2 2" xfId="5044"/>
    <cellStyle name="표준 2 2 2 2 8 2 3 2 2 3" xfId="5045"/>
    <cellStyle name="표준 2 2 2 2 8 2 3 2 2 3 2" xfId="5046"/>
    <cellStyle name="표준 2 2 2 2 8 2 3 2 3" xfId="5047"/>
    <cellStyle name="표준 2 2 2 2 8 2 3 2 3 2" xfId="5048"/>
    <cellStyle name="표준 2 2 2 2 8 2 3 2 3 3" xfId="5049"/>
    <cellStyle name="표준 2 2 2 2 8 2 3 2 3 3 2" xfId="5050"/>
    <cellStyle name="표준 2 2 2 2 8 2 3 2 4" xfId="5051"/>
    <cellStyle name="표준 2 2 2 2 8 2 3 2 5" xfId="5052"/>
    <cellStyle name="표준 2 2 2 2 8 2 3 2 5 2" xfId="5053"/>
    <cellStyle name="표준 2 2 2 2 8 2 3 3" xfId="5054"/>
    <cellStyle name="표준 2 2 2 2 8 2 3 3 2" xfId="5055"/>
    <cellStyle name="표준 2 2 2 2 8 2 3 3 2 2" xfId="5056"/>
    <cellStyle name="표준 2 2 2 2 8 2 3 3 2 3" xfId="5057"/>
    <cellStyle name="표준 2 2 2 2 8 2 3 3 2 3 2" xfId="5058"/>
    <cellStyle name="표준 2 2 2 2 8 2 3 3 3" xfId="5059"/>
    <cellStyle name="표준 2 2 2 2 8 2 3 3 3 2" xfId="5060"/>
    <cellStyle name="표준 2 2 2 2 8 2 3 3 3 3" xfId="5061"/>
    <cellStyle name="표준 2 2 2 2 8 2 3 3 3 3 2" xfId="5062"/>
    <cellStyle name="표준 2 2 2 2 8 2 3 3 4" xfId="5063"/>
    <cellStyle name="표준 2 2 2 2 8 2 3 3 5" xfId="5064"/>
    <cellStyle name="표준 2 2 2 2 8 2 3 3 5 2" xfId="5065"/>
    <cellStyle name="표준 2 2 2 2 8 2 3 4" xfId="5066"/>
    <cellStyle name="표준 2 2 2 2 8 2 3 4 2" xfId="5067"/>
    <cellStyle name="표준 2 2 2 2 8 2 3 4 3" xfId="5068"/>
    <cellStyle name="표준 2 2 2 2 8 2 3 4 3 2" xfId="5069"/>
    <cellStyle name="표준 2 2 2 2 8 2 3 5" xfId="5070"/>
    <cellStyle name="표준 2 2 2 2 8 2 3 5 2" xfId="5071"/>
    <cellStyle name="표준 2 2 2 2 8 2 3 5 3" xfId="5072"/>
    <cellStyle name="표준 2 2 2 2 8 2 3 5 3 2" xfId="5073"/>
    <cellStyle name="표준 2 2 2 2 8 2 3 6" xfId="5074"/>
    <cellStyle name="표준 2 2 2 2 8 2 3 7" xfId="5075"/>
    <cellStyle name="표준 2 2 2 2 8 2 3 7 2" xfId="5076"/>
    <cellStyle name="표준 2 2 2 2 8 2 4" xfId="5077"/>
    <cellStyle name="표준 2 2 2 2 8 2 4 2" xfId="5078"/>
    <cellStyle name="표준 2 2 2 2 8 2 4 2 2" xfId="5079"/>
    <cellStyle name="표준 2 2 2 2 8 2 4 2 3" xfId="5080"/>
    <cellStyle name="표준 2 2 2 2 8 2 4 2 3 2" xfId="5081"/>
    <cellStyle name="표준 2 2 2 2 8 2 4 3" xfId="5082"/>
    <cellStyle name="표준 2 2 2 2 8 2 4 3 2" xfId="5083"/>
    <cellStyle name="표준 2 2 2 2 8 2 4 3 3" xfId="5084"/>
    <cellStyle name="표준 2 2 2 2 8 2 4 3 3 2" xfId="5085"/>
    <cellStyle name="표준 2 2 2 2 8 2 4 4" xfId="5086"/>
    <cellStyle name="표준 2 2 2 2 8 2 4 5" xfId="5087"/>
    <cellStyle name="표준 2 2 2 2 8 2 4 5 2" xfId="5088"/>
    <cellStyle name="표준 2 2 2 2 8 2 5" xfId="5089"/>
    <cellStyle name="표준 2 2 2 2 8 2 5 2" xfId="5090"/>
    <cellStyle name="표준 2 2 2 2 8 2 5 2 2" xfId="5091"/>
    <cellStyle name="표준 2 2 2 2 8 2 5 2 3" xfId="5092"/>
    <cellStyle name="표준 2 2 2 2 8 2 5 2 3 2" xfId="5093"/>
    <cellStyle name="표준 2 2 2 2 8 2 5 3" xfId="5094"/>
    <cellStyle name="표준 2 2 2 2 8 2 5 3 2" xfId="5095"/>
    <cellStyle name="표준 2 2 2 2 8 2 5 3 3" xfId="5096"/>
    <cellStyle name="표준 2 2 2 2 8 2 5 3 3 2" xfId="5097"/>
    <cellStyle name="표준 2 2 2 2 8 2 5 4" xfId="5098"/>
    <cellStyle name="표준 2 2 2 2 8 2 5 5" xfId="5099"/>
    <cellStyle name="표준 2 2 2 2 8 2 5 5 2" xfId="5100"/>
    <cellStyle name="표준 2 2 2 2 8 2 6" xfId="5101"/>
    <cellStyle name="표준 2 2 2 2 8 2 6 2" xfId="5102"/>
    <cellStyle name="표준 2 2 2 2 8 2 6 3" xfId="5103"/>
    <cellStyle name="표준 2 2 2 2 8 2 6 3 2" xfId="5104"/>
    <cellStyle name="표준 2 2 2 2 8 2 7" xfId="5105"/>
    <cellStyle name="표준 2 2 2 2 8 2 7 2" xfId="5106"/>
    <cellStyle name="표준 2 2 2 2 8 2 7 3" xfId="5107"/>
    <cellStyle name="표준 2 2 2 2 8 2 7 3 2" xfId="5108"/>
    <cellStyle name="표준 2 2 2 2 8 2 8" xfId="5109"/>
    <cellStyle name="표준 2 2 2 2 8 2 9" xfId="5110"/>
    <cellStyle name="표준 2 2 2 2 8 2 9 2" xfId="5111"/>
    <cellStyle name="표준 2 2 2 2 8 3" xfId="5112"/>
    <cellStyle name="표준 2 2 2 2 8 3 2" xfId="5113"/>
    <cellStyle name="표준 2 2 2 2 8 3 2 2" xfId="5114"/>
    <cellStyle name="표준 2 2 2 2 8 3 2 2 2" xfId="5115"/>
    <cellStyle name="표준 2 2 2 2 8 3 2 2 2 2" xfId="5116"/>
    <cellStyle name="표준 2 2 2 2 8 3 2 2 2 3" xfId="5117"/>
    <cellStyle name="표준 2 2 2 2 8 3 2 2 2 3 2" xfId="5118"/>
    <cellStyle name="표준 2 2 2 2 8 3 2 2 3" xfId="5119"/>
    <cellStyle name="표준 2 2 2 2 8 3 2 2 3 2" xfId="5120"/>
    <cellStyle name="표준 2 2 2 2 8 3 2 2 3 3" xfId="5121"/>
    <cellStyle name="표준 2 2 2 2 8 3 2 2 3 3 2" xfId="5122"/>
    <cellStyle name="표준 2 2 2 2 8 3 2 2 4" xfId="5123"/>
    <cellStyle name="표준 2 2 2 2 8 3 2 2 5" xfId="5124"/>
    <cellStyle name="표준 2 2 2 2 8 3 2 2 5 2" xfId="5125"/>
    <cellStyle name="표준 2 2 2 2 8 3 2 3" xfId="5126"/>
    <cellStyle name="표준 2 2 2 2 8 3 2 3 2" xfId="5127"/>
    <cellStyle name="표준 2 2 2 2 8 3 2 3 2 2" xfId="5128"/>
    <cellStyle name="표준 2 2 2 2 8 3 2 3 2 3" xfId="5129"/>
    <cellStyle name="표준 2 2 2 2 8 3 2 3 2 3 2" xfId="5130"/>
    <cellStyle name="표준 2 2 2 2 8 3 2 3 3" xfId="5131"/>
    <cellStyle name="표준 2 2 2 2 8 3 2 3 3 2" xfId="5132"/>
    <cellStyle name="표준 2 2 2 2 8 3 2 3 3 3" xfId="5133"/>
    <cellStyle name="표준 2 2 2 2 8 3 2 3 3 3 2" xfId="5134"/>
    <cellStyle name="표준 2 2 2 2 8 3 2 3 4" xfId="5135"/>
    <cellStyle name="표준 2 2 2 2 8 3 2 3 5" xfId="5136"/>
    <cellStyle name="표준 2 2 2 2 8 3 2 3 5 2" xfId="5137"/>
    <cellStyle name="표준 2 2 2 2 8 3 2 4" xfId="5138"/>
    <cellStyle name="표준 2 2 2 2 8 3 2 4 2" xfId="5139"/>
    <cellStyle name="표준 2 2 2 2 8 3 2 4 3" xfId="5140"/>
    <cellStyle name="표준 2 2 2 2 8 3 2 4 3 2" xfId="5141"/>
    <cellStyle name="표준 2 2 2 2 8 3 2 5" xfId="5142"/>
    <cellStyle name="표준 2 2 2 2 8 3 2 5 2" xfId="5143"/>
    <cellStyle name="표준 2 2 2 2 8 3 2 5 3" xfId="5144"/>
    <cellStyle name="표준 2 2 2 2 8 3 2 5 3 2" xfId="5145"/>
    <cellStyle name="표준 2 2 2 2 8 3 2 6" xfId="5146"/>
    <cellStyle name="표준 2 2 2 2 8 3 2 7" xfId="5147"/>
    <cellStyle name="표준 2 2 2 2 8 3 2 7 2" xfId="5148"/>
    <cellStyle name="표준 2 2 2 2 8 3 3" xfId="5149"/>
    <cellStyle name="표준 2 2 2 2 8 3 3 2" xfId="5150"/>
    <cellStyle name="표준 2 2 2 2 8 3 3 2 2" xfId="5151"/>
    <cellStyle name="표준 2 2 2 2 8 3 3 2 3" xfId="5152"/>
    <cellStyle name="표준 2 2 2 2 8 3 3 2 3 2" xfId="5153"/>
    <cellStyle name="표준 2 2 2 2 8 3 3 3" xfId="5154"/>
    <cellStyle name="표준 2 2 2 2 8 3 3 3 2" xfId="5155"/>
    <cellStyle name="표준 2 2 2 2 8 3 3 3 3" xfId="5156"/>
    <cellStyle name="표준 2 2 2 2 8 3 3 3 3 2" xfId="5157"/>
    <cellStyle name="표준 2 2 2 2 8 3 3 4" xfId="5158"/>
    <cellStyle name="표준 2 2 2 2 8 3 3 5" xfId="5159"/>
    <cellStyle name="표준 2 2 2 2 8 3 3 5 2" xfId="5160"/>
    <cellStyle name="표준 2 2 2 2 8 3 4" xfId="5161"/>
    <cellStyle name="표준 2 2 2 2 8 3 4 2" xfId="5162"/>
    <cellStyle name="표준 2 2 2 2 8 3 4 2 2" xfId="5163"/>
    <cellStyle name="표준 2 2 2 2 8 3 4 2 3" xfId="5164"/>
    <cellStyle name="표준 2 2 2 2 8 3 4 2 3 2" xfId="5165"/>
    <cellStyle name="표준 2 2 2 2 8 3 4 3" xfId="5166"/>
    <cellStyle name="표준 2 2 2 2 8 3 4 3 2" xfId="5167"/>
    <cellStyle name="표준 2 2 2 2 8 3 4 3 3" xfId="5168"/>
    <cellStyle name="표준 2 2 2 2 8 3 4 3 3 2" xfId="5169"/>
    <cellStyle name="표준 2 2 2 2 8 3 4 4" xfId="5170"/>
    <cellStyle name="표준 2 2 2 2 8 3 4 5" xfId="5171"/>
    <cellStyle name="표준 2 2 2 2 8 3 4 5 2" xfId="5172"/>
    <cellStyle name="표준 2 2 2 2 8 3 5" xfId="5173"/>
    <cellStyle name="표준 2 2 2 2 8 3 5 2" xfId="5174"/>
    <cellStyle name="표준 2 2 2 2 8 3 5 3" xfId="5175"/>
    <cellStyle name="표준 2 2 2 2 8 3 5 3 2" xfId="5176"/>
    <cellStyle name="표준 2 2 2 2 8 3 6" xfId="5177"/>
    <cellStyle name="표준 2 2 2 2 8 3 6 2" xfId="5178"/>
    <cellStyle name="표준 2 2 2 2 8 3 6 3" xfId="5179"/>
    <cellStyle name="표준 2 2 2 2 8 3 6 3 2" xfId="5180"/>
    <cellStyle name="표준 2 2 2 2 8 3 7" xfId="5181"/>
    <cellStyle name="표준 2 2 2 2 8 3 8" xfId="5182"/>
    <cellStyle name="표준 2 2 2 2 8 3 8 2" xfId="5183"/>
    <cellStyle name="표준 2 2 2 2 8 4" xfId="5184"/>
    <cellStyle name="표준 2 2 2 2 8 4 2" xfId="5185"/>
    <cellStyle name="표준 2 2 2 2 8 4 2 2" xfId="5186"/>
    <cellStyle name="표준 2 2 2 2 8 4 2 3" xfId="5187"/>
    <cellStyle name="표준 2 2 2 2 8 4 2 3 2" xfId="5188"/>
    <cellStyle name="표준 2 2 2 2 8 4 3" xfId="5189"/>
    <cellStyle name="표준 2 2 2 2 8 4 3 2" xfId="5190"/>
    <cellStyle name="표준 2 2 2 2 8 4 3 3" xfId="5191"/>
    <cellStyle name="표준 2 2 2 2 8 4 3 3 2" xfId="5192"/>
    <cellStyle name="표준 2 2 2 2 8 4 4" xfId="5193"/>
    <cellStyle name="표준 2 2 2 2 8 4 5" xfId="5194"/>
    <cellStyle name="표준 2 2 2 2 8 4 5 2" xfId="5195"/>
    <cellStyle name="표준 2 2 2 2 8 5" xfId="5196"/>
    <cellStyle name="표준 2 2 2 2 8 5 2" xfId="5197"/>
    <cellStyle name="표준 2 2 2 2 8 5 2 2" xfId="5198"/>
    <cellStyle name="표준 2 2 2 2 8 5 2 3" xfId="5199"/>
    <cellStyle name="표준 2 2 2 2 8 5 2 3 2" xfId="5200"/>
    <cellStyle name="표준 2 2 2 2 8 5 3" xfId="5201"/>
    <cellStyle name="표준 2 2 2 2 8 5 3 2" xfId="5202"/>
    <cellStyle name="표준 2 2 2 2 8 5 3 3" xfId="5203"/>
    <cellStyle name="표준 2 2 2 2 8 5 3 3 2" xfId="5204"/>
    <cellStyle name="표준 2 2 2 2 8 5 4" xfId="5205"/>
    <cellStyle name="표준 2 2 2 2 8 5 5" xfId="5206"/>
    <cellStyle name="표준 2 2 2 2 8 5 5 2" xfId="5207"/>
    <cellStyle name="표준 2 2 2 2 8 6" xfId="5208"/>
    <cellStyle name="표준 2 2 2 2 8 6 2" xfId="5209"/>
    <cellStyle name="표준 2 2 2 2 8 6 3" xfId="5210"/>
    <cellStyle name="표준 2 2 2 2 8 6 3 2" xfId="5211"/>
    <cellStyle name="표준 2 2 2 2 8 7" xfId="5212"/>
    <cellStyle name="표준 2 2 2 2 8 7 2" xfId="5213"/>
    <cellStyle name="표준 2 2 2 2 8 7 3" xfId="5214"/>
    <cellStyle name="표준 2 2 2 2 8 7 3 2" xfId="5215"/>
    <cellStyle name="표준 2 2 2 2 8 8" xfId="5216"/>
    <cellStyle name="표준 2 2 2 2 8 9" xfId="5217"/>
    <cellStyle name="표준 2 2 2 2 8 9 2" xfId="5218"/>
    <cellStyle name="표준 2 2 2 2 9" xfId="5219"/>
    <cellStyle name="표준 2 2 2 2 9 2" xfId="5220"/>
    <cellStyle name="표준 2 2 2 2 9 2 2" xfId="5221"/>
    <cellStyle name="표준 2 2 2 2 9 2 2 2" xfId="5222"/>
    <cellStyle name="표준 2 2 2 2 9 2 2 2 2" xfId="5223"/>
    <cellStyle name="표준 2 2 2 2 9 2 2 2 2 2" xfId="5224"/>
    <cellStyle name="표준 2 2 2 2 9 2 2 2 2 2 2" xfId="5225"/>
    <cellStyle name="표준 2 2 2 2 9 2 2 2 2 2 3" xfId="5226"/>
    <cellStyle name="표준 2 2 2 2 9 2 2 2 2 2 3 2" xfId="5227"/>
    <cellStyle name="표준 2 2 2 2 9 2 2 2 2 3" xfId="5228"/>
    <cellStyle name="표준 2 2 2 2 9 2 2 2 2 3 2" xfId="5229"/>
    <cellStyle name="표준 2 2 2 2 9 2 2 2 2 3 3" xfId="5230"/>
    <cellStyle name="표준 2 2 2 2 9 2 2 2 2 3 3 2" xfId="5231"/>
    <cellStyle name="표준 2 2 2 2 9 2 2 2 2 4" xfId="5232"/>
    <cellStyle name="표준 2 2 2 2 9 2 2 2 2 5" xfId="5233"/>
    <cellStyle name="표준 2 2 2 2 9 2 2 2 2 5 2" xfId="5234"/>
    <cellStyle name="표준 2 2 2 2 9 2 2 2 3" xfId="5235"/>
    <cellStyle name="표준 2 2 2 2 9 2 2 2 3 2" xfId="5236"/>
    <cellStyle name="표준 2 2 2 2 9 2 2 2 3 2 2" xfId="5237"/>
    <cellStyle name="표준 2 2 2 2 9 2 2 2 3 2 3" xfId="5238"/>
    <cellStyle name="표준 2 2 2 2 9 2 2 2 3 2 3 2" xfId="5239"/>
    <cellStyle name="표준 2 2 2 2 9 2 2 2 3 3" xfId="5240"/>
    <cellStyle name="표준 2 2 2 2 9 2 2 2 3 3 2" xfId="5241"/>
    <cellStyle name="표준 2 2 2 2 9 2 2 2 3 3 3" xfId="5242"/>
    <cellStyle name="표준 2 2 2 2 9 2 2 2 3 3 3 2" xfId="5243"/>
    <cellStyle name="표준 2 2 2 2 9 2 2 2 3 4" xfId="5244"/>
    <cellStyle name="표준 2 2 2 2 9 2 2 2 3 5" xfId="5245"/>
    <cellStyle name="표준 2 2 2 2 9 2 2 2 3 5 2" xfId="5246"/>
    <cellStyle name="표준 2 2 2 2 9 2 2 2 4" xfId="5247"/>
    <cellStyle name="표준 2 2 2 2 9 2 2 2 4 2" xfId="5248"/>
    <cellStyle name="표준 2 2 2 2 9 2 2 2 4 3" xfId="5249"/>
    <cellStyle name="표준 2 2 2 2 9 2 2 2 4 3 2" xfId="5250"/>
    <cellStyle name="표준 2 2 2 2 9 2 2 2 5" xfId="5251"/>
    <cellStyle name="표준 2 2 2 2 9 2 2 2 5 2" xfId="5252"/>
    <cellStyle name="표준 2 2 2 2 9 2 2 2 5 3" xfId="5253"/>
    <cellStyle name="표준 2 2 2 2 9 2 2 2 5 3 2" xfId="5254"/>
    <cellStyle name="표준 2 2 2 2 9 2 2 2 6" xfId="5255"/>
    <cellStyle name="표준 2 2 2 2 9 2 2 2 7" xfId="5256"/>
    <cellStyle name="표준 2 2 2 2 9 2 2 2 7 2" xfId="5257"/>
    <cellStyle name="표준 2 2 2 2 9 2 2 3" xfId="5258"/>
    <cellStyle name="표준 2 2 2 2 9 2 2 3 2" xfId="5259"/>
    <cellStyle name="표준 2 2 2 2 9 2 2 3 2 2" xfId="5260"/>
    <cellStyle name="표준 2 2 2 2 9 2 2 3 2 3" xfId="5261"/>
    <cellStyle name="표준 2 2 2 2 9 2 2 3 2 3 2" xfId="5262"/>
    <cellStyle name="표준 2 2 2 2 9 2 2 3 3" xfId="5263"/>
    <cellStyle name="표준 2 2 2 2 9 2 2 3 3 2" xfId="5264"/>
    <cellStyle name="표준 2 2 2 2 9 2 2 3 3 3" xfId="5265"/>
    <cellStyle name="표준 2 2 2 2 9 2 2 3 3 3 2" xfId="5266"/>
    <cellStyle name="표준 2 2 2 2 9 2 2 3 4" xfId="5267"/>
    <cellStyle name="표준 2 2 2 2 9 2 2 3 5" xfId="5268"/>
    <cellStyle name="표준 2 2 2 2 9 2 2 3 5 2" xfId="5269"/>
    <cellStyle name="표준 2 2 2 2 9 2 2 4" xfId="5270"/>
    <cellStyle name="표준 2 2 2 2 9 2 2 4 2" xfId="5271"/>
    <cellStyle name="표준 2 2 2 2 9 2 2 4 2 2" xfId="5272"/>
    <cellStyle name="표준 2 2 2 2 9 2 2 4 2 3" xfId="5273"/>
    <cellStyle name="표준 2 2 2 2 9 2 2 4 3" xfId="5274"/>
    <cellStyle name="표준 2 2 2 2 9 2 2 4 3 2" xfId="5275"/>
    <cellStyle name="표준 2 2 2 2 9 2 2 4 3 3" xfId="5276"/>
    <cellStyle name="표준 2 2 2 2 9 2 2 4 3 4" xfId="5277"/>
    <cellStyle name="표준 2 2 2 2 9 2 2 4 4" xfId="5278"/>
    <cellStyle name="표준 2 2 2 2 9 2 2 4 5" xfId="5279"/>
    <cellStyle name="표준 2 2 2 2 9 2 2 4 6" xfId="5280"/>
    <cellStyle name="표준 2 2 2 2 9 2 2 5" xfId="5281"/>
    <cellStyle name="표준 2 2 2 2 9 2 2 5 2" xfId="5282"/>
    <cellStyle name="표준 2 2 2 2 9 2 2 5 3" xfId="5283"/>
    <cellStyle name="표준 2 2 2 2 9 2 2 5 4" xfId="5284"/>
    <cellStyle name="표준 2 2 2 2 9 2 2 6" xfId="5285"/>
    <cellStyle name="표준 2 2 2 2 9 2 2 6 2" xfId="5286"/>
    <cellStyle name="표준 2 2 2 2 9 2 2 6 3" xfId="5287"/>
    <cellStyle name="표준 2 2 2 2 9 2 2 6 4" xfId="5288"/>
    <cellStyle name="표준 2 2 2 2 9 2 2 7" xfId="5289"/>
    <cellStyle name="표준 2 2 2 2 9 2 2 8" xfId="5290"/>
    <cellStyle name="표준 2 2 2 2 9 2 3" xfId="5291"/>
    <cellStyle name="표준 2 2 2 2 9 2 3 2" xfId="5292"/>
    <cellStyle name="표준 2 2 2 2 9 2 3 2 2" xfId="5293"/>
    <cellStyle name="표준 2 2 2 2 9 2 3 2 2 2" xfId="5294"/>
    <cellStyle name="표준 2 2 2 2 9 2 3 2 2 3" xfId="5295"/>
    <cellStyle name="표준 2 2 2 2 9 2 3 2 2 4" xfId="5296"/>
    <cellStyle name="표준 2 2 2 2 9 2 3 2 3" xfId="5297"/>
    <cellStyle name="표준 2 2 2 2 9 2 3 2 3 2" xfId="5298"/>
    <cellStyle name="표준 2 2 2 2 9 2 3 2 3 3" xfId="5299"/>
    <cellStyle name="표준 2 2 2 2 9 2 3 2 3 4" xfId="5300"/>
    <cellStyle name="표준 2 2 2 2 9 2 3 2 4" xfId="5301"/>
    <cellStyle name="표준 2 2 2 2 9 2 3 2 5" xfId="5302"/>
    <cellStyle name="표준 2 2 2 2 9 2 3 2 6" xfId="5303"/>
    <cellStyle name="표준 2 2 2 2 9 2 3 3" xfId="5304"/>
    <cellStyle name="표준 2 2 2 2 9 2 3 3 2" xfId="5305"/>
    <cellStyle name="표준 2 2 2 2 9 2 3 3 2 2" xfId="5306"/>
    <cellStyle name="표준 2 2 2 2 9 2 3 3 2 3" xfId="5307"/>
    <cellStyle name="표준 2 2 2 2 9 2 3 3 2 4" xfId="5308"/>
    <cellStyle name="표준 2 2 2 2 9 2 3 3 3" xfId="5309"/>
    <cellStyle name="표준 2 2 2 2 9 2 3 3 3 2" xfId="5310"/>
    <cellStyle name="표준 2 2 2 2 9 2 3 3 3 3" xfId="5311"/>
    <cellStyle name="표준 2 2 2 2 9 2 3 3 3 4" xfId="5312"/>
    <cellStyle name="표준 2 2 2 2 9 2 3 3 4" xfId="5313"/>
    <cellStyle name="표준 2 2 2 2 9 2 3 3 5" xfId="5314"/>
    <cellStyle name="표준 2 2 2 2 9 2 3 3 6" xfId="5315"/>
    <cellStyle name="표준 2 2 2 2 9 2 3 4" xfId="5316"/>
    <cellStyle name="표준 2 2 2 2 9 2 3 4 2" xfId="5317"/>
    <cellStyle name="표준 2 2 2 2 9 2 3 4 3" xfId="5318"/>
    <cellStyle name="표준 2 2 2 2 9 2 3 4 4" xfId="5319"/>
    <cellStyle name="표준 2 2 2 2 9 2 3 5" xfId="5320"/>
    <cellStyle name="표준 2 2 2 2 9 2 3 5 2" xfId="5321"/>
    <cellStyle name="표준 2 2 2 2 9 2 3 5 3" xfId="5322"/>
    <cellStyle name="표준 2 2 2 2 9 2 3 5 4" xfId="5323"/>
    <cellStyle name="표준 2 2 2 2 9 2 3 6" xfId="5324"/>
    <cellStyle name="표준 2 2 2 2 9 2 3 7" xfId="5325"/>
    <cellStyle name="표준 2 2 2 2 9 2 3 8" xfId="5326"/>
    <cellStyle name="표준 2 2 2 2 9 2 4" xfId="5327"/>
    <cellStyle name="표준 2 2 2 2 9 2 4 2" xfId="5328"/>
    <cellStyle name="표준 2 2 2 2 9 2 4 2 2" xfId="5329"/>
    <cellStyle name="표준 2 2 2 2 9 2 4 2 3" xfId="5330"/>
    <cellStyle name="표준 2 2 2 2 9 2 4 2 4" xfId="5331"/>
    <cellStyle name="표준 2 2 2 2 9 2 4 3" xfId="5332"/>
    <cellStyle name="표준 2 2 2 2 9 2 4 3 2" xfId="5333"/>
    <cellStyle name="표준 2 2 2 2 9 2 4 3 3" xfId="5334"/>
    <cellStyle name="표준 2 2 2 2 9 2 4 3 4" xfId="5335"/>
    <cellStyle name="표준 2 2 2 2 9 2 4 4" xfId="5336"/>
    <cellStyle name="표준 2 2 2 2 9 2 4 5" xfId="5337"/>
    <cellStyle name="표준 2 2 2 2 9 2 4 6" xfId="5338"/>
    <cellStyle name="표준 2 2 2 2 9 2 5" xfId="5339"/>
    <cellStyle name="표준 2 2 2 2 9 2 5 2" xfId="5340"/>
    <cellStyle name="표준 2 2 2 2 9 2 5 2 2" xfId="5341"/>
    <cellStyle name="표준 2 2 2 2 9 2 5 2 3" xfId="5342"/>
    <cellStyle name="표준 2 2 2 2 9 2 5 2 4" xfId="5343"/>
    <cellStyle name="표준 2 2 2 2 9 2 5 3" xfId="5344"/>
    <cellStyle name="표준 2 2 2 2 9 2 5 3 2" xfId="5345"/>
    <cellStyle name="표준 2 2 2 2 9 2 5 3 3" xfId="5346"/>
    <cellStyle name="표준 2 2 2 2 9 2 5 3 4" xfId="5347"/>
    <cellStyle name="표준 2 2 2 2 9 2 5 4" xfId="5348"/>
    <cellStyle name="표준 2 2 2 2 9 2 5 5" xfId="5349"/>
    <cellStyle name="표준 2 2 2 2 9 2 5 6" xfId="5350"/>
    <cellStyle name="표준 2 2 2 2 9 2 6" xfId="5351"/>
    <cellStyle name="표준 2 2 2 2 9 2 6 2" xfId="5352"/>
    <cellStyle name="표준 2 2 2 2 9 2 6 3" xfId="5353"/>
    <cellStyle name="표준 2 2 2 2 9 2 6 4" xfId="5354"/>
    <cellStyle name="표준 2 2 2 2 9 2 7" xfId="5355"/>
    <cellStyle name="표준 2 2 2 2 9 2 7 2" xfId="5356"/>
    <cellStyle name="표준 2 2 2 2 9 2 7 3" xfId="5357"/>
    <cellStyle name="표준 2 2 2 2 9 2 7 4" xfId="5358"/>
    <cellStyle name="표준 2 2 2 2 9 2 8" xfId="5359"/>
    <cellStyle name="표준 2 2 2 2 9 2 9" xfId="5360"/>
    <cellStyle name="표준 2 2 2 2 9 3" xfId="5361"/>
    <cellStyle name="표준 2 2 2 2 9 3 2" xfId="5362"/>
    <cellStyle name="표준 2 2 2 2 9 3 2 2" xfId="5363"/>
    <cellStyle name="표준 2 2 2 2 9 3 2 2 2" xfId="5364"/>
    <cellStyle name="표준 2 2 2 2 9 3 2 2 2 2" xfId="5365"/>
    <cellStyle name="표준 2 2 2 2 9 3 2 2 2 3" xfId="5366"/>
    <cellStyle name="표준 2 2 2 2 9 3 2 2 2 4" xfId="5367"/>
    <cellStyle name="표준 2 2 2 2 9 3 2 2 3" xfId="5368"/>
    <cellStyle name="표준 2 2 2 2 9 3 2 2 3 2" xfId="5369"/>
    <cellStyle name="표준 2 2 2 2 9 3 2 2 3 3" xfId="5370"/>
    <cellStyle name="표준 2 2 2 2 9 3 2 2 3 4" xfId="5371"/>
    <cellStyle name="표준 2 2 2 2 9 3 2 2 4" xfId="5372"/>
    <cellStyle name="표준 2 2 2 2 9 3 2 2 5" xfId="5373"/>
    <cellStyle name="표준 2 2 2 2 9 3 2 2 6" xfId="5374"/>
    <cellStyle name="표준 2 2 2 2 9 3 2 3" xfId="5375"/>
    <cellStyle name="표준 2 2 2 2 9 3 2 3 2" xfId="5376"/>
    <cellStyle name="표준 2 2 2 2 9 3 2 3 2 2" xfId="5377"/>
    <cellStyle name="표준 2 2 2 2 9 3 2 3 2 3" xfId="5378"/>
    <cellStyle name="표준 2 2 2 2 9 3 2 3 2 4" xfId="5379"/>
    <cellStyle name="표준 2 2 2 2 9 3 2 3 3" xfId="5380"/>
    <cellStyle name="표준 2 2 2 2 9 3 2 3 3 2" xfId="5381"/>
    <cellStyle name="표준 2 2 2 2 9 3 2 3 3 3" xfId="5382"/>
    <cellStyle name="표준 2 2 2 2 9 3 2 3 3 4" xfId="5383"/>
    <cellStyle name="표준 2 2 2 2 9 3 2 3 4" xfId="5384"/>
    <cellStyle name="표준 2 2 2 2 9 3 2 3 5" xfId="5385"/>
    <cellStyle name="표준 2 2 2 2 9 3 2 3 6" xfId="5386"/>
    <cellStyle name="표준 2 2 2 2 9 3 2 4" xfId="5387"/>
    <cellStyle name="표준 2 2 2 2 9 3 2 4 2" xfId="5388"/>
    <cellStyle name="표준 2 2 2 2 9 3 2 4 3" xfId="5389"/>
    <cellStyle name="표준 2 2 2 2 9 3 2 4 4" xfId="5390"/>
    <cellStyle name="표준 2 2 2 2 9 3 2 5" xfId="5391"/>
    <cellStyle name="표준 2 2 2 2 9 3 2 5 2" xfId="5392"/>
    <cellStyle name="표준 2 2 2 2 9 3 2 5 3" xfId="5393"/>
    <cellStyle name="표준 2 2 2 2 9 3 2 5 4" xfId="5394"/>
    <cellStyle name="표준 2 2 2 2 9 3 2 6" xfId="5395"/>
    <cellStyle name="표준 2 2 2 2 9 3 2 7" xfId="5396"/>
    <cellStyle name="표준 2 2 2 2 9 3 2 8" xfId="5397"/>
    <cellStyle name="표준 2 2 2 2 9 3 3" xfId="5398"/>
    <cellStyle name="표준 2 2 2 2 9 3 3 2" xfId="5399"/>
    <cellStyle name="표준 2 2 2 2 9 3 3 2 2" xfId="5400"/>
    <cellStyle name="표준 2 2 2 2 9 3 3 2 3" xfId="5401"/>
    <cellStyle name="표준 2 2 2 2 9 3 3 2 4" xfId="5402"/>
    <cellStyle name="표준 2 2 2 2 9 3 3 3" xfId="5403"/>
    <cellStyle name="표준 2 2 2 2 9 3 3 3 2" xfId="5404"/>
    <cellStyle name="표준 2 2 2 2 9 3 3 3 3" xfId="5405"/>
    <cellStyle name="표준 2 2 2 2 9 3 3 3 4" xfId="5406"/>
    <cellStyle name="표준 2 2 2 2 9 3 3 4" xfId="5407"/>
    <cellStyle name="표준 2 2 2 2 9 3 3 5" xfId="5408"/>
    <cellStyle name="표준 2 2 2 2 9 3 3 6" xfId="5409"/>
    <cellStyle name="표준 2 2 2 2 9 3 4" xfId="5410"/>
    <cellStyle name="표준 2 2 2 2 9 3 4 2" xfId="5411"/>
    <cellStyle name="표준 2 2 2 2 9 3 4 2 2" xfId="5412"/>
    <cellStyle name="표준 2 2 2 2 9 3 4 2 3" xfId="5413"/>
    <cellStyle name="표준 2 2 2 2 9 3 4 2 4" xfId="5414"/>
    <cellStyle name="표준 2 2 2 2 9 3 4 3" xfId="5415"/>
    <cellStyle name="표준 2 2 2 2 9 3 4 3 2" xfId="5416"/>
    <cellStyle name="표준 2 2 2 2 9 3 4 3 3" xfId="5417"/>
    <cellStyle name="표준 2 2 2 2 9 3 4 3 4" xfId="5418"/>
    <cellStyle name="표준 2 2 2 2 9 3 4 4" xfId="5419"/>
    <cellStyle name="표준 2 2 2 2 9 3 4 5" xfId="5420"/>
    <cellStyle name="표준 2 2 2 2 9 3 4 6" xfId="5421"/>
    <cellStyle name="표준 2 2 2 2 9 3 5" xfId="5422"/>
    <cellStyle name="표준 2 2 2 2 9 3 5 2" xfId="5423"/>
    <cellStyle name="표준 2 2 2 2 9 3 5 3" xfId="5424"/>
    <cellStyle name="표준 2 2 2 2 9 3 5 4" xfId="5425"/>
    <cellStyle name="표준 2 2 2 2 9 3 6" xfId="5426"/>
    <cellStyle name="표준 2 2 2 2 9 3 6 2" xfId="5427"/>
    <cellStyle name="표준 2 2 2 2 9 3 6 3" xfId="5428"/>
    <cellStyle name="표준 2 2 2 2 9 3 6 4" xfId="5429"/>
    <cellStyle name="표준 2 2 2 2 9 3 7" xfId="5430"/>
    <cellStyle name="표준 2 2 2 2 9 3 8" xfId="5431"/>
    <cellStyle name="표준 2 2 2 2 9 3 9" xfId="5432"/>
    <cellStyle name="표준 2 2 2 2 9 4" xfId="5433"/>
    <cellStyle name="표준 2 2 2 2 9 4 2" xfId="5434"/>
    <cellStyle name="표준 2 2 2 2 9 4 2 2" xfId="5435"/>
    <cellStyle name="표준 2 2 2 2 9 4 2 3" xfId="5436"/>
    <cellStyle name="표준 2 2 2 2 9 4 2 4" xfId="5437"/>
    <cellStyle name="표준 2 2 2 2 9 4 3" xfId="5438"/>
    <cellStyle name="표준 2 2 2 2 9 4 3 2" xfId="5439"/>
    <cellStyle name="표준 2 2 2 2 9 4 3 3" xfId="5440"/>
    <cellStyle name="표준 2 2 2 2 9 4 3 4" xfId="5441"/>
    <cellStyle name="표준 2 2 2 2 9 4 4" xfId="5442"/>
    <cellStyle name="표준 2 2 2 2 9 4 5" xfId="5443"/>
    <cellStyle name="표준 2 2 2 2 9 4 6" xfId="5444"/>
    <cellStyle name="표준 2 2 2 2 9 5" xfId="5445"/>
    <cellStyle name="표준 2 2 2 2 9 5 2" xfId="5446"/>
    <cellStyle name="표준 2 2 2 2 9 5 2 2" xfId="5447"/>
    <cellStyle name="표준 2 2 2 2 9 5 2 3" xfId="5448"/>
    <cellStyle name="표준 2 2 2 2 9 5 2 4" xfId="5449"/>
    <cellStyle name="표준 2 2 2 2 9 5 3" xfId="5450"/>
    <cellStyle name="표준 2 2 2 2 9 5 3 2" xfId="5451"/>
    <cellStyle name="표준 2 2 2 2 9 5 3 3" xfId="5452"/>
    <cellStyle name="표준 2 2 2 2 9 5 3 4" xfId="5453"/>
    <cellStyle name="표준 2 2 2 2 9 5 4" xfId="5454"/>
    <cellStyle name="표준 2 2 2 2 9 5 5" xfId="5455"/>
    <cellStyle name="표준 2 2 2 2 9 5 6" xfId="5456"/>
    <cellStyle name="표준 2 2 2 2 9 6" xfId="5457"/>
    <cellStyle name="표준 2 2 2 2 9 6 2" xfId="5458"/>
    <cellStyle name="표준 2 2 2 2 9 6 3" xfId="5459"/>
    <cellStyle name="표준 2 2 2 2 9 6 4" xfId="5460"/>
    <cellStyle name="표준 2 2 2 2 9 7" xfId="5461"/>
    <cellStyle name="표준 2 2 2 2 9 7 2" xfId="5462"/>
    <cellStyle name="표준 2 2 2 2 9 7 3" xfId="5463"/>
    <cellStyle name="표준 2 2 2 2 9 7 4" xfId="5464"/>
    <cellStyle name="표준 2 2 2 2 9 8" xfId="5465"/>
    <cellStyle name="표준 2 2 2 2 9 9" xfId="5466"/>
    <cellStyle name="표준 2 2 2 20" xfId="5467"/>
    <cellStyle name="표준 2 2 2 21" xfId="5468"/>
    <cellStyle name="표준 2 2 2 22" xfId="5469"/>
    <cellStyle name="표준 2 2 2 23" xfId="5470"/>
    <cellStyle name="표준 2 2 2 24" xfId="5471"/>
    <cellStyle name="표준 2 2 2 25" xfId="5472"/>
    <cellStyle name="표준 2 2 2 26" xfId="5473"/>
    <cellStyle name="표준 2 2 2 26 10" xfId="5474"/>
    <cellStyle name="표준 2 2 2 26 2" xfId="5475"/>
    <cellStyle name="표준 2 2 2 26 2 2" xfId="5476"/>
    <cellStyle name="표준 2 2 2 26 2 2 2" xfId="5477"/>
    <cellStyle name="표준 2 2 2 26 2 2 2 2" xfId="5478"/>
    <cellStyle name="표준 2 2 2 26 2 2 2 2 2" xfId="5479"/>
    <cellStyle name="표준 2 2 2 26 2 2 2 2 3" xfId="5480"/>
    <cellStyle name="표준 2 2 2 26 2 2 2 2 4" xfId="5481"/>
    <cellStyle name="표준 2 2 2 26 2 2 2 3" xfId="5482"/>
    <cellStyle name="표준 2 2 2 26 2 2 2 3 2" xfId="5483"/>
    <cellStyle name="표준 2 2 2 26 2 2 2 3 3" xfId="5484"/>
    <cellStyle name="표준 2 2 2 26 2 2 2 3 4" xfId="5485"/>
    <cellStyle name="표준 2 2 2 26 2 2 2 4" xfId="5486"/>
    <cellStyle name="표준 2 2 2 26 2 2 2 5" xfId="5487"/>
    <cellStyle name="표준 2 2 2 26 2 2 2 6" xfId="5488"/>
    <cellStyle name="표준 2 2 2 26 2 2 3" xfId="5489"/>
    <cellStyle name="표준 2 2 2 26 2 2 3 2" xfId="5490"/>
    <cellStyle name="표준 2 2 2 26 2 2 3 2 2" xfId="5491"/>
    <cellStyle name="표준 2 2 2 26 2 2 3 2 3" xfId="5492"/>
    <cellStyle name="표준 2 2 2 26 2 2 3 2 4" xfId="5493"/>
    <cellStyle name="표준 2 2 2 26 2 2 3 3" xfId="5494"/>
    <cellStyle name="표준 2 2 2 26 2 2 3 3 2" xfId="5495"/>
    <cellStyle name="표준 2 2 2 26 2 2 3 3 3" xfId="5496"/>
    <cellStyle name="표준 2 2 2 26 2 2 3 3 4" xfId="5497"/>
    <cellStyle name="표준 2 2 2 26 2 2 3 4" xfId="5498"/>
    <cellStyle name="표준 2 2 2 26 2 2 3 5" xfId="5499"/>
    <cellStyle name="표준 2 2 2 26 2 2 3 6" xfId="5500"/>
    <cellStyle name="표준 2 2 2 26 2 2 4" xfId="5501"/>
    <cellStyle name="표준 2 2 2 26 2 2 4 2" xfId="5502"/>
    <cellStyle name="표준 2 2 2 26 2 2 4 3" xfId="5503"/>
    <cellStyle name="표준 2 2 2 26 2 2 4 4" xfId="5504"/>
    <cellStyle name="표준 2 2 2 26 2 2 5" xfId="5505"/>
    <cellStyle name="표준 2 2 2 26 2 2 5 2" xfId="5506"/>
    <cellStyle name="표준 2 2 2 26 2 2 5 3" xfId="5507"/>
    <cellStyle name="표준 2 2 2 26 2 2 5 4" xfId="5508"/>
    <cellStyle name="표준 2 2 2 26 2 2 6" xfId="5509"/>
    <cellStyle name="표준 2 2 2 26 2 2 7" xfId="5510"/>
    <cellStyle name="표준 2 2 2 26 2 2 8" xfId="5511"/>
    <cellStyle name="표준 2 2 2 26 2 3" xfId="5512"/>
    <cellStyle name="표준 2 2 2 26 2 3 2" xfId="5513"/>
    <cellStyle name="표준 2 2 2 26 2 3 2 2" xfId="5514"/>
    <cellStyle name="표준 2 2 2 26 2 3 2 3" xfId="5515"/>
    <cellStyle name="표준 2 2 2 26 2 3 2 4" xfId="5516"/>
    <cellStyle name="표준 2 2 2 26 2 3 3" xfId="5517"/>
    <cellStyle name="표준 2 2 2 26 2 3 3 2" xfId="5518"/>
    <cellStyle name="표준 2 2 2 26 2 3 3 3" xfId="5519"/>
    <cellStyle name="표준 2 2 2 26 2 3 3 4" xfId="5520"/>
    <cellStyle name="표준 2 2 2 26 2 3 4" xfId="5521"/>
    <cellStyle name="표준 2 2 2 26 2 3 5" xfId="5522"/>
    <cellStyle name="표준 2 2 2 26 2 3 6" xfId="5523"/>
    <cellStyle name="표준 2 2 2 26 2 4" xfId="5524"/>
    <cellStyle name="표준 2 2 2 26 2 4 2" xfId="5525"/>
    <cellStyle name="표준 2 2 2 26 2 4 2 2" xfId="5526"/>
    <cellStyle name="표준 2 2 2 26 2 4 2 3" xfId="5527"/>
    <cellStyle name="표준 2 2 2 26 2 4 2 4" xfId="5528"/>
    <cellStyle name="표준 2 2 2 26 2 4 3" xfId="5529"/>
    <cellStyle name="표준 2 2 2 26 2 4 3 2" xfId="5530"/>
    <cellStyle name="표준 2 2 2 26 2 4 3 3" xfId="5531"/>
    <cellStyle name="표준 2 2 2 26 2 4 3 4" xfId="5532"/>
    <cellStyle name="표준 2 2 2 26 2 4 4" xfId="5533"/>
    <cellStyle name="표준 2 2 2 26 2 4 5" xfId="5534"/>
    <cellStyle name="표준 2 2 2 26 2 4 6" xfId="5535"/>
    <cellStyle name="표준 2 2 2 26 2 5" xfId="5536"/>
    <cellStyle name="표준 2 2 2 26 2 5 2" xfId="5537"/>
    <cellStyle name="표준 2 2 2 26 2 5 3" xfId="5538"/>
    <cellStyle name="표준 2 2 2 26 2 5 4" xfId="5539"/>
    <cellStyle name="표준 2 2 2 26 2 6" xfId="5540"/>
    <cellStyle name="표준 2 2 2 26 2 6 2" xfId="5541"/>
    <cellStyle name="표준 2 2 2 26 2 6 3" xfId="5542"/>
    <cellStyle name="표준 2 2 2 26 2 6 4" xfId="5543"/>
    <cellStyle name="표준 2 2 2 26 2 7" xfId="5544"/>
    <cellStyle name="표준 2 2 2 26 2 8" xfId="5545"/>
    <cellStyle name="표준 2 2 2 26 2 9" xfId="5546"/>
    <cellStyle name="표준 2 2 2 26 3" xfId="5547"/>
    <cellStyle name="표준 2 2 2 26 3 2" xfId="5548"/>
    <cellStyle name="표준 2 2 2 26 3 2 2" xfId="5549"/>
    <cellStyle name="표준 2 2 2 26 3 2 2 2" xfId="5550"/>
    <cellStyle name="표준 2 2 2 26 3 2 2 3" xfId="5551"/>
    <cellStyle name="표준 2 2 2 26 3 2 2 4" xfId="5552"/>
    <cellStyle name="표준 2 2 2 26 3 2 3" xfId="5553"/>
    <cellStyle name="표준 2 2 2 26 3 2 3 2" xfId="5554"/>
    <cellStyle name="표준 2 2 2 26 3 2 3 3" xfId="5555"/>
    <cellStyle name="표준 2 2 2 26 3 2 3 4" xfId="5556"/>
    <cellStyle name="표준 2 2 2 26 3 2 4" xfId="5557"/>
    <cellStyle name="표준 2 2 2 26 3 2 5" xfId="5558"/>
    <cellStyle name="표준 2 2 2 26 3 2 6" xfId="5559"/>
    <cellStyle name="표준 2 2 2 26 3 3" xfId="5560"/>
    <cellStyle name="표준 2 2 2 26 3 3 2" xfId="5561"/>
    <cellStyle name="표준 2 2 2 26 3 3 2 2" xfId="5562"/>
    <cellStyle name="표준 2 2 2 26 3 3 2 3" xfId="5563"/>
    <cellStyle name="표준 2 2 2 26 3 3 2 4" xfId="5564"/>
    <cellStyle name="표준 2 2 2 26 3 3 3" xfId="5565"/>
    <cellStyle name="표준 2 2 2 26 3 3 3 2" xfId="5566"/>
    <cellStyle name="표준 2 2 2 26 3 3 3 3" xfId="5567"/>
    <cellStyle name="표준 2 2 2 26 3 3 3 4" xfId="5568"/>
    <cellStyle name="표준 2 2 2 26 3 3 4" xfId="5569"/>
    <cellStyle name="표준 2 2 2 26 3 3 5" xfId="5570"/>
    <cellStyle name="표준 2 2 2 26 3 3 6" xfId="5571"/>
    <cellStyle name="표준 2 2 2 26 3 4" xfId="5572"/>
    <cellStyle name="표준 2 2 2 26 3 4 2" xfId="5573"/>
    <cellStyle name="표준 2 2 2 26 3 4 3" xfId="5574"/>
    <cellStyle name="표준 2 2 2 26 3 4 4" xfId="5575"/>
    <cellStyle name="표준 2 2 2 26 3 5" xfId="5576"/>
    <cellStyle name="표준 2 2 2 26 3 5 2" xfId="5577"/>
    <cellStyle name="표준 2 2 2 26 3 5 3" xfId="5578"/>
    <cellStyle name="표준 2 2 2 26 3 5 4" xfId="5579"/>
    <cellStyle name="표준 2 2 2 26 3 6" xfId="5580"/>
    <cellStyle name="표준 2 2 2 26 3 7" xfId="5581"/>
    <cellStyle name="표준 2 2 2 26 3 8" xfId="5582"/>
    <cellStyle name="표준 2 2 2 26 4" xfId="5583"/>
    <cellStyle name="표준 2 2 2 26 4 2" xfId="5584"/>
    <cellStyle name="표준 2 2 2 26 4 2 2" xfId="5585"/>
    <cellStyle name="표준 2 2 2 26 4 2 3" xfId="5586"/>
    <cellStyle name="표준 2 2 2 26 4 2 4" xfId="5587"/>
    <cellStyle name="표준 2 2 2 26 4 3" xfId="5588"/>
    <cellStyle name="표준 2 2 2 26 4 3 2" xfId="5589"/>
    <cellStyle name="표준 2 2 2 26 4 3 3" xfId="5590"/>
    <cellStyle name="표준 2 2 2 26 4 3 4" xfId="5591"/>
    <cellStyle name="표준 2 2 2 26 4 4" xfId="5592"/>
    <cellStyle name="표준 2 2 2 26 4 5" xfId="5593"/>
    <cellStyle name="표준 2 2 2 26 4 6" xfId="5594"/>
    <cellStyle name="표준 2 2 2 26 5" xfId="5595"/>
    <cellStyle name="표준 2 2 2 26 5 2" xfId="5596"/>
    <cellStyle name="표준 2 2 2 26 5 2 2" xfId="5597"/>
    <cellStyle name="표준 2 2 2 26 5 2 3" xfId="5598"/>
    <cellStyle name="표준 2 2 2 26 5 2 4" xfId="5599"/>
    <cellStyle name="표준 2 2 2 26 5 3" xfId="5600"/>
    <cellStyle name="표준 2 2 2 26 5 3 2" xfId="5601"/>
    <cellStyle name="표준 2 2 2 26 5 3 3" xfId="5602"/>
    <cellStyle name="표준 2 2 2 26 5 3 4" xfId="5603"/>
    <cellStyle name="표준 2 2 2 26 5 4" xfId="5604"/>
    <cellStyle name="표준 2 2 2 26 5 5" xfId="5605"/>
    <cellStyle name="표준 2 2 2 26 5 6" xfId="5606"/>
    <cellStyle name="표준 2 2 2 26 6" xfId="5607"/>
    <cellStyle name="표준 2 2 2 26 6 2" xfId="5608"/>
    <cellStyle name="표준 2 2 2 26 6 3" xfId="5609"/>
    <cellStyle name="표준 2 2 2 26 6 4" xfId="5610"/>
    <cellStyle name="표준 2 2 2 26 7" xfId="5611"/>
    <cellStyle name="표준 2 2 2 26 7 2" xfId="5612"/>
    <cellStyle name="표준 2 2 2 26 7 3" xfId="5613"/>
    <cellStyle name="표준 2 2 2 26 7 4" xfId="5614"/>
    <cellStyle name="표준 2 2 2 26 8" xfId="5615"/>
    <cellStyle name="표준 2 2 2 26 9" xfId="5616"/>
    <cellStyle name="표준 2 2 2 27" xfId="5617"/>
    <cellStyle name="표준 2 2 2 27 2" xfId="5618"/>
    <cellStyle name="표준 2 2 2 27 2 2" xfId="5619"/>
    <cellStyle name="표준 2 2 2 27 2 2 2" xfId="5620"/>
    <cellStyle name="표준 2 2 2 27 2 2 2 2" xfId="5621"/>
    <cellStyle name="표준 2 2 2 27 2 2 2 3" xfId="5622"/>
    <cellStyle name="표준 2 2 2 27 2 2 2 4" xfId="5623"/>
    <cellStyle name="표준 2 2 2 27 2 2 3" xfId="5624"/>
    <cellStyle name="표준 2 2 2 27 2 2 3 2" xfId="5625"/>
    <cellStyle name="표준 2 2 2 27 2 2 3 3" xfId="5626"/>
    <cellStyle name="표준 2 2 2 27 2 2 3 4" xfId="5627"/>
    <cellStyle name="표준 2 2 2 27 2 2 4" xfId="5628"/>
    <cellStyle name="표준 2 2 2 27 2 2 5" xfId="5629"/>
    <cellStyle name="표준 2 2 2 27 2 2 6" xfId="5630"/>
    <cellStyle name="표준 2 2 2 27 2 3" xfId="5631"/>
    <cellStyle name="표준 2 2 2 27 2 3 2" xfId="5632"/>
    <cellStyle name="표준 2 2 2 27 2 3 2 2" xfId="5633"/>
    <cellStyle name="표준 2 2 2 27 2 3 2 3" xfId="5634"/>
    <cellStyle name="표준 2 2 2 27 2 3 2 4" xfId="5635"/>
    <cellStyle name="표준 2 2 2 27 2 3 3" xfId="5636"/>
    <cellStyle name="표준 2 2 2 27 2 3 3 2" xfId="5637"/>
    <cellStyle name="표준 2 2 2 27 2 3 3 3" xfId="5638"/>
    <cellStyle name="표준 2 2 2 27 2 3 3 4" xfId="5639"/>
    <cellStyle name="표준 2 2 2 27 2 3 4" xfId="5640"/>
    <cellStyle name="표준 2 2 2 27 2 3 5" xfId="5641"/>
    <cellStyle name="표준 2 2 2 27 2 3 6" xfId="5642"/>
    <cellStyle name="표준 2 2 2 27 2 4" xfId="5643"/>
    <cellStyle name="표준 2 2 2 27 2 4 2" xfId="5644"/>
    <cellStyle name="표준 2 2 2 27 2 4 3" xfId="5645"/>
    <cellStyle name="표준 2 2 2 27 2 4 4" xfId="5646"/>
    <cellStyle name="표준 2 2 2 27 2 5" xfId="5647"/>
    <cellStyle name="표준 2 2 2 27 2 5 2" xfId="5648"/>
    <cellStyle name="표준 2 2 2 27 2 5 3" xfId="5649"/>
    <cellStyle name="표준 2 2 2 27 2 5 4" xfId="5650"/>
    <cellStyle name="표준 2 2 2 27 2 6" xfId="5651"/>
    <cellStyle name="표준 2 2 2 27 2 7" xfId="5652"/>
    <cellStyle name="표준 2 2 2 27 2 8" xfId="5653"/>
    <cellStyle name="표준 2 2 2 27 3" xfId="5654"/>
    <cellStyle name="표준 2 2 2 27 3 2" xfId="5655"/>
    <cellStyle name="표준 2 2 2 27 3 2 2" xfId="5656"/>
    <cellStyle name="표준 2 2 2 27 3 2 3" xfId="5657"/>
    <cellStyle name="표준 2 2 2 27 3 2 4" xfId="5658"/>
    <cellStyle name="표준 2 2 2 27 3 3" xfId="5659"/>
    <cellStyle name="표준 2 2 2 27 3 3 2" xfId="5660"/>
    <cellStyle name="표준 2 2 2 27 3 3 3" xfId="5661"/>
    <cellStyle name="표준 2 2 2 27 3 3 4" xfId="5662"/>
    <cellStyle name="표준 2 2 2 27 3 4" xfId="5663"/>
    <cellStyle name="표준 2 2 2 27 3 5" xfId="5664"/>
    <cellStyle name="표준 2 2 2 27 3 6" xfId="5665"/>
    <cellStyle name="표준 2 2 2 27 4" xfId="5666"/>
    <cellStyle name="표준 2 2 2 27 4 2" xfId="5667"/>
    <cellStyle name="표준 2 2 2 27 4 2 2" xfId="5668"/>
    <cellStyle name="표준 2 2 2 27 4 2 3" xfId="5669"/>
    <cellStyle name="표준 2 2 2 27 4 2 4" xfId="5670"/>
    <cellStyle name="표준 2 2 2 27 4 3" xfId="5671"/>
    <cellStyle name="표준 2 2 2 27 4 3 2" xfId="5672"/>
    <cellStyle name="표준 2 2 2 27 4 3 3" xfId="5673"/>
    <cellStyle name="표준 2 2 2 27 4 3 4" xfId="5674"/>
    <cellStyle name="표준 2 2 2 27 4 4" xfId="5675"/>
    <cellStyle name="표준 2 2 2 27 4 5" xfId="5676"/>
    <cellStyle name="표준 2 2 2 27 4 6" xfId="5677"/>
    <cellStyle name="표준 2 2 2 27 5" xfId="5678"/>
    <cellStyle name="표준 2 2 2 27 5 2" xfId="5679"/>
    <cellStyle name="표준 2 2 2 27 5 3" xfId="5680"/>
    <cellStyle name="표준 2 2 2 27 5 4" xfId="5681"/>
    <cellStyle name="표준 2 2 2 27 6" xfId="5682"/>
    <cellStyle name="표준 2 2 2 27 6 2" xfId="5683"/>
    <cellStyle name="표준 2 2 2 27 6 3" xfId="5684"/>
    <cellStyle name="표준 2 2 2 27 6 4" xfId="5685"/>
    <cellStyle name="표준 2 2 2 27 7" xfId="5686"/>
    <cellStyle name="표준 2 2 2 27 8" xfId="5687"/>
    <cellStyle name="표준 2 2 2 27 9" xfId="5688"/>
    <cellStyle name="표준 2 2 2 3" xfId="5689"/>
    <cellStyle name="표준 2 2 2 4" xfId="5690"/>
    <cellStyle name="표준 2 2 2 5" xfId="5691"/>
    <cellStyle name="표준 2 2 2 6" xfId="5692"/>
    <cellStyle name="표준 2 2 2 7" xfId="5693"/>
    <cellStyle name="표준 2 2 2 8" xfId="5694"/>
    <cellStyle name="표준 2 2 2 9" xfId="5695"/>
    <cellStyle name="표준 2 2 20" xfId="5696"/>
    <cellStyle name="표준 2 2 20 10" xfId="5697"/>
    <cellStyle name="표준 2 2 20 2" xfId="5698"/>
    <cellStyle name="표준 2 2 20 2 10" xfId="5699"/>
    <cellStyle name="표준 2 2 20 2 2" xfId="5700"/>
    <cellStyle name="표준 2 2 20 2 2 2" xfId="5701"/>
    <cellStyle name="표준 2 2 20 2 2 2 2" xfId="5702"/>
    <cellStyle name="표준 2 2 20 2 2 2 2 2" xfId="5703"/>
    <cellStyle name="표준 2 2 20 2 2 2 2 2 2" xfId="5704"/>
    <cellStyle name="표준 2 2 20 2 2 2 2 2 3" xfId="5705"/>
    <cellStyle name="표준 2 2 20 2 2 2 2 2 4" xfId="5706"/>
    <cellStyle name="표준 2 2 20 2 2 2 2 3" xfId="5707"/>
    <cellStyle name="표준 2 2 20 2 2 2 2 3 2" xfId="5708"/>
    <cellStyle name="표준 2 2 20 2 2 2 2 3 3" xfId="5709"/>
    <cellStyle name="표준 2 2 20 2 2 2 2 3 4" xfId="5710"/>
    <cellStyle name="표준 2 2 20 2 2 2 2 4" xfId="5711"/>
    <cellStyle name="표준 2 2 20 2 2 2 2 5" xfId="5712"/>
    <cellStyle name="표준 2 2 20 2 2 2 2 6" xfId="5713"/>
    <cellStyle name="표준 2 2 20 2 2 2 3" xfId="5714"/>
    <cellStyle name="표준 2 2 20 2 2 2 3 2" xfId="5715"/>
    <cellStyle name="표준 2 2 20 2 2 2 3 2 2" xfId="5716"/>
    <cellStyle name="표준 2 2 20 2 2 2 3 2 3" xfId="5717"/>
    <cellStyle name="표준 2 2 20 2 2 2 3 2 4" xfId="5718"/>
    <cellStyle name="표준 2 2 20 2 2 2 3 3" xfId="5719"/>
    <cellStyle name="표준 2 2 20 2 2 2 3 3 2" xfId="5720"/>
    <cellStyle name="표준 2 2 20 2 2 2 3 3 3" xfId="5721"/>
    <cellStyle name="표준 2 2 20 2 2 2 3 3 4" xfId="5722"/>
    <cellStyle name="표준 2 2 20 2 2 2 3 4" xfId="5723"/>
    <cellStyle name="표준 2 2 20 2 2 2 3 5" xfId="5724"/>
    <cellStyle name="표준 2 2 20 2 2 2 3 6" xfId="5725"/>
    <cellStyle name="표준 2 2 20 2 2 2 4" xfId="5726"/>
    <cellStyle name="표준 2 2 20 2 2 2 4 2" xfId="5727"/>
    <cellStyle name="표준 2 2 20 2 2 2 4 3" xfId="5728"/>
    <cellStyle name="표준 2 2 20 2 2 2 4 4" xfId="5729"/>
    <cellStyle name="표준 2 2 20 2 2 2 5" xfId="5730"/>
    <cellStyle name="표준 2 2 20 2 2 2 5 2" xfId="5731"/>
    <cellStyle name="표준 2 2 20 2 2 2 5 3" xfId="5732"/>
    <cellStyle name="표준 2 2 20 2 2 2 5 4" xfId="5733"/>
    <cellStyle name="표준 2 2 20 2 2 2 6" xfId="5734"/>
    <cellStyle name="표준 2 2 20 2 2 2 7" xfId="5735"/>
    <cellStyle name="표준 2 2 20 2 2 2 8" xfId="5736"/>
    <cellStyle name="표준 2 2 20 2 2 3" xfId="5737"/>
    <cellStyle name="표준 2 2 20 2 2 3 2" xfId="5738"/>
    <cellStyle name="표준 2 2 20 2 2 3 2 2" xfId="5739"/>
    <cellStyle name="표준 2 2 20 2 2 3 2 3" xfId="5740"/>
    <cellStyle name="표준 2 2 20 2 2 3 2 4" xfId="5741"/>
    <cellStyle name="표준 2 2 20 2 2 3 3" xfId="5742"/>
    <cellStyle name="표준 2 2 20 2 2 3 3 2" xfId="5743"/>
    <cellStyle name="표준 2 2 20 2 2 3 3 3" xfId="5744"/>
    <cellStyle name="표준 2 2 20 2 2 3 3 4" xfId="5745"/>
    <cellStyle name="표준 2 2 20 2 2 3 4" xfId="5746"/>
    <cellStyle name="표준 2 2 20 2 2 3 5" xfId="5747"/>
    <cellStyle name="표준 2 2 20 2 2 3 6" xfId="5748"/>
    <cellStyle name="표준 2 2 20 2 2 4" xfId="5749"/>
    <cellStyle name="표준 2 2 20 2 2 4 2" xfId="5750"/>
    <cellStyle name="표준 2 2 20 2 2 4 2 2" xfId="5751"/>
    <cellStyle name="표준 2 2 20 2 2 4 2 3" xfId="5752"/>
    <cellStyle name="표준 2 2 20 2 2 4 2 4" xfId="5753"/>
    <cellStyle name="표준 2 2 20 2 2 4 3" xfId="5754"/>
    <cellStyle name="표준 2 2 20 2 2 4 3 2" xfId="5755"/>
    <cellStyle name="표준 2 2 20 2 2 4 3 3" xfId="5756"/>
    <cellStyle name="표준 2 2 20 2 2 4 3 4" xfId="5757"/>
    <cellStyle name="표준 2 2 20 2 2 4 4" xfId="5758"/>
    <cellStyle name="표준 2 2 20 2 2 4 5" xfId="5759"/>
    <cellStyle name="표준 2 2 20 2 2 4 6" xfId="5760"/>
    <cellStyle name="표준 2 2 20 2 2 5" xfId="5761"/>
    <cellStyle name="표준 2 2 20 2 2 5 2" xfId="5762"/>
    <cellStyle name="표준 2 2 20 2 2 5 3" xfId="5763"/>
    <cellStyle name="표준 2 2 20 2 2 5 4" xfId="5764"/>
    <cellStyle name="표준 2 2 20 2 2 6" xfId="5765"/>
    <cellStyle name="표준 2 2 20 2 2 6 2" xfId="5766"/>
    <cellStyle name="표준 2 2 20 2 2 6 3" xfId="5767"/>
    <cellStyle name="표준 2 2 20 2 2 6 4" xfId="5768"/>
    <cellStyle name="표준 2 2 20 2 2 7" xfId="5769"/>
    <cellStyle name="표준 2 2 20 2 2 8" xfId="5770"/>
    <cellStyle name="표준 2 2 20 2 2 9" xfId="5771"/>
    <cellStyle name="표준 2 2 20 2 3" xfId="5772"/>
    <cellStyle name="표준 2 2 20 2 3 2" xfId="5773"/>
    <cellStyle name="표준 2 2 20 2 3 2 2" xfId="5774"/>
    <cellStyle name="표준 2 2 20 2 3 2 2 2" xfId="5775"/>
    <cellStyle name="표준 2 2 20 2 3 2 2 3" xfId="5776"/>
    <cellStyle name="표준 2 2 20 2 3 2 2 4" xfId="5777"/>
    <cellStyle name="표준 2 2 20 2 3 2 3" xfId="5778"/>
    <cellStyle name="표준 2 2 20 2 3 2 3 2" xfId="5779"/>
    <cellStyle name="표준 2 2 20 2 3 2 3 3" xfId="5780"/>
    <cellStyle name="표준 2 2 20 2 3 2 3 4" xfId="5781"/>
    <cellStyle name="표준 2 2 20 2 3 2 4" xfId="5782"/>
    <cellStyle name="표준 2 2 20 2 3 2 5" xfId="5783"/>
    <cellStyle name="표준 2 2 20 2 3 2 6" xfId="5784"/>
    <cellStyle name="표준 2 2 20 2 3 3" xfId="5785"/>
    <cellStyle name="표준 2 2 20 2 3 3 2" xfId="5786"/>
    <cellStyle name="표준 2 2 20 2 3 3 2 2" xfId="5787"/>
    <cellStyle name="표준 2 2 20 2 3 3 2 3" xfId="5788"/>
    <cellStyle name="표준 2 2 20 2 3 3 2 4" xfId="5789"/>
    <cellStyle name="표준 2 2 20 2 3 3 3" xfId="5790"/>
    <cellStyle name="표준 2 2 20 2 3 3 3 2" xfId="5791"/>
    <cellStyle name="표준 2 2 20 2 3 3 3 3" xfId="5792"/>
    <cellStyle name="표준 2 2 20 2 3 3 3 4" xfId="5793"/>
    <cellStyle name="표준 2 2 20 2 3 3 4" xfId="5794"/>
    <cellStyle name="표준 2 2 20 2 3 3 5" xfId="5795"/>
    <cellStyle name="표준 2 2 20 2 3 3 6" xfId="5796"/>
    <cellStyle name="표준 2 2 20 2 3 4" xfId="5797"/>
    <cellStyle name="표준 2 2 20 2 3 4 2" xfId="5798"/>
    <cellStyle name="표준 2 2 20 2 3 4 3" xfId="5799"/>
    <cellStyle name="표준 2 2 20 2 3 4 4" xfId="5800"/>
    <cellStyle name="표준 2 2 20 2 3 5" xfId="5801"/>
    <cellStyle name="표준 2 2 20 2 3 5 2" xfId="5802"/>
    <cellStyle name="표준 2 2 20 2 3 5 3" xfId="5803"/>
    <cellStyle name="표준 2 2 20 2 3 5 4" xfId="5804"/>
    <cellStyle name="표준 2 2 20 2 3 6" xfId="5805"/>
    <cellStyle name="표준 2 2 20 2 3 7" xfId="5806"/>
    <cellStyle name="표준 2 2 20 2 3 8" xfId="5807"/>
    <cellStyle name="표준 2 2 20 2 4" xfId="5808"/>
    <cellStyle name="표준 2 2 20 2 4 2" xfId="5809"/>
    <cellStyle name="표준 2 2 20 2 4 2 2" xfId="5810"/>
    <cellStyle name="표준 2 2 20 2 4 2 3" xfId="5811"/>
    <cellStyle name="표준 2 2 20 2 4 2 4" xfId="5812"/>
    <cellStyle name="표준 2 2 20 2 4 3" xfId="5813"/>
    <cellStyle name="표준 2 2 20 2 4 3 2" xfId="5814"/>
    <cellStyle name="표준 2 2 20 2 4 3 3" xfId="5815"/>
    <cellStyle name="표준 2 2 20 2 4 3 4" xfId="5816"/>
    <cellStyle name="표준 2 2 20 2 4 4" xfId="5817"/>
    <cellStyle name="표준 2 2 20 2 4 5" xfId="5818"/>
    <cellStyle name="표준 2 2 20 2 4 6" xfId="5819"/>
    <cellStyle name="표준 2 2 20 2 5" xfId="5820"/>
    <cellStyle name="표준 2 2 20 2 5 2" xfId="5821"/>
    <cellStyle name="표준 2 2 20 2 5 2 2" xfId="5822"/>
    <cellStyle name="표준 2 2 20 2 5 2 3" xfId="5823"/>
    <cellStyle name="표준 2 2 20 2 5 2 4" xfId="5824"/>
    <cellStyle name="표준 2 2 20 2 5 3" xfId="5825"/>
    <cellStyle name="표준 2 2 20 2 5 3 2" xfId="5826"/>
    <cellStyle name="표준 2 2 20 2 5 3 3" xfId="5827"/>
    <cellStyle name="표준 2 2 20 2 5 3 4" xfId="5828"/>
    <cellStyle name="표준 2 2 20 2 5 4" xfId="5829"/>
    <cellStyle name="표준 2 2 20 2 5 5" xfId="5830"/>
    <cellStyle name="표준 2 2 20 2 5 6" xfId="5831"/>
    <cellStyle name="표준 2 2 20 2 6" xfId="5832"/>
    <cellStyle name="표준 2 2 20 2 6 2" xfId="5833"/>
    <cellStyle name="표준 2 2 20 2 6 3" xfId="5834"/>
    <cellStyle name="표준 2 2 20 2 6 4" xfId="5835"/>
    <cellStyle name="표준 2 2 20 2 7" xfId="5836"/>
    <cellStyle name="표준 2 2 20 2 7 2" xfId="5837"/>
    <cellStyle name="표준 2 2 20 2 7 3" xfId="5838"/>
    <cellStyle name="표준 2 2 20 2 7 4" xfId="5839"/>
    <cellStyle name="표준 2 2 20 2 8" xfId="5840"/>
    <cellStyle name="표준 2 2 20 2 9" xfId="5841"/>
    <cellStyle name="표준 2 2 20 3" xfId="5842"/>
    <cellStyle name="표준 2 2 20 3 2" xfId="5843"/>
    <cellStyle name="표준 2 2 20 3 2 2" xfId="5844"/>
    <cellStyle name="표준 2 2 20 3 2 2 2" xfId="5845"/>
    <cellStyle name="표준 2 2 20 3 2 2 2 2" xfId="5846"/>
    <cellStyle name="표준 2 2 20 3 2 2 2 3" xfId="5847"/>
    <cellStyle name="표준 2 2 20 3 2 2 2 4" xfId="5848"/>
    <cellStyle name="표준 2 2 20 3 2 2 3" xfId="5849"/>
    <cellStyle name="표준 2 2 20 3 2 2 3 2" xfId="5850"/>
    <cellStyle name="표준 2 2 20 3 2 2 3 3" xfId="5851"/>
    <cellStyle name="표준 2 2 20 3 2 2 3 4" xfId="5852"/>
    <cellStyle name="표준 2 2 20 3 2 2 4" xfId="5853"/>
    <cellStyle name="표준 2 2 20 3 2 2 5" xfId="5854"/>
    <cellStyle name="표준 2 2 20 3 2 2 6" xfId="5855"/>
    <cellStyle name="표준 2 2 20 3 2 3" xfId="5856"/>
    <cellStyle name="표준 2 2 20 3 2 3 2" xfId="5857"/>
    <cellStyle name="표준 2 2 20 3 2 3 2 2" xfId="5858"/>
    <cellStyle name="표준 2 2 20 3 2 3 2 3" xfId="5859"/>
    <cellStyle name="표준 2 2 20 3 2 3 2 4" xfId="5860"/>
    <cellStyle name="표준 2 2 20 3 2 3 3" xfId="5861"/>
    <cellStyle name="표준 2 2 20 3 2 3 3 2" xfId="5862"/>
    <cellStyle name="표준 2 2 20 3 2 3 3 3" xfId="5863"/>
    <cellStyle name="표준 2 2 20 3 2 3 3 4" xfId="5864"/>
    <cellStyle name="표준 2 2 20 3 2 3 4" xfId="5865"/>
    <cellStyle name="표준 2 2 20 3 2 3 5" xfId="5866"/>
    <cellStyle name="표준 2 2 20 3 2 3 6" xfId="5867"/>
    <cellStyle name="표준 2 2 20 3 2 4" xfId="5868"/>
    <cellStyle name="표준 2 2 20 3 2 4 2" xfId="5869"/>
    <cellStyle name="표준 2 2 20 3 2 4 3" xfId="5870"/>
    <cellStyle name="표준 2 2 20 3 2 4 4" xfId="5871"/>
    <cellStyle name="표준 2 2 20 3 2 5" xfId="5872"/>
    <cellStyle name="표준 2 2 20 3 2 5 2" xfId="5873"/>
    <cellStyle name="표준 2 2 20 3 2 5 3" xfId="5874"/>
    <cellStyle name="표준 2 2 20 3 2 5 4" xfId="5875"/>
    <cellStyle name="표준 2 2 20 3 2 6" xfId="5876"/>
    <cellStyle name="표준 2 2 20 3 2 7" xfId="5877"/>
    <cellStyle name="표준 2 2 20 3 2 8" xfId="5878"/>
    <cellStyle name="표준 2 2 20 3 3" xfId="5879"/>
    <cellStyle name="표준 2 2 20 3 3 2" xfId="5880"/>
    <cellStyle name="표준 2 2 20 3 3 2 2" xfId="5881"/>
    <cellStyle name="표준 2 2 20 3 3 2 3" xfId="5882"/>
    <cellStyle name="표준 2 2 20 3 3 2 4" xfId="5883"/>
    <cellStyle name="표준 2 2 20 3 3 3" xfId="5884"/>
    <cellStyle name="표준 2 2 20 3 3 3 2" xfId="5885"/>
    <cellStyle name="표준 2 2 20 3 3 3 3" xfId="5886"/>
    <cellStyle name="표준 2 2 20 3 3 3 4" xfId="5887"/>
    <cellStyle name="표준 2 2 20 3 3 4" xfId="5888"/>
    <cellStyle name="표준 2 2 20 3 3 5" xfId="5889"/>
    <cellStyle name="표준 2 2 20 3 3 6" xfId="5890"/>
    <cellStyle name="표준 2 2 20 3 4" xfId="5891"/>
    <cellStyle name="표준 2 2 20 3 4 2" xfId="5892"/>
    <cellStyle name="표준 2 2 20 3 4 2 2" xfId="5893"/>
    <cellStyle name="표준 2 2 20 3 4 2 3" xfId="5894"/>
    <cellStyle name="표준 2 2 20 3 4 2 4" xfId="5895"/>
    <cellStyle name="표준 2 2 20 3 4 3" xfId="5896"/>
    <cellStyle name="표준 2 2 20 3 4 3 2" xfId="5897"/>
    <cellStyle name="표준 2 2 20 3 4 3 3" xfId="5898"/>
    <cellStyle name="표준 2 2 20 3 4 3 4" xfId="5899"/>
    <cellStyle name="표준 2 2 20 3 4 4" xfId="5900"/>
    <cellStyle name="표준 2 2 20 3 4 5" xfId="5901"/>
    <cellStyle name="표준 2 2 20 3 4 6" xfId="5902"/>
    <cellStyle name="표준 2 2 20 3 5" xfId="5903"/>
    <cellStyle name="표준 2 2 20 3 5 2" xfId="5904"/>
    <cellStyle name="표준 2 2 20 3 5 3" xfId="5905"/>
    <cellStyle name="표준 2 2 20 3 5 4" xfId="5906"/>
    <cellStyle name="표준 2 2 20 3 6" xfId="5907"/>
    <cellStyle name="표준 2 2 20 3 6 2" xfId="5908"/>
    <cellStyle name="표준 2 2 20 3 6 3" xfId="5909"/>
    <cellStyle name="표준 2 2 20 3 6 4" xfId="5910"/>
    <cellStyle name="표준 2 2 20 3 7" xfId="5911"/>
    <cellStyle name="표준 2 2 20 3 8" xfId="5912"/>
    <cellStyle name="표준 2 2 20 3 9" xfId="5913"/>
    <cellStyle name="표준 2 2 20 4" xfId="5914"/>
    <cellStyle name="표준 2 2 20 4 2" xfId="5915"/>
    <cellStyle name="표준 2 2 20 4 2 2" xfId="5916"/>
    <cellStyle name="표준 2 2 20 4 2 3" xfId="5917"/>
    <cellStyle name="표준 2 2 20 4 2 4" xfId="5918"/>
    <cellStyle name="표준 2 2 20 4 3" xfId="5919"/>
    <cellStyle name="표준 2 2 20 4 3 2" xfId="5920"/>
    <cellStyle name="표준 2 2 20 4 3 3" xfId="5921"/>
    <cellStyle name="표준 2 2 20 4 3 4" xfId="5922"/>
    <cellStyle name="표준 2 2 20 4 4" xfId="5923"/>
    <cellStyle name="표준 2 2 20 4 5" xfId="5924"/>
    <cellStyle name="표준 2 2 20 4 6" xfId="5925"/>
    <cellStyle name="표준 2 2 20 5" xfId="5926"/>
    <cellStyle name="표준 2 2 20 5 2" xfId="5927"/>
    <cellStyle name="표준 2 2 20 5 2 2" xfId="5928"/>
    <cellStyle name="표준 2 2 20 5 2 3" xfId="5929"/>
    <cellStyle name="표준 2 2 20 5 2 4" xfId="5930"/>
    <cellStyle name="표준 2 2 20 5 3" xfId="5931"/>
    <cellStyle name="표준 2 2 20 5 3 2" xfId="5932"/>
    <cellStyle name="표준 2 2 20 5 3 3" xfId="5933"/>
    <cellStyle name="표준 2 2 20 5 3 4" xfId="5934"/>
    <cellStyle name="표준 2 2 20 5 4" xfId="5935"/>
    <cellStyle name="표준 2 2 20 5 5" xfId="5936"/>
    <cellStyle name="표준 2 2 20 5 6" xfId="5937"/>
    <cellStyle name="표준 2 2 20 6" xfId="5938"/>
    <cellStyle name="표준 2 2 20 6 2" xfId="5939"/>
    <cellStyle name="표준 2 2 20 6 3" xfId="5940"/>
    <cellStyle name="표준 2 2 20 6 4" xfId="5941"/>
    <cellStyle name="표준 2 2 20 7" xfId="5942"/>
    <cellStyle name="표준 2 2 20 7 2" xfId="5943"/>
    <cellStyle name="표준 2 2 20 7 3" xfId="5944"/>
    <cellStyle name="표준 2 2 20 7 4" xfId="5945"/>
    <cellStyle name="표준 2 2 20 8" xfId="5946"/>
    <cellStyle name="표준 2 2 20 9" xfId="5947"/>
    <cellStyle name="표준 2 2 21" xfId="5948"/>
    <cellStyle name="표준 2 2 21 10" xfId="5949"/>
    <cellStyle name="표준 2 2 21 2" xfId="5950"/>
    <cellStyle name="표준 2 2 21 2 10" xfId="5951"/>
    <cellStyle name="표준 2 2 21 2 2" xfId="5952"/>
    <cellStyle name="표준 2 2 21 2 2 2" xfId="5953"/>
    <cellStyle name="표준 2 2 21 2 2 2 2" xfId="5954"/>
    <cellStyle name="표준 2 2 21 2 2 2 2 2" xfId="5955"/>
    <cellStyle name="표준 2 2 21 2 2 2 2 2 2" xfId="5956"/>
    <cellStyle name="표준 2 2 21 2 2 2 2 2 3" xfId="5957"/>
    <cellStyle name="표준 2 2 21 2 2 2 2 2 4" xfId="5958"/>
    <cellStyle name="표준 2 2 21 2 2 2 2 3" xfId="5959"/>
    <cellStyle name="표준 2 2 21 2 2 2 2 3 2" xfId="5960"/>
    <cellStyle name="표준 2 2 21 2 2 2 2 3 3" xfId="5961"/>
    <cellStyle name="표준 2 2 21 2 2 2 2 3 4" xfId="5962"/>
    <cellStyle name="표준 2 2 21 2 2 2 2 4" xfId="5963"/>
    <cellStyle name="표준 2 2 21 2 2 2 2 5" xfId="5964"/>
    <cellStyle name="표준 2 2 21 2 2 2 2 6" xfId="5965"/>
    <cellStyle name="표준 2 2 21 2 2 2 3" xfId="5966"/>
    <cellStyle name="표준 2 2 21 2 2 2 3 2" xfId="5967"/>
    <cellStyle name="표준 2 2 21 2 2 2 3 2 2" xfId="5968"/>
    <cellStyle name="표준 2 2 21 2 2 2 3 2 3" xfId="5969"/>
    <cellStyle name="표준 2 2 21 2 2 2 3 2 4" xfId="5970"/>
    <cellStyle name="표준 2 2 21 2 2 2 3 3" xfId="5971"/>
    <cellStyle name="표준 2 2 21 2 2 2 3 3 2" xfId="5972"/>
    <cellStyle name="표준 2 2 21 2 2 2 3 3 3" xfId="5973"/>
    <cellStyle name="표준 2 2 21 2 2 2 3 3 4" xfId="5974"/>
    <cellStyle name="표준 2 2 21 2 2 2 3 4" xfId="5975"/>
    <cellStyle name="표준 2 2 21 2 2 2 3 5" xfId="5976"/>
    <cellStyle name="표준 2 2 21 2 2 2 3 6" xfId="5977"/>
    <cellStyle name="표준 2 2 21 2 2 2 4" xfId="5978"/>
    <cellStyle name="표준 2 2 21 2 2 2 4 2" xfId="5979"/>
    <cellStyle name="표준 2 2 21 2 2 2 4 3" xfId="5980"/>
    <cellStyle name="표준 2 2 21 2 2 2 4 4" xfId="5981"/>
    <cellStyle name="표준 2 2 21 2 2 2 5" xfId="5982"/>
    <cellStyle name="표준 2 2 21 2 2 2 5 2" xfId="5983"/>
    <cellStyle name="표준 2 2 21 2 2 2 5 3" xfId="5984"/>
    <cellStyle name="표준 2 2 21 2 2 2 5 4" xfId="5985"/>
    <cellStyle name="표준 2 2 21 2 2 2 6" xfId="5986"/>
    <cellStyle name="표준 2 2 21 2 2 2 7" xfId="5987"/>
    <cellStyle name="표준 2 2 21 2 2 2 8" xfId="5988"/>
    <cellStyle name="표준 2 2 21 2 2 3" xfId="5989"/>
    <cellStyle name="표준 2 2 21 2 2 3 2" xfId="5990"/>
    <cellStyle name="표준 2 2 21 2 2 3 2 2" xfId="5991"/>
    <cellStyle name="표준 2 2 21 2 2 3 2 3" xfId="5992"/>
    <cellStyle name="표준 2 2 21 2 2 3 2 4" xfId="5993"/>
    <cellStyle name="표준 2 2 21 2 2 3 3" xfId="5994"/>
    <cellStyle name="표준 2 2 21 2 2 3 3 2" xfId="5995"/>
    <cellStyle name="표준 2 2 21 2 2 3 3 3" xfId="5996"/>
    <cellStyle name="표준 2 2 21 2 2 3 3 4" xfId="5997"/>
    <cellStyle name="표준 2 2 21 2 2 3 4" xfId="5998"/>
    <cellStyle name="표준 2 2 21 2 2 3 5" xfId="5999"/>
    <cellStyle name="표준 2 2 21 2 2 3 6" xfId="6000"/>
    <cellStyle name="표준 2 2 21 2 2 4" xfId="6001"/>
    <cellStyle name="표준 2 2 21 2 2 4 2" xfId="6002"/>
    <cellStyle name="표준 2 2 21 2 2 4 2 2" xfId="6003"/>
    <cellStyle name="표준 2 2 21 2 2 4 2 3" xfId="6004"/>
    <cellStyle name="표준 2 2 21 2 2 4 2 4" xfId="6005"/>
    <cellStyle name="표준 2 2 21 2 2 4 3" xfId="6006"/>
    <cellStyle name="표준 2 2 21 2 2 4 3 2" xfId="6007"/>
    <cellStyle name="표준 2 2 21 2 2 4 3 3" xfId="6008"/>
    <cellStyle name="표준 2 2 21 2 2 4 3 4" xfId="6009"/>
    <cellStyle name="표준 2 2 21 2 2 4 4" xfId="6010"/>
    <cellStyle name="표준 2 2 21 2 2 4 5" xfId="6011"/>
    <cellStyle name="표준 2 2 21 2 2 4 6" xfId="6012"/>
    <cellStyle name="표준 2 2 21 2 2 5" xfId="6013"/>
    <cellStyle name="표준 2 2 21 2 2 5 2" xfId="6014"/>
    <cellStyle name="표준 2 2 21 2 2 5 3" xfId="6015"/>
    <cellStyle name="표준 2 2 21 2 2 5 4" xfId="6016"/>
    <cellStyle name="표준 2 2 21 2 2 6" xfId="6017"/>
    <cellStyle name="표준 2 2 21 2 2 6 2" xfId="6018"/>
    <cellStyle name="표준 2 2 21 2 2 6 3" xfId="6019"/>
    <cellStyle name="표준 2 2 21 2 2 6 4" xfId="6020"/>
    <cellStyle name="표준 2 2 21 2 2 7" xfId="6021"/>
    <cellStyle name="표준 2 2 21 2 2 8" xfId="6022"/>
    <cellStyle name="표준 2 2 21 2 2 9" xfId="6023"/>
    <cellStyle name="표준 2 2 21 2 3" xfId="6024"/>
    <cellStyle name="표준 2 2 21 2 3 2" xfId="6025"/>
    <cellStyle name="표준 2 2 21 2 3 2 2" xfId="6026"/>
    <cellStyle name="표준 2 2 21 2 3 2 2 2" xfId="6027"/>
    <cellStyle name="표준 2 2 21 2 3 2 2 3" xfId="6028"/>
    <cellStyle name="표준 2 2 21 2 3 2 2 4" xfId="6029"/>
    <cellStyle name="표준 2 2 21 2 3 2 3" xfId="6030"/>
    <cellStyle name="표준 2 2 21 2 3 2 3 2" xfId="6031"/>
    <cellStyle name="표준 2 2 21 2 3 2 3 3" xfId="6032"/>
    <cellStyle name="표준 2 2 21 2 3 2 3 4" xfId="6033"/>
    <cellStyle name="표준 2 2 21 2 3 2 4" xfId="6034"/>
    <cellStyle name="표준 2 2 21 2 3 2 5" xfId="6035"/>
    <cellStyle name="표준 2 2 21 2 3 2 6" xfId="6036"/>
    <cellStyle name="표준 2 2 21 2 3 3" xfId="6037"/>
    <cellStyle name="표준 2 2 21 2 3 3 2" xfId="6038"/>
    <cellStyle name="표준 2 2 21 2 3 3 2 2" xfId="6039"/>
    <cellStyle name="표준 2 2 21 2 3 3 2 3" xfId="6040"/>
    <cellStyle name="표준 2 2 21 2 3 3 2 4" xfId="6041"/>
    <cellStyle name="표준 2 2 21 2 3 3 3" xfId="6042"/>
    <cellStyle name="표준 2 2 21 2 3 3 3 2" xfId="6043"/>
    <cellStyle name="표준 2 2 21 2 3 3 3 3" xfId="6044"/>
    <cellStyle name="표준 2 2 21 2 3 3 3 4" xfId="6045"/>
    <cellStyle name="표준 2 2 21 2 3 3 4" xfId="6046"/>
    <cellStyle name="표준 2 2 21 2 3 3 5" xfId="6047"/>
    <cellStyle name="표준 2 2 21 2 3 3 6" xfId="6048"/>
    <cellStyle name="표준 2 2 21 2 3 4" xfId="6049"/>
    <cellStyle name="표준 2 2 21 2 3 4 2" xfId="6050"/>
    <cellStyle name="표준 2 2 21 2 3 4 3" xfId="6051"/>
    <cellStyle name="표준 2 2 21 2 3 4 4" xfId="6052"/>
    <cellStyle name="표준 2 2 21 2 3 5" xfId="6053"/>
    <cellStyle name="표준 2 2 21 2 3 5 2" xfId="6054"/>
    <cellStyle name="표준 2 2 21 2 3 5 3" xfId="6055"/>
    <cellStyle name="표준 2 2 21 2 3 5 4" xfId="6056"/>
    <cellStyle name="표준 2 2 21 2 3 6" xfId="6057"/>
    <cellStyle name="표준 2 2 21 2 3 7" xfId="6058"/>
    <cellStyle name="표준 2 2 21 2 3 8" xfId="6059"/>
    <cellStyle name="표준 2 2 21 2 4" xfId="6060"/>
    <cellStyle name="표준 2 2 21 2 4 2" xfId="6061"/>
    <cellStyle name="표준 2 2 21 2 4 2 2" xfId="6062"/>
    <cellStyle name="표준 2 2 21 2 4 2 3" xfId="6063"/>
    <cellStyle name="표준 2 2 21 2 4 2 4" xfId="6064"/>
    <cellStyle name="표준 2 2 21 2 4 3" xfId="6065"/>
    <cellStyle name="표준 2 2 21 2 4 3 2" xfId="6066"/>
    <cellStyle name="표준 2 2 21 2 4 3 3" xfId="6067"/>
    <cellStyle name="표준 2 2 21 2 4 3 4" xfId="6068"/>
    <cellStyle name="표준 2 2 21 2 4 4" xfId="6069"/>
    <cellStyle name="표준 2 2 21 2 4 5" xfId="6070"/>
    <cellStyle name="표준 2 2 21 2 4 6" xfId="6071"/>
    <cellStyle name="표준 2 2 21 2 5" xfId="6072"/>
    <cellStyle name="표준 2 2 21 2 5 2" xfId="6073"/>
    <cellStyle name="표준 2 2 21 2 5 2 2" xfId="6074"/>
    <cellStyle name="표준 2 2 21 2 5 2 3" xfId="6075"/>
    <cellStyle name="표준 2 2 21 2 5 2 4" xfId="6076"/>
    <cellStyle name="표준 2 2 21 2 5 3" xfId="6077"/>
    <cellStyle name="표준 2 2 21 2 5 3 2" xfId="6078"/>
    <cellStyle name="표준 2 2 21 2 5 3 3" xfId="6079"/>
    <cellStyle name="표준 2 2 21 2 5 3 4" xfId="6080"/>
    <cellStyle name="표준 2 2 21 2 5 4" xfId="6081"/>
    <cellStyle name="표준 2 2 21 2 5 5" xfId="6082"/>
    <cellStyle name="표준 2 2 21 2 5 6" xfId="6083"/>
    <cellStyle name="표준 2 2 21 2 6" xfId="6084"/>
    <cellStyle name="표준 2 2 21 2 6 2" xfId="6085"/>
    <cellStyle name="표준 2 2 21 2 6 3" xfId="6086"/>
    <cellStyle name="표준 2 2 21 2 6 4" xfId="6087"/>
    <cellStyle name="표준 2 2 21 2 7" xfId="6088"/>
    <cellStyle name="표준 2 2 21 2 7 2" xfId="6089"/>
    <cellStyle name="표준 2 2 21 2 7 3" xfId="6090"/>
    <cellStyle name="표준 2 2 21 2 7 4" xfId="6091"/>
    <cellStyle name="표준 2 2 21 2 8" xfId="6092"/>
    <cellStyle name="표준 2 2 21 2 9" xfId="6093"/>
    <cellStyle name="표준 2 2 21 3" xfId="6094"/>
    <cellStyle name="표준 2 2 21 3 2" xfId="6095"/>
    <cellStyle name="표준 2 2 21 3 2 2" xfId="6096"/>
    <cellStyle name="표준 2 2 21 3 2 2 2" xfId="6097"/>
    <cellStyle name="표준 2 2 21 3 2 2 2 2" xfId="6098"/>
    <cellStyle name="표준 2 2 21 3 2 2 2 3" xfId="6099"/>
    <cellStyle name="표준 2 2 21 3 2 2 2 4" xfId="6100"/>
    <cellStyle name="표준 2 2 21 3 2 2 3" xfId="6101"/>
    <cellStyle name="표준 2 2 21 3 2 2 3 2" xfId="6102"/>
    <cellStyle name="표준 2 2 21 3 2 2 3 3" xfId="6103"/>
    <cellStyle name="표준 2 2 21 3 2 2 3 4" xfId="6104"/>
    <cellStyle name="표준 2 2 21 3 2 2 4" xfId="6105"/>
    <cellStyle name="표준 2 2 21 3 2 2 5" xfId="6106"/>
    <cellStyle name="표준 2 2 21 3 2 2 6" xfId="6107"/>
    <cellStyle name="표준 2 2 21 3 2 3" xfId="6108"/>
    <cellStyle name="표준 2 2 21 3 2 3 2" xfId="6109"/>
    <cellStyle name="표준 2 2 21 3 2 3 2 2" xfId="6110"/>
    <cellStyle name="표준 2 2 21 3 2 3 2 3" xfId="6111"/>
    <cellStyle name="표준 2 2 21 3 2 3 2 4" xfId="6112"/>
    <cellStyle name="표준 2 2 21 3 2 3 3" xfId="6113"/>
    <cellStyle name="표준 2 2 21 3 2 3 3 2" xfId="6114"/>
    <cellStyle name="표준 2 2 21 3 2 3 3 3" xfId="6115"/>
    <cellStyle name="표준 2 2 21 3 2 3 3 4" xfId="6116"/>
    <cellStyle name="표준 2 2 21 3 2 3 4" xfId="6117"/>
    <cellStyle name="표준 2 2 21 3 2 3 5" xfId="6118"/>
    <cellStyle name="표준 2 2 21 3 2 3 6" xfId="6119"/>
    <cellStyle name="표준 2 2 21 3 2 4" xfId="6120"/>
    <cellStyle name="표준 2 2 21 3 2 4 2" xfId="6121"/>
    <cellStyle name="표준 2 2 21 3 2 4 3" xfId="6122"/>
    <cellStyle name="표준 2 2 21 3 2 4 4" xfId="6123"/>
    <cellStyle name="표준 2 2 21 3 2 5" xfId="6124"/>
    <cellStyle name="표준 2 2 21 3 2 5 2" xfId="6125"/>
    <cellStyle name="표준 2 2 21 3 2 5 3" xfId="6126"/>
    <cellStyle name="표준 2 2 21 3 2 5 4" xfId="6127"/>
    <cellStyle name="표준 2 2 21 3 2 6" xfId="6128"/>
    <cellStyle name="표준 2 2 21 3 2 7" xfId="6129"/>
    <cellStyle name="표준 2 2 21 3 2 8" xfId="6130"/>
    <cellStyle name="표준 2 2 21 3 3" xfId="6131"/>
    <cellStyle name="표준 2 2 21 3 3 2" xfId="6132"/>
    <cellStyle name="표준 2 2 21 3 3 2 2" xfId="6133"/>
    <cellStyle name="표준 2 2 21 3 3 2 3" xfId="6134"/>
    <cellStyle name="표준 2 2 21 3 3 2 4" xfId="6135"/>
    <cellStyle name="표준 2 2 21 3 3 3" xfId="6136"/>
    <cellStyle name="표준 2 2 21 3 3 3 2" xfId="6137"/>
    <cellStyle name="표준 2 2 21 3 3 3 3" xfId="6138"/>
    <cellStyle name="표준 2 2 21 3 3 3 4" xfId="6139"/>
    <cellStyle name="표준 2 2 21 3 3 4" xfId="6140"/>
    <cellStyle name="표준 2 2 21 3 3 5" xfId="6141"/>
    <cellStyle name="표준 2 2 21 3 3 6" xfId="6142"/>
    <cellStyle name="표준 2 2 21 3 4" xfId="6143"/>
    <cellStyle name="표준 2 2 21 3 4 2" xfId="6144"/>
    <cellStyle name="표준 2 2 21 3 4 2 2" xfId="6145"/>
    <cellStyle name="표준 2 2 21 3 4 2 3" xfId="6146"/>
    <cellStyle name="표준 2 2 21 3 4 2 4" xfId="6147"/>
    <cellStyle name="표준 2 2 21 3 4 3" xfId="6148"/>
    <cellStyle name="표준 2 2 21 3 4 3 2" xfId="6149"/>
    <cellStyle name="표준 2 2 21 3 4 3 3" xfId="6150"/>
    <cellStyle name="표준 2 2 21 3 4 3 4" xfId="6151"/>
    <cellStyle name="표준 2 2 21 3 4 4" xfId="6152"/>
    <cellStyle name="표준 2 2 21 3 4 5" xfId="6153"/>
    <cellStyle name="표준 2 2 21 3 4 6" xfId="6154"/>
    <cellStyle name="표준 2 2 21 3 5" xfId="6155"/>
    <cellStyle name="표준 2 2 21 3 5 2" xfId="6156"/>
    <cellStyle name="표준 2 2 21 3 5 3" xfId="6157"/>
    <cellStyle name="표준 2 2 21 3 5 4" xfId="6158"/>
    <cellStyle name="표준 2 2 21 3 6" xfId="6159"/>
    <cellStyle name="표준 2 2 21 3 6 2" xfId="6160"/>
    <cellStyle name="표준 2 2 21 3 6 3" xfId="6161"/>
    <cellStyle name="표준 2 2 21 3 6 4" xfId="6162"/>
    <cellStyle name="표준 2 2 21 3 7" xfId="6163"/>
    <cellStyle name="표준 2 2 21 3 8" xfId="6164"/>
    <cellStyle name="표준 2 2 21 3 9" xfId="6165"/>
    <cellStyle name="표준 2 2 21 4" xfId="6166"/>
    <cellStyle name="표준 2 2 21 4 2" xfId="6167"/>
    <cellStyle name="표준 2 2 21 4 2 2" xfId="6168"/>
    <cellStyle name="표준 2 2 21 4 2 3" xfId="6169"/>
    <cellStyle name="표준 2 2 21 4 2 4" xfId="6170"/>
    <cellStyle name="표준 2 2 21 4 3" xfId="6171"/>
    <cellStyle name="표준 2 2 21 4 3 2" xfId="6172"/>
    <cellStyle name="표준 2 2 21 4 3 3" xfId="6173"/>
    <cellStyle name="표준 2 2 21 4 3 4" xfId="6174"/>
    <cellStyle name="표준 2 2 21 4 4" xfId="6175"/>
    <cellStyle name="표준 2 2 21 4 5" xfId="6176"/>
    <cellStyle name="표준 2 2 21 4 6" xfId="6177"/>
    <cellStyle name="표준 2 2 21 5" xfId="6178"/>
    <cellStyle name="표준 2 2 21 5 2" xfId="6179"/>
    <cellStyle name="표준 2 2 21 5 2 2" xfId="6180"/>
    <cellStyle name="표준 2 2 21 5 2 3" xfId="6181"/>
    <cellStyle name="표준 2 2 21 5 2 4" xfId="6182"/>
    <cellStyle name="표준 2 2 21 5 3" xfId="6183"/>
    <cellStyle name="표준 2 2 21 5 3 2" xfId="6184"/>
    <cellStyle name="표준 2 2 21 5 3 3" xfId="6185"/>
    <cellStyle name="표준 2 2 21 5 3 4" xfId="6186"/>
    <cellStyle name="표준 2 2 21 5 4" xfId="6187"/>
    <cellStyle name="표준 2 2 21 5 5" xfId="6188"/>
    <cellStyle name="표준 2 2 21 5 6" xfId="6189"/>
    <cellStyle name="표준 2 2 21 6" xfId="6190"/>
    <cellStyle name="표준 2 2 21 6 2" xfId="6191"/>
    <cellStyle name="표준 2 2 21 6 3" xfId="6192"/>
    <cellStyle name="표준 2 2 21 6 4" xfId="6193"/>
    <cellStyle name="표준 2 2 21 7" xfId="6194"/>
    <cellStyle name="표준 2 2 21 7 2" xfId="6195"/>
    <cellStyle name="표준 2 2 21 7 3" xfId="6196"/>
    <cellStyle name="표준 2 2 21 7 4" xfId="6197"/>
    <cellStyle name="표준 2 2 21 8" xfId="6198"/>
    <cellStyle name="표준 2 2 21 9" xfId="6199"/>
    <cellStyle name="표준 2 2 22" xfId="6200"/>
    <cellStyle name="표준 2 2 22 10" xfId="6201"/>
    <cellStyle name="표준 2 2 22 2" xfId="6202"/>
    <cellStyle name="표준 2 2 22 2 10" xfId="6203"/>
    <cellStyle name="표준 2 2 22 2 2" xfId="6204"/>
    <cellStyle name="표준 2 2 22 2 2 2" xfId="6205"/>
    <cellStyle name="표준 2 2 22 2 2 2 2" xfId="6206"/>
    <cellStyle name="표준 2 2 22 2 2 2 2 2" xfId="6207"/>
    <cellStyle name="표준 2 2 22 2 2 2 2 2 2" xfId="6208"/>
    <cellStyle name="표준 2 2 22 2 2 2 2 2 3" xfId="6209"/>
    <cellStyle name="표준 2 2 22 2 2 2 2 2 4" xfId="6210"/>
    <cellStyle name="표준 2 2 22 2 2 2 2 3" xfId="6211"/>
    <cellStyle name="표준 2 2 22 2 2 2 2 3 2" xfId="6212"/>
    <cellStyle name="표준 2 2 22 2 2 2 2 3 3" xfId="6213"/>
    <cellStyle name="표준 2 2 22 2 2 2 2 3 4" xfId="6214"/>
    <cellStyle name="표준 2 2 22 2 2 2 2 4" xfId="6215"/>
    <cellStyle name="표준 2 2 22 2 2 2 2 5" xfId="6216"/>
    <cellStyle name="표준 2 2 22 2 2 2 2 6" xfId="6217"/>
    <cellStyle name="표준 2 2 22 2 2 2 3" xfId="6218"/>
    <cellStyle name="표준 2 2 22 2 2 2 3 2" xfId="6219"/>
    <cellStyle name="표준 2 2 22 2 2 2 3 2 2" xfId="6220"/>
    <cellStyle name="표준 2 2 22 2 2 2 3 2 3" xfId="6221"/>
    <cellStyle name="표준 2 2 22 2 2 2 3 2 4" xfId="6222"/>
    <cellStyle name="표준 2 2 22 2 2 2 3 3" xfId="6223"/>
    <cellStyle name="표준 2 2 22 2 2 2 3 3 2" xfId="6224"/>
    <cellStyle name="표준 2 2 22 2 2 2 3 3 3" xfId="6225"/>
    <cellStyle name="표준 2 2 22 2 2 2 3 3 4" xfId="6226"/>
    <cellStyle name="표준 2 2 22 2 2 2 3 4" xfId="6227"/>
    <cellStyle name="표준 2 2 22 2 2 2 3 5" xfId="6228"/>
    <cellStyle name="표준 2 2 22 2 2 2 3 6" xfId="6229"/>
    <cellStyle name="표준 2 2 22 2 2 2 4" xfId="6230"/>
    <cellStyle name="표준 2 2 22 2 2 2 4 2" xfId="6231"/>
    <cellStyle name="표준 2 2 22 2 2 2 4 3" xfId="6232"/>
    <cellStyle name="표준 2 2 22 2 2 2 4 4" xfId="6233"/>
    <cellStyle name="표준 2 2 22 2 2 2 5" xfId="6234"/>
    <cellStyle name="표준 2 2 22 2 2 2 5 2" xfId="6235"/>
    <cellStyle name="표준 2 2 22 2 2 2 5 3" xfId="6236"/>
    <cellStyle name="표준 2 2 22 2 2 2 5 4" xfId="6237"/>
    <cellStyle name="표준 2 2 22 2 2 2 6" xfId="6238"/>
    <cellStyle name="표준 2 2 22 2 2 2 7" xfId="6239"/>
    <cellStyle name="표준 2 2 22 2 2 2 8" xfId="6240"/>
    <cellStyle name="표준 2 2 22 2 2 3" xfId="6241"/>
    <cellStyle name="표준 2 2 22 2 2 3 2" xfId="6242"/>
    <cellStyle name="표준 2 2 22 2 2 3 2 2" xfId="6243"/>
    <cellStyle name="표준 2 2 22 2 2 3 2 3" xfId="6244"/>
    <cellStyle name="표준 2 2 22 2 2 3 2 4" xfId="6245"/>
    <cellStyle name="표준 2 2 22 2 2 3 3" xfId="6246"/>
    <cellStyle name="표준 2 2 22 2 2 3 3 2" xfId="6247"/>
    <cellStyle name="표준 2 2 22 2 2 3 3 3" xfId="6248"/>
    <cellStyle name="표준 2 2 22 2 2 3 3 4" xfId="6249"/>
    <cellStyle name="표준 2 2 22 2 2 3 4" xfId="6250"/>
    <cellStyle name="표준 2 2 22 2 2 3 5" xfId="6251"/>
    <cellStyle name="표준 2 2 22 2 2 3 6" xfId="6252"/>
    <cellStyle name="표준 2 2 22 2 2 4" xfId="6253"/>
    <cellStyle name="표준 2 2 22 2 2 4 2" xfId="6254"/>
    <cellStyle name="표준 2 2 22 2 2 4 2 2" xfId="6255"/>
    <cellStyle name="표준 2 2 22 2 2 4 2 3" xfId="6256"/>
    <cellStyle name="표준 2 2 22 2 2 4 2 4" xfId="6257"/>
    <cellStyle name="표준 2 2 22 2 2 4 3" xfId="6258"/>
    <cellStyle name="표준 2 2 22 2 2 4 3 2" xfId="6259"/>
    <cellStyle name="표준 2 2 22 2 2 4 3 3" xfId="6260"/>
    <cellStyle name="표준 2 2 22 2 2 4 3 4" xfId="6261"/>
    <cellStyle name="표준 2 2 22 2 2 4 4" xfId="6262"/>
    <cellStyle name="표준 2 2 22 2 2 4 5" xfId="6263"/>
    <cellStyle name="표준 2 2 22 2 2 4 6" xfId="6264"/>
    <cellStyle name="표준 2 2 22 2 2 5" xfId="6265"/>
    <cellStyle name="표준 2 2 22 2 2 5 2" xfId="6266"/>
    <cellStyle name="표준 2 2 22 2 2 5 3" xfId="6267"/>
    <cellStyle name="표준 2 2 22 2 2 5 4" xfId="6268"/>
    <cellStyle name="표준 2 2 22 2 2 6" xfId="6269"/>
    <cellStyle name="표준 2 2 22 2 2 6 2" xfId="6270"/>
    <cellStyle name="표준 2 2 22 2 2 6 3" xfId="6271"/>
    <cellStyle name="표준 2 2 22 2 2 6 4" xfId="6272"/>
    <cellStyle name="표준 2 2 22 2 2 7" xfId="6273"/>
    <cellStyle name="표준 2 2 22 2 2 8" xfId="6274"/>
    <cellStyle name="표준 2 2 22 2 2 9" xfId="6275"/>
    <cellStyle name="표준 2 2 22 2 3" xfId="6276"/>
    <cellStyle name="표준 2 2 22 2 3 2" xfId="6277"/>
    <cellStyle name="표준 2 2 22 2 3 2 2" xfId="6278"/>
    <cellStyle name="표준 2 2 22 2 3 2 2 2" xfId="6279"/>
    <cellStyle name="표준 2 2 22 2 3 2 2 3" xfId="6280"/>
    <cellStyle name="표준 2 2 22 2 3 2 2 4" xfId="6281"/>
    <cellStyle name="표준 2 2 22 2 3 2 3" xfId="6282"/>
    <cellStyle name="표준 2 2 22 2 3 2 3 2" xfId="6283"/>
    <cellStyle name="표준 2 2 22 2 3 2 3 3" xfId="6284"/>
    <cellStyle name="표준 2 2 22 2 3 2 3 4" xfId="6285"/>
    <cellStyle name="표준 2 2 22 2 3 2 4" xfId="6286"/>
    <cellStyle name="표준 2 2 22 2 3 2 5" xfId="6287"/>
    <cellStyle name="표준 2 2 22 2 3 2 6" xfId="6288"/>
    <cellStyle name="표준 2 2 22 2 3 3" xfId="6289"/>
    <cellStyle name="표준 2 2 22 2 3 3 2" xfId="6290"/>
    <cellStyle name="표준 2 2 22 2 3 3 2 2" xfId="6291"/>
    <cellStyle name="표준 2 2 22 2 3 3 2 3" xfId="6292"/>
    <cellStyle name="표준 2 2 22 2 3 3 2 4" xfId="6293"/>
    <cellStyle name="표준 2 2 22 2 3 3 3" xfId="6294"/>
    <cellStyle name="표준 2 2 22 2 3 3 3 2" xfId="6295"/>
    <cellStyle name="표준 2 2 22 2 3 3 3 3" xfId="6296"/>
    <cellStyle name="표준 2 2 22 2 3 3 3 4" xfId="6297"/>
    <cellStyle name="표준 2 2 22 2 3 3 4" xfId="6298"/>
    <cellStyle name="표준 2 2 22 2 3 3 5" xfId="6299"/>
    <cellStyle name="표준 2 2 22 2 3 3 6" xfId="6300"/>
    <cellStyle name="표준 2 2 22 2 3 4" xfId="6301"/>
    <cellStyle name="표준 2 2 22 2 3 4 2" xfId="6302"/>
    <cellStyle name="표준 2 2 22 2 3 4 3" xfId="6303"/>
    <cellStyle name="표준 2 2 22 2 3 4 4" xfId="6304"/>
    <cellStyle name="표준 2 2 22 2 3 5" xfId="6305"/>
    <cellStyle name="표준 2 2 22 2 3 5 2" xfId="6306"/>
    <cellStyle name="표준 2 2 22 2 3 5 3" xfId="6307"/>
    <cellStyle name="표준 2 2 22 2 3 5 4" xfId="6308"/>
    <cellStyle name="표준 2 2 22 2 3 6" xfId="6309"/>
    <cellStyle name="표준 2 2 22 2 3 7" xfId="6310"/>
    <cellStyle name="표준 2 2 22 2 3 8" xfId="6311"/>
    <cellStyle name="표준 2 2 22 2 4" xfId="6312"/>
    <cellStyle name="표준 2 2 22 2 4 2" xfId="6313"/>
    <cellStyle name="표준 2 2 22 2 4 2 2" xfId="6314"/>
    <cellStyle name="표준 2 2 22 2 4 2 3" xfId="6315"/>
    <cellStyle name="표준 2 2 22 2 4 2 4" xfId="6316"/>
    <cellStyle name="표준 2 2 22 2 4 3" xfId="6317"/>
    <cellStyle name="표준 2 2 22 2 4 3 2" xfId="6318"/>
    <cellStyle name="표준 2 2 22 2 4 3 3" xfId="6319"/>
    <cellStyle name="표준 2 2 22 2 4 3 4" xfId="6320"/>
    <cellStyle name="표준 2 2 22 2 4 4" xfId="6321"/>
    <cellStyle name="표준 2 2 22 2 4 5" xfId="6322"/>
    <cellStyle name="표준 2 2 22 2 4 6" xfId="6323"/>
    <cellStyle name="표준 2 2 22 2 5" xfId="6324"/>
    <cellStyle name="표준 2 2 22 2 5 2" xfId="6325"/>
    <cellStyle name="표준 2 2 22 2 5 2 2" xfId="6326"/>
    <cellStyle name="표준 2 2 22 2 5 2 3" xfId="6327"/>
    <cellStyle name="표준 2 2 22 2 5 2 4" xfId="6328"/>
    <cellStyle name="표준 2 2 22 2 5 3" xfId="6329"/>
    <cellStyle name="표준 2 2 22 2 5 3 2" xfId="6330"/>
    <cellStyle name="표준 2 2 22 2 5 3 3" xfId="6331"/>
    <cellStyle name="표준 2 2 22 2 5 3 4" xfId="6332"/>
    <cellStyle name="표준 2 2 22 2 5 4" xfId="6333"/>
    <cellStyle name="표준 2 2 22 2 5 5" xfId="6334"/>
    <cellStyle name="표준 2 2 22 2 5 6" xfId="6335"/>
    <cellStyle name="표준 2 2 22 2 6" xfId="6336"/>
    <cellStyle name="표준 2 2 22 2 6 2" xfId="6337"/>
    <cellStyle name="표준 2 2 22 2 6 3" xfId="6338"/>
    <cellStyle name="표준 2 2 22 2 6 4" xfId="6339"/>
    <cellStyle name="표준 2 2 22 2 7" xfId="6340"/>
    <cellStyle name="표준 2 2 22 2 7 2" xfId="6341"/>
    <cellStyle name="표준 2 2 22 2 7 3" xfId="6342"/>
    <cellStyle name="표준 2 2 22 2 7 4" xfId="6343"/>
    <cellStyle name="표준 2 2 22 2 8" xfId="6344"/>
    <cellStyle name="표준 2 2 22 2 9" xfId="6345"/>
    <cellStyle name="표준 2 2 22 3" xfId="6346"/>
    <cellStyle name="표준 2 2 22 3 2" xfId="6347"/>
    <cellStyle name="표준 2 2 22 3 2 2" xfId="6348"/>
    <cellStyle name="표준 2 2 22 3 2 2 2" xfId="6349"/>
    <cellStyle name="표준 2 2 22 3 2 2 2 2" xfId="6350"/>
    <cellStyle name="표준 2 2 22 3 2 2 2 3" xfId="6351"/>
    <cellStyle name="표준 2 2 22 3 2 2 2 4" xfId="6352"/>
    <cellStyle name="표준 2 2 22 3 2 2 3" xfId="6353"/>
    <cellStyle name="표준 2 2 22 3 2 2 3 2" xfId="6354"/>
    <cellStyle name="표준 2 2 22 3 2 2 3 3" xfId="6355"/>
    <cellStyle name="표준 2 2 22 3 2 2 3 4" xfId="6356"/>
    <cellStyle name="표준 2 2 22 3 2 2 4" xfId="6357"/>
    <cellStyle name="표준 2 2 22 3 2 2 5" xfId="6358"/>
    <cellStyle name="표준 2 2 22 3 2 2 6" xfId="6359"/>
    <cellStyle name="표준 2 2 22 3 2 3" xfId="6360"/>
    <cellStyle name="표준 2 2 22 3 2 3 2" xfId="6361"/>
    <cellStyle name="표준 2 2 22 3 2 3 2 2" xfId="6362"/>
    <cellStyle name="표준 2 2 22 3 2 3 2 3" xfId="6363"/>
    <cellStyle name="표준 2 2 22 3 2 3 2 4" xfId="6364"/>
    <cellStyle name="표준 2 2 22 3 2 3 3" xfId="6365"/>
    <cellStyle name="표준 2 2 22 3 2 3 3 2" xfId="6366"/>
    <cellStyle name="표준 2 2 22 3 2 3 3 3" xfId="6367"/>
    <cellStyle name="표준 2 2 22 3 2 3 3 4" xfId="6368"/>
    <cellStyle name="표준 2 2 22 3 2 3 4" xfId="6369"/>
    <cellStyle name="표준 2 2 22 3 2 3 5" xfId="6370"/>
    <cellStyle name="표준 2 2 22 3 2 3 6" xfId="6371"/>
    <cellStyle name="표준 2 2 22 3 2 4" xfId="6372"/>
    <cellStyle name="표준 2 2 22 3 2 4 2" xfId="6373"/>
    <cellStyle name="표준 2 2 22 3 2 4 3" xfId="6374"/>
    <cellStyle name="표준 2 2 22 3 2 4 4" xfId="6375"/>
    <cellStyle name="표준 2 2 22 3 2 5" xfId="6376"/>
    <cellStyle name="표준 2 2 22 3 2 5 2" xfId="6377"/>
    <cellStyle name="표준 2 2 22 3 2 5 3" xfId="6378"/>
    <cellStyle name="표준 2 2 22 3 2 5 4" xfId="6379"/>
    <cellStyle name="표준 2 2 22 3 2 6" xfId="6380"/>
    <cellStyle name="표준 2 2 22 3 2 7" xfId="6381"/>
    <cellStyle name="표준 2 2 22 3 2 8" xfId="6382"/>
    <cellStyle name="표준 2 2 22 3 3" xfId="6383"/>
    <cellStyle name="표준 2 2 22 3 3 2" xfId="6384"/>
    <cellStyle name="표준 2 2 22 3 3 2 2" xfId="6385"/>
    <cellStyle name="표준 2 2 22 3 3 2 3" xfId="6386"/>
    <cellStyle name="표준 2 2 22 3 3 2 4" xfId="6387"/>
    <cellStyle name="표준 2 2 22 3 3 3" xfId="6388"/>
    <cellStyle name="표준 2 2 22 3 3 3 2" xfId="6389"/>
    <cellStyle name="표준 2 2 22 3 3 3 3" xfId="6390"/>
    <cellStyle name="표준 2 2 22 3 3 3 4" xfId="6391"/>
    <cellStyle name="표준 2 2 22 3 3 4" xfId="6392"/>
    <cellStyle name="표준 2 2 22 3 3 5" xfId="6393"/>
    <cellStyle name="표준 2 2 22 3 3 6" xfId="6394"/>
    <cellStyle name="표준 2 2 22 3 4" xfId="6395"/>
    <cellStyle name="표준 2 2 22 3 4 2" xfId="6396"/>
    <cellStyle name="표준 2 2 22 3 4 2 2" xfId="6397"/>
    <cellStyle name="표준 2 2 22 3 4 2 3" xfId="6398"/>
    <cellStyle name="표준 2 2 22 3 4 2 4" xfId="6399"/>
    <cellStyle name="표준 2 2 22 3 4 3" xfId="6400"/>
    <cellStyle name="표준 2 2 22 3 4 3 2" xfId="6401"/>
    <cellStyle name="표준 2 2 22 3 4 3 3" xfId="6402"/>
    <cellStyle name="표준 2 2 22 3 4 3 4" xfId="6403"/>
    <cellStyle name="표준 2 2 22 3 4 4" xfId="6404"/>
    <cellStyle name="표준 2 2 22 3 4 5" xfId="6405"/>
    <cellStyle name="표준 2 2 22 3 4 6" xfId="6406"/>
    <cellStyle name="표준 2 2 22 3 5" xfId="6407"/>
    <cellStyle name="표준 2 2 22 3 5 2" xfId="6408"/>
    <cellStyle name="표준 2 2 22 3 5 3" xfId="6409"/>
    <cellStyle name="표준 2 2 22 3 5 4" xfId="6410"/>
    <cellStyle name="표준 2 2 22 3 6" xfId="6411"/>
    <cellStyle name="표준 2 2 22 3 6 2" xfId="6412"/>
    <cellStyle name="표준 2 2 22 3 6 3" xfId="6413"/>
    <cellStyle name="표준 2 2 22 3 6 4" xfId="6414"/>
    <cellStyle name="표준 2 2 22 3 7" xfId="6415"/>
    <cellStyle name="표준 2 2 22 3 8" xfId="6416"/>
    <cellStyle name="표준 2 2 22 3 9" xfId="6417"/>
    <cellStyle name="표준 2 2 22 4" xfId="6418"/>
    <cellStyle name="표준 2 2 22 4 2" xfId="6419"/>
    <cellStyle name="표준 2 2 22 4 2 2" xfId="6420"/>
    <cellStyle name="표준 2 2 22 4 2 3" xfId="6421"/>
    <cellStyle name="표준 2 2 22 4 2 4" xfId="6422"/>
    <cellStyle name="표준 2 2 22 4 3" xfId="6423"/>
    <cellStyle name="표준 2 2 22 4 3 2" xfId="6424"/>
    <cellStyle name="표준 2 2 22 4 3 3" xfId="6425"/>
    <cellStyle name="표준 2 2 22 4 3 4" xfId="6426"/>
    <cellStyle name="표준 2 2 22 4 4" xfId="6427"/>
    <cellStyle name="표준 2 2 22 4 5" xfId="6428"/>
    <cellStyle name="표준 2 2 22 4 6" xfId="6429"/>
    <cellStyle name="표준 2 2 22 5" xfId="6430"/>
    <cellStyle name="표준 2 2 22 5 2" xfId="6431"/>
    <cellStyle name="표준 2 2 22 5 2 2" xfId="6432"/>
    <cellStyle name="표준 2 2 22 5 2 3" xfId="6433"/>
    <cellStyle name="표준 2 2 22 5 2 4" xfId="6434"/>
    <cellStyle name="표준 2 2 22 5 3" xfId="6435"/>
    <cellStyle name="표준 2 2 22 5 3 2" xfId="6436"/>
    <cellStyle name="표준 2 2 22 5 3 3" xfId="6437"/>
    <cellStyle name="표준 2 2 22 5 3 4" xfId="6438"/>
    <cellStyle name="표준 2 2 22 5 4" xfId="6439"/>
    <cellStyle name="표준 2 2 22 5 5" xfId="6440"/>
    <cellStyle name="표준 2 2 22 5 6" xfId="6441"/>
    <cellStyle name="표준 2 2 22 6" xfId="6442"/>
    <cellStyle name="표준 2 2 22 6 2" xfId="6443"/>
    <cellStyle name="표준 2 2 22 6 3" xfId="6444"/>
    <cellStyle name="표준 2 2 22 6 4" xfId="6445"/>
    <cellStyle name="표준 2 2 22 7" xfId="6446"/>
    <cellStyle name="표준 2 2 22 7 2" xfId="6447"/>
    <cellStyle name="표준 2 2 22 7 3" xfId="6448"/>
    <cellStyle name="표준 2 2 22 7 4" xfId="6449"/>
    <cellStyle name="표준 2 2 22 8" xfId="6450"/>
    <cellStyle name="표준 2 2 22 9" xfId="6451"/>
    <cellStyle name="표준 2 2 23" xfId="6452"/>
    <cellStyle name="표준 2 2 23 10" xfId="6453"/>
    <cellStyle name="표준 2 2 23 2" xfId="6454"/>
    <cellStyle name="표준 2 2 23 2 10" xfId="6455"/>
    <cellStyle name="표준 2 2 23 2 2" xfId="6456"/>
    <cellStyle name="표준 2 2 23 2 2 2" xfId="6457"/>
    <cellStyle name="표준 2 2 23 2 2 2 2" xfId="6458"/>
    <cellStyle name="표준 2 2 23 2 2 2 2 2" xfId="6459"/>
    <cellStyle name="표준 2 2 23 2 2 2 2 2 2" xfId="6460"/>
    <cellStyle name="표준 2 2 23 2 2 2 2 2 3" xfId="6461"/>
    <cellStyle name="표준 2 2 23 2 2 2 2 2 4" xfId="6462"/>
    <cellStyle name="표준 2 2 23 2 2 2 2 3" xfId="6463"/>
    <cellStyle name="표준 2 2 23 2 2 2 2 3 2" xfId="6464"/>
    <cellStyle name="표준 2 2 23 2 2 2 2 3 3" xfId="6465"/>
    <cellStyle name="표준 2 2 23 2 2 2 2 3 4" xfId="6466"/>
    <cellStyle name="표준 2 2 23 2 2 2 2 4" xfId="6467"/>
    <cellStyle name="표준 2 2 23 2 2 2 2 5" xfId="6468"/>
    <cellStyle name="표준 2 2 23 2 2 2 2 6" xfId="6469"/>
    <cellStyle name="표준 2 2 23 2 2 2 3" xfId="6470"/>
    <cellStyle name="표준 2 2 23 2 2 2 3 2" xfId="6471"/>
    <cellStyle name="표준 2 2 23 2 2 2 3 2 2" xfId="6472"/>
    <cellStyle name="표준 2 2 23 2 2 2 3 2 3" xfId="6473"/>
    <cellStyle name="표준 2 2 23 2 2 2 3 2 4" xfId="6474"/>
    <cellStyle name="표준 2 2 23 2 2 2 3 3" xfId="6475"/>
    <cellStyle name="표준 2 2 23 2 2 2 3 3 2" xfId="6476"/>
    <cellStyle name="표준 2 2 23 2 2 2 3 3 3" xfId="6477"/>
    <cellStyle name="표준 2 2 23 2 2 2 3 3 4" xfId="6478"/>
    <cellStyle name="표준 2 2 23 2 2 2 3 4" xfId="6479"/>
    <cellStyle name="표준 2 2 23 2 2 2 3 5" xfId="6480"/>
    <cellStyle name="표준 2 2 23 2 2 2 3 6" xfId="6481"/>
    <cellStyle name="표준 2 2 23 2 2 2 4" xfId="6482"/>
    <cellStyle name="표준 2 2 23 2 2 2 4 2" xfId="6483"/>
    <cellStyle name="표준 2 2 23 2 2 2 4 3" xfId="6484"/>
    <cellStyle name="표준 2 2 23 2 2 2 4 4" xfId="6485"/>
    <cellStyle name="표준 2 2 23 2 2 2 5" xfId="6486"/>
    <cellStyle name="표준 2 2 23 2 2 2 5 2" xfId="6487"/>
    <cellStyle name="표준 2 2 23 2 2 2 5 3" xfId="6488"/>
    <cellStyle name="표준 2 2 23 2 2 2 5 4" xfId="6489"/>
    <cellStyle name="표준 2 2 23 2 2 2 6" xfId="6490"/>
    <cellStyle name="표준 2 2 23 2 2 2 7" xfId="6491"/>
    <cellStyle name="표준 2 2 23 2 2 2 8" xfId="6492"/>
    <cellStyle name="표준 2 2 23 2 2 3" xfId="6493"/>
    <cellStyle name="표준 2 2 23 2 2 3 2" xfId="6494"/>
    <cellStyle name="표준 2 2 23 2 2 3 2 2" xfId="6495"/>
    <cellStyle name="표준 2 2 23 2 2 3 2 3" xfId="6496"/>
    <cellStyle name="표준 2 2 23 2 2 3 2 4" xfId="6497"/>
    <cellStyle name="표준 2 2 23 2 2 3 3" xfId="6498"/>
    <cellStyle name="표준 2 2 23 2 2 3 3 2" xfId="6499"/>
    <cellStyle name="표준 2 2 23 2 2 3 3 3" xfId="6500"/>
    <cellStyle name="표준 2 2 23 2 2 3 3 4" xfId="6501"/>
    <cellStyle name="표준 2 2 23 2 2 3 4" xfId="6502"/>
    <cellStyle name="표준 2 2 23 2 2 3 5" xfId="6503"/>
    <cellStyle name="표준 2 2 23 2 2 3 6" xfId="6504"/>
    <cellStyle name="표준 2 2 23 2 2 4" xfId="6505"/>
    <cellStyle name="표준 2 2 23 2 2 4 2" xfId="6506"/>
    <cellStyle name="표준 2 2 23 2 2 4 2 2" xfId="6507"/>
    <cellStyle name="표준 2 2 23 2 2 4 2 3" xfId="6508"/>
    <cellStyle name="표준 2 2 23 2 2 4 2 4" xfId="6509"/>
    <cellStyle name="표준 2 2 23 2 2 4 3" xfId="6510"/>
    <cellStyle name="표준 2 2 23 2 2 4 3 2" xfId="6511"/>
    <cellStyle name="표준 2 2 23 2 2 4 3 3" xfId="6512"/>
    <cellStyle name="표준 2 2 23 2 2 4 3 4" xfId="6513"/>
    <cellStyle name="표준 2 2 23 2 2 4 4" xfId="6514"/>
    <cellStyle name="표준 2 2 23 2 2 4 5" xfId="6515"/>
    <cellStyle name="표준 2 2 23 2 2 4 6" xfId="6516"/>
    <cellStyle name="표준 2 2 23 2 2 5" xfId="6517"/>
    <cellStyle name="표준 2 2 23 2 2 5 2" xfId="6518"/>
    <cellStyle name="표준 2 2 23 2 2 5 3" xfId="6519"/>
    <cellStyle name="표준 2 2 23 2 2 5 4" xfId="6520"/>
    <cellStyle name="표준 2 2 23 2 2 6" xfId="6521"/>
    <cellStyle name="표준 2 2 23 2 2 6 2" xfId="6522"/>
    <cellStyle name="표준 2 2 23 2 2 6 3" xfId="6523"/>
    <cellStyle name="표준 2 2 23 2 2 6 4" xfId="6524"/>
    <cellStyle name="표준 2 2 23 2 2 7" xfId="6525"/>
    <cellStyle name="표준 2 2 23 2 2 8" xfId="6526"/>
    <cellStyle name="표준 2 2 23 2 2 9" xfId="6527"/>
    <cellStyle name="표준 2 2 23 2 3" xfId="6528"/>
    <cellStyle name="표준 2 2 23 2 3 2" xfId="6529"/>
    <cellStyle name="표준 2 2 23 2 3 2 2" xfId="6530"/>
    <cellStyle name="표준 2 2 23 2 3 2 2 2" xfId="6531"/>
    <cellStyle name="표준 2 2 23 2 3 2 2 3" xfId="6532"/>
    <cellStyle name="표준 2 2 23 2 3 2 2 4" xfId="6533"/>
    <cellStyle name="표준 2 2 23 2 3 2 3" xfId="6534"/>
    <cellStyle name="표준 2 2 23 2 3 2 3 2" xfId="6535"/>
    <cellStyle name="표준 2 2 23 2 3 2 3 3" xfId="6536"/>
    <cellStyle name="표준 2 2 23 2 3 2 3 4" xfId="6537"/>
    <cellStyle name="표준 2 2 23 2 3 2 4" xfId="6538"/>
    <cellStyle name="표준 2 2 23 2 3 2 5" xfId="6539"/>
    <cellStyle name="표준 2 2 23 2 3 2 6" xfId="6540"/>
    <cellStyle name="표준 2 2 23 2 3 3" xfId="6541"/>
    <cellStyle name="표준 2 2 23 2 3 3 2" xfId="6542"/>
    <cellStyle name="표준 2 2 23 2 3 3 2 2" xfId="6543"/>
    <cellStyle name="표준 2 2 23 2 3 3 2 3" xfId="6544"/>
    <cellStyle name="표준 2 2 23 2 3 3 2 4" xfId="6545"/>
    <cellStyle name="표준 2 2 23 2 3 3 3" xfId="6546"/>
    <cellStyle name="표준 2 2 23 2 3 3 3 2" xfId="6547"/>
    <cellStyle name="표준 2 2 23 2 3 3 3 3" xfId="6548"/>
    <cellStyle name="표준 2 2 23 2 3 3 3 4" xfId="6549"/>
    <cellStyle name="표준 2 2 23 2 3 3 4" xfId="6550"/>
    <cellStyle name="표준 2 2 23 2 3 3 5" xfId="6551"/>
    <cellStyle name="표준 2 2 23 2 3 3 6" xfId="6552"/>
    <cellStyle name="표준 2 2 23 2 3 4" xfId="6553"/>
    <cellStyle name="표준 2 2 23 2 3 4 2" xfId="6554"/>
    <cellStyle name="표준 2 2 23 2 3 4 3" xfId="6555"/>
    <cellStyle name="표준 2 2 23 2 3 4 4" xfId="6556"/>
    <cellStyle name="표준 2 2 23 2 3 5" xfId="6557"/>
    <cellStyle name="표준 2 2 23 2 3 5 2" xfId="6558"/>
    <cellStyle name="표준 2 2 23 2 3 5 3" xfId="6559"/>
    <cellStyle name="표준 2 2 23 2 3 5 4" xfId="6560"/>
    <cellStyle name="표준 2 2 23 2 3 6" xfId="6561"/>
    <cellStyle name="표준 2 2 23 2 3 7" xfId="6562"/>
    <cellStyle name="표준 2 2 23 2 3 8" xfId="6563"/>
    <cellStyle name="표준 2 2 23 2 4" xfId="6564"/>
    <cellStyle name="표준 2 2 23 2 4 2" xfId="6565"/>
    <cellStyle name="표준 2 2 23 2 4 2 2" xfId="6566"/>
    <cellStyle name="표준 2 2 23 2 4 2 3" xfId="6567"/>
    <cellStyle name="표준 2 2 23 2 4 2 4" xfId="6568"/>
    <cellStyle name="표준 2 2 23 2 4 3" xfId="6569"/>
    <cellStyle name="표준 2 2 23 2 4 3 2" xfId="6570"/>
    <cellStyle name="표준 2 2 23 2 4 3 3" xfId="6571"/>
    <cellStyle name="표준 2 2 23 2 4 3 4" xfId="6572"/>
    <cellStyle name="표준 2 2 23 2 4 4" xfId="6573"/>
    <cellStyle name="표준 2 2 23 2 4 5" xfId="6574"/>
    <cellStyle name="표준 2 2 23 2 4 6" xfId="6575"/>
    <cellStyle name="표준 2 2 23 2 5" xfId="6576"/>
    <cellStyle name="표준 2 2 23 2 5 2" xfId="6577"/>
    <cellStyle name="표준 2 2 23 2 5 2 2" xfId="6578"/>
    <cellStyle name="표준 2 2 23 2 5 2 3" xfId="6579"/>
    <cellStyle name="표준 2 2 23 2 5 2 4" xfId="6580"/>
    <cellStyle name="표준 2 2 23 2 5 3" xfId="6581"/>
    <cellStyle name="표준 2 2 23 2 5 3 2" xfId="6582"/>
    <cellStyle name="표준 2 2 23 2 5 3 3" xfId="6583"/>
    <cellStyle name="표준 2 2 23 2 5 3 4" xfId="6584"/>
    <cellStyle name="표준 2 2 23 2 5 4" xfId="6585"/>
    <cellStyle name="표준 2 2 23 2 5 5" xfId="6586"/>
    <cellStyle name="표준 2 2 23 2 5 6" xfId="6587"/>
    <cellStyle name="표준 2 2 23 2 6" xfId="6588"/>
    <cellStyle name="표준 2 2 23 2 6 2" xfId="6589"/>
    <cellStyle name="표준 2 2 23 2 6 3" xfId="6590"/>
    <cellStyle name="표준 2 2 23 2 6 4" xfId="6591"/>
    <cellStyle name="표준 2 2 23 2 7" xfId="6592"/>
    <cellStyle name="표준 2 2 23 2 7 2" xfId="6593"/>
    <cellStyle name="표준 2 2 23 2 7 3" xfId="6594"/>
    <cellStyle name="표준 2 2 23 2 7 4" xfId="6595"/>
    <cellStyle name="표준 2 2 23 2 8" xfId="6596"/>
    <cellStyle name="표준 2 2 23 2 9" xfId="6597"/>
    <cellStyle name="표준 2 2 23 3" xfId="6598"/>
    <cellStyle name="표준 2 2 23 3 2" xfId="6599"/>
    <cellStyle name="표준 2 2 23 3 2 2" xfId="6600"/>
    <cellStyle name="표준 2 2 23 3 2 2 2" xfId="6601"/>
    <cellStyle name="표준 2 2 23 3 2 2 2 2" xfId="6602"/>
    <cellStyle name="표준 2 2 23 3 2 2 2 3" xfId="6603"/>
    <cellStyle name="표준 2 2 23 3 2 2 2 4" xfId="6604"/>
    <cellStyle name="표준 2 2 23 3 2 2 3" xfId="6605"/>
    <cellStyle name="표준 2 2 23 3 2 2 3 2" xfId="6606"/>
    <cellStyle name="표준 2 2 23 3 2 2 3 3" xfId="6607"/>
    <cellStyle name="표준 2 2 23 3 2 2 3 4" xfId="6608"/>
    <cellStyle name="표준 2 2 23 3 2 2 4" xfId="6609"/>
    <cellStyle name="표준 2 2 23 3 2 2 5" xfId="6610"/>
    <cellStyle name="표준 2 2 23 3 2 2 6" xfId="6611"/>
    <cellStyle name="표준 2 2 23 3 2 3" xfId="6612"/>
    <cellStyle name="표준 2 2 23 3 2 3 2" xfId="6613"/>
    <cellStyle name="표준 2 2 23 3 2 3 2 2" xfId="6614"/>
    <cellStyle name="표준 2 2 23 3 2 3 2 3" xfId="6615"/>
    <cellStyle name="표준 2 2 23 3 2 3 2 4" xfId="6616"/>
    <cellStyle name="표준 2 2 23 3 2 3 3" xfId="6617"/>
    <cellStyle name="표준 2 2 23 3 2 3 3 2" xfId="6618"/>
    <cellStyle name="표준 2 2 23 3 2 3 3 3" xfId="6619"/>
    <cellStyle name="표준 2 2 23 3 2 3 3 4" xfId="6620"/>
    <cellStyle name="표준 2 2 23 3 2 3 4" xfId="6621"/>
    <cellStyle name="표준 2 2 23 3 2 3 5" xfId="6622"/>
    <cellStyle name="표준 2 2 23 3 2 3 6" xfId="6623"/>
    <cellStyle name="표준 2 2 23 3 2 4" xfId="6624"/>
    <cellStyle name="표준 2 2 23 3 2 4 2" xfId="6625"/>
    <cellStyle name="표준 2 2 23 3 2 4 3" xfId="6626"/>
    <cellStyle name="표준 2 2 23 3 2 4 4" xfId="6627"/>
    <cellStyle name="표준 2 2 23 3 2 5" xfId="6628"/>
    <cellStyle name="표준 2 2 23 3 2 5 2" xfId="6629"/>
    <cellStyle name="표준 2 2 23 3 2 5 3" xfId="6630"/>
    <cellStyle name="표준 2 2 23 3 2 5 4" xfId="6631"/>
    <cellStyle name="표준 2 2 23 3 2 6" xfId="6632"/>
    <cellStyle name="표준 2 2 23 3 2 7" xfId="6633"/>
    <cellStyle name="표준 2 2 23 3 2 8" xfId="6634"/>
    <cellStyle name="표준 2 2 23 3 3" xfId="6635"/>
    <cellStyle name="표준 2 2 23 3 3 2" xfId="6636"/>
    <cellStyle name="표준 2 2 23 3 3 2 2" xfId="6637"/>
    <cellStyle name="표준 2 2 23 3 3 2 3" xfId="6638"/>
    <cellStyle name="표준 2 2 23 3 3 2 4" xfId="6639"/>
    <cellStyle name="표준 2 2 23 3 3 3" xfId="6640"/>
    <cellStyle name="표준 2 2 23 3 3 3 2" xfId="6641"/>
    <cellStyle name="표준 2 2 23 3 3 3 3" xfId="6642"/>
    <cellStyle name="표준 2 2 23 3 3 3 4" xfId="6643"/>
    <cellStyle name="표준 2 2 23 3 3 4" xfId="6644"/>
    <cellStyle name="표준 2 2 23 3 3 5" xfId="6645"/>
    <cellStyle name="표준 2 2 23 3 3 6" xfId="6646"/>
    <cellStyle name="표준 2 2 23 3 4" xfId="6647"/>
    <cellStyle name="표준 2 2 23 3 4 2" xfId="6648"/>
    <cellStyle name="표준 2 2 23 3 4 2 2" xfId="6649"/>
    <cellStyle name="표준 2 2 23 3 4 2 3" xfId="6650"/>
    <cellStyle name="표준 2 2 23 3 4 2 4" xfId="6651"/>
    <cellStyle name="표준 2 2 23 3 4 3" xfId="6652"/>
    <cellStyle name="표준 2 2 23 3 4 3 2" xfId="6653"/>
    <cellStyle name="표준 2 2 23 3 4 3 3" xfId="6654"/>
    <cellStyle name="표준 2 2 23 3 4 3 4" xfId="6655"/>
    <cellStyle name="표준 2 2 23 3 4 4" xfId="6656"/>
    <cellStyle name="표준 2 2 23 3 4 5" xfId="6657"/>
    <cellStyle name="표준 2 2 23 3 4 6" xfId="6658"/>
    <cellStyle name="표준 2 2 23 3 5" xfId="6659"/>
    <cellStyle name="표준 2 2 23 3 5 2" xfId="6660"/>
    <cellStyle name="표준 2 2 23 3 5 3" xfId="6661"/>
    <cellStyle name="표준 2 2 23 3 5 4" xfId="6662"/>
    <cellStyle name="표준 2 2 23 3 6" xfId="6663"/>
    <cellStyle name="표준 2 2 23 3 6 2" xfId="6664"/>
    <cellStyle name="표준 2 2 23 3 6 3" xfId="6665"/>
    <cellStyle name="표준 2 2 23 3 6 4" xfId="6666"/>
    <cellStyle name="표준 2 2 23 3 7" xfId="6667"/>
    <cellStyle name="표준 2 2 23 3 8" xfId="6668"/>
    <cellStyle name="표준 2 2 23 3 9" xfId="6669"/>
    <cellStyle name="표준 2 2 23 4" xfId="6670"/>
    <cellStyle name="표준 2 2 23 4 2" xfId="6671"/>
    <cellStyle name="표준 2 2 23 4 2 2" xfId="6672"/>
    <cellStyle name="표준 2 2 23 4 2 3" xfId="6673"/>
    <cellStyle name="표준 2 2 23 4 2 4" xfId="6674"/>
    <cellStyle name="표준 2 2 23 4 3" xfId="6675"/>
    <cellStyle name="표준 2 2 23 4 3 2" xfId="6676"/>
    <cellStyle name="표준 2 2 23 4 3 3" xfId="6677"/>
    <cellStyle name="표준 2 2 23 4 3 4" xfId="6678"/>
    <cellStyle name="표준 2 2 23 4 4" xfId="6679"/>
    <cellStyle name="표준 2 2 23 4 5" xfId="6680"/>
    <cellStyle name="표준 2 2 23 4 6" xfId="6681"/>
    <cellStyle name="표준 2 2 23 5" xfId="6682"/>
    <cellStyle name="표준 2 2 23 5 2" xfId="6683"/>
    <cellStyle name="표준 2 2 23 5 2 2" xfId="6684"/>
    <cellStyle name="표준 2 2 23 5 2 3" xfId="6685"/>
    <cellStyle name="표준 2 2 23 5 2 4" xfId="6686"/>
    <cellStyle name="표준 2 2 23 5 3" xfId="6687"/>
    <cellStyle name="표준 2 2 23 5 3 2" xfId="6688"/>
    <cellStyle name="표준 2 2 23 5 3 3" xfId="6689"/>
    <cellStyle name="표준 2 2 23 5 3 4" xfId="6690"/>
    <cellStyle name="표준 2 2 23 5 4" xfId="6691"/>
    <cellStyle name="표준 2 2 23 5 5" xfId="6692"/>
    <cellStyle name="표준 2 2 23 5 6" xfId="6693"/>
    <cellStyle name="표준 2 2 23 6" xfId="6694"/>
    <cellStyle name="표준 2 2 23 6 2" xfId="6695"/>
    <cellStyle name="표준 2 2 23 6 3" xfId="6696"/>
    <cellStyle name="표준 2 2 23 6 4" xfId="6697"/>
    <cellStyle name="표준 2 2 23 7" xfId="6698"/>
    <cellStyle name="표준 2 2 23 7 2" xfId="6699"/>
    <cellStyle name="표준 2 2 23 7 3" xfId="6700"/>
    <cellStyle name="표준 2 2 23 7 4" xfId="6701"/>
    <cellStyle name="표준 2 2 23 8" xfId="6702"/>
    <cellStyle name="표준 2 2 23 9" xfId="6703"/>
    <cellStyle name="표준 2 2 24" xfId="6704"/>
    <cellStyle name="표준 2 2 24 10" xfId="6705"/>
    <cellStyle name="표준 2 2 24 2" xfId="6706"/>
    <cellStyle name="표준 2 2 24 2 10" xfId="6707"/>
    <cellStyle name="표준 2 2 24 2 2" xfId="6708"/>
    <cellStyle name="표준 2 2 24 2 2 2" xfId="6709"/>
    <cellStyle name="표준 2 2 24 2 2 2 2" xfId="6710"/>
    <cellStyle name="표준 2 2 24 2 2 2 2 2" xfId="6711"/>
    <cellStyle name="표준 2 2 24 2 2 2 2 2 2" xfId="6712"/>
    <cellStyle name="표준 2 2 24 2 2 2 2 2 3" xfId="6713"/>
    <cellStyle name="표준 2 2 24 2 2 2 2 2 4" xfId="6714"/>
    <cellStyle name="표준 2 2 24 2 2 2 2 3" xfId="6715"/>
    <cellStyle name="표준 2 2 24 2 2 2 2 3 2" xfId="6716"/>
    <cellStyle name="표준 2 2 24 2 2 2 2 3 3" xfId="6717"/>
    <cellStyle name="표준 2 2 24 2 2 2 2 3 4" xfId="6718"/>
    <cellStyle name="표준 2 2 24 2 2 2 2 4" xfId="6719"/>
    <cellStyle name="표준 2 2 24 2 2 2 2 5" xfId="6720"/>
    <cellStyle name="표준 2 2 24 2 2 2 2 6" xfId="6721"/>
    <cellStyle name="표준 2 2 24 2 2 2 3" xfId="6722"/>
    <cellStyle name="표준 2 2 24 2 2 2 3 2" xfId="6723"/>
    <cellStyle name="표준 2 2 24 2 2 2 3 2 2" xfId="6724"/>
    <cellStyle name="표준 2 2 24 2 2 2 3 2 3" xfId="6725"/>
    <cellStyle name="표준 2 2 24 2 2 2 3 2 4" xfId="6726"/>
    <cellStyle name="표준 2 2 24 2 2 2 3 3" xfId="6727"/>
    <cellStyle name="표준 2 2 24 2 2 2 3 3 2" xfId="6728"/>
    <cellStyle name="표준 2 2 24 2 2 2 3 3 3" xfId="6729"/>
    <cellStyle name="표준 2 2 24 2 2 2 3 3 4" xfId="6730"/>
    <cellStyle name="표준 2 2 24 2 2 2 3 4" xfId="6731"/>
    <cellStyle name="표준 2 2 24 2 2 2 3 5" xfId="6732"/>
    <cellStyle name="표준 2 2 24 2 2 2 3 6" xfId="6733"/>
    <cellStyle name="표준 2 2 24 2 2 2 4" xfId="6734"/>
    <cellStyle name="표준 2 2 24 2 2 2 4 2" xfId="6735"/>
    <cellStyle name="표준 2 2 24 2 2 2 4 3" xfId="6736"/>
    <cellStyle name="표준 2 2 24 2 2 2 4 4" xfId="6737"/>
    <cellStyle name="표준 2 2 24 2 2 2 5" xfId="6738"/>
    <cellStyle name="표준 2 2 24 2 2 2 5 2" xfId="6739"/>
    <cellStyle name="표준 2 2 24 2 2 2 5 3" xfId="6740"/>
    <cellStyle name="표준 2 2 24 2 2 2 5 4" xfId="6741"/>
    <cellStyle name="표준 2 2 24 2 2 2 6" xfId="6742"/>
    <cellStyle name="표준 2 2 24 2 2 2 7" xfId="6743"/>
    <cellStyle name="표준 2 2 24 2 2 2 8" xfId="6744"/>
    <cellStyle name="표준 2 2 24 2 2 3" xfId="6745"/>
    <cellStyle name="표준 2 2 24 2 2 3 2" xfId="6746"/>
    <cellStyle name="표준 2 2 24 2 2 3 2 2" xfId="6747"/>
    <cellStyle name="표준 2 2 24 2 2 3 2 3" xfId="6748"/>
    <cellStyle name="표준 2 2 24 2 2 3 2 4" xfId="6749"/>
    <cellStyle name="표준 2 2 24 2 2 3 3" xfId="6750"/>
    <cellStyle name="표준 2 2 24 2 2 3 3 2" xfId="6751"/>
    <cellStyle name="표준 2 2 24 2 2 3 3 3" xfId="6752"/>
    <cellStyle name="표준 2 2 24 2 2 3 3 4" xfId="6753"/>
    <cellStyle name="표준 2 2 24 2 2 3 4" xfId="6754"/>
    <cellStyle name="표준 2 2 24 2 2 3 5" xfId="6755"/>
    <cellStyle name="표준 2 2 24 2 2 3 6" xfId="6756"/>
    <cellStyle name="표준 2 2 24 2 2 4" xfId="6757"/>
    <cellStyle name="표준 2 2 24 2 2 4 2" xfId="6758"/>
    <cellStyle name="표준 2 2 24 2 2 4 2 2" xfId="6759"/>
    <cellStyle name="표준 2 2 24 2 2 4 2 3" xfId="6760"/>
    <cellStyle name="표준 2 2 24 2 2 4 2 4" xfId="6761"/>
    <cellStyle name="표준 2 2 24 2 2 4 3" xfId="6762"/>
    <cellStyle name="표준 2 2 24 2 2 4 3 2" xfId="6763"/>
    <cellStyle name="표준 2 2 24 2 2 4 3 3" xfId="6764"/>
    <cellStyle name="표준 2 2 24 2 2 4 3 4" xfId="6765"/>
    <cellStyle name="표준 2 2 24 2 2 4 4" xfId="6766"/>
    <cellStyle name="표준 2 2 24 2 2 4 5" xfId="6767"/>
    <cellStyle name="표준 2 2 24 2 2 4 6" xfId="6768"/>
    <cellStyle name="표준 2 2 24 2 2 5" xfId="6769"/>
    <cellStyle name="표준 2 2 24 2 2 5 2" xfId="6770"/>
    <cellStyle name="표준 2 2 24 2 2 5 3" xfId="6771"/>
    <cellStyle name="표준 2 2 24 2 2 5 4" xfId="6772"/>
    <cellStyle name="표준 2 2 24 2 2 6" xfId="6773"/>
    <cellStyle name="표준 2 2 24 2 2 6 2" xfId="6774"/>
    <cellStyle name="표준 2 2 24 2 2 6 3" xfId="6775"/>
    <cellStyle name="표준 2 2 24 2 2 6 4" xfId="6776"/>
    <cellStyle name="표준 2 2 24 2 2 7" xfId="6777"/>
    <cellStyle name="표준 2 2 24 2 2 8" xfId="6778"/>
    <cellStyle name="표준 2 2 24 2 2 9" xfId="6779"/>
    <cellStyle name="표준 2 2 24 2 3" xfId="6780"/>
    <cellStyle name="표준 2 2 24 2 3 2" xfId="6781"/>
    <cellStyle name="표준 2 2 24 2 3 2 2" xfId="6782"/>
    <cellStyle name="표준 2 2 24 2 3 2 2 2" xfId="6783"/>
    <cellStyle name="표준 2 2 24 2 3 2 2 3" xfId="6784"/>
    <cellStyle name="표준 2 2 24 2 3 2 2 4" xfId="6785"/>
    <cellStyle name="표준 2 2 24 2 3 2 3" xfId="6786"/>
    <cellStyle name="표준 2 2 24 2 3 2 3 2" xfId="6787"/>
    <cellStyle name="표준 2 2 24 2 3 2 3 3" xfId="6788"/>
    <cellStyle name="표준 2 2 24 2 3 2 3 4" xfId="6789"/>
    <cellStyle name="표준 2 2 24 2 3 2 4" xfId="6790"/>
    <cellStyle name="표준 2 2 24 2 3 2 5" xfId="6791"/>
    <cellStyle name="표준 2 2 24 2 3 2 6" xfId="6792"/>
    <cellStyle name="표준 2 2 24 2 3 3" xfId="6793"/>
    <cellStyle name="표준 2 2 24 2 3 3 2" xfId="6794"/>
    <cellStyle name="표준 2 2 24 2 3 3 2 2" xfId="6795"/>
    <cellStyle name="표준 2 2 24 2 3 3 2 3" xfId="6796"/>
    <cellStyle name="표준 2 2 24 2 3 3 2 4" xfId="6797"/>
    <cellStyle name="표준 2 2 24 2 3 3 3" xfId="6798"/>
    <cellStyle name="표준 2 2 24 2 3 3 3 2" xfId="6799"/>
    <cellStyle name="표준 2 2 24 2 3 3 3 3" xfId="6800"/>
    <cellStyle name="표준 2 2 24 2 3 3 3 4" xfId="6801"/>
    <cellStyle name="표준 2 2 24 2 3 3 4" xfId="6802"/>
    <cellStyle name="표준 2 2 24 2 3 3 5" xfId="6803"/>
    <cellStyle name="표준 2 2 24 2 3 3 6" xfId="6804"/>
    <cellStyle name="표준 2 2 24 2 3 4" xfId="6805"/>
    <cellStyle name="표준 2 2 24 2 3 4 2" xfId="6806"/>
    <cellStyle name="표준 2 2 24 2 3 4 3" xfId="6807"/>
    <cellStyle name="표준 2 2 24 2 3 4 4" xfId="6808"/>
    <cellStyle name="표준 2 2 24 2 3 5" xfId="6809"/>
    <cellStyle name="표준 2 2 24 2 3 5 2" xfId="6810"/>
    <cellStyle name="표준 2 2 24 2 3 5 3" xfId="6811"/>
    <cellStyle name="표준 2 2 24 2 3 5 4" xfId="6812"/>
    <cellStyle name="표준 2 2 24 2 3 6" xfId="6813"/>
    <cellStyle name="표준 2 2 24 2 3 7" xfId="6814"/>
    <cellStyle name="표준 2 2 24 2 3 8" xfId="6815"/>
    <cellStyle name="표준 2 2 24 2 4" xfId="6816"/>
    <cellStyle name="표준 2 2 24 2 4 2" xfId="6817"/>
    <cellStyle name="표준 2 2 24 2 4 2 2" xfId="6818"/>
    <cellStyle name="표준 2 2 24 2 4 2 3" xfId="6819"/>
    <cellStyle name="표준 2 2 24 2 4 2 4" xfId="6820"/>
    <cellStyle name="표준 2 2 24 2 4 3" xfId="6821"/>
    <cellStyle name="표준 2 2 24 2 4 3 2" xfId="6822"/>
    <cellStyle name="표준 2 2 24 2 4 3 3" xfId="6823"/>
    <cellStyle name="표준 2 2 24 2 4 3 4" xfId="6824"/>
    <cellStyle name="표준 2 2 24 2 4 4" xfId="6825"/>
    <cellStyle name="표준 2 2 24 2 4 5" xfId="6826"/>
    <cellStyle name="표준 2 2 24 2 4 6" xfId="6827"/>
    <cellStyle name="표준 2 2 24 2 5" xfId="6828"/>
    <cellStyle name="표준 2 2 24 2 5 2" xfId="6829"/>
    <cellStyle name="표준 2 2 24 2 5 2 2" xfId="6830"/>
    <cellStyle name="표준 2 2 24 2 5 2 3" xfId="6831"/>
    <cellStyle name="표준 2 2 24 2 5 2 4" xfId="6832"/>
    <cellStyle name="표준 2 2 24 2 5 3" xfId="6833"/>
    <cellStyle name="표준 2 2 24 2 5 3 2" xfId="6834"/>
    <cellStyle name="표준 2 2 24 2 5 3 3" xfId="6835"/>
    <cellStyle name="표준 2 2 24 2 5 3 4" xfId="6836"/>
    <cellStyle name="표준 2 2 24 2 5 4" xfId="6837"/>
    <cellStyle name="표준 2 2 24 2 5 5" xfId="6838"/>
    <cellStyle name="표준 2 2 24 2 5 6" xfId="6839"/>
    <cellStyle name="표준 2 2 24 2 6" xfId="6840"/>
    <cellStyle name="표준 2 2 24 2 6 2" xfId="6841"/>
    <cellStyle name="표준 2 2 24 2 6 3" xfId="6842"/>
    <cellStyle name="표준 2 2 24 2 6 4" xfId="6843"/>
    <cellStyle name="표준 2 2 24 2 7" xfId="6844"/>
    <cellStyle name="표준 2 2 24 2 7 2" xfId="6845"/>
    <cellStyle name="표준 2 2 24 2 7 3" xfId="6846"/>
    <cellStyle name="표준 2 2 24 2 7 4" xfId="6847"/>
    <cellStyle name="표준 2 2 24 2 8" xfId="6848"/>
    <cellStyle name="표준 2 2 24 2 9" xfId="6849"/>
    <cellStyle name="표준 2 2 24 3" xfId="6850"/>
    <cellStyle name="표준 2 2 24 3 2" xfId="6851"/>
    <cellStyle name="표준 2 2 24 3 2 2" xfId="6852"/>
    <cellStyle name="표준 2 2 24 3 2 2 2" xfId="6853"/>
    <cellStyle name="표준 2 2 24 3 2 2 2 2" xfId="6854"/>
    <cellStyle name="표준 2 2 24 3 2 2 2 3" xfId="6855"/>
    <cellStyle name="표준 2 2 24 3 2 2 2 4" xfId="6856"/>
    <cellStyle name="표준 2 2 24 3 2 2 3" xfId="6857"/>
    <cellStyle name="표준 2 2 24 3 2 2 3 2" xfId="6858"/>
    <cellStyle name="표준 2 2 24 3 2 2 3 3" xfId="6859"/>
    <cellStyle name="표준 2 2 24 3 2 2 3 4" xfId="6860"/>
    <cellStyle name="표준 2 2 24 3 2 2 4" xfId="6861"/>
    <cellStyle name="표준 2 2 24 3 2 2 5" xfId="6862"/>
    <cellStyle name="표준 2 2 24 3 2 2 6" xfId="6863"/>
    <cellStyle name="표준 2 2 24 3 2 3" xfId="6864"/>
    <cellStyle name="표준 2 2 24 3 2 3 2" xfId="6865"/>
    <cellStyle name="표준 2 2 24 3 2 3 2 2" xfId="6866"/>
    <cellStyle name="표준 2 2 24 3 2 3 2 3" xfId="6867"/>
    <cellStyle name="표준 2 2 24 3 2 3 2 4" xfId="6868"/>
    <cellStyle name="표준 2 2 24 3 2 3 3" xfId="6869"/>
    <cellStyle name="표준 2 2 24 3 2 3 3 2" xfId="6870"/>
    <cellStyle name="표준 2 2 24 3 2 3 3 3" xfId="6871"/>
    <cellStyle name="표준 2 2 24 3 2 3 3 4" xfId="6872"/>
    <cellStyle name="표준 2 2 24 3 2 3 4" xfId="6873"/>
    <cellStyle name="표준 2 2 24 3 2 3 5" xfId="6874"/>
    <cellStyle name="표준 2 2 24 3 2 3 6" xfId="6875"/>
    <cellStyle name="표준 2 2 24 3 2 4" xfId="6876"/>
    <cellStyle name="표준 2 2 24 3 2 4 2" xfId="6877"/>
    <cellStyle name="표준 2 2 24 3 2 4 3" xfId="6878"/>
    <cellStyle name="표준 2 2 24 3 2 4 4" xfId="6879"/>
    <cellStyle name="표준 2 2 24 3 2 5" xfId="6880"/>
    <cellStyle name="표준 2 2 24 3 2 5 2" xfId="6881"/>
    <cellStyle name="표준 2 2 24 3 2 5 3" xfId="6882"/>
    <cellStyle name="표준 2 2 24 3 2 5 4" xfId="6883"/>
    <cellStyle name="표준 2 2 24 3 2 6" xfId="6884"/>
    <cellStyle name="표준 2 2 24 3 2 7" xfId="6885"/>
    <cellStyle name="표준 2 2 24 3 2 8" xfId="6886"/>
    <cellStyle name="표준 2 2 24 3 3" xfId="6887"/>
    <cellStyle name="표준 2 2 24 3 3 2" xfId="6888"/>
    <cellStyle name="표준 2 2 24 3 3 2 2" xfId="6889"/>
    <cellStyle name="표준 2 2 24 3 3 2 3" xfId="6890"/>
    <cellStyle name="표준 2 2 24 3 3 2 4" xfId="6891"/>
    <cellStyle name="표준 2 2 24 3 3 3" xfId="6892"/>
    <cellStyle name="표준 2 2 24 3 3 3 2" xfId="6893"/>
    <cellStyle name="표준 2 2 24 3 3 3 3" xfId="6894"/>
    <cellStyle name="표준 2 2 24 3 3 3 4" xfId="6895"/>
    <cellStyle name="표준 2 2 24 3 3 4" xfId="6896"/>
    <cellStyle name="표준 2 2 24 3 3 5" xfId="6897"/>
    <cellStyle name="표준 2 2 24 3 3 6" xfId="6898"/>
    <cellStyle name="표준 2 2 24 3 4" xfId="6899"/>
    <cellStyle name="표준 2 2 24 3 4 2" xfId="6900"/>
    <cellStyle name="표준 2 2 24 3 4 2 2" xfId="6901"/>
    <cellStyle name="표준 2 2 24 3 4 2 3" xfId="6902"/>
    <cellStyle name="표준 2 2 24 3 4 2 4" xfId="6903"/>
    <cellStyle name="표준 2 2 24 3 4 3" xfId="6904"/>
    <cellStyle name="표준 2 2 24 3 4 3 2" xfId="6905"/>
    <cellStyle name="표준 2 2 24 3 4 3 3" xfId="6906"/>
    <cellStyle name="표준 2 2 24 3 4 3 4" xfId="6907"/>
    <cellStyle name="표준 2 2 24 3 4 4" xfId="6908"/>
    <cellStyle name="표준 2 2 24 3 4 5" xfId="6909"/>
    <cellStyle name="표준 2 2 24 3 4 6" xfId="6910"/>
    <cellStyle name="표준 2 2 24 3 5" xfId="6911"/>
    <cellStyle name="표준 2 2 24 3 5 2" xfId="6912"/>
    <cellStyle name="표준 2 2 24 3 5 3" xfId="6913"/>
    <cellStyle name="표준 2 2 24 3 5 4" xfId="6914"/>
    <cellStyle name="표준 2 2 24 3 6" xfId="6915"/>
    <cellStyle name="표준 2 2 24 3 6 2" xfId="6916"/>
    <cellStyle name="표준 2 2 24 3 6 3" xfId="6917"/>
    <cellStyle name="표준 2 2 24 3 6 4" xfId="6918"/>
    <cellStyle name="표준 2 2 24 3 7" xfId="6919"/>
    <cellStyle name="표준 2 2 24 3 8" xfId="6920"/>
    <cellStyle name="표준 2 2 24 3 9" xfId="6921"/>
    <cellStyle name="표준 2 2 24 4" xfId="6922"/>
    <cellStyle name="표준 2 2 24 4 2" xfId="6923"/>
    <cellStyle name="표준 2 2 24 4 2 2" xfId="6924"/>
    <cellStyle name="표준 2 2 24 4 2 3" xfId="6925"/>
    <cellStyle name="표준 2 2 24 4 2 4" xfId="6926"/>
    <cellStyle name="표준 2 2 24 4 3" xfId="6927"/>
    <cellStyle name="표준 2 2 24 4 3 2" xfId="6928"/>
    <cellStyle name="표준 2 2 24 4 3 3" xfId="6929"/>
    <cellStyle name="표준 2 2 24 4 3 4" xfId="6930"/>
    <cellStyle name="표준 2 2 24 4 4" xfId="6931"/>
    <cellStyle name="표준 2 2 24 4 5" xfId="6932"/>
    <cellStyle name="표준 2 2 24 4 6" xfId="6933"/>
    <cellStyle name="표준 2 2 24 5" xfId="6934"/>
    <cellStyle name="표준 2 2 24 5 2" xfId="6935"/>
    <cellStyle name="표준 2 2 24 5 2 2" xfId="6936"/>
    <cellStyle name="표준 2 2 24 5 2 3" xfId="6937"/>
    <cellStyle name="표준 2 2 24 5 2 4" xfId="6938"/>
    <cellStyle name="표준 2 2 24 5 3" xfId="6939"/>
    <cellStyle name="표준 2 2 24 5 3 2" xfId="6940"/>
    <cellStyle name="표준 2 2 24 5 3 3" xfId="6941"/>
    <cellStyle name="표준 2 2 24 5 3 4" xfId="6942"/>
    <cellStyle name="표준 2 2 24 5 4" xfId="6943"/>
    <cellStyle name="표준 2 2 24 5 5" xfId="6944"/>
    <cellStyle name="표준 2 2 24 5 6" xfId="6945"/>
    <cellStyle name="표준 2 2 24 6" xfId="6946"/>
    <cellStyle name="표준 2 2 24 6 2" xfId="6947"/>
    <cellStyle name="표준 2 2 24 6 3" xfId="6948"/>
    <cellStyle name="표준 2 2 24 6 4" xfId="6949"/>
    <cellStyle name="표준 2 2 24 7" xfId="6950"/>
    <cellStyle name="표준 2 2 24 7 2" xfId="6951"/>
    <cellStyle name="표준 2 2 24 7 3" xfId="6952"/>
    <cellStyle name="표준 2 2 24 7 4" xfId="6953"/>
    <cellStyle name="표준 2 2 24 8" xfId="6954"/>
    <cellStyle name="표준 2 2 24 9" xfId="6955"/>
    <cellStyle name="표준 2 2 25" xfId="6956"/>
    <cellStyle name="표준 2 2 25 10" xfId="6957"/>
    <cellStyle name="표준 2 2 25 2" xfId="6958"/>
    <cellStyle name="표준 2 2 25 2 10" xfId="6959"/>
    <cellStyle name="표준 2 2 25 2 2" xfId="6960"/>
    <cellStyle name="표준 2 2 25 2 2 2" xfId="6961"/>
    <cellStyle name="표준 2 2 25 2 2 2 2" xfId="6962"/>
    <cellStyle name="표준 2 2 25 2 2 2 2 2" xfId="6963"/>
    <cellStyle name="표준 2 2 25 2 2 2 2 2 2" xfId="6964"/>
    <cellStyle name="표준 2 2 25 2 2 2 2 2 3" xfId="6965"/>
    <cellStyle name="표준 2 2 25 2 2 2 2 2 4" xfId="6966"/>
    <cellStyle name="표준 2 2 25 2 2 2 2 3" xfId="6967"/>
    <cellStyle name="표준 2 2 25 2 2 2 2 3 2" xfId="6968"/>
    <cellStyle name="표준 2 2 25 2 2 2 2 3 3" xfId="6969"/>
    <cellStyle name="표준 2 2 25 2 2 2 2 3 4" xfId="6970"/>
    <cellStyle name="표준 2 2 25 2 2 2 2 4" xfId="6971"/>
    <cellStyle name="표준 2 2 25 2 2 2 2 5" xfId="6972"/>
    <cellStyle name="표준 2 2 25 2 2 2 2 6" xfId="6973"/>
    <cellStyle name="표준 2 2 25 2 2 2 3" xfId="6974"/>
    <cellStyle name="표준 2 2 25 2 2 2 3 2" xfId="6975"/>
    <cellStyle name="표준 2 2 25 2 2 2 3 2 2" xfId="6976"/>
    <cellStyle name="표준 2 2 25 2 2 2 3 2 3" xfId="6977"/>
    <cellStyle name="표준 2 2 25 2 2 2 3 2 4" xfId="6978"/>
    <cellStyle name="표준 2 2 25 2 2 2 3 3" xfId="6979"/>
    <cellStyle name="표준 2 2 25 2 2 2 3 3 2" xfId="6980"/>
    <cellStyle name="표준 2 2 25 2 2 2 3 3 3" xfId="6981"/>
    <cellStyle name="표준 2 2 25 2 2 2 3 3 4" xfId="6982"/>
    <cellStyle name="표준 2 2 25 2 2 2 3 4" xfId="6983"/>
    <cellStyle name="표준 2 2 25 2 2 2 3 5" xfId="6984"/>
    <cellStyle name="표준 2 2 25 2 2 2 3 6" xfId="6985"/>
    <cellStyle name="표준 2 2 25 2 2 2 4" xfId="6986"/>
    <cellStyle name="표준 2 2 25 2 2 2 4 2" xfId="6987"/>
    <cellStyle name="표준 2 2 25 2 2 2 4 3" xfId="6988"/>
    <cellStyle name="표준 2 2 25 2 2 2 4 4" xfId="6989"/>
    <cellStyle name="표준 2 2 25 2 2 2 5" xfId="6990"/>
    <cellStyle name="표준 2 2 25 2 2 2 5 2" xfId="6991"/>
    <cellStyle name="표준 2 2 25 2 2 2 5 3" xfId="6992"/>
    <cellStyle name="표준 2 2 25 2 2 2 5 4" xfId="6993"/>
    <cellStyle name="표준 2 2 25 2 2 2 6" xfId="6994"/>
    <cellStyle name="표준 2 2 25 2 2 2 7" xfId="6995"/>
    <cellStyle name="표준 2 2 25 2 2 2 8" xfId="6996"/>
    <cellStyle name="표준 2 2 25 2 2 3" xfId="6997"/>
    <cellStyle name="표준 2 2 25 2 2 3 2" xfId="6998"/>
    <cellStyle name="표준 2 2 25 2 2 3 2 2" xfId="6999"/>
    <cellStyle name="표준 2 2 25 2 2 3 2 3" xfId="7000"/>
    <cellStyle name="표준 2 2 25 2 2 3 2 4" xfId="7001"/>
    <cellStyle name="표준 2 2 25 2 2 3 3" xfId="7002"/>
    <cellStyle name="표준 2 2 25 2 2 3 3 2" xfId="7003"/>
    <cellStyle name="표준 2 2 25 2 2 3 3 3" xfId="7004"/>
    <cellStyle name="표준 2 2 25 2 2 3 3 4" xfId="7005"/>
    <cellStyle name="표준 2 2 25 2 2 3 4" xfId="7006"/>
    <cellStyle name="표준 2 2 25 2 2 3 5" xfId="7007"/>
    <cellStyle name="표준 2 2 25 2 2 3 6" xfId="7008"/>
    <cellStyle name="표준 2 2 25 2 2 4" xfId="7009"/>
    <cellStyle name="표준 2 2 25 2 2 4 2" xfId="7010"/>
    <cellStyle name="표준 2 2 25 2 2 4 2 2" xfId="7011"/>
    <cellStyle name="표준 2 2 25 2 2 4 2 3" xfId="7012"/>
    <cellStyle name="표준 2 2 25 2 2 4 2 4" xfId="7013"/>
    <cellStyle name="표준 2 2 25 2 2 4 3" xfId="7014"/>
    <cellStyle name="표준 2 2 25 2 2 4 3 2" xfId="7015"/>
    <cellStyle name="표준 2 2 25 2 2 4 3 3" xfId="7016"/>
    <cellStyle name="표준 2 2 25 2 2 4 3 4" xfId="7017"/>
    <cellStyle name="표준 2 2 25 2 2 4 4" xfId="7018"/>
    <cellStyle name="표준 2 2 25 2 2 4 5" xfId="7019"/>
    <cellStyle name="표준 2 2 25 2 2 4 6" xfId="7020"/>
    <cellStyle name="표준 2 2 25 2 2 5" xfId="7021"/>
    <cellStyle name="표준 2 2 25 2 2 5 2" xfId="7022"/>
    <cellStyle name="표준 2 2 25 2 2 5 3" xfId="7023"/>
    <cellStyle name="표준 2 2 25 2 2 5 4" xfId="7024"/>
    <cellStyle name="표준 2 2 25 2 2 6" xfId="7025"/>
    <cellStyle name="표준 2 2 25 2 2 6 2" xfId="7026"/>
    <cellStyle name="표준 2 2 25 2 2 6 3" xfId="7027"/>
    <cellStyle name="표준 2 2 25 2 2 6 4" xfId="7028"/>
    <cellStyle name="표준 2 2 25 2 2 7" xfId="7029"/>
    <cellStyle name="표준 2 2 25 2 2 8" xfId="7030"/>
    <cellStyle name="표준 2 2 25 2 2 9" xfId="7031"/>
    <cellStyle name="표준 2 2 25 2 3" xfId="7032"/>
    <cellStyle name="표준 2 2 25 2 3 2" xfId="7033"/>
    <cellStyle name="표준 2 2 25 2 3 2 2" xfId="7034"/>
    <cellStyle name="표준 2 2 25 2 3 2 2 2" xfId="7035"/>
    <cellStyle name="표준 2 2 25 2 3 2 2 3" xfId="7036"/>
    <cellStyle name="표준 2 2 25 2 3 2 2 4" xfId="7037"/>
    <cellStyle name="표준 2 2 25 2 3 2 3" xfId="7038"/>
    <cellStyle name="표준 2 2 25 2 3 2 3 2" xfId="7039"/>
    <cellStyle name="표준 2 2 25 2 3 2 3 3" xfId="7040"/>
    <cellStyle name="표준 2 2 25 2 3 2 3 4" xfId="7041"/>
    <cellStyle name="표준 2 2 25 2 3 2 4" xfId="7042"/>
    <cellStyle name="표준 2 2 25 2 3 2 5" xfId="7043"/>
    <cellStyle name="표준 2 2 25 2 3 2 6" xfId="7044"/>
    <cellStyle name="표준 2 2 25 2 3 3" xfId="7045"/>
    <cellStyle name="표준 2 2 25 2 3 3 2" xfId="7046"/>
    <cellStyle name="표준 2 2 25 2 3 3 2 2" xfId="7047"/>
    <cellStyle name="표준 2 2 25 2 3 3 2 3" xfId="7048"/>
    <cellStyle name="표준 2 2 25 2 3 3 2 4" xfId="7049"/>
    <cellStyle name="표준 2 2 25 2 3 3 3" xfId="7050"/>
    <cellStyle name="표준 2 2 25 2 3 3 3 2" xfId="7051"/>
    <cellStyle name="표준 2 2 25 2 3 3 3 3" xfId="7052"/>
    <cellStyle name="표준 2 2 25 2 3 3 3 4" xfId="7053"/>
    <cellStyle name="표준 2 2 25 2 3 3 4" xfId="7054"/>
    <cellStyle name="표준 2 2 25 2 3 3 5" xfId="7055"/>
    <cellStyle name="표준 2 2 25 2 3 3 6" xfId="7056"/>
    <cellStyle name="표준 2 2 25 2 3 4" xfId="7057"/>
    <cellStyle name="표준 2 2 25 2 3 4 2" xfId="7058"/>
    <cellStyle name="표준 2 2 25 2 3 4 3" xfId="7059"/>
    <cellStyle name="표준 2 2 25 2 3 4 4" xfId="7060"/>
    <cellStyle name="표준 2 2 25 2 3 5" xfId="7061"/>
    <cellStyle name="표준 2 2 25 2 3 5 2" xfId="7062"/>
    <cellStyle name="표준 2 2 25 2 3 5 3" xfId="7063"/>
    <cellStyle name="표준 2 2 25 2 3 5 4" xfId="7064"/>
    <cellStyle name="표준 2 2 25 2 3 6" xfId="7065"/>
    <cellStyle name="표준 2 2 25 2 3 7" xfId="7066"/>
    <cellStyle name="표준 2 2 25 2 3 8" xfId="7067"/>
    <cellStyle name="표준 2 2 25 2 4" xfId="7068"/>
    <cellStyle name="표준 2 2 25 2 4 2" xfId="7069"/>
    <cellStyle name="표준 2 2 25 2 4 2 2" xfId="7070"/>
    <cellStyle name="표준 2 2 25 2 4 2 3" xfId="7071"/>
    <cellStyle name="표준 2 2 25 2 4 2 4" xfId="7072"/>
    <cellStyle name="표준 2 2 25 2 4 3" xfId="7073"/>
    <cellStyle name="표준 2 2 25 2 4 3 2" xfId="7074"/>
    <cellStyle name="표준 2 2 25 2 4 3 3" xfId="7075"/>
    <cellStyle name="표준 2 2 25 2 4 3 4" xfId="7076"/>
    <cellStyle name="표준 2 2 25 2 4 4" xfId="7077"/>
    <cellStyle name="표준 2 2 25 2 4 5" xfId="7078"/>
    <cellStyle name="표준 2 2 25 2 4 6" xfId="7079"/>
    <cellStyle name="표준 2 2 25 2 5" xfId="7080"/>
    <cellStyle name="표준 2 2 25 2 5 2" xfId="7081"/>
    <cellStyle name="표준 2 2 25 2 5 2 2" xfId="7082"/>
    <cellStyle name="표준 2 2 25 2 5 2 3" xfId="7083"/>
    <cellStyle name="표준 2 2 25 2 5 2 4" xfId="7084"/>
    <cellStyle name="표준 2 2 25 2 5 3" xfId="7085"/>
    <cellStyle name="표준 2 2 25 2 5 3 2" xfId="7086"/>
    <cellStyle name="표준 2 2 25 2 5 3 3" xfId="7087"/>
    <cellStyle name="표준 2 2 25 2 5 3 4" xfId="7088"/>
    <cellStyle name="표준 2 2 25 2 5 4" xfId="7089"/>
    <cellStyle name="표준 2 2 25 2 5 5" xfId="7090"/>
    <cellStyle name="표준 2 2 25 2 5 6" xfId="7091"/>
    <cellStyle name="표준 2 2 25 2 6" xfId="7092"/>
    <cellStyle name="표준 2 2 25 2 6 2" xfId="7093"/>
    <cellStyle name="표준 2 2 25 2 6 3" xfId="7094"/>
    <cellStyle name="표준 2 2 25 2 6 4" xfId="7095"/>
    <cellStyle name="표준 2 2 25 2 7" xfId="7096"/>
    <cellStyle name="표준 2 2 25 2 7 2" xfId="7097"/>
    <cellStyle name="표준 2 2 25 2 7 3" xfId="7098"/>
    <cellStyle name="표준 2 2 25 2 7 4" xfId="7099"/>
    <cellStyle name="표준 2 2 25 2 8" xfId="7100"/>
    <cellStyle name="표준 2 2 25 2 9" xfId="7101"/>
    <cellStyle name="표준 2 2 25 3" xfId="7102"/>
    <cellStyle name="표준 2 2 25 3 2" xfId="7103"/>
    <cellStyle name="표준 2 2 25 3 2 2" xfId="7104"/>
    <cellStyle name="표준 2 2 25 3 2 2 2" xfId="7105"/>
    <cellStyle name="표준 2 2 25 3 2 2 2 2" xfId="7106"/>
    <cellStyle name="표준 2 2 25 3 2 2 2 3" xfId="7107"/>
    <cellStyle name="표준 2 2 25 3 2 2 2 4" xfId="7108"/>
    <cellStyle name="표준 2 2 25 3 2 2 3" xfId="7109"/>
    <cellStyle name="표준 2 2 25 3 2 2 3 2" xfId="7110"/>
    <cellStyle name="표준 2 2 25 3 2 2 3 3" xfId="7111"/>
    <cellStyle name="표준 2 2 25 3 2 2 3 4" xfId="7112"/>
    <cellStyle name="표준 2 2 25 3 2 2 4" xfId="7113"/>
    <cellStyle name="표준 2 2 25 3 2 2 5" xfId="7114"/>
    <cellStyle name="표준 2 2 25 3 2 2 6" xfId="7115"/>
    <cellStyle name="표준 2 2 25 3 2 3" xfId="7116"/>
    <cellStyle name="표준 2 2 25 3 2 3 2" xfId="7117"/>
    <cellStyle name="표준 2 2 25 3 2 3 2 2" xfId="7118"/>
    <cellStyle name="표준 2 2 25 3 2 3 2 3" xfId="7119"/>
    <cellStyle name="표준 2 2 25 3 2 3 2 4" xfId="7120"/>
    <cellStyle name="표준 2 2 25 3 2 3 3" xfId="7121"/>
    <cellStyle name="표준 2 2 25 3 2 3 3 2" xfId="7122"/>
    <cellStyle name="표준 2 2 25 3 2 3 3 3" xfId="7123"/>
    <cellStyle name="표준 2 2 25 3 2 3 3 4" xfId="7124"/>
    <cellStyle name="표준 2 2 25 3 2 3 4" xfId="7125"/>
    <cellStyle name="표준 2 2 25 3 2 3 5" xfId="7126"/>
    <cellStyle name="표준 2 2 25 3 2 3 6" xfId="7127"/>
    <cellStyle name="표준 2 2 25 3 2 4" xfId="7128"/>
    <cellStyle name="표준 2 2 25 3 2 4 2" xfId="7129"/>
    <cellStyle name="표준 2 2 25 3 2 4 3" xfId="7130"/>
    <cellStyle name="표준 2 2 25 3 2 4 4" xfId="7131"/>
    <cellStyle name="표준 2 2 25 3 2 5" xfId="7132"/>
    <cellStyle name="표준 2 2 25 3 2 5 2" xfId="7133"/>
    <cellStyle name="표준 2 2 25 3 2 5 3" xfId="7134"/>
    <cellStyle name="표준 2 2 25 3 2 5 4" xfId="7135"/>
    <cellStyle name="표준 2 2 25 3 2 6" xfId="7136"/>
    <cellStyle name="표준 2 2 25 3 2 7" xfId="7137"/>
    <cellStyle name="표준 2 2 25 3 2 8" xfId="7138"/>
    <cellStyle name="표준 2 2 25 3 3" xfId="7139"/>
    <cellStyle name="표준 2 2 25 3 3 2" xfId="7140"/>
    <cellStyle name="표준 2 2 25 3 3 2 2" xfId="7141"/>
    <cellStyle name="표준 2 2 25 3 3 2 3" xfId="7142"/>
    <cellStyle name="표준 2 2 25 3 3 2 4" xfId="7143"/>
    <cellStyle name="표준 2 2 25 3 3 3" xfId="7144"/>
    <cellStyle name="표준 2 2 25 3 3 3 2" xfId="7145"/>
    <cellStyle name="표준 2 2 25 3 3 3 3" xfId="7146"/>
    <cellStyle name="표준 2 2 25 3 3 3 4" xfId="7147"/>
    <cellStyle name="표준 2 2 25 3 3 4" xfId="7148"/>
    <cellStyle name="표준 2 2 25 3 3 5" xfId="7149"/>
    <cellStyle name="표준 2 2 25 3 3 6" xfId="7150"/>
    <cellStyle name="표준 2 2 25 3 4" xfId="7151"/>
    <cellStyle name="표준 2 2 25 3 4 2" xfId="7152"/>
    <cellStyle name="표준 2 2 25 3 4 2 2" xfId="7153"/>
    <cellStyle name="표준 2 2 25 3 4 2 3" xfId="7154"/>
    <cellStyle name="표준 2 2 25 3 4 2 4" xfId="7155"/>
    <cellStyle name="표준 2 2 25 3 4 3" xfId="7156"/>
    <cellStyle name="표준 2 2 25 3 4 3 2" xfId="7157"/>
    <cellStyle name="표준 2 2 25 3 4 3 3" xfId="7158"/>
    <cellStyle name="표준 2 2 25 3 4 3 4" xfId="7159"/>
    <cellStyle name="표준 2 2 25 3 4 4" xfId="7160"/>
    <cellStyle name="표준 2 2 25 3 4 5" xfId="7161"/>
    <cellStyle name="표준 2 2 25 3 4 6" xfId="7162"/>
    <cellStyle name="표준 2 2 25 3 5" xfId="7163"/>
    <cellStyle name="표준 2 2 25 3 5 2" xfId="7164"/>
    <cellStyle name="표준 2 2 25 3 5 3" xfId="7165"/>
    <cellStyle name="표준 2 2 25 3 5 4" xfId="7166"/>
    <cellStyle name="표준 2 2 25 3 6" xfId="7167"/>
    <cellStyle name="표준 2 2 25 3 6 2" xfId="7168"/>
    <cellStyle name="표준 2 2 25 3 6 3" xfId="7169"/>
    <cellStyle name="표준 2 2 25 3 6 4" xfId="7170"/>
    <cellStyle name="표준 2 2 25 3 7" xfId="7171"/>
    <cellStyle name="표준 2 2 25 3 8" xfId="7172"/>
    <cellStyle name="표준 2 2 25 3 9" xfId="7173"/>
    <cellStyle name="표준 2 2 25 4" xfId="7174"/>
    <cellStyle name="표준 2 2 25 4 2" xfId="7175"/>
    <cellStyle name="표준 2 2 25 4 2 2" xfId="7176"/>
    <cellStyle name="표준 2 2 25 4 2 3" xfId="7177"/>
    <cellStyle name="표준 2 2 25 4 2 4" xfId="7178"/>
    <cellStyle name="표준 2 2 25 4 3" xfId="7179"/>
    <cellStyle name="표준 2 2 25 4 3 2" xfId="7180"/>
    <cellStyle name="표준 2 2 25 4 3 3" xfId="7181"/>
    <cellStyle name="표준 2 2 25 4 3 4" xfId="7182"/>
    <cellStyle name="표준 2 2 25 4 4" xfId="7183"/>
    <cellStyle name="표준 2 2 25 4 5" xfId="7184"/>
    <cellStyle name="표준 2 2 25 4 6" xfId="7185"/>
    <cellStyle name="표준 2 2 25 5" xfId="7186"/>
    <cellStyle name="표준 2 2 25 5 2" xfId="7187"/>
    <cellStyle name="표준 2 2 25 5 2 2" xfId="7188"/>
    <cellStyle name="표준 2 2 25 5 2 3" xfId="7189"/>
    <cellStyle name="표준 2 2 25 5 2 4" xfId="7190"/>
    <cellStyle name="표준 2 2 25 5 3" xfId="7191"/>
    <cellStyle name="표준 2 2 25 5 3 2" xfId="7192"/>
    <cellStyle name="표준 2 2 25 5 3 3" xfId="7193"/>
    <cellStyle name="표준 2 2 25 5 3 4" xfId="7194"/>
    <cellStyle name="표준 2 2 25 5 4" xfId="7195"/>
    <cellStyle name="표준 2 2 25 5 5" xfId="7196"/>
    <cellStyle name="표준 2 2 25 5 6" xfId="7197"/>
    <cellStyle name="표준 2 2 25 6" xfId="7198"/>
    <cellStyle name="표준 2 2 25 6 2" xfId="7199"/>
    <cellStyle name="표준 2 2 25 6 3" xfId="7200"/>
    <cellStyle name="표준 2 2 25 6 4" xfId="7201"/>
    <cellStyle name="표준 2 2 25 7" xfId="7202"/>
    <cellStyle name="표준 2 2 25 7 2" xfId="7203"/>
    <cellStyle name="표준 2 2 25 7 3" xfId="7204"/>
    <cellStyle name="표준 2 2 25 7 4" xfId="7205"/>
    <cellStyle name="표준 2 2 25 8" xfId="7206"/>
    <cellStyle name="표준 2 2 25 9" xfId="7207"/>
    <cellStyle name="표준 2 2 26" xfId="7208"/>
    <cellStyle name="표준 2 2 26 2" xfId="7209"/>
    <cellStyle name="표준 2 2 26 2 2" xfId="7210"/>
    <cellStyle name="표준 2 2 26 2 3" xfId="7211"/>
    <cellStyle name="표준 2 2 26 2 4" xfId="7212"/>
    <cellStyle name="표준 2 2 26 3" xfId="7213"/>
    <cellStyle name="표준 2 2 26 3 2" xfId="7214"/>
    <cellStyle name="표준 2 2 26 3 3" xfId="7215"/>
    <cellStyle name="표준 2 2 26 3 4" xfId="7216"/>
    <cellStyle name="표준 2 2 26 4" xfId="7217"/>
    <cellStyle name="표준 2 2 26 5" xfId="7218"/>
    <cellStyle name="표준 2 2 26 6" xfId="7219"/>
    <cellStyle name="표준 2 2 27" xfId="7220"/>
    <cellStyle name="표준 2 2 27 2" xfId="7221"/>
    <cellStyle name="표준 2 2 27 2 2" xfId="7222"/>
    <cellStyle name="표준 2 2 27 2 3" xfId="7223"/>
    <cellStyle name="표준 2 2 27 2 4" xfId="7224"/>
    <cellStyle name="표준 2 2 27 3" xfId="7225"/>
    <cellStyle name="표준 2 2 27 3 2" xfId="7226"/>
    <cellStyle name="표준 2 2 27 3 3" xfId="7227"/>
    <cellStyle name="표준 2 2 27 3 4" xfId="7228"/>
    <cellStyle name="표준 2 2 27 4" xfId="7229"/>
    <cellStyle name="표준 2 2 27 5" xfId="7230"/>
    <cellStyle name="표준 2 2 27 6" xfId="7231"/>
    <cellStyle name="표준 2 2 28" xfId="7232"/>
    <cellStyle name="표준 2 2 28 2" xfId="7233"/>
    <cellStyle name="표준 2 2 28 3" xfId="7234"/>
    <cellStyle name="표준 2 2 28 4" xfId="7235"/>
    <cellStyle name="표준 2 2 29" xfId="7236"/>
    <cellStyle name="표준 2 2 29 2" xfId="7237"/>
    <cellStyle name="표준 2 2 29 3" xfId="7238"/>
    <cellStyle name="표준 2 2 29 4" xfId="7239"/>
    <cellStyle name="표준 2 2 3" xfId="7240"/>
    <cellStyle name="표준 2 2 3 10" xfId="7241"/>
    <cellStyle name="표준 2 2 3 2" xfId="7242"/>
    <cellStyle name="표준 2 2 3 2 10" xfId="7243"/>
    <cellStyle name="표준 2 2 3 2 2" xfId="7244"/>
    <cellStyle name="표준 2 2 3 2 2 2" xfId="7245"/>
    <cellStyle name="표준 2 2 3 2 2 2 2" xfId="7246"/>
    <cellStyle name="표준 2 2 3 2 2 2 2 2" xfId="7247"/>
    <cellStyle name="표준 2 2 3 2 2 2 2 2 2" xfId="7248"/>
    <cellStyle name="표준 2 2 3 2 2 2 2 2 3" xfId="7249"/>
    <cellStyle name="표준 2 2 3 2 2 2 2 2 4" xfId="7250"/>
    <cellStyle name="표준 2 2 3 2 2 2 2 3" xfId="7251"/>
    <cellStyle name="표준 2 2 3 2 2 2 2 3 2" xfId="7252"/>
    <cellStyle name="표준 2 2 3 2 2 2 2 3 3" xfId="7253"/>
    <cellStyle name="표준 2 2 3 2 2 2 2 3 4" xfId="7254"/>
    <cellStyle name="표준 2 2 3 2 2 2 2 4" xfId="7255"/>
    <cellStyle name="표준 2 2 3 2 2 2 2 5" xfId="7256"/>
    <cellStyle name="표준 2 2 3 2 2 2 2 6" xfId="7257"/>
    <cellStyle name="표준 2 2 3 2 2 2 3" xfId="7258"/>
    <cellStyle name="표준 2 2 3 2 2 2 3 2" xfId="7259"/>
    <cellStyle name="표준 2 2 3 2 2 2 3 2 2" xfId="7260"/>
    <cellStyle name="표준 2 2 3 2 2 2 3 2 3" xfId="7261"/>
    <cellStyle name="표준 2 2 3 2 2 2 3 2 4" xfId="7262"/>
    <cellStyle name="표준 2 2 3 2 2 2 3 3" xfId="7263"/>
    <cellStyle name="표준 2 2 3 2 2 2 3 3 2" xfId="7264"/>
    <cellStyle name="표준 2 2 3 2 2 2 3 3 3" xfId="7265"/>
    <cellStyle name="표준 2 2 3 2 2 2 3 3 4" xfId="7266"/>
    <cellStyle name="표준 2 2 3 2 2 2 3 4" xfId="7267"/>
    <cellStyle name="표준 2 2 3 2 2 2 3 5" xfId="7268"/>
    <cellStyle name="표준 2 2 3 2 2 2 3 6" xfId="7269"/>
    <cellStyle name="표준 2 2 3 2 2 2 4" xfId="7270"/>
    <cellStyle name="표준 2 2 3 2 2 2 4 2" xfId="7271"/>
    <cellStyle name="표준 2 2 3 2 2 2 4 3" xfId="7272"/>
    <cellStyle name="표준 2 2 3 2 2 2 4 4" xfId="7273"/>
    <cellStyle name="표준 2 2 3 2 2 2 5" xfId="7274"/>
    <cellStyle name="표준 2 2 3 2 2 2 5 2" xfId="7275"/>
    <cellStyle name="표준 2 2 3 2 2 2 5 3" xfId="7276"/>
    <cellStyle name="표준 2 2 3 2 2 2 5 4" xfId="7277"/>
    <cellStyle name="표준 2 2 3 2 2 2 6" xfId="7278"/>
    <cellStyle name="표준 2 2 3 2 2 2 7" xfId="7279"/>
    <cellStyle name="표준 2 2 3 2 2 2 8" xfId="7280"/>
    <cellStyle name="표준 2 2 3 2 2 3" xfId="7281"/>
    <cellStyle name="표준 2 2 3 2 2 3 2" xfId="7282"/>
    <cellStyle name="표준 2 2 3 2 2 3 2 2" xfId="7283"/>
    <cellStyle name="표준 2 2 3 2 2 3 2 3" xfId="7284"/>
    <cellStyle name="표준 2 2 3 2 2 3 2 4" xfId="7285"/>
    <cellStyle name="표준 2 2 3 2 2 3 3" xfId="7286"/>
    <cellStyle name="표준 2 2 3 2 2 3 3 2" xfId="7287"/>
    <cellStyle name="표준 2 2 3 2 2 3 3 3" xfId="7288"/>
    <cellStyle name="표준 2 2 3 2 2 3 3 4" xfId="7289"/>
    <cellStyle name="표준 2 2 3 2 2 3 4" xfId="7290"/>
    <cellStyle name="표준 2 2 3 2 2 3 5" xfId="7291"/>
    <cellStyle name="표준 2 2 3 2 2 3 6" xfId="7292"/>
    <cellStyle name="표준 2 2 3 2 2 4" xfId="7293"/>
    <cellStyle name="표준 2 2 3 2 2 4 2" xfId="7294"/>
    <cellStyle name="표준 2 2 3 2 2 4 2 2" xfId="7295"/>
    <cellStyle name="표준 2 2 3 2 2 4 2 3" xfId="7296"/>
    <cellStyle name="표준 2 2 3 2 2 4 2 4" xfId="7297"/>
    <cellStyle name="표준 2 2 3 2 2 4 3" xfId="7298"/>
    <cellStyle name="표준 2 2 3 2 2 4 3 2" xfId="7299"/>
    <cellStyle name="표준 2 2 3 2 2 4 3 3" xfId="7300"/>
    <cellStyle name="표준 2 2 3 2 2 4 3 4" xfId="7301"/>
    <cellStyle name="표준 2 2 3 2 2 4 4" xfId="7302"/>
    <cellStyle name="표준 2 2 3 2 2 4 5" xfId="7303"/>
    <cellStyle name="표준 2 2 3 2 2 4 6" xfId="7304"/>
    <cellStyle name="표준 2 2 3 2 2 5" xfId="7305"/>
    <cellStyle name="표준 2 2 3 2 2 5 2" xfId="7306"/>
    <cellStyle name="표준 2 2 3 2 2 5 3" xfId="7307"/>
    <cellStyle name="표준 2 2 3 2 2 5 4" xfId="7308"/>
    <cellStyle name="표준 2 2 3 2 2 6" xfId="7309"/>
    <cellStyle name="표준 2 2 3 2 2 6 2" xfId="7310"/>
    <cellStyle name="표준 2 2 3 2 2 6 3" xfId="7311"/>
    <cellStyle name="표준 2 2 3 2 2 6 4" xfId="7312"/>
    <cellStyle name="표준 2 2 3 2 2 7" xfId="7313"/>
    <cellStyle name="표준 2 2 3 2 2 8" xfId="7314"/>
    <cellStyle name="표준 2 2 3 2 2 9" xfId="7315"/>
    <cellStyle name="표준 2 2 3 2 3" xfId="7316"/>
    <cellStyle name="표준 2 2 3 2 3 2" xfId="7317"/>
    <cellStyle name="표준 2 2 3 2 3 2 2" xfId="7318"/>
    <cellStyle name="표준 2 2 3 2 3 2 2 2" xfId="7319"/>
    <cellStyle name="표준 2 2 3 2 3 2 2 3" xfId="7320"/>
    <cellStyle name="표준 2 2 3 2 3 2 2 4" xfId="7321"/>
    <cellStyle name="표준 2 2 3 2 3 2 3" xfId="7322"/>
    <cellStyle name="표준 2 2 3 2 3 2 3 2" xfId="7323"/>
    <cellStyle name="표준 2 2 3 2 3 2 3 3" xfId="7324"/>
    <cellStyle name="표준 2 2 3 2 3 2 3 4" xfId="7325"/>
    <cellStyle name="표준 2 2 3 2 3 2 4" xfId="7326"/>
    <cellStyle name="표준 2 2 3 2 3 2 5" xfId="7327"/>
    <cellStyle name="표준 2 2 3 2 3 2 6" xfId="7328"/>
    <cellStyle name="표준 2 2 3 2 3 3" xfId="7329"/>
    <cellStyle name="표준 2 2 3 2 3 3 2" xfId="7330"/>
    <cellStyle name="표준 2 2 3 2 3 3 2 2" xfId="7331"/>
    <cellStyle name="표준 2 2 3 2 3 3 2 3" xfId="7332"/>
    <cellStyle name="표준 2 2 3 2 3 3 2 4" xfId="7333"/>
    <cellStyle name="표준 2 2 3 2 3 3 3" xfId="7334"/>
    <cellStyle name="표준 2 2 3 2 3 3 3 2" xfId="7335"/>
    <cellStyle name="표준 2 2 3 2 3 3 3 3" xfId="7336"/>
    <cellStyle name="표준 2 2 3 2 3 3 3 4" xfId="7337"/>
    <cellStyle name="표준 2 2 3 2 3 3 4" xfId="7338"/>
    <cellStyle name="표준 2 2 3 2 3 3 5" xfId="7339"/>
    <cellStyle name="표준 2 2 3 2 3 3 6" xfId="7340"/>
    <cellStyle name="표준 2 2 3 2 3 4" xfId="7341"/>
    <cellStyle name="표준 2 2 3 2 3 4 2" xfId="7342"/>
    <cellStyle name="표준 2 2 3 2 3 4 3" xfId="7343"/>
    <cellStyle name="표준 2 2 3 2 3 4 4" xfId="7344"/>
    <cellStyle name="표준 2 2 3 2 3 5" xfId="7345"/>
    <cellStyle name="표준 2 2 3 2 3 5 2" xfId="7346"/>
    <cellStyle name="표준 2 2 3 2 3 5 3" xfId="7347"/>
    <cellStyle name="표준 2 2 3 2 3 5 4" xfId="7348"/>
    <cellStyle name="표준 2 2 3 2 3 6" xfId="7349"/>
    <cellStyle name="표준 2 2 3 2 3 7" xfId="7350"/>
    <cellStyle name="표준 2 2 3 2 3 8" xfId="7351"/>
    <cellStyle name="표준 2 2 3 2 4" xfId="7352"/>
    <cellStyle name="표준 2 2 3 2 4 2" xfId="7353"/>
    <cellStyle name="표준 2 2 3 2 4 2 2" xfId="7354"/>
    <cellStyle name="표준 2 2 3 2 4 2 3" xfId="7355"/>
    <cellStyle name="표준 2 2 3 2 4 2 4" xfId="7356"/>
    <cellStyle name="표준 2 2 3 2 4 3" xfId="7357"/>
    <cellStyle name="표준 2 2 3 2 4 3 2" xfId="7358"/>
    <cellStyle name="표준 2 2 3 2 4 3 3" xfId="7359"/>
    <cellStyle name="표준 2 2 3 2 4 3 4" xfId="7360"/>
    <cellStyle name="표준 2 2 3 2 4 4" xfId="7361"/>
    <cellStyle name="표준 2 2 3 2 4 5" xfId="7362"/>
    <cellStyle name="표준 2 2 3 2 4 6" xfId="7363"/>
    <cellStyle name="표준 2 2 3 2 5" xfId="7364"/>
    <cellStyle name="표준 2 2 3 2 5 2" xfId="7365"/>
    <cellStyle name="표준 2 2 3 2 5 2 2" xfId="7366"/>
    <cellStyle name="표준 2 2 3 2 5 2 3" xfId="7367"/>
    <cellStyle name="표준 2 2 3 2 5 2 4" xfId="7368"/>
    <cellStyle name="표준 2 2 3 2 5 3" xfId="7369"/>
    <cellStyle name="표준 2 2 3 2 5 3 2" xfId="7370"/>
    <cellStyle name="표준 2 2 3 2 5 3 3" xfId="7371"/>
    <cellStyle name="표준 2 2 3 2 5 3 4" xfId="7372"/>
    <cellStyle name="표준 2 2 3 2 5 4" xfId="7373"/>
    <cellStyle name="표준 2 2 3 2 5 5" xfId="7374"/>
    <cellStyle name="표준 2 2 3 2 5 6" xfId="7375"/>
    <cellStyle name="표준 2 2 3 2 6" xfId="7376"/>
    <cellStyle name="표준 2 2 3 2 6 2" xfId="7377"/>
    <cellStyle name="표준 2 2 3 2 6 3" xfId="7378"/>
    <cellStyle name="표준 2 2 3 2 6 4" xfId="7379"/>
    <cellStyle name="표준 2 2 3 2 7" xfId="7380"/>
    <cellStyle name="표준 2 2 3 2 7 2" xfId="7381"/>
    <cellStyle name="표준 2 2 3 2 7 3" xfId="7382"/>
    <cellStyle name="표준 2 2 3 2 7 4" xfId="7383"/>
    <cellStyle name="표준 2 2 3 2 8" xfId="7384"/>
    <cellStyle name="표준 2 2 3 2 9" xfId="7385"/>
    <cellStyle name="표준 2 2 3 3" xfId="7386"/>
    <cellStyle name="표준 2 2 3 3 2" xfId="7387"/>
    <cellStyle name="표준 2 2 3 3 2 2" xfId="7388"/>
    <cellStyle name="표준 2 2 3 3 2 2 2" xfId="7389"/>
    <cellStyle name="표준 2 2 3 3 2 2 2 2" xfId="7390"/>
    <cellStyle name="표준 2 2 3 3 2 2 2 3" xfId="7391"/>
    <cellStyle name="표준 2 2 3 3 2 2 2 4" xfId="7392"/>
    <cellStyle name="표준 2 2 3 3 2 2 3" xfId="7393"/>
    <cellStyle name="표준 2 2 3 3 2 2 3 2" xfId="7394"/>
    <cellStyle name="표준 2 2 3 3 2 2 3 3" xfId="7395"/>
    <cellStyle name="표준 2 2 3 3 2 2 3 4" xfId="7396"/>
    <cellStyle name="표준 2 2 3 3 2 2 4" xfId="7397"/>
    <cellStyle name="표준 2 2 3 3 2 2 5" xfId="7398"/>
    <cellStyle name="표준 2 2 3 3 2 2 6" xfId="7399"/>
    <cellStyle name="표준 2 2 3 3 2 3" xfId="7400"/>
    <cellStyle name="표준 2 2 3 3 2 3 2" xfId="7401"/>
    <cellStyle name="표준 2 2 3 3 2 3 2 2" xfId="7402"/>
    <cellStyle name="표준 2 2 3 3 2 3 2 3" xfId="7403"/>
    <cellStyle name="표준 2 2 3 3 2 3 2 4" xfId="7404"/>
    <cellStyle name="표준 2 2 3 3 2 3 3" xfId="7405"/>
    <cellStyle name="표준 2 2 3 3 2 3 3 2" xfId="7406"/>
    <cellStyle name="표준 2 2 3 3 2 3 3 3" xfId="7407"/>
    <cellStyle name="표준 2 2 3 3 2 3 3 4" xfId="7408"/>
    <cellStyle name="표준 2 2 3 3 2 3 4" xfId="7409"/>
    <cellStyle name="표준 2 2 3 3 2 3 5" xfId="7410"/>
    <cellStyle name="표준 2 2 3 3 2 3 6" xfId="7411"/>
    <cellStyle name="표준 2 2 3 3 2 4" xfId="7412"/>
    <cellStyle name="표준 2 2 3 3 2 4 2" xfId="7413"/>
    <cellStyle name="표준 2 2 3 3 2 4 3" xfId="7414"/>
    <cellStyle name="표준 2 2 3 3 2 4 4" xfId="7415"/>
    <cellStyle name="표준 2 2 3 3 2 5" xfId="7416"/>
    <cellStyle name="표준 2 2 3 3 2 5 2" xfId="7417"/>
    <cellStyle name="표준 2 2 3 3 2 5 3" xfId="7418"/>
    <cellStyle name="표준 2 2 3 3 2 5 4" xfId="7419"/>
    <cellStyle name="표준 2 2 3 3 2 6" xfId="7420"/>
    <cellStyle name="표준 2 2 3 3 2 7" xfId="7421"/>
    <cellStyle name="표준 2 2 3 3 2 8" xfId="7422"/>
    <cellStyle name="표준 2 2 3 3 3" xfId="7423"/>
    <cellStyle name="표준 2 2 3 3 3 2" xfId="7424"/>
    <cellStyle name="표준 2 2 3 3 3 2 2" xfId="7425"/>
    <cellStyle name="표준 2 2 3 3 3 2 3" xfId="7426"/>
    <cellStyle name="표준 2 2 3 3 3 2 4" xfId="7427"/>
    <cellStyle name="표준 2 2 3 3 3 3" xfId="7428"/>
    <cellStyle name="표준 2 2 3 3 3 3 2" xfId="7429"/>
    <cellStyle name="표준 2 2 3 3 3 3 3" xfId="7430"/>
    <cellStyle name="표준 2 2 3 3 3 3 4" xfId="7431"/>
    <cellStyle name="표준 2 2 3 3 3 4" xfId="7432"/>
    <cellStyle name="표준 2 2 3 3 3 5" xfId="7433"/>
    <cellStyle name="표준 2 2 3 3 3 6" xfId="7434"/>
    <cellStyle name="표준 2 2 3 3 4" xfId="7435"/>
    <cellStyle name="표준 2 2 3 3 4 2" xfId="7436"/>
    <cellStyle name="표준 2 2 3 3 4 2 2" xfId="7437"/>
    <cellStyle name="표준 2 2 3 3 4 2 3" xfId="7438"/>
    <cellStyle name="표준 2 2 3 3 4 2 4" xfId="7439"/>
    <cellStyle name="표준 2 2 3 3 4 3" xfId="7440"/>
    <cellStyle name="표준 2 2 3 3 4 3 2" xfId="7441"/>
    <cellStyle name="표준 2 2 3 3 4 3 3" xfId="7442"/>
    <cellStyle name="표준 2 2 3 3 4 3 4" xfId="7443"/>
    <cellStyle name="표준 2 2 3 3 4 4" xfId="7444"/>
    <cellStyle name="표준 2 2 3 3 4 5" xfId="7445"/>
    <cellStyle name="표준 2 2 3 3 4 6" xfId="7446"/>
    <cellStyle name="표준 2 2 3 3 5" xfId="7447"/>
    <cellStyle name="표준 2 2 3 3 5 2" xfId="7448"/>
    <cellStyle name="표준 2 2 3 3 5 3" xfId="7449"/>
    <cellStyle name="표준 2 2 3 3 5 4" xfId="7450"/>
    <cellStyle name="표준 2 2 3 3 6" xfId="7451"/>
    <cellStyle name="표준 2 2 3 3 6 2" xfId="7452"/>
    <cellStyle name="표준 2 2 3 3 6 3" xfId="7453"/>
    <cellStyle name="표준 2 2 3 3 6 4" xfId="7454"/>
    <cellStyle name="표준 2 2 3 3 7" xfId="7455"/>
    <cellStyle name="표준 2 2 3 3 8" xfId="7456"/>
    <cellStyle name="표준 2 2 3 3 9" xfId="7457"/>
    <cellStyle name="표준 2 2 3 4" xfId="7458"/>
    <cellStyle name="표준 2 2 3 4 2" xfId="7459"/>
    <cellStyle name="표준 2 2 3 4 2 2" xfId="7460"/>
    <cellStyle name="표준 2 2 3 4 2 3" xfId="7461"/>
    <cellStyle name="표준 2 2 3 4 2 4" xfId="7462"/>
    <cellStyle name="표준 2 2 3 4 3" xfId="7463"/>
    <cellStyle name="표준 2 2 3 4 3 2" xfId="7464"/>
    <cellStyle name="표준 2 2 3 4 3 3" xfId="7465"/>
    <cellStyle name="표준 2 2 3 4 3 4" xfId="7466"/>
    <cellStyle name="표준 2 2 3 4 4" xfId="7467"/>
    <cellStyle name="표준 2 2 3 4 5" xfId="7468"/>
    <cellStyle name="표준 2 2 3 4 6" xfId="7469"/>
    <cellStyle name="표준 2 2 3 5" xfId="7470"/>
    <cellStyle name="표준 2 2 3 5 2" xfId="7471"/>
    <cellStyle name="표준 2 2 3 5 2 2" xfId="7472"/>
    <cellStyle name="표준 2 2 3 5 2 3" xfId="7473"/>
    <cellStyle name="표준 2 2 3 5 2 4" xfId="7474"/>
    <cellStyle name="표준 2 2 3 5 3" xfId="7475"/>
    <cellStyle name="표준 2 2 3 5 3 2" xfId="7476"/>
    <cellStyle name="표준 2 2 3 5 3 3" xfId="7477"/>
    <cellStyle name="표준 2 2 3 5 3 4" xfId="7478"/>
    <cellStyle name="표준 2 2 3 5 4" xfId="7479"/>
    <cellStyle name="표준 2 2 3 5 5" xfId="7480"/>
    <cellStyle name="표준 2 2 3 5 6" xfId="7481"/>
    <cellStyle name="표준 2 2 3 6" xfId="7482"/>
    <cellStyle name="표준 2 2 3 6 2" xfId="7483"/>
    <cellStyle name="표준 2 2 3 6 3" xfId="7484"/>
    <cellStyle name="표준 2 2 3 6 4" xfId="7485"/>
    <cellStyle name="표준 2 2 3 7" xfId="7486"/>
    <cellStyle name="표준 2 2 3 7 2" xfId="7487"/>
    <cellStyle name="표준 2 2 3 7 3" xfId="7488"/>
    <cellStyle name="표준 2 2 3 7 4" xfId="7489"/>
    <cellStyle name="표준 2 2 3 8" xfId="7490"/>
    <cellStyle name="표준 2 2 3 9" xfId="7491"/>
    <cellStyle name="표준 2 2 30" xfId="7492"/>
    <cellStyle name="표준 2 2 31" xfId="7493"/>
    <cellStyle name="표준 2 2 4" xfId="7494"/>
    <cellStyle name="표준 2 2 4 10" xfId="7495"/>
    <cellStyle name="표준 2 2 4 2" xfId="7496"/>
    <cellStyle name="표준 2 2 4 2 10" xfId="7497"/>
    <cellStyle name="표준 2 2 4 2 2" xfId="7498"/>
    <cellStyle name="표준 2 2 4 2 2 2" xfId="7499"/>
    <cellStyle name="표준 2 2 4 2 2 2 2" xfId="7500"/>
    <cellStyle name="표준 2 2 4 2 2 2 2 2" xfId="7501"/>
    <cellStyle name="표준 2 2 4 2 2 2 2 2 2" xfId="7502"/>
    <cellStyle name="표준 2 2 4 2 2 2 2 2 3" xfId="7503"/>
    <cellStyle name="표준 2 2 4 2 2 2 2 2 4" xfId="7504"/>
    <cellStyle name="표준 2 2 4 2 2 2 2 3" xfId="7505"/>
    <cellStyle name="표준 2 2 4 2 2 2 2 3 2" xfId="7506"/>
    <cellStyle name="표준 2 2 4 2 2 2 2 3 3" xfId="7507"/>
    <cellStyle name="표준 2 2 4 2 2 2 2 3 4" xfId="7508"/>
    <cellStyle name="표준 2 2 4 2 2 2 2 4" xfId="7509"/>
    <cellStyle name="표준 2 2 4 2 2 2 2 5" xfId="7510"/>
    <cellStyle name="표준 2 2 4 2 2 2 2 6" xfId="7511"/>
    <cellStyle name="표준 2 2 4 2 2 2 3" xfId="7512"/>
    <cellStyle name="표준 2 2 4 2 2 2 3 2" xfId="7513"/>
    <cellStyle name="표준 2 2 4 2 2 2 3 2 2" xfId="7514"/>
    <cellStyle name="표준 2 2 4 2 2 2 3 2 3" xfId="7515"/>
    <cellStyle name="표준 2 2 4 2 2 2 3 2 4" xfId="7516"/>
    <cellStyle name="표준 2 2 4 2 2 2 3 3" xfId="7517"/>
    <cellStyle name="표준 2 2 4 2 2 2 3 3 2" xfId="7518"/>
    <cellStyle name="표준 2 2 4 2 2 2 3 3 3" xfId="7519"/>
    <cellStyle name="표준 2 2 4 2 2 2 3 3 4" xfId="7520"/>
    <cellStyle name="표준 2 2 4 2 2 2 3 4" xfId="7521"/>
    <cellStyle name="표준 2 2 4 2 2 2 3 5" xfId="7522"/>
    <cellStyle name="표준 2 2 4 2 2 2 3 6" xfId="7523"/>
    <cellStyle name="표준 2 2 4 2 2 2 4" xfId="7524"/>
    <cellStyle name="표준 2 2 4 2 2 2 4 2" xfId="7525"/>
    <cellStyle name="표준 2 2 4 2 2 2 4 3" xfId="7526"/>
    <cellStyle name="표준 2 2 4 2 2 2 4 4" xfId="7527"/>
    <cellStyle name="표준 2 2 4 2 2 2 5" xfId="7528"/>
    <cellStyle name="표준 2 2 4 2 2 2 5 2" xfId="7529"/>
    <cellStyle name="표준 2 2 4 2 2 2 5 3" xfId="7530"/>
    <cellStyle name="표준 2 2 4 2 2 2 5 4" xfId="7531"/>
    <cellStyle name="표준 2 2 4 2 2 2 6" xfId="7532"/>
    <cellStyle name="표준 2 2 4 2 2 2 7" xfId="7533"/>
    <cellStyle name="표준 2 2 4 2 2 2 8" xfId="7534"/>
    <cellStyle name="표준 2 2 4 2 2 3" xfId="7535"/>
    <cellStyle name="표준 2 2 4 2 2 3 2" xfId="7536"/>
    <cellStyle name="표준 2 2 4 2 2 3 2 2" xfId="7537"/>
    <cellStyle name="표준 2 2 4 2 2 3 2 3" xfId="7538"/>
    <cellStyle name="표준 2 2 4 2 2 3 2 4" xfId="7539"/>
    <cellStyle name="표준 2 2 4 2 2 3 3" xfId="7540"/>
    <cellStyle name="표준 2 2 4 2 2 3 3 2" xfId="7541"/>
    <cellStyle name="표준 2 2 4 2 2 3 3 3" xfId="7542"/>
    <cellStyle name="표준 2 2 4 2 2 3 3 4" xfId="7543"/>
    <cellStyle name="표준 2 2 4 2 2 3 4" xfId="7544"/>
    <cellStyle name="표준 2 2 4 2 2 3 5" xfId="7545"/>
    <cellStyle name="표준 2 2 4 2 2 3 6" xfId="7546"/>
    <cellStyle name="표준 2 2 4 2 2 4" xfId="7547"/>
    <cellStyle name="표준 2 2 4 2 2 4 2" xfId="7548"/>
    <cellStyle name="표준 2 2 4 2 2 4 2 2" xfId="7549"/>
    <cellStyle name="표준 2 2 4 2 2 4 2 3" xfId="7550"/>
    <cellStyle name="표준 2 2 4 2 2 4 2 4" xfId="7551"/>
    <cellStyle name="표준 2 2 4 2 2 4 3" xfId="7552"/>
    <cellStyle name="표준 2 2 4 2 2 4 3 2" xfId="7553"/>
    <cellStyle name="표준 2 2 4 2 2 4 3 3" xfId="7554"/>
    <cellStyle name="표준 2 2 4 2 2 4 3 4" xfId="7555"/>
    <cellStyle name="표준 2 2 4 2 2 4 4" xfId="7556"/>
    <cellStyle name="표준 2 2 4 2 2 4 5" xfId="7557"/>
    <cellStyle name="표준 2 2 4 2 2 4 6" xfId="7558"/>
    <cellStyle name="표준 2 2 4 2 2 5" xfId="7559"/>
    <cellStyle name="표준 2 2 4 2 2 5 2" xfId="7560"/>
    <cellStyle name="표준 2 2 4 2 2 5 3" xfId="7561"/>
    <cellStyle name="표준 2 2 4 2 2 5 4" xfId="7562"/>
    <cellStyle name="표준 2 2 4 2 2 6" xfId="7563"/>
    <cellStyle name="표준 2 2 4 2 2 6 2" xfId="7564"/>
    <cellStyle name="표준 2 2 4 2 2 6 3" xfId="7565"/>
    <cellStyle name="표준 2 2 4 2 2 6 4" xfId="7566"/>
    <cellStyle name="표준 2 2 4 2 2 7" xfId="7567"/>
    <cellStyle name="표준 2 2 4 2 2 8" xfId="7568"/>
    <cellStyle name="표준 2 2 4 2 2 9" xfId="7569"/>
    <cellStyle name="표준 2 2 4 2 3" xfId="7570"/>
    <cellStyle name="표준 2 2 4 2 3 2" xfId="7571"/>
    <cellStyle name="표준 2 2 4 2 3 2 2" xfId="7572"/>
    <cellStyle name="표준 2 2 4 2 3 2 2 2" xfId="7573"/>
    <cellStyle name="표준 2 2 4 2 3 2 2 3" xfId="7574"/>
    <cellStyle name="표준 2 2 4 2 3 2 2 4" xfId="7575"/>
    <cellStyle name="표준 2 2 4 2 3 2 3" xfId="7576"/>
    <cellStyle name="표준 2 2 4 2 3 2 3 2" xfId="7577"/>
    <cellStyle name="표준 2 2 4 2 3 2 3 3" xfId="7578"/>
    <cellStyle name="표준 2 2 4 2 3 2 3 4" xfId="7579"/>
    <cellStyle name="표준 2 2 4 2 3 2 4" xfId="7580"/>
    <cellStyle name="표준 2 2 4 2 3 2 5" xfId="7581"/>
    <cellStyle name="표준 2 2 4 2 3 2 6" xfId="7582"/>
    <cellStyle name="표준 2 2 4 2 3 3" xfId="7583"/>
    <cellStyle name="표준 2 2 4 2 3 3 2" xfId="7584"/>
    <cellStyle name="표준 2 2 4 2 3 3 2 2" xfId="7585"/>
    <cellStyle name="표준 2 2 4 2 3 3 2 3" xfId="7586"/>
    <cellStyle name="표준 2 2 4 2 3 3 2 4" xfId="7587"/>
    <cellStyle name="표준 2 2 4 2 3 3 3" xfId="7588"/>
    <cellStyle name="표준 2 2 4 2 3 3 3 2" xfId="7589"/>
    <cellStyle name="표준 2 2 4 2 3 3 3 3" xfId="7590"/>
    <cellStyle name="표준 2 2 4 2 3 3 3 4" xfId="7591"/>
    <cellStyle name="표준 2 2 4 2 3 3 4" xfId="7592"/>
    <cellStyle name="표준 2 2 4 2 3 3 5" xfId="7593"/>
    <cellStyle name="표준 2 2 4 2 3 3 6" xfId="7594"/>
    <cellStyle name="표준 2 2 4 2 3 4" xfId="7595"/>
    <cellStyle name="표준 2 2 4 2 3 4 2" xfId="7596"/>
    <cellStyle name="표준 2 2 4 2 3 4 3" xfId="7597"/>
    <cellStyle name="표준 2 2 4 2 3 4 4" xfId="7598"/>
    <cellStyle name="표준 2 2 4 2 3 5" xfId="7599"/>
    <cellStyle name="표준 2 2 4 2 3 5 2" xfId="7600"/>
    <cellStyle name="표준 2 2 4 2 3 5 3" xfId="7601"/>
    <cellStyle name="표준 2 2 4 2 3 5 4" xfId="7602"/>
    <cellStyle name="표준 2 2 4 2 3 6" xfId="7603"/>
    <cellStyle name="표준 2 2 4 2 3 7" xfId="7604"/>
    <cellStyle name="표준 2 2 4 2 3 8" xfId="7605"/>
    <cellStyle name="표준 2 2 4 2 4" xfId="7606"/>
    <cellStyle name="표준 2 2 4 2 4 2" xfId="7607"/>
    <cellStyle name="표준 2 2 4 2 4 2 2" xfId="7608"/>
    <cellStyle name="표준 2 2 4 2 4 2 3" xfId="7609"/>
    <cellStyle name="표준 2 2 4 2 4 2 4" xfId="7610"/>
    <cellStyle name="표준 2 2 4 2 4 3" xfId="7611"/>
    <cellStyle name="표준 2 2 4 2 4 3 2" xfId="7612"/>
    <cellStyle name="표준 2 2 4 2 4 3 3" xfId="7613"/>
    <cellStyle name="표준 2 2 4 2 4 3 4" xfId="7614"/>
    <cellStyle name="표준 2 2 4 2 4 4" xfId="7615"/>
    <cellStyle name="표준 2 2 4 2 4 5" xfId="7616"/>
    <cellStyle name="표준 2 2 4 2 4 6" xfId="7617"/>
    <cellStyle name="표준 2 2 4 2 5" xfId="7618"/>
    <cellStyle name="표준 2 2 4 2 5 2" xfId="7619"/>
    <cellStyle name="표준 2 2 4 2 5 2 2" xfId="7620"/>
    <cellStyle name="표준 2 2 4 2 5 2 3" xfId="7621"/>
    <cellStyle name="표준 2 2 4 2 5 2 4" xfId="7622"/>
    <cellStyle name="표준 2 2 4 2 5 3" xfId="7623"/>
    <cellStyle name="표준 2 2 4 2 5 3 2" xfId="7624"/>
    <cellStyle name="표준 2 2 4 2 5 3 3" xfId="7625"/>
    <cellStyle name="표준 2 2 4 2 5 3 4" xfId="7626"/>
    <cellStyle name="표준 2 2 4 2 5 4" xfId="7627"/>
    <cellStyle name="표준 2 2 4 2 5 5" xfId="7628"/>
    <cellStyle name="표준 2 2 4 2 5 6" xfId="7629"/>
    <cellStyle name="표준 2 2 4 2 6" xfId="7630"/>
    <cellStyle name="표준 2 2 4 2 6 2" xfId="7631"/>
    <cellStyle name="표준 2 2 4 2 6 3" xfId="7632"/>
    <cellStyle name="표준 2 2 4 2 6 4" xfId="7633"/>
    <cellStyle name="표준 2 2 4 2 7" xfId="7634"/>
    <cellStyle name="표준 2 2 4 2 7 2" xfId="7635"/>
    <cellStyle name="표준 2 2 4 2 7 3" xfId="7636"/>
    <cellStyle name="표준 2 2 4 2 7 4" xfId="7637"/>
    <cellStyle name="표준 2 2 4 2 8" xfId="7638"/>
    <cellStyle name="표준 2 2 4 2 9" xfId="7639"/>
    <cellStyle name="표준 2 2 4 3" xfId="7640"/>
    <cellStyle name="표준 2 2 4 3 2" xfId="7641"/>
    <cellStyle name="표준 2 2 4 3 2 2" xfId="7642"/>
    <cellStyle name="표준 2 2 4 3 2 2 2" xfId="7643"/>
    <cellStyle name="표준 2 2 4 3 2 2 2 2" xfId="7644"/>
    <cellStyle name="표준 2 2 4 3 2 2 2 3" xfId="7645"/>
    <cellStyle name="표준 2 2 4 3 2 2 2 4" xfId="7646"/>
    <cellStyle name="표준 2 2 4 3 2 2 3" xfId="7647"/>
    <cellStyle name="표준 2 2 4 3 2 2 3 2" xfId="7648"/>
    <cellStyle name="표준 2 2 4 3 2 2 3 3" xfId="7649"/>
    <cellStyle name="표준 2 2 4 3 2 2 3 4" xfId="7650"/>
    <cellStyle name="표준 2 2 4 3 2 2 4" xfId="7651"/>
    <cellStyle name="표준 2 2 4 3 2 2 5" xfId="7652"/>
    <cellStyle name="표준 2 2 4 3 2 2 6" xfId="7653"/>
    <cellStyle name="표준 2 2 4 3 2 3" xfId="7654"/>
    <cellStyle name="표준 2 2 4 3 2 3 2" xfId="7655"/>
    <cellStyle name="표준 2 2 4 3 2 3 2 2" xfId="7656"/>
    <cellStyle name="표준 2 2 4 3 2 3 2 3" xfId="7657"/>
    <cellStyle name="표준 2 2 4 3 2 3 2 4" xfId="7658"/>
    <cellStyle name="표준 2 2 4 3 2 3 3" xfId="7659"/>
    <cellStyle name="표준 2 2 4 3 2 3 3 2" xfId="7660"/>
    <cellStyle name="표준 2 2 4 3 2 3 3 3" xfId="7661"/>
    <cellStyle name="표준 2 2 4 3 2 3 3 4" xfId="7662"/>
    <cellStyle name="표준 2 2 4 3 2 3 4" xfId="7663"/>
    <cellStyle name="표준 2 2 4 3 2 3 5" xfId="7664"/>
    <cellStyle name="표준 2 2 4 3 2 3 6" xfId="7665"/>
    <cellStyle name="표준 2 2 4 3 2 4" xfId="7666"/>
    <cellStyle name="표준 2 2 4 3 2 4 2" xfId="7667"/>
    <cellStyle name="표준 2 2 4 3 2 4 3" xfId="7668"/>
    <cellStyle name="표준 2 2 4 3 2 4 4" xfId="7669"/>
    <cellStyle name="표준 2 2 4 3 2 5" xfId="7670"/>
    <cellStyle name="표준 2 2 4 3 2 5 2" xfId="7671"/>
    <cellStyle name="표준 2 2 4 3 2 5 3" xfId="7672"/>
    <cellStyle name="표준 2 2 4 3 2 5 4" xfId="7673"/>
    <cellStyle name="표준 2 2 4 3 2 6" xfId="7674"/>
    <cellStyle name="표준 2 2 4 3 2 7" xfId="7675"/>
    <cellStyle name="표준 2 2 4 3 2 8" xfId="7676"/>
    <cellStyle name="표준 2 2 4 3 3" xfId="7677"/>
    <cellStyle name="표준 2 2 4 3 3 2" xfId="7678"/>
    <cellStyle name="표준 2 2 4 3 3 2 2" xfId="7679"/>
    <cellStyle name="표준 2 2 4 3 3 2 3" xfId="7680"/>
    <cellStyle name="표준 2 2 4 3 3 2 4" xfId="7681"/>
    <cellStyle name="표준 2 2 4 3 3 3" xfId="7682"/>
    <cellStyle name="표준 2 2 4 3 3 3 2" xfId="7683"/>
    <cellStyle name="표준 2 2 4 3 3 3 3" xfId="7684"/>
    <cellStyle name="표준 2 2 4 3 3 3 4" xfId="7685"/>
    <cellStyle name="표준 2 2 4 3 3 4" xfId="7686"/>
    <cellStyle name="표준 2 2 4 3 3 5" xfId="7687"/>
    <cellStyle name="표준 2 2 4 3 3 6" xfId="7688"/>
    <cellStyle name="표준 2 2 4 3 4" xfId="7689"/>
    <cellStyle name="표준 2 2 4 3 4 2" xfId="7690"/>
    <cellStyle name="표준 2 2 4 3 4 2 2" xfId="7691"/>
    <cellStyle name="표준 2 2 4 3 4 2 3" xfId="7692"/>
    <cellStyle name="표준 2 2 4 3 4 2 4" xfId="7693"/>
    <cellStyle name="표준 2 2 4 3 4 3" xfId="7694"/>
    <cellStyle name="표준 2 2 4 3 4 3 2" xfId="7695"/>
    <cellStyle name="표준 2 2 4 3 4 3 3" xfId="7696"/>
    <cellStyle name="표준 2 2 4 3 4 3 4" xfId="7697"/>
    <cellStyle name="표준 2 2 4 3 4 4" xfId="7698"/>
    <cellStyle name="표준 2 2 4 3 4 5" xfId="7699"/>
    <cellStyle name="표준 2 2 4 3 4 6" xfId="7700"/>
    <cellStyle name="표준 2 2 4 3 5" xfId="7701"/>
    <cellStyle name="표준 2 2 4 3 5 2" xfId="7702"/>
    <cellStyle name="표준 2 2 4 3 5 3" xfId="7703"/>
    <cellStyle name="표준 2 2 4 3 5 4" xfId="7704"/>
    <cellStyle name="표준 2 2 4 3 6" xfId="7705"/>
    <cellStyle name="표준 2 2 4 3 6 2" xfId="7706"/>
    <cellStyle name="표준 2 2 4 3 6 3" xfId="7707"/>
    <cellStyle name="표준 2 2 4 3 6 4" xfId="7708"/>
    <cellStyle name="표준 2 2 4 3 7" xfId="7709"/>
    <cellStyle name="표준 2 2 4 3 8" xfId="7710"/>
    <cellStyle name="표준 2 2 4 3 9" xfId="7711"/>
    <cellStyle name="표준 2 2 4 4" xfId="7712"/>
    <cellStyle name="표준 2 2 4 4 2" xfId="7713"/>
    <cellStyle name="표준 2 2 4 4 2 2" xfId="7714"/>
    <cellStyle name="표준 2 2 4 4 2 3" xfId="7715"/>
    <cellStyle name="표준 2 2 4 4 2 4" xfId="7716"/>
    <cellStyle name="표준 2 2 4 4 3" xfId="7717"/>
    <cellStyle name="표준 2 2 4 4 3 2" xfId="7718"/>
    <cellStyle name="표준 2 2 4 4 3 3" xfId="7719"/>
    <cellStyle name="표준 2 2 4 4 3 4" xfId="7720"/>
    <cellStyle name="표준 2 2 4 4 4" xfId="7721"/>
    <cellStyle name="표준 2 2 4 4 5" xfId="7722"/>
    <cellStyle name="표준 2 2 4 4 6" xfId="7723"/>
    <cellStyle name="표준 2 2 4 5" xfId="7724"/>
    <cellStyle name="표준 2 2 4 5 2" xfId="7725"/>
    <cellStyle name="표준 2 2 4 5 2 2" xfId="7726"/>
    <cellStyle name="표준 2 2 4 5 2 3" xfId="7727"/>
    <cellStyle name="표준 2 2 4 5 2 4" xfId="7728"/>
    <cellStyle name="표준 2 2 4 5 3" xfId="7729"/>
    <cellStyle name="표준 2 2 4 5 3 2" xfId="7730"/>
    <cellStyle name="표준 2 2 4 5 3 3" xfId="7731"/>
    <cellStyle name="표준 2 2 4 5 3 4" xfId="7732"/>
    <cellStyle name="표준 2 2 4 5 4" xfId="7733"/>
    <cellStyle name="표준 2 2 4 5 5" xfId="7734"/>
    <cellStyle name="표준 2 2 4 5 6" xfId="7735"/>
    <cellStyle name="표준 2 2 4 6" xfId="7736"/>
    <cellStyle name="표준 2 2 4 6 2" xfId="7737"/>
    <cellStyle name="표준 2 2 4 6 3" xfId="7738"/>
    <cellStyle name="표준 2 2 4 6 4" xfId="7739"/>
    <cellStyle name="표준 2 2 4 7" xfId="7740"/>
    <cellStyle name="표준 2 2 4 7 2" xfId="7741"/>
    <cellStyle name="표준 2 2 4 7 3" xfId="7742"/>
    <cellStyle name="표준 2 2 4 7 4" xfId="7743"/>
    <cellStyle name="표준 2 2 4 8" xfId="7744"/>
    <cellStyle name="표준 2 2 4 9" xfId="7745"/>
    <cellStyle name="표준 2 2 5" xfId="7746"/>
    <cellStyle name="표준 2 2 5 10" xfId="7747"/>
    <cellStyle name="표준 2 2 5 2" xfId="7748"/>
    <cellStyle name="표준 2 2 5 2 10" xfId="7749"/>
    <cellStyle name="표준 2 2 5 2 2" xfId="7750"/>
    <cellStyle name="표준 2 2 5 2 2 2" xfId="7751"/>
    <cellStyle name="표준 2 2 5 2 2 2 2" xfId="7752"/>
    <cellStyle name="표준 2 2 5 2 2 2 2 2" xfId="7753"/>
    <cellStyle name="표준 2 2 5 2 2 2 2 2 2" xfId="7754"/>
    <cellStyle name="표준 2 2 5 2 2 2 2 2 3" xfId="7755"/>
    <cellStyle name="표준 2 2 5 2 2 2 2 2 4" xfId="7756"/>
    <cellStyle name="표준 2 2 5 2 2 2 2 3" xfId="7757"/>
    <cellStyle name="표준 2 2 5 2 2 2 2 3 2" xfId="7758"/>
    <cellStyle name="표준 2 2 5 2 2 2 2 3 3" xfId="7759"/>
    <cellStyle name="표준 2 2 5 2 2 2 2 3 4" xfId="7760"/>
    <cellStyle name="표준 2 2 5 2 2 2 2 4" xfId="7761"/>
    <cellStyle name="표준 2 2 5 2 2 2 2 5" xfId="7762"/>
    <cellStyle name="표준 2 2 5 2 2 2 2 6" xfId="7763"/>
    <cellStyle name="표준 2 2 5 2 2 2 3" xfId="7764"/>
    <cellStyle name="표준 2 2 5 2 2 2 3 2" xfId="7765"/>
    <cellStyle name="표준 2 2 5 2 2 2 3 2 2" xfId="7766"/>
    <cellStyle name="표준 2 2 5 2 2 2 3 2 3" xfId="7767"/>
    <cellStyle name="표준 2 2 5 2 2 2 3 2 4" xfId="7768"/>
    <cellStyle name="표준 2 2 5 2 2 2 3 3" xfId="7769"/>
    <cellStyle name="표준 2 2 5 2 2 2 3 3 2" xfId="7770"/>
    <cellStyle name="표준 2 2 5 2 2 2 3 3 3" xfId="7771"/>
    <cellStyle name="표준 2 2 5 2 2 2 3 3 4" xfId="7772"/>
    <cellStyle name="표준 2 2 5 2 2 2 3 4" xfId="7773"/>
    <cellStyle name="표준 2 2 5 2 2 2 3 5" xfId="7774"/>
    <cellStyle name="표준 2 2 5 2 2 2 3 6" xfId="7775"/>
    <cellStyle name="표준 2 2 5 2 2 2 4" xfId="7776"/>
    <cellStyle name="표준 2 2 5 2 2 2 4 2" xfId="7777"/>
    <cellStyle name="표준 2 2 5 2 2 2 4 3" xfId="7778"/>
    <cellStyle name="표준 2 2 5 2 2 2 4 4" xfId="7779"/>
    <cellStyle name="표준 2 2 5 2 2 2 5" xfId="7780"/>
    <cellStyle name="표준 2 2 5 2 2 2 5 2" xfId="7781"/>
    <cellStyle name="표준 2 2 5 2 2 2 5 3" xfId="7782"/>
    <cellStyle name="표준 2 2 5 2 2 2 5 4" xfId="7783"/>
    <cellStyle name="표준 2 2 5 2 2 2 6" xfId="7784"/>
    <cellStyle name="표준 2 2 5 2 2 2 7" xfId="7785"/>
    <cellStyle name="표준 2 2 5 2 2 2 8" xfId="7786"/>
    <cellStyle name="표준 2 2 5 2 2 3" xfId="7787"/>
    <cellStyle name="표준 2 2 5 2 2 3 2" xfId="7788"/>
    <cellStyle name="표준 2 2 5 2 2 3 2 2" xfId="7789"/>
    <cellStyle name="표준 2 2 5 2 2 3 2 3" xfId="7790"/>
    <cellStyle name="표준 2 2 5 2 2 3 2 4" xfId="7791"/>
    <cellStyle name="표준 2 2 5 2 2 3 3" xfId="7792"/>
    <cellStyle name="표준 2 2 5 2 2 3 3 2" xfId="7793"/>
    <cellStyle name="표준 2 2 5 2 2 3 3 3" xfId="7794"/>
    <cellStyle name="표준 2 2 5 2 2 3 3 4" xfId="7795"/>
    <cellStyle name="표준 2 2 5 2 2 3 4" xfId="7796"/>
    <cellStyle name="표준 2 2 5 2 2 3 5" xfId="7797"/>
    <cellStyle name="표준 2 2 5 2 2 3 6" xfId="7798"/>
    <cellStyle name="표준 2 2 5 2 2 4" xfId="7799"/>
    <cellStyle name="표준 2 2 5 2 2 4 2" xfId="7800"/>
    <cellStyle name="표준 2 2 5 2 2 4 2 2" xfId="7801"/>
    <cellStyle name="표준 2 2 5 2 2 4 2 3" xfId="7802"/>
    <cellStyle name="표준 2 2 5 2 2 4 2 4" xfId="7803"/>
    <cellStyle name="표준 2 2 5 2 2 4 3" xfId="7804"/>
    <cellStyle name="표준 2 2 5 2 2 4 3 2" xfId="7805"/>
    <cellStyle name="표준 2 2 5 2 2 4 3 3" xfId="7806"/>
    <cellStyle name="표준 2 2 5 2 2 4 3 4" xfId="7807"/>
    <cellStyle name="표준 2 2 5 2 2 4 4" xfId="7808"/>
    <cellStyle name="표준 2 2 5 2 2 4 5" xfId="7809"/>
    <cellStyle name="표준 2 2 5 2 2 4 6" xfId="7810"/>
    <cellStyle name="표준 2 2 5 2 2 5" xfId="7811"/>
    <cellStyle name="표준 2 2 5 2 2 5 2" xfId="7812"/>
    <cellStyle name="표준 2 2 5 2 2 5 3" xfId="7813"/>
    <cellStyle name="표준 2 2 5 2 2 5 4" xfId="7814"/>
    <cellStyle name="표준 2 2 5 2 2 6" xfId="7815"/>
    <cellStyle name="표준 2 2 5 2 2 6 2" xfId="7816"/>
    <cellStyle name="표준 2 2 5 2 2 6 3" xfId="7817"/>
    <cellStyle name="표준 2 2 5 2 2 6 4" xfId="7818"/>
    <cellStyle name="표준 2 2 5 2 2 7" xfId="7819"/>
    <cellStyle name="표준 2 2 5 2 2 8" xfId="7820"/>
    <cellStyle name="표준 2 2 5 2 2 9" xfId="7821"/>
    <cellStyle name="표준 2 2 5 2 3" xfId="7822"/>
    <cellStyle name="표준 2 2 5 2 3 2" xfId="7823"/>
    <cellStyle name="표준 2 2 5 2 3 2 2" xfId="7824"/>
    <cellStyle name="표준 2 2 5 2 3 2 2 2" xfId="7825"/>
    <cellStyle name="표준 2 2 5 2 3 2 2 3" xfId="7826"/>
    <cellStyle name="표준 2 2 5 2 3 2 2 4" xfId="7827"/>
    <cellStyle name="표준 2 2 5 2 3 2 3" xfId="7828"/>
    <cellStyle name="표준 2 2 5 2 3 2 3 2" xfId="7829"/>
    <cellStyle name="표준 2 2 5 2 3 2 3 3" xfId="7830"/>
    <cellStyle name="표준 2 2 5 2 3 2 3 4" xfId="7831"/>
    <cellStyle name="표준 2 2 5 2 3 2 4" xfId="7832"/>
    <cellStyle name="표준 2 2 5 2 3 2 5" xfId="7833"/>
    <cellStyle name="표준 2 2 5 2 3 2 6" xfId="7834"/>
    <cellStyle name="표준 2 2 5 2 3 3" xfId="7835"/>
    <cellStyle name="표준 2 2 5 2 3 3 2" xfId="7836"/>
    <cellStyle name="표준 2 2 5 2 3 3 2 2" xfId="7837"/>
    <cellStyle name="표준 2 2 5 2 3 3 2 3" xfId="7838"/>
    <cellStyle name="표준 2 2 5 2 3 3 2 4" xfId="7839"/>
    <cellStyle name="표준 2 2 5 2 3 3 3" xfId="7840"/>
    <cellStyle name="표준 2 2 5 2 3 3 3 2" xfId="7841"/>
    <cellStyle name="표준 2 2 5 2 3 3 3 3" xfId="7842"/>
    <cellStyle name="표준 2 2 5 2 3 3 3 4" xfId="7843"/>
    <cellStyle name="표준 2 2 5 2 3 3 4" xfId="7844"/>
    <cellStyle name="표준 2 2 5 2 3 3 5" xfId="7845"/>
    <cellStyle name="표준 2 2 5 2 3 3 6" xfId="7846"/>
    <cellStyle name="표준 2 2 5 2 3 4" xfId="7847"/>
    <cellStyle name="표준 2 2 5 2 3 4 2" xfId="7848"/>
    <cellStyle name="표준 2 2 5 2 3 4 3" xfId="7849"/>
    <cellStyle name="표준 2 2 5 2 3 4 4" xfId="7850"/>
    <cellStyle name="표준 2 2 5 2 3 5" xfId="7851"/>
    <cellStyle name="표준 2 2 5 2 3 5 2" xfId="7852"/>
    <cellStyle name="표준 2 2 5 2 3 5 3" xfId="7853"/>
    <cellStyle name="표준 2 2 5 2 3 5 4" xfId="7854"/>
    <cellStyle name="표준 2 2 5 2 3 6" xfId="7855"/>
    <cellStyle name="표준 2 2 5 2 3 7" xfId="7856"/>
    <cellStyle name="표준 2 2 5 2 3 8" xfId="7857"/>
    <cellStyle name="표준 2 2 5 2 4" xfId="7858"/>
    <cellStyle name="표준 2 2 5 2 4 2" xfId="7859"/>
    <cellStyle name="표준 2 2 5 2 4 2 2" xfId="7860"/>
    <cellStyle name="표준 2 2 5 2 4 2 3" xfId="7861"/>
    <cellStyle name="표준 2 2 5 2 4 2 4" xfId="7862"/>
    <cellStyle name="표준 2 2 5 2 4 3" xfId="7863"/>
    <cellStyle name="표준 2 2 5 2 4 3 2" xfId="7864"/>
    <cellStyle name="표준 2 2 5 2 4 3 3" xfId="7865"/>
    <cellStyle name="표준 2 2 5 2 4 3 4" xfId="7866"/>
    <cellStyle name="표준 2 2 5 2 4 4" xfId="7867"/>
    <cellStyle name="표준 2 2 5 2 4 5" xfId="7868"/>
    <cellStyle name="표준 2 2 5 2 4 6" xfId="7869"/>
    <cellStyle name="표준 2 2 5 2 5" xfId="7870"/>
    <cellStyle name="표준 2 2 5 2 5 2" xfId="7871"/>
    <cellStyle name="표준 2 2 5 2 5 2 2" xfId="7872"/>
    <cellStyle name="표준 2 2 5 2 5 2 3" xfId="7873"/>
    <cellStyle name="표준 2 2 5 2 5 2 4" xfId="7874"/>
    <cellStyle name="표준 2 2 5 2 5 3" xfId="7875"/>
    <cellStyle name="표준 2 2 5 2 5 3 2" xfId="7876"/>
    <cellStyle name="표준 2 2 5 2 5 3 3" xfId="7877"/>
    <cellStyle name="표준 2 2 5 2 5 3 4" xfId="7878"/>
    <cellStyle name="표준 2 2 5 2 5 4" xfId="7879"/>
    <cellStyle name="표준 2 2 5 2 5 5" xfId="7880"/>
    <cellStyle name="표준 2 2 5 2 5 6" xfId="7881"/>
    <cellStyle name="표준 2 2 5 2 6" xfId="7882"/>
    <cellStyle name="표준 2 2 5 2 6 2" xfId="7883"/>
    <cellStyle name="표준 2 2 5 2 6 3" xfId="7884"/>
    <cellStyle name="표준 2 2 5 2 6 4" xfId="7885"/>
    <cellStyle name="표준 2 2 5 2 7" xfId="7886"/>
    <cellStyle name="표준 2 2 5 2 7 2" xfId="7887"/>
    <cellStyle name="표준 2 2 5 2 7 3" xfId="7888"/>
    <cellStyle name="표준 2 2 5 2 7 4" xfId="7889"/>
    <cellStyle name="표준 2 2 5 2 8" xfId="7890"/>
    <cellStyle name="표준 2 2 5 2 9" xfId="7891"/>
    <cellStyle name="표준 2 2 5 3" xfId="7892"/>
    <cellStyle name="표준 2 2 5 3 2" xfId="7893"/>
    <cellStyle name="표준 2 2 5 3 2 2" xfId="7894"/>
    <cellStyle name="표준 2 2 5 3 2 2 2" xfId="7895"/>
    <cellStyle name="표준 2 2 5 3 2 2 2 2" xfId="7896"/>
    <cellStyle name="표준 2 2 5 3 2 2 2 3" xfId="7897"/>
    <cellStyle name="표준 2 2 5 3 2 2 2 4" xfId="7898"/>
    <cellStyle name="표준 2 2 5 3 2 2 3" xfId="7899"/>
    <cellStyle name="표준 2 2 5 3 2 2 3 2" xfId="7900"/>
    <cellStyle name="표준 2 2 5 3 2 2 3 3" xfId="7901"/>
    <cellStyle name="표준 2 2 5 3 2 2 3 4" xfId="7902"/>
    <cellStyle name="표준 2 2 5 3 2 2 4" xfId="7903"/>
    <cellStyle name="표준 2 2 5 3 2 2 5" xfId="7904"/>
    <cellStyle name="표준 2 2 5 3 2 2 6" xfId="7905"/>
    <cellStyle name="표준 2 2 5 3 2 3" xfId="7906"/>
    <cellStyle name="표준 2 2 5 3 2 3 2" xfId="7907"/>
    <cellStyle name="표준 2 2 5 3 2 3 2 2" xfId="7908"/>
    <cellStyle name="표준 2 2 5 3 2 3 2 3" xfId="7909"/>
    <cellStyle name="표준 2 2 5 3 2 3 2 4" xfId="7910"/>
    <cellStyle name="표준 2 2 5 3 2 3 3" xfId="7911"/>
    <cellStyle name="표준 2 2 5 3 2 3 3 2" xfId="7912"/>
    <cellStyle name="표준 2 2 5 3 2 3 3 3" xfId="7913"/>
    <cellStyle name="표준 2 2 5 3 2 3 3 4" xfId="7914"/>
    <cellStyle name="표준 2 2 5 3 2 3 4" xfId="7915"/>
    <cellStyle name="표준 2 2 5 3 2 3 5" xfId="7916"/>
    <cellStyle name="표준 2 2 5 3 2 3 6" xfId="7917"/>
    <cellStyle name="표준 2 2 5 3 2 4" xfId="7918"/>
    <cellStyle name="표준 2 2 5 3 2 4 2" xfId="7919"/>
    <cellStyle name="표준 2 2 5 3 2 4 3" xfId="7920"/>
    <cellStyle name="표준 2 2 5 3 2 4 4" xfId="7921"/>
    <cellStyle name="표준 2 2 5 3 2 5" xfId="7922"/>
    <cellStyle name="표준 2 2 5 3 2 5 2" xfId="7923"/>
    <cellStyle name="표준 2 2 5 3 2 5 3" xfId="7924"/>
    <cellStyle name="표준 2 2 5 3 2 5 4" xfId="7925"/>
    <cellStyle name="표준 2 2 5 3 2 6" xfId="7926"/>
    <cellStyle name="표준 2 2 5 3 2 7" xfId="7927"/>
    <cellStyle name="표준 2 2 5 3 2 8" xfId="7928"/>
    <cellStyle name="표준 2 2 5 3 3" xfId="7929"/>
    <cellStyle name="표준 2 2 5 3 3 2" xfId="7930"/>
    <cellStyle name="표준 2 2 5 3 3 2 2" xfId="7931"/>
    <cellStyle name="표준 2 2 5 3 3 2 3" xfId="7932"/>
    <cellStyle name="표준 2 2 5 3 3 2 4" xfId="7933"/>
    <cellStyle name="표준 2 2 5 3 3 3" xfId="7934"/>
    <cellStyle name="표준 2 2 5 3 3 3 2" xfId="7935"/>
    <cellStyle name="표준 2 2 5 3 3 3 3" xfId="7936"/>
    <cellStyle name="표준 2 2 5 3 3 3 4" xfId="7937"/>
    <cellStyle name="표준 2 2 5 3 3 4" xfId="7938"/>
    <cellStyle name="표준 2 2 5 3 3 5" xfId="7939"/>
    <cellStyle name="표준 2 2 5 3 3 6" xfId="7940"/>
    <cellStyle name="표준 2 2 5 3 4" xfId="7941"/>
    <cellStyle name="표준 2 2 5 3 4 2" xfId="7942"/>
    <cellStyle name="표준 2 2 5 3 4 2 2" xfId="7943"/>
    <cellStyle name="표준 2 2 5 3 4 2 3" xfId="7944"/>
    <cellStyle name="표준 2 2 5 3 4 2 4" xfId="7945"/>
    <cellStyle name="표준 2 2 5 3 4 3" xfId="7946"/>
    <cellStyle name="표준 2 2 5 3 4 3 2" xfId="7947"/>
    <cellStyle name="표준 2 2 5 3 4 3 3" xfId="7948"/>
    <cellStyle name="표준 2 2 5 3 4 3 4" xfId="7949"/>
    <cellStyle name="표준 2 2 5 3 4 4" xfId="7950"/>
    <cellStyle name="표준 2 2 5 3 4 5" xfId="7951"/>
    <cellStyle name="표준 2 2 5 3 4 6" xfId="7952"/>
    <cellStyle name="표준 2 2 5 3 5" xfId="7953"/>
    <cellStyle name="표준 2 2 5 3 5 2" xfId="7954"/>
    <cellStyle name="표준 2 2 5 3 5 3" xfId="7955"/>
    <cellStyle name="표준 2 2 5 3 5 4" xfId="7956"/>
    <cellStyle name="표준 2 2 5 3 6" xfId="7957"/>
    <cellStyle name="표준 2 2 5 3 6 2" xfId="7958"/>
    <cellStyle name="표준 2 2 5 3 6 3" xfId="7959"/>
    <cellStyle name="표준 2 2 5 3 6 4" xfId="7960"/>
    <cellStyle name="표준 2 2 5 3 7" xfId="7961"/>
    <cellStyle name="표준 2 2 5 3 8" xfId="7962"/>
    <cellStyle name="표준 2 2 5 3 9" xfId="7963"/>
    <cellStyle name="표준 2 2 5 4" xfId="7964"/>
    <cellStyle name="표준 2 2 5 4 2" xfId="7965"/>
    <cellStyle name="표준 2 2 5 4 2 2" xfId="7966"/>
    <cellStyle name="표준 2 2 5 4 2 3" xfId="7967"/>
    <cellStyle name="표준 2 2 5 4 2 4" xfId="7968"/>
    <cellStyle name="표준 2 2 5 4 3" xfId="7969"/>
    <cellStyle name="표준 2 2 5 4 3 2" xfId="7970"/>
    <cellStyle name="표준 2 2 5 4 3 3" xfId="7971"/>
    <cellStyle name="표준 2 2 5 4 3 4" xfId="7972"/>
    <cellStyle name="표준 2 2 5 4 4" xfId="7973"/>
    <cellStyle name="표준 2 2 5 4 5" xfId="7974"/>
    <cellStyle name="표준 2 2 5 4 6" xfId="7975"/>
    <cellStyle name="표준 2 2 5 5" xfId="7976"/>
    <cellStyle name="표준 2 2 5 5 2" xfId="7977"/>
    <cellStyle name="표준 2 2 5 5 2 2" xfId="7978"/>
    <cellStyle name="표준 2 2 5 5 2 3" xfId="7979"/>
    <cellStyle name="표준 2 2 5 5 2 4" xfId="7980"/>
    <cellStyle name="표준 2 2 5 5 3" xfId="7981"/>
    <cellStyle name="표준 2 2 5 5 3 2" xfId="7982"/>
    <cellStyle name="표준 2 2 5 5 3 3" xfId="7983"/>
    <cellStyle name="표준 2 2 5 5 3 4" xfId="7984"/>
    <cellStyle name="표준 2 2 5 5 4" xfId="7985"/>
    <cellStyle name="표준 2 2 5 5 5" xfId="7986"/>
    <cellStyle name="표준 2 2 5 5 6" xfId="7987"/>
    <cellStyle name="표준 2 2 5 6" xfId="7988"/>
    <cellStyle name="표준 2 2 5 6 2" xfId="7989"/>
    <cellStyle name="표준 2 2 5 6 3" xfId="7990"/>
    <cellStyle name="표준 2 2 5 6 4" xfId="7991"/>
    <cellStyle name="표준 2 2 5 7" xfId="7992"/>
    <cellStyle name="표준 2 2 5 7 2" xfId="7993"/>
    <cellStyle name="표준 2 2 5 7 3" xfId="7994"/>
    <cellStyle name="표준 2 2 5 7 4" xfId="7995"/>
    <cellStyle name="표준 2 2 5 8" xfId="7996"/>
    <cellStyle name="표준 2 2 5 9" xfId="7997"/>
    <cellStyle name="표준 2 2 6" xfId="7998"/>
    <cellStyle name="표준 2 2 6 10" xfId="7999"/>
    <cellStyle name="표준 2 2 6 2" xfId="8000"/>
    <cellStyle name="표준 2 2 6 2 10" xfId="8001"/>
    <cellStyle name="표준 2 2 6 2 2" xfId="8002"/>
    <cellStyle name="표준 2 2 6 2 2 2" xfId="8003"/>
    <cellStyle name="표준 2 2 6 2 2 2 2" xfId="8004"/>
    <cellStyle name="표준 2 2 6 2 2 2 2 2" xfId="8005"/>
    <cellStyle name="표준 2 2 6 2 2 2 2 2 2" xfId="8006"/>
    <cellStyle name="표준 2 2 6 2 2 2 2 2 3" xfId="8007"/>
    <cellStyle name="표준 2 2 6 2 2 2 2 2 4" xfId="8008"/>
    <cellStyle name="표준 2 2 6 2 2 2 2 3" xfId="8009"/>
    <cellStyle name="표준 2 2 6 2 2 2 2 3 2" xfId="8010"/>
    <cellStyle name="표준 2 2 6 2 2 2 2 3 3" xfId="8011"/>
    <cellStyle name="표준 2 2 6 2 2 2 2 3 4" xfId="8012"/>
    <cellStyle name="표준 2 2 6 2 2 2 2 4" xfId="8013"/>
    <cellStyle name="표준 2 2 6 2 2 2 2 5" xfId="8014"/>
    <cellStyle name="표준 2 2 6 2 2 2 2 6" xfId="8015"/>
    <cellStyle name="표준 2 2 6 2 2 2 3" xfId="8016"/>
    <cellStyle name="표준 2 2 6 2 2 2 3 2" xfId="8017"/>
    <cellStyle name="표준 2 2 6 2 2 2 3 2 2" xfId="8018"/>
    <cellStyle name="표준 2 2 6 2 2 2 3 2 3" xfId="8019"/>
    <cellStyle name="표준 2 2 6 2 2 2 3 2 4" xfId="8020"/>
    <cellStyle name="표준 2 2 6 2 2 2 3 3" xfId="8021"/>
    <cellStyle name="표준 2 2 6 2 2 2 3 3 2" xfId="8022"/>
    <cellStyle name="표준 2 2 6 2 2 2 3 3 3" xfId="8023"/>
    <cellStyle name="표준 2 2 6 2 2 2 3 3 4" xfId="8024"/>
    <cellStyle name="표준 2 2 6 2 2 2 3 4" xfId="8025"/>
    <cellStyle name="표준 2 2 6 2 2 2 3 5" xfId="8026"/>
    <cellStyle name="표준 2 2 6 2 2 2 3 6" xfId="8027"/>
    <cellStyle name="표준 2 2 6 2 2 2 4" xfId="8028"/>
    <cellStyle name="표준 2 2 6 2 2 2 4 2" xfId="8029"/>
    <cellStyle name="표준 2 2 6 2 2 2 4 3" xfId="8030"/>
    <cellStyle name="표준 2 2 6 2 2 2 4 4" xfId="8031"/>
    <cellStyle name="표준 2 2 6 2 2 2 5" xfId="8032"/>
    <cellStyle name="표준 2 2 6 2 2 2 5 2" xfId="8033"/>
    <cellStyle name="표준 2 2 6 2 2 2 5 3" xfId="8034"/>
    <cellStyle name="표준 2 2 6 2 2 2 5 4" xfId="8035"/>
    <cellStyle name="표준 2 2 6 2 2 2 6" xfId="8036"/>
    <cellStyle name="표준 2 2 6 2 2 2 7" xfId="8037"/>
    <cellStyle name="표준 2 2 6 2 2 2 8" xfId="8038"/>
    <cellStyle name="표준 2 2 6 2 2 3" xfId="8039"/>
    <cellStyle name="표준 2 2 6 2 2 3 2" xfId="8040"/>
    <cellStyle name="표준 2 2 6 2 2 3 2 2" xfId="8041"/>
    <cellStyle name="표준 2 2 6 2 2 3 2 3" xfId="8042"/>
    <cellStyle name="표준 2 2 6 2 2 3 2 4" xfId="8043"/>
    <cellStyle name="표준 2 2 6 2 2 3 3" xfId="8044"/>
    <cellStyle name="표준 2 2 6 2 2 3 3 2" xfId="8045"/>
    <cellStyle name="표준 2 2 6 2 2 3 3 3" xfId="8046"/>
    <cellStyle name="표준 2 2 6 2 2 3 3 4" xfId="8047"/>
    <cellStyle name="표준 2 2 6 2 2 3 4" xfId="8048"/>
    <cellStyle name="표준 2 2 6 2 2 3 5" xfId="8049"/>
    <cellStyle name="표준 2 2 6 2 2 3 6" xfId="8050"/>
    <cellStyle name="표준 2 2 6 2 2 4" xfId="8051"/>
    <cellStyle name="표준 2 2 6 2 2 4 2" xfId="8052"/>
    <cellStyle name="표준 2 2 6 2 2 4 2 2" xfId="8053"/>
    <cellStyle name="표준 2 2 6 2 2 4 2 3" xfId="8054"/>
    <cellStyle name="표준 2 2 6 2 2 4 2 4" xfId="8055"/>
    <cellStyle name="표준 2 2 6 2 2 4 3" xfId="8056"/>
    <cellStyle name="표준 2 2 6 2 2 4 3 2" xfId="8057"/>
    <cellStyle name="표준 2 2 6 2 2 4 3 3" xfId="8058"/>
    <cellStyle name="표준 2 2 6 2 2 4 3 4" xfId="8059"/>
    <cellStyle name="표준 2 2 6 2 2 4 4" xfId="8060"/>
    <cellStyle name="표준 2 2 6 2 2 4 5" xfId="8061"/>
    <cellStyle name="표준 2 2 6 2 2 4 6" xfId="8062"/>
    <cellStyle name="표준 2 2 6 2 2 5" xfId="8063"/>
    <cellStyle name="표준 2 2 6 2 2 5 2" xfId="8064"/>
    <cellStyle name="표준 2 2 6 2 2 5 3" xfId="8065"/>
    <cellStyle name="표준 2 2 6 2 2 5 4" xfId="8066"/>
    <cellStyle name="표준 2 2 6 2 2 6" xfId="8067"/>
    <cellStyle name="표준 2 2 6 2 2 6 2" xfId="8068"/>
    <cellStyle name="표준 2 2 6 2 2 6 3" xfId="8069"/>
    <cellStyle name="표준 2 2 6 2 2 6 4" xfId="8070"/>
    <cellStyle name="표준 2 2 6 2 2 7" xfId="8071"/>
    <cellStyle name="표준 2 2 6 2 2 8" xfId="8072"/>
    <cellStyle name="표준 2 2 6 2 2 9" xfId="8073"/>
    <cellStyle name="표준 2 2 6 2 3" xfId="8074"/>
    <cellStyle name="표준 2 2 6 2 3 2" xfId="8075"/>
    <cellStyle name="표준 2 2 6 2 3 2 2" xfId="8076"/>
    <cellStyle name="표준 2 2 6 2 3 2 2 2" xfId="8077"/>
    <cellStyle name="표준 2 2 6 2 3 2 2 3" xfId="8078"/>
    <cellStyle name="표준 2 2 6 2 3 2 2 4" xfId="8079"/>
    <cellStyle name="표준 2 2 6 2 3 2 3" xfId="8080"/>
    <cellStyle name="표준 2 2 6 2 3 2 3 2" xfId="8081"/>
    <cellStyle name="표준 2 2 6 2 3 2 3 3" xfId="8082"/>
    <cellStyle name="표준 2 2 6 2 3 2 3 4" xfId="8083"/>
    <cellStyle name="표준 2 2 6 2 3 2 4" xfId="8084"/>
    <cellStyle name="표준 2 2 6 2 3 2 5" xfId="8085"/>
    <cellStyle name="표준 2 2 6 2 3 2 6" xfId="8086"/>
    <cellStyle name="표준 2 2 6 2 3 3" xfId="8087"/>
    <cellStyle name="표준 2 2 6 2 3 3 2" xfId="8088"/>
    <cellStyle name="표준 2 2 6 2 3 3 2 2" xfId="8089"/>
    <cellStyle name="표준 2 2 6 2 3 3 2 3" xfId="8090"/>
    <cellStyle name="표준 2 2 6 2 3 3 2 4" xfId="8091"/>
    <cellStyle name="표준 2 2 6 2 3 3 3" xfId="8092"/>
    <cellStyle name="표준 2 2 6 2 3 3 3 2" xfId="8093"/>
    <cellStyle name="표준 2 2 6 2 3 3 3 3" xfId="8094"/>
    <cellStyle name="표준 2 2 6 2 3 3 3 4" xfId="8095"/>
    <cellStyle name="표준 2 2 6 2 3 3 4" xfId="8096"/>
    <cellStyle name="표준 2 2 6 2 3 3 5" xfId="8097"/>
    <cellStyle name="표준 2 2 6 2 3 3 6" xfId="8098"/>
    <cellStyle name="표준 2 2 6 2 3 4" xfId="8099"/>
    <cellStyle name="표준 2 2 6 2 3 4 2" xfId="8100"/>
    <cellStyle name="표준 2 2 6 2 3 4 3" xfId="8101"/>
    <cellStyle name="표준 2 2 6 2 3 4 4" xfId="8102"/>
    <cellStyle name="표준 2 2 6 2 3 5" xfId="8103"/>
    <cellStyle name="표준 2 2 6 2 3 5 2" xfId="8104"/>
    <cellStyle name="표준 2 2 6 2 3 5 3" xfId="8105"/>
    <cellStyle name="표준 2 2 6 2 3 5 4" xfId="8106"/>
    <cellStyle name="표준 2 2 6 2 3 6" xfId="8107"/>
    <cellStyle name="표준 2 2 6 2 3 7" xfId="8108"/>
    <cellStyle name="표준 2 2 6 2 3 8" xfId="8109"/>
    <cellStyle name="표준 2 2 6 2 4" xfId="8110"/>
    <cellStyle name="표준 2 2 6 2 4 2" xfId="8111"/>
    <cellStyle name="표준 2 2 6 2 4 2 2" xfId="8112"/>
    <cellStyle name="표준 2 2 6 2 4 2 3" xfId="8113"/>
    <cellStyle name="표준 2 2 6 2 4 2 4" xfId="8114"/>
    <cellStyle name="표준 2 2 6 2 4 3" xfId="8115"/>
    <cellStyle name="표준 2 2 6 2 4 3 2" xfId="8116"/>
    <cellStyle name="표준 2 2 6 2 4 3 3" xfId="8117"/>
    <cellStyle name="표준 2 2 6 2 4 3 4" xfId="8118"/>
    <cellStyle name="표준 2 2 6 2 4 4" xfId="8119"/>
    <cellStyle name="표준 2 2 6 2 4 5" xfId="8120"/>
    <cellStyle name="표준 2 2 6 2 4 6" xfId="8121"/>
    <cellStyle name="표준 2 2 6 2 5" xfId="8122"/>
    <cellStyle name="표준 2 2 6 2 5 2" xfId="8123"/>
    <cellStyle name="표준 2 2 6 2 5 2 2" xfId="8124"/>
    <cellStyle name="표준 2 2 6 2 5 2 3" xfId="8125"/>
    <cellStyle name="표준 2 2 6 2 5 2 4" xfId="8126"/>
    <cellStyle name="표준 2 2 6 2 5 3" xfId="8127"/>
    <cellStyle name="표준 2 2 6 2 5 3 2" xfId="8128"/>
    <cellStyle name="표준 2 2 6 2 5 3 3" xfId="8129"/>
    <cellStyle name="표준 2 2 6 2 5 3 4" xfId="8130"/>
    <cellStyle name="표준 2 2 6 2 5 4" xfId="8131"/>
    <cellStyle name="표준 2 2 6 2 5 5" xfId="8132"/>
    <cellStyle name="표준 2 2 6 2 5 6" xfId="8133"/>
    <cellStyle name="표준 2 2 6 2 6" xfId="8134"/>
    <cellStyle name="표준 2 2 6 2 6 2" xfId="8135"/>
    <cellStyle name="표준 2 2 6 2 6 3" xfId="8136"/>
    <cellStyle name="표준 2 2 6 2 6 4" xfId="8137"/>
    <cellStyle name="표준 2 2 6 2 7" xfId="8138"/>
    <cellStyle name="표준 2 2 6 2 7 2" xfId="8139"/>
    <cellStyle name="표준 2 2 6 2 7 3" xfId="8140"/>
    <cellStyle name="표준 2 2 6 2 7 4" xfId="8141"/>
    <cellStyle name="표준 2 2 6 2 8" xfId="8142"/>
    <cellStyle name="표준 2 2 6 2 9" xfId="8143"/>
    <cellStyle name="표준 2 2 6 3" xfId="8144"/>
    <cellStyle name="표준 2 2 6 3 2" xfId="8145"/>
    <cellStyle name="표준 2 2 6 3 2 2" xfId="8146"/>
    <cellStyle name="표준 2 2 6 3 2 2 2" xfId="8147"/>
    <cellStyle name="표준 2 2 6 3 2 2 2 2" xfId="8148"/>
    <cellStyle name="표준 2 2 6 3 2 2 2 3" xfId="8149"/>
    <cellStyle name="표준 2 2 6 3 2 2 2 4" xfId="8150"/>
    <cellStyle name="표준 2 2 6 3 2 2 3" xfId="8151"/>
    <cellStyle name="표준 2 2 6 3 2 2 3 2" xfId="8152"/>
    <cellStyle name="표준 2 2 6 3 2 2 3 3" xfId="8153"/>
    <cellStyle name="표준 2 2 6 3 2 2 3 4" xfId="8154"/>
    <cellStyle name="표준 2 2 6 3 2 2 4" xfId="8155"/>
    <cellStyle name="표준 2 2 6 3 2 2 5" xfId="8156"/>
    <cellStyle name="표준 2 2 6 3 2 2 6" xfId="8157"/>
    <cellStyle name="표준 2 2 6 3 2 3" xfId="8158"/>
    <cellStyle name="표준 2 2 6 3 2 3 2" xfId="8159"/>
    <cellStyle name="표준 2 2 6 3 2 3 2 2" xfId="8160"/>
    <cellStyle name="표준 2 2 6 3 2 3 2 3" xfId="8161"/>
    <cellStyle name="표준 2 2 6 3 2 3 2 4" xfId="8162"/>
    <cellStyle name="표준 2 2 6 3 2 3 3" xfId="8163"/>
    <cellStyle name="표준 2 2 6 3 2 3 3 2" xfId="8164"/>
    <cellStyle name="표준 2 2 6 3 2 3 3 3" xfId="8165"/>
    <cellStyle name="표준 2 2 6 3 2 3 3 4" xfId="8166"/>
    <cellStyle name="표준 2 2 6 3 2 3 4" xfId="8167"/>
    <cellStyle name="표준 2 2 6 3 2 3 5" xfId="8168"/>
    <cellStyle name="표준 2 2 6 3 2 3 6" xfId="8169"/>
    <cellStyle name="표준 2 2 6 3 2 4" xfId="8170"/>
    <cellStyle name="표준 2 2 6 3 2 4 2" xfId="8171"/>
    <cellStyle name="표준 2 2 6 3 2 4 3" xfId="8172"/>
    <cellStyle name="표준 2 2 6 3 2 4 4" xfId="8173"/>
    <cellStyle name="표준 2 2 6 3 2 5" xfId="8174"/>
    <cellStyle name="표준 2 2 6 3 2 5 2" xfId="8175"/>
    <cellStyle name="표준 2 2 6 3 2 5 3" xfId="8176"/>
    <cellStyle name="표준 2 2 6 3 2 5 4" xfId="8177"/>
    <cellStyle name="표준 2 2 6 3 2 6" xfId="8178"/>
    <cellStyle name="표준 2 2 6 3 2 7" xfId="8179"/>
    <cellStyle name="표준 2 2 6 3 2 8" xfId="8180"/>
    <cellStyle name="표준 2 2 6 3 3" xfId="8181"/>
    <cellStyle name="표준 2 2 6 3 3 2" xfId="8182"/>
    <cellStyle name="표준 2 2 6 3 3 2 2" xfId="8183"/>
    <cellStyle name="표준 2 2 6 3 3 2 3" xfId="8184"/>
    <cellStyle name="표준 2 2 6 3 3 2 4" xfId="8185"/>
    <cellStyle name="표준 2 2 6 3 3 3" xfId="8186"/>
    <cellStyle name="표준 2 2 6 3 3 3 2" xfId="8187"/>
    <cellStyle name="표준 2 2 6 3 3 3 3" xfId="8188"/>
    <cellStyle name="표준 2 2 6 3 3 3 4" xfId="8189"/>
    <cellStyle name="표준 2 2 6 3 3 4" xfId="8190"/>
    <cellStyle name="표준 2 2 6 3 3 5" xfId="8191"/>
    <cellStyle name="표준 2 2 6 3 3 6" xfId="8192"/>
    <cellStyle name="표준 2 2 6 3 4" xfId="8193"/>
    <cellStyle name="표준 2 2 6 3 4 2" xfId="8194"/>
    <cellStyle name="표준 2 2 6 3 4 2 2" xfId="8195"/>
    <cellStyle name="표준 2 2 6 3 4 2 3" xfId="8196"/>
    <cellStyle name="표준 2 2 6 3 4 2 4" xfId="8197"/>
    <cellStyle name="표준 2 2 6 3 4 3" xfId="8198"/>
    <cellStyle name="표준 2 2 6 3 4 3 2" xfId="8199"/>
    <cellStyle name="표준 2 2 6 3 4 3 3" xfId="8200"/>
    <cellStyle name="표준 2 2 6 3 4 3 4" xfId="8201"/>
    <cellStyle name="표준 2 2 6 3 4 4" xfId="8202"/>
    <cellStyle name="표준 2 2 6 3 4 5" xfId="8203"/>
    <cellStyle name="표준 2 2 6 3 4 6" xfId="8204"/>
    <cellStyle name="표준 2 2 6 3 5" xfId="8205"/>
    <cellStyle name="표준 2 2 6 3 5 2" xfId="8206"/>
    <cellStyle name="표준 2 2 6 3 5 3" xfId="8207"/>
    <cellStyle name="표준 2 2 6 3 5 4" xfId="8208"/>
    <cellStyle name="표준 2 2 6 3 6" xfId="8209"/>
    <cellStyle name="표준 2 2 6 3 6 2" xfId="8210"/>
    <cellStyle name="표준 2 2 6 3 6 3" xfId="8211"/>
    <cellStyle name="표준 2 2 6 3 6 4" xfId="8212"/>
    <cellStyle name="표준 2 2 6 3 7" xfId="8213"/>
    <cellStyle name="표준 2 2 6 3 8" xfId="8214"/>
    <cellStyle name="표준 2 2 6 3 9" xfId="8215"/>
    <cellStyle name="표준 2 2 6 4" xfId="8216"/>
    <cellStyle name="표준 2 2 6 4 2" xfId="8217"/>
    <cellStyle name="표준 2 2 6 4 2 2" xfId="8218"/>
    <cellStyle name="표준 2 2 6 4 2 3" xfId="8219"/>
    <cellStyle name="표준 2 2 6 4 2 4" xfId="8220"/>
    <cellStyle name="표준 2 2 6 4 3" xfId="8221"/>
    <cellStyle name="표준 2 2 6 4 3 2" xfId="8222"/>
    <cellStyle name="표준 2 2 6 4 3 3" xfId="8223"/>
    <cellStyle name="표준 2 2 6 4 3 4" xfId="8224"/>
    <cellStyle name="표준 2 2 6 4 4" xfId="8225"/>
    <cellStyle name="표준 2 2 6 4 5" xfId="8226"/>
    <cellStyle name="표준 2 2 6 4 6" xfId="8227"/>
    <cellStyle name="표준 2 2 6 5" xfId="8228"/>
    <cellStyle name="표준 2 2 6 5 2" xfId="8229"/>
    <cellStyle name="표준 2 2 6 5 2 2" xfId="8230"/>
    <cellStyle name="표준 2 2 6 5 2 3" xfId="8231"/>
    <cellStyle name="표준 2 2 6 5 2 4" xfId="8232"/>
    <cellStyle name="표준 2 2 6 5 3" xfId="8233"/>
    <cellStyle name="표준 2 2 6 5 3 2" xfId="8234"/>
    <cellStyle name="표준 2 2 6 5 3 3" xfId="8235"/>
    <cellStyle name="표준 2 2 6 5 3 4" xfId="8236"/>
    <cellStyle name="표준 2 2 6 5 4" xfId="8237"/>
    <cellStyle name="표준 2 2 6 5 5" xfId="8238"/>
    <cellStyle name="표준 2 2 6 5 6" xfId="8239"/>
    <cellStyle name="표준 2 2 6 6" xfId="8240"/>
    <cellStyle name="표준 2 2 6 6 2" xfId="8241"/>
    <cellStyle name="표준 2 2 6 6 3" xfId="8242"/>
    <cellStyle name="표준 2 2 6 6 4" xfId="8243"/>
    <cellStyle name="표준 2 2 6 7" xfId="8244"/>
    <cellStyle name="표준 2 2 6 7 2" xfId="8245"/>
    <cellStyle name="표준 2 2 6 7 3" xfId="8246"/>
    <cellStyle name="표준 2 2 6 7 4" xfId="8247"/>
    <cellStyle name="표준 2 2 6 8" xfId="8248"/>
    <cellStyle name="표준 2 2 6 9" xfId="8249"/>
    <cellStyle name="표준 2 2 7" xfId="8250"/>
    <cellStyle name="표준 2 2 7 10" xfId="8251"/>
    <cellStyle name="표준 2 2 7 2" xfId="8252"/>
    <cellStyle name="표준 2 2 7 2 10" xfId="8253"/>
    <cellStyle name="표준 2 2 7 2 2" xfId="8254"/>
    <cellStyle name="표준 2 2 7 2 2 2" xfId="8255"/>
    <cellStyle name="표준 2 2 7 2 2 2 2" xfId="8256"/>
    <cellStyle name="표준 2 2 7 2 2 2 2 2" xfId="8257"/>
    <cellStyle name="표준 2 2 7 2 2 2 2 2 2" xfId="8258"/>
    <cellStyle name="표준 2 2 7 2 2 2 2 2 3" xfId="8259"/>
    <cellStyle name="표준 2 2 7 2 2 2 2 2 4" xfId="8260"/>
    <cellStyle name="표준 2 2 7 2 2 2 2 3" xfId="8261"/>
    <cellStyle name="표준 2 2 7 2 2 2 2 3 2" xfId="8262"/>
    <cellStyle name="표준 2 2 7 2 2 2 2 3 3" xfId="8263"/>
    <cellStyle name="표준 2 2 7 2 2 2 2 3 4" xfId="8264"/>
    <cellStyle name="표준 2 2 7 2 2 2 2 4" xfId="8265"/>
    <cellStyle name="표준 2 2 7 2 2 2 2 5" xfId="8266"/>
    <cellStyle name="표준 2 2 7 2 2 2 2 6" xfId="8267"/>
    <cellStyle name="표준 2 2 7 2 2 2 3" xfId="8268"/>
    <cellStyle name="표준 2 2 7 2 2 2 3 2" xfId="8269"/>
    <cellStyle name="표준 2 2 7 2 2 2 3 2 2" xfId="8270"/>
    <cellStyle name="표준 2 2 7 2 2 2 3 2 3" xfId="8271"/>
    <cellStyle name="표준 2 2 7 2 2 2 3 2 4" xfId="8272"/>
    <cellStyle name="표준 2 2 7 2 2 2 3 3" xfId="8273"/>
    <cellStyle name="표준 2 2 7 2 2 2 3 3 2" xfId="8274"/>
    <cellStyle name="표준 2 2 7 2 2 2 3 3 3" xfId="8275"/>
    <cellStyle name="표준 2 2 7 2 2 2 3 3 4" xfId="8276"/>
    <cellStyle name="표준 2 2 7 2 2 2 3 4" xfId="8277"/>
    <cellStyle name="표준 2 2 7 2 2 2 3 5" xfId="8278"/>
    <cellStyle name="표준 2 2 7 2 2 2 3 6" xfId="8279"/>
    <cellStyle name="표준 2 2 7 2 2 2 4" xfId="8280"/>
    <cellStyle name="표준 2 2 7 2 2 2 4 2" xfId="8281"/>
    <cellStyle name="표준 2 2 7 2 2 2 4 3" xfId="8282"/>
    <cellStyle name="표준 2 2 7 2 2 2 4 4" xfId="8283"/>
    <cellStyle name="표준 2 2 7 2 2 2 5" xfId="8284"/>
    <cellStyle name="표준 2 2 7 2 2 2 5 2" xfId="8285"/>
    <cellStyle name="표준 2 2 7 2 2 2 5 3" xfId="8286"/>
    <cellStyle name="표준 2 2 7 2 2 2 5 4" xfId="8287"/>
    <cellStyle name="표준 2 2 7 2 2 2 6" xfId="8288"/>
    <cellStyle name="표준 2 2 7 2 2 2 7" xfId="8289"/>
    <cellStyle name="표준 2 2 7 2 2 2 8" xfId="8290"/>
    <cellStyle name="표준 2 2 7 2 2 3" xfId="8291"/>
    <cellStyle name="표준 2 2 7 2 2 3 2" xfId="8292"/>
    <cellStyle name="표준 2 2 7 2 2 3 2 2" xfId="8293"/>
    <cellStyle name="표준 2 2 7 2 2 3 2 3" xfId="8294"/>
    <cellStyle name="표준 2 2 7 2 2 3 2 4" xfId="8295"/>
    <cellStyle name="표준 2 2 7 2 2 3 3" xfId="8296"/>
    <cellStyle name="표준 2 2 7 2 2 3 3 2" xfId="8297"/>
    <cellStyle name="표준 2 2 7 2 2 3 3 3" xfId="8298"/>
    <cellStyle name="표준 2 2 7 2 2 3 3 4" xfId="8299"/>
    <cellStyle name="표준 2 2 7 2 2 3 4" xfId="8300"/>
    <cellStyle name="표준 2 2 7 2 2 3 5" xfId="8301"/>
    <cellStyle name="표준 2 2 7 2 2 3 6" xfId="8302"/>
    <cellStyle name="표준 2 2 7 2 2 4" xfId="8303"/>
    <cellStyle name="표준 2 2 7 2 2 4 2" xfId="8304"/>
    <cellStyle name="표준 2 2 7 2 2 4 2 2" xfId="8305"/>
    <cellStyle name="표준 2 2 7 2 2 4 2 3" xfId="8306"/>
    <cellStyle name="표준 2 2 7 2 2 4 2 4" xfId="8307"/>
    <cellStyle name="표준 2 2 7 2 2 4 3" xfId="8308"/>
    <cellStyle name="표준 2 2 7 2 2 4 3 2" xfId="8309"/>
    <cellStyle name="표준 2 2 7 2 2 4 3 3" xfId="8310"/>
    <cellStyle name="표준 2 2 7 2 2 4 3 4" xfId="8311"/>
    <cellStyle name="표준 2 2 7 2 2 4 4" xfId="8312"/>
    <cellStyle name="표준 2 2 7 2 2 4 5" xfId="8313"/>
    <cellStyle name="표준 2 2 7 2 2 4 6" xfId="8314"/>
    <cellStyle name="표준 2 2 7 2 2 5" xfId="8315"/>
    <cellStyle name="표준 2 2 7 2 2 5 2" xfId="8316"/>
    <cellStyle name="표준 2 2 7 2 2 5 3" xfId="8317"/>
    <cellStyle name="표준 2 2 7 2 2 5 4" xfId="8318"/>
    <cellStyle name="표준 2 2 7 2 2 6" xfId="8319"/>
    <cellStyle name="표준 2 2 7 2 2 6 2" xfId="8320"/>
    <cellStyle name="표준 2 2 7 2 2 6 3" xfId="8321"/>
    <cellStyle name="표준 2 2 7 2 2 6 4" xfId="8322"/>
    <cellStyle name="표준 2 2 7 2 2 7" xfId="8323"/>
    <cellStyle name="표준 2 2 7 2 2 8" xfId="8324"/>
    <cellStyle name="표준 2 2 7 2 2 9" xfId="8325"/>
    <cellStyle name="표준 2 2 7 2 3" xfId="8326"/>
    <cellStyle name="표준 2 2 7 2 3 2" xfId="8327"/>
    <cellStyle name="표준 2 2 7 2 3 2 2" xfId="8328"/>
    <cellStyle name="표준 2 2 7 2 3 2 2 2" xfId="8329"/>
    <cellStyle name="표준 2 2 7 2 3 2 2 3" xfId="8330"/>
    <cellStyle name="표준 2 2 7 2 3 2 2 4" xfId="8331"/>
    <cellStyle name="표준 2 2 7 2 3 2 3" xfId="8332"/>
    <cellStyle name="표준 2 2 7 2 3 2 3 2" xfId="8333"/>
    <cellStyle name="표준 2 2 7 2 3 2 3 3" xfId="8334"/>
    <cellStyle name="표준 2 2 7 2 3 2 3 4" xfId="8335"/>
    <cellStyle name="표준 2 2 7 2 3 2 4" xfId="8336"/>
    <cellStyle name="표준 2 2 7 2 3 2 5" xfId="8337"/>
    <cellStyle name="표준 2 2 7 2 3 2 6" xfId="8338"/>
    <cellStyle name="표준 2 2 7 2 3 3" xfId="8339"/>
    <cellStyle name="표준 2 2 7 2 3 3 2" xfId="8340"/>
    <cellStyle name="표준 2 2 7 2 3 3 2 2" xfId="8341"/>
    <cellStyle name="표준 2 2 7 2 3 3 2 3" xfId="8342"/>
    <cellStyle name="표준 2 2 7 2 3 3 2 4" xfId="8343"/>
    <cellStyle name="표준 2 2 7 2 3 3 3" xfId="8344"/>
    <cellStyle name="표준 2 2 7 2 3 3 3 2" xfId="8345"/>
    <cellStyle name="표준 2 2 7 2 3 3 3 3" xfId="8346"/>
    <cellStyle name="표준 2 2 7 2 3 3 3 4" xfId="8347"/>
    <cellStyle name="표준 2 2 7 2 3 3 4" xfId="8348"/>
    <cellStyle name="표준 2 2 7 2 3 3 5" xfId="8349"/>
    <cellStyle name="표준 2 2 7 2 3 3 6" xfId="8350"/>
    <cellStyle name="표준 2 2 7 2 3 4" xfId="8351"/>
    <cellStyle name="표준 2 2 7 2 3 4 2" xfId="8352"/>
    <cellStyle name="표준 2 2 7 2 3 4 3" xfId="8353"/>
    <cellStyle name="표준 2 2 7 2 3 4 4" xfId="8354"/>
    <cellStyle name="표준 2 2 7 2 3 5" xfId="8355"/>
    <cellStyle name="표준 2 2 7 2 3 5 2" xfId="8356"/>
    <cellStyle name="표준 2 2 7 2 3 5 3" xfId="8357"/>
    <cellStyle name="표준 2 2 7 2 3 5 4" xfId="8358"/>
    <cellStyle name="표준 2 2 7 2 3 6" xfId="8359"/>
    <cellStyle name="표준 2 2 7 2 3 7" xfId="8360"/>
    <cellStyle name="표준 2 2 7 2 3 8" xfId="8361"/>
    <cellStyle name="표준 2 2 7 2 4" xfId="8362"/>
    <cellStyle name="표준 2 2 7 2 4 2" xfId="8363"/>
    <cellStyle name="표준 2 2 7 2 4 2 2" xfId="8364"/>
    <cellStyle name="표준 2 2 7 2 4 2 3" xfId="8365"/>
    <cellStyle name="표준 2 2 7 2 4 2 4" xfId="8366"/>
    <cellStyle name="표준 2 2 7 2 4 3" xfId="8367"/>
    <cellStyle name="표준 2 2 7 2 4 3 2" xfId="8368"/>
    <cellStyle name="표준 2 2 7 2 4 3 3" xfId="8369"/>
    <cellStyle name="표준 2 2 7 2 4 3 4" xfId="8370"/>
    <cellStyle name="표준 2 2 7 2 4 4" xfId="8371"/>
    <cellStyle name="표준 2 2 7 2 4 5" xfId="8372"/>
    <cellStyle name="표준 2 2 7 2 4 6" xfId="8373"/>
    <cellStyle name="표준 2 2 7 2 5" xfId="8374"/>
    <cellStyle name="표준 2 2 7 2 5 2" xfId="8375"/>
    <cellStyle name="표준 2 2 7 2 5 2 2" xfId="8376"/>
    <cellStyle name="표준 2 2 7 2 5 2 3" xfId="8377"/>
    <cellStyle name="표준 2 2 7 2 5 2 4" xfId="8378"/>
    <cellStyle name="표준 2 2 7 2 5 3" xfId="8379"/>
    <cellStyle name="표준 2 2 7 2 5 3 2" xfId="8380"/>
    <cellStyle name="표준 2 2 7 2 5 3 3" xfId="8381"/>
    <cellStyle name="표준 2 2 7 2 5 3 4" xfId="8382"/>
    <cellStyle name="표준 2 2 7 2 5 4" xfId="8383"/>
    <cellStyle name="표준 2 2 7 2 5 5" xfId="8384"/>
    <cellStyle name="표준 2 2 7 2 5 6" xfId="8385"/>
    <cellStyle name="표준 2 2 7 2 6" xfId="8386"/>
    <cellStyle name="표준 2 2 7 2 6 2" xfId="8387"/>
    <cellStyle name="표준 2 2 7 2 6 3" xfId="8388"/>
    <cellStyle name="표준 2 2 7 2 6 4" xfId="8389"/>
    <cellStyle name="표준 2 2 7 2 7" xfId="8390"/>
    <cellStyle name="표준 2 2 7 2 7 2" xfId="8391"/>
    <cellStyle name="표준 2 2 7 2 7 3" xfId="8392"/>
    <cellStyle name="표준 2 2 7 2 7 4" xfId="8393"/>
    <cellStyle name="표준 2 2 7 2 8" xfId="8394"/>
    <cellStyle name="표준 2 2 7 2 9" xfId="8395"/>
    <cellStyle name="표준 2 2 7 3" xfId="8396"/>
    <cellStyle name="표준 2 2 7 3 2" xfId="8397"/>
    <cellStyle name="표준 2 2 7 3 2 2" xfId="8398"/>
    <cellStyle name="표준 2 2 7 3 2 2 2" xfId="8399"/>
    <cellStyle name="표준 2 2 7 3 2 2 2 2" xfId="8400"/>
    <cellStyle name="표준 2 2 7 3 2 2 2 3" xfId="8401"/>
    <cellStyle name="표준 2 2 7 3 2 2 2 4" xfId="8402"/>
    <cellStyle name="표준 2 2 7 3 2 2 3" xfId="8403"/>
    <cellStyle name="표준 2 2 7 3 2 2 3 2" xfId="8404"/>
    <cellStyle name="표준 2 2 7 3 2 2 3 3" xfId="8405"/>
    <cellStyle name="표준 2 2 7 3 2 2 3 4" xfId="8406"/>
    <cellStyle name="표준 2 2 7 3 2 2 4" xfId="8407"/>
    <cellStyle name="표준 2 2 7 3 2 2 5" xfId="8408"/>
    <cellStyle name="표준 2 2 7 3 2 2 6" xfId="8409"/>
    <cellStyle name="표준 2 2 7 3 2 3" xfId="8410"/>
    <cellStyle name="표준 2 2 7 3 2 3 2" xfId="8411"/>
    <cellStyle name="표준 2 2 7 3 2 3 2 2" xfId="8412"/>
    <cellStyle name="표준 2 2 7 3 2 3 2 3" xfId="8413"/>
    <cellStyle name="표준 2 2 7 3 2 3 2 4" xfId="8414"/>
    <cellStyle name="표준 2 2 7 3 2 3 3" xfId="8415"/>
    <cellStyle name="표준 2 2 7 3 2 3 3 2" xfId="8416"/>
    <cellStyle name="표준 2 2 7 3 2 3 3 3" xfId="8417"/>
    <cellStyle name="표준 2 2 7 3 2 3 3 4" xfId="8418"/>
    <cellStyle name="표준 2 2 7 3 2 3 4" xfId="8419"/>
    <cellStyle name="표준 2 2 7 3 2 3 5" xfId="8420"/>
    <cellStyle name="표준 2 2 7 3 2 3 6" xfId="8421"/>
    <cellStyle name="표준 2 2 7 3 2 4" xfId="8422"/>
    <cellStyle name="표준 2 2 7 3 2 4 2" xfId="8423"/>
    <cellStyle name="표준 2 2 7 3 2 4 3" xfId="8424"/>
    <cellStyle name="표준 2 2 7 3 2 4 4" xfId="8425"/>
    <cellStyle name="표준 2 2 7 3 2 5" xfId="8426"/>
    <cellStyle name="표준 2 2 7 3 2 5 2" xfId="8427"/>
    <cellStyle name="표준 2 2 7 3 2 5 3" xfId="8428"/>
    <cellStyle name="표준 2 2 7 3 2 5 4" xfId="8429"/>
    <cellStyle name="표준 2 2 7 3 2 6" xfId="8430"/>
    <cellStyle name="표준 2 2 7 3 2 7" xfId="8431"/>
    <cellStyle name="표준 2 2 7 3 2 8" xfId="8432"/>
    <cellStyle name="표준 2 2 7 3 3" xfId="8433"/>
    <cellStyle name="표준 2 2 7 3 3 2" xfId="8434"/>
    <cellStyle name="표준 2 2 7 3 3 2 2" xfId="8435"/>
    <cellStyle name="표준 2 2 7 3 3 2 3" xfId="8436"/>
    <cellStyle name="표준 2 2 7 3 3 2 4" xfId="8437"/>
    <cellStyle name="표준 2 2 7 3 3 3" xfId="8438"/>
    <cellStyle name="표준 2 2 7 3 3 3 2" xfId="8439"/>
    <cellStyle name="표준 2 2 7 3 3 3 3" xfId="8440"/>
    <cellStyle name="표준 2 2 7 3 3 3 4" xfId="8441"/>
    <cellStyle name="표준 2 2 7 3 3 4" xfId="8442"/>
    <cellStyle name="표준 2 2 7 3 3 5" xfId="8443"/>
    <cellStyle name="표준 2 2 7 3 3 6" xfId="8444"/>
    <cellStyle name="표준 2 2 7 3 4" xfId="8445"/>
    <cellStyle name="표준 2 2 7 3 4 2" xfId="8446"/>
    <cellStyle name="표준 2 2 7 3 4 2 2" xfId="8447"/>
    <cellStyle name="표준 2 2 7 3 4 2 3" xfId="8448"/>
    <cellStyle name="표준 2 2 7 3 4 2 4" xfId="8449"/>
    <cellStyle name="표준 2 2 7 3 4 3" xfId="8450"/>
    <cellStyle name="표준 2 2 7 3 4 3 2" xfId="8451"/>
    <cellStyle name="표준 2 2 7 3 4 3 3" xfId="8452"/>
    <cellStyle name="표준 2 2 7 3 4 3 4" xfId="8453"/>
    <cellStyle name="표준 2 2 7 3 4 4" xfId="8454"/>
    <cellStyle name="표준 2 2 7 3 4 5" xfId="8455"/>
    <cellStyle name="표준 2 2 7 3 4 6" xfId="8456"/>
    <cellStyle name="표준 2 2 7 3 5" xfId="8457"/>
    <cellStyle name="표준 2 2 7 3 5 2" xfId="8458"/>
    <cellStyle name="표준 2 2 7 3 5 3" xfId="8459"/>
    <cellStyle name="표준 2 2 7 3 5 4" xfId="8460"/>
    <cellStyle name="표준 2 2 7 3 6" xfId="8461"/>
    <cellStyle name="표준 2 2 7 3 6 2" xfId="8462"/>
    <cellStyle name="표준 2 2 7 3 6 3" xfId="8463"/>
    <cellStyle name="표준 2 2 7 3 6 4" xfId="8464"/>
    <cellStyle name="표준 2 2 7 3 7" xfId="8465"/>
    <cellStyle name="표준 2 2 7 3 8" xfId="8466"/>
    <cellStyle name="표준 2 2 7 3 9" xfId="8467"/>
    <cellStyle name="표준 2 2 7 4" xfId="8468"/>
    <cellStyle name="표준 2 2 7 4 2" xfId="8469"/>
    <cellStyle name="표준 2 2 7 4 2 2" xfId="8470"/>
    <cellStyle name="표준 2 2 7 4 2 3" xfId="8471"/>
    <cellStyle name="표준 2 2 7 4 2 4" xfId="8472"/>
    <cellStyle name="표준 2 2 7 4 3" xfId="8473"/>
    <cellStyle name="표준 2 2 7 4 3 2" xfId="8474"/>
    <cellStyle name="표준 2 2 7 4 3 3" xfId="8475"/>
    <cellStyle name="표준 2 2 7 4 3 4" xfId="8476"/>
    <cellStyle name="표준 2 2 7 4 4" xfId="8477"/>
    <cellStyle name="표준 2 2 7 4 5" xfId="8478"/>
    <cellStyle name="표준 2 2 7 4 6" xfId="8479"/>
    <cellStyle name="표준 2 2 7 5" xfId="8480"/>
    <cellStyle name="표준 2 2 7 5 2" xfId="8481"/>
    <cellStyle name="표준 2 2 7 5 2 2" xfId="8482"/>
    <cellStyle name="표준 2 2 7 5 2 3" xfId="8483"/>
    <cellStyle name="표준 2 2 7 5 2 4" xfId="8484"/>
    <cellStyle name="표준 2 2 7 5 3" xfId="8485"/>
    <cellStyle name="표준 2 2 7 5 3 2" xfId="8486"/>
    <cellStyle name="표준 2 2 7 5 3 3" xfId="8487"/>
    <cellStyle name="표준 2 2 7 5 3 4" xfId="8488"/>
    <cellStyle name="표준 2 2 7 5 4" xfId="8489"/>
    <cellStyle name="표준 2 2 7 5 5" xfId="8490"/>
    <cellStyle name="표준 2 2 7 5 6" xfId="8491"/>
    <cellStyle name="표준 2 2 7 6" xfId="8492"/>
    <cellStyle name="표준 2 2 7 6 2" xfId="8493"/>
    <cellStyle name="표준 2 2 7 6 3" xfId="8494"/>
    <cellStyle name="표준 2 2 7 6 4" xfId="8495"/>
    <cellStyle name="표준 2 2 7 7" xfId="8496"/>
    <cellStyle name="표준 2 2 7 7 2" xfId="8497"/>
    <cellStyle name="표준 2 2 7 7 3" xfId="8498"/>
    <cellStyle name="표준 2 2 7 7 4" xfId="8499"/>
    <cellStyle name="표준 2 2 7 8" xfId="8500"/>
    <cellStyle name="표준 2 2 7 9" xfId="8501"/>
    <cellStyle name="표준 2 2 8" xfId="8502"/>
    <cellStyle name="표준 2 2 8 10" xfId="8503"/>
    <cellStyle name="표준 2 2 8 2" xfId="8504"/>
    <cellStyle name="표준 2 2 8 2 10" xfId="8505"/>
    <cellStyle name="표준 2 2 8 2 2" xfId="8506"/>
    <cellStyle name="표준 2 2 8 2 2 2" xfId="8507"/>
    <cellStyle name="표준 2 2 8 2 2 2 2" xfId="8508"/>
    <cellStyle name="표준 2 2 8 2 2 2 2 2" xfId="8509"/>
    <cellStyle name="표준 2 2 8 2 2 2 2 2 2" xfId="8510"/>
    <cellStyle name="표준 2 2 8 2 2 2 2 2 3" xfId="8511"/>
    <cellStyle name="표준 2 2 8 2 2 2 2 2 4" xfId="8512"/>
    <cellStyle name="표준 2 2 8 2 2 2 2 3" xfId="8513"/>
    <cellStyle name="표준 2 2 8 2 2 2 2 3 2" xfId="8514"/>
    <cellStyle name="표준 2 2 8 2 2 2 2 3 3" xfId="8515"/>
    <cellStyle name="표준 2 2 8 2 2 2 2 3 4" xfId="8516"/>
    <cellStyle name="표준 2 2 8 2 2 2 2 4" xfId="8517"/>
    <cellStyle name="표준 2 2 8 2 2 2 2 5" xfId="8518"/>
    <cellStyle name="표준 2 2 8 2 2 2 2 6" xfId="8519"/>
    <cellStyle name="표준 2 2 8 2 2 2 3" xfId="8520"/>
    <cellStyle name="표준 2 2 8 2 2 2 3 2" xfId="8521"/>
    <cellStyle name="표준 2 2 8 2 2 2 3 2 2" xfId="8522"/>
    <cellStyle name="표준 2 2 8 2 2 2 3 2 3" xfId="8523"/>
    <cellStyle name="표준 2 2 8 2 2 2 3 2 4" xfId="8524"/>
    <cellStyle name="표준 2 2 8 2 2 2 3 3" xfId="8525"/>
    <cellStyle name="표준 2 2 8 2 2 2 3 3 2" xfId="8526"/>
    <cellStyle name="표준 2 2 8 2 2 2 3 3 3" xfId="8527"/>
    <cellStyle name="표준 2 2 8 2 2 2 3 3 4" xfId="8528"/>
    <cellStyle name="표준 2 2 8 2 2 2 3 4" xfId="8529"/>
    <cellStyle name="표준 2 2 8 2 2 2 3 5" xfId="8530"/>
    <cellStyle name="표준 2 2 8 2 2 2 3 6" xfId="8531"/>
    <cellStyle name="표준 2 2 8 2 2 2 4" xfId="8532"/>
    <cellStyle name="표준 2 2 8 2 2 2 4 2" xfId="8533"/>
    <cellStyle name="표준 2 2 8 2 2 2 4 3" xfId="8534"/>
    <cellStyle name="표준 2 2 8 2 2 2 4 4" xfId="8535"/>
    <cellStyle name="표준 2 2 8 2 2 2 5" xfId="8536"/>
    <cellStyle name="표준 2 2 8 2 2 2 5 2" xfId="8537"/>
    <cellStyle name="표준 2 2 8 2 2 2 5 3" xfId="8538"/>
    <cellStyle name="표준 2 2 8 2 2 2 5 4" xfId="8539"/>
    <cellStyle name="표준 2 2 8 2 2 2 6" xfId="8540"/>
    <cellStyle name="표준 2 2 8 2 2 2 7" xfId="8541"/>
    <cellStyle name="표준 2 2 8 2 2 2 8" xfId="8542"/>
    <cellStyle name="표준 2 2 8 2 2 3" xfId="8543"/>
    <cellStyle name="표준 2 2 8 2 2 3 2" xfId="8544"/>
    <cellStyle name="표준 2 2 8 2 2 3 2 2" xfId="8545"/>
    <cellStyle name="표준 2 2 8 2 2 3 2 3" xfId="8546"/>
    <cellStyle name="표준 2 2 8 2 2 3 2 4" xfId="8547"/>
    <cellStyle name="표준 2 2 8 2 2 3 3" xfId="8548"/>
    <cellStyle name="표준 2 2 8 2 2 3 3 2" xfId="8549"/>
    <cellStyle name="표준 2 2 8 2 2 3 3 3" xfId="8550"/>
    <cellStyle name="표준 2 2 8 2 2 3 3 4" xfId="8551"/>
    <cellStyle name="표준 2 2 8 2 2 3 4" xfId="8552"/>
    <cellStyle name="표준 2 2 8 2 2 3 5" xfId="8553"/>
    <cellStyle name="표준 2 2 8 2 2 3 6" xfId="8554"/>
    <cellStyle name="표준 2 2 8 2 2 4" xfId="8555"/>
    <cellStyle name="표준 2 2 8 2 2 4 2" xfId="8556"/>
    <cellStyle name="표준 2 2 8 2 2 4 2 2" xfId="8557"/>
    <cellStyle name="표준 2 2 8 2 2 4 2 3" xfId="8558"/>
    <cellStyle name="표준 2 2 8 2 2 4 2 4" xfId="8559"/>
    <cellStyle name="표준 2 2 8 2 2 4 3" xfId="8560"/>
    <cellStyle name="표준 2 2 8 2 2 4 3 2" xfId="8561"/>
    <cellStyle name="표준 2 2 8 2 2 4 3 3" xfId="8562"/>
    <cellStyle name="표준 2 2 8 2 2 4 3 4" xfId="8563"/>
    <cellStyle name="표준 2 2 8 2 2 4 4" xfId="8564"/>
    <cellStyle name="표준 2 2 8 2 2 4 5" xfId="8565"/>
    <cellStyle name="표준 2 2 8 2 2 4 6" xfId="8566"/>
    <cellStyle name="표준 2 2 8 2 2 5" xfId="8567"/>
    <cellStyle name="표준 2 2 8 2 2 5 2" xfId="8568"/>
    <cellStyle name="표준 2 2 8 2 2 5 3" xfId="8569"/>
    <cellStyle name="표준 2 2 8 2 2 5 4" xfId="8570"/>
    <cellStyle name="표준 2 2 8 2 2 6" xfId="8571"/>
    <cellStyle name="표준 2 2 8 2 2 6 2" xfId="8572"/>
    <cellStyle name="표준 2 2 8 2 2 6 3" xfId="8573"/>
    <cellStyle name="표준 2 2 8 2 2 6 4" xfId="8574"/>
    <cellStyle name="표준 2 2 8 2 2 7" xfId="8575"/>
    <cellStyle name="표준 2 2 8 2 2 8" xfId="8576"/>
    <cellStyle name="표준 2 2 8 2 2 9" xfId="8577"/>
    <cellStyle name="표준 2 2 8 2 3" xfId="8578"/>
    <cellStyle name="표준 2 2 8 2 3 2" xfId="8579"/>
    <cellStyle name="표준 2 2 8 2 3 2 2" xfId="8580"/>
    <cellStyle name="표준 2 2 8 2 3 2 2 2" xfId="8581"/>
    <cellStyle name="표준 2 2 8 2 3 2 2 3" xfId="8582"/>
    <cellStyle name="표준 2 2 8 2 3 2 2 4" xfId="8583"/>
    <cellStyle name="표준 2 2 8 2 3 2 3" xfId="8584"/>
    <cellStyle name="표준 2 2 8 2 3 2 3 2" xfId="8585"/>
    <cellStyle name="표준 2 2 8 2 3 2 3 3" xfId="8586"/>
    <cellStyle name="표준 2 2 8 2 3 2 3 4" xfId="8587"/>
    <cellStyle name="표준 2 2 8 2 3 2 4" xfId="8588"/>
    <cellStyle name="표준 2 2 8 2 3 2 5" xfId="8589"/>
    <cellStyle name="표준 2 2 8 2 3 2 6" xfId="8590"/>
    <cellStyle name="표준 2 2 8 2 3 3" xfId="8591"/>
    <cellStyle name="표준 2 2 8 2 3 3 2" xfId="8592"/>
    <cellStyle name="표준 2 2 8 2 3 3 2 2" xfId="8593"/>
    <cellStyle name="표준 2 2 8 2 3 3 2 3" xfId="8594"/>
    <cellStyle name="표준 2 2 8 2 3 3 2 4" xfId="8595"/>
    <cellStyle name="표준 2 2 8 2 3 3 3" xfId="8596"/>
    <cellStyle name="표준 2 2 8 2 3 3 3 2" xfId="8597"/>
    <cellStyle name="표준 2 2 8 2 3 3 3 3" xfId="8598"/>
    <cellStyle name="표준 2 2 8 2 3 3 3 4" xfId="8599"/>
    <cellStyle name="표준 2 2 8 2 3 3 4" xfId="8600"/>
    <cellStyle name="표준 2 2 8 2 3 3 5" xfId="8601"/>
    <cellStyle name="표준 2 2 8 2 3 3 6" xfId="8602"/>
    <cellStyle name="표준 2 2 8 2 3 4" xfId="8603"/>
    <cellStyle name="표준 2 2 8 2 3 4 2" xfId="8604"/>
    <cellStyle name="표준 2 2 8 2 3 4 3" xfId="8605"/>
    <cellStyle name="표준 2 2 8 2 3 4 4" xfId="8606"/>
    <cellStyle name="표준 2 2 8 2 3 5" xfId="8607"/>
    <cellStyle name="표준 2 2 8 2 3 5 2" xfId="8608"/>
    <cellStyle name="표준 2 2 8 2 3 5 3" xfId="8609"/>
    <cellStyle name="표준 2 2 8 2 3 5 4" xfId="8610"/>
    <cellStyle name="표준 2 2 8 2 3 6" xfId="8611"/>
    <cellStyle name="표준 2 2 8 2 3 7" xfId="8612"/>
    <cellStyle name="표준 2 2 8 2 3 8" xfId="8613"/>
    <cellStyle name="표준 2 2 8 2 4" xfId="8614"/>
    <cellStyle name="표준 2 2 8 2 4 2" xfId="8615"/>
    <cellStyle name="표준 2 2 8 2 4 2 2" xfId="8616"/>
    <cellStyle name="표준 2 2 8 2 4 2 3" xfId="8617"/>
    <cellStyle name="표준 2 2 8 2 4 2 4" xfId="8618"/>
    <cellStyle name="표준 2 2 8 2 4 3" xfId="8619"/>
    <cellStyle name="표준 2 2 8 2 4 3 2" xfId="8620"/>
    <cellStyle name="표준 2 2 8 2 4 3 3" xfId="8621"/>
    <cellStyle name="표준 2 2 8 2 4 3 4" xfId="8622"/>
    <cellStyle name="표준 2 2 8 2 4 4" xfId="8623"/>
    <cellStyle name="표준 2 2 8 2 4 5" xfId="8624"/>
    <cellStyle name="표준 2 2 8 2 4 6" xfId="8625"/>
    <cellStyle name="표준 2 2 8 2 5" xfId="8626"/>
    <cellStyle name="표준 2 2 8 2 5 2" xfId="8627"/>
    <cellStyle name="표준 2 2 8 2 5 2 2" xfId="8628"/>
    <cellStyle name="표준 2 2 8 2 5 2 3" xfId="8629"/>
    <cellStyle name="표준 2 2 8 2 5 2 4" xfId="8630"/>
    <cellStyle name="표준 2 2 8 2 5 3" xfId="8631"/>
    <cellStyle name="표준 2 2 8 2 5 3 2" xfId="8632"/>
    <cellStyle name="표준 2 2 8 2 5 3 3" xfId="8633"/>
    <cellStyle name="표준 2 2 8 2 5 3 4" xfId="8634"/>
    <cellStyle name="표준 2 2 8 2 5 4" xfId="8635"/>
    <cellStyle name="표준 2 2 8 2 5 5" xfId="8636"/>
    <cellStyle name="표준 2 2 8 2 5 6" xfId="8637"/>
    <cellStyle name="표준 2 2 8 2 6" xfId="8638"/>
    <cellStyle name="표준 2 2 8 2 6 2" xfId="8639"/>
    <cellStyle name="표준 2 2 8 2 6 3" xfId="8640"/>
    <cellStyle name="표준 2 2 8 2 6 4" xfId="8641"/>
    <cellStyle name="표준 2 2 8 2 7" xfId="8642"/>
    <cellStyle name="표준 2 2 8 2 7 2" xfId="8643"/>
    <cellStyle name="표준 2 2 8 2 7 3" xfId="8644"/>
    <cellStyle name="표준 2 2 8 2 7 4" xfId="8645"/>
    <cellStyle name="표준 2 2 8 2 8" xfId="8646"/>
    <cellStyle name="표준 2 2 8 2 9" xfId="8647"/>
    <cellStyle name="표준 2 2 8 3" xfId="8648"/>
    <cellStyle name="표준 2 2 8 3 2" xfId="8649"/>
    <cellStyle name="표준 2 2 8 3 2 2" xfId="8650"/>
    <cellStyle name="표준 2 2 8 3 2 2 2" xfId="8651"/>
    <cellStyle name="표준 2 2 8 3 2 2 2 2" xfId="8652"/>
    <cellStyle name="표준 2 2 8 3 2 2 2 3" xfId="8653"/>
    <cellStyle name="표준 2 2 8 3 2 2 2 4" xfId="8654"/>
    <cellStyle name="표준 2 2 8 3 2 2 3" xfId="8655"/>
    <cellStyle name="표준 2 2 8 3 2 2 3 2" xfId="8656"/>
    <cellStyle name="표준 2 2 8 3 2 2 3 3" xfId="8657"/>
    <cellStyle name="표준 2 2 8 3 2 2 3 4" xfId="8658"/>
    <cellStyle name="표준 2 2 8 3 2 2 4" xfId="8659"/>
    <cellStyle name="표준 2 2 8 3 2 2 5" xfId="8660"/>
    <cellStyle name="표준 2 2 8 3 2 2 6" xfId="8661"/>
    <cellStyle name="표준 2 2 8 3 2 3" xfId="8662"/>
    <cellStyle name="표준 2 2 8 3 2 3 2" xfId="8663"/>
    <cellStyle name="표준 2 2 8 3 2 3 2 2" xfId="8664"/>
    <cellStyle name="표준 2 2 8 3 2 3 2 3" xfId="8665"/>
    <cellStyle name="표준 2 2 8 3 2 3 2 4" xfId="8666"/>
    <cellStyle name="표준 2 2 8 3 2 3 3" xfId="8667"/>
    <cellStyle name="표준 2 2 8 3 2 3 3 2" xfId="8668"/>
    <cellStyle name="표준 2 2 8 3 2 3 3 3" xfId="8669"/>
    <cellStyle name="표준 2 2 8 3 2 3 3 4" xfId="8670"/>
    <cellStyle name="표준 2 2 8 3 2 3 4" xfId="8671"/>
    <cellStyle name="표준 2 2 8 3 2 3 5" xfId="8672"/>
    <cellStyle name="표준 2 2 8 3 2 3 6" xfId="8673"/>
    <cellStyle name="표준 2 2 8 3 2 4" xfId="8674"/>
    <cellStyle name="표준 2 2 8 3 2 4 2" xfId="8675"/>
    <cellStyle name="표준 2 2 8 3 2 4 3" xfId="8676"/>
    <cellStyle name="표준 2 2 8 3 2 4 4" xfId="8677"/>
    <cellStyle name="표준 2 2 8 3 2 5" xfId="8678"/>
    <cellStyle name="표준 2 2 8 3 2 5 2" xfId="8679"/>
    <cellStyle name="표준 2 2 8 3 2 5 3" xfId="8680"/>
    <cellStyle name="표준 2 2 8 3 2 5 4" xfId="8681"/>
    <cellStyle name="표준 2 2 8 3 2 6" xfId="8682"/>
    <cellStyle name="표준 2 2 8 3 2 7" xfId="8683"/>
    <cellStyle name="표준 2 2 8 3 2 8" xfId="8684"/>
    <cellStyle name="표준 2 2 8 3 3" xfId="8685"/>
    <cellStyle name="표준 2 2 8 3 3 2" xfId="8686"/>
    <cellStyle name="표준 2 2 8 3 3 2 2" xfId="8687"/>
    <cellStyle name="표준 2 2 8 3 3 2 3" xfId="8688"/>
    <cellStyle name="표준 2 2 8 3 3 2 4" xfId="8689"/>
    <cellStyle name="표준 2 2 8 3 3 3" xfId="8690"/>
    <cellStyle name="표준 2 2 8 3 3 3 2" xfId="8691"/>
    <cellStyle name="표준 2 2 8 3 3 3 3" xfId="8692"/>
    <cellStyle name="표준 2 2 8 3 3 3 4" xfId="8693"/>
    <cellStyle name="표준 2 2 8 3 3 4" xfId="8694"/>
    <cellStyle name="표준 2 2 8 3 3 5" xfId="8695"/>
    <cellStyle name="표준 2 2 8 3 3 6" xfId="8696"/>
    <cellStyle name="표준 2 2 8 3 4" xfId="8697"/>
    <cellStyle name="표준 2 2 8 3 4 2" xfId="8698"/>
    <cellStyle name="표준 2 2 8 3 4 2 2" xfId="8699"/>
    <cellStyle name="표준 2 2 8 3 4 2 3" xfId="8700"/>
    <cellStyle name="표준 2 2 8 3 4 2 4" xfId="8701"/>
    <cellStyle name="표준 2 2 8 3 4 3" xfId="8702"/>
    <cellStyle name="표준 2 2 8 3 4 3 2" xfId="8703"/>
    <cellStyle name="표준 2 2 8 3 4 3 3" xfId="8704"/>
    <cellStyle name="표준 2 2 8 3 4 3 4" xfId="8705"/>
    <cellStyle name="표준 2 2 8 3 4 4" xfId="8706"/>
    <cellStyle name="표준 2 2 8 3 4 5" xfId="8707"/>
    <cellStyle name="표준 2 2 8 3 4 6" xfId="8708"/>
    <cellStyle name="표준 2 2 8 3 5" xfId="8709"/>
    <cellStyle name="표준 2 2 8 3 5 2" xfId="8710"/>
    <cellStyle name="표준 2 2 8 3 5 3" xfId="8711"/>
    <cellStyle name="표준 2 2 8 3 5 4" xfId="8712"/>
    <cellStyle name="표준 2 2 8 3 6" xfId="8713"/>
    <cellStyle name="표준 2 2 8 3 6 2" xfId="8714"/>
    <cellStyle name="표준 2 2 8 3 6 3" xfId="8715"/>
    <cellStyle name="표준 2 2 8 3 6 4" xfId="8716"/>
    <cellStyle name="표준 2 2 8 3 7" xfId="8717"/>
    <cellStyle name="표준 2 2 8 3 8" xfId="8718"/>
    <cellStyle name="표준 2 2 8 3 9" xfId="8719"/>
    <cellStyle name="표준 2 2 8 4" xfId="8720"/>
    <cellStyle name="표준 2 2 8 4 2" xfId="8721"/>
    <cellStyle name="표준 2 2 8 4 2 2" xfId="8722"/>
    <cellStyle name="표준 2 2 8 4 2 3" xfId="8723"/>
    <cellStyle name="표준 2 2 8 4 2 4" xfId="8724"/>
    <cellStyle name="표준 2 2 8 4 3" xfId="8725"/>
    <cellStyle name="표준 2 2 8 4 3 2" xfId="8726"/>
    <cellStyle name="표준 2 2 8 4 3 3" xfId="8727"/>
    <cellStyle name="표준 2 2 8 4 3 4" xfId="8728"/>
    <cellStyle name="표준 2 2 8 4 4" xfId="8729"/>
    <cellStyle name="표준 2 2 8 4 5" xfId="8730"/>
    <cellStyle name="표준 2 2 8 4 6" xfId="8731"/>
    <cellStyle name="표준 2 2 8 5" xfId="8732"/>
    <cellStyle name="표준 2 2 8 5 2" xfId="8733"/>
    <cellStyle name="표준 2 2 8 5 2 2" xfId="8734"/>
    <cellStyle name="표준 2 2 8 5 2 3" xfId="8735"/>
    <cellStyle name="표준 2 2 8 5 2 4" xfId="8736"/>
    <cellStyle name="표준 2 2 8 5 3" xfId="8737"/>
    <cellStyle name="표준 2 2 8 5 3 2" xfId="8738"/>
    <cellStyle name="표준 2 2 8 5 3 3" xfId="8739"/>
    <cellStyle name="표준 2 2 8 5 3 4" xfId="8740"/>
    <cellStyle name="표준 2 2 8 5 4" xfId="8741"/>
    <cellStyle name="표준 2 2 8 5 5" xfId="8742"/>
    <cellStyle name="표준 2 2 8 5 6" xfId="8743"/>
    <cellStyle name="표준 2 2 8 6" xfId="8744"/>
    <cellStyle name="표준 2 2 8 6 2" xfId="8745"/>
    <cellStyle name="표준 2 2 8 6 3" xfId="8746"/>
    <cellStyle name="표준 2 2 8 6 4" xfId="8747"/>
    <cellStyle name="표준 2 2 8 7" xfId="8748"/>
    <cellStyle name="표준 2 2 8 7 2" xfId="8749"/>
    <cellStyle name="표준 2 2 8 7 3" xfId="8750"/>
    <cellStyle name="표준 2 2 8 7 4" xfId="8751"/>
    <cellStyle name="표준 2 2 8 8" xfId="8752"/>
    <cellStyle name="표준 2 2 8 9" xfId="8753"/>
    <cellStyle name="표준 2 2 9" xfId="8754"/>
    <cellStyle name="표준 2 2 9 10" xfId="8755"/>
    <cellStyle name="표준 2 2 9 2" xfId="8756"/>
    <cellStyle name="표준 2 2 9 2 10" xfId="8757"/>
    <cellStyle name="표준 2 2 9 2 2" xfId="8758"/>
    <cellStyle name="표준 2 2 9 2 2 2" xfId="8759"/>
    <cellStyle name="표준 2 2 9 2 2 2 2" xfId="8760"/>
    <cellStyle name="표준 2 2 9 2 2 2 2 2" xfId="8761"/>
    <cellStyle name="표준 2 2 9 2 2 2 2 2 2" xfId="8762"/>
    <cellStyle name="표준 2 2 9 2 2 2 2 2 3" xfId="8763"/>
    <cellStyle name="표준 2 2 9 2 2 2 2 2 4" xfId="8764"/>
    <cellStyle name="표준 2 2 9 2 2 2 2 3" xfId="8765"/>
    <cellStyle name="표준 2 2 9 2 2 2 2 3 2" xfId="8766"/>
    <cellStyle name="표준 2 2 9 2 2 2 2 3 3" xfId="8767"/>
    <cellStyle name="표준 2 2 9 2 2 2 2 3 4" xfId="8768"/>
    <cellStyle name="표준 2 2 9 2 2 2 2 4" xfId="8769"/>
    <cellStyle name="표준 2 2 9 2 2 2 2 5" xfId="8770"/>
    <cellStyle name="표준 2 2 9 2 2 2 2 6" xfId="8771"/>
    <cellStyle name="표준 2 2 9 2 2 2 3" xfId="8772"/>
    <cellStyle name="표준 2 2 9 2 2 2 3 2" xfId="8773"/>
    <cellStyle name="표준 2 2 9 2 2 2 3 2 2" xfId="8774"/>
    <cellStyle name="표준 2 2 9 2 2 2 3 2 3" xfId="8775"/>
    <cellStyle name="표준 2 2 9 2 2 2 3 2 4" xfId="8776"/>
    <cellStyle name="표준 2 2 9 2 2 2 3 3" xfId="8777"/>
    <cellStyle name="표준 2 2 9 2 2 2 3 3 2" xfId="8778"/>
    <cellStyle name="표준 2 2 9 2 2 2 3 3 3" xfId="8779"/>
    <cellStyle name="표준 2 2 9 2 2 2 3 3 4" xfId="8780"/>
    <cellStyle name="표준 2 2 9 2 2 2 3 4" xfId="8781"/>
    <cellStyle name="표준 2 2 9 2 2 2 3 5" xfId="8782"/>
    <cellStyle name="표준 2 2 9 2 2 2 3 6" xfId="8783"/>
    <cellStyle name="표준 2 2 9 2 2 2 4" xfId="8784"/>
    <cellStyle name="표준 2 2 9 2 2 2 4 2" xfId="8785"/>
    <cellStyle name="표준 2 2 9 2 2 2 4 3" xfId="8786"/>
    <cellStyle name="표준 2 2 9 2 2 2 4 4" xfId="8787"/>
    <cellStyle name="표준 2 2 9 2 2 2 5" xfId="8788"/>
    <cellStyle name="표준 2 2 9 2 2 2 5 2" xfId="8789"/>
    <cellStyle name="표준 2 2 9 2 2 2 5 3" xfId="8790"/>
    <cellStyle name="표준 2 2 9 2 2 2 5 4" xfId="8791"/>
    <cellStyle name="표준 2 2 9 2 2 2 6" xfId="8792"/>
    <cellStyle name="표준 2 2 9 2 2 2 7" xfId="8793"/>
    <cellStyle name="표준 2 2 9 2 2 2 8" xfId="8794"/>
    <cellStyle name="표준 2 2 9 2 2 3" xfId="8795"/>
    <cellStyle name="표준 2 2 9 2 2 3 2" xfId="8796"/>
    <cellStyle name="표준 2 2 9 2 2 3 2 2" xfId="8797"/>
    <cellStyle name="표준 2 2 9 2 2 3 2 3" xfId="8798"/>
    <cellStyle name="표준 2 2 9 2 2 3 2 4" xfId="8799"/>
    <cellStyle name="표준 2 2 9 2 2 3 3" xfId="8800"/>
    <cellStyle name="표준 2 2 9 2 2 3 3 2" xfId="8801"/>
    <cellStyle name="표준 2 2 9 2 2 3 3 3" xfId="8802"/>
    <cellStyle name="표준 2 2 9 2 2 3 3 4" xfId="8803"/>
    <cellStyle name="표준 2 2 9 2 2 3 4" xfId="8804"/>
    <cellStyle name="표준 2 2 9 2 2 3 5" xfId="8805"/>
    <cellStyle name="표준 2 2 9 2 2 3 6" xfId="8806"/>
    <cellStyle name="표준 2 2 9 2 2 4" xfId="8807"/>
    <cellStyle name="표준 2 2 9 2 2 4 2" xfId="8808"/>
    <cellStyle name="표준 2 2 9 2 2 4 2 2" xfId="8809"/>
    <cellStyle name="표준 2 2 9 2 2 4 2 3" xfId="8810"/>
    <cellStyle name="표준 2 2 9 2 2 4 2 4" xfId="8811"/>
    <cellStyle name="표준 2 2 9 2 2 4 3" xfId="8812"/>
    <cellStyle name="표준 2 2 9 2 2 4 3 2" xfId="8813"/>
    <cellStyle name="표준 2 2 9 2 2 4 3 3" xfId="8814"/>
    <cellStyle name="표준 2 2 9 2 2 4 3 4" xfId="8815"/>
    <cellStyle name="표준 2 2 9 2 2 4 4" xfId="8816"/>
    <cellStyle name="표준 2 2 9 2 2 4 5" xfId="8817"/>
    <cellStyle name="표준 2 2 9 2 2 4 6" xfId="8818"/>
    <cellStyle name="표준 2 2 9 2 2 5" xfId="8819"/>
    <cellStyle name="표준 2 2 9 2 2 5 2" xfId="8820"/>
    <cellStyle name="표준 2 2 9 2 2 5 3" xfId="8821"/>
    <cellStyle name="표준 2 2 9 2 2 5 4" xfId="8822"/>
    <cellStyle name="표준 2 2 9 2 2 6" xfId="8823"/>
    <cellStyle name="표준 2 2 9 2 2 6 2" xfId="8824"/>
    <cellStyle name="표준 2 2 9 2 2 6 3" xfId="8825"/>
    <cellStyle name="표준 2 2 9 2 2 6 4" xfId="8826"/>
    <cellStyle name="표준 2 2 9 2 2 7" xfId="8827"/>
    <cellStyle name="표준 2 2 9 2 2 8" xfId="8828"/>
    <cellStyle name="표준 2 2 9 2 2 9" xfId="8829"/>
    <cellStyle name="표준 2 2 9 2 3" xfId="8830"/>
    <cellStyle name="표준 2 2 9 2 3 2" xfId="8831"/>
    <cellStyle name="표준 2 2 9 2 3 2 2" xfId="8832"/>
    <cellStyle name="표준 2 2 9 2 3 2 2 2" xfId="8833"/>
    <cellStyle name="표준 2 2 9 2 3 2 2 3" xfId="8834"/>
    <cellStyle name="표준 2 2 9 2 3 2 2 4" xfId="8835"/>
    <cellStyle name="표준 2 2 9 2 3 2 3" xfId="8836"/>
    <cellStyle name="표준 2 2 9 2 3 2 3 2" xfId="8837"/>
    <cellStyle name="표준 2 2 9 2 3 2 3 3" xfId="8838"/>
    <cellStyle name="표준 2 2 9 2 3 2 3 4" xfId="8839"/>
    <cellStyle name="표준 2 2 9 2 3 2 4" xfId="8840"/>
    <cellStyle name="표준 2 2 9 2 3 2 5" xfId="8841"/>
    <cellStyle name="표준 2 2 9 2 3 2 6" xfId="8842"/>
    <cellStyle name="표준 2 2 9 2 3 3" xfId="8843"/>
    <cellStyle name="표준 2 2 9 2 3 3 2" xfId="8844"/>
    <cellStyle name="표준 2 2 9 2 3 3 2 2" xfId="8845"/>
    <cellStyle name="표준 2 2 9 2 3 3 2 3" xfId="8846"/>
    <cellStyle name="표준 2 2 9 2 3 3 2 4" xfId="8847"/>
    <cellStyle name="표준 2 2 9 2 3 3 3" xfId="8848"/>
    <cellStyle name="표준 2 2 9 2 3 3 3 2" xfId="8849"/>
    <cellStyle name="표준 2 2 9 2 3 3 3 3" xfId="8850"/>
    <cellStyle name="표준 2 2 9 2 3 3 3 4" xfId="8851"/>
    <cellStyle name="표준 2 2 9 2 3 3 4" xfId="8852"/>
    <cellStyle name="표준 2 2 9 2 3 3 5" xfId="8853"/>
    <cellStyle name="표준 2 2 9 2 3 3 6" xfId="8854"/>
    <cellStyle name="표준 2 2 9 2 3 4" xfId="8855"/>
    <cellStyle name="표준 2 2 9 2 3 4 2" xfId="8856"/>
    <cellStyle name="표준 2 2 9 2 3 4 3" xfId="8857"/>
    <cellStyle name="표준 2 2 9 2 3 4 4" xfId="8858"/>
    <cellStyle name="표준 2 2 9 2 3 5" xfId="8859"/>
    <cellStyle name="표준 2 2 9 2 3 5 2" xfId="8860"/>
    <cellStyle name="표준 2 2 9 2 3 5 3" xfId="8861"/>
    <cellStyle name="표준 2 2 9 2 3 5 4" xfId="8862"/>
    <cellStyle name="표준 2 2 9 2 3 6" xfId="8863"/>
    <cellStyle name="표준 2 2 9 2 3 7" xfId="8864"/>
    <cellStyle name="표준 2 2 9 2 3 8" xfId="8865"/>
    <cellStyle name="표준 2 2 9 2 4" xfId="8866"/>
    <cellStyle name="표준 2 2 9 2 4 2" xfId="8867"/>
    <cellStyle name="표준 2 2 9 2 4 2 2" xfId="8868"/>
    <cellStyle name="표준 2 2 9 2 4 2 3" xfId="8869"/>
    <cellStyle name="표준 2 2 9 2 4 2 4" xfId="8870"/>
    <cellStyle name="표준 2 2 9 2 4 3" xfId="8871"/>
    <cellStyle name="표준 2 2 9 2 4 3 2" xfId="8872"/>
    <cellStyle name="표준 2 2 9 2 4 3 3" xfId="8873"/>
    <cellStyle name="표준 2 2 9 2 4 3 4" xfId="8874"/>
    <cellStyle name="표준 2 2 9 2 4 4" xfId="8875"/>
    <cellStyle name="표준 2 2 9 2 4 5" xfId="8876"/>
    <cellStyle name="표준 2 2 9 2 4 6" xfId="8877"/>
    <cellStyle name="표준 2 2 9 2 5" xfId="8878"/>
    <cellStyle name="표준 2 2 9 2 5 2" xfId="8879"/>
    <cellStyle name="표준 2 2 9 2 5 2 2" xfId="8880"/>
    <cellStyle name="표준 2 2 9 2 5 2 3" xfId="8881"/>
    <cellStyle name="표준 2 2 9 2 5 2 4" xfId="8882"/>
    <cellStyle name="표준 2 2 9 2 5 3" xfId="8883"/>
    <cellStyle name="표준 2 2 9 2 5 3 2" xfId="8884"/>
    <cellStyle name="표준 2 2 9 2 5 3 3" xfId="8885"/>
    <cellStyle name="표준 2 2 9 2 5 3 4" xfId="8886"/>
    <cellStyle name="표준 2 2 9 2 5 4" xfId="8887"/>
    <cellStyle name="표준 2 2 9 2 5 5" xfId="8888"/>
    <cellStyle name="표준 2 2 9 2 5 6" xfId="8889"/>
    <cellStyle name="표준 2 2 9 2 6" xfId="8890"/>
    <cellStyle name="표준 2 2 9 2 6 2" xfId="8891"/>
    <cellStyle name="표준 2 2 9 2 6 3" xfId="8892"/>
    <cellStyle name="표준 2 2 9 2 6 4" xfId="8893"/>
    <cellStyle name="표준 2 2 9 2 7" xfId="8894"/>
    <cellStyle name="표준 2 2 9 2 7 2" xfId="8895"/>
    <cellStyle name="표준 2 2 9 2 7 3" xfId="8896"/>
    <cellStyle name="표준 2 2 9 2 7 4" xfId="8897"/>
    <cellStyle name="표준 2 2 9 2 8" xfId="8898"/>
    <cellStyle name="표준 2 2 9 2 9" xfId="8899"/>
    <cellStyle name="표준 2 2 9 3" xfId="8900"/>
    <cellStyle name="표준 2 2 9 3 2" xfId="8901"/>
    <cellStyle name="표준 2 2 9 3 2 2" xfId="8902"/>
    <cellStyle name="표준 2 2 9 3 2 2 2" xfId="8903"/>
    <cellStyle name="표준 2 2 9 3 2 2 2 2" xfId="8904"/>
    <cellStyle name="표준 2 2 9 3 2 2 2 3" xfId="8905"/>
    <cellStyle name="표준 2 2 9 3 2 2 2 4" xfId="8906"/>
    <cellStyle name="표준 2 2 9 3 2 2 3" xfId="8907"/>
    <cellStyle name="표준 2 2 9 3 2 2 3 2" xfId="8908"/>
    <cellStyle name="표준 2 2 9 3 2 2 3 3" xfId="8909"/>
    <cellStyle name="표준 2 2 9 3 2 2 3 4" xfId="8910"/>
    <cellStyle name="표준 2 2 9 3 2 2 4" xfId="8911"/>
    <cellStyle name="표준 2 2 9 3 2 2 5" xfId="8912"/>
    <cellStyle name="표준 2 2 9 3 2 2 6" xfId="8913"/>
    <cellStyle name="표준 2 2 9 3 2 3" xfId="8914"/>
    <cellStyle name="표준 2 2 9 3 2 3 2" xfId="8915"/>
    <cellStyle name="표준 2 2 9 3 2 3 2 2" xfId="8916"/>
    <cellStyle name="표준 2 2 9 3 2 3 2 3" xfId="8917"/>
    <cellStyle name="표준 2 2 9 3 2 3 2 4" xfId="8918"/>
    <cellStyle name="표준 2 2 9 3 2 3 3" xfId="8919"/>
    <cellStyle name="표준 2 2 9 3 2 3 3 2" xfId="8920"/>
    <cellStyle name="표준 2 2 9 3 2 3 3 3" xfId="8921"/>
    <cellStyle name="표준 2 2 9 3 2 3 3 4" xfId="8922"/>
    <cellStyle name="표준 2 2 9 3 2 3 4" xfId="8923"/>
    <cellStyle name="표준 2 2 9 3 2 3 5" xfId="8924"/>
    <cellStyle name="표준 2 2 9 3 2 3 6" xfId="8925"/>
    <cellStyle name="표준 2 2 9 3 2 4" xfId="8926"/>
    <cellStyle name="표준 2 2 9 3 2 4 2" xfId="8927"/>
    <cellStyle name="표준 2 2 9 3 2 4 3" xfId="8928"/>
    <cellStyle name="표준 2 2 9 3 2 4 4" xfId="8929"/>
    <cellStyle name="표준 2 2 9 3 2 5" xfId="8930"/>
    <cellStyle name="표준 2 2 9 3 2 5 2" xfId="8931"/>
    <cellStyle name="표준 2 2 9 3 2 5 3" xfId="8932"/>
    <cellStyle name="표준 2 2 9 3 2 5 4" xfId="8933"/>
    <cellStyle name="표준 2 2 9 3 2 6" xfId="8934"/>
    <cellStyle name="표준 2 2 9 3 2 7" xfId="8935"/>
    <cellStyle name="표준 2 2 9 3 2 8" xfId="8936"/>
    <cellStyle name="표준 2 2 9 3 3" xfId="8937"/>
    <cellStyle name="표준 2 2 9 3 3 2" xfId="8938"/>
    <cellStyle name="표준 2 2 9 3 3 2 2" xfId="8939"/>
    <cellStyle name="표준 2 2 9 3 3 2 3" xfId="8940"/>
    <cellStyle name="표준 2 2 9 3 3 2 4" xfId="8941"/>
    <cellStyle name="표준 2 2 9 3 3 3" xfId="8942"/>
    <cellStyle name="표준 2 2 9 3 3 3 2" xfId="8943"/>
    <cellStyle name="표준 2 2 9 3 3 3 3" xfId="8944"/>
    <cellStyle name="표준 2 2 9 3 3 3 4" xfId="8945"/>
    <cellStyle name="표준 2 2 9 3 3 4" xfId="8946"/>
    <cellStyle name="표준 2 2 9 3 3 5" xfId="8947"/>
    <cellStyle name="표준 2 2 9 3 3 6" xfId="8948"/>
    <cellStyle name="표준 2 2 9 3 4" xfId="8949"/>
    <cellStyle name="표준 2 2 9 3 4 2" xfId="8950"/>
    <cellStyle name="표준 2 2 9 3 4 2 2" xfId="8951"/>
    <cellStyle name="표준 2 2 9 3 4 2 3" xfId="8952"/>
    <cellStyle name="표준 2 2 9 3 4 2 4" xfId="8953"/>
    <cellStyle name="표준 2 2 9 3 4 3" xfId="8954"/>
    <cellStyle name="표준 2 2 9 3 4 3 2" xfId="8955"/>
    <cellStyle name="표준 2 2 9 3 4 3 3" xfId="8956"/>
    <cellStyle name="표준 2 2 9 3 4 3 4" xfId="8957"/>
    <cellStyle name="표준 2 2 9 3 4 4" xfId="8958"/>
    <cellStyle name="표준 2 2 9 3 4 5" xfId="8959"/>
    <cellStyle name="표준 2 2 9 3 4 6" xfId="8960"/>
    <cellStyle name="표준 2 2 9 3 5" xfId="8961"/>
    <cellStyle name="표준 2 2 9 3 5 2" xfId="8962"/>
    <cellStyle name="표준 2 2 9 3 5 3" xfId="8963"/>
    <cellStyle name="표준 2 2 9 3 5 4" xfId="8964"/>
    <cellStyle name="표준 2 2 9 3 6" xfId="8965"/>
    <cellStyle name="표준 2 2 9 3 6 2" xfId="8966"/>
    <cellStyle name="표준 2 2 9 3 6 3" xfId="8967"/>
    <cellStyle name="표준 2 2 9 3 6 4" xfId="8968"/>
    <cellStyle name="표준 2 2 9 3 7" xfId="8969"/>
    <cellStyle name="표준 2 2 9 3 8" xfId="8970"/>
    <cellStyle name="표준 2 2 9 3 9" xfId="8971"/>
    <cellStyle name="표준 2 2 9 4" xfId="8972"/>
    <cellStyle name="표준 2 2 9 4 2" xfId="8973"/>
    <cellStyle name="표준 2 2 9 4 2 2" xfId="8974"/>
    <cellStyle name="표준 2 2 9 4 2 3" xfId="8975"/>
    <cellStyle name="표준 2 2 9 4 2 4" xfId="8976"/>
    <cellStyle name="표준 2 2 9 4 3" xfId="8977"/>
    <cellStyle name="표준 2 2 9 4 3 2" xfId="8978"/>
    <cellStyle name="표준 2 2 9 4 3 3" xfId="8979"/>
    <cellStyle name="표준 2 2 9 4 3 4" xfId="8980"/>
    <cellStyle name="표준 2 2 9 4 4" xfId="8981"/>
    <cellStyle name="표준 2 2 9 4 5" xfId="8982"/>
    <cellStyle name="표준 2 2 9 4 6" xfId="8983"/>
    <cellStyle name="표준 2 2 9 5" xfId="8984"/>
    <cellStyle name="표준 2 2 9 5 2" xfId="8985"/>
    <cellStyle name="표준 2 2 9 5 2 2" xfId="8986"/>
    <cellStyle name="표준 2 2 9 5 2 3" xfId="8987"/>
    <cellStyle name="표준 2 2 9 5 2 4" xfId="8988"/>
    <cellStyle name="표준 2 2 9 5 3" xfId="8989"/>
    <cellStyle name="표준 2 2 9 5 3 2" xfId="8990"/>
    <cellStyle name="표준 2 2 9 5 3 3" xfId="8991"/>
    <cellStyle name="표준 2 2 9 5 3 4" xfId="8992"/>
    <cellStyle name="표준 2 2 9 5 4" xfId="8993"/>
    <cellStyle name="표준 2 2 9 5 5" xfId="8994"/>
    <cellStyle name="표준 2 2 9 5 6" xfId="8995"/>
    <cellStyle name="표준 2 2 9 6" xfId="8996"/>
    <cellStyle name="표준 2 2 9 6 2" xfId="8997"/>
    <cellStyle name="표준 2 2 9 6 3" xfId="8998"/>
    <cellStyle name="표준 2 2 9 6 4" xfId="8999"/>
    <cellStyle name="표준 2 2 9 7" xfId="9000"/>
    <cellStyle name="표준 2 2 9 7 2" xfId="9001"/>
    <cellStyle name="표준 2 2 9 7 3" xfId="9002"/>
    <cellStyle name="표준 2 2 9 7 4" xfId="9003"/>
    <cellStyle name="표준 2 2 9 8" xfId="9004"/>
    <cellStyle name="표준 2 2 9 9" xfId="9005"/>
    <cellStyle name="표준 2 20" xfId="9006"/>
    <cellStyle name="표준 2 200" xfId="9007"/>
    <cellStyle name="표준 2 201" xfId="9008"/>
    <cellStyle name="표준 2 202" xfId="9009"/>
    <cellStyle name="표준 2 203" xfId="9010"/>
    <cellStyle name="표준 2 204" xfId="9011"/>
    <cellStyle name="표준 2 205" xfId="9012"/>
    <cellStyle name="표준 2 206" xfId="9013"/>
    <cellStyle name="표준 2 207" xfId="9014"/>
    <cellStyle name="표준 2 208" xfId="9015"/>
    <cellStyle name="표준 2 209" xfId="9016"/>
    <cellStyle name="표준 2 21" xfId="9017"/>
    <cellStyle name="표준 2 210" xfId="9018"/>
    <cellStyle name="표준 2 211" xfId="9019"/>
    <cellStyle name="표준 2 212" xfId="9020"/>
    <cellStyle name="표준 2 213" xfId="9021"/>
    <cellStyle name="표준 2 214" xfId="9022"/>
    <cellStyle name="표준 2 215" xfId="9023"/>
    <cellStyle name="표준 2 216" xfId="9024"/>
    <cellStyle name="표준 2 217" xfId="9025"/>
    <cellStyle name="표준 2 218" xfId="9026"/>
    <cellStyle name="표준 2 219" xfId="9027"/>
    <cellStyle name="표준 2 22" xfId="9028"/>
    <cellStyle name="표준 2 220" xfId="9029"/>
    <cellStyle name="표준 2 221" xfId="9030"/>
    <cellStyle name="표준 2 222" xfId="9031"/>
    <cellStyle name="표준 2 223" xfId="9032"/>
    <cellStyle name="표준 2 224" xfId="9033"/>
    <cellStyle name="표준 2 225" xfId="9034"/>
    <cellStyle name="표준 2 226" xfId="9035"/>
    <cellStyle name="표준 2 227" xfId="9036"/>
    <cellStyle name="표준 2 228" xfId="9037"/>
    <cellStyle name="표준 2 229" xfId="9038"/>
    <cellStyle name="표준 2 23" xfId="9039"/>
    <cellStyle name="표준 2 230" xfId="9040"/>
    <cellStyle name="표준 2 231" xfId="9041"/>
    <cellStyle name="표준 2 232" xfId="9042"/>
    <cellStyle name="표준 2 233" xfId="9043"/>
    <cellStyle name="표준 2 234" xfId="9044"/>
    <cellStyle name="표준 2 235" xfId="9045"/>
    <cellStyle name="표준 2 236" xfId="9046"/>
    <cellStyle name="표준 2 237" xfId="9047"/>
    <cellStyle name="표준 2 238" xfId="9048"/>
    <cellStyle name="표준 2 239" xfId="9049"/>
    <cellStyle name="표준 2 24" xfId="9050"/>
    <cellStyle name="표준 2 240" xfId="9051"/>
    <cellStyle name="표준 2 241" xfId="9052"/>
    <cellStyle name="표준 2 242" xfId="9053"/>
    <cellStyle name="표준 2 243" xfId="9054"/>
    <cellStyle name="표준 2 244" xfId="9055"/>
    <cellStyle name="표준 2 245" xfId="9056"/>
    <cellStyle name="표준 2 246" xfId="9057"/>
    <cellStyle name="표준 2 247" xfId="9058"/>
    <cellStyle name="표준 2 248" xfId="9059"/>
    <cellStyle name="표준 2 249" xfId="9060"/>
    <cellStyle name="표준 2 25" xfId="9061"/>
    <cellStyle name="표준 2 250" xfId="9062"/>
    <cellStyle name="표준 2 251" xfId="9063"/>
    <cellStyle name="표준 2 252" xfId="9064"/>
    <cellStyle name="표준 2 253" xfId="9065"/>
    <cellStyle name="표준 2 254" xfId="9066"/>
    <cellStyle name="표준 2 255" xfId="9067"/>
    <cellStyle name="표준 2 256" xfId="9068"/>
    <cellStyle name="표준 2 256 10" xfId="9069"/>
    <cellStyle name="표준 2 256 2" xfId="9070"/>
    <cellStyle name="표준 2 256 2 2" xfId="9071"/>
    <cellStyle name="표준 2 256 2 2 2" xfId="9072"/>
    <cellStyle name="표준 2 256 2 2 2 2" xfId="9073"/>
    <cellStyle name="표준 2 256 2 2 2 2 2" xfId="9074"/>
    <cellStyle name="표준 2 256 2 2 2 2 3" xfId="9075"/>
    <cellStyle name="표준 2 256 2 2 2 2 4" xfId="9076"/>
    <cellStyle name="표준 2 256 2 2 2 3" xfId="9077"/>
    <cellStyle name="표준 2 256 2 2 2 3 2" xfId="9078"/>
    <cellStyle name="표준 2 256 2 2 2 3 3" xfId="9079"/>
    <cellStyle name="표준 2 256 2 2 2 3 4" xfId="9080"/>
    <cellStyle name="표준 2 256 2 2 2 4" xfId="9081"/>
    <cellStyle name="표준 2 256 2 2 2 5" xfId="9082"/>
    <cellStyle name="표준 2 256 2 2 2 6" xfId="9083"/>
    <cellStyle name="표준 2 256 2 2 3" xfId="9084"/>
    <cellStyle name="표준 2 256 2 2 3 2" xfId="9085"/>
    <cellStyle name="표준 2 256 2 2 3 2 2" xfId="9086"/>
    <cellStyle name="표준 2 256 2 2 3 2 3" xfId="9087"/>
    <cellStyle name="표준 2 256 2 2 3 2 4" xfId="9088"/>
    <cellStyle name="표준 2 256 2 2 3 3" xfId="9089"/>
    <cellStyle name="표준 2 256 2 2 3 3 2" xfId="9090"/>
    <cellStyle name="표준 2 256 2 2 3 3 3" xfId="9091"/>
    <cellStyle name="표준 2 256 2 2 3 3 4" xfId="9092"/>
    <cellStyle name="표준 2 256 2 2 3 4" xfId="9093"/>
    <cellStyle name="표준 2 256 2 2 3 5" xfId="9094"/>
    <cellStyle name="표준 2 256 2 2 3 6" xfId="9095"/>
    <cellStyle name="표준 2 256 2 2 4" xfId="9096"/>
    <cellStyle name="표준 2 256 2 2 4 2" xfId="9097"/>
    <cellStyle name="표준 2 256 2 2 4 3" xfId="9098"/>
    <cellStyle name="표준 2 256 2 2 4 4" xfId="9099"/>
    <cellStyle name="표준 2 256 2 2 5" xfId="9100"/>
    <cellStyle name="표준 2 256 2 2 5 2" xfId="9101"/>
    <cellStyle name="표준 2 256 2 2 5 3" xfId="9102"/>
    <cellStyle name="표준 2 256 2 2 5 4" xfId="9103"/>
    <cellStyle name="표준 2 256 2 2 6" xfId="9104"/>
    <cellStyle name="표준 2 256 2 2 7" xfId="9105"/>
    <cellStyle name="표준 2 256 2 2 8" xfId="9106"/>
    <cellStyle name="표준 2 256 2 3" xfId="9107"/>
    <cellStyle name="표준 2 256 2 3 2" xfId="9108"/>
    <cellStyle name="표준 2 256 2 3 2 2" xfId="9109"/>
    <cellStyle name="표준 2 256 2 3 2 3" xfId="9110"/>
    <cellStyle name="표준 2 256 2 3 2 4" xfId="9111"/>
    <cellStyle name="표준 2 256 2 3 3" xfId="9112"/>
    <cellStyle name="표준 2 256 2 3 3 2" xfId="9113"/>
    <cellStyle name="표준 2 256 2 3 3 3" xfId="9114"/>
    <cellStyle name="표준 2 256 2 3 3 4" xfId="9115"/>
    <cellStyle name="표준 2 256 2 3 4" xfId="9116"/>
    <cellStyle name="표준 2 256 2 3 5" xfId="9117"/>
    <cellStyle name="표준 2 256 2 3 6" xfId="9118"/>
    <cellStyle name="표준 2 256 2 4" xfId="9119"/>
    <cellStyle name="표준 2 256 2 4 2" xfId="9120"/>
    <cellStyle name="표준 2 256 2 4 2 2" xfId="9121"/>
    <cellStyle name="표준 2 256 2 4 2 3" xfId="9122"/>
    <cellStyle name="표준 2 256 2 4 2 4" xfId="9123"/>
    <cellStyle name="표준 2 256 2 4 3" xfId="9124"/>
    <cellStyle name="표준 2 256 2 4 3 2" xfId="9125"/>
    <cellStyle name="표준 2 256 2 4 3 3" xfId="9126"/>
    <cellStyle name="표준 2 256 2 4 3 4" xfId="9127"/>
    <cellStyle name="표준 2 256 2 4 4" xfId="9128"/>
    <cellStyle name="표준 2 256 2 4 5" xfId="9129"/>
    <cellStyle name="표준 2 256 2 4 6" xfId="9130"/>
    <cellStyle name="표준 2 256 2 5" xfId="9131"/>
    <cellStyle name="표준 2 256 2 5 2" xfId="9132"/>
    <cellStyle name="표준 2 256 2 5 3" xfId="9133"/>
    <cellStyle name="표준 2 256 2 5 4" xfId="9134"/>
    <cellStyle name="표준 2 256 2 6" xfId="9135"/>
    <cellStyle name="표준 2 256 2 6 2" xfId="9136"/>
    <cellStyle name="표준 2 256 2 6 3" xfId="9137"/>
    <cellStyle name="표준 2 256 2 6 4" xfId="9138"/>
    <cellStyle name="표준 2 256 2 7" xfId="9139"/>
    <cellStyle name="표준 2 256 2 8" xfId="9140"/>
    <cellStyle name="표준 2 256 2 9" xfId="9141"/>
    <cellStyle name="표준 2 256 3" xfId="9142"/>
    <cellStyle name="표준 2 256 3 2" xfId="9143"/>
    <cellStyle name="표준 2 256 3 2 2" xfId="9144"/>
    <cellStyle name="표준 2 256 3 2 2 2" xfId="9145"/>
    <cellStyle name="표준 2 256 3 2 2 3" xfId="9146"/>
    <cellStyle name="표준 2 256 3 2 2 4" xfId="9147"/>
    <cellStyle name="표준 2 256 3 2 3" xfId="9148"/>
    <cellStyle name="표준 2 256 3 2 3 2" xfId="9149"/>
    <cellStyle name="표준 2 256 3 2 3 3" xfId="9150"/>
    <cellStyle name="표준 2 256 3 2 3 4" xfId="9151"/>
    <cellStyle name="표준 2 256 3 2 4" xfId="9152"/>
    <cellStyle name="표준 2 256 3 2 5" xfId="9153"/>
    <cellStyle name="표준 2 256 3 2 6" xfId="9154"/>
    <cellStyle name="표준 2 256 3 3" xfId="9155"/>
    <cellStyle name="표준 2 256 3 3 2" xfId="9156"/>
    <cellStyle name="표준 2 256 3 3 2 2" xfId="9157"/>
    <cellStyle name="표준 2 256 3 3 2 3" xfId="9158"/>
    <cellStyle name="표준 2 256 3 3 2 4" xfId="9159"/>
    <cellStyle name="표준 2 256 3 3 3" xfId="9160"/>
    <cellStyle name="표준 2 256 3 3 3 2" xfId="9161"/>
    <cellStyle name="표준 2 256 3 3 3 3" xfId="9162"/>
    <cellStyle name="표준 2 256 3 3 3 4" xfId="9163"/>
    <cellStyle name="표준 2 256 3 3 4" xfId="9164"/>
    <cellStyle name="표준 2 256 3 3 5" xfId="9165"/>
    <cellStyle name="표준 2 256 3 3 6" xfId="9166"/>
    <cellStyle name="표준 2 256 3 4" xfId="9167"/>
    <cellStyle name="표준 2 256 3 4 2" xfId="9168"/>
    <cellStyle name="표준 2 256 3 4 3" xfId="9169"/>
    <cellStyle name="표준 2 256 3 4 4" xfId="9170"/>
    <cellStyle name="표준 2 256 3 5" xfId="9171"/>
    <cellStyle name="표준 2 256 3 5 2" xfId="9172"/>
    <cellStyle name="표준 2 256 3 5 3" xfId="9173"/>
    <cellStyle name="표준 2 256 3 5 4" xfId="9174"/>
    <cellStyle name="표준 2 256 3 6" xfId="9175"/>
    <cellStyle name="표준 2 256 3 7" xfId="9176"/>
    <cellStyle name="표준 2 256 3 8" xfId="9177"/>
    <cellStyle name="표준 2 256 4" xfId="9178"/>
    <cellStyle name="표준 2 256 4 2" xfId="9179"/>
    <cellStyle name="표준 2 256 4 2 2" xfId="9180"/>
    <cellStyle name="표준 2 256 4 2 3" xfId="9181"/>
    <cellStyle name="표준 2 256 4 2 4" xfId="9182"/>
    <cellStyle name="표준 2 256 4 3" xfId="9183"/>
    <cellStyle name="표준 2 256 4 3 2" xfId="9184"/>
    <cellStyle name="표준 2 256 4 3 3" xfId="9185"/>
    <cellStyle name="표준 2 256 4 3 4" xfId="9186"/>
    <cellStyle name="표준 2 256 4 4" xfId="9187"/>
    <cellStyle name="표준 2 256 4 5" xfId="9188"/>
    <cellStyle name="표준 2 256 4 6" xfId="9189"/>
    <cellStyle name="표준 2 256 5" xfId="9190"/>
    <cellStyle name="표준 2 256 5 2" xfId="9191"/>
    <cellStyle name="표준 2 256 5 2 2" xfId="9192"/>
    <cellStyle name="표준 2 256 5 2 3" xfId="9193"/>
    <cellStyle name="표준 2 256 5 2 4" xfId="9194"/>
    <cellStyle name="표준 2 256 5 3" xfId="9195"/>
    <cellStyle name="표준 2 256 5 3 2" xfId="9196"/>
    <cellStyle name="표준 2 256 5 3 3" xfId="9197"/>
    <cellStyle name="표준 2 256 5 3 4" xfId="9198"/>
    <cellStyle name="표준 2 256 5 4" xfId="9199"/>
    <cellStyle name="표준 2 256 5 5" xfId="9200"/>
    <cellStyle name="표준 2 256 5 6" xfId="9201"/>
    <cellStyle name="표준 2 256 6" xfId="9202"/>
    <cellStyle name="표준 2 256 6 2" xfId="9203"/>
    <cellStyle name="표준 2 256 6 3" xfId="9204"/>
    <cellStyle name="표준 2 256 6 4" xfId="9205"/>
    <cellStyle name="표준 2 256 7" xfId="9206"/>
    <cellStyle name="표준 2 256 7 2" xfId="9207"/>
    <cellStyle name="표준 2 256 7 3" xfId="9208"/>
    <cellStyle name="표준 2 256 7 4" xfId="9209"/>
    <cellStyle name="표준 2 256 8" xfId="9210"/>
    <cellStyle name="표준 2 256 9" xfId="9211"/>
    <cellStyle name="표준 2 257" xfId="9212"/>
    <cellStyle name="표준 2 257 2" xfId="9213"/>
    <cellStyle name="표준 2 257 2 2" xfId="9214"/>
    <cellStyle name="표준 2 257 2 2 2" xfId="9215"/>
    <cellStyle name="표준 2 257 2 2 2 2" xfId="9216"/>
    <cellStyle name="표준 2 257 2 2 2 3" xfId="9217"/>
    <cellStyle name="표준 2 257 2 2 2 4" xfId="9218"/>
    <cellStyle name="표준 2 257 2 2 3" xfId="9219"/>
    <cellStyle name="표준 2 257 2 2 3 2" xfId="9220"/>
    <cellStyle name="표준 2 257 2 2 3 3" xfId="9221"/>
    <cellStyle name="표준 2 257 2 2 3 4" xfId="9222"/>
    <cellStyle name="표준 2 257 2 2 4" xfId="9223"/>
    <cellStyle name="표준 2 257 2 2 5" xfId="9224"/>
    <cellStyle name="표준 2 257 2 2 6" xfId="9225"/>
    <cellStyle name="표준 2 257 2 3" xfId="9226"/>
    <cellStyle name="표준 2 257 2 3 2" xfId="9227"/>
    <cellStyle name="표준 2 257 2 3 2 2" xfId="9228"/>
    <cellStyle name="표준 2 257 2 3 2 3" xfId="9229"/>
    <cellStyle name="표준 2 257 2 3 2 4" xfId="9230"/>
    <cellStyle name="표준 2 257 2 3 3" xfId="9231"/>
    <cellStyle name="표준 2 257 2 3 3 2" xfId="9232"/>
    <cellStyle name="표준 2 257 2 3 3 3" xfId="9233"/>
    <cellStyle name="표준 2 257 2 3 3 4" xfId="9234"/>
    <cellStyle name="표준 2 257 2 3 4" xfId="9235"/>
    <cellStyle name="표준 2 257 2 3 5" xfId="9236"/>
    <cellStyle name="표준 2 257 2 3 6" xfId="9237"/>
    <cellStyle name="표준 2 257 2 4" xfId="9238"/>
    <cellStyle name="표준 2 257 2 4 2" xfId="9239"/>
    <cellStyle name="표준 2 257 2 4 3" xfId="9240"/>
    <cellStyle name="표준 2 257 2 4 4" xfId="9241"/>
    <cellStyle name="표준 2 257 2 5" xfId="9242"/>
    <cellStyle name="표준 2 257 2 5 2" xfId="9243"/>
    <cellStyle name="표준 2 257 2 5 3" xfId="9244"/>
    <cellStyle name="표준 2 257 2 5 4" xfId="9245"/>
    <cellStyle name="표준 2 257 2 6" xfId="9246"/>
    <cellStyle name="표준 2 257 2 7" xfId="9247"/>
    <cellStyle name="표준 2 257 2 8" xfId="9248"/>
    <cellStyle name="표준 2 257 3" xfId="9249"/>
    <cellStyle name="표준 2 257 3 2" xfId="9250"/>
    <cellStyle name="표준 2 257 3 2 2" xfId="9251"/>
    <cellStyle name="표준 2 257 3 2 3" xfId="9252"/>
    <cellStyle name="표준 2 257 3 2 4" xfId="9253"/>
    <cellStyle name="표준 2 257 3 3" xfId="9254"/>
    <cellStyle name="표준 2 257 3 3 2" xfId="9255"/>
    <cellStyle name="표준 2 257 3 3 3" xfId="9256"/>
    <cellStyle name="표준 2 257 3 3 4" xfId="9257"/>
    <cellStyle name="표준 2 257 3 4" xfId="9258"/>
    <cellStyle name="표준 2 257 3 5" xfId="9259"/>
    <cellStyle name="표준 2 257 3 6" xfId="9260"/>
    <cellStyle name="표준 2 257 4" xfId="9261"/>
    <cellStyle name="표준 2 257 4 2" xfId="9262"/>
    <cellStyle name="표준 2 257 4 2 2" xfId="9263"/>
    <cellStyle name="표준 2 257 4 2 3" xfId="9264"/>
    <cellStyle name="표준 2 257 4 2 4" xfId="9265"/>
    <cellStyle name="표준 2 257 4 3" xfId="9266"/>
    <cellStyle name="표준 2 257 4 3 2" xfId="9267"/>
    <cellStyle name="표준 2 257 4 3 3" xfId="9268"/>
    <cellStyle name="표준 2 257 4 3 4" xfId="9269"/>
    <cellStyle name="표준 2 257 4 4" xfId="9270"/>
    <cellStyle name="표준 2 257 4 5" xfId="9271"/>
    <cellStyle name="표준 2 257 4 6" xfId="9272"/>
    <cellStyle name="표준 2 257 5" xfId="9273"/>
    <cellStyle name="표준 2 257 5 2" xfId="9274"/>
    <cellStyle name="표준 2 257 5 3" xfId="9275"/>
    <cellStyle name="표준 2 257 5 4" xfId="9276"/>
    <cellStyle name="표준 2 257 6" xfId="9277"/>
    <cellStyle name="표준 2 257 6 2" xfId="9278"/>
    <cellStyle name="표준 2 257 6 3" xfId="9279"/>
    <cellStyle name="표준 2 257 6 4" xfId="9280"/>
    <cellStyle name="표준 2 257 7" xfId="9281"/>
    <cellStyle name="표준 2 257 8" xfId="9282"/>
    <cellStyle name="표준 2 257 9" xfId="9283"/>
    <cellStyle name="표준 2 26" xfId="9284"/>
    <cellStyle name="표준 2 27" xfId="9285"/>
    <cellStyle name="표준 2 28" xfId="9286"/>
    <cellStyle name="표준 2 29" xfId="9287"/>
    <cellStyle name="표준 2 3" xfId="9288"/>
    <cellStyle name="표준 2 30" xfId="9289"/>
    <cellStyle name="표준 2 31" xfId="9290"/>
    <cellStyle name="표준 2 32" xfId="9291"/>
    <cellStyle name="표준 2 33" xfId="9292"/>
    <cellStyle name="표준 2 34" xfId="9293"/>
    <cellStyle name="표준 2 35" xfId="9294"/>
    <cellStyle name="표준 2 36" xfId="9295"/>
    <cellStyle name="표준 2 37" xfId="9296"/>
    <cellStyle name="표준 2 38" xfId="9297"/>
    <cellStyle name="표준 2 39" xfId="9298"/>
    <cellStyle name="표준 2 4" xfId="9299"/>
    <cellStyle name="표준 2 40" xfId="9300"/>
    <cellStyle name="표준 2 41" xfId="9301"/>
    <cellStyle name="표준 2 42" xfId="9302"/>
    <cellStyle name="표준 2 43" xfId="9303"/>
    <cellStyle name="표준 2 44" xfId="9304"/>
    <cellStyle name="표준 2 45" xfId="9305"/>
    <cellStyle name="표준 2 46" xfId="9306"/>
    <cellStyle name="표준 2 47" xfId="9307"/>
    <cellStyle name="표준 2 48" xfId="9308"/>
    <cellStyle name="표준 2 49" xfId="9309"/>
    <cellStyle name="표준 2 5" xfId="9310"/>
    <cellStyle name="표준 2 50" xfId="9311"/>
    <cellStyle name="표준 2 51" xfId="9312"/>
    <cellStyle name="표준 2 52" xfId="9313"/>
    <cellStyle name="표준 2 53" xfId="9314"/>
    <cellStyle name="표준 2 54" xfId="9315"/>
    <cellStyle name="표준 2 55" xfId="9316"/>
    <cellStyle name="표준 2 56" xfId="9317"/>
    <cellStyle name="표준 2 57" xfId="9318"/>
    <cellStyle name="표준 2 58" xfId="9319"/>
    <cellStyle name="표준 2 59" xfId="9320"/>
    <cellStyle name="표준 2 6" xfId="9321"/>
    <cellStyle name="표준 2 60" xfId="9322"/>
    <cellStyle name="표준 2 61" xfId="9323"/>
    <cellStyle name="표준 2 62" xfId="9324"/>
    <cellStyle name="표준 2 63" xfId="9325"/>
    <cellStyle name="표준 2 64" xfId="9326"/>
    <cellStyle name="표준 2 65" xfId="9327"/>
    <cellStyle name="표준 2 66" xfId="9328"/>
    <cellStyle name="표준 2 67" xfId="9329"/>
    <cellStyle name="표준 2 68" xfId="9330"/>
    <cellStyle name="표준 2 69" xfId="9331"/>
    <cellStyle name="표준 2 7" xfId="9332"/>
    <cellStyle name="표준 2 70" xfId="9333"/>
    <cellStyle name="표준 2 71" xfId="9334"/>
    <cellStyle name="표준 2 72" xfId="9335"/>
    <cellStyle name="표준 2 73" xfId="9336"/>
    <cellStyle name="표준 2 74" xfId="9337"/>
    <cellStyle name="표준 2 75" xfId="9338"/>
    <cellStyle name="표준 2 76" xfId="9339"/>
    <cellStyle name="표준 2 77" xfId="9340"/>
    <cellStyle name="표준 2 78" xfId="9341"/>
    <cellStyle name="표준 2 79" xfId="9342"/>
    <cellStyle name="표준 2 8" xfId="9343"/>
    <cellStyle name="표준 2 80" xfId="9344"/>
    <cellStyle name="표준 2 81" xfId="9345"/>
    <cellStyle name="표준 2 82" xfId="9346"/>
    <cellStyle name="표준 2 83" xfId="9347"/>
    <cellStyle name="표준 2 84" xfId="9348"/>
    <cellStyle name="표준 2 85" xfId="9349"/>
    <cellStyle name="표준 2 86" xfId="9350"/>
    <cellStyle name="표준 2 87" xfId="9351"/>
    <cellStyle name="표준 2 88" xfId="9352"/>
    <cellStyle name="표준 2 89" xfId="9353"/>
    <cellStyle name="표준 2 9" xfId="9354"/>
    <cellStyle name="표준 2 90" xfId="9355"/>
    <cellStyle name="표준 2 91" xfId="9356"/>
    <cellStyle name="표준 2 92" xfId="9357"/>
    <cellStyle name="표준 2 93" xfId="9358"/>
    <cellStyle name="표준 2 94" xfId="9359"/>
    <cellStyle name="표준 2 95" xfId="9360"/>
    <cellStyle name="표준 2 96" xfId="9361"/>
    <cellStyle name="표준 2 97" xfId="9362"/>
    <cellStyle name="표준 2 98" xfId="9363"/>
    <cellStyle name="표준 2 99" xfId="9364"/>
    <cellStyle name="표준 3" xfId="9365"/>
    <cellStyle name="표준 3 2" xfId="9366"/>
    <cellStyle name="표준 3 2 2" xfId="9367"/>
    <cellStyle name="표준 3 3" xfId="9368"/>
    <cellStyle name="표준 3 4" xfId="9369"/>
    <cellStyle name="표준 3 4 2" xfId="9370"/>
    <cellStyle name="표준 3 5" xfId="9371"/>
    <cellStyle name="표준 3 6" xfId="9639"/>
    <cellStyle name="표준 4" xfId="9372"/>
    <cellStyle name="표준 4 2" xfId="9373"/>
    <cellStyle name="표준 4 3" xfId="9374"/>
    <cellStyle name="표준 4 3 2" xfId="9375"/>
    <cellStyle name="표준 5" xfId="9376"/>
    <cellStyle name="표준 5 2" xfId="9377"/>
    <cellStyle name="표준 6" xfId="9378"/>
    <cellStyle name="표준 6 2" xfId="9379"/>
    <cellStyle name="표준 6 2 2" xfId="9380"/>
    <cellStyle name="표준 6 3" xfId="9381"/>
    <cellStyle name="표준 7" xfId="9382"/>
    <cellStyle name="표준 7 2" xfId="9383"/>
    <cellStyle name="표준 8" xfId="9384"/>
    <cellStyle name="표준 9" xfId="9385"/>
    <cellStyle name="하이퍼링크 2" xfId="9387"/>
    <cellStyle name="하이퍼링크 2 10" xfId="9388"/>
    <cellStyle name="하이퍼링크 2 2" xfId="9389"/>
    <cellStyle name="하이퍼링크 2 2 10" xfId="9390"/>
    <cellStyle name="하이퍼링크 2 2 2" xfId="9391"/>
    <cellStyle name="하이퍼링크 2 2 2 2" xfId="9392"/>
    <cellStyle name="하이퍼링크 2 2 2 2 2" xfId="9393"/>
    <cellStyle name="하이퍼링크 2 2 2 2 2 2" xfId="9394"/>
    <cellStyle name="하이퍼링크 2 2 2 2 2 2 2" xfId="9395"/>
    <cellStyle name="하이퍼링크 2 2 2 2 2 2 3" xfId="9396"/>
    <cellStyle name="하이퍼링크 2 2 2 2 2 2 4" xfId="9397"/>
    <cellStyle name="하이퍼링크 2 2 2 2 2 3" xfId="9398"/>
    <cellStyle name="하이퍼링크 2 2 2 2 2 3 2" xfId="9399"/>
    <cellStyle name="하이퍼링크 2 2 2 2 2 3 3" xfId="9400"/>
    <cellStyle name="하이퍼링크 2 2 2 2 2 3 4" xfId="9401"/>
    <cellStyle name="하이퍼링크 2 2 2 2 2 4" xfId="9402"/>
    <cellStyle name="하이퍼링크 2 2 2 2 2 5" xfId="9403"/>
    <cellStyle name="하이퍼링크 2 2 2 2 2 6" xfId="9404"/>
    <cellStyle name="하이퍼링크 2 2 2 2 3" xfId="9405"/>
    <cellStyle name="하이퍼링크 2 2 2 2 3 2" xfId="9406"/>
    <cellStyle name="하이퍼링크 2 2 2 2 3 2 2" xfId="9407"/>
    <cellStyle name="하이퍼링크 2 2 2 2 3 2 3" xfId="9408"/>
    <cellStyle name="하이퍼링크 2 2 2 2 3 2 4" xfId="9409"/>
    <cellStyle name="하이퍼링크 2 2 2 2 3 3" xfId="9410"/>
    <cellStyle name="하이퍼링크 2 2 2 2 3 3 2" xfId="9411"/>
    <cellStyle name="하이퍼링크 2 2 2 2 3 3 3" xfId="9412"/>
    <cellStyle name="하이퍼링크 2 2 2 2 3 3 4" xfId="9413"/>
    <cellStyle name="하이퍼링크 2 2 2 2 3 4" xfId="9414"/>
    <cellStyle name="하이퍼링크 2 2 2 2 3 5" xfId="9415"/>
    <cellStyle name="하이퍼링크 2 2 2 2 3 6" xfId="9416"/>
    <cellStyle name="하이퍼링크 2 2 2 2 4" xfId="9417"/>
    <cellStyle name="하이퍼링크 2 2 2 2 4 2" xfId="9418"/>
    <cellStyle name="하이퍼링크 2 2 2 2 4 3" xfId="9419"/>
    <cellStyle name="하이퍼링크 2 2 2 2 4 4" xfId="9420"/>
    <cellStyle name="하이퍼링크 2 2 2 2 5" xfId="9421"/>
    <cellStyle name="하이퍼링크 2 2 2 2 5 2" xfId="9422"/>
    <cellStyle name="하이퍼링크 2 2 2 2 5 3" xfId="9423"/>
    <cellStyle name="하이퍼링크 2 2 2 2 5 4" xfId="9424"/>
    <cellStyle name="하이퍼링크 2 2 2 2 6" xfId="9425"/>
    <cellStyle name="하이퍼링크 2 2 2 2 7" xfId="9426"/>
    <cellStyle name="하이퍼링크 2 2 2 2 8" xfId="9427"/>
    <cellStyle name="하이퍼링크 2 2 2 3" xfId="9428"/>
    <cellStyle name="하이퍼링크 2 2 2 3 2" xfId="9429"/>
    <cellStyle name="하이퍼링크 2 2 2 3 2 2" xfId="9430"/>
    <cellStyle name="하이퍼링크 2 2 2 3 2 3" xfId="9431"/>
    <cellStyle name="하이퍼링크 2 2 2 3 2 4" xfId="9432"/>
    <cellStyle name="하이퍼링크 2 2 2 3 3" xfId="9433"/>
    <cellStyle name="하이퍼링크 2 2 2 3 3 2" xfId="9434"/>
    <cellStyle name="하이퍼링크 2 2 2 3 3 3" xfId="9435"/>
    <cellStyle name="하이퍼링크 2 2 2 3 3 4" xfId="9436"/>
    <cellStyle name="하이퍼링크 2 2 2 3 4" xfId="9437"/>
    <cellStyle name="하이퍼링크 2 2 2 3 5" xfId="9438"/>
    <cellStyle name="하이퍼링크 2 2 2 3 6" xfId="9439"/>
    <cellStyle name="하이퍼링크 2 2 2 4" xfId="9440"/>
    <cellStyle name="하이퍼링크 2 2 2 4 2" xfId="9441"/>
    <cellStyle name="하이퍼링크 2 2 2 4 2 2" xfId="9442"/>
    <cellStyle name="하이퍼링크 2 2 2 4 2 3" xfId="9443"/>
    <cellStyle name="하이퍼링크 2 2 2 4 2 4" xfId="9444"/>
    <cellStyle name="하이퍼링크 2 2 2 4 3" xfId="9445"/>
    <cellStyle name="하이퍼링크 2 2 2 4 3 2" xfId="9446"/>
    <cellStyle name="하이퍼링크 2 2 2 4 3 3" xfId="9447"/>
    <cellStyle name="하이퍼링크 2 2 2 4 3 4" xfId="9448"/>
    <cellStyle name="하이퍼링크 2 2 2 4 4" xfId="9449"/>
    <cellStyle name="하이퍼링크 2 2 2 4 5" xfId="9450"/>
    <cellStyle name="하이퍼링크 2 2 2 4 6" xfId="9451"/>
    <cellStyle name="하이퍼링크 2 2 2 5" xfId="9452"/>
    <cellStyle name="하이퍼링크 2 2 2 5 2" xfId="9453"/>
    <cellStyle name="하이퍼링크 2 2 2 5 3" xfId="9454"/>
    <cellStyle name="하이퍼링크 2 2 2 5 4" xfId="9455"/>
    <cellStyle name="하이퍼링크 2 2 2 6" xfId="9456"/>
    <cellStyle name="하이퍼링크 2 2 2 6 2" xfId="9457"/>
    <cellStyle name="하이퍼링크 2 2 2 6 3" xfId="9458"/>
    <cellStyle name="하이퍼링크 2 2 2 6 4" xfId="9459"/>
    <cellStyle name="하이퍼링크 2 2 2 7" xfId="9460"/>
    <cellStyle name="하이퍼링크 2 2 2 8" xfId="9461"/>
    <cellStyle name="하이퍼링크 2 2 2 9" xfId="9462"/>
    <cellStyle name="하이퍼링크 2 2 3" xfId="9463"/>
    <cellStyle name="하이퍼링크 2 2 3 2" xfId="9464"/>
    <cellStyle name="하이퍼링크 2 2 3 2 2" xfId="9465"/>
    <cellStyle name="하이퍼링크 2 2 3 2 2 2" xfId="9466"/>
    <cellStyle name="하이퍼링크 2 2 3 2 2 3" xfId="9467"/>
    <cellStyle name="하이퍼링크 2 2 3 2 2 4" xfId="9468"/>
    <cellStyle name="하이퍼링크 2 2 3 2 3" xfId="9469"/>
    <cellStyle name="하이퍼링크 2 2 3 2 3 2" xfId="9470"/>
    <cellStyle name="하이퍼링크 2 2 3 2 3 3" xfId="9471"/>
    <cellStyle name="하이퍼링크 2 2 3 2 3 4" xfId="9472"/>
    <cellStyle name="하이퍼링크 2 2 3 2 4" xfId="9473"/>
    <cellStyle name="하이퍼링크 2 2 3 2 5" xfId="9474"/>
    <cellStyle name="하이퍼링크 2 2 3 2 6" xfId="9475"/>
    <cellStyle name="하이퍼링크 2 2 3 3" xfId="9476"/>
    <cellStyle name="하이퍼링크 2 2 3 3 2" xfId="9477"/>
    <cellStyle name="하이퍼링크 2 2 3 3 2 2" xfId="9478"/>
    <cellStyle name="하이퍼링크 2 2 3 3 2 3" xfId="9479"/>
    <cellStyle name="하이퍼링크 2 2 3 3 2 4" xfId="9480"/>
    <cellStyle name="하이퍼링크 2 2 3 3 3" xfId="9481"/>
    <cellStyle name="하이퍼링크 2 2 3 3 3 2" xfId="9482"/>
    <cellStyle name="하이퍼링크 2 2 3 3 3 3" xfId="9483"/>
    <cellStyle name="하이퍼링크 2 2 3 3 3 4" xfId="9484"/>
    <cellStyle name="하이퍼링크 2 2 3 3 4" xfId="9485"/>
    <cellStyle name="하이퍼링크 2 2 3 3 5" xfId="9486"/>
    <cellStyle name="하이퍼링크 2 2 3 3 6" xfId="9487"/>
    <cellStyle name="하이퍼링크 2 2 3 4" xfId="9488"/>
    <cellStyle name="하이퍼링크 2 2 3 4 2" xfId="9489"/>
    <cellStyle name="하이퍼링크 2 2 3 4 3" xfId="9490"/>
    <cellStyle name="하이퍼링크 2 2 3 4 4" xfId="9491"/>
    <cellStyle name="하이퍼링크 2 2 3 5" xfId="9492"/>
    <cellStyle name="하이퍼링크 2 2 3 5 2" xfId="9493"/>
    <cellStyle name="하이퍼링크 2 2 3 5 3" xfId="9494"/>
    <cellStyle name="하이퍼링크 2 2 3 5 4" xfId="9495"/>
    <cellStyle name="하이퍼링크 2 2 3 6" xfId="9496"/>
    <cellStyle name="하이퍼링크 2 2 3 7" xfId="9497"/>
    <cellStyle name="하이퍼링크 2 2 3 8" xfId="9498"/>
    <cellStyle name="하이퍼링크 2 2 4" xfId="9499"/>
    <cellStyle name="하이퍼링크 2 2 4 2" xfId="9500"/>
    <cellStyle name="하이퍼링크 2 2 4 2 2" xfId="9501"/>
    <cellStyle name="하이퍼링크 2 2 4 2 3" xfId="9502"/>
    <cellStyle name="하이퍼링크 2 2 4 2 4" xfId="9503"/>
    <cellStyle name="하이퍼링크 2 2 4 3" xfId="9504"/>
    <cellStyle name="하이퍼링크 2 2 4 3 2" xfId="9505"/>
    <cellStyle name="하이퍼링크 2 2 4 3 3" xfId="9506"/>
    <cellStyle name="하이퍼링크 2 2 4 3 4" xfId="9507"/>
    <cellStyle name="하이퍼링크 2 2 4 4" xfId="9508"/>
    <cellStyle name="하이퍼링크 2 2 4 5" xfId="9509"/>
    <cellStyle name="하이퍼링크 2 2 4 6" xfId="9510"/>
    <cellStyle name="하이퍼링크 2 2 5" xfId="9511"/>
    <cellStyle name="하이퍼링크 2 2 5 2" xfId="9512"/>
    <cellStyle name="하이퍼링크 2 2 5 2 2" xfId="9513"/>
    <cellStyle name="하이퍼링크 2 2 5 2 3" xfId="9514"/>
    <cellStyle name="하이퍼링크 2 2 5 2 4" xfId="9515"/>
    <cellStyle name="하이퍼링크 2 2 5 3" xfId="9516"/>
    <cellStyle name="하이퍼링크 2 2 5 3 2" xfId="9517"/>
    <cellStyle name="하이퍼링크 2 2 5 3 3" xfId="9518"/>
    <cellStyle name="하이퍼링크 2 2 5 3 4" xfId="9519"/>
    <cellStyle name="하이퍼링크 2 2 5 4" xfId="9520"/>
    <cellStyle name="하이퍼링크 2 2 5 5" xfId="9521"/>
    <cellStyle name="하이퍼링크 2 2 5 6" xfId="9522"/>
    <cellStyle name="하이퍼링크 2 2 6" xfId="9523"/>
    <cellStyle name="하이퍼링크 2 2 6 2" xfId="9524"/>
    <cellStyle name="하이퍼링크 2 2 6 3" xfId="9525"/>
    <cellStyle name="하이퍼링크 2 2 6 4" xfId="9526"/>
    <cellStyle name="하이퍼링크 2 2 7" xfId="9527"/>
    <cellStyle name="하이퍼링크 2 2 7 2" xfId="9528"/>
    <cellStyle name="하이퍼링크 2 2 7 3" xfId="9529"/>
    <cellStyle name="하이퍼링크 2 2 7 4" xfId="9530"/>
    <cellStyle name="하이퍼링크 2 2 8" xfId="9531"/>
    <cellStyle name="하이퍼링크 2 2 9" xfId="9532"/>
    <cellStyle name="하이퍼링크 2 3" xfId="9533"/>
    <cellStyle name="하이퍼링크 2 3 2" xfId="9534"/>
    <cellStyle name="하이퍼링크 2 3 2 2" xfId="9535"/>
    <cellStyle name="하이퍼링크 2 3 2 2 2" xfId="9536"/>
    <cellStyle name="하이퍼링크 2 3 2 2 2 2" xfId="9537"/>
    <cellStyle name="하이퍼링크 2 3 2 2 2 3" xfId="9538"/>
    <cellStyle name="하이퍼링크 2 3 2 2 2 4" xfId="9539"/>
    <cellStyle name="하이퍼링크 2 3 2 2 3" xfId="9540"/>
    <cellStyle name="하이퍼링크 2 3 2 2 3 2" xfId="9541"/>
    <cellStyle name="하이퍼링크 2 3 2 2 3 3" xfId="9542"/>
    <cellStyle name="하이퍼링크 2 3 2 2 3 4" xfId="9543"/>
    <cellStyle name="하이퍼링크 2 3 2 2 4" xfId="9544"/>
    <cellStyle name="하이퍼링크 2 3 2 2 5" xfId="9545"/>
    <cellStyle name="하이퍼링크 2 3 2 2 6" xfId="9546"/>
    <cellStyle name="하이퍼링크 2 3 2 3" xfId="9547"/>
    <cellStyle name="하이퍼링크 2 3 2 3 2" xfId="9548"/>
    <cellStyle name="하이퍼링크 2 3 2 3 2 2" xfId="9549"/>
    <cellStyle name="하이퍼링크 2 3 2 3 2 3" xfId="9550"/>
    <cellStyle name="하이퍼링크 2 3 2 3 2 4" xfId="9551"/>
    <cellStyle name="하이퍼링크 2 3 2 3 3" xfId="9552"/>
    <cellStyle name="하이퍼링크 2 3 2 3 3 2" xfId="9553"/>
    <cellStyle name="하이퍼링크 2 3 2 3 3 3" xfId="9554"/>
    <cellStyle name="하이퍼링크 2 3 2 3 3 4" xfId="9555"/>
    <cellStyle name="하이퍼링크 2 3 2 3 4" xfId="9556"/>
    <cellStyle name="하이퍼링크 2 3 2 3 5" xfId="9557"/>
    <cellStyle name="하이퍼링크 2 3 2 3 6" xfId="9558"/>
    <cellStyle name="하이퍼링크 2 3 2 4" xfId="9559"/>
    <cellStyle name="하이퍼링크 2 3 2 4 2" xfId="9560"/>
    <cellStyle name="하이퍼링크 2 3 2 4 3" xfId="9561"/>
    <cellStyle name="하이퍼링크 2 3 2 4 4" xfId="9562"/>
    <cellStyle name="하이퍼링크 2 3 2 5" xfId="9563"/>
    <cellStyle name="하이퍼링크 2 3 2 5 2" xfId="9564"/>
    <cellStyle name="하이퍼링크 2 3 2 5 3" xfId="9565"/>
    <cellStyle name="하이퍼링크 2 3 2 5 4" xfId="9566"/>
    <cellStyle name="하이퍼링크 2 3 2 6" xfId="9567"/>
    <cellStyle name="하이퍼링크 2 3 2 7" xfId="9568"/>
    <cellStyle name="하이퍼링크 2 3 2 8" xfId="9569"/>
    <cellStyle name="하이퍼링크 2 3 3" xfId="9570"/>
    <cellStyle name="하이퍼링크 2 3 3 2" xfId="9571"/>
    <cellStyle name="하이퍼링크 2 3 3 2 2" xfId="9572"/>
    <cellStyle name="하이퍼링크 2 3 3 2 3" xfId="9573"/>
    <cellStyle name="하이퍼링크 2 3 3 2 4" xfId="9574"/>
    <cellStyle name="하이퍼링크 2 3 3 3" xfId="9575"/>
    <cellStyle name="하이퍼링크 2 3 3 3 2" xfId="9576"/>
    <cellStyle name="하이퍼링크 2 3 3 3 3" xfId="9577"/>
    <cellStyle name="하이퍼링크 2 3 3 3 4" xfId="9578"/>
    <cellStyle name="하이퍼링크 2 3 3 4" xfId="9579"/>
    <cellStyle name="하이퍼링크 2 3 3 5" xfId="9580"/>
    <cellStyle name="하이퍼링크 2 3 3 6" xfId="9581"/>
    <cellStyle name="하이퍼링크 2 3 4" xfId="9582"/>
    <cellStyle name="하이퍼링크 2 3 4 2" xfId="9583"/>
    <cellStyle name="하이퍼링크 2 3 4 2 2" xfId="9584"/>
    <cellStyle name="하이퍼링크 2 3 4 2 3" xfId="9585"/>
    <cellStyle name="하이퍼링크 2 3 4 2 4" xfId="9586"/>
    <cellStyle name="하이퍼링크 2 3 4 3" xfId="9587"/>
    <cellStyle name="하이퍼링크 2 3 4 3 2" xfId="9588"/>
    <cellStyle name="하이퍼링크 2 3 4 3 3" xfId="9589"/>
    <cellStyle name="하이퍼링크 2 3 4 3 4" xfId="9590"/>
    <cellStyle name="하이퍼링크 2 3 4 4" xfId="9591"/>
    <cellStyle name="하이퍼링크 2 3 4 5" xfId="9592"/>
    <cellStyle name="하이퍼링크 2 3 4 6" xfId="9593"/>
    <cellStyle name="하이퍼링크 2 3 5" xfId="9594"/>
    <cellStyle name="하이퍼링크 2 3 5 2" xfId="9595"/>
    <cellStyle name="하이퍼링크 2 3 5 3" xfId="9596"/>
    <cellStyle name="하이퍼링크 2 3 5 4" xfId="9597"/>
    <cellStyle name="하이퍼링크 2 3 6" xfId="9598"/>
    <cellStyle name="하이퍼링크 2 3 6 2" xfId="9599"/>
    <cellStyle name="하이퍼링크 2 3 6 3" xfId="9600"/>
    <cellStyle name="하이퍼링크 2 3 6 4" xfId="9601"/>
    <cellStyle name="하이퍼링크 2 3 7" xfId="9602"/>
    <cellStyle name="하이퍼링크 2 3 8" xfId="9603"/>
    <cellStyle name="하이퍼링크 2 3 9" xfId="9604"/>
    <cellStyle name="하이퍼링크 2 4" xfId="9605"/>
    <cellStyle name="하이퍼링크 2 4 2" xfId="9606"/>
    <cellStyle name="하이퍼링크 2 4 2 2" xfId="9607"/>
    <cellStyle name="하이퍼링크 2 4 2 3" xfId="9608"/>
    <cellStyle name="하이퍼링크 2 4 2 4" xfId="9609"/>
    <cellStyle name="하이퍼링크 2 4 3" xfId="9610"/>
    <cellStyle name="하이퍼링크 2 4 3 2" xfId="9611"/>
    <cellStyle name="하이퍼링크 2 4 3 3" xfId="9612"/>
    <cellStyle name="하이퍼링크 2 4 3 4" xfId="9613"/>
    <cellStyle name="하이퍼링크 2 4 4" xfId="9614"/>
    <cellStyle name="하이퍼링크 2 4 5" xfId="9615"/>
    <cellStyle name="하이퍼링크 2 4 6" xfId="9616"/>
    <cellStyle name="하이퍼링크 2 5" xfId="9617"/>
    <cellStyle name="하이퍼링크 2 5 2" xfId="9618"/>
    <cellStyle name="하이퍼링크 2 5 2 2" xfId="9619"/>
    <cellStyle name="하이퍼링크 2 5 2 3" xfId="9620"/>
    <cellStyle name="하이퍼링크 2 5 2 4" xfId="9621"/>
    <cellStyle name="하이퍼링크 2 5 3" xfId="9622"/>
    <cellStyle name="하이퍼링크 2 5 3 2" xfId="9623"/>
    <cellStyle name="하이퍼링크 2 5 3 3" xfId="9624"/>
    <cellStyle name="하이퍼링크 2 5 3 4" xfId="9625"/>
    <cellStyle name="하이퍼링크 2 5 4" xfId="9626"/>
    <cellStyle name="하이퍼링크 2 5 5" xfId="9627"/>
    <cellStyle name="하이퍼링크 2 5 6" xfId="9628"/>
    <cellStyle name="하이퍼링크 2 6" xfId="9629"/>
    <cellStyle name="하이퍼링크 2 6 2" xfId="9630"/>
    <cellStyle name="하이퍼링크 2 6 3" xfId="9631"/>
    <cellStyle name="하이퍼링크 2 6 4" xfId="9632"/>
    <cellStyle name="하이퍼링크 2 7" xfId="9633"/>
    <cellStyle name="하이퍼링크 2 7 2" xfId="9634"/>
    <cellStyle name="하이퍼링크 2 7 3" xfId="9635"/>
    <cellStyle name="하이퍼링크 2 7 4" xfId="9636"/>
    <cellStyle name="하이퍼링크 2 8" xfId="9637"/>
    <cellStyle name="하이퍼링크 2 9" xfId="9638"/>
  </cellStyles>
  <dxfs count="6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K20" sqref="K20"/>
    </sheetView>
  </sheetViews>
  <sheetFormatPr defaultColWidth="8.75" defaultRowHeight="15.75"/>
  <cols>
    <col min="2" max="2" width="10.625" customWidth="1"/>
    <col min="3" max="8" width="10" customWidth="1"/>
    <col min="11" max="11" width="8.75" customWidth="1"/>
    <col min="14" max="14" width="10.375" style="99" customWidth="1"/>
    <col min="15" max="18" width="9" style="99" customWidth="1"/>
    <col min="19" max="19" width="13" style="99" customWidth="1"/>
    <col min="20" max="20" width="15.125" style="99" customWidth="1"/>
  </cols>
  <sheetData>
    <row r="2" spans="1:20" ht="26.25">
      <c r="B2" s="97" t="s">
        <v>45</v>
      </c>
      <c r="N2"/>
      <c r="O2"/>
      <c r="P2"/>
      <c r="Q2"/>
      <c r="R2"/>
      <c r="S2"/>
      <c r="T2"/>
    </row>
    <row r="3" spans="1:20" ht="16.5" thickBot="1">
      <c r="N3"/>
      <c r="O3"/>
      <c r="P3"/>
      <c r="Q3"/>
      <c r="R3"/>
      <c r="S3"/>
      <c r="T3"/>
    </row>
    <row r="4" spans="1:20" ht="29.1" customHeight="1" thickBot="1">
      <c r="B4" s="106"/>
      <c r="C4" s="107" t="s">
        <v>26</v>
      </c>
      <c r="D4" s="108" t="s">
        <v>27</v>
      </c>
      <c r="E4" s="109" t="s">
        <v>28</v>
      </c>
      <c r="F4" s="110" t="s">
        <v>58</v>
      </c>
      <c r="G4" s="111" t="s">
        <v>59</v>
      </c>
      <c r="H4" s="112" t="s">
        <v>60</v>
      </c>
      <c r="I4" s="108" t="s">
        <v>42</v>
      </c>
      <c r="J4" s="113" t="s">
        <v>43</v>
      </c>
      <c r="K4" s="109" t="s">
        <v>44</v>
      </c>
      <c r="M4" s="25"/>
      <c r="N4" s="25"/>
      <c r="O4"/>
      <c r="P4"/>
      <c r="Q4"/>
      <c r="R4"/>
      <c r="S4"/>
      <c r="T4"/>
    </row>
    <row r="5" spans="1:20">
      <c r="A5" s="87"/>
      <c r="B5" s="35" t="str">
        <f>'experimental data'!B3</f>
        <v>Balloons</v>
      </c>
      <c r="C5" s="114">
        <f>'experimental data'!U3</f>
        <v>-5.8787786441638623E-5</v>
      </c>
      <c r="D5" s="115">
        <f>'experimental data'!U7</f>
        <v>-2.5062189400582024E-4</v>
      </c>
      <c r="E5" s="116">
        <f>'experimental data'!U11</f>
        <v>-2.1767507703407407E-4</v>
      </c>
      <c r="F5" s="114">
        <f>'experimental data'!U434</f>
        <v>-1.152425565212889E-4</v>
      </c>
      <c r="G5" s="115">
        <f>bdrate('experimental data'!E450:E453,'experimental data'!F434:F437,'experimental data'!M450:M453,'experimental data'!N434:N437)</f>
        <v>-1.0260542845108578E-4</v>
      </c>
      <c r="H5" s="116">
        <f>'experimental data'!U442</f>
        <v>-1.0259822522573625E-4</v>
      </c>
      <c r="I5" s="57">
        <f>'experimental data'!Y51</f>
        <v>1.0401320238903555</v>
      </c>
      <c r="J5" s="101">
        <f>'experimental data'!Z51</f>
        <v>1.1777549255073367</v>
      </c>
      <c r="K5" s="58">
        <f>'experimental data'!AA51</f>
        <v>1.0286611239927654</v>
      </c>
      <c r="L5" s="87"/>
      <c r="M5" s="59"/>
      <c r="N5" s="59"/>
      <c r="O5"/>
      <c r="P5"/>
      <c r="Q5"/>
      <c r="R5"/>
      <c r="S5"/>
      <c r="T5"/>
    </row>
    <row r="6" spans="1:20">
      <c r="A6" s="87"/>
      <c r="B6" s="36" t="str">
        <f>'experimental data'!B55</f>
        <v>Kendo</v>
      </c>
      <c r="C6" s="117">
        <f>'experimental data'!U55</f>
        <v>-1.1335844406812345E-4</v>
      </c>
      <c r="D6" s="118">
        <f>'experimental data'!U59</f>
        <v>-4.6866076160334558E-4</v>
      </c>
      <c r="E6" s="119">
        <f>'experimental data'!U63</f>
        <v>-4.2213589677686514E-4</v>
      </c>
      <c r="F6" s="117">
        <f>'experimental data'!U458</f>
        <v>-2.2475391484833018E-4</v>
      </c>
      <c r="G6" s="118">
        <f>bdrate('experimental data'!E474:E477,'experimental data'!F458:F461,'experimental data'!M474:M477,'experimental data'!N458:N461)</f>
        <v>-1.9344886103966896E-4</v>
      </c>
      <c r="H6" s="119">
        <f>'experimental data'!U466</f>
        <v>-1.9250163930306652E-4</v>
      </c>
      <c r="I6" s="59">
        <f>'experimental data'!Y103</f>
        <v>1.0329737670252512</v>
      </c>
      <c r="J6" s="102">
        <f>'experimental data'!Z103</f>
        <v>1.0767939591697058</v>
      </c>
      <c r="K6" s="55">
        <f>'experimental data'!AA103</f>
        <v>1.0813068516621545</v>
      </c>
      <c r="L6" s="87"/>
      <c r="M6" s="59"/>
      <c r="N6" s="59"/>
      <c r="O6"/>
      <c r="P6"/>
      <c r="Q6"/>
      <c r="R6"/>
      <c r="S6"/>
      <c r="T6"/>
    </row>
    <row r="7" spans="1:20">
      <c r="A7" s="87"/>
      <c r="B7" s="36" t="str">
        <f>'experimental data'!B107</f>
        <v>Newspaper_CC</v>
      </c>
      <c r="C7" s="117">
        <f>'experimental data'!U107</f>
        <v>-4.4352539720682316E-5</v>
      </c>
      <c r="D7" s="118">
        <f>'experimental data'!U111</f>
        <v>-1.8567844075256801E-4</v>
      </c>
      <c r="E7" s="119">
        <f>'experimental data'!U115</f>
        <v>-1.5143735932710012E-4</v>
      </c>
      <c r="F7" s="117">
        <f>'experimental data'!U482</f>
        <v>-8.5805409416606082E-5</v>
      </c>
      <c r="G7" s="118">
        <f>bdrate('experimental data'!E498:E501,'experimental data'!F482:F485,'experimental data'!M498:M501,'experimental data'!N482:N485)</f>
        <v>-7.3500694880546114E-5</v>
      </c>
      <c r="H7" s="119">
        <f>'experimental data'!U490</f>
        <v>-7.3974924962194599E-5</v>
      </c>
      <c r="I7" s="59">
        <f>'experimental data'!Y155</f>
        <v>1.0358871364700968</v>
      </c>
      <c r="J7" s="102">
        <f>'experimental data'!Z155</f>
        <v>1.0700632786856761</v>
      </c>
      <c r="K7" s="55">
        <f>'experimental data'!AA155</f>
        <v>1.0393212667451346</v>
      </c>
      <c r="L7" s="87"/>
      <c r="M7" s="129"/>
      <c r="N7" s="59"/>
      <c r="O7"/>
      <c r="P7"/>
      <c r="Q7"/>
      <c r="R7"/>
      <c r="S7"/>
      <c r="T7"/>
    </row>
    <row r="8" spans="1:20">
      <c r="A8" s="87"/>
      <c r="B8" s="36" t="str">
        <f>'experimental data'!B159</f>
        <v>GT_Fly</v>
      </c>
      <c r="C8" s="117">
        <f>'experimental data'!U159</f>
        <v>-8.5698840612824512E-7</v>
      </c>
      <c r="D8" s="118">
        <f>'experimental data'!U163</f>
        <v>0</v>
      </c>
      <c r="E8" s="119">
        <f>'experimental data'!U167</f>
        <v>0</v>
      </c>
      <c r="F8" s="117">
        <f>'experimental data'!U506</f>
        <v>-7.1305366544649473E-7</v>
      </c>
      <c r="G8" s="118">
        <f>bdrate('experimental data'!E522:E525,'experimental data'!F506:F509,'experimental data'!M522:M525,'experimental data'!N506:N509)</f>
        <v>-6.6013747723747684E-7</v>
      </c>
      <c r="H8" s="119">
        <f>'experimental data'!U514</f>
        <v>-6.6189020908602458E-7</v>
      </c>
      <c r="I8" s="59">
        <f>'experimental data'!Y207</f>
        <v>1.0789781308369319</v>
      </c>
      <c r="J8" s="102">
        <f>'experimental data'!Z207</f>
        <v>1.1131157711916599</v>
      </c>
      <c r="K8" s="55">
        <f>'experimental data'!AA207</f>
        <v>1.0776283034984582</v>
      </c>
      <c r="L8" s="87"/>
      <c r="M8" s="59"/>
      <c r="N8" s="59"/>
      <c r="O8"/>
      <c r="P8"/>
      <c r="Q8"/>
      <c r="R8"/>
      <c r="S8"/>
      <c r="T8"/>
    </row>
    <row r="9" spans="1:20">
      <c r="A9" s="87"/>
      <c r="B9" s="36" t="str">
        <f>'experimental data'!B211</f>
        <v>Poznan_Hall2</v>
      </c>
      <c r="C9" s="117">
        <f>'experimental data'!U211</f>
        <v>-1.0994543391029676E-4</v>
      </c>
      <c r="D9" s="118">
        <f>'experimental data'!U215</f>
        <v>-3.9163437273792567E-4</v>
      </c>
      <c r="E9" s="119">
        <f>'experimental data'!U219</f>
        <v>-3.9011587708370765E-4</v>
      </c>
      <c r="F9" s="117">
        <f>'experimental data'!U530</f>
        <v>-2.0805607016860517E-4</v>
      </c>
      <c r="G9" s="118">
        <f>bdrate('experimental data'!E546:E549,'experimental data'!F530:F533,'experimental data'!M546:M549,'experimental data'!N530:N533)</f>
        <v>-1.8144087537419473E-4</v>
      </c>
      <c r="H9" s="119">
        <f>'experimental data'!U538</f>
        <v>-1.7779472665646612E-4</v>
      </c>
      <c r="I9" s="59">
        <f>'experimental data'!Y259</f>
        <v>1.0347890608507744</v>
      </c>
      <c r="J9" s="102">
        <f>'experimental data'!Z259</f>
        <v>1.1514681246915281</v>
      </c>
      <c r="K9" s="55">
        <f>'experimental data'!AA259</f>
        <v>1.0545309654525941</v>
      </c>
      <c r="L9" s="87"/>
      <c r="M9" s="59"/>
      <c r="N9" s="59"/>
      <c r="O9"/>
      <c r="P9"/>
      <c r="Q9"/>
      <c r="R9"/>
      <c r="S9"/>
      <c r="T9"/>
    </row>
    <row r="10" spans="1:20">
      <c r="A10" s="87"/>
      <c r="B10" s="36" t="str">
        <f>'experimental data'!B263</f>
        <v>Poznan_Street</v>
      </c>
      <c r="C10" s="117">
        <f>'experimental data'!U263</f>
        <v>-1.4482313451802398E-6</v>
      </c>
      <c r="D10" s="118">
        <f>'experimental data'!U267</f>
        <v>0</v>
      </c>
      <c r="E10" s="119">
        <f>'experimental data'!U271</f>
        <v>0</v>
      </c>
      <c r="F10" s="117">
        <f>'experimental data'!U554</f>
        <v>-1.0850472325074634E-6</v>
      </c>
      <c r="G10" s="118">
        <f>bdrate('experimental data'!E570:E573,'experimental data'!F554:F557,'experimental data'!M570:M573,'experimental data'!N554:N557)</f>
        <v>-1.0052440924113171E-6</v>
      </c>
      <c r="H10" s="119">
        <f>'experimental data'!U562</f>
        <v>-9.8612059706848498E-7</v>
      </c>
      <c r="I10" s="59">
        <f>'experimental data'!Y311</f>
        <v>0.97609679224195744</v>
      </c>
      <c r="J10" s="102">
        <f>'experimental data'!Z311</f>
        <v>0.99536808066011706</v>
      </c>
      <c r="K10" s="55">
        <f>'experimental data'!AA311</f>
        <v>1.0001488096034894</v>
      </c>
      <c r="L10" s="87"/>
      <c r="M10" s="59"/>
      <c r="N10" s="59"/>
      <c r="O10"/>
      <c r="P10"/>
      <c r="Q10"/>
      <c r="R10"/>
      <c r="S10"/>
      <c r="T10"/>
    </row>
    <row r="11" spans="1:20">
      <c r="A11" s="87"/>
      <c r="B11" s="36" t="str">
        <f>'experimental data'!B315</f>
        <v>Undo_Dancer</v>
      </c>
      <c r="C11" s="117">
        <f>'experimental data'!U315</f>
        <v>-6.8843139333640835E-7</v>
      </c>
      <c r="D11" s="118">
        <f>'experimental data'!U319</f>
        <v>0</v>
      </c>
      <c r="E11" s="119">
        <f>'experimental data'!U323</f>
        <v>0</v>
      </c>
      <c r="F11" s="117">
        <f>'experimental data'!U578</f>
        <v>-5.3748290596011827E-7</v>
      </c>
      <c r="G11" s="118">
        <f>bdrate('experimental data'!E594:E597,'experimental data'!F578:F581,'experimental data'!M594:M597,'experimental data'!N578:N581)</f>
        <v>-4.998002882672381E-7</v>
      </c>
      <c r="H11" s="119">
        <f>'experimental data'!U586</f>
        <v>-4.9623985898250567E-7</v>
      </c>
      <c r="I11" s="59">
        <f>'experimental data'!Y363</f>
        <v>0.99223324463611096</v>
      </c>
      <c r="J11" s="102">
        <f>'experimental data'!Z363</f>
        <v>1.0454355986346586</v>
      </c>
      <c r="K11" s="55">
        <f>'experimental data'!AA363</f>
        <v>1.0239832369245851</v>
      </c>
      <c r="L11" s="87"/>
      <c r="M11" s="59"/>
      <c r="N11" s="59"/>
      <c r="O11"/>
      <c r="P11"/>
      <c r="Q11"/>
      <c r="R11"/>
      <c r="S11"/>
      <c r="T11"/>
    </row>
    <row r="12" spans="1:20" ht="16.5" thickBot="1">
      <c r="A12" s="87"/>
      <c r="B12" s="50" t="str">
        <f>'experimental data'!B598</f>
        <v>Shark</v>
      </c>
      <c r="C12" s="120">
        <f>'experimental data'!U367</f>
        <v>-6.2517770493819569E-7</v>
      </c>
      <c r="D12" s="121">
        <f>'experimental data'!U371</f>
        <v>0</v>
      </c>
      <c r="E12" s="122">
        <f>'experimental data'!U375</f>
        <v>0</v>
      </c>
      <c r="F12" s="120">
        <f>'experimental data'!U602</f>
        <v>-5.2212419110464481E-7</v>
      </c>
      <c r="G12" s="121">
        <f>bdrate('experimental data'!E618:E621,'experimental data'!F602:F605,'experimental data'!M618:M621,'experimental data'!N602:N605)</f>
        <v>-4.7804253289207566E-7</v>
      </c>
      <c r="H12" s="122">
        <f>'experimental data'!U610</f>
        <v>-4.8048544198930898E-7</v>
      </c>
      <c r="I12" s="61">
        <f>'experimental data'!Y415</f>
        <v>1.0247287069051667</v>
      </c>
      <c r="J12" s="103">
        <f>'experimental data'!Z415</f>
        <v>1.0021270755644338</v>
      </c>
      <c r="K12" s="62">
        <f>'experimental data'!AA415</f>
        <v>0.99290042205587392</v>
      </c>
      <c r="N12"/>
      <c r="O12"/>
      <c r="P12"/>
      <c r="Q12"/>
      <c r="R12"/>
      <c r="S12"/>
      <c r="T12"/>
    </row>
    <row r="13" spans="1:20">
      <c r="A13" s="87"/>
      <c r="B13" s="35" t="s">
        <v>18</v>
      </c>
      <c r="C13" s="114">
        <f t="shared" ref="C13:K13" si="0">AVERAGE(C5:C7)</f>
        <v>-7.2166256743481469E-5</v>
      </c>
      <c r="D13" s="115">
        <f t="shared" si="0"/>
        <v>-3.0165369878724463E-4</v>
      </c>
      <c r="E13" s="116">
        <f t="shared" si="0"/>
        <v>-2.6374944437934644E-4</v>
      </c>
      <c r="F13" s="114">
        <f t="shared" si="0"/>
        <v>-1.4193396026207505E-4</v>
      </c>
      <c r="G13" s="115">
        <f t="shared" si="0"/>
        <v>-1.2318499479043363E-4</v>
      </c>
      <c r="H13" s="116">
        <f t="shared" si="0"/>
        <v>-1.2302492983033245E-4</v>
      </c>
      <c r="I13" s="56">
        <f t="shared" si="0"/>
        <v>1.0363309757952346</v>
      </c>
      <c r="J13" s="101">
        <f t="shared" si="0"/>
        <v>1.1082040544542395</v>
      </c>
      <c r="K13" s="58">
        <f t="shared" si="0"/>
        <v>1.049763080800018</v>
      </c>
      <c r="L13" s="87"/>
      <c r="M13" s="59"/>
      <c r="N13" s="59"/>
      <c r="O13"/>
      <c r="P13"/>
      <c r="Q13"/>
      <c r="R13"/>
      <c r="S13"/>
      <c r="T13"/>
    </row>
    <row r="14" spans="1:20" ht="16.5" thickBot="1">
      <c r="A14" s="87"/>
      <c r="B14" s="36" t="s">
        <v>19</v>
      </c>
      <c r="C14" s="117">
        <f>AVERAGE(C8:C12)</f>
        <v>-2.2712852551975972E-5</v>
      </c>
      <c r="D14" s="118">
        <f t="shared" ref="D14:K14" si="1">AVERAGE(D8:D12)</f>
        <v>-7.8326874547585129E-5</v>
      </c>
      <c r="E14" s="119">
        <f t="shared" si="1"/>
        <v>-7.8023175416741525E-5</v>
      </c>
      <c r="F14" s="120">
        <f t="shared" si="1"/>
        <v>-4.2182755632724778E-5</v>
      </c>
      <c r="G14" s="121">
        <f t="shared" si="1"/>
        <v>-3.6816819953000565E-5</v>
      </c>
      <c r="H14" s="122">
        <f t="shared" si="1"/>
        <v>-3.6083892552718488E-5</v>
      </c>
      <c r="I14" s="60">
        <f t="shared" si="1"/>
        <v>1.0213651870941882</v>
      </c>
      <c r="J14" s="103">
        <f t="shared" si="1"/>
        <v>1.0615029301484795</v>
      </c>
      <c r="K14" s="62">
        <f t="shared" si="1"/>
        <v>1.0298383475070001</v>
      </c>
      <c r="L14" s="87"/>
      <c r="M14" s="59"/>
      <c r="N14" s="59"/>
      <c r="O14"/>
      <c r="P14"/>
      <c r="Q14"/>
      <c r="R14"/>
      <c r="S14"/>
      <c r="T14"/>
    </row>
    <row r="15" spans="1:20" ht="16.5" thickBot="1">
      <c r="A15" s="87"/>
      <c r="B15" s="90" t="s">
        <v>34</v>
      </c>
      <c r="C15" s="123">
        <f>AVERAGE(C5:C12)</f>
        <v>-4.1257879123790531E-5</v>
      </c>
      <c r="D15" s="124">
        <f t="shared" ref="D15:K15" si="2">AVERAGE(D5:D12)</f>
        <v>-1.6207443363745744E-4</v>
      </c>
      <c r="E15" s="125">
        <f t="shared" si="2"/>
        <v>-1.4767052627771837E-4</v>
      </c>
      <c r="F15" s="126">
        <f t="shared" si="2"/>
        <v>-7.9589457368731131E-5</v>
      </c>
      <c r="G15" s="127">
        <f t="shared" si="2"/>
        <v>-6.9204885517037962E-5</v>
      </c>
      <c r="H15" s="128">
        <f t="shared" si="2"/>
        <v>-6.8686781531823726E-5</v>
      </c>
      <c r="I15" s="95">
        <f>AVERAGE(I5:I12)</f>
        <v>1.0269773578570807</v>
      </c>
      <c r="J15" s="104">
        <f t="shared" si="2"/>
        <v>1.0790158517631396</v>
      </c>
      <c r="K15" s="96">
        <f t="shared" si="2"/>
        <v>1.0373101224918819</v>
      </c>
      <c r="M15" s="98"/>
      <c r="N15" s="98"/>
      <c r="O15"/>
      <c r="P15"/>
      <c r="Q15"/>
      <c r="R15"/>
      <c r="S15"/>
      <c r="T15"/>
    </row>
    <row r="16" spans="1:20">
      <c r="A16" s="87"/>
      <c r="J16" s="59"/>
      <c r="K16" s="59"/>
      <c r="N16"/>
      <c r="O16"/>
      <c r="P16"/>
      <c r="Q16"/>
      <c r="R16"/>
      <c r="S16"/>
      <c r="T16"/>
    </row>
    <row r="17" spans="1:20">
      <c r="A17" s="87"/>
      <c r="J17" s="59"/>
      <c r="K17" s="59"/>
      <c r="N17"/>
      <c r="O17"/>
      <c r="P17"/>
      <c r="Q17"/>
      <c r="R17"/>
      <c r="S17"/>
      <c r="T17"/>
    </row>
    <row r="18" spans="1:20" ht="26.25">
      <c r="B18" s="97" t="s">
        <v>46</v>
      </c>
      <c r="N18"/>
      <c r="O18"/>
      <c r="P18"/>
      <c r="Q18"/>
      <c r="R18"/>
      <c r="S18"/>
      <c r="T18"/>
    </row>
    <row r="19" spans="1:20" ht="16.5" thickBot="1">
      <c r="A19" s="87"/>
      <c r="J19" s="59"/>
      <c r="K19" s="59"/>
      <c r="N19"/>
      <c r="O19"/>
      <c r="P19"/>
      <c r="Q19"/>
      <c r="R19"/>
      <c r="S19"/>
      <c r="T19"/>
    </row>
    <row r="20" spans="1:20" ht="29.1" customHeight="1" thickBot="1">
      <c r="A20" s="87"/>
      <c r="B20" s="106"/>
      <c r="C20" s="107" t="s">
        <v>26</v>
      </c>
      <c r="D20" s="108" t="s">
        <v>27</v>
      </c>
      <c r="E20" s="110" t="s">
        <v>58</v>
      </c>
      <c r="F20" s="111" t="s">
        <v>59</v>
      </c>
      <c r="G20" s="112" t="s">
        <v>60</v>
      </c>
      <c r="I20" s="59"/>
      <c r="J20" s="59"/>
      <c r="N20"/>
      <c r="O20"/>
      <c r="P20"/>
      <c r="Q20"/>
      <c r="R20"/>
      <c r="S20"/>
      <c r="T20"/>
    </row>
    <row r="21" spans="1:20">
      <c r="A21" s="87"/>
      <c r="B21" s="35" t="str">
        <f>'experimental data'!B3</f>
        <v>Balloons</v>
      </c>
      <c r="C21" s="8">
        <f>'experimental data'!U3</f>
        <v>-5.8787786441638623E-5</v>
      </c>
      <c r="D21" s="9">
        <f>'experimental data'!U7</f>
        <v>-2.5062189400582024E-4</v>
      </c>
      <c r="E21" s="8">
        <f>'experimental data'!U430</f>
        <v>-9.4318133108117763E-5</v>
      </c>
      <c r="F21" s="9">
        <f>bdrate('experimental data'!E446:E449,'experimental data'!F430:F433,'experimental data'!M446:M449,'experimental data'!N430:N433)</f>
        <v>-8.6548040560074924E-5</v>
      </c>
      <c r="G21" s="10">
        <f>'experimental data'!U438</f>
        <v>-8.617699373503207E-5</v>
      </c>
      <c r="H21" s="17"/>
      <c r="I21" s="18"/>
      <c r="J21" s="18"/>
      <c r="K21" s="87"/>
      <c r="N21"/>
      <c r="O21"/>
      <c r="P21"/>
      <c r="Q21"/>
      <c r="R21"/>
      <c r="S21"/>
      <c r="T21"/>
    </row>
    <row r="22" spans="1:20">
      <c r="A22" s="87"/>
      <c r="B22" s="36" t="str">
        <f>'experimental data'!B55</f>
        <v>Kendo</v>
      </c>
      <c r="C22" s="17">
        <f>'experimental data'!U55</f>
        <v>-1.1335844406812345E-4</v>
      </c>
      <c r="D22" s="18">
        <f>'experimental data'!U59</f>
        <v>-4.6866076160334558E-4</v>
      </c>
      <c r="E22" s="17">
        <f>'experimental data'!U454</f>
        <v>-1.8406118063818422E-4</v>
      </c>
      <c r="F22" s="18">
        <f>bdrate('experimental data'!E470:E473,'experimental data'!F454:F457,'experimental data'!M470:M473,'experimental data'!N454:N457)</f>
        <v>-1.6439172770399413E-4</v>
      </c>
      <c r="G22" s="19">
        <f>'experimental data'!U462</f>
        <v>-1.6318182878749532E-4</v>
      </c>
      <c r="H22" s="17"/>
      <c r="I22" s="18"/>
      <c r="J22" s="18"/>
      <c r="K22" s="87"/>
      <c r="L22" s="87"/>
      <c r="N22"/>
      <c r="O22"/>
      <c r="P22"/>
      <c r="Q22"/>
      <c r="R22"/>
      <c r="S22"/>
      <c r="T22"/>
    </row>
    <row r="23" spans="1:20">
      <c r="A23" s="87"/>
      <c r="B23" s="36" t="str">
        <f>'experimental data'!B107</f>
        <v>Newspaper_CC</v>
      </c>
      <c r="C23" s="17">
        <f>'experimental data'!U107</f>
        <v>-4.4352539720682316E-5</v>
      </c>
      <c r="D23" s="18">
        <f>'experimental data'!U111</f>
        <v>-1.8567844075256801E-4</v>
      </c>
      <c r="E23" s="17">
        <f>'experimental data'!U478</f>
        <v>-7.1287952366438923E-5</v>
      </c>
      <c r="F23" s="18">
        <f>bdrate('experimental data'!E494:E497,'experimental data'!F478:F481,'experimental data'!M494:M497,'experimental data'!N478:N481)</f>
        <v>-6.2613571090941456E-5</v>
      </c>
      <c r="G23" s="19">
        <f>'experimental data'!U486</f>
        <v>-6.3133030650752708E-5</v>
      </c>
      <c r="H23" s="17"/>
      <c r="I23" s="18"/>
      <c r="J23" s="18"/>
      <c r="K23" s="87"/>
      <c r="L23" s="87"/>
      <c r="N23"/>
      <c r="O23"/>
      <c r="P23"/>
      <c r="Q23"/>
      <c r="R23"/>
      <c r="S23"/>
      <c r="T23"/>
    </row>
    <row r="24" spans="1:20">
      <c r="A24" s="87"/>
      <c r="B24" s="36" t="str">
        <f>'experimental data'!B159</f>
        <v>GT_Fly</v>
      </c>
      <c r="C24" s="17">
        <f>'experimental data'!U159</f>
        <v>-8.5698840612824512E-7</v>
      </c>
      <c r="D24" s="18">
        <f>'experimental data'!U163</f>
        <v>0</v>
      </c>
      <c r="E24" s="17">
        <f>'experimental data'!U502</f>
        <v>-7.8163340988535168E-7</v>
      </c>
      <c r="F24" s="18">
        <f>bdrate('experimental data'!E518:E521,'experimental data'!F502:F505,'experimental data'!M518:M521,'experimental data'!N502:N505)</f>
        <v>-7.3407987488671722E-7</v>
      </c>
      <c r="G24" s="19">
        <f>'experimental data'!U510</f>
        <v>-7.380963894521031E-7</v>
      </c>
      <c r="H24" s="17"/>
      <c r="I24" s="18"/>
      <c r="J24" s="18"/>
      <c r="K24" s="87"/>
      <c r="L24" s="87"/>
      <c r="N24"/>
      <c r="O24"/>
      <c r="P24"/>
      <c r="Q24"/>
      <c r="R24"/>
      <c r="S24"/>
      <c r="T24"/>
    </row>
    <row r="25" spans="1:20">
      <c r="A25" s="87"/>
      <c r="B25" s="36" t="str">
        <f>'experimental data'!B211</f>
        <v>Poznan_Hall2</v>
      </c>
      <c r="C25" s="17">
        <f>'experimental data'!U211</f>
        <v>-1.0994543391029676E-4</v>
      </c>
      <c r="D25" s="18">
        <f>'experimental data'!U215</f>
        <v>-3.9163437273792567E-4</v>
      </c>
      <c r="E25" s="17">
        <f>'experimental data'!U526</f>
        <v>-1.6934608540419838E-4</v>
      </c>
      <c r="F25" s="18">
        <f>bdrate('experimental data'!E542:E545,'experimental data'!F526:F529,'experimental data'!M542:M545,'experimental data'!N526:N529)</f>
        <v>-1.523511499167407E-4</v>
      </c>
      <c r="G25" s="19">
        <f>'experimental data'!U534</f>
        <v>-1.4931815615948363E-4</v>
      </c>
      <c r="H25" s="17"/>
      <c r="I25" s="18"/>
      <c r="J25" s="18"/>
      <c r="K25" s="87"/>
      <c r="L25" s="87"/>
      <c r="N25"/>
      <c r="O25"/>
      <c r="P25"/>
      <c r="Q25"/>
      <c r="R25"/>
      <c r="S25"/>
      <c r="T25"/>
    </row>
    <row r="26" spans="1:20">
      <c r="A26" s="87"/>
      <c r="B26" s="36" t="str">
        <f>'experimental data'!B263</f>
        <v>Poznan_Street</v>
      </c>
      <c r="C26" s="17">
        <f>'experimental data'!U263</f>
        <v>-1.4482313451802398E-6</v>
      </c>
      <c r="D26" s="18">
        <f>'experimental data'!U267</f>
        <v>0</v>
      </c>
      <c r="E26" s="17">
        <f>'experimental data'!U550</f>
        <v>-1.2396821260640678E-6</v>
      </c>
      <c r="F26" s="18">
        <f>bdrate('experimental data'!E566:E569,'experimental data'!F550:F553,'experimental data'!M566:M569,'experimental data'!N550:N553)</f>
        <v>-1.1699747876070532E-6</v>
      </c>
      <c r="G26" s="19">
        <f>'experimental data'!U558</f>
        <v>-1.146447052513544E-6</v>
      </c>
      <c r="H26" s="17"/>
      <c r="I26" s="18"/>
      <c r="J26" s="18"/>
      <c r="K26" s="87"/>
      <c r="L26" s="87"/>
      <c r="N26"/>
      <c r="O26"/>
      <c r="P26"/>
      <c r="Q26"/>
      <c r="R26"/>
      <c r="S26"/>
      <c r="T26"/>
    </row>
    <row r="27" spans="1:20">
      <c r="A27" s="87"/>
      <c r="B27" s="36" t="str">
        <f>'experimental data'!B315</f>
        <v>Undo_Dancer</v>
      </c>
      <c r="C27" s="17">
        <f>'experimental data'!U315</f>
        <v>-6.8843139333640835E-7</v>
      </c>
      <c r="D27" s="18">
        <f>'experimental data'!U319</f>
        <v>0</v>
      </c>
      <c r="E27" s="17">
        <f>'experimental data'!U574</f>
        <v>-6.0260988365978818E-7</v>
      </c>
      <c r="F27" s="18">
        <f>bdrate('experimental data'!E590:E593,'experimental data'!F574:F577,'experimental data'!M590:M593,'experimental data'!N574:N577)</f>
        <v>-5.6821505234339043E-7</v>
      </c>
      <c r="G27" s="19">
        <f>'experimental data'!U582</f>
        <v>-5.6532565795297529E-7</v>
      </c>
      <c r="H27" s="17"/>
      <c r="I27" s="18"/>
      <c r="J27" s="18"/>
      <c r="K27" s="87"/>
      <c r="L27" s="87"/>
      <c r="N27"/>
      <c r="O27"/>
      <c r="P27"/>
      <c r="Q27"/>
      <c r="R27"/>
      <c r="S27"/>
      <c r="T27"/>
    </row>
    <row r="28" spans="1:20" ht="16.5" thickBot="1">
      <c r="A28" s="87"/>
      <c r="B28" s="50" t="str">
        <f>'experimental data'!B598</f>
        <v>Shark</v>
      </c>
      <c r="C28" s="88">
        <f>'experimental data'!U367</f>
        <v>-6.2517770493819569E-7</v>
      </c>
      <c r="D28" s="72">
        <f>'experimental data'!U371</f>
        <v>0</v>
      </c>
      <c r="E28" s="88">
        <f>'experimental data'!U598</f>
        <v>-5.6993885544365241E-7</v>
      </c>
      <c r="F28" s="72">
        <f>bdrate('experimental data'!E614:E617,'experimental data'!F598:F601,'experimental data'!M614:M617,'experimental data'!N598:N601)</f>
        <v>-5.3076220718484279E-7</v>
      </c>
      <c r="G28" s="89">
        <f>'experimental data'!U606</f>
        <v>-5.3393531485035339E-7</v>
      </c>
      <c r="H28" s="18"/>
      <c r="I28" s="59"/>
      <c r="J28" s="59"/>
      <c r="K28" s="59"/>
      <c r="L28" s="87"/>
      <c r="M28" s="87"/>
    </row>
    <row r="29" spans="1:20">
      <c r="A29" s="87"/>
      <c r="B29" s="35" t="s">
        <v>18</v>
      </c>
      <c r="C29" s="8">
        <f>AVERAGE(C21:C23)</f>
        <v>-7.2166256743481469E-5</v>
      </c>
      <c r="D29" s="9">
        <f>AVERAGE(D21:D23)</f>
        <v>-3.0165369878724463E-4</v>
      </c>
      <c r="E29" s="8">
        <f>AVERAGE(E21:E23)</f>
        <v>-1.1655575537091363E-4</v>
      </c>
      <c r="F29" s="9">
        <f>AVERAGE(F21:F23)</f>
        <v>-1.045177797850035E-4</v>
      </c>
      <c r="G29" s="10">
        <f>AVERAGE(G21:G23)</f>
        <v>-1.0416395105776004E-4</v>
      </c>
      <c r="H29" s="54"/>
      <c r="I29" s="59"/>
      <c r="J29" s="59"/>
      <c r="K29" s="87"/>
      <c r="L29" s="87"/>
      <c r="N29"/>
      <c r="O29"/>
      <c r="P29"/>
      <c r="Q29"/>
      <c r="R29"/>
      <c r="S29"/>
      <c r="T29"/>
    </row>
    <row r="30" spans="1:20" ht="16.5" thickBot="1">
      <c r="A30" s="87"/>
      <c r="B30" s="36" t="s">
        <v>19</v>
      </c>
      <c r="C30" s="17">
        <f>AVERAGE(C24:C28)</f>
        <v>-2.2712852551975972E-5</v>
      </c>
      <c r="D30" s="18">
        <f>AVERAGE(D24:D28)</f>
        <v>-7.8326874547585129E-5</v>
      </c>
      <c r="E30" s="88">
        <f>AVERAGE(E24:E28)</f>
        <v>-3.4507989935850246E-5</v>
      </c>
      <c r="F30" s="72">
        <f>AVERAGE(F24:F28)</f>
        <v>-3.107083636775254E-5</v>
      </c>
      <c r="G30" s="89">
        <f>AVERAGE(G24:G28)</f>
        <v>-3.0460392114850521E-5</v>
      </c>
      <c r="H30" s="59"/>
      <c r="I30" s="59"/>
      <c r="J30" s="59"/>
      <c r="K30" s="87"/>
      <c r="L30" s="87"/>
      <c r="N30"/>
      <c r="O30"/>
      <c r="P30"/>
      <c r="Q30"/>
      <c r="R30"/>
      <c r="S30"/>
      <c r="T30"/>
    </row>
    <row r="31" spans="1:20" ht="16.5" thickBot="1">
      <c r="A31" s="87"/>
      <c r="B31" s="90" t="s">
        <v>34</v>
      </c>
      <c r="C31" s="91">
        <f>AVERAGE(C21:C28)</f>
        <v>-4.1257879123790531E-5</v>
      </c>
      <c r="D31" s="92">
        <f>AVERAGE(D21:D28)</f>
        <v>-1.6207443363745744E-4</v>
      </c>
      <c r="E31" s="93">
        <f>AVERAGE(E21:E28)</f>
        <v>-6.5275901973999018E-5</v>
      </c>
      <c r="F31" s="105">
        <f>AVERAGE(F21:F28)</f>
        <v>-5.8613440149221652E-5</v>
      </c>
      <c r="G31" s="94">
        <f>AVERAGE(G21:G28)</f>
        <v>-5.8099226718441588E-5</v>
      </c>
      <c r="H31" s="59"/>
      <c r="I31" s="59"/>
      <c r="J31" s="59"/>
      <c r="K31" s="87"/>
      <c r="L31" s="87"/>
      <c r="N31"/>
      <c r="O31"/>
      <c r="P31"/>
      <c r="Q31"/>
      <c r="R31"/>
      <c r="S31"/>
      <c r="T31"/>
    </row>
    <row r="32" spans="1:20">
      <c r="A32" s="87"/>
      <c r="I32" s="59"/>
      <c r="J32" s="59"/>
      <c r="K32" s="59"/>
      <c r="L32" s="87"/>
      <c r="M32" s="87"/>
    </row>
    <row r="33" spans="1:13">
      <c r="A33" s="87"/>
      <c r="B33" s="87"/>
      <c r="C33" s="18"/>
      <c r="D33" s="18"/>
      <c r="E33" s="18"/>
      <c r="F33" s="18"/>
      <c r="G33" s="18"/>
      <c r="H33" s="18"/>
      <c r="I33" s="59"/>
      <c r="J33" s="59"/>
      <c r="K33" s="59"/>
      <c r="L33" s="87"/>
      <c r="M33" s="87"/>
    </row>
    <row r="34" spans="1:13">
      <c r="A34" s="87"/>
      <c r="B34" s="87"/>
      <c r="C34" s="18"/>
      <c r="D34" s="18"/>
      <c r="E34" s="18"/>
      <c r="F34" s="18"/>
      <c r="G34" s="18"/>
      <c r="H34" s="18"/>
      <c r="I34" s="59"/>
      <c r="J34" s="59"/>
      <c r="K34" s="59"/>
      <c r="L34" s="87"/>
      <c r="M34" s="87"/>
    </row>
    <row r="35" spans="1:13">
      <c r="A35" s="87"/>
      <c r="B35" s="87"/>
      <c r="C35" s="18"/>
      <c r="D35" s="18"/>
      <c r="E35" s="18"/>
      <c r="F35" s="18"/>
      <c r="G35" s="18"/>
      <c r="H35" s="18"/>
      <c r="I35" s="59"/>
      <c r="J35" s="59"/>
      <c r="K35" s="59"/>
      <c r="L35" s="87"/>
      <c r="M35" s="87"/>
    </row>
    <row r="36" spans="1:13">
      <c r="A36" s="87"/>
      <c r="B36" s="87"/>
      <c r="C36" s="18"/>
      <c r="D36" s="18"/>
      <c r="E36" s="18"/>
      <c r="F36" s="18"/>
      <c r="G36" s="18"/>
      <c r="H36" s="18"/>
      <c r="I36" s="59"/>
      <c r="J36" s="59"/>
      <c r="K36" s="59"/>
      <c r="L36" s="87"/>
      <c r="M36" s="87"/>
    </row>
    <row r="37" spans="1:13">
      <c r="A37" s="87"/>
      <c r="B37" s="87"/>
      <c r="C37" s="18"/>
      <c r="D37" s="18"/>
      <c r="E37" s="18"/>
      <c r="F37" s="18"/>
      <c r="G37" s="18"/>
      <c r="H37" s="18"/>
      <c r="I37" s="59"/>
      <c r="J37" s="59"/>
      <c r="K37" s="59"/>
      <c r="L37" s="87"/>
      <c r="M37" s="87"/>
    </row>
    <row r="38" spans="1:13">
      <c r="A38" s="87"/>
      <c r="B38" s="87"/>
      <c r="C38" s="18"/>
      <c r="D38" s="18"/>
      <c r="E38" s="18"/>
      <c r="F38" s="18"/>
      <c r="G38" s="18"/>
      <c r="H38" s="18"/>
      <c r="I38" s="59"/>
      <c r="J38" s="59"/>
      <c r="K38" s="59"/>
      <c r="L38" s="87"/>
      <c r="M38" s="87"/>
    </row>
    <row r="39" spans="1:13">
      <c r="A39" s="87"/>
      <c r="B39" s="87"/>
      <c r="C39" s="18"/>
      <c r="D39" s="18"/>
      <c r="E39" s="18"/>
      <c r="F39" s="18"/>
      <c r="G39" s="18"/>
      <c r="H39" s="18"/>
      <c r="I39" s="59"/>
      <c r="J39" s="59"/>
      <c r="K39" s="59"/>
      <c r="L39" s="87"/>
      <c r="M39" s="87"/>
    </row>
    <row r="40" spans="1:13">
      <c r="A40" s="87"/>
      <c r="B40" s="87"/>
      <c r="C40" s="18"/>
      <c r="D40" s="18"/>
      <c r="E40" s="18"/>
      <c r="F40" s="18"/>
      <c r="G40" s="18"/>
      <c r="H40" s="18"/>
      <c r="I40" s="59"/>
      <c r="J40" s="59"/>
      <c r="K40" s="59"/>
      <c r="L40" s="87"/>
      <c r="M40" s="87"/>
    </row>
    <row r="41" spans="1:13">
      <c r="A41" s="87"/>
      <c r="B41" s="87"/>
      <c r="C41" s="18"/>
      <c r="D41" s="18"/>
      <c r="E41" s="18"/>
      <c r="F41" s="18"/>
      <c r="G41" s="18"/>
      <c r="H41" s="18"/>
      <c r="I41" s="59"/>
      <c r="J41" s="59"/>
      <c r="K41" s="59"/>
      <c r="L41" s="87"/>
      <c r="M41" s="87"/>
    </row>
    <row r="42" spans="1:13">
      <c r="A42" s="87"/>
      <c r="B42" s="87"/>
      <c r="C42" s="18"/>
      <c r="D42" s="18"/>
      <c r="E42" s="18"/>
      <c r="F42" s="18"/>
      <c r="G42" s="18"/>
      <c r="H42" s="18"/>
      <c r="I42" s="59"/>
      <c r="J42" s="59"/>
      <c r="K42" s="59"/>
      <c r="L42" s="87"/>
      <c r="M42" s="87"/>
    </row>
    <row r="43" spans="1:13">
      <c r="A43" s="87"/>
      <c r="B43" s="87"/>
      <c r="C43" s="18"/>
      <c r="D43" s="18"/>
      <c r="E43" s="18"/>
      <c r="F43" s="18"/>
      <c r="G43" s="18"/>
      <c r="H43" s="18"/>
      <c r="I43" s="59"/>
      <c r="J43" s="59"/>
      <c r="K43" s="59"/>
      <c r="L43" s="87"/>
      <c r="M43" s="87"/>
    </row>
    <row r="44" spans="1:13">
      <c r="A44" s="87"/>
      <c r="B44" s="87"/>
      <c r="C44" s="18"/>
      <c r="D44" s="18"/>
      <c r="E44" s="18"/>
      <c r="F44" s="18"/>
      <c r="G44" s="18"/>
      <c r="H44" s="18"/>
      <c r="I44" s="59"/>
      <c r="J44" s="59"/>
      <c r="K44" s="59"/>
      <c r="L44" s="87"/>
      <c r="M44" s="87"/>
    </row>
    <row r="45" spans="1:13">
      <c r="A45" s="87"/>
      <c r="B45" s="87"/>
      <c r="C45" s="18"/>
      <c r="D45" s="18"/>
      <c r="E45" s="18"/>
      <c r="F45" s="18"/>
      <c r="G45" s="18"/>
      <c r="H45" s="18"/>
      <c r="I45" s="59"/>
      <c r="J45" s="59"/>
      <c r="K45" s="59"/>
      <c r="L45" s="87"/>
      <c r="M45" s="87"/>
    </row>
    <row r="46" spans="1:13">
      <c r="A46" s="87"/>
      <c r="B46" s="87"/>
      <c r="C46" s="18"/>
      <c r="D46" s="18"/>
      <c r="E46" s="18"/>
      <c r="F46" s="18"/>
      <c r="G46" s="18"/>
      <c r="H46" s="18"/>
      <c r="I46" s="59"/>
      <c r="J46" s="59"/>
      <c r="K46" s="59"/>
      <c r="L46" s="87"/>
      <c r="M46" s="87"/>
    </row>
    <row r="47" spans="1:13">
      <c r="A47" s="87"/>
      <c r="B47" s="87"/>
      <c r="C47" s="18"/>
      <c r="D47" s="18"/>
      <c r="E47" s="18"/>
      <c r="F47" s="18"/>
      <c r="G47" s="18"/>
      <c r="H47" s="18"/>
      <c r="I47" s="59"/>
      <c r="J47" s="59"/>
      <c r="K47" s="59"/>
      <c r="L47" s="87"/>
      <c r="M47" s="87"/>
    </row>
    <row r="48" spans="1:13">
      <c r="A48" s="87"/>
      <c r="B48" s="87"/>
      <c r="C48" s="18"/>
      <c r="D48" s="18"/>
      <c r="E48" s="18"/>
      <c r="F48" s="18"/>
      <c r="G48" s="18"/>
      <c r="H48" s="18"/>
      <c r="I48" s="59"/>
      <c r="J48" s="59"/>
      <c r="K48" s="59"/>
      <c r="L48" s="87"/>
      <c r="M48" s="87"/>
    </row>
    <row r="49" spans="1:14">
      <c r="A49" s="87"/>
      <c r="I49" s="59"/>
      <c r="J49" s="59"/>
      <c r="K49" s="59"/>
      <c r="L49" s="87"/>
      <c r="M49" s="87"/>
    </row>
    <row r="50" spans="1:14">
      <c r="A50" s="87"/>
      <c r="I50" s="59"/>
      <c r="J50" s="59"/>
      <c r="K50" s="59"/>
      <c r="L50" s="87"/>
      <c r="M50" s="87"/>
    </row>
    <row r="51" spans="1:14">
      <c r="A51" s="87"/>
      <c r="I51" s="59"/>
      <c r="J51" s="59"/>
      <c r="K51" s="59"/>
      <c r="L51" s="87"/>
      <c r="M51" s="87"/>
    </row>
    <row r="52" spans="1:14">
      <c r="A52" s="87"/>
      <c r="I52" s="59"/>
      <c r="J52" s="59"/>
      <c r="K52" s="59"/>
      <c r="L52" s="87"/>
      <c r="M52" s="87"/>
    </row>
    <row r="53" spans="1:14">
      <c r="A53" s="87"/>
      <c r="I53" s="59"/>
      <c r="J53" s="59"/>
      <c r="K53" s="59"/>
      <c r="L53" s="87"/>
      <c r="M53" s="87"/>
    </row>
    <row r="54" spans="1:14">
      <c r="A54" s="87"/>
      <c r="I54" s="59"/>
      <c r="J54" s="59"/>
      <c r="K54" s="59"/>
      <c r="L54" s="87"/>
      <c r="M54" s="87"/>
    </row>
    <row r="55" spans="1:14">
      <c r="A55" s="87"/>
      <c r="B55" s="87"/>
      <c r="C55" s="18"/>
      <c r="D55" s="18"/>
      <c r="E55" s="18"/>
      <c r="F55" s="18"/>
      <c r="G55" s="18"/>
      <c r="H55" s="18"/>
      <c r="I55" s="59"/>
      <c r="J55" s="59"/>
      <c r="K55" s="59"/>
      <c r="L55" s="87"/>
      <c r="M55" s="87"/>
    </row>
    <row r="56" spans="1:14">
      <c r="A56" s="87"/>
      <c r="B56" s="87"/>
      <c r="C56" s="18"/>
      <c r="D56" s="18"/>
      <c r="E56" s="18"/>
      <c r="F56" s="18"/>
      <c r="G56" s="18"/>
      <c r="H56" s="18"/>
      <c r="I56" s="87"/>
      <c r="J56" s="87"/>
    </row>
    <row r="57" spans="1:14">
      <c r="A57" s="87"/>
      <c r="B57" s="87"/>
      <c r="C57" s="18"/>
      <c r="D57" s="18"/>
      <c r="E57" s="18"/>
      <c r="F57" s="18"/>
      <c r="G57" s="18"/>
      <c r="H57" s="18"/>
      <c r="I57" s="87"/>
      <c r="J57" s="87"/>
      <c r="L57" s="87"/>
      <c r="M57" s="87"/>
      <c r="N57" s="100"/>
    </row>
    <row r="58" spans="1:14">
      <c r="A58" s="87"/>
      <c r="B58" s="87"/>
      <c r="C58" s="18"/>
      <c r="D58" s="18"/>
      <c r="E58" s="18"/>
      <c r="F58" s="18"/>
      <c r="G58" s="18"/>
      <c r="H58" s="18"/>
      <c r="I58" s="87"/>
      <c r="J58" s="87"/>
      <c r="L58" s="87"/>
      <c r="M58" s="87"/>
      <c r="N58" s="100"/>
    </row>
    <row r="59" spans="1:14">
      <c r="A59" s="87"/>
      <c r="B59" s="87"/>
      <c r="C59" s="18"/>
      <c r="D59" s="18"/>
      <c r="E59" s="18"/>
      <c r="F59" s="18"/>
      <c r="G59" s="18"/>
      <c r="H59" s="18"/>
      <c r="I59" s="87"/>
      <c r="J59" s="87"/>
      <c r="L59" s="87"/>
      <c r="M59" s="87"/>
      <c r="N59" s="100"/>
    </row>
    <row r="60" spans="1:14">
      <c r="A60" s="87"/>
      <c r="B60" s="87"/>
      <c r="C60" s="18"/>
      <c r="D60" s="18"/>
      <c r="E60" s="18"/>
      <c r="F60" s="18"/>
      <c r="G60" s="18"/>
      <c r="H60" s="18"/>
      <c r="I60" s="87"/>
      <c r="J60" s="87"/>
      <c r="L60" s="87"/>
      <c r="M60" s="87"/>
      <c r="N60" s="100"/>
    </row>
    <row r="61" spans="1:14">
      <c r="A61" s="87"/>
      <c r="B61" s="87"/>
      <c r="C61" s="18"/>
      <c r="D61" s="18"/>
      <c r="E61" s="18"/>
      <c r="F61" s="18"/>
      <c r="G61" s="18"/>
      <c r="H61" s="18"/>
      <c r="I61" s="87"/>
      <c r="J61" s="87"/>
      <c r="L61" s="87"/>
      <c r="M61" s="87"/>
      <c r="N61" s="100"/>
    </row>
    <row r="62" spans="1:14">
      <c r="A62" s="87"/>
      <c r="B62" s="87"/>
      <c r="C62" s="18"/>
      <c r="D62" s="18"/>
      <c r="E62" s="18"/>
      <c r="F62" s="18"/>
      <c r="G62" s="18"/>
      <c r="H62" s="18"/>
      <c r="I62" s="59"/>
      <c r="J62" s="59"/>
      <c r="K62" s="59"/>
      <c r="L62" s="87"/>
      <c r="M62" s="87"/>
      <c r="N62" s="100"/>
    </row>
    <row r="63" spans="1:14">
      <c r="A63" s="87"/>
      <c r="B63" s="87"/>
      <c r="C63" s="18"/>
      <c r="D63" s="18"/>
      <c r="E63" s="18"/>
      <c r="F63" s="18"/>
      <c r="G63" s="18"/>
      <c r="H63" s="18"/>
      <c r="I63" s="59"/>
      <c r="J63" s="59"/>
      <c r="K63" s="59"/>
      <c r="L63" s="87"/>
      <c r="M63" s="87"/>
      <c r="N63" s="100"/>
    </row>
    <row r="64" spans="1:14">
      <c r="A64" s="87"/>
      <c r="B64" s="87"/>
      <c r="C64" s="18"/>
      <c r="D64" s="18"/>
      <c r="E64" s="18"/>
      <c r="F64" s="18"/>
      <c r="G64" s="18"/>
      <c r="H64" s="18"/>
      <c r="I64" s="59"/>
      <c r="J64" s="59"/>
      <c r="K64" s="59"/>
      <c r="L64" s="87"/>
      <c r="M64" s="87"/>
      <c r="N64" s="100"/>
    </row>
    <row r="65" spans="1:14">
      <c r="A65" s="87"/>
      <c r="B65" s="87"/>
      <c r="C65" s="18"/>
      <c r="D65" s="18"/>
      <c r="E65" s="18"/>
      <c r="F65" s="18"/>
      <c r="G65" s="18"/>
      <c r="H65" s="18"/>
      <c r="I65" s="59"/>
      <c r="J65" s="59"/>
      <c r="K65" s="59"/>
      <c r="L65" s="87"/>
      <c r="M65" s="87"/>
      <c r="N65" s="100"/>
    </row>
    <row r="66" spans="1:14">
      <c r="A66" s="87"/>
      <c r="B66" s="87"/>
      <c r="C66" s="18"/>
      <c r="D66" s="18"/>
      <c r="E66" s="18"/>
      <c r="F66" s="18"/>
      <c r="G66" s="18"/>
      <c r="H66" s="18"/>
      <c r="I66" s="59"/>
      <c r="J66" s="59"/>
      <c r="K66" s="59"/>
      <c r="L66" s="87"/>
      <c r="M66" s="87"/>
      <c r="N66" s="100"/>
    </row>
    <row r="67" spans="1:14">
      <c r="A67" s="87"/>
      <c r="B67" s="87"/>
      <c r="C67" s="18"/>
      <c r="D67" s="18"/>
      <c r="E67" s="18"/>
      <c r="F67" s="18"/>
      <c r="G67" s="18"/>
      <c r="H67" s="18"/>
      <c r="I67" s="59"/>
      <c r="J67" s="59"/>
      <c r="K67" s="59"/>
      <c r="L67" s="87"/>
      <c r="M67" s="87"/>
      <c r="N67" s="100"/>
    </row>
    <row r="68" spans="1:14">
      <c r="A68" s="87"/>
      <c r="B68" s="87"/>
      <c r="C68" s="18"/>
      <c r="D68" s="18"/>
      <c r="E68" s="18"/>
      <c r="F68" s="18"/>
      <c r="G68" s="18"/>
      <c r="H68" s="18"/>
      <c r="I68" s="59"/>
      <c r="J68" s="59"/>
      <c r="K68" s="59"/>
      <c r="L68" s="87"/>
      <c r="M68" s="87"/>
      <c r="N68" s="100"/>
    </row>
    <row r="69" spans="1:14">
      <c r="A69" s="87"/>
      <c r="B69" s="87"/>
      <c r="C69" s="18"/>
      <c r="D69" s="18"/>
      <c r="E69" s="18"/>
      <c r="F69" s="18"/>
      <c r="G69" s="18"/>
      <c r="H69" s="18"/>
      <c r="I69" s="59"/>
      <c r="J69" s="59"/>
      <c r="K69" s="59"/>
      <c r="L69" s="87"/>
      <c r="M69" s="87"/>
      <c r="N69" s="100"/>
    </row>
    <row r="70" spans="1:14">
      <c r="A70" s="87"/>
      <c r="B70" s="87"/>
      <c r="C70" s="18"/>
      <c r="D70" s="18"/>
      <c r="E70" s="18"/>
      <c r="F70" s="18"/>
      <c r="G70" s="18"/>
      <c r="H70" s="18"/>
      <c r="I70" s="59"/>
      <c r="J70" s="59"/>
      <c r="K70" s="59"/>
      <c r="L70" s="87"/>
      <c r="M70" s="87"/>
      <c r="N70" s="100"/>
    </row>
    <row r="71" spans="1:14">
      <c r="A71" s="87"/>
      <c r="B71" s="87"/>
      <c r="C71" s="18"/>
      <c r="D71" s="18"/>
      <c r="E71" s="18"/>
      <c r="F71" s="18"/>
      <c r="G71" s="18"/>
      <c r="H71" s="18"/>
      <c r="I71" s="59"/>
      <c r="J71" s="59"/>
      <c r="K71" s="59"/>
      <c r="L71" s="87"/>
      <c r="M71" s="87"/>
      <c r="N71" s="100"/>
    </row>
    <row r="72" spans="1:14">
      <c r="A72" s="87"/>
      <c r="B72" s="87"/>
      <c r="C72" s="18"/>
      <c r="D72" s="18"/>
      <c r="E72" s="18"/>
      <c r="F72" s="18"/>
      <c r="G72" s="18"/>
      <c r="H72" s="18"/>
      <c r="I72" s="59"/>
      <c r="J72" s="59"/>
      <c r="K72" s="59"/>
      <c r="L72" s="87"/>
      <c r="M72" s="87"/>
      <c r="N72" s="100"/>
    </row>
    <row r="73" spans="1:14">
      <c r="A73" s="87"/>
      <c r="I73" s="59"/>
      <c r="J73" s="59"/>
      <c r="K73" s="59"/>
      <c r="L73" s="87"/>
      <c r="M73" s="87"/>
      <c r="N73" s="100"/>
    </row>
    <row r="74" spans="1:14">
      <c r="A74" s="87"/>
      <c r="I74" s="59"/>
      <c r="J74" s="59"/>
      <c r="K74" s="59"/>
      <c r="L74" s="87"/>
      <c r="M74" s="87"/>
      <c r="N74" s="100"/>
    </row>
    <row r="75" spans="1:14">
      <c r="A75" s="87"/>
      <c r="I75" s="59"/>
      <c r="J75" s="59"/>
      <c r="K75" s="59"/>
      <c r="L75" s="87"/>
      <c r="M75" s="87"/>
      <c r="N75" s="100"/>
    </row>
    <row r="76" spans="1:14">
      <c r="A76" s="87"/>
      <c r="I76" s="59"/>
      <c r="J76" s="59"/>
      <c r="K76" s="59"/>
      <c r="L76" s="87"/>
      <c r="M76" s="87"/>
      <c r="N76" s="100"/>
    </row>
    <row r="77" spans="1:14">
      <c r="A77" s="87"/>
      <c r="I77" s="59"/>
      <c r="J77" s="59"/>
      <c r="K77" s="59"/>
      <c r="L77" s="87"/>
      <c r="M77" s="87"/>
      <c r="N77" s="100"/>
    </row>
    <row r="78" spans="1:14">
      <c r="A78" s="87"/>
      <c r="B78" s="87"/>
      <c r="C78" s="18"/>
      <c r="D78" s="18"/>
      <c r="E78" s="18"/>
      <c r="F78" s="18"/>
      <c r="G78" s="18"/>
      <c r="H78" s="18"/>
      <c r="I78" s="59"/>
      <c r="J78" s="59"/>
      <c r="K78" s="59"/>
      <c r="L78" s="87"/>
      <c r="M78" s="87"/>
      <c r="N78" s="100"/>
    </row>
    <row r="79" spans="1:14">
      <c r="A79" s="87"/>
      <c r="B79" s="87"/>
      <c r="C79" s="18"/>
      <c r="D79" s="18"/>
      <c r="E79" s="18"/>
      <c r="F79" s="18"/>
      <c r="G79" s="18"/>
      <c r="H79" s="18"/>
      <c r="I79" s="59"/>
      <c r="J79" s="59"/>
      <c r="K79" s="59"/>
      <c r="L79" s="87"/>
      <c r="M79" s="87"/>
      <c r="N79" s="100"/>
    </row>
    <row r="80" spans="1:14">
      <c r="A80" s="87"/>
      <c r="B80" s="87"/>
      <c r="C80" s="18"/>
      <c r="D80" s="18"/>
      <c r="E80" s="18"/>
      <c r="F80" s="18"/>
      <c r="G80" s="18"/>
      <c r="H80" s="18"/>
      <c r="I80" s="59"/>
      <c r="J80" s="59"/>
      <c r="K80" s="59"/>
      <c r="L80" s="87"/>
      <c r="M80" s="87"/>
      <c r="N80" s="100"/>
    </row>
    <row r="81" spans="1:14">
      <c r="A81" s="87"/>
      <c r="B81" s="87"/>
      <c r="C81" s="18"/>
      <c r="D81" s="18"/>
      <c r="E81" s="18"/>
      <c r="F81" s="18"/>
      <c r="G81" s="18"/>
      <c r="H81" s="18"/>
      <c r="I81" s="59"/>
      <c r="J81" s="59"/>
      <c r="K81" s="59"/>
      <c r="L81" s="87"/>
      <c r="M81" s="87"/>
      <c r="N81" s="100"/>
    </row>
    <row r="82" spans="1:14">
      <c r="A82" s="87"/>
      <c r="B82" s="87"/>
      <c r="C82" s="18"/>
      <c r="D82" s="18"/>
      <c r="E82" s="18"/>
      <c r="F82" s="18"/>
      <c r="G82" s="18"/>
      <c r="H82" s="18"/>
      <c r="I82" s="59"/>
      <c r="J82" s="59"/>
      <c r="K82" s="59"/>
      <c r="L82" s="87"/>
      <c r="M82" s="87"/>
      <c r="N82" s="100"/>
    </row>
    <row r="83" spans="1:14">
      <c r="A83" s="87"/>
      <c r="B83" s="87"/>
      <c r="C83" s="18"/>
      <c r="D83" s="18"/>
      <c r="E83" s="18"/>
      <c r="F83" s="18"/>
      <c r="G83" s="18"/>
      <c r="H83" s="18"/>
      <c r="I83" s="59"/>
      <c r="J83" s="59"/>
      <c r="K83" s="59"/>
      <c r="L83" s="87"/>
      <c r="M83" s="87"/>
      <c r="N83" s="100"/>
    </row>
    <row r="84" spans="1:14">
      <c r="A84" s="87"/>
      <c r="B84" s="87"/>
      <c r="C84" s="18"/>
      <c r="D84" s="18"/>
      <c r="E84" s="18"/>
      <c r="F84" s="18"/>
      <c r="G84" s="18"/>
      <c r="H84" s="18"/>
      <c r="I84" s="59"/>
      <c r="J84" s="59"/>
      <c r="K84" s="59"/>
      <c r="L84" s="87"/>
      <c r="M84" s="87"/>
      <c r="N84" s="100"/>
    </row>
    <row r="85" spans="1:14">
      <c r="A85" s="87"/>
      <c r="B85" s="87"/>
      <c r="C85" s="18"/>
      <c r="D85" s="18"/>
      <c r="E85" s="18"/>
      <c r="F85" s="18"/>
      <c r="G85" s="18"/>
      <c r="H85" s="18"/>
      <c r="I85" s="59"/>
      <c r="J85" s="59"/>
      <c r="K85" s="59"/>
      <c r="L85" s="87"/>
      <c r="M85" s="87"/>
      <c r="N85" s="100"/>
    </row>
    <row r="86" spans="1:14">
      <c r="A86" s="87"/>
      <c r="B86" s="87"/>
      <c r="C86" s="18"/>
      <c r="D86" s="18"/>
      <c r="E86" s="18"/>
      <c r="F86" s="18"/>
      <c r="G86" s="18"/>
      <c r="H86" s="18"/>
      <c r="I86" s="59"/>
      <c r="J86" s="59"/>
      <c r="K86" s="59"/>
      <c r="L86" s="87"/>
      <c r="M86" s="87"/>
      <c r="N86" s="100"/>
    </row>
    <row r="87" spans="1:14">
      <c r="A87" s="87"/>
      <c r="B87" s="87"/>
      <c r="C87" s="18"/>
      <c r="D87" s="18"/>
      <c r="E87" s="18"/>
      <c r="F87" s="18"/>
      <c r="G87" s="18"/>
      <c r="H87" s="18"/>
      <c r="I87" s="59"/>
      <c r="J87" s="59"/>
      <c r="K87" s="59"/>
      <c r="L87" s="87"/>
      <c r="M87" s="87"/>
      <c r="N87" s="100"/>
    </row>
    <row r="88" spans="1:14">
      <c r="A88" s="87"/>
      <c r="B88" s="87"/>
      <c r="C88" s="18"/>
      <c r="D88" s="18"/>
      <c r="E88" s="18"/>
      <c r="F88" s="18"/>
      <c r="G88" s="18"/>
      <c r="H88" s="18"/>
      <c r="I88" s="59"/>
      <c r="J88" s="59"/>
      <c r="K88" s="59"/>
      <c r="L88" s="87"/>
      <c r="M88" s="87"/>
      <c r="N88" s="100"/>
    </row>
    <row r="89" spans="1:14">
      <c r="A89" s="87"/>
      <c r="B89" s="87"/>
      <c r="C89" s="18"/>
      <c r="D89" s="18"/>
      <c r="E89" s="18"/>
      <c r="F89" s="18"/>
      <c r="G89" s="18"/>
      <c r="H89" s="18"/>
      <c r="I89" s="59"/>
      <c r="J89" s="59"/>
      <c r="K89" s="59"/>
      <c r="L89" s="87"/>
      <c r="M89" s="87"/>
      <c r="N89" s="100"/>
    </row>
    <row r="90" spans="1:14">
      <c r="A90" s="87"/>
      <c r="B90" s="87"/>
      <c r="C90" s="18"/>
      <c r="D90" s="18"/>
      <c r="E90" s="18"/>
      <c r="F90" s="18"/>
      <c r="G90" s="18"/>
      <c r="H90" s="18"/>
      <c r="I90" s="59"/>
      <c r="J90" s="59"/>
      <c r="K90" s="59"/>
      <c r="L90" s="87"/>
      <c r="M90" s="87"/>
      <c r="N90" s="100"/>
    </row>
    <row r="91" spans="1:14">
      <c r="A91" s="87"/>
      <c r="B91" s="87"/>
      <c r="C91" s="18"/>
      <c r="D91" s="18"/>
      <c r="E91" s="18"/>
      <c r="F91" s="18"/>
      <c r="G91" s="18"/>
      <c r="H91" s="18"/>
      <c r="I91" s="59"/>
      <c r="J91" s="59"/>
      <c r="K91" s="59"/>
      <c r="L91" s="87"/>
      <c r="M91" s="87"/>
      <c r="N91" s="100"/>
    </row>
    <row r="92" spans="1:14">
      <c r="A92" s="87"/>
      <c r="B92" s="87"/>
      <c r="C92" s="18"/>
      <c r="D92" s="18"/>
      <c r="E92" s="18"/>
      <c r="F92" s="18"/>
      <c r="G92" s="18"/>
      <c r="H92" s="18"/>
      <c r="I92" s="59"/>
      <c r="J92" s="59"/>
      <c r="K92" s="59"/>
      <c r="L92" s="87"/>
      <c r="M92" s="87"/>
      <c r="N92" s="100"/>
    </row>
    <row r="93" spans="1:14">
      <c r="A93" s="87"/>
      <c r="B93" s="87"/>
      <c r="C93" s="18"/>
      <c r="D93" s="18"/>
      <c r="E93" s="18"/>
      <c r="F93" s="18"/>
      <c r="G93" s="18"/>
      <c r="H93" s="18"/>
      <c r="I93" s="59"/>
      <c r="J93" s="59"/>
      <c r="K93" s="59"/>
      <c r="L93" s="87"/>
      <c r="M93" s="87"/>
      <c r="N93" s="100"/>
    </row>
    <row r="94" spans="1:14">
      <c r="A94" s="87"/>
      <c r="B94" s="87"/>
      <c r="C94" s="18"/>
      <c r="D94" s="18"/>
      <c r="E94" s="18"/>
      <c r="F94" s="18"/>
      <c r="G94" s="18"/>
      <c r="H94" s="18"/>
      <c r="I94" s="59"/>
      <c r="J94" s="59"/>
      <c r="K94" s="59"/>
      <c r="L94" s="87"/>
      <c r="M94" s="87"/>
      <c r="N94" s="100"/>
    </row>
    <row r="95" spans="1:14">
      <c r="A95" s="87"/>
      <c r="B95" s="87"/>
      <c r="C95" s="18"/>
      <c r="D95" s="18"/>
      <c r="E95" s="18"/>
      <c r="F95" s="18"/>
      <c r="G95" s="18"/>
      <c r="H95" s="18"/>
      <c r="I95" s="59"/>
      <c r="J95" s="59"/>
      <c r="K95" s="59"/>
      <c r="L95" s="87"/>
      <c r="M95" s="87"/>
      <c r="N95" s="100"/>
    </row>
    <row r="96" spans="1:14">
      <c r="A96" s="87"/>
      <c r="B96" s="87"/>
      <c r="C96" s="18"/>
      <c r="D96" s="18"/>
      <c r="E96" s="18"/>
      <c r="F96" s="18"/>
      <c r="G96" s="18"/>
      <c r="H96" s="18"/>
      <c r="I96" s="59"/>
      <c r="J96" s="59"/>
      <c r="K96" s="59"/>
      <c r="L96" s="87"/>
      <c r="M96" s="87"/>
      <c r="N96" s="100"/>
    </row>
    <row r="97" spans="1:14">
      <c r="A97" s="87"/>
      <c r="I97" s="59"/>
      <c r="J97" s="59"/>
      <c r="K97" s="59"/>
      <c r="L97" s="87"/>
      <c r="M97" s="87"/>
      <c r="N97" s="100"/>
    </row>
    <row r="98" spans="1:14">
      <c r="A98" s="87"/>
      <c r="I98" s="59"/>
      <c r="J98" s="59"/>
      <c r="K98" s="59"/>
      <c r="L98" s="87"/>
      <c r="M98" s="87"/>
      <c r="N98" s="100"/>
    </row>
    <row r="99" spans="1:14">
      <c r="A99" s="87"/>
      <c r="I99" s="59"/>
      <c r="J99" s="59"/>
      <c r="K99" s="59"/>
      <c r="L99" s="87"/>
      <c r="M99" s="87"/>
      <c r="N99" s="100"/>
    </row>
    <row r="100" spans="1:14">
      <c r="A100" s="87"/>
      <c r="I100" s="59"/>
      <c r="J100" s="59"/>
      <c r="K100" s="59"/>
      <c r="L100" s="87"/>
      <c r="M100" s="87"/>
      <c r="N100" s="100"/>
    </row>
    <row r="101" spans="1:14">
      <c r="A101" s="87"/>
      <c r="B101" s="87"/>
      <c r="C101" s="18"/>
      <c r="D101" s="18"/>
      <c r="E101" s="18"/>
      <c r="F101" s="18"/>
      <c r="G101" s="18"/>
      <c r="H101" s="18"/>
      <c r="I101" s="59"/>
      <c r="J101" s="59"/>
      <c r="K101" s="59"/>
      <c r="L101" s="87"/>
      <c r="M101" s="87"/>
      <c r="N101" s="100"/>
    </row>
    <row r="102" spans="1:14">
      <c r="A102" s="87"/>
      <c r="B102" s="87"/>
      <c r="C102" s="18"/>
      <c r="D102" s="18"/>
      <c r="E102" s="18"/>
      <c r="F102" s="18"/>
      <c r="G102" s="18"/>
      <c r="H102" s="18"/>
      <c r="I102" s="59"/>
      <c r="J102" s="59"/>
      <c r="K102" s="59"/>
      <c r="L102" s="87"/>
      <c r="M102" s="87"/>
      <c r="N102" s="100"/>
    </row>
    <row r="103" spans="1:14">
      <c r="A103" s="87"/>
      <c r="B103" s="87"/>
      <c r="C103" s="18"/>
      <c r="D103" s="18"/>
      <c r="E103" s="18"/>
      <c r="F103" s="18"/>
      <c r="G103" s="18"/>
      <c r="H103" s="18"/>
      <c r="I103" s="59"/>
      <c r="J103" s="59"/>
      <c r="K103" s="59"/>
      <c r="L103" s="87"/>
      <c r="M103" s="87"/>
      <c r="N103" s="100"/>
    </row>
    <row r="104" spans="1:14">
      <c r="A104" s="87"/>
      <c r="B104" s="87"/>
      <c r="C104" s="18"/>
      <c r="D104" s="18"/>
      <c r="E104" s="18"/>
      <c r="F104" s="18"/>
      <c r="G104" s="18"/>
      <c r="H104" s="18"/>
      <c r="I104" s="59"/>
      <c r="J104" s="59"/>
      <c r="K104" s="59"/>
      <c r="L104" s="87"/>
      <c r="M104" s="87"/>
      <c r="N104" s="100"/>
    </row>
    <row r="105" spans="1:14">
      <c r="A105" s="87"/>
      <c r="B105" s="87"/>
      <c r="C105" s="18"/>
      <c r="D105" s="18"/>
      <c r="E105" s="18"/>
      <c r="F105" s="18"/>
      <c r="G105" s="18"/>
      <c r="H105" s="18"/>
      <c r="I105" s="59"/>
      <c r="J105" s="59"/>
      <c r="K105" s="59"/>
      <c r="L105" s="87"/>
      <c r="M105" s="87"/>
      <c r="N105" s="100"/>
    </row>
    <row r="106" spans="1:14">
      <c r="A106" s="87"/>
      <c r="B106" s="87"/>
      <c r="C106" s="18"/>
      <c r="D106" s="18"/>
      <c r="E106" s="18"/>
      <c r="F106" s="18"/>
      <c r="G106" s="18"/>
      <c r="H106" s="18"/>
      <c r="I106" s="59"/>
      <c r="J106" s="59"/>
      <c r="K106" s="59"/>
      <c r="L106" s="87"/>
      <c r="M106" s="87"/>
      <c r="N106" s="100"/>
    </row>
    <row r="107" spans="1:14">
      <c r="A107" s="87"/>
      <c r="B107" s="87"/>
      <c r="C107" s="18"/>
      <c r="D107" s="18"/>
      <c r="E107" s="18"/>
      <c r="F107" s="18"/>
      <c r="G107" s="18"/>
      <c r="H107" s="18"/>
      <c r="I107" s="59"/>
      <c r="J107" s="59"/>
      <c r="K107" s="59"/>
      <c r="L107" s="87"/>
      <c r="M107" s="87"/>
      <c r="N107" s="100"/>
    </row>
    <row r="108" spans="1:14">
      <c r="A108" s="87"/>
      <c r="B108" s="87"/>
      <c r="C108" s="18"/>
      <c r="D108" s="18"/>
      <c r="E108" s="18"/>
      <c r="F108" s="18"/>
      <c r="G108" s="18"/>
      <c r="H108" s="18"/>
      <c r="I108" s="87"/>
      <c r="J108" s="87"/>
    </row>
    <row r="109" spans="1:14">
      <c r="A109" s="87"/>
      <c r="B109" s="87"/>
      <c r="C109" s="18"/>
      <c r="D109" s="18"/>
      <c r="E109" s="18"/>
      <c r="F109" s="18"/>
      <c r="G109" s="18"/>
      <c r="H109" s="18"/>
      <c r="I109" s="87"/>
      <c r="J109" s="87"/>
      <c r="L109" s="87"/>
      <c r="M109" s="87"/>
      <c r="N109" s="100"/>
    </row>
    <row r="110" spans="1:14">
      <c r="A110" s="87"/>
      <c r="B110" s="87"/>
      <c r="C110" s="18"/>
      <c r="D110" s="18"/>
      <c r="E110" s="18"/>
      <c r="F110" s="18"/>
      <c r="G110" s="18"/>
      <c r="H110" s="18"/>
      <c r="I110" s="87"/>
      <c r="J110" s="87"/>
      <c r="L110" s="87"/>
      <c r="M110" s="87"/>
      <c r="N110" s="100"/>
    </row>
    <row r="111" spans="1:14">
      <c r="A111" s="87"/>
      <c r="B111" s="87"/>
      <c r="C111" s="18"/>
      <c r="D111" s="18"/>
      <c r="E111" s="18"/>
      <c r="F111" s="18"/>
      <c r="G111" s="18"/>
      <c r="H111" s="18"/>
      <c r="I111" s="87"/>
      <c r="J111" s="87"/>
      <c r="L111" s="87"/>
      <c r="M111" s="87"/>
      <c r="N111" s="100"/>
    </row>
    <row r="112" spans="1:14">
      <c r="A112" s="87"/>
      <c r="B112" s="87"/>
      <c r="C112" s="18"/>
      <c r="D112" s="18"/>
      <c r="E112" s="18"/>
      <c r="F112" s="18"/>
      <c r="G112" s="18"/>
      <c r="H112" s="18"/>
      <c r="I112" s="87"/>
      <c r="J112" s="87"/>
      <c r="K112" s="87"/>
      <c r="L112" s="87"/>
      <c r="M112" s="87"/>
      <c r="N112" s="100"/>
    </row>
    <row r="113" spans="1:14">
      <c r="A113" s="87"/>
      <c r="B113" s="87"/>
      <c r="C113" s="18"/>
      <c r="D113" s="18"/>
      <c r="E113" s="18"/>
      <c r="F113" s="18"/>
      <c r="G113" s="18"/>
      <c r="H113" s="18"/>
      <c r="I113" s="59"/>
      <c r="J113" s="59"/>
      <c r="K113" s="59"/>
      <c r="L113" s="87"/>
      <c r="M113" s="87"/>
      <c r="N113" s="100"/>
    </row>
    <row r="114" spans="1:14">
      <c r="A114" s="87"/>
      <c r="B114" s="87"/>
      <c r="C114" s="18"/>
      <c r="D114" s="18"/>
      <c r="E114" s="18"/>
      <c r="F114" s="18"/>
      <c r="G114" s="18"/>
      <c r="H114" s="18"/>
      <c r="I114" s="59"/>
      <c r="J114" s="59"/>
      <c r="K114" s="59"/>
      <c r="L114" s="87"/>
      <c r="M114" s="87"/>
      <c r="N114" s="100"/>
    </row>
    <row r="115" spans="1:14">
      <c r="A115" s="87"/>
      <c r="B115" s="87"/>
      <c r="C115" s="18"/>
      <c r="D115" s="18"/>
      <c r="E115" s="18"/>
      <c r="F115" s="18"/>
      <c r="G115" s="18"/>
      <c r="H115" s="18"/>
      <c r="I115" s="59"/>
      <c r="J115" s="59"/>
      <c r="K115" s="59"/>
      <c r="L115" s="87"/>
      <c r="M115" s="87"/>
      <c r="N115" s="100"/>
    </row>
    <row r="116" spans="1:14">
      <c r="A116" s="87"/>
      <c r="B116" s="87"/>
      <c r="C116" s="18"/>
      <c r="D116" s="18"/>
      <c r="E116" s="18"/>
      <c r="F116" s="18"/>
      <c r="G116" s="18"/>
      <c r="H116" s="18"/>
      <c r="I116" s="59"/>
      <c r="J116" s="59"/>
      <c r="K116" s="59"/>
      <c r="L116" s="87"/>
      <c r="M116" s="87"/>
      <c r="N116" s="100"/>
    </row>
    <row r="117" spans="1:14">
      <c r="A117" s="87"/>
      <c r="B117" s="87"/>
      <c r="C117" s="18"/>
      <c r="D117" s="18"/>
      <c r="E117" s="18"/>
      <c r="F117" s="18"/>
      <c r="G117" s="18"/>
      <c r="H117" s="18"/>
      <c r="I117" s="59"/>
      <c r="J117" s="59"/>
      <c r="K117" s="59"/>
      <c r="L117" s="87"/>
      <c r="M117" s="87"/>
      <c r="N117" s="100"/>
    </row>
    <row r="118" spans="1:14">
      <c r="A118" s="87"/>
      <c r="B118" s="87"/>
      <c r="C118" s="18"/>
      <c r="D118" s="18"/>
      <c r="E118" s="18"/>
      <c r="F118" s="18"/>
      <c r="G118" s="18"/>
      <c r="H118" s="18"/>
      <c r="I118" s="59"/>
      <c r="J118" s="59"/>
      <c r="K118" s="59"/>
      <c r="L118" s="87"/>
      <c r="M118" s="87"/>
      <c r="N118" s="100"/>
    </row>
    <row r="119" spans="1:14">
      <c r="A119" s="87"/>
      <c r="B119" s="87"/>
      <c r="C119" s="18"/>
      <c r="D119" s="18"/>
      <c r="E119" s="18"/>
      <c r="F119" s="18"/>
      <c r="G119" s="18"/>
      <c r="H119" s="18"/>
      <c r="I119" s="59"/>
      <c r="J119" s="59"/>
      <c r="K119" s="59"/>
      <c r="L119" s="87"/>
      <c r="M119" s="87"/>
      <c r="N119" s="100"/>
    </row>
    <row r="120" spans="1:14">
      <c r="A120" s="87"/>
      <c r="B120" s="87"/>
      <c r="C120" s="18"/>
      <c r="D120" s="18"/>
      <c r="E120" s="18"/>
      <c r="F120" s="18"/>
      <c r="G120" s="18"/>
      <c r="H120" s="18"/>
      <c r="I120" s="59"/>
      <c r="J120" s="59"/>
      <c r="K120" s="59"/>
      <c r="L120" s="87"/>
      <c r="M120" s="87"/>
      <c r="N120" s="100"/>
    </row>
    <row r="121" spans="1:14">
      <c r="A121" s="87"/>
      <c r="I121" s="59"/>
      <c r="J121" s="59"/>
      <c r="K121" s="59"/>
      <c r="L121" s="87"/>
      <c r="M121" s="87"/>
      <c r="N121" s="100"/>
    </row>
    <row r="122" spans="1:14">
      <c r="A122" s="87"/>
      <c r="I122" s="59"/>
      <c r="J122" s="59"/>
      <c r="K122" s="59"/>
      <c r="L122" s="87"/>
      <c r="M122" s="87"/>
      <c r="N122" s="100"/>
    </row>
    <row r="123" spans="1:14">
      <c r="A123" s="87"/>
      <c r="I123" s="59"/>
      <c r="J123" s="59"/>
      <c r="K123" s="59"/>
      <c r="L123" s="87"/>
      <c r="M123" s="87"/>
      <c r="N123" s="100"/>
    </row>
    <row r="124" spans="1:14">
      <c r="A124" s="87"/>
      <c r="B124" s="87"/>
      <c r="C124" s="18"/>
      <c r="D124" s="18"/>
      <c r="E124" s="18"/>
      <c r="F124" s="18"/>
      <c r="G124" s="18"/>
      <c r="H124" s="18"/>
      <c r="I124" s="59"/>
      <c r="J124" s="59"/>
      <c r="K124" s="59"/>
      <c r="L124" s="87"/>
      <c r="M124" s="87"/>
      <c r="N124" s="100"/>
    </row>
    <row r="125" spans="1:14">
      <c r="A125" s="87"/>
      <c r="B125" s="87"/>
      <c r="C125" s="18"/>
      <c r="D125" s="18"/>
      <c r="E125" s="18"/>
      <c r="F125" s="18"/>
      <c r="G125" s="18"/>
      <c r="H125" s="18"/>
      <c r="I125" s="59"/>
      <c r="J125" s="59"/>
      <c r="K125" s="59"/>
      <c r="L125" s="87"/>
      <c r="M125" s="87"/>
      <c r="N125" s="100"/>
    </row>
    <row r="126" spans="1:14">
      <c r="A126" s="87"/>
      <c r="B126" s="87"/>
      <c r="C126" s="18"/>
      <c r="D126" s="18"/>
      <c r="E126" s="18"/>
      <c r="F126" s="18"/>
      <c r="G126" s="18"/>
      <c r="H126" s="18"/>
      <c r="I126" s="59"/>
      <c r="J126" s="59"/>
      <c r="K126" s="59"/>
      <c r="L126" s="87"/>
      <c r="M126" s="87"/>
      <c r="N126" s="100"/>
    </row>
    <row r="127" spans="1:14">
      <c r="A127" s="87"/>
      <c r="B127" s="87"/>
      <c r="C127" s="18"/>
      <c r="D127" s="18"/>
      <c r="E127" s="18"/>
      <c r="F127" s="18"/>
      <c r="G127" s="18"/>
      <c r="H127" s="18"/>
      <c r="I127" s="59"/>
      <c r="J127" s="59"/>
      <c r="K127" s="59"/>
      <c r="L127" s="87"/>
      <c r="M127" s="87"/>
      <c r="N127" s="100"/>
    </row>
    <row r="128" spans="1:14">
      <c r="A128" s="87"/>
      <c r="B128" s="87"/>
      <c r="C128" s="18"/>
      <c r="D128" s="18"/>
      <c r="E128" s="18"/>
      <c r="F128" s="18"/>
      <c r="G128" s="18"/>
      <c r="H128" s="18"/>
      <c r="I128" s="59"/>
      <c r="J128" s="59"/>
      <c r="K128" s="59"/>
      <c r="L128" s="87"/>
      <c r="M128" s="87"/>
      <c r="N128" s="100"/>
    </row>
    <row r="129" spans="1:14">
      <c r="A129" s="87"/>
      <c r="B129" s="87"/>
      <c r="C129" s="18"/>
      <c r="D129" s="18"/>
      <c r="E129" s="18"/>
      <c r="F129" s="18"/>
      <c r="G129" s="18"/>
      <c r="H129" s="18"/>
      <c r="I129" s="59"/>
      <c r="J129" s="59"/>
      <c r="K129" s="59"/>
      <c r="L129" s="87"/>
      <c r="M129" s="87"/>
      <c r="N129" s="100"/>
    </row>
    <row r="130" spans="1:14">
      <c r="A130" s="87"/>
      <c r="B130" s="87"/>
      <c r="C130" s="18"/>
      <c r="D130" s="18"/>
      <c r="E130" s="18"/>
      <c r="F130" s="18"/>
      <c r="G130" s="18"/>
      <c r="H130" s="18"/>
      <c r="I130" s="59"/>
      <c r="J130" s="59"/>
      <c r="K130" s="59"/>
      <c r="L130" s="87"/>
      <c r="M130" s="87"/>
      <c r="N130" s="100"/>
    </row>
    <row r="131" spans="1:14">
      <c r="A131" s="87"/>
      <c r="B131" s="87"/>
      <c r="C131" s="18"/>
      <c r="D131" s="18"/>
      <c r="E131" s="18"/>
      <c r="F131" s="18"/>
      <c r="G131" s="18"/>
      <c r="H131" s="18"/>
      <c r="I131" s="59"/>
      <c r="J131" s="59"/>
      <c r="K131" s="59"/>
      <c r="L131" s="87"/>
      <c r="M131" s="87"/>
      <c r="N131" s="100"/>
    </row>
    <row r="132" spans="1:14">
      <c r="A132" s="87"/>
      <c r="B132" s="87"/>
      <c r="C132" s="18"/>
      <c r="D132" s="18"/>
      <c r="E132" s="18"/>
      <c r="F132" s="18"/>
      <c r="G132" s="18"/>
      <c r="H132" s="18"/>
      <c r="I132" s="59"/>
      <c r="J132" s="59"/>
      <c r="K132" s="59"/>
      <c r="L132" s="87"/>
      <c r="M132" s="87"/>
      <c r="N132" s="100"/>
    </row>
    <row r="133" spans="1:14">
      <c r="A133" s="87"/>
      <c r="B133" s="87"/>
      <c r="C133" s="18"/>
      <c r="D133" s="18"/>
      <c r="E133" s="18"/>
      <c r="F133" s="18"/>
      <c r="G133" s="18"/>
      <c r="H133" s="18"/>
      <c r="I133" s="59"/>
      <c r="J133" s="59"/>
      <c r="K133" s="59"/>
      <c r="L133" s="87"/>
      <c r="M133" s="87"/>
      <c r="N133" s="100"/>
    </row>
    <row r="134" spans="1:14">
      <c r="A134" s="87"/>
      <c r="B134" s="87"/>
      <c r="C134" s="18"/>
      <c r="D134" s="18"/>
      <c r="E134" s="18"/>
      <c r="F134" s="18"/>
      <c r="G134" s="18"/>
      <c r="H134" s="18"/>
      <c r="I134" s="59"/>
      <c r="J134" s="59"/>
      <c r="K134" s="59"/>
      <c r="L134" s="87"/>
      <c r="M134" s="87"/>
      <c r="N134" s="100"/>
    </row>
    <row r="135" spans="1:14">
      <c r="A135" s="87"/>
      <c r="B135" s="87"/>
      <c r="C135" s="18"/>
      <c r="D135" s="18"/>
      <c r="E135" s="18"/>
      <c r="F135" s="18"/>
      <c r="G135" s="18"/>
      <c r="H135" s="18"/>
      <c r="I135" s="59"/>
      <c r="J135" s="59"/>
      <c r="K135" s="59"/>
      <c r="L135" s="87"/>
      <c r="M135" s="87"/>
      <c r="N135" s="100"/>
    </row>
    <row r="136" spans="1:14">
      <c r="A136" s="87"/>
      <c r="B136" s="87"/>
      <c r="C136" s="18"/>
      <c r="D136" s="18"/>
      <c r="E136" s="18"/>
      <c r="F136" s="18"/>
      <c r="G136" s="18"/>
      <c r="H136" s="18"/>
      <c r="I136" s="59"/>
      <c r="J136" s="59"/>
      <c r="K136" s="59"/>
      <c r="L136" s="87"/>
      <c r="M136" s="87"/>
      <c r="N136" s="100"/>
    </row>
    <row r="137" spans="1:14">
      <c r="A137" s="87"/>
      <c r="B137" s="87"/>
      <c r="C137" s="18"/>
      <c r="D137" s="18"/>
      <c r="E137" s="18"/>
      <c r="F137" s="18"/>
      <c r="G137" s="18"/>
      <c r="H137" s="18"/>
      <c r="I137" s="59"/>
      <c r="J137" s="59"/>
      <c r="K137" s="59"/>
      <c r="L137" s="87"/>
      <c r="M137" s="87"/>
      <c r="N137" s="100"/>
    </row>
    <row r="138" spans="1:14">
      <c r="A138" s="87"/>
      <c r="B138" s="87"/>
      <c r="C138" s="18"/>
      <c r="D138" s="18"/>
      <c r="E138" s="18"/>
      <c r="F138" s="18"/>
      <c r="G138" s="18"/>
      <c r="H138" s="18"/>
      <c r="I138" s="59"/>
      <c r="J138" s="59"/>
      <c r="K138" s="59"/>
      <c r="L138" s="87"/>
      <c r="M138" s="87"/>
      <c r="N138" s="100"/>
    </row>
    <row r="139" spans="1:14">
      <c r="A139" s="87"/>
      <c r="B139" s="87"/>
      <c r="C139" s="18"/>
      <c r="D139" s="18"/>
      <c r="E139" s="18"/>
      <c r="F139" s="18"/>
      <c r="G139" s="18"/>
      <c r="H139" s="18"/>
      <c r="I139" s="59"/>
      <c r="J139" s="59"/>
      <c r="K139" s="59"/>
      <c r="L139" s="87"/>
      <c r="M139" s="87"/>
      <c r="N139" s="100"/>
    </row>
    <row r="140" spans="1:14">
      <c r="A140" s="87"/>
      <c r="B140" s="87"/>
      <c r="C140" s="18"/>
      <c r="D140" s="18"/>
      <c r="E140" s="18"/>
      <c r="F140" s="18"/>
      <c r="G140" s="18"/>
      <c r="H140" s="18"/>
      <c r="I140" s="59"/>
      <c r="J140" s="59"/>
      <c r="K140" s="59"/>
      <c r="L140" s="87"/>
      <c r="M140" s="87"/>
      <c r="N140" s="100"/>
    </row>
    <row r="141" spans="1:14">
      <c r="A141" s="87"/>
      <c r="B141" s="87"/>
      <c r="C141" s="18"/>
      <c r="D141" s="18"/>
      <c r="E141" s="18"/>
      <c r="F141" s="18"/>
      <c r="G141" s="18"/>
      <c r="H141" s="18"/>
      <c r="I141" s="59"/>
      <c r="J141" s="59"/>
      <c r="K141" s="59"/>
      <c r="L141" s="87"/>
      <c r="M141" s="87"/>
      <c r="N141" s="100"/>
    </row>
    <row r="142" spans="1:14">
      <c r="A142" s="87"/>
      <c r="B142" s="87"/>
      <c r="C142" s="18"/>
      <c r="D142" s="18"/>
      <c r="E142" s="18"/>
      <c r="F142" s="18"/>
      <c r="G142" s="18"/>
      <c r="H142" s="18"/>
      <c r="I142" s="59"/>
      <c r="J142" s="59"/>
      <c r="K142" s="59"/>
      <c r="L142" s="87"/>
      <c r="M142" s="87"/>
      <c r="N142" s="100"/>
    </row>
    <row r="143" spans="1:14">
      <c r="A143" s="87"/>
      <c r="B143" s="87"/>
      <c r="C143" s="18"/>
      <c r="D143" s="18"/>
      <c r="E143" s="18"/>
      <c r="F143" s="18"/>
      <c r="G143" s="18"/>
      <c r="H143" s="18"/>
      <c r="I143" s="59"/>
      <c r="J143" s="59"/>
      <c r="K143" s="59"/>
      <c r="L143" s="87"/>
      <c r="M143" s="87"/>
      <c r="N143" s="100"/>
    </row>
    <row r="144" spans="1:14">
      <c r="A144" s="87"/>
      <c r="B144" s="87"/>
      <c r="C144" s="18"/>
      <c r="D144" s="18"/>
      <c r="E144" s="18"/>
      <c r="F144" s="18"/>
      <c r="G144" s="18"/>
      <c r="H144" s="18"/>
      <c r="I144" s="59"/>
      <c r="J144" s="59"/>
      <c r="K144" s="59"/>
      <c r="L144" s="87"/>
      <c r="M144" s="87"/>
      <c r="N144" s="100"/>
    </row>
    <row r="145" spans="1:14">
      <c r="A145" s="87"/>
      <c r="I145" s="59"/>
      <c r="J145" s="59"/>
      <c r="K145" s="59"/>
      <c r="L145" s="87"/>
      <c r="M145" s="87"/>
      <c r="N145" s="100"/>
    </row>
    <row r="146" spans="1:14">
      <c r="A146" s="87"/>
      <c r="I146" s="59"/>
      <c r="J146" s="59"/>
      <c r="K146" s="59"/>
      <c r="L146" s="87"/>
      <c r="M146" s="87"/>
      <c r="N146" s="100"/>
    </row>
    <row r="147" spans="1:14">
      <c r="A147" s="87"/>
      <c r="B147" s="87"/>
      <c r="C147" s="18"/>
      <c r="D147" s="18"/>
      <c r="E147" s="18"/>
      <c r="F147" s="18"/>
      <c r="G147" s="18"/>
      <c r="H147" s="18"/>
      <c r="I147" s="59"/>
      <c r="J147" s="59"/>
      <c r="K147" s="59"/>
      <c r="L147" s="87"/>
      <c r="M147" s="87"/>
      <c r="N147" s="100"/>
    </row>
    <row r="148" spans="1:14">
      <c r="A148" s="87"/>
      <c r="B148" s="87"/>
      <c r="C148" s="18"/>
      <c r="D148" s="18"/>
      <c r="E148" s="18"/>
      <c r="F148" s="18"/>
      <c r="G148" s="18"/>
      <c r="H148" s="18"/>
      <c r="I148" s="59"/>
      <c r="J148" s="59"/>
      <c r="K148" s="59"/>
      <c r="L148" s="87"/>
      <c r="M148" s="87"/>
      <c r="N148" s="100"/>
    </row>
    <row r="149" spans="1:14">
      <c r="A149" s="87"/>
      <c r="B149" s="87"/>
      <c r="C149" s="18"/>
      <c r="D149" s="18"/>
      <c r="E149" s="18"/>
      <c r="F149" s="18"/>
      <c r="G149" s="18"/>
      <c r="H149" s="18"/>
      <c r="I149" s="59"/>
      <c r="J149" s="59"/>
      <c r="K149" s="59"/>
      <c r="L149" s="87"/>
      <c r="M149" s="87"/>
      <c r="N149" s="100"/>
    </row>
    <row r="150" spans="1:14">
      <c r="A150" s="87"/>
      <c r="B150" s="87"/>
      <c r="C150" s="18"/>
      <c r="D150" s="18"/>
      <c r="E150" s="18"/>
      <c r="F150" s="18"/>
      <c r="G150" s="18"/>
      <c r="H150" s="18"/>
      <c r="I150" s="59"/>
      <c r="J150" s="59"/>
      <c r="K150" s="59"/>
      <c r="L150" s="87"/>
      <c r="M150" s="87"/>
      <c r="N150" s="100"/>
    </row>
    <row r="151" spans="1:14">
      <c r="A151" s="87"/>
      <c r="B151" s="87"/>
      <c r="C151" s="18"/>
      <c r="D151" s="18"/>
      <c r="E151" s="18"/>
      <c r="F151" s="18"/>
      <c r="G151" s="18"/>
      <c r="H151" s="18"/>
      <c r="I151" s="59"/>
      <c r="J151" s="59"/>
      <c r="K151" s="59"/>
      <c r="L151" s="87"/>
      <c r="M151" s="87"/>
      <c r="N151" s="100"/>
    </row>
    <row r="152" spans="1:14">
      <c r="A152" s="87"/>
      <c r="B152" s="87"/>
      <c r="C152" s="18"/>
      <c r="D152" s="18"/>
      <c r="E152" s="18"/>
      <c r="F152" s="18"/>
      <c r="G152" s="18"/>
      <c r="H152" s="18"/>
      <c r="I152" s="59"/>
      <c r="J152" s="59"/>
      <c r="K152" s="59"/>
      <c r="L152" s="87"/>
      <c r="M152" s="87"/>
      <c r="N152" s="100"/>
    </row>
    <row r="153" spans="1:14">
      <c r="A153" s="87"/>
      <c r="B153" s="87"/>
      <c r="C153" s="18"/>
      <c r="D153" s="18"/>
      <c r="E153" s="18"/>
      <c r="F153" s="18"/>
      <c r="G153" s="18"/>
      <c r="H153" s="18"/>
      <c r="I153" s="59"/>
      <c r="J153" s="59"/>
      <c r="K153" s="59"/>
      <c r="L153" s="87"/>
      <c r="M153" s="87"/>
      <c r="N153" s="100"/>
    </row>
    <row r="154" spans="1:14">
      <c r="A154" s="87"/>
      <c r="B154" s="87"/>
      <c r="C154" s="18"/>
      <c r="D154" s="18"/>
      <c r="E154" s="18"/>
      <c r="F154" s="18"/>
      <c r="G154" s="18"/>
      <c r="H154" s="18"/>
      <c r="I154" s="59"/>
      <c r="J154" s="59"/>
      <c r="K154" s="59"/>
      <c r="L154" s="87"/>
      <c r="M154" s="87"/>
      <c r="N154" s="100"/>
    </row>
    <row r="155" spans="1:14">
      <c r="A155" s="87"/>
      <c r="B155" s="87"/>
      <c r="C155" s="18"/>
      <c r="D155" s="18"/>
      <c r="E155" s="18"/>
      <c r="F155" s="18"/>
      <c r="G155" s="18"/>
      <c r="H155" s="18"/>
      <c r="I155" s="59"/>
      <c r="J155" s="59"/>
      <c r="K155" s="59"/>
      <c r="L155" s="87"/>
      <c r="M155" s="87"/>
      <c r="N155" s="100"/>
    </row>
    <row r="156" spans="1:14">
      <c r="A156" s="87"/>
      <c r="B156" s="87"/>
      <c r="C156" s="18"/>
      <c r="D156" s="18"/>
      <c r="E156" s="18"/>
      <c r="F156" s="18"/>
      <c r="G156" s="18"/>
      <c r="H156" s="18"/>
      <c r="I156" s="59"/>
      <c r="J156" s="59"/>
      <c r="K156" s="59"/>
      <c r="L156" s="87"/>
      <c r="M156" s="87"/>
      <c r="N156" s="100"/>
    </row>
    <row r="157" spans="1:14">
      <c r="A157" s="87"/>
      <c r="B157" s="87"/>
      <c r="C157" s="18"/>
      <c r="D157" s="18"/>
      <c r="E157" s="18"/>
      <c r="F157" s="18"/>
      <c r="G157" s="18"/>
      <c r="H157" s="18"/>
      <c r="I157" s="59"/>
      <c r="J157" s="59"/>
      <c r="K157" s="59"/>
      <c r="L157" s="87"/>
      <c r="M157" s="87"/>
      <c r="N157" s="100"/>
    </row>
    <row r="158" spans="1:14">
      <c r="A158" s="87"/>
      <c r="B158" s="87"/>
      <c r="C158" s="18"/>
      <c r="D158" s="18"/>
      <c r="E158" s="18"/>
      <c r="F158" s="18"/>
      <c r="G158" s="18"/>
      <c r="H158" s="18"/>
      <c r="I158" s="59"/>
      <c r="J158" s="59"/>
      <c r="K158" s="59"/>
      <c r="L158" s="87"/>
      <c r="M158" s="87"/>
      <c r="N158" s="100"/>
    </row>
    <row r="159" spans="1:14">
      <c r="A159" s="87"/>
      <c r="B159" s="87"/>
      <c r="C159" s="18"/>
      <c r="D159" s="18"/>
      <c r="E159" s="18"/>
      <c r="F159" s="18"/>
      <c r="G159" s="18"/>
      <c r="H159" s="18"/>
      <c r="I159" s="59"/>
      <c r="J159" s="59"/>
      <c r="K159" s="59"/>
      <c r="L159" s="87"/>
      <c r="M159" s="87"/>
      <c r="N159" s="100"/>
    </row>
    <row r="160" spans="1:14">
      <c r="A160" s="87"/>
      <c r="B160" s="87"/>
      <c r="C160" s="18"/>
      <c r="D160" s="18"/>
      <c r="E160" s="18"/>
      <c r="F160" s="18"/>
      <c r="G160" s="18"/>
      <c r="H160" s="18"/>
      <c r="I160" s="87"/>
      <c r="J160" s="87"/>
      <c r="K160" s="87"/>
    </row>
    <row r="161" spans="1:14">
      <c r="A161" s="87"/>
      <c r="B161" s="87"/>
      <c r="C161" s="18"/>
      <c r="D161" s="18"/>
      <c r="E161" s="18"/>
      <c r="F161" s="18"/>
      <c r="G161" s="18"/>
      <c r="H161" s="18"/>
      <c r="I161" s="87"/>
      <c r="J161" s="87"/>
      <c r="K161" s="87"/>
      <c r="L161" s="87"/>
      <c r="M161" s="87"/>
      <c r="N161" s="100"/>
    </row>
    <row r="162" spans="1:14">
      <c r="A162" s="87"/>
      <c r="B162" s="87"/>
      <c r="C162" s="18"/>
      <c r="D162" s="18"/>
      <c r="E162" s="18"/>
      <c r="F162" s="18"/>
      <c r="G162" s="18"/>
      <c r="H162" s="18"/>
      <c r="I162" s="87"/>
      <c r="J162" s="87"/>
      <c r="K162" s="87"/>
      <c r="L162" s="87"/>
      <c r="M162" s="87"/>
      <c r="N162" s="100"/>
    </row>
    <row r="163" spans="1:14">
      <c r="A163" s="87"/>
      <c r="B163" s="87"/>
      <c r="C163" s="18"/>
      <c r="D163" s="18"/>
      <c r="E163" s="18"/>
      <c r="F163" s="18"/>
      <c r="G163" s="18"/>
      <c r="H163" s="18"/>
      <c r="I163" s="87"/>
      <c r="J163" s="87"/>
      <c r="K163" s="87"/>
      <c r="L163" s="87"/>
      <c r="M163" s="87"/>
      <c r="N163" s="100"/>
    </row>
    <row r="164" spans="1:14">
      <c r="A164" s="87"/>
      <c r="B164" s="87"/>
      <c r="C164" s="18"/>
      <c r="D164" s="18"/>
      <c r="E164" s="18"/>
      <c r="F164" s="18"/>
      <c r="G164" s="18"/>
      <c r="H164" s="18"/>
      <c r="I164" s="59"/>
      <c r="J164" s="59"/>
      <c r="K164" s="59"/>
      <c r="L164" s="87"/>
      <c r="M164" s="87"/>
      <c r="N164" s="100"/>
    </row>
    <row r="165" spans="1:14">
      <c r="A165" s="87"/>
      <c r="B165" s="87"/>
      <c r="C165" s="18"/>
      <c r="D165" s="18"/>
      <c r="E165" s="18"/>
      <c r="F165" s="18"/>
      <c r="G165" s="18"/>
      <c r="H165" s="18"/>
      <c r="I165" s="59"/>
      <c r="J165" s="59"/>
      <c r="K165" s="59"/>
      <c r="L165" s="87"/>
      <c r="M165" s="87"/>
      <c r="N165" s="100"/>
    </row>
    <row r="166" spans="1:14">
      <c r="A166" s="87"/>
      <c r="B166" s="87"/>
      <c r="C166" s="18"/>
      <c r="D166" s="18"/>
      <c r="E166" s="18"/>
      <c r="F166" s="18"/>
      <c r="G166" s="18"/>
      <c r="H166" s="18"/>
      <c r="I166" s="59"/>
      <c r="J166" s="59"/>
      <c r="K166" s="59"/>
      <c r="L166" s="87"/>
      <c r="M166" s="87"/>
      <c r="N166" s="100"/>
    </row>
    <row r="167" spans="1:14">
      <c r="A167" s="87"/>
      <c r="B167" s="87"/>
      <c r="C167" s="18"/>
      <c r="D167" s="18"/>
      <c r="E167" s="18"/>
      <c r="F167" s="18"/>
      <c r="G167" s="18"/>
      <c r="H167" s="18"/>
      <c r="I167" s="59"/>
      <c r="J167" s="59"/>
      <c r="K167" s="59"/>
      <c r="L167" s="87"/>
      <c r="M167" s="87"/>
      <c r="N167" s="100"/>
    </row>
    <row r="168" spans="1:14">
      <c r="A168" s="87"/>
      <c r="B168" s="87"/>
      <c r="C168" s="18"/>
      <c r="D168" s="18"/>
      <c r="E168" s="18"/>
      <c r="F168" s="18"/>
      <c r="G168" s="18"/>
      <c r="H168" s="18"/>
      <c r="I168" s="59"/>
      <c r="J168" s="59"/>
      <c r="K168" s="59"/>
      <c r="L168" s="87"/>
      <c r="M168" s="87"/>
      <c r="N168" s="100"/>
    </row>
    <row r="169" spans="1:14">
      <c r="A169" s="87"/>
      <c r="I169" s="59"/>
      <c r="J169" s="59"/>
      <c r="K169" s="59"/>
      <c r="L169" s="87"/>
      <c r="M169" s="87"/>
      <c r="N169" s="100"/>
    </row>
    <row r="170" spans="1:14">
      <c r="A170" s="87"/>
      <c r="B170" s="87"/>
      <c r="C170" s="18"/>
      <c r="D170" s="18"/>
      <c r="E170" s="18"/>
      <c r="F170" s="18"/>
      <c r="G170" s="18"/>
      <c r="H170" s="18"/>
      <c r="I170" s="59"/>
      <c r="J170" s="59"/>
      <c r="K170" s="59"/>
      <c r="L170" s="87"/>
      <c r="M170" s="87"/>
      <c r="N170" s="100"/>
    </row>
    <row r="171" spans="1:14">
      <c r="A171" s="87"/>
      <c r="B171" s="87"/>
      <c r="C171" s="18"/>
      <c r="D171" s="18"/>
      <c r="E171" s="18"/>
      <c r="F171" s="18"/>
      <c r="G171" s="18"/>
      <c r="H171" s="18"/>
      <c r="I171" s="59"/>
      <c r="J171" s="59"/>
      <c r="K171" s="59"/>
      <c r="L171" s="87"/>
      <c r="M171" s="87"/>
      <c r="N171" s="100"/>
    </row>
    <row r="172" spans="1:14">
      <c r="A172" s="87"/>
      <c r="B172" s="87"/>
      <c r="C172" s="18"/>
      <c r="D172" s="18"/>
      <c r="E172" s="18"/>
      <c r="F172" s="18"/>
      <c r="G172" s="18"/>
      <c r="H172" s="18"/>
      <c r="I172" s="59"/>
      <c r="J172" s="59"/>
      <c r="K172" s="59"/>
      <c r="L172" s="87"/>
      <c r="M172" s="87"/>
      <c r="N172" s="100"/>
    </row>
    <row r="173" spans="1:14">
      <c r="A173" s="87"/>
      <c r="B173" s="87"/>
      <c r="C173" s="18"/>
      <c r="D173" s="18"/>
      <c r="E173" s="18"/>
      <c r="F173" s="18"/>
      <c r="G173" s="18"/>
      <c r="H173" s="18"/>
      <c r="I173" s="59"/>
      <c r="J173" s="59"/>
      <c r="K173" s="59"/>
      <c r="L173" s="87"/>
      <c r="M173" s="87"/>
      <c r="N173" s="100"/>
    </row>
    <row r="174" spans="1:14">
      <c r="A174" s="87"/>
      <c r="B174" s="87"/>
      <c r="C174" s="18"/>
      <c r="D174" s="18"/>
      <c r="E174" s="18"/>
      <c r="F174" s="18"/>
      <c r="G174" s="18"/>
      <c r="H174" s="18"/>
      <c r="I174" s="59"/>
      <c r="J174" s="59"/>
      <c r="K174" s="59"/>
      <c r="L174" s="87"/>
      <c r="M174" s="87"/>
      <c r="N174" s="100"/>
    </row>
    <row r="175" spans="1:14">
      <c r="A175" s="87"/>
      <c r="B175" s="87"/>
      <c r="C175" s="18"/>
      <c r="D175" s="18"/>
      <c r="E175" s="18"/>
      <c r="F175" s="18"/>
      <c r="G175" s="18"/>
      <c r="H175" s="18"/>
      <c r="I175" s="59"/>
      <c r="J175" s="59"/>
      <c r="K175" s="59"/>
      <c r="L175" s="87"/>
      <c r="M175" s="87"/>
      <c r="N175" s="100"/>
    </row>
    <row r="176" spans="1:14">
      <c r="A176" s="87"/>
      <c r="B176" s="87"/>
      <c r="C176" s="18"/>
      <c r="D176" s="18"/>
      <c r="E176" s="18"/>
      <c r="F176" s="18"/>
      <c r="G176" s="18"/>
      <c r="H176" s="18"/>
      <c r="I176" s="59"/>
      <c r="J176" s="59"/>
      <c r="K176" s="59"/>
      <c r="L176" s="87"/>
      <c r="M176" s="87"/>
      <c r="N176" s="100"/>
    </row>
    <row r="177" spans="1:14">
      <c r="A177" s="87"/>
      <c r="B177" s="87"/>
      <c r="C177" s="18"/>
      <c r="D177" s="18"/>
      <c r="E177" s="18"/>
      <c r="F177" s="18"/>
      <c r="G177" s="18"/>
      <c r="H177" s="18"/>
      <c r="I177" s="59"/>
      <c r="J177" s="59"/>
      <c r="K177" s="59"/>
      <c r="L177" s="87"/>
      <c r="M177" s="87"/>
      <c r="N177" s="100"/>
    </row>
    <row r="178" spans="1:14">
      <c r="A178" s="87"/>
      <c r="B178" s="87"/>
      <c r="C178" s="18"/>
      <c r="D178" s="18"/>
      <c r="E178" s="18"/>
      <c r="F178" s="18"/>
      <c r="G178" s="18"/>
      <c r="H178" s="18"/>
      <c r="I178" s="59"/>
      <c r="J178" s="59"/>
      <c r="K178" s="59"/>
      <c r="L178" s="87"/>
      <c r="M178" s="87"/>
      <c r="N178" s="100"/>
    </row>
    <row r="179" spans="1:14">
      <c r="A179" s="87"/>
      <c r="B179" s="87"/>
      <c r="C179" s="18"/>
      <c r="D179" s="18"/>
      <c r="E179" s="18"/>
      <c r="F179" s="18"/>
      <c r="G179" s="18"/>
      <c r="H179" s="18"/>
      <c r="I179" s="59"/>
      <c r="J179" s="59"/>
      <c r="K179" s="59"/>
      <c r="L179" s="87"/>
      <c r="M179" s="87"/>
      <c r="N179" s="100"/>
    </row>
    <row r="180" spans="1:14">
      <c r="A180" s="87"/>
      <c r="B180" s="87"/>
      <c r="C180" s="18"/>
      <c r="D180" s="18"/>
      <c r="E180" s="18"/>
      <c r="F180" s="18"/>
      <c r="G180" s="18"/>
      <c r="H180" s="18"/>
      <c r="I180" s="59"/>
      <c r="J180" s="59"/>
      <c r="K180" s="59"/>
      <c r="L180" s="87"/>
      <c r="M180" s="87"/>
      <c r="N180" s="100"/>
    </row>
    <row r="181" spans="1:14">
      <c r="A181" s="87"/>
      <c r="B181" s="87"/>
      <c r="C181" s="18"/>
      <c r="D181" s="18"/>
      <c r="E181" s="18"/>
      <c r="F181" s="18"/>
      <c r="G181" s="18"/>
      <c r="H181" s="18"/>
      <c r="I181" s="59"/>
      <c r="J181" s="59"/>
      <c r="K181" s="59"/>
      <c r="L181" s="87"/>
      <c r="M181" s="87"/>
      <c r="N181" s="100"/>
    </row>
    <row r="182" spans="1:14">
      <c r="A182" s="87"/>
      <c r="B182" s="87"/>
      <c r="C182" s="18"/>
      <c r="D182" s="18"/>
      <c r="E182" s="18"/>
      <c r="F182" s="18"/>
      <c r="G182" s="18"/>
      <c r="H182" s="18"/>
      <c r="I182" s="59"/>
      <c r="J182" s="59"/>
      <c r="K182" s="59"/>
      <c r="L182" s="87"/>
      <c r="M182" s="87"/>
      <c r="N182" s="100"/>
    </row>
    <row r="183" spans="1:14">
      <c r="A183" s="87"/>
      <c r="B183" s="87"/>
      <c r="C183" s="18"/>
      <c r="D183" s="18"/>
      <c r="E183" s="18"/>
      <c r="F183" s="18"/>
      <c r="G183" s="18"/>
      <c r="H183" s="18"/>
      <c r="I183" s="59"/>
      <c r="J183" s="59"/>
      <c r="K183" s="59"/>
      <c r="L183" s="87"/>
      <c r="M183" s="87"/>
      <c r="N183" s="100"/>
    </row>
    <row r="184" spans="1:14">
      <c r="A184" s="87"/>
      <c r="B184" s="87"/>
      <c r="C184" s="18"/>
      <c r="D184" s="18"/>
      <c r="E184" s="18"/>
      <c r="F184" s="18"/>
      <c r="G184" s="18"/>
      <c r="H184" s="18"/>
      <c r="I184" s="59"/>
      <c r="J184" s="59"/>
      <c r="K184" s="59"/>
      <c r="L184" s="87"/>
      <c r="M184" s="87"/>
      <c r="N184" s="100"/>
    </row>
    <row r="185" spans="1:14">
      <c r="A185" s="87"/>
      <c r="B185" s="87"/>
      <c r="C185" s="18"/>
      <c r="D185" s="18"/>
      <c r="E185" s="18"/>
      <c r="F185" s="18"/>
      <c r="G185" s="18"/>
      <c r="H185" s="18"/>
      <c r="I185" s="59"/>
      <c r="J185" s="59"/>
      <c r="K185" s="59"/>
      <c r="L185" s="87"/>
      <c r="M185" s="87"/>
      <c r="N185" s="100"/>
    </row>
    <row r="186" spans="1:14">
      <c r="A186" s="87"/>
      <c r="B186" s="87"/>
      <c r="C186" s="18"/>
      <c r="D186" s="18"/>
      <c r="E186" s="18"/>
      <c r="F186" s="18"/>
      <c r="G186" s="18"/>
      <c r="H186" s="18"/>
      <c r="I186" s="59"/>
      <c r="J186" s="59"/>
      <c r="K186" s="59"/>
      <c r="L186" s="87"/>
      <c r="M186" s="87"/>
      <c r="N186" s="100"/>
    </row>
    <row r="187" spans="1:14">
      <c r="A187" s="87"/>
      <c r="B187" s="87"/>
      <c r="C187" s="18"/>
      <c r="D187" s="18"/>
      <c r="E187" s="18"/>
      <c r="F187" s="18"/>
      <c r="G187" s="18"/>
      <c r="H187" s="18"/>
      <c r="I187" s="59"/>
      <c r="J187" s="59"/>
      <c r="K187" s="59"/>
      <c r="L187" s="87"/>
      <c r="M187" s="87"/>
      <c r="N187" s="100"/>
    </row>
    <row r="188" spans="1:14">
      <c r="A188" s="87"/>
      <c r="B188" s="87"/>
      <c r="C188" s="18"/>
      <c r="D188" s="18"/>
      <c r="E188" s="18"/>
      <c r="F188" s="18"/>
      <c r="G188" s="18"/>
      <c r="H188" s="18"/>
      <c r="I188" s="59"/>
      <c r="J188" s="59"/>
      <c r="K188" s="59"/>
      <c r="L188" s="87"/>
      <c r="M188" s="87"/>
      <c r="N188" s="100"/>
    </row>
    <row r="189" spans="1:14">
      <c r="A189" s="87"/>
      <c r="B189" s="87"/>
      <c r="C189" s="18"/>
      <c r="D189" s="18"/>
      <c r="E189" s="18"/>
      <c r="F189" s="18"/>
      <c r="G189" s="18"/>
      <c r="H189" s="18"/>
      <c r="I189" s="59"/>
      <c r="J189" s="59"/>
      <c r="K189" s="59"/>
      <c r="L189" s="87"/>
      <c r="M189" s="87"/>
      <c r="N189" s="100"/>
    </row>
    <row r="190" spans="1:14">
      <c r="A190" s="87"/>
      <c r="B190" s="87"/>
      <c r="C190" s="18"/>
      <c r="D190" s="18"/>
      <c r="E190" s="18"/>
      <c r="F190" s="18"/>
      <c r="G190" s="18"/>
      <c r="H190" s="18"/>
      <c r="I190" s="59"/>
      <c r="J190" s="59"/>
      <c r="K190" s="59"/>
      <c r="L190" s="87"/>
      <c r="M190" s="87"/>
      <c r="N190" s="100"/>
    </row>
    <row r="191" spans="1:14">
      <c r="A191" s="87"/>
      <c r="B191" s="87"/>
      <c r="C191" s="18"/>
      <c r="D191" s="18"/>
      <c r="E191" s="18"/>
      <c r="F191" s="18"/>
      <c r="G191" s="18"/>
      <c r="H191" s="18"/>
      <c r="I191" s="59"/>
      <c r="J191" s="59"/>
      <c r="K191" s="59"/>
      <c r="L191" s="87"/>
      <c r="M191" s="87"/>
      <c r="N191" s="100"/>
    </row>
    <row r="192" spans="1:14">
      <c r="A192" s="87"/>
      <c r="B192" s="87"/>
      <c r="C192" s="18"/>
      <c r="D192" s="18"/>
      <c r="E192" s="18"/>
      <c r="F192" s="18"/>
      <c r="G192" s="18"/>
      <c r="H192" s="18"/>
      <c r="I192" s="59"/>
      <c r="J192" s="59"/>
      <c r="K192" s="59"/>
      <c r="L192" s="87"/>
      <c r="M192" s="87"/>
      <c r="N192" s="100"/>
    </row>
    <row r="193" spans="1:14">
      <c r="A193" s="87"/>
      <c r="B193" s="87"/>
      <c r="C193" s="18"/>
      <c r="D193" s="18"/>
      <c r="E193" s="18"/>
      <c r="F193" s="18"/>
      <c r="G193" s="18"/>
      <c r="H193" s="18"/>
      <c r="I193" s="59"/>
      <c r="J193" s="59"/>
      <c r="K193" s="59"/>
      <c r="L193" s="87"/>
      <c r="M193" s="87"/>
      <c r="N193" s="100"/>
    </row>
    <row r="194" spans="1:14">
      <c r="A194" s="87"/>
      <c r="B194" s="87"/>
      <c r="C194" s="18"/>
      <c r="D194" s="18"/>
      <c r="E194" s="18"/>
      <c r="F194" s="18"/>
      <c r="G194" s="18"/>
      <c r="H194" s="18"/>
      <c r="I194" s="59"/>
      <c r="J194" s="59"/>
      <c r="K194" s="59"/>
      <c r="L194" s="87"/>
      <c r="M194" s="87"/>
      <c r="N194" s="100"/>
    </row>
    <row r="195" spans="1:14">
      <c r="A195" s="87"/>
      <c r="B195" s="87"/>
      <c r="C195" s="18"/>
      <c r="D195" s="18"/>
      <c r="E195" s="18"/>
      <c r="F195" s="18"/>
      <c r="G195" s="18"/>
      <c r="H195" s="18"/>
      <c r="I195" s="59"/>
      <c r="J195" s="59"/>
      <c r="K195" s="59"/>
      <c r="L195" s="87"/>
      <c r="M195" s="87"/>
      <c r="N195" s="100"/>
    </row>
    <row r="196" spans="1:14">
      <c r="A196" s="87"/>
      <c r="B196" s="87"/>
      <c r="C196" s="18"/>
      <c r="D196" s="18"/>
      <c r="E196" s="18"/>
      <c r="F196" s="18"/>
      <c r="G196" s="18"/>
      <c r="H196" s="18"/>
      <c r="I196" s="59"/>
      <c r="J196" s="59"/>
      <c r="K196" s="59"/>
      <c r="L196" s="87"/>
      <c r="M196" s="87"/>
      <c r="N196" s="100"/>
    </row>
    <row r="197" spans="1:14">
      <c r="A197" s="87"/>
      <c r="B197" s="87"/>
      <c r="C197" s="18"/>
      <c r="D197" s="18"/>
      <c r="E197" s="18"/>
      <c r="F197" s="18"/>
      <c r="G197" s="18"/>
      <c r="H197" s="18"/>
      <c r="I197" s="59"/>
      <c r="J197" s="59"/>
      <c r="K197" s="59"/>
      <c r="L197" s="87"/>
      <c r="M197" s="87"/>
      <c r="N197" s="100"/>
    </row>
    <row r="198" spans="1:14">
      <c r="A198" s="87"/>
      <c r="B198" s="87"/>
      <c r="C198" s="18"/>
      <c r="D198" s="18"/>
      <c r="E198" s="18"/>
      <c r="F198" s="18"/>
      <c r="G198" s="18"/>
      <c r="H198" s="18"/>
      <c r="I198" s="59"/>
      <c r="J198" s="59"/>
      <c r="K198" s="59"/>
      <c r="L198" s="87"/>
      <c r="M198" s="87"/>
      <c r="N198" s="100"/>
    </row>
    <row r="199" spans="1:14">
      <c r="A199" s="87"/>
      <c r="B199" s="87"/>
      <c r="C199" s="18"/>
      <c r="D199" s="18"/>
      <c r="E199" s="18"/>
      <c r="F199" s="18"/>
      <c r="G199" s="18"/>
      <c r="H199" s="18"/>
      <c r="I199" s="59"/>
      <c r="J199" s="59"/>
      <c r="K199" s="59"/>
      <c r="L199" s="87"/>
      <c r="M199" s="87"/>
      <c r="N199" s="100"/>
    </row>
    <row r="200" spans="1:14">
      <c r="A200" s="87"/>
      <c r="B200" s="87"/>
      <c r="C200" s="18"/>
      <c r="D200" s="18"/>
      <c r="E200" s="18"/>
      <c r="F200" s="18"/>
      <c r="G200" s="18"/>
      <c r="H200" s="18"/>
      <c r="I200" s="59"/>
      <c r="J200" s="59"/>
      <c r="K200" s="59"/>
      <c r="L200" s="87"/>
      <c r="M200" s="87"/>
      <c r="N200" s="100"/>
    </row>
    <row r="201" spans="1:14">
      <c r="A201" s="87"/>
      <c r="B201" s="87"/>
      <c r="C201" s="18"/>
      <c r="D201" s="18"/>
      <c r="E201" s="18"/>
      <c r="F201" s="18"/>
      <c r="G201" s="18"/>
      <c r="H201" s="18"/>
      <c r="I201" s="59"/>
      <c r="J201" s="59"/>
      <c r="K201" s="59"/>
      <c r="L201" s="87"/>
      <c r="M201" s="87"/>
      <c r="N201" s="100"/>
    </row>
    <row r="202" spans="1:14">
      <c r="A202" s="87"/>
      <c r="B202" s="87"/>
      <c r="C202" s="18"/>
      <c r="D202" s="18"/>
      <c r="E202" s="18"/>
      <c r="F202" s="18"/>
      <c r="G202" s="18"/>
      <c r="H202" s="18"/>
      <c r="I202" s="59"/>
      <c r="J202" s="59"/>
      <c r="K202" s="59"/>
      <c r="L202" s="87"/>
      <c r="M202" s="87"/>
      <c r="N202" s="100"/>
    </row>
    <row r="203" spans="1:14">
      <c r="A203" s="87"/>
      <c r="B203" s="87"/>
      <c r="C203" s="18"/>
      <c r="D203" s="18"/>
      <c r="E203" s="18"/>
      <c r="F203" s="18"/>
      <c r="G203" s="18"/>
      <c r="H203" s="18"/>
      <c r="I203" s="59"/>
      <c r="J203" s="59"/>
      <c r="K203" s="59"/>
      <c r="L203" s="87"/>
      <c r="M203" s="87"/>
      <c r="N203" s="100"/>
    </row>
    <row r="204" spans="1:14">
      <c r="A204" s="87"/>
      <c r="B204" s="87"/>
      <c r="C204" s="18"/>
      <c r="D204" s="18"/>
      <c r="E204" s="18"/>
      <c r="F204" s="18"/>
      <c r="G204" s="18"/>
      <c r="H204" s="18"/>
      <c r="I204" s="59"/>
      <c r="J204" s="59"/>
      <c r="K204" s="59"/>
      <c r="L204" s="87"/>
      <c r="M204" s="87"/>
      <c r="N204" s="100"/>
    </row>
    <row r="205" spans="1:14">
      <c r="A205" s="87"/>
      <c r="B205" s="87"/>
      <c r="C205" s="18"/>
      <c r="D205" s="18"/>
      <c r="E205" s="18"/>
      <c r="F205" s="18"/>
      <c r="G205" s="18"/>
      <c r="H205" s="18"/>
      <c r="I205" s="59"/>
      <c r="J205" s="59"/>
      <c r="K205" s="59"/>
      <c r="L205" s="87"/>
      <c r="M205" s="87"/>
      <c r="N205" s="100"/>
    </row>
    <row r="206" spans="1:14">
      <c r="A206" s="87"/>
      <c r="B206" s="87"/>
      <c r="C206" s="18"/>
      <c r="D206" s="18"/>
      <c r="E206" s="18"/>
      <c r="F206" s="18"/>
      <c r="G206" s="18"/>
      <c r="H206" s="18"/>
      <c r="I206" s="59"/>
      <c r="J206" s="59"/>
      <c r="K206" s="59"/>
      <c r="L206" s="87"/>
      <c r="M206" s="87"/>
      <c r="N206" s="100"/>
    </row>
    <row r="207" spans="1:14">
      <c r="A207" s="87"/>
      <c r="B207" s="87"/>
      <c r="C207" s="18"/>
      <c r="D207" s="18"/>
      <c r="E207" s="18"/>
      <c r="F207" s="18"/>
      <c r="G207" s="18"/>
      <c r="H207" s="18"/>
      <c r="I207" s="59"/>
      <c r="J207" s="59"/>
      <c r="K207" s="59"/>
      <c r="L207" s="87"/>
      <c r="M207" s="87"/>
      <c r="N207" s="100"/>
    </row>
    <row r="208" spans="1:14">
      <c r="A208" s="87"/>
      <c r="B208" s="87"/>
      <c r="C208" s="18"/>
      <c r="D208" s="18"/>
      <c r="E208" s="18"/>
      <c r="F208" s="18"/>
      <c r="G208" s="18"/>
      <c r="H208" s="18"/>
      <c r="I208" s="59"/>
      <c r="J208" s="59"/>
      <c r="K208" s="59"/>
      <c r="L208" s="87"/>
      <c r="M208" s="87"/>
      <c r="N208" s="100"/>
    </row>
    <row r="209" spans="1:14">
      <c r="A209" s="87"/>
      <c r="B209" s="87"/>
      <c r="C209" s="18"/>
      <c r="D209" s="18"/>
      <c r="E209" s="18"/>
      <c r="F209" s="18"/>
      <c r="G209" s="18"/>
      <c r="H209" s="18"/>
      <c r="I209" s="59"/>
      <c r="J209" s="59"/>
      <c r="K209" s="59"/>
      <c r="L209" s="87"/>
      <c r="M209" s="87"/>
      <c r="N209" s="100"/>
    </row>
    <row r="210" spans="1:14">
      <c r="A210" s="87"/>
      <c r="B210" s="87"/>
      <c r="C210" s="18"/>
      <c r="D210" s="18"/>
      <c r="E210" s="18"/>
      <c r="F210" s="18"/>
      <c r="G210" s="18"/>
      <c r="H210" s="18"/>
      <c r="I210" s="59"/>
      <c r="J210" s="59"/>
      <c r="K210" s="59"/>
      <c r="L210" s="87"/>
      <c r="M210" s="87"/>
      <c r="N210" s="100"/>
    </row>
    <row r="211" spans="1:14">
      <c r="A211" s="87"/>
      <c r="B211" s="87"/>
      <c r="C211" s="18"/>
      <c r="D211" s="18"/>
      <c r="E211" s="18"/>
      <c r="F211" s="18"/>
      <c r="G211" s="18"/>
      <c r="H211" s="18"/>
      <c r="I211" s="59"/>
      <c r="J211" s="59"/>
      <c r="K211" s="59"/>
      <c r="L211" s="87"/>
      <c r="M211" s="87"/>
      <c r="N211" s="100"/>
    </row>
    <row r="212" spans="1:14">
      <c r="A212" s="87"/>
      <c r="B212" s="87"/>
      <c r="C212" s="18"/>
      <c r="D212" s="18"/>
      <c r="E212" s="18"/>
      <c r="F212" s="18"/>
      <c r="G212" s="18"/>
      <c r="H212" s="18"/>
      <c r="I212" s="87"/>
      <c r="J212" s="87"/>
      <c r="K212" s="87"/>
    </row>
    <row r="213" spans="1:14">
      <c r="A213" s="87"/>
      <c r="B213" s="87"/>
      <c r="C213" s="18"/>
      <c r="D213" s="18"/>
      <c r="E213" s="18"/>
      <c r="F213" s="18"/>
      <c r="G213" s="18"/>
      <c r="H213" s="18"/>
      <c r="I213" s="87"/>
      <c r="J213" s="87"/>
      <c r="K213" s="87"/>
      <c r="L213" s="87"/>
      <c r="M213" s="87"/>
    </row>
    <row r="214" spans="1:14">
      <c r="A214" s="87"/>
      <c r="B214" s="87"/>
      <c r="C214" s="18"/>
      <c r="D214" s="18"/>
      <c r="E214" s="18"/>
      <c r="F214" s="18"/>
      <c r="G214" s="18"/>
      <c r="H214" s="18"/>
      <c r="I214" s="87"/>
      <c r="J214" s="87"/>
      <c r="K214" s="87"/>
      <c r="L214" s="87"/>
      <c r="M214" s="87"/>
    </row>
    <row r="215" spans="1:14">
      <c r="A215" s="87"/>
      <c r="B215" s="87"/>
      <c r="C215" s="18"/>
      <c r="D215" s="18"/>
      <c r="E215" s="18"/>
      <c r="F215" s="18"/>
      <c r="G215" s="18"/>
      <c r="H215" s="18"/>
      <c r="I215" s="59"/>
      <c r="J215" s="59"/>
      <c r="K215" s="59"/>
      <c r="L215" s="87"/>
      <c r="M215" s="87"/>
    </row>
    <row r="216" spans="1:14">
      <c r="A216" s="87"/>
      <c r="B216" s="87"/>
      <c r="C216" s="18"/>
      <c r="D216" s="18"/>
      <c r="E216" s="18"/>
      <c r="F216" s="18"/>
      <c r="G216" s="18"/>
      <c r="H216" s="18"/>
      <c r="I216" s="59"/>
      <c r="J216" s="59"/>
      <c r="K216" s="59"/>
      <c r="L216" s="87"/>
      <c r="M216" s="87"/>
    </row>
    <row r="217" spans="1:14">
      <c r="A217" s="87"/>
      <c r="B217" s="87"/>
      <c r="C217" s="18"/>
      <c r="D217" s="18"/>
      <c r="E217" s="18"/>
      <c r="F217" s="18"/>
      <c r="G217" s="18"/>
      <c r="H217" s="18"/>
      <c r="I217" s="59"/>
      <c r="J217" s="59"/>
      <c r="K217" s="59"/>
      <c r="L217" s="87"/>
      <c r="M217" s="87"/>
    </row>
    <row r="218" spans="1:14">
      <c r="A218" s="87"/>
      <c r="B218" s="87"/>
      <c r="C218" s="18"/>
      <c r="D218" s="18"/>
      <c r="E218" s="18"/>
      <c r="F218" s="18"/>
      <c r="G218" s="18"/>
      <c r="H218" s="18"/>
      <c r="I218" s="59"/>
      <c r="J218" s="59"/>
      <c r="K218" s="59"/>
      <c r="L218" s="87"/>
      <c r="M218" s="87"/>
    </row>
    <row r="219" spans="1:14">
      <c r="A219" s="87"/>
      <c r="B219" s="87"/>
      <c r="C219" s="18"/>
      <c r="D219" s="18"/>
      <c r="E219" s="18"/>
      <c r="F219" s="18"/>
      <c r="G219" s="18"/>
      <c r="H219" s="18"/>
      <c r="I219" s="59"/>
      <c r="J219" s="59"/>
      <c r="K219" s="59"/>
      <c r="L219" s="87"/>
      <c r="M219" s="87"/>
    </row>
    <row r="220" spans="1:14">
      <c r="A220" s="87"/>
      <c r="B220" s="87"/>
      <c r="C220" s="18"/>
      <c r="D220" s="18"/>
      <c r="E220" s="18"/>
      <c r="F220" s="18"/>
      <c r="G220" s="18"/>
      <c r="H220" s="18"/>
      <c r="I220" s="59"/>
      <c r="J220" s="59"/>
      <c r="K220" s="59"/>
      <c r="L220" s="87"/>
      <c r="M220" s="87"/>
    </row>
    <row r="221" spans="1:14">
      <c r="A221" s="87"/>
      <c r="B221" s="87"/>
      <c r="C221" s="18"/>
      <c r="D221" s="18"/>
      <c r="E221" s="18"/>
      <c r="F221" s="18"/>
      <c r="G221" s="18"/>
      <c r="H221" s="18"/>
      <c r="I221" s="59"/>
      <c r="J221" s="59"/>
      <c r="K221" s="59"/>
      <c r="L221" s="87"/>
      <c r="M221" s="87"/>
    </row>
    <row r="222" spans="1:14">
      <c r="A222" s="87"/>
      <c r="B222" s="87"/>
      <c r="C222" s="18"/>
      <c r="D222" s="18"/>
      <c r="E222" s="18"/>
      <c r="F222" s="18"/>
      <c r="G222" s="18"/>
      <c r="H222" s="18"/>
      <c r="I222" s="59"/>
      <c r="J222" s="59"/>
      <c r="K222" s="59"/>
      <c r="L222" s="87"/>
      <c r="M222" s="87"/>
    </row>
    <row r="223" spans="1:14">
      <c r="A223" s="87"/>
      <c r="B223" s="87"/>
      <c r="C223" s="18"/>
      <c r="D223" s="18"/>
      <c r="E223" s="18"/>
      <c r="F223" s="18"/>
      <c r="G223" s="18"/>
      <c r="H223" s="18"/>
      <c r="I223" s="59"/>
      <c r="J223" s="59"/>
      <c r="K223" s="59"/>
      <c r="L223" s="87"/>
      <c r="M223" s="87"/>
    </row>
    <row r="224" spans="1:14">
      <c r="A224" s="87"/>
      <c r="B224" s="87"/>
      <c r="C224" s="18"/>
      <c r="D224" s="18"/>
      <c r="E224" s="18"/>
      <c r="F224" s="18"/>
      <c r="G224" s="18"/>
      <c r="H224" s="18"/>
      <c r="I224" s="59"/>
      <c r="J224" s="59"/>
      <c r="K224" s="59"/>
      <c r="L224" s="87"/>
      <c r="M224" s="87"/>
    </row>
    <row r="225" spans="1:13">
      <c r="A225" s="87"/>
      <c r="B225" s="87"/>
      <c r="C225" s="18"/>
      <c r="D225" s="18"/>
      <c r="E225" s="18"/>
      <c r="F225" s="18"/>
      <c r="G225" s="18"/>
      <c r="H225" s="18"/>
      <c r="I225" s="59"/>
      <c r="J225" s="59"/>
      <c r="K225" s="59"/>
      <c r="L225" s="87"/>
      <c r="M225" s="87"/>
    </row>
    <row r="226" spans="1:13">
      <c r="A226" s="87"/>
      <c r="B226" s="87"/>
      <c r="C226" s="18"/>
      <c r="D226" s="18"/>
      <c r="E226" s="18"/>
      <c r="F226" s="18"/>
      <c r="G226" s="18"/>
      <c r="H226" s="18"/>
      <c r="I226" s="59"/>
      <c r="J226" s="59"/>
      <c r="K226" s="59"/>
      <c r="L226" s="87"/>
      <c r="M226" s="87"/>
    </row>
    <row r="227" spans="1:13">
      <c r="A227" s="87"/>
      <c r="B227" s="87"/>
      <c r="C227" s="18"/>
      <c r="D227" s="18"/>
      <c r="E227" s="18"/>
      <c r="F227" s="18"/>
      <c r="G227" s="18"/>
      <c r="H227" s="18"/>
      <c r="I227" s="59"/>
      <c r="J227" s="59"/>
      <c r="K227" s="59"/>
      <c r="L227" s="87"/>
      <c r="M227" s="87"/>
    </row>
    <row r="228" spans="1:13">
      <c r="A228" s="87"/>
      <c r="B228" s="87"/>
      <c r="C228" s="18"/>
      <c r="D228" s="18"/>
      <c r="E228" s="18"/>
      <c r="F228" s="18"/>
      <c r="G228" s="18"/>
      <c r="H228" s="18"/>
      <c r="I228" s="59"/>
      <c r="J228" s="59"/>
      <c r="K228" s="59"/>
      <c r="L228" s="87"/>
      <c r="M228" s="87"/>
    </row>
    <row r="229" spans="1:13">
      <c r="A229" s="87"/>
      <c r="B229" s="87"/>
      <c r="C229" s="18"/>
      <c r="D229" s="18"/>
      <c r="E229" s="18"/>
      <c r="F229" s="18"/>
      <c r="G229" s="18"/>
      <c r="H229" s="18"/>
      <c r="I229" s="59"/>
      <c r="J229" s="59"/>
      <c r="K229" s="59"/>
      <c r="L229" s="87"/>
      <c r="M229" s="87"/>
    </row>
    <row r="230" spans="1:13">
      <c r="A230" s="87"/>
      <c r="B230" s="87"/>
      <c r="C230" s="18"/>
      <c r="D230" s="18"/>
      <c r="E230" s="18"/>
      <c r="F230" s="18"/>
      <c r="G230" s="18"/>
      <c r="H230" s="18"/>
      <c r="I230" s="59"/>
      <c r="J230" s="59"/>
      <c r="K230" s="59"/>
      <c r="L230" s="87"/>
      <c r="M230" s="87"/>
    </row>
    <row r="231" spans="1:13">
      <c r="A231" s="87"/>
      <c r="B231" s="87"/>
      <c r="C231" s="18"/>
      <c r="D231" s="18"/>
      <c r="E231" s="18"/>
      <c r="F231" s="18"/>
      <c r="G231" s="18"/>
      <c r="H231" s="18"/>
      <c r="I231" s="59"/>
      <c r="J231" s="59"/>
      <c r="K231" s="59"/>
      <c r="L231" s="87"/>
      <c r="M231" s="87"/>
    </row>
    <row r="232" spans="1:13">
      <c r="A232" s="87"/>
      <c r="B232" s="87"/>
      <c r="C232" s="18"/>
      <c r="D232" s="18"/>
      <c r="E232" s="18"/>
      <c r="F232" s="18"/>
      <c r="G232" s="18"/>
      <c r="H232" s="18"/>
      <c r="I232" s="59"/>
      <c r="J232" s="59"/>
      <c r="K232" s="59"/>
      <c r="L232" s="87"/>
      <c r="M232" s="87"/>
    </row>
    <row r="233" spans="1:13">
      <c r="A233" s="87"/>
      <c r="B233" s="87"/>
      <c r="C233" s="18"/>
      <c r="D233" s="18"/>
      <c r="E233" s="18"/>
      <c r="F233" s="18"/>
      <c r="G233" s="18"/>
      <c r="H233" s="18"/>
      <c r="I233" s="59"/>
      <c r="J233" s="59"/>
      <c r="K233" s="59"/>
      <c r="L233" s="87"/>
      <c r="M233" s="87"/>
    </row>
    <row r="234" spans="1:13">
      <c r="A234" s="87"/>
      <c r="B234" s="87"/>
      <c r="C234" s="18"/>
      <c r="D234" s="18"/>
      <c r="E234" s="18"/>
      <c r="F234" s="18"/>
      <c r="G234" s="18"/>
      <c r="H234" s="18"/>
      <c r="I234" s="59"/>
      <c r="J234" s="59"/>
      <c r="K234" s="59"/>
      <c r="L234" s="87"/>
      <c r="M234" s="87"/>
    </row>
    <row r="235" spans="1:13">
      <c r="A235" s="87"/>
      <c r="B235" s="87"/>
      <c r="C235" s="18"/>
      <c r="D235" s="18"/>
      <c r="E235" s="18"/>
      <c r="F235" s="18"/>
      <c r="G235" s="18"/>
      <c r="H235" s="18"/>
      <c r="I235" s="59"/>
      <c r="J235" s="59"/>
      <c r="K235" s="59"/>
      <c r="L235" s="87"/>
      <c r="M235" s="87"/>
    </row>
    <row r="236" spans="1:13">
      <c r="A236" s="87"/>
      <c r="B236" s="87"/>
      <c r="C236" s="18"/>
      <c r="D236" s="18"/>
      <c r="E236" s="18"/>
      <c r="F236" s="18"/>
      <c r="G236" s="18"/>
      <c r="H236" s="18"/>
      <c r="I236" s="59"/>
      <c r="J236" s="59"/>
      <c r="K236" s="59"/>
      <c r="L236" s="87"/>
      <c r="M236" s="87"/>
    </row>
    <row r="237" spans="1:13">
      <c r="A237" s="87"/>
      <c r="B237" s="87"/>
      <c r="C237" s="18"/>
      <c r="D237" s="18"/>
      <c r="E237" s="18"/>
      <c r="F237" s="18"/>
      <c r="G237" s="18"/>
      <c r="H237" s="18"/>
      <c r="I237" s="59"/>
      <c r="J237" s="59"/>
      <c r="K237" s="59"/>
      <c r="L237" s="87"/>
      <c r="M237" s="87"/>
    </row>
    <row r="238" spans="1:13">
      <c r="A238" s="87"/>
      <c r="B238" s="87"/>
      <c r="C238" s="18"/>
      <c r="D238" s="18"/>
      <c r="E238" s="18"/>
      <c r="F238" s="18"/>
      <c r="G238" s="18"/>
      <c r="H238" s="18"/>
      <c r="I238" s="59"/>
      <c r="J238" s="59"/>
      <c r="K238" s="59"/>
      <c r="L238" s="87"/>
      <c r="M238" s="87"/>
    </row>
    <row r="239" spans="1:13">
      <c r="A239" s="87"/>
      <c r="B239" s="87"/>
      <c r="C239" s="18"/>
      <c r="D239" s="18"/>
      <c r="E239" s="18"/>
      <c r="F239" s="18"/>
      <c r="G239" s="18"/>
      <c r="H239" s="18"/>
      <c r="I239" s="59"/>
      <c r="J239" s="59"/>
      <c r="K239" s="59"/>
      <c r="L239" s="87"/>
      <c r="M239" s="87"/>
    </row>
    <row r="240" spans="1:13">
      <c r="A240" s="87"/>
      <c r="B240" s="87"/>
      <c r="C240" s="18"/>
      <c r="D240" s="18"/>
      <c r="E240" s="18"/>
      <c r="F240" s="18"/>
      <c r="G240" s="18"/>
      <c r="H240" s="18"/>
      <c r="I240" s="59"/>
      <c r="J240" s="59"/>
      <c r="K240" s="59"/>
      <c r="L240" s="87"/>
      <c r="M240" s="87"/>
    </row>
    <row r="241" spans="1:13">
      <c r="A241" s="87"/>
      <c r="B241" s="87"/>
      <c r="C241" s="18"/>
      <c r="D241" s="18"/>
      <c r="E241" s="18"/>
      <c r="F241" s="18"/>
      <c r="G241" s="18"/>
      <c r="H241" s="18"/>
      <c r="I241" s="59"/>
      <c r="J241" s="59"/>
      <c r="K241" s="59"/>
      <c r="L241" s="87"/>
      <c r="M241" s="87"/>
    </row>
    <row r="242" spans="1:13">
      <c r="A242" s="87"/>
      <c r="B242" s="87"/>
      <c r="C242" s="18"/>
      <c r="D242" s="18"/>
      <c r="E242" s="18"/>
      <c r="F242" s="18"/>
      <c r="G242" s="18"/>
      <c r="H242" s="18"/>
      <c r="I242" s="59"/>
      <c r="J242" s="59"/>
      <c r="K242" s="59"/>
      <c r="L242" s="87"/>
      <c r="M242" s="87"/>
    </row>
    <row r="243" spans="1:13">
      <c r="A243" s="87"/>
      <c r="B243" s="87"/>
      <c r="C243" s="18"/>
      <c r="D243" s="18"/>
      <c r="E243" s="18"/>
      <c r="F243" s="18"/>
      <c r="G243" s="18"/>
      <c r="H243" s="18"/>
      <c r="I243" s="59"/>
      <c r="J243" s="59"/>
      <c r="K243" s="59"/>
      <c r="L243" s="87"/>
      <c r="M243" s="87"/>
    </row>
    <row r="244" spans="1:13">
      <c r="A244" s="87"/>
      <c r="B244" s="87"/>
      <c r="C244" s="18"/>
      <c r="D244" s="18"/>
      <c r="E244" s="18"/>
      <c r="F244" s="18"/>
      <c r="G244" s="18"/>
      <c r="H244" s="18"/>
      <c r="I244" s="59"/>
      <c r="J244" s="59"/>
      <c r="K244" s="59"/>
      <c r="L244" s="87"/>
      <c r="M244" s="87"/>
    </row>
    <row r="245" spans="1:13">
      <c r="A245" s="87"/>
      <c r="B245" s="87"/>
      <c r="C245" s="18"/>
      <c r="D245" s="18"/>
      <c r="E245" s="18"/>
      <c r="F245" s="18"/>
      <c r="G245" s="18"/>
      <c r="H245" s="18"/>
      <c r="I245" s="59"/>
      <c r="J245" s="59"/>
      <c r="K245" s="59"/>
      <c r="L245" s="87"/>
      <c r="M245" s="87"/>
    </row>
    <row r="246" spans="1:13">
      <c r="A246" s="87"/>
      <c r="B246" s="87"/>
      <c r="C246" s="18"/>
      <c r="D246" s="18"/>
      <c r="E246" s="18"/>
      <c r="F246" s="18"/>
      <c r="G246" s="18"/>
      <c r="H246" s="18"/>
      <c r="I246" s="59"/>
      <c r="J246" s="59"/>
      <c r="K246" s="59"/>
      <c r="L246" s="87"/>
      <c r="M246" s="87"/>
    </row>
    <row r="247" spans="1:13">
      <c r="A247" s="87"/>
      <c r="B247" s="87"/>
      <c r="C247" s="18"/>
      <c r="D247" s="18"/>
      <c r="E247" s="18"/>
      <c r="F247" s="18"/>
      <c r="G247" s="18"/>
      <c r="H247" s="18"/>
      <c r="I247" s="59"/>
      <c r="J247" s="59"/>
      <c r="K247" s="59"/>
      <c r="L247" s="87"/>
      <c r="M247" s="87"/>
    </row>
    <row r="248" spans="1:13">
      <c r="A248" s="87"/>
      <c r="B248" s="87"/>
      <c r="C248" s="18"/>
      <c r="D248" s="18"/>
      <c r="E248" s="18"/>
      <c r="F248" s="18"/>
      <c r="G248" s="18"/>
      <c r="H248" s="18"/>
      <c r="I248" s="59"/>
      <c r="J248" s="59"/>
      <c r="K248" s="59"/>
      <c r="L248" s="87"/>
      <c r="M248" s="87"/>
    </row>
    <row r="249" spans="1:13">
      <c r="A249" s="87"/>
      <c r="B249" s="87"/>
      <c r="C249" s="18"/>
      <c r="D249" s="18"/>
      <c r="E249" s="18"/>
      <c r="F249" s="18"/>
      <c r="G249" s="18"/>
      <c r="H249" s="18"/>
      <c r="I249" s="59"/>
      <c r="J249" s="59"/>
      <c r="K249" s="59"/>
      <c r="L249" s="87"/>
      <c r="M249" s="87"/>
    </row>
    <row r="250" spans="1:13">
      <c r="A250" s="87"/>
      <c r="B250" s="87"/>
      <c r="C250" s="18"/>
      <c r="D250" s="18"/>
      <c r="E250" s="18"/>
      <c r="F250" s="18"/>
      <c r="G250" s="18"/>
      <c r="H250" s="18"/>
      <c r="I250" s="59"/>
      <c r="J250" s="59"/>
      <c r="K250" s="59"/>
      <c r="L250" s="87"/>
      <c r="M250" s="87"/>
    </row>
    <row r="251" spans="1:13">
      <c r="A251" s="87"/>
      <c r="B251" s="87"/>
      <c r="C251" s="18"/>
      <c r="D251" s="18"/>
      <c r="E251" s="18"/>
      <c r="F251" s="18"/>
      <c r="G251" s="18"/>
      <c r="H251" s="18"/>
      <c r="I251" s="59"/>
      <c r="J251" s="59"/>
      <c r="K251" s="59"/>
      <c r="L251" s="87"/>
      <c r="M251" s="87"/>
    </row>
    <row r="252" spans="1:13">
      <c r="A252" s="87"/>
      <c r="B252" s="87"/>
      <c r="C252" s="18"/>
      <c r="D252" s="18"/>
      <c r="E252" s="18"/>
      <c r="F252" s="18"/>
      <c r="G252" s="18"/>
      <c r="H252" s="18"/>
      <c r="I252" s="59"/>
      <c r="J252" s="59"/>
      <c r="K252" s="59"/>
      <c r="L252" s="87"/>
      <c r="M252" s="87"/>
    </row>
    <row r="253" spans="1:13">
      <c r="A253" s="87"/>
      <c r="B253" s="87"/>
      <c r="C253" s="18"/>
      <c r="D253" s="18"/>
      <c r="E253" s="18"/>
      <c r="F253" s="18"/>
      <c r="G253" s="18"/>
      <c r="H253" s="18"/>
      <c r="I253" s="59"/>
      <c r="J253" s="59"/>
      <c r="K253" s="59"/>
      <c r="L253" s="87"/>
      <c r="M253" s="87"/>
    </row>
    <row r="254" spans="1:13">
      <c r="A254" s="87"/>
      <c r="B254" s="87"/>
      <c r="C254" s="18"/>
      <c r="D254" s="18"/>
      <c r="E254" s="18"/>
      <c r="F254" s="18"/>
      <c r="G254" s="18"/>
      <c r="H254" s="18"/>
      <c r="I254" s="59"/>
      <c r="J254" s="59"/>
      <c r="K254" s="59"/>
      <c r="L254" s="87"/>
      <c r="M254" s="87"/>
    </row>
    <row r="255" spans="1:13">
      <c r="A255" s="87"/>
      <c r="B255" s="87"/>
      <c r="C255" s="18"/>
      <c r="D255" s="18"/>
      <c r="E255" s="18"/>
      <c r="F255" s="18"/>
      <c r="G255" s="18"/>
      <c r="H255" s="18"/>
      <c r="I255" s="59"/>
      <c r="J255" s="59"/>
      <c r="K255" s="59"/>
      <c r="L255" s="87"/>
      <c r="M255" s="87"/>
    </row>
    <row r="256" spans="1:13">
      <c r="A256" s="87"/>
      <c r="B256" s="87"/>
      <c r="C256" s="18"/>
      <c r="D256" s="18"/>
      <c r="E256" s="18"/>
      <c r="F256" s="18"/>
      <c r="G256" s="18"/>
      <c r="H256" s="18"/>
      <c r="I256" s="59"/>
      <c r="J256" s="59"/>
      <c r="K256" s="59"/>
      <c r="L256" s="87"/>
      <c r="M256" s="87"/>
    </row>
    <row r="257" spans="1:14">
      <c r="A257" s="87"/>
      <c r="B257" s="87"/>
      <c r="C257" s="18"/>
      <c r="D257" s="18"/>
      <c r="E257" s="18"/>
      <c r="F257" s="18"/>
      <c r="G257" s="18"/>
      <c r="H257" s="18"/>
      <c r="I257" s="59"/>
      <c r="J257" s="59"/>
      <c r="K257" s="59"/>
      <c r="L257" s="87"/>
      <c r="M257" s="87"/>
    </row>
    <row r="258" spans="1:14">
      <c r="A258" s="87"/>
      <c r="B258" s="87"/>
      <c r="C258" s="18"/>
      <c r="D258" s="18"/>
      <c r="E258" s="18"/>
      <c r="F258" s="18"/>
      <c r="G258" s="18"/>
      <c r="H258" s="18"/>
      <c r="I258" s="59"/>
      <c r="J258" s="59"/>
      <c r="K258" s="59"/>
      <c r="L258" s="87"/>
      <c r="M258" s="87"/>
    </row>
    <row r="259" spans="1:14">
      <c r="A259" s="87"/>
      <c r="B259" s="87"/>
      <c r="C259" s="18"/>
      <c r="D259" s="18"/>
      <c r="E259" s="18"/>
      <c r="F259" s="18"/>
      <c r="G259" s="18"/>
      <c r="H259" s="18"/>
      <c r="I259" s="59"/>
      <c r="J259" s="59"/>
      <c r="K259" s="59"/>
      <c r="L259" s="87"/>
      <c r="M259" s="87"/>
    </row>
    <row r="260" spans="1:14">
      <c r="A260" s="87"/>
      <c r="B260" s="87"/>
      <c r="C260" s="18"/>
      <c r="D260" s="18"/>
      <c r="E260" s="18"/>
      <c r="F260" s="18"/>
      <c r="G260" s="18"/>
      <c r="H260" s="18"/>
      <c r="I260" s="59"/>
      <c r="J260" s="59"/>
      <c r="K260" s="59"/>
      <c r="L260" s="87"/>
      <c r="M260" s="87"/>
    </row>
    <row r="261" spans="1:14">
      <c r="A261" s="87"/>
      <c r="B261" s="87"/>
      <c r="C261" s="18"/>
      <c r="D261" s="18"/>
      <c r="E261" s="18"/>
      <c r="F261" s="18"/>
      <c r="G261" s="18"/>
      <c r="H261" s="18"/>
      <c r="I261" s="59"/>
      <c r="J261" s="59"/>
      <c r="K261" s="59"/>
      <c r="L261" s="87"/>
      <c r="M261" s="87"/>
    </row>
    <row r="262" spans="1:14">
      <c r="A262" s="87"/>
      <c r="B262" s="87"/>
      <c r="C262" s="18"/>
      <c r="D262" s="18"/>
      <c r="E262" s="18"/>
      <c r="F262" s="18"/>
      <c r="G262" s="18"/>
      <c r="H262" s="18"/>
      <c r="I262" s="59"/>
      <c r="J262" s="59"/>
      <c r="K262" s="59"/>
      <c r="L262" s="87"/>
      <c r="M262" s="87"/>
    </row>
    <row r="263" spans="1:14">
      <c r="A263" s="87"/>
      <c r="B263" s="87"/>
      <c r="C263" s="18"/>
      <c r="D263" s="18"/>
      <c r="E263" s="18"/>
      <c r="F263" s="18"/>
      <c r="G263" s="18"/>
      <c r="H263" s="18"/>
      <c r="I263" s="59"/>
      <c r="J263" s="59"/>
      <c r="K263" s="59"/>
      <c r="L263" s="87"/>
      <c r="M263" s="87"/>
    </row>
    <row r="264" spans="1:14">
      <c r="A264" s="87"/>
      <c r="B264" s="87"/>
      <c r="C264" s="18"/>
      <c r="D264" s="18"/>
      <c r="E264" s="18"/>
      <c r="F264" s="18"/>
      <c r="G264" s="18"/>
      <c r="H264" s="18"/>
      <c r="I264" s="87"/>
      <c r="J264" s="87"/>
      <c r="K264" s="87"/>
    </row>
    <row r="265" spans="1:14">
      <c r="A265" s="87"/>
      <c r="B265" s="87"/>
      <c r="C265" s="18"/>
      <c r="D265" s="18"/>
      <c r="E265" s="18"/>
      <c r="F265" s="18"/>
      <c r="G265" s="18"/>
      <c r="H265" s="18"/>
      <c r="I265" s="87"/>
      <c r="J265" s="87"/>
      <c r="K265" s="87"/>
      <c r="L265" s="87"/>
      <c r="M265" s="87"/>
      <c r="N265" s="100"/>
    </row>
    <row r="266" spans="1:14">
      <c r="A266" s="87"/>
      <c r="B266" s="87"/>
      <c r="C266" s="18"/>
      <c r="D266" s="18"/>
      <c r="E266" s="18"/>
      <c r="F266" s="18"/>
      <c r="G266" s="18"/>
      <c r="H266" s="18"/>
      <c r="I266" s="59"/>
      <c r="J266" s="59"/>
      <c r="K266" s="59"/>
      <c r="L266" s="87"/>
      <c r="M266" s="87"/>
      <c r="N266" s="100"/>
    </row>
    <row r="267" spans="1:14">
      <c r="A267" s="87"/>
      <c r="B267" s="87"/>
      <c r="C267" s="18"/>
      <c r="D267" s="18"/>
      <c r="E267" s="18"/>
      <c r="F267" s="18"/>
      <c r="G267" s="18"/>
      <c r="H267" s="18"/>
      <c r="I267" s="59"/>
      <c r="J267" s="59"/>
      <c r="K267" s="59"/>
      <c r="L267" s="87"/>
      <c r="M267" s="87"/>
      <c r="N267" s="100"/>
    </row>
    <row r="268" spans="1:14">
      <c r="A268" s="87"/>
      <c r="B268" s="87"/>
      <c r="C268" s="18"/>
      <c r="D268" s="18"/>
      <c r="E268" s="18"/>
      <c r="F268" s="18"/>
      <c r="G268" s="18"/>
      <c r="H268" s="18"/>
      <c r="I268" s="59"/>
      <c r="J268" s="59"/>
      <c r="K268" s="59"/>
      <c r="L268" s="87"/>
      <c r="M268" s="87"/>
      <c r="N268" s="100"/>
    </row>
    <row r="269" spans="1:14">
      <c r="A269" s="87"/>
      <c r="B269" s="87"/>
      <c r="C269" s="18"/>
      <c r="D269" s="18"/>
      <c r="E269" s="18"/>
      <c r="F269" s="18"/>
      <c r="G269" s="18"/>
      <c r="H269" s="18"/>
      <c r="I269" s="59"/>
      <c r="J269" s="59"/>
      <c r="K269" s="59"/>
      <c r="L269" s="87"/>
      <c r="M269" s="87"/>
      <c r="N269" s="100"/>
    </row>
    <row r="270" spans="1:14">
      <c r="A270" s="87"/>
      <c r="B270" s="87"/>
      <c r="C270" s="18"/>
      <c r="D270" s="18"/>
      <c r="E270" s="18"/>
      <c r="F270" s="18"/>
      <c r="G270" s="18"/>
      <c r="H270" s="18"/>
      <c r="I270" s="59"/>
      <c r="J270" s="59"/>
      <c r="K270" s="59"/>
      <c r="L270" s="87"/>
      <c r="M270" s="87"/>
      <c r="N270" s="100"/>
    </row>
    <row r="271" spans="1:14">
      <c r="A271" s="87"/>
      <c r="B271" s="87"/>
      <c r="C271" s="18"/>
      <c r="D271" s="18"/>
      <c r="E271" s="18"/>
      <c r="F271" s="18"/>
      <c r="G271" s="18"/>
      <c r="H271" s="18"/>
      <c r="I271" s="59"/>
      <c r="J271" s="59"/>
      <c r="K271" s="59"/>
      <c r="L271" s="87"/>
      <c r="M271" s="87"/>
      <c r="N271" s="100"/>
    </row>
    <row r="272" spans="1:14">
      <c r="A272" s="87"/>
      <c r="B272" s="87"/>
      <c r="C272" s="18"/>
      <c r="D272" s="18"/>
      <c r="E272" s="18"/>
      <c r="F272" s="18"/>
      <c r="G272" s="18"/>
      <c r="H272" s="18"/>
      <c r="I272" s="59"/>
      <c r="J272" s="59"/>
      <c r="K272" s="59"/>
      <c r="L272" s="87"/>
      <c r="M272" s="87"/>
      <c r="N272" s="100"/>
    </row>
    <row r="273" spans="1:14">
      <c r="A273" s="87"/>
      <c r="B273" s="87"/>
      <c r="C273" s="18"/>
      <c r="D273" s="18"/>
      <c r="E273" s="18"/>
      <c r="F273" s="18"/>
      <c r="G273" s="18"/>
      <c r="H273" s="18"/>
      <c r="I273" s="59"/>
      <c r="J273" s="59"/>
      <c r="K273" s="59"/>
      <c r="L273" s="87"/>
      <c r="M273" s="87"/>
      <c r="N273" s="100"/>
    </row>
    <row r="274" spans="1:14">
      <c r="A274" s="87"/>
      <c r="B274" s="87"/>
      <c r="C274" s="18"/>
      <c r="D274" s="18"/>
      <c r="E274" s="18"/>
      <c r="F274" s="18"/>
      <c r="G274" s="18"/>
      <c r="H274" s="18"/>
      <c r="I274" s="59"/>
      <c r="J274" s="59"/>
      <c r="K274" s="59"/>
      <c r="L274" s="87"/>
      <c r="M274" s="87"/>
      <c r="N274" s="100"/>
    </row>
    <row r="275" spans="1:14">
      <c r="A275" s="87"/>
      <c r="B275" s="87"/>
      <c r="C275" s="18"/>
      <c r="D275" s="18"/>
      <c r="E275" s="18"/>
      <c r="F275" s="18"/>
      <c r="G275" s="18"/>
      <c r="H275" s="18"/>
      <c r="I275" s="59"/>
      <c r="J275" s="59"/>
      <c r="K275" s="59"/>
      <c r="L275" s="87"/>
      <c r="M275" s="87"/>
      <c r="N275" s="100"/>
    </row>
    <row r="276" spans="1:14">
      <c r="A276" s="87"/>
      <c r="B276" s="87"/>
      <c r="C276" s="18"/>
      <c r="D276" s="18"/>
      <c r="E276" s="18"/>
      <c r="F276" s="18"/>
      <c r="G276" s="18"/>
      <c r="H276" s="18"/>
      <c r="I276" s="59"/>
      <c r="J276" s="59"/>
      <c r="K276" s="59"/>
      <c r="L276" s="87"/>
      <c r="M276" s="87"/>
      <c r="N276" s="100"/>
    </row>
    <row r="277" spans="1:14">
      <c r="A277" s="87"/>
      <c r="B277" s="87"/>
      <c r="C277" s="18"/>
      <c r="D277" s="18"/>
      <c r="E277" s="18"/>
      <c r="F277" s="18"/>
      <c r="G277" s="18"/>
      <c r="H277" s="18"/>
      <c r="I277" s="59"/>
      <c r="J277" s="59"/>
      <c r="K277" s="59"/>
      <c r="L277" s="87"/>
      <c r="M277" s="87"/>
      <c r="N277" s="100"/>
    </row>
    <row r="278" spans="1:14">
      <c r="A278" s="87"/>
      <c r="B278" s="87"/>
      <c r="C278" s="18"/>
      <c r="D278" s="18"/>
      <c r="E278" s="18"/>
      <c r="F278" s="18"/>
      <c r="G278" s="18"/>
      <c r="H278" s="18"/>
      <c r="I278" s="59"/>
      <c r="J278" s="59"/>
      <c r="K278" s="59"/>
      <c r="L278" s="87"/>
      <c r="M278" s="87"/>
      <c r="N278" s="100"/>
    </row>
    <row r="279" spans="1:14">
      <c r="A279" s="87"/>
      <c r="B279" s="87"/>
      <c r="C279" s="18"/>
      <c r="D279" s="18"/>
      <c r="E279" s="18"/>
      <c r="F279" s="18"/>
      <c r="G279" s="18"/>
      <c r="H279" s="18"/>
      <c r="I279" s="59"/>
      <c r="J279" s="59"/>
      <c r="K279" s="59"/>
      <c r="L279" s="87"/>
      <c r="M279" s="87"/>
      <c r="N279" s="100"/>
    </row>
    <row r="280" spans="1:14">
      <c r="A280" s="87"/>
      <c r="B280" s="87"/>
      <c r="C280" s="18"/>
      <c r="D280" s="18"/>
      <c r="E280" s="18"/>
      <c r="F280" s="18"/>
      <c r="G280" s="18"/>
      <c r="H280" s="18"/>
      <c r="I280" s="59"/>
      <c r="J280" s="59"/>
      <c r="K280" s="59"/>
      <c r="L280" s="87"/>
      <c r="M280" s="87"/>
      <c r="N280" s="100"/>
    </row>
    <row r="281" spans="1:14">
      <c r="A281" s="87"/>
      <c r="B281" s="87"/>
      <c r="C281" s="18"/>
      <c r="D281" s="18"/>
      <c r="E281" s="18"/>
      <c r="F281" s="18"/>
      <c r="G281" s="18"/>
      <c r="H281" s="18"/>
      <c r="I281" s="59"/>
      <c r="J281" s="59"/>
      <c r="K281" s="59"/>
      <c r="L281" s="87"/>
      <c r="M281" s="87"/>
      <c r="N281" s="100"/>
    </row>
    <row r="282" spans="1:14">
      <c r="A282" s="87"/>
      <c r="B282" s="87"/>
      <c r="C282" s="18"/>
      <c r="D282" s="18"/>
      <c r="E282" s="18"/>
      <c r="F282" s="18"/>
      <c r="G282" s="18"/>
      <c r="H282" s="18"/>
      <c r="I282" s="59"/>
      <c r="J282" s="59"/>
      <c r="K282" s="59"/>
      <c r="L282" s="87"/>
      <c r="M282" s="87"/>
      <c r="N282" s="100"/>
    </row>
    <row r="283" spans="1:14">
      <c r="A283" s="87"/>
      <c r="B283" s="87"/>
      <c r="C283" s="18"/>
      <c r="D283" s="18"/>
      <c r="E283" s="18"/>
      <c r="F283" s="18"/>
      <c r="G283" s="18"/>
      <c r="H283" s="18"/>
      <c r="I283" s="59"/>
      <c r="J283" s="59"/>
      <c r="K283" s="59"/>
      <c r="L283" s="87"/>
      <c r="M283" s="87"/>
      <c r="N283" s="100"/>
    </row>
    <row r="284" spans="1:14">
      <c r="A284" s="87"/>
      <c r="B284" s="87"/>
      <c r="C284" s="18"/>
      <c r="D284" s="18"/>
      <c r="E284" s="18"/>
      <c r="F284" s="18"/>
      <c r="G284" s="18"/>
      <c r="H284" s="18"/>
      <c r="I284" s="59"/>
      <c r="J284" s="59"/>
      <c r="K284" s="59"/>
      <c r="L284" s="87"/>
      <c r="M284" s="87"/>
      <c r="N284" s="100"/>
    </row>
    <row r="285" spans="1:14">
      <c r="A285" s="87"/>
      <c r="B285" s="87"/>
      <c r="C285" s="18"/>
      <c r="D285" s="18"/>
      <c r="E285" s="18"/>
      <c r="F285" s="18"/>
      <c r="G285" s="18"/>
      <c r="H285" s="18"/>
      <c r="I285" s="59"/>
      <c r="J285" s="59"/>
      <c r="K285" s="59"/>
      <c r="L285" s="87"/>
      <c r="M285" s="87"/>
      <c r="N285" s="100"/>
    </row>
    <row r="286" spans="1:14">
      <c r="A286" s="87"/>
      <c r="B286" s="87"/>
      <c r="C286" s="18"/>
      <c r="D286" s="18"/>
      <c r="E286" s="18"/>
      <c r="F286" s="18"/>
      <c r="G286" s="18"/>
      <c r="H286" s="18"/>
      <c r="I286" s="59"/>
      <c r="J286" s="59"/>
      <c r="K286" s="59"/>
      <c r="L286" s="87"/>
      <c r="M286" s="87"/>
      <c r="N286" s="100"/>
    </row>
    <row r="287" spans="1:14">
      <c r="A287" s="87"/>
      <c r="B287" s="87"/>
      <c r="C287" s="18"/>
      <c r="D287" s="18"/>
      <c r="E287" s="18"/>
      <c r="F287" s="18"/>
      <c r="G287" s="18"/>
      <c r="H287" s="18"/>
      <c r="I287" s="59"/>
      <c r="J287" s="59"/>
      <c r="K287" s="59"/>
      <c r="L287" s="87"/>
      <c r="M287" s="87"/>
      <c r="N287" s="100"/>
    </row>
    <row r="288" spans="1:14">
      <c r="A288" s="87"/>
      <c r="B288" s="87"/>
      <c r="C288" s="18"/>
      <c r="D288" s="18"/>
      <c r="E288" s="18"/>
      <c r="F288" s="18"/>
      <c r="G288" s="18"/>
      <c r="H288" s="18"/>
      <c r="I288" s="59"/>
      <c r="J288" s="59"/>
      <c r="K288" s="59"/>
      <c r="L288" s="87"/>
      <c r="M288" s="87"/>
      <c r="N288" s="100"/>
    </row>
    <row r="289" spans="1:14">
      <c r="A289" s="87"/>
      <c r="B289" s="87"/>
      <c r="C289" s="18"/>
      <c r="D289" s="18"/>
      <c r="E289" s="18"/>
      <c r="F289" s="18"/>
      <c r="G289" s="18"/>
      <c r="H289" s="18"/>
      <c r="I289" s="59"/>
      <c r="J289" s="59"/>
      <c r="K289" s="59"/>
      <c r="L289" s="87"/>
      <c r="M289" s="87"/>
      <c r="N289" s="100"/>
    </row>
    <row r="290" spans="1:14">
      <c r="A290" s="87"/>
      <c r="B290" s="87"/>
      <c r="C290" s="18"/>
      <c r="D290" s="18"/>
      <c r="E290" s="18"/>
      <c r="F290" s="18"/>
      <c r="G290" s="18"/>
      <c r="H290" s="18"/>
      <c r="I290" s="59"/>
      <c r="J290" s="59"/>
      <c r="K290" s="59"/>
      <c r="L290" s="87"/>
      <c r="M290" s="87"/>
      <c r="N290" s="100"/>
    </row>
    <row r="291" spans="1:14">
      <c r="A291" s="87"/>
      <c r="B291" s="87"/>
      <c r="C291" s="18"/>
      <c r="D291" s="18"/>
      <c r="E291" s="18"/>
      <c r="F291" s="18"/>
      <c r="G291" s="18"/>
      <c r="H291" s="18"/>
      <c r="I291" s="59"/>
      <c r="J291" s="59"/>
      <c r="K291" s="59"/>
      <c r="L291" s="87"/>
      <c r="M291" s="87"/>
      <c r="N291" s="100"/>
    </row>
    <row r="292" spans="1:14">
      <c r="A292" s="87"/>
      <c r="B292" s="87"/>
      <c r="C292" s="18"/>
      <c r="D292" s="18"/>
      <c r="E292" s="18"/>
      <c r="F292" s="18"/>
      <c r="G292" s="18"/>
      <c r="H292" s="18"/>
      <c r="I292" s="59"/>
      <c r="J292" s="59"/>
      <c r="K292" s="59"/>
      <c r="L292" s="87"/>
      <c r="M292" s="87"/>
      <c r="N292" s="100"/>
    </row>
    <row r="293" spans="1:14">
      <c r="A293" s="87"/>
      <c r="B293" s="87"/>
      <c r="C293" s="18"/>
      <c r="D293" s="18"/>
      <c r="E293" s="18"/>
      <c r="F293" s="18"/>
      <c r="G293" s="18"/>
      <c r="H293" s="18"/>
      <c r="I293" s="59"/>
      <c r="J293" s="59"/>
      <c r="K293" s="59"/>
      <c r="L293" s="87"/>
      <c r="M293" s="87"/>
      <c r="N293" s="100"/>
    </row>
    <row r="294" spans="1:14">
      <c r="A294" s="87"/>
      <c r="B294" s="87"/>
      <c r="C294" s="18"/>
      <c r="D294" s="18"/>
      <c r="E294" s="18"/>
      <c r="F294" s="18"/>
      <c r="G294" s="18"/>
      <c r="H294" s="18"/>
      <c r="I294" s="59"/>
      <c r="J294" s="59"/>
      <c r="K294" s="59"/>
      <c r="L294" s="87"/>
      <c r="M294" s="87"/>
      <c r="N294" s="100"/>
    </row>
    <row r="295" spans="1:14">
      <c r="A295" s="87"/>
      <c r="B295" s="87"/>
      <c r="C295" s="18"/>
      <c r="D295" s="18"/>
      <c r="E295" s="18"/>
      <c r="F295" s="18"/>
      <c r="G295" s="18"/>
      <c r="H295" s="18"/>
      <c r="I295" s="59"/>
      <c r="J295" s="59"/>
      <c r="K295" s="59"/>
      <c r="L295" s="87"/>
      <c r="M295" s="87"/>
      <c r="N295" s="100"/>
    </row>
    <row r="296" spans="1:14">
      <c r="A296" s="87"/>
      <c r="B296" s="87"/>
      <c r="C296" s="18"/>
      <c r="D296" s="18"/>
      <c r="E296" s="18"/>
      <c r="F296" s="18"/>
      <c r="G296" s="18"/>
      <c r="H296" s="18"/>
      <c r="I296" s="59"/>
      <c r="J296" s="59"/>
      <c r="K296" s="59"/>
      <c r="L296" s="87"/>
      <c r="M296" s="87"/>
      <c r="N296" s="100"/>
    </row>
    <row r="297" spans="1:14">
      <c r="A297" s="87"/>
      <c r="B297" s="87"/>
      <c r="C297" s="18"/>
      <c r="D297" s="18"/>
      <c r="E297" s="18"/>
      <c r="F297" s="18"/>
      <c r="G297" s="18"/>
      <c r="H297" s="18"/>
      <c r="I297" s="59"/>
      <c r="J297" s="59"/>
      <c r="K297" s="59"/>
      <c r="L297" s="87"/>
      <c r="M297" s="87"/>
      <c r="N297" s="100"/>
    </row>
    <row r="298" spans="1:14">
      <c r="A298" s="87"/>
      <c r="B298" s="87"/>
      <c r="C298" s="18"/>
      <c r="D298" s="18"/>
      <c r="E298" s="18"/>
      <c r="F298" s="18"/>
      <c r="G298" s="18"/>
      <c r="H298" s="18"/>
      <c r="I298" s="59"/>
      <c r="J298" s="59"/>
      <c r="K298" s="59"/>
      <c r="L298" s="87"/>
      <c r="M298" s="87"/>
      <c r="N298" s="100"/>
    </row>
    <row r="299" spans="1:14">
      <c r="A299" s="87"/>
      <c r="B299" s="87"/>
      <c r="C299" s="18"/>
      <c r="D299" s="18"/>
      <c r="E299" s="18"/>
      <c r="F299" s="18"/>
      <c r="G299" s="18"/>
      <c r="H299" s="18"/>
      <c r="I299" s="59"/>
      <c r="J299" s="59"/>
      <c r="K299" s="59"/>
      <c r="L299" s="87"/>
      <c r="M299" s="87"/>
      <c r="N299" s="100"/>
    </row>
    <row r="300" spans="1:14">
      <c r="A300" s="87"/>
      <c r="B300" s="87"/>
      <c r="C300" s="18"/>
      <c r="D300" s="18"/>
      <c r="E300" s="18"/>
      <c r="F300" s="18"/>
      <c r="G300" s="18"/>
      <c r="H300" s="18"/>
      <c r="I300" s="59"/>
      <c r="J300" s="59"/>
      <c r="K300" s="59"/>
      <c r="L300" s="87"/>
      <c r="M300" s="87"/>
      <c r="N300" s="100"/>
    </row>
    <row r="301" spans="1:14">
      <c r="A301" s="87"/>
      <c r="B301" s="87"/>
      <c r="C301" s="18"/>
      <c r="D301" s="18"/>
      <c r="E301" s="18"/>
      <c r="F301" s="18"/>
      <c r="G301" s="18"/>
      <c r="H301" s="18"/>
      <c r="I301" s="59"/>
      <c r="J301" s="59"/>
      <c r="K301" s="59"/>
      <c r="L301" s="87"/>
      <c r="M301" s="87"/>
      <c r="N301" s="100"/>
    </row>
    <row r="302" spans="1:14">
      <c r="A302" s="87"/>
      <c r="B302" s="87"/>
      <c r="C302" s="18"/>
      <c r="D302" s="18"/>
      <c r="E302" s="18"/>
      <c r="F302" s="18"/>
      <c r="G302" s="18"/>
      <c r="H302" s="18"/>
      <c r="I302" s="59"/>
      <c r="J302" s="59"/>
      <c r="K302" s="59"/>
      <c r="L302" s="87"/>
      <c r="M302" s="87"/>
      <c r="N302" s="100"/>
    </row>
    <row r="303" spans="1:14">
      <c r="A303" s="87"/>
      <c r="B303" s="87"/>
      <c r="C303" s="18"/>
      <c r="D303" s="18"/>
      <c r="E303" s="18"/>
      <c r="F303" s="18"/>
      <c r="G303" s="18"/>
      <c r="H303" s="18"/>
      <c r="I303" s="59"/>
      <c r="J303" s="59"/>
      <c r="K303" s="59"/>
      <c r="L303" s="87"/>
      <c r="M303" s="87"/>
      <c r="N303" s="100"/>
    </row>
    <row r="304" spans="1:14">
      <c r="A304" s="87"/>
      <c r="B304" s="87"/>
      <c r="C304" s="18"/>
      <c r="D304" s="18"/>
      <c r="E304" s="18"/>
      <c r="F304" s="18"/>
      <c r="G304" s="18"/>
      <c r="H304" s="18"/>
      <c r="I304" s="59"/>
      <c r="J304" s="59"/>
      <c r="K304" s="59"/>
      <c r="L304" s="87"/>
      <c r="M304" s="87"/>
      <c r="N304" s="100"/>
    </row>
    <row r="305" spans="1:15">
      <c r="A305" s="87"/>
      <c r="B305" s="87"/>
      <c r="C305" s="18"/>
      <c r="D305" s="18"/>
      <c r="E305" s="18"/>
      <c r="F305" s="18"/>
      <c r="G305" s="18"/>
      <c r="H305" s="18"/>
      <c r="I305" s="59"/>
      <c r="J305" s="59"/>
      <c r="K305" s="59"/>
      <c r="L305" s="87"/>
      <c r="M305" s="87"/>
      <c r="N305" s="100"/>
    </row>
    <row r="306" spans="1:15">
      <c r="A306" s="87"/>
      <c r="B306" s="87"/>
      <c r="C306" s="18"/>
      <c r="D306" s="18"/>
      <c r="E306" s="18"/>
      <c r="F306" s="18"/>
      <c r="G306" s="18"/>
      <c r="H306" s="18"/>
      <c r="I306" s="59"/>
      <c r="J306" s="59"/>
      <c r="K306" s="59"/>
      <c r="L306" s="87"/>
      <c r="M306" s="87"/>
      <c r="N306" s="100"/>
    </row>
    <row r="307" spans="1:15">
      <c r="A307" s="87"/>
      <c r="B307" s="87"/>
      <c r="C307" s="18"/>
      <c r="D307" s="18"/>
      <c r="E307" s="18"/>
      <c r="F307" s="18"/>
      <c r="G307" s="18"/>
      <c r="H307" s="18"/>
      <c r="I307" s="59"/>
      <c r="J307" s="59"/>
      <c r="K307" s="59"/>
      <c r="L307" s="87"/>
      <c r="M307" s="87"/>
      <c r="N307" s="100"/>
    </row>
    <row r="308" spans="1:15">
      <c r="A308" s="87"/>
      <c r="B308" s="87"/>
      <c r="C308" s="18"/>
      <c r="D308" s="18"/>
      <c r="E308" s="18"/>
      <c r="F308" s="18"/>
      <c r="G308" s="18"/>
      <c r="H308" s="18"/>
      <c r="I308" s="59"/>
      <c r="J308" s="59"/>
      <c r="K308" s="59"/>
      <c r="L308" s="87"/>
      <c r="M308" s="87"/>
      <c r="N308" s="100"/>
    </row>
    <row r="309" spans="1:15">
      <c r="A309" s="87"/>
      <c r="B309" s="87"/>
      <c r="C309" s="18"/>
      <c r="D309" s="18"/>
      <c r="E309" s="18"/>
      <c r="F309" s="18"/>
      <c r="G309" s="18"/>
      <c r="H309" s="18"/>
      <c r="I309" s="59"/>
      <c r="J309" s="59"/>
      <c r="K309" s="59"/>
      <c r="L309" s="87"/>
      <c r="M309" s="87"/>
      <c r="N309" s="100"/>
    </row>
    <row r="310" spans="1:15">
      <c r="A310" s="87"/>
      <c r="B310" s="87"/>
      <c r="C310" s="18"/>
      <c r="D310" s="18"/>
      <c r="E310" s="18"/>
      <c r="F310" s="18"/>
      <c r="G310" s="18"/>
      <c r="H310" s="18"/>
      <c r="I310" s="59"/>
      <c r="J310" s="59"/>
      <c r="K310" s="59"/>
      <c r="L310" s="87"/>
      <c r="M310" s="87"/>
      <c r="N310" s="100"/>
    </row>
    <row r="311" spans="1:15">
      <c r="A311" s="87"/>
      <c r="B311" s="87"/>
      <c r="C311" s="18"/>
      <c r="D311" s="18"/>
      <c r="E311" s="18"/>
      <c r="F311" s="18"/>
      <c r="G311" s="18"/>
      <c r="H311" s="18"/>
      <c r="I311" s="59"/>
      <c r="J311" s="59"/>
      <c r="K311" s="59"/>
      <c r="L311" s="87"/>
      <c r="M311" s="87"/>
      <c r="N311" s="100"/>
    </row>
    <row r="312" spans="1:15">
      <c r="A312" s="87"/>
      <c r="B312" s="87"/>
      <c r="C312" s="18"/>
      <c r="D312" s="18"/>
      <c r="E312" s="18"/>
      <c r="F312" s="18"/>
      <c r="G312" s="18"/>
      <c r="H312" s="18"/>
      <c r="I312" s="59"/>
      <c r="J312" s="59"/>
      <c r="K312" s="59"/>
      <c r="L312" s="87"/>
      <c r="M312" s="87"/>
      <c r="N312" s="100"/>
    </row>
    <row r="313" spans="1:15">
      <c r="A313" s="87"/>
      <c r="B313" s="87"/>
      <c r="C313" s="18"/>
      <c r="D313" s="18"/>
      <c r="E313" s="18"/>
      <c r="F313" s="18"/>
      <c r="G313" s="18"/>
      <c r="H313" s="18"/>
      <c r="I313" s="59"/>
      <c r="J313" s="59"/>
      <c r="K313" s="59"/>
      <c r="L313" s="87"/>
      <c r="M313" s="87"/>
      <c r="N313" s="100"/>
    </row>
    <row r="314" spans="1:15">
      <c r="A314" s="87"/>
      <c r="B314" s="87"/>
      <c r="C314" s="18"/>
      <c r="D314" s="18"/>
      <c r="E314" s="18"/>
      <c r="F314" s="18"/>
      <c r="G314" s="18"/>
      <c r="H314" s="18"/>
      <c r="I314" s="59"/>
      <c r="J314" s="59"/>
      <c r="K314" s="59"/>
      <c r="L314" s="87"/>
      <c r="M314" s="87"/>
      <c r="N314" s="100"/>
    </row>
    <row r="315" spans="1:15">
      <c r="A315" s="87"/>
      <c r="B315" s="87"/>
      <c r="C315" s="18"/>
      <c r="D315" s="18"/>
      <c r="E315" s="18"/>
      <c r="F315" s="18"/>
      <c r="G315" s="18"/>
      <c r="H315" s="18"/>
      <c r="I315" s="59"/>
      <c r="J315" s="59"/>
      <c r="K315" s="59"/>
      <c r="L315" s="87"/>
      <c r="M315" s="87"/>
      <c r="N315" s="100"/>
    </row>
    <row r="316" spans="1:15">
      <c r="A316" s="87"/>
      <c r="B316" s="87"/>
      <c r="C316" s="18"/>
      <c r="D316" s="18"/>
      <c r="E316" s="18"/>
      <c r="F316" s="18"/>
      <c r="G316" s="18"/>
      <c r="H316" s="18"/>
      <c r="I316" s="87"/>
      <c r="J316" s="87"/>
      <c r="K316" s="87"/>
    </row>
    <row r="317" spans="1:15">
      <c r="A317" s="87"/>
      <c r="B317" s="87"/>
      <c r="C317" s="18"/>
      <c r="D317" s="18"/>
      <c r="E317" s="18"/>
      <c r="F317" s="18"/>
      <c r="G317" s="18"/>
      <c r="H317" s="18"/>
      <c r="I317" s="59"/>
      <c r="J317" s="59"/>
      <c r="K317" s="59"/>
      <c r="L317" s="87"/>
      <c r="M317" s="87"/>
      <c r="N317" s="100"/>
      <c r="O317" s="100"/>
    </row>
    <row r="318" spans="1:15">
      <c r="A318" s="87"/>
      <c r="B318" s="87"/>
      <c r="C318" s="18"/>
      <c r="D318" s="18"/>
      <c r="E318" s="18"/>
      <c r="F318" s="18"/>
      <c r="G318" s="18"/>
      <c r="H318" s="18"/>
      <c r="I318" s="59"/>
      <c r="J318" s="59"/>
      <c r="K318" s="59"/>
      <c r="L318" s="87"/>
      <c r="M318" s="87"/>
      <c r="N318" s="100"/>
      <c r="O318" s="100"/>
    </row>
    <row r="319" spans="1:15">
      <c r="A319" s="87"/>
      <c r="B319" s="87"/>
      <c r="C319" s="18"/>
      <c r="D319" s="18"/>
      <c r="E319" s="18"/>
      <c r="F319" s="18"/>
      <c r="G319" s="18"/>
      <c r="H319" s="18"/>
      <c r="I319" s="59"/>
      <c r="J319" s="59"/>
      <c r="K319" s="59"/>
      <c r="L319" s="87"/>
      <c r="M319" s="87"/>
      <c r="N319" s="100"/>
      <c r="O319" s="100"/>
    </row>
    <row r="320" spans="1:15">
      <c r="A320" s="87"/>
      <c r="B320" s="87"/>
      <c r="C320" s="18"/>
      <c r="D320" s="18"/>
      <c r="E320" s="18"/>
      <c r="F320" s="18"/>
      <c r="G320" s="18"/>
      <c r="H320" s="18"/>
      <c r="I320" s="59"/>
      <c r="J320" s="59"/>
      <c r="K320" s="59"/>
      <c r="L320" s="87"/>
      <c r="M320" s="87"/>
      <c r="N320" s="100"/>
      <c r="O320" s="100"/>
    </row>
    <row r="321" spans="1:15">
      <c r="A321" s="87"/>
      <c r="B321" s="87"/>
      <c r="C321" s="18"/>
      <c r="D321" s="18"/>
      <c r="E321" s="18"/>
      <c r="F321" s="18"/>
      <c r="G321" s="18"/>
      <c r="H321" s="18"/>
      <c r="I321" s="59"/>
      <c r="J321" s="59"/>
      <c r="K321" s="59"/>
      <c r="L321" s="87"/>
      <c r="M321" s="87"/>
      <c r="N321" s="100"/>
      <c r="O321" s="100"/>
    </row>
    <row r="322" spans="1:15">
      <c r="A322" s="87"/>
      <c r="B322" s="87"/>
      <c r="C322" s="18"/>
      <c r="D322" s="18"/>
      <c r="E322" s="18"/>
      <c r="F322" s="18"/>
      <c r="G322" s="18"/>
      <c r="H322" s="18"/>
      <c r="I322" s="59"/>
      <c r="J322" s="59"/>
      <c r="K322" s="59"/>
      <c r="L322" s="87"/>
      <c r="M322" s="87"/>
      <c r="N322" s="100"/>
      <c r="O322" s="100"/>
    </row>
    <row r="323" spans="1:15">
      <c r="A323" s="87"/>
      <c r="B323" s="87"/>
      <c r="C323" s="18"/>
      <c r="D323" s="18"/>
      <c r="E323" s="18"/>
      <c r="F323" s="18"/>
      <c r="G323" s="18"/>
      <c r="H323" s="18"/>
      <c r="I323" s="59"/>
      <c r="J323" s="59"/>
      <c r="K323" s="59"/>
      <c r="L323" s="87"/>
      <c r="M323" s="87"/>
      <c r="N323" s="100"/>
      <c r="O323" s="100"/>
    </row>
    <row r="324" spans="1:15">
      <c r="A324" s="87"/>
      <c r="B324" s="87"/>
      <c r="C324" s="18"/>
      <c r="D324" s="18"/>
      <c r="E324" s="18"/>
      <c r="F324" s="18"/>
      <c r="G324" s="18"/>
      <c r="H324" s="18"/>
      <c r="I324" s="59"/>
      <c r="J324" s="59"/>
      <c r="K324" s="59"/>
      <c r="L324" s="87"/>
      <c r="M324" s="87"/>
      <c r="N324" s="100"/>
      <c r="O324" s="100"/>
    </row>
    <row r="325" spans="1:15">
      <c r="A325" s="87"/>
      <c r="B325" s="87"/>
      <c r="C325" s="18"/>
      <c r="D325" s="18"/>
      <c r="E325" s="18"/>
      <c r="F325" s="18"/>
      <c r="G325" s="18"/>
      <c r="H325" s="18"/>
      <c r="I325" s="59"/>
      <c r="J325" s="59"/>
      <c r="K325" s="59"/>
      <c r="L325" s="87"/>
      <c r="M325" s="87"/>
      <c r="N325" s="100"/>
      <c r="O325" s="100"/>
    </row>
    <row r="326" spans="1:15">
      <c r="A326" s="87"/>
      <c r="B326" s="87"/>
      <c r="C326" s="18"/>
      <c r="D326" s="18"/>
      <c r="E326" s="18"/>
      <c r="F326" s="18"/>
      <c r="G326" s="18"/>
      <c r="H326" s="18"/>
      <c r="I326" s="59"/>
      <c r="J326" s="59"/>
      <c r="K326" s="59"/>
      <c r="L326" s="87"/>
      <c r="M326" s="87"/>
      <c r="N326" s="100"/>
      <c r="O326" s="100"/>
    </row>
    <row r="327" spans="1:15">
      <c r="A327" s="87"/>
      <c r="B327" s="87"/>
      <c r="C327" s="18"/>
      <c r="D327" s="18"/>
      <c r="E327" s="18"/>
      <c r="F327" s="18"/>
      <c r="G327" s="18"/>
      <c r="H327" s="18"/>
      <c r="I327" s="59"/>
      <c r="J327" s="59"/>
      <c r="K327" s="59"/>
      <c r="L327" s="87"/>
      <c r="M327" s="87"/>
      <c r="N327" s="100"/>
      <c r="O327" s="100"/>
    </row>
    <row r="328" spans="1:15">
      <c r="A328" s="87"/>
      <c r="B328" s="87"/>
      <c r="C328" s="18"/>
      <c r="D328" s="18"/>
      <c r="E328" s="18"/>
      <c r="F328" s="18"/>
      <c r="G328" s="18"/>
      <c r="H328" s="18"/>
      <c r="I328" s="59"/>
      <c r="J328" s="59"/>
      <c r="K328" s="59"/>
      <c r="L328" s="87"/>
      <c r="M328" s="87"/>
      <c r="N328" s="100"/>
      <c r="O328" s="100"/>
    </row>
    <row r="329" spans="1:15">
      <c r="A329" s="87"/>
      <c r="B329" s="87"/>
      <c r="C329" s="18"/>
      <c r="D329" s="18"/>
      <c r="E329" s="18"/>
      <c r="F329" s="18"/>
      <c r="G329" s="18"/>
      <c r="H329" s="18"/>
      <c r="I329" s="59"/>
      <c r="J329" s="59"/>
      <c r="K329" s="59"/>
      <c r="L329" s="87"/>
      <c r="M329" s="87"/>
      <c r="N329" s="100"/>
      <c r="O329" s="100"/>
    </row>
    <row r="330" spans="1:15">
      <c r="A330" s="87"/>
      <c r="B330" s="87"/>
      <c r="C330" s="18"/>
      <c r="D330" s="18"/>
      <c r="E330" s="18"/>
      <c r="F330" s="18"/>
      <c r="G330" s="18"/>
      <c r="H330" s="18"/>
      <c r="I330" s="59"/>
      <c r="J330" s="59"/>
      <c r="K330" s="59"/>
      <c r="L330" s="87"/>
      <c r="M330" s="87"/>
      <c r="N330" s="100"/>
      <c r="O330" s="100"/>
    </row>
    <row r="331" spans="1:15">
      <c r="A331" s="87"/>
      <c r="B331" s="87"/>
      <c r="C331" s="18"/>
      <c r="D331" s="18"/>
      <c r="E331" s="18"/>
      <c r="F331" s="18"/>
      <c r="G331" s="18"/>
      <c r="H331" s="18"/>
      <c r="I331" s="59"/>
      <c r="J331" s="59"/>
      <c r="K331" s="59"/>
      <c r="L331" s="87"/>
      <c r="M331" s="87"/>
      <c r="N331" s="100"/>
      <c r="O331" s="100"/>
    </row>
    <row r="332" spans="1:15">
      <c r="A332" s="87"/>
      <c r="B332" s="87"/>
      <c r="C332" s="18"/>
      <c r="D332" s="18"/>
      <c r="E332" s="18"/>
      <c r="F332" s="18"/>
      <c r="G332" s="18"/>
      <c r="H332" s="18"/>
      <c r="I332" s="59"/>
      <c r="J332" s="59"/>
      <c r="K332" s="59"/>
      <c r="L332" s="87"/>
      <c r="M332" s="87"/>
      <c r="N332" s="100"/>
      <c r="O332" s="100"/>
    </row>
    <row r="333" spans="1:15">
      <c r="A333" s="87"/>
      <c r="B333" s="87"/>
      <c r="C333" s="18"/>
      <c r="D333" s="18"/>
      <c r="E333" s="18"/>
      <c r="F333" s="18"/>
      <c r="G333" s="18"/>
      <c r="H333" s="18"/>
      <c r="I333" s="59"/>
      <c r="J333" s="59"/>
      <c r="K333" s="59"/>
      <c r="L333" s="87"/>
      <c r="M333" s="87"/>
      <c r="N333" s="100"/>
      <c r="O333" s="100"/>
    </row>
    <row r="334" spans="1:15">
      <c r="A334" s="87"/>
      <c r="B334" s="87"/>
      <c r="C334" s="18"/>
      <c r="D334" s="18"/>
      <c r="E334" s="18"/>
      <c r="F334" s="18"/>
      <c r="G334" s="18"/>
      <c r="H334" s="18"/>
      <c r="I334" s="59"/>
      <c r="J334" s="59"/>
      <c r="K334" s="59"/>
      <c r="L334" s="87"/>
      <c r="M334" s="87"/>
      <c r="N334" s="100"/>
      <c r="O334" s="100"/>
    </row>
    <row r="335" spans="1:15">
      <c r="A335" s="87"/>
      <c r="B335" s="87"/>
      <c r="C335" s="18"/>
      <c r="D335" s="18"/>
      <c r="E335" s="18"/>
      <c r="F335" s="18"/>
      <c r="G335" s="18"/>
      <c r="H335" s="18"/>
      <c r="I335" s="59"/>
      <c r="J335" s="59"/>
      <c r="K335" s="59"/>
      <c r="L335" s="87"/>
      <c r="M335" s="87"/>
      <c r="N335" s="100"/>
      <c r="O335" s="100"/>
    </row>
    <row r="336" spans="1:15">
      <c r="A336" s="87"/>
      <c r="B336" s="87"/>
      <c r="C336" s="18"/>
      <c r="D336" s="18"/>
      <c r="E336" s="18"/>
      <c r="F336" s="18"/>
      <c r="G336" s="18"/>
      <c r="H336" s="18"/>
      <c r="I336" s="59"/>
      <c r="J336" s="59"/>
      <c r="K336" s="59"/>
      <c r="L336" s="87"/>
      <c r="M336" s="87"/>
      <c r="N336" s="100"/>
      <c r="O336" s="100"/>
    </row>
    <row r="337" spans="1:15">
      <c r="A337" s="87"/>
      <c r="B337" s="87"/>
      <c r="C337" s="18"/>
      <c r="D337" s="18"/>
      <c r="E337" s="18"/>
      <c r="F337" s="18"/>
      <c r="G337" s="18"/>
      <c r="H337" s="18"/>
      <c r="I337" s="59"/>
      <c r="J337" s="59"/>
      <c r="K337" s="59"/>
      <c r="L337" s="87"/>
      <c r="M337" s="87"/>
      <c r="N337" s="100"/>
      <c r="O337" s="100"/>
    </row>
    <row r="338" spans="1:15">
      <c r="A338" s="87"/>
      <c r="B338" s="87"/>
      <c r="C338" s="18"/>
      <c r="D338" s="18"/>
      <c r="E338" s="18"/>
      <c r="F338" s="18"/>
      <c r="G338" s="18"/>
      <c r="H338" s="18"/>
      <c r="I338" s="59"/>
      <c r="J338" s="59"/>
      <c r="K338" s="59"/>
      <c r="L338" s="87"/>
      <c r="M338" s="87"/>
      <c r="N338" s="100"/>
      <c r="O338" s="100"/>
    </row>
    <row r="339" spans="1:15">
      <c r="A339" s="87"/>
      <c r="B339" s="87"/>
      <c r="C339" s="18"/>
      <c r="D339" s="18"/>
      <c r="E339" s="18"/>
      <c r="F339" s="18"/>
      <c r="G339" s="18"/>
      <c r="H339" s="18"/>
      <c r="I339" s="59"/>
      <c r="J339" s="59"/>
      <c r="K339" s="59"/>
      <c r="L339" s="87"/>
      <c r="M339" s="87"/>
      <c r="N339" s="100"/>
      <c r="O339" s="100"/>
    </row>
    <row r="340" spans="1:15">
      <c r="A340" s="87"/>
      <c r="B340" s="87"/>
      <c r="C340" s="18"/>
      <c r="D340" s="18"/>
      <c r="E340" s="18"/>
      <c r="F340" s="18"/>
      <c r="G340" s="18"/>
      <c r="H340" s="18"/>
      <c r="I340" s="59"/>
      <c r="J340" s="59"/>
      <c r="K340" s="59"/>
      <c r="L340" s="87"/>
      <c r="M340" s="87"/>
      <c r="N340" s="100"/>
      <c r="O340" s="100"/>
    </row>
    <row r="341" spans="1:15">
      <c r="A341" s="87"/>
      <c r="B341" s="87"/>
      <c r="C341" s="18"/>
      <c r="D341" s="18"/>
      <c r="E341" s="18"/>
      <c r="F341" s="18"/>
      <c r="G341" s="18"/>
      <c r="H341" s="18"/>
      <c r="I341" s="59"/>
      <c r="J341" s="59"/>
      <c r="K341" s="59"/>
      <c r="L341" s="87"/>
      <c r="M341" s="87"/>
      <c r="N341" s="100"/>
      <c r="O341" s="100"/>
    </row>
    <row r="342" spans="1:15">
      <c r="A342" s="87"/>
      <c r="B342" s="87"/>
      <c r="C342" s="18"/>
      <c r="D342" s="18"/>
      <c r="E342" s="18"/>
      <c r="F342" s="18"/>
      <c r="G342" s="18"/>
      <c r="H342" s="18"/>
      <c r="I342" s="59"/>
      <c r="J342" s="59"/>
      <c r="K342" s="59"/>
      <c r="L342" s="87"/>
      <c r="M342" s="87"/>
      <c r="N342" s="100"/>
      <c r="O342" s="100"/>
    </row>
    <row r="343" spans="1:15">
      <c r="A343" s="87"/>
      <c r="B343" s="87"/>
      <c r="C343" s="18"/>
      <c r="D343" s="18"/>
      <c r="E343" s="18"/>
      <c r="F343" s="18"/>
      <c r="G343" s="18"/>
      <c r="H343" s="18"/>
      <c r="I343" s="59"/>
      <c r="J343" s="59"/>
      <c r="K343" s="59"/>
      <c r="L343" s="87"/>
      <c r="M343" s="87"/>
      <c r="N343" s="100"/>
      <c r="O343" s="100"/>
    </row>
    <row r="344" spans="1:15">
      <c r="A344" s="87"/>
      <c r="B344" s="87"/>
      <c r="C344" s="18"/>
      <c r="D344" s="18"/>
      <c r="E344" s="18"/>
      <c r="F344" s="18"/>
      <c r="G344" s="18"/>
      <c r="H344" s="18"/>
      <c r="I344" s="59"/>
      <c r="J344" s="59"/>
      <c r="K344" s="59"/>
      <c r="L344" s="87"/>
      <c r="M344" s="87"/>
      <c r="N344" s="100"/>
      <c r="O344" s="100"/>
    </row>
    <row r="345" spans="1:15">
      <c r="A345" s="87"/>
      <c r="B345" s="87"/>
      <c r="C345" s="18"/>
      <c r="D345" s="18"/>
      <c r="E345" s="18"/>
      <c r="F345" s="18"/>
      <c r="G345" s="18"/>
      <c r="H345" s="18"/>
      <c r="I345" s="59"/>
      <c r="J345" s="59"/>
      <c r="K345" s="59"/>
      <c r="L345" s="87"/>
      <c r="M345" s="87"/>
      <c r="N345" s="100"/>
      <c r="O345" s="100"/>
    </row>
    <row r="346" spans="1:15">
      <c r="A346" s="87"/>
      <c r="B346" s="87"/>
      <c r="C346" s="18"/>
      <c r="D346" s="18"/>
      <c r="E346" s="18"/>
      <c r="F346" s="18"/>
      <c r="G346" s="18"/>
      <c r="H346" s="18"/>
      <c r="I346" s="59"/>
      <c r="J346" s="59"/>
      <c r="K346" s="59"/>
      <c r="L346" s="87"/>
      <c r="M346" s="87"/>
      <c r="N346" s="100"/>
      <c r="O346" s="100"/>
    </row>
    <row r="347" spans="1:15">
      <c r="A347" s="87"/>
      <c r="B347" s="87"/>
      <c r="C347" s="18"/>
      <c r="D347" s="18"/>
      <c r="E347" s="18"/>
      <c r="F347" s="18"/>
      <c r="G347" s="18"/>
      <c r="H347" s="18"/>
      <c r="I347" s="59"/>
      <c r="J347" s="59"/>
      <c r="K347" s="59"/>
      <c r="L347" s="87"/>
      <c r="M347" s="87"/>
      <c r="N347" s="100"/>
      <c r="O347" s="100"/>
    </row>
    <row r="348" spans="1:15">
      <c r="A348" s="87"/>
      <c r="B348" s="87"/>
      <c r="C348" s="18"/>
      <c r="D348" s="18"/>
      <c r="E348" s="18"/>
      <c r="F348" s="18"/>
      <c r="G348" s="18"/>
      <c r="H348" s="18"/>
      <c r="I348" s="59"/>
      <c r="J348" s="59"/>
      <c r="K348" s="59"/>
      <c r="L348" s="87"/>
      <c r="M348" s="87"/>
      <c r="N348" s="100"/>
      <c r="O348" s="100"/>
    </row>
    <row r="349" spans="1:15">
      <c r="A349" s="87"/>
      <c r="B349" s="87"/>
      <c r="C349" s="18"/>
      <c r="D349" s="18"/>
      <c r="E349" s="18"/>
      <c r="F349" s="18"/>
      <c r="G349" s="18"/>
      <c r="H349" s="18"/>
      <c r="I349" s="59"/>
      <c r="J349" s="59"/>
      <c r="K349" s="59"/>
      <c r="L349" s="87"/>
      <c r="M349" s="87"/>
      <c r="N349" s="100"/>
      <c r="O349" s="100"/>
    </row>
    <row r="350" spans="1:15">
      <c r="A350" s="87"/>
      <c r="B350" s="87"/>
      <c r="C350" s="18"/>
      <c r="D350" s="18"/>
      <c r="E350" s="18"/>
      <c r="F350" s="18"/>
      <c r="G350" s="18"/>
      <c r="H350" s="18"/>
      <c r="I350" s="59"/>
      <c r="J350" s="59"/>
      <c r="K350" s="59"/>
      <c r="L350" s="87"/>
      <c r="M350" s="87"/>
      <c r="N350" s="100"/>
      <c r="O350" s="100"/>
    </row>
    <row r="351" spans="1:15">
      <c r="A351" s="87"/>
      <c r="B351" s="87"/>
      <c r="C351" s="18"/>
      <c r="D351" s="18"/>
      <c r="E351" s="18"/>
      <c r="F351" s="18"/>
      <c r="G351" s="18"/>
      <c r="H351" s="18"/>
      <c r="I351" s="59"/>
      <c r="J351" s="59"/>
      <c r="K351" s="59"/>
      <c r="L351" s="87"/>
      <c r="M351" s="87"/>
      <c r="N351" s="100"/>
      <c r="O351" s="100"/>
    </row>
    <row r="352" spans="1:15">
      <c r="A352" s="87"/>
      <c r="B352" s="87"/>
      <c r="C352" s="18"/>
      <c r="D352" s="18"/>
      <c r="E352" s="18"/>
      <c r="F352" s="18"/>
      <c r="G352" s="18"/>
      <c r="H352" s="18"/>
      <c r="I352" s="59"/>
      <c r="J352" s="59"/>
      <c r="K352" s="59"/>
      <c r="L352" s="87"/>
      <c r="M352" s="87"/>
      <c r="N352" s="100"/>
      <c r="O352" s="100"/>
    </row>
    <row r="353" spans="1:15">
      <c r="A353" s="87"/>
      <c r="B353" s="87"/>
      <c r="C353" s="18"/>
      <c r="D353" s="18"/>
      <c r="E353" s="18"/>
      <c r="F353" s="18"/>
      <c r="G353" s="18"/>
      <c r="H353" s="18"/>
      <c r="I353" s="59"/>
      <c r="J353" s="59"/>
      <c r="K353" s="59"/>
      <c r="L353" s="87"/>
      <c r="M353" s="87"/>
      <c r="N353" s="100"/>
      <c r="O353" s="100"/>
    </row>
    <row r="354" spans="1:15">
      <c r="A354" s="87"/>
      <c r="B354" s="87"/>
      <c r="C354" s="18"/>
      <c r="D354" s="18"/>
      <c r="E354" s="18"/>
      <c r="F354" s="18"/>
      <c r="G354" s="18"/>
      <c r="H354" s="18"/>
      <c r="I354" s="59"/>
      <c r="J354" s="59"/>
      <c r="K354" s="59"/>
      <c r="L354" s="87"/>
      <c r="M354" s="87"/>
      <c r="N354" s="100"/>
      <c r="O354" s="100"/>
    </row>
    <row r="355" spans="1:15">
      <c r="A355" s="87"/>
      <c r="B355" s="87"/>
      <c r="C355" s="18"/>
      <c r="D355" s="18"/>
      <c r="E355" s="18"/>
      <c r="F355" s="18"/>
      <c r="G355" s="18"/>
      <c r="H355" s="18"/>
      <c r="I355" s="59"/>
      <c r="J355" s="59"/>
      <c r="K355" s="59"/>
      <c r="L355" s="87"/>
      <c r="M355" s="87"/>
      <c r="N355" s="100"/>
      <c r="O355" s="100"/>
    </row>
    <row r="356" spans="1:15">
      <c r="A356" s="87"/>
      <c r="B356" s="87"/>
      <c r="C356" s="18"/>
      <c r="D356" s="18"/>
      <c r="E356" s="18"/>
      <c r="F356" s="18"/>
      <c r="G356" s="18"/>
      <c r="H356" s="18"/>
      <c r="I356" s="59"/>
      <c r="J356" s="59"/>
      <c r="K356" s="59"/>
      <c r="L356" s="87"/>
      <c r="M356" s="87"/>
      <c r="N356" s="100"/>
      <c r="O356" s="100"/>
    </row>
    <row r="357" spans="1:15">
      <c r="A357" s="87"/>
      <c r="B357" s="87"/>
      <c r="C357" s="18"/>
      <c r="D357" s="18"/>
      <c r="E357" s="18"/>
      <c r="F357" s="18"/>
      <c r="G357" s="18"/>
      <c r="H357" s="18"/>
      <c r="I357" s="59"/>
      <c r="J357" s="59"/>
      <c r="K357" s="59"/>
      <c r="L357" s="87"/>
      <c r="M357" s="87"/>
      <c r="N357" s="100"/>
      <c r="O357" s="100"/>
    </row>
    <row r="358" spans="1:15">
      <c r="A358" s="87"/>
      <c r="B358" s="87"/>
      <c r="C358" s="18"/>
      <c r="D358" s="18"/>
      <c r="E358" s="18"/>
      <c r="F358" s="18"/>
      <c r="G358" s="18"/>
      <c r="H358" s="18"/>
      <c r="I358" s="59"/>
      <c r="J358" s="59"/>
      <c r="K358" s="59"/>
      <c r="L358" s="87"/>
      <c r="M358" s="87"/>
      <c r="N358" s="100"/>
      <c r="O358" s="100"/>
    </row>
    <row r="359" spans="1:15">
      <c r="A359" s="87"/>
      <c r="B359" s="87"/>
      <c r="C359" s="18"/>
      <c r="D359" s="18"/>
      <c r="E359" s="18"/>
      <c r="F359" s="18"/>
      <c r="G359" s="18"/>
      <c r="H359" s="18"/>
      <c r="I359" s="59"/>
      <c r="J359" s="59"/>
      <c r="K359" s="59"/>
      <c r="L359" s="87"/>
      <c r="M359" s="87"/>
      <c r="N359" s="100"/>
      <c r="O359" s="100"/>
    </row>
    <row r="360" spans="1:15">
      <c r="A360" s="87"/>
      <c r="B360" s="87"/>
      <c r="C360" s="18"/>
      <c r="D360" s="18"/>
      <c r="E360" s="18"/>
      <c r="F360" s="18"/>
      <c r="G360" s="18"/>
      <c r="H360" s="18"/>
      <c r="I360" s="59"/>
      <c r="J360" s="59"/>
      <c r="K360" s="59"/>
      <c r="L360" s="87"/>
      <c r="M360" s="87"/>
      <c r="N360" s="100"/>
      <c r="O360" s="100"/>
    </row>
    <row r="361" spans="1:15">
      <c r="A361" s="87"/>
      <c r="B361" s="87"/>
      <c r="C361" s="18"/>
      <c r="D361" s="18"/>
      <c r="E361" s="18"/>
      <c r="F361" s="18"/>
      <c r="G361" s="18"/>
      <c r="H361" s="18"/>
      <c r="I361" s="59"/>
      <c r="J361" s="59"/>
      <c r="K361" s="59"/>
      <c r="L361" s="87"/>
      <c r="M361" s="87"/>
      <c r="N361" s="100"/>
      <c r="O361" s="100"/>
    </row>
    <row r="362" spans="1:15">
      <c r="A362" s="87"/>
      <c r="B362" s="87"/>
      <c r="C362" s="18"/>
      <c r="D362" s="18"/>
      <c r="E362" s="18"/>
      <c r="F362" s="18"/>
      <c r="G362" s="18"/>
      <c r="H362" s="18"/>
      <c r="I362" s="59"/>
      <c r="J362" s="59"/>
      <c r="K362" s="59"/>
      <c r="L362" s="87"/>
      <c r="M362" s="87"/>
      <c r="N362" s="100"/>
      <c r="O362" s="100"/>
    </row>
    <row r="363" spans="1:15">
      <c r="A363" s="87"/>
      <c r="B363" s="87"/>
      <c r="C363" s="18"/>
      <c r="D363" s="18"/>
      <c r="E363" s="18"/>
      <c r="F363" s="18"/>
      <c r="G363" s="18"/>
      <c r="H363" s="18"/>
      <c r="I363" s="59"/>
      <c r="J363" s="59"/>
      <c r="K363" s="59"/>
      <c r="L363" s="87"/>
      <c r="M363" s="87"/>
      <c r="N363" s="100"/>
      <c r="O363" s="100"/>
    </row>
    <row r="364" spans="1:15">
      <c r="A364" s="87"/>
      <c r="B364" s="87"/>
      <c r="C364" s="18"/>
      <c r="D364" s="18"/>
      <c r="E364" s="18"/>
      <c r="F364" s="18"/>
      <c r="G364" s="18"/>
      <c r="H364" s="18"/>
      <c r="I364" s="59"/>
      <c r="J364" s="59"/>
      <c r="K364" s="59"/>
      <c r="L364" s="87"/>
      <c r="M364" s="87"/>
      <c r="N364" s="100"/>
      <c r="O364" s="100"/>
    </row>
    <row r="365" spans="1:15">
      <c r="A365" s="87"/>
      <c r="B365" s="87"/>
      <c r="C365" s="18"/>
      <c r="D365" s="18"/>
      <c r="E365" s="18"/>
      <c r="F365" s="18"/>
      <c r="G365" s="18"/>
      <c r="H365" s="18"/>
      <c r="I365" s="59"/>
      <c r="J365" s="59"/>
      <c r="K365" s="59"/>
      <c r="L365" s="87"/>
      <c r="M365" s="87"/>
      <c r="N365" s="100"/>
      <c r="O365" s="100"/>
    </row>
    <row r="366" spans="1:15">
      <c r="A366" s="87"/>
      <c r="B366" s="87"/>
      <c r="C366" s="18"/>
      <c r="D366" s="18"/>
      <c r="E366" s="18"/>
      <c r="F366" s="18"/>
      <c r="G366" s="18"/>
      <c r="H366" s="18"/>
      <c r="I366" s="59"/>
      <c r="J366" s="59"/>
      <c r="K366" s="59"/>
      <c r="L366" s="87"/>
      <c r="M366" s="87"/>
      <c r="N366" s="100"/>
      <c r="O366" s="100"/>
    </row>
    <row r="367" spans="1:15">
      <c r="A367" s="87"/>
      <c r="B367" s="87"/>
      <c r="C367" s="18"/>
      <c r="D367" s="18"/>
      <c r="E367" s="18"/>
      <c r="F367" s="18"/>
      <c r="G367" s="18"/>
      <c r="H367" s="18"/>
      <c r="I367" s="59"/>
      <c r="J367" s="59"/>
      <c r="K367" s="59"/>
      <c r="L367" s="87"/>
      <c r="M367" s="87"/>
      <c r="N367" s="100"/>
      <c r="O367" s="100"/>
    </row>
    <row r="368" spans="1:15">
      <c r="A368" s="87"/>
      <c r="B368" s="87"/>
      <c r="C368" s="18"/>
      <c r="D368" s="18"/>
      <c r="E368" s="18"/>
      <c r="F368" s="18"/>
      <c r="G368" s="18"/>
      <c r="H368" s="18"/>
      <c r="I368" s="59"/>
      <c r="J368" s="59"/>
      <c r="K368" s="59"/>
      <c r="L368" s="87"/>
      <c r="M368" s="87"/>
      <c r="N368" s="100"/>
      <c r="O368" s="100"/>
    </row>
    <row r="369" spans="1:15">
      <c r="A369" s="87"/>
      <c r="B369" s="87"/>
      <c r="C369" s="18"/>
      <c r="D369" s="18"/>
      <c r="E369" s="18"/>
      <c r="F369" s="18"/>
      <c r="G369" s="18"/>
      <c r="H369" s="18"/>
      <c r="I369" s="59"/>
      <c r="J369" s="59"/>
      <c r="K369" s="59"/>
      <c r="L369" s="87"/>
      <c r="M369" s="87"/>
      <c r="N369" s="100"/>
      <c r="O369" s="100"/>
    </row>
    <row r="370" spans="1:15">
      <c r="A370" s="87"/>
      <c r="B370" s="87"/>
      <c r="C370" s="18"/>
      <c r="D370" s="18"/>
      <c r="E370" s="18"/>
      <c r="F370" s="18"/>
      <c r="G370" s="18"/>
      <c r="H370" s="18"/>
      <c r="I370" s="59"/>
      <c r="J370" s="59"/>
      <c r="K370" s="59"/>
      <c r="L370" s="87"/>
      <c r="M370" s="87"/>
      <c r="N370" s="100"/>
      <c r="O370" s="100"/>
    </row>
    <row r="371" spans="1:15">
      <c r="A371" s="87"/>
      <c r="B371" s="87"/>
      <c r="C371" s="18"/>
      <c r="D371" s="18"/>
      <c r="E371" s="18"/>
      <c r="F371" s="18"/>
      <c r="G371" s="18"/>
      <c r="H371" s="18"/>
      <c r="I371" s="59"/>
      <c r="J371" s="59"/>
      <c r="K371" s="59"/>
      <c r="L371" s="87"/>
      <c r="M371" s="87"/>
      <c r="N371" s="100"/>
      <c r="O371" s="100"/>
    </row>
    <row r="372" spans="1:15">
      <c r="A372" s="87"/>
      <c r="B372" s="87"/>
      <c r="C372" s="18"/>
      <c r="D372" s="18"/>
      <c r="E372" s="18"/>
      <c r="F372" s="18"/>
      <c r="G372" s="18"/>
      <c r="H372" s="18"/>
      <c r="I372" s="59"/>
      <c r="J372" s="59"/>
      <c r="K372" s="59"/>
      <c r="L372" s="87"/>
      <c r="M372" s="87"/>
      <c r="N372" s="100"/>
      <c r="O372" s="100"/>
    </row>
    <row r="373" spans="1:15">
      <c r="A373" s="87"/>
      <c r="B373" s="87"/>
      <c r="C373" s="18"/>
      <c r="D373" s="18"/>
      <c r="E373" s="18"/>
      <c r="F373" s="18"/>
      <c r="G373" s="18"/>
      <c r="H373" s="18"/>
      <c r="I373" s="59"/>
      <c r="J373" s="59"/>
      <c r="K373" s="59"/>
      <c r="L373" s="87"/>
      <c r="M373" s="87"/>
      <c r="N373" s="100"/>
      <c r="O373" s="100"/>
    </row>
    <row r="374" spans="1:15">
      <c r="A374" s="87"/>
      <c r="B374" s="87"/>
      <c r="C374" s="18"/>
      <c r="D374" s="18"/>
      <c r="E374" s="18"/>
      <c r="F374" s="18"/>
      <c r="G374" s="18"/>
      <c r="H374" s="18"/>
      <c r="I374" s="59"/>
      <c r="J374" s="59"/>
      <c r="K374" s="59"/>
      <c r="L374" s="87"/>
      <c r="M374" s="87"/>
      <c r="N374" s="100"/>
      <c r="O374" s="100"/>
    </row>
    <row r="375" spans="1:15">
      <c r="A375" s="87"/>
      <c r="B375" s="87"/>
      <c r="C375" s="18"/>
      <c r="D375" s="18"/>
      <c r="E375" s="18"/>
      <c r="F375" s="18"/>
      <c r="G375" s="18"/>
      <c r="H375" s="18"/>
      <c r="I375" s="59"/>
      <c r="J375" s="59"/>
      <c r="K375" s="59"/>
      <c r="L375" s="87"/>
      <c r="M375" s="87"/>
      <c r="N375" s="100"/>
      <c r="O375" s="100"/>
    </row>
    <row r="376" spans="1:15">
      <c r="A376" s="87"/>
      <c r="B376" s="87"/>
      <c r="C376" s="18"/>
      <c r="D376" s="18"/>
      <c r="E376" s="18"/>
      <c r="F376" s="18"/>
      <c r="G376" s="18"/>
      <c r="H376" s="18"/>
      <c r="I376" s="59"/>
      <c r="J376" s="59"/>
      <c r="K376" s="59"/>
      <c r="L376" s="87"/>
      <c r="M376" s="87"/>
      <c r="N376" s="100"/>
      <c r="O376" s="100"/>
    </row>
    <row r="377" spans="1:15">
      <c r="A377" s="87"/>
      <c r="B377" s="87"/>
      <c r="C377" s="18"/>
      <c r="D377" s="18"/>
      <c r="E377" s="18"/>
      <c r="F377" s="18"/>
      <c r="G377" s="18"/>
      <c r="H377" s="18"/>
      <c r="I377" s="59"/>
      <c r="J377" s="59"/>
      <c r="K377" s="59"/>
      <c r="L377" s="87"/>
      <c r="M377" s="87"/>
      <c r="N377" s="100"/>
      <c r="O377" s="100"/>
    </row>
    <row r="378" spans="1:15">
      <c r="A378" s="87"/>
      <c r="B378" s="87"/>
      <c r="C378" s="18"/>
      <c r="D378" s="18"/>
      <c r="E378" s="18"/>
      <c r="F378" s="18"/>
      <c r="G378" s="18"/>
      <c r="H378" s="18"/>
      <c r="I378" s="59"/>
      <c r="J378" s="59"/>
      <c r="K378" s="59"/>
      <c r="L378" s="87"/>
      <c r="M378" s="87"/>
      <c r="N378" s="100"/>
      <c r="O378" s="100"/>
    </row>
    <row r="379" spans="1:15">
      <c r="A379" s="87"/>
      <c r="B379" s="87"/>
      <c r="C379" s="18"/>
      <c r="D379" s="18"/>
      <c r="E379" s="18"/>
      <c r="F379" s="18"/>
      <c r="G379" s="18"/>
      <c r="H379" s="18"/>
      <c r="I379" s="59"/>
      <c r="J379" s="59"/>
      <c r="K379" s="59"/>
      <c r="L379" s="87"/>
      <c r="M379" s="87"/>
      <c r="N379" s="100"/>
      <c r="O379" s="100"/>
    </row>
    <row r="380" spans="1:15">
      <c r="A380" s="87"/>
      <c r="B380" s="87"/>
      <c r="C380" s="18"/>
      <c r="D380" s="18"/>
      <c r="E380" s="18"/>
      <c r="F380" s="18"/>
      <c r="G380" s="18"/>
      <c r="H380" s="18"/>
      <c r="I380" s="59"/>
      <c r="J380" s="59"/>
      <c r="K380" s="59"/>
      <c r="L380" s="87"/>
      <c r="M380" s="87"/>
      <c r="N380" s="100"/>
      <c r="O380" s="100"/>
    </row>
    <row r="381" spans="1:15">
      <c r="A381" s="87"/>
      <c r="B381" s="87"/>
      <c r="C381" s="18"/>
      <c r="D381" s="18"/>
      <c r="E381" s="18"/>
      <c r="F381" s="18"/>
      <c r="G381" s="18"/>
      <c r="H381" s="18"/>
      <c r="I381" s="59"/>
      <c r="J381" s="59"/>
      <c r="K381" s="59"/>
      <c r="L381" s="87"/>
      <c r="M381" s="87"/>
      <c r="N381" s="100"/>
      <c r="O381" s="100"/>
    </row>
    <row r="382" spans="1:15">
      <c r="A382" s="87"/>
      <c r="B382" s="87"/>
      <c r="C382" s="18"/>
      <c r="D382" s="18"/>
      <c r="E382" s="18"/>
      <c r="F382" s="18"/>
      <c r="G382" s="18"/>
      <c r="H382" s="18"/>
      <c r="I382" s="59"/>
      <c r="J382" s="59"/>
      <c r="K382" s="59"/>
      <c r="L382" s="87"/>
      <c r="M382" s="87"/>
      <c r="N382" s="100"/>
      <c r="O382" s="100"/>
    </row>
    <row r="383" spans="1:15">
      <c r="A383" s="87"/>
      <c r="B383" s="87"/>
      <c r="C383" s="18"/>
      <c r="D383" s="18"/>
      <c r="E383" s="18"/>
      <c r="F383" s="18"/>
      <c r="G383" s="18"/>
      <c r="H383" s="18"/>
      <c r="I383" s="59"/>
      <c r="J383" s="59"/>
      <c r="K383" s="59"/>
      <c r="L383" s="87"/>
      <c r="M383" s="87"/>
      <c r="N383" s="100"/>
      <c r="O383" s="100"/>
    </row>
    <row r="384" spans="1:15">
      <c r="A384" s="87"/>
      <c r="B384" s="87"/>
      <c r="C384" s="18"/>
      <c r="D384" s="18"/>
      <c r="E384" s="18"/>
      <c r="F384" s="18"/>
      <c r="G384" s="18"/>
      <c r="H384" s="18"/>
      <c r="I384" s="59"/>
      <c r="J384" s="59"/>
      <c r="K384" s="59"/>
      <c r="L384" s="87"/>
      <c r="M384" s="87"/>
      <c r="N384" s="100"/>
      <c r="O384" s="100"/>
    </row>
    <row r="385" spans="1:15">
      <c r="A385" s="87"/>
      <c r="B385" s="87"/>
      <c r="C385" s="18"/>
      <c r="D385" s="18"/>
      <c r="E385" s="18"/>
      <c r="F385" s="18"/>
      <c r="G385" s="18"/>
      <c r="H385" s="18"/>
      <c r="I385" s="59"/>
      <c r="J385" s="59"/>
      <c r="K385" s="59"/>
      <c r="L385" s="87"/>
      <c r="M385" s="87"/>
      <c r="N385" s="100"/>
      <c r="O385" s="100"/>
    </row>
    <row r="386" spans="1:15">
      <c r="A386" s="87"/>
      <c r="B386" s="87"/>
      <c r="C386" s="18"/>
      <c r="D386" s="18"/>
      <c r="E386" s="18"/>
      <c r="F386" s="18"/>
      <c r="G386" s="18"/>
      <c r="H386" s="18"/>
      <c r="I386" s="59"/>
      <c r="J386" s="59"/>
      <c r="K386" s="59"/>
      <c r="L386" s="87"/>
      <c r="M386" s="87"/>
      <c r="N386" s="100"/>
      <c r="O386" s="100"/>
    </row>
    <row r="387" spans="1:15">
      <c r="A387" s="87"/>
      <c r="B387" s="87"/>
      <c r="C387" s="18"/>
      <c r="D387" s="18"/>
      <c r="E387" s="18"/>
      <c r="F387" s="18"/>
      <c r="G387" s="18"/>
      <c r="H387" s="18"/>
      <c r="I387" s="59"/>
      <c r="J387" s="59"/>
      <c r="K387" s="59"/>
      <c r="L387" s="87"/>
      <c r="M387" s="87"/>
      <c r="N387" s="100"/>
      <c r="O387" s="100"/>
    </row>
    <row r="388" spans="1:15">
      <c r="A388" s="87"/>
      <c r="B388" s="87"/>
      <c r="C388" s="18"/>
      <c r="D388" s="18"/>
      <c r="E388" s="18"/>
      <c r="F388" s="18"/>
      <c r="G388" s="18"/>
      <c r="H388" s="18"/>
      <c r="I388" s="59"/>
      <c r="J388" s="59"/>
      <c r="K388" s="59"/>
      <c r="L388" s="87"/>
      <c r="M388" s="87"/>
      <c r="N388" s="100"/>
      <c r="O388" s="100"/>
    </row>
    <row r="389" spans="1:15">
      <c r="A389" s="87"/>
      <c r="B389" s="87"/>
      <c r="C389" s="18"/>
      <c r="D389" s="18"/>
      <c r="E389" s="18"/>
      <c r="F389" s="18"/>
      <c r="G389" s="18"/>
      <c r="H389" s="18"/>
      <c r="I389" s="59"/>
      <c r="J389" s="59"/>
      <c r="K389" s="59"/>
      <c r="L389" s="87"/>
      <c r="M389" s="87"/>
      <c r="N389" s="100"/>
      <c r="O389" s="100"/>
    </row>
    <row r="390" spans="1:15">
      <c r="A390" s="87"/>
      <c r="B390" s="87"/>
      <c r="C390" s="18"/>
      <c r="D390" s="18"/>
      <c r="E390" s="18"/>
      <c r="F390" s="18"/>
      <c r="G390" s="18"/>
      <c r="H390" s="18"/>
      <c r="I390" s="59"/>
      <c r="J390" s="59"/>
      <c r="K390" s="59"/>
      <c r="L390" s="87"/>
      <c r="M390" s="87"/>
      <c r="N390" s="100"/>
      <c r="O390" s="100"/>
    </row>
    <row r="391" spans="1:15">
      <c r="A391" s="87"/>
      <c r="B391" s="87"/>
      <c r="C391" s="18"/>
      <c r="D391" s="18"/>
      <c r="E391" s="18"/>
      <c r="F391" s="18"/>
      <c r="G391" s="18"/>
      <c r="H391" s="18"/>
      <c r="I391" s="59"/>
      <c r="J391" s="59"/>
      <c r="K391" s="59"/>
      <c r="L391" s="87"/>
      <c r="M391" s="87"/>
      <c r="N391" s="100"/>
      <c r="O391" s="100"/>
    </row>
    <row r="392" spans="1:15">
      <c r="A392" s="87"/>
      <c r="B392" s="87"/>
      <c r="C392" s="18"/>
      <c r="D392" s="18"/>
      <c r="E392" s="18"/>
      <c r="F392" s="18"/>
      <c r="G392" s="18"/>
      <c r="H392" s="18"/>
      <c r="I392" s="59"/>
      <c r="J392" s="59"/>
      <c r="K392" s="59"/>
      <c r="L392" s="87"/>
      <c r="M392" s="87"/>
      <c r="N392" s="100"/>
      <c r="O392" s="100"/>
    </row>
    <row r="393" spans="1:15">
      <c r="A393" s="87"/>
      <c r="B393" s="87"/>
      <c r="C393" s="18"/>
      <c r="D393" s="18"/>
      <c r="E393" s="18"/>
      <c r="F393" s="18"/>
      <c r="G393" s="18"/>
      <c r="H393" s="18"/>
      <c r="I393" s="59"/>
      <c r="J393" s="59"/>
      <c r="K393" s="59"/>
      <c r="L393" s="87"/>
      <c r="M393" s="87"/>
      <c r="N393" s="100"/>
      <c r="O393" s="100"/>
    </row>
    <row r="394" spans="1:15">
      <c r="A394" s="87"/>
      <c r="B394" s="87"/>
      <c r="C394" s="18"/>
      <c r="D394" s="18"/>
      <c r="E394" s="18"/>
      <c r="F394" s="18"/>
      <c r="G394" s="18"/>
      <c r="H394" s="18"/>
      <c r="I394" s="59"/>
      <c r="J394" s="59"/>
      <c r="K394" s="59"/>
      <c r="L394" s="87"/>
      <c r="M394" s="87"/>
      <c r="N394" s="100"/>
      <c r="O394" s="100"/>
    </row>
    <row r="395" spans="1:15">
      <c r="A395" s="87"/>
      <c r="B395" s="87"/>
      <c r="C395" s="18"/>
      <c r="D395" s="18"/>
      <c r="E395" s="18"/>
      <c r="F395" s="18"/>
      <c r="G395" s="18"/>
      <c r="H395" s="18"/>
      <c r="I395" s="59"/>
      <c r="J395" s="59"/>
      <c r="K395" s="59"/>
      <c r="L395" s="87"/>
      <c r="M395" s="87"/>
      <c r="N395" s="100"/>
      <c r="O395" s="100"/>
    </row>
    <row r="396" spans="1:15">
      <c r="A396" s="87"/>
      <c r="B396" s="87"/>
      <c r="C396" s="18"/>
      <c r="D396" s="18"/>
      <c r="E396" s="18"/>
      <c r="F396" s="18"/>
      <c r="G396" s="18"/>
      <c r="H396" s="18"/>
      <c r="I396" s="59"/>
      <c r="J396" s="59"/>
      <c r="K396" s="59"/>
      <c r="L396" s="87"/>
      <c r="M396" s="87"/>
      <c r="N396" s="100"/>
      <c r="O396" s="100"/>
    </row>
    <row r="397" spans="1:15">
      <c r="A397" s="87"/>
      <c r="B397" s="87"/>
      <c r="C397" s="18"/>
      <c r="D397" s="18"/>
      <c r="E397" s="18"/>
      <c r="F397" s="18"/>
      <c r="G397" s="18"/>
      <c r="H397" s="18"/>
      <c r="I397" s="59"/>
      <c r="J397" s="59"/>
      <c r="K397" s="59"/>
      <c r="L397" s="87"/>
      <c r="M397" s="87"/>
      <c r="N397" s="100"/>
      <c r="O397" s="100"/>
    </row>
    <row r="398" spans="1:15">
      <c r="A398" s="87"/>
      <c r="B398" s="87"/>
      <c r="C398" s="18"/>
      <c r="D398" s="18"/>
      <c r="E398" s="18"/>
      <c r="F398" s="18"/>
      <c r="G398" s="18"/>
      <c r="H398" s="18"/>
      <c r="I398" s="59"/>
      <c r="J398" s="59"/>
      <c r="K398" s="59"/>
      <c r="L398" s="87"/>
      <c r="M398" s="87"/>
      <c r="N398" s="100"/>
      <c r="O398" s="100"/>
    </row>
    <row r="399" spans="1:15">
      <c r="A399" s="87"/>
      <c r="B399" s="87"/>
      <c r="C399" s="18"/>
      <c r="D399" s="18"/>
      <c r="E399" s="18"/>
      <c r="F399" s="18"/>
      <c r="G399" s="18"/>
      <c r="H399" s="18"/>
      <c r="I399" s="59"/>
      <c r="J399" s="59"/>
      <c r="K399" s="59"/>
      <c r="L399" s="87"/>
      <c r="M399" s="87"/>
      <c r="N399" s="100"/>
      <c r="O399" s="100"/>
    </row>
    <row r="400" spans="1:15">
      <c r="A400" s="87"/>
      <c r="B400" s="87"/>
      <c r="C400" s="18"/>
      <c r="D400" s="18"/>
      <c r="E400" s="18"/>
      <c r="F400" s="18"/>
      <c r="G400" s="18"/>
      <c r="H400" s="18"/>
      <c r="I400" s="59"/>
      <c r="J400" s="59"/>
      <c r="K400" s="59"/>
      <c r="L400" s="87"/>
      <c r="M400" s="87"/>
      <c r="N400" s="100"/>
      <c r="O400" s="100"/>
    </row>
    <row r="401" spans="1:15">
      <c r="A401" s="87"/>
      <c r="B401" s="87"/>
      <c r="C401" s="18"/>
      <c r="D401" s="18"/>
      <c r="E401" s="18"/>
      <c r="F401" s="18"/>
      <c r="G401" s="18"/>
      <c r="H401" s="18"/>
      <c r="I401" s="59"/>
      <c r="J401" s="59"/>
      <c r="K401" s="59"/>
      <c r="L401" s="87"/>
      <c r="M401" s="87"/>
      <c r="N401" s="100"/>
      <c r="O401" s="100"/>
    </row>
    <row r="402" spans="1:15">
      <c r="A402" s="87"/>
      <c r="B402" s="87"/>
      <c r="C402" s="18"/>
      <c r="D402" s="18"/>
      <c r="E402" s="18"/>
      <c r="F402" s="18"/>
      <c r="G402" s="18"/>
      <c r="H402" s="18"/>
      <c r="I402" s="59"/>
      <c r="J402" s="59"/>
      <c r="K402" s="59"/>
      <c r="L402" s="87"/>
      <c r="M402" s="87"/>
      <c r="N402" s="100"/>
      <c r="O402" s="100"/>
    </row>
    <row r="403" spans="1:15">
      <c r="A403" s="87"/>
      <c r="B403" s="87"/>
      <c r="C403" s="18"/>
      <c r="D403" s="18"/>
      <c r="E403" s="18"/>
      <c r="F403" s="18"/>
      <c r="G403" s="18"/>
      <c r="H403" s="18"/>
      <c r="I403" s="59"/>
      <c r="J403" s="59"/>
      <c r="K403" s="59"/>
      <c r="L403" s="87"/>
      <c r="M403" s="87"/>
      <c r="N403" s="100"/>
      <c r="O403" s="100"/>
    </row>
    <row r="404" spans="1:15">
      <c r="A404" s="87"/>
      <c r="B404" s="87"/>
      <c r="C404" s="18"/>
      <c r="D404" s="18"/>
      <c r="E404" s="18"/>
      <c r="F404" s="18"/>
      <c r="G404" s="18"/>
      <c r="H404" s="18"/>
      <c r="I404" s="59"/>
      <c r="J404" s="59"/>
      <c r="K404" s="59"/>
      <c r="L404" s="87"/>
      <c r="M404" s="87"/>
      <c r="N404" s="100"/>
      <c r="O404" s="100"/>
    </row>
    <row r="405" spans="1:15">
      <c r="A405" s="87"/>
      <c r="B405" s="87"/>
      <c r="C405" s="18"/>
      <c r="D405" s="18"/>
      <c r="E405" s="18"/>
      <c r="F405" s="18"/>
      <c r="G405" s="18"/>
      <c r="H405" s="18"/>
      <c r="I405" s="59"/>
      <c r="J405" s="59"/>
      <c r="K405" s="59"/>
      <c r="L405" s="87"/>
      <c r="M405" s="87"/>
      <c r="N405" s="100"/>
      <c r="O405" s="100"/>
    </row>
    <row r="406" spans="1:15">
      <c r="A406" s="87"/>
      <c r="B406" s="87"/>
      <c r="C406" s="18"/>
      <c r="D406" s="18"/>
      <c r="E406" s="18"/>
      <c r="F406" s="18"/>
      <c r="G406" s="18"/>
      <c r="H406" s="18"/>
      <c r="I406" s="59"/>
      <c r="J406" s="59"/>
      <c r="K406" s="59"/>
      <c r="L406" s="87"/>
      <c r="M406" s="87"/>
      <c r="N406" s="100"/>
      <c r="O406" s="100"/>
    </row>
    <row r="407" spans="1:15">
      <c r="A407" s="87"/>
      <c r="B407" s="87"/>
      <c r="C407" s="18"/>
      <c r="D407" s="18"/>
      <c r="E407" s="18"/>
      <c r="F407" s="18"/>
      <c r="G407" s="18"/>
      <c r="H407" s="18"/>
      <c r="I407" s="59"/>
      <c r="J407" s="59"/>
      <c r="K407" s="59"/>
      <c r="L407" s="87"/>
      <c r="M407" s="87"/>
      <c r="N407" s="100"/>
      <c r="O407" s="100"/>
    </row>
    <row r="408" spans="1:15">
      <c r="A408" s="87"/>
      <c r="B408" s="87"/>
      <c r="C408" s="18"/>
      <c r="D408" s="18"/>
      <c r="E408" s="18"/>
      <c r="F408" s="18"/>
      <c r="G408" s="18"/>
      <c r="H408" s="18"/>
      <c r="I408" s="59"/>
      <c r="J408" s="59"/>
      <c r="K408" s="59"/>
      <c r="L408" s="87"/>
      <c r="M408" s="87"/>
      <c r="N408" s="100"/>
      <c r="O408" s="100"/>
    </row>
    <row r="409" spans="1:15">
      <c r="A409" s="87"/>
      <c r="B409" s="87"/>
      <c r="C409" s="18"/>
      <c r="D409" s="18"/>
      <c r="E409" s="18"/>
      <c r="F409" s="18"/>
      <c r="G409" s="18"/>
      <c r="H409" s="18"/>
      <c r="I409" s="59"/>
      <c r="J409" s="59"/>
      <c r="K409" s="59"/>
      <c r="L409" s="87"/>
      <c r="M409" s="87"/>
      <c r="N409" s="100"/>
      <c r="O409" s="100"/>
    </row>
    <row r="410" spans="1:15">
      <c r="A410" s="87"/>
      <c r="B410" s="87"/>
      <c r="C410" s="18"/>
      <c r="D410" s="18"/>
      <c r="E410" s="18"/>
      <c r="F410" s="18"/>
      <c r="G410" s="18"/>
      <c r="H410" s="18"/>
      <c r="I410" s="59"/>
      <c r="J410" s="59"/>
      <c r="K410" s="59"/>
      <c r="L410" s="87"/>
      <c r="M410" s="87"/>
      <c r="N410" s="100"/>
      <c r="O410" s="100"/>
    </row>
    <row r="411" spans="1:15">
      <c r="A411" s="87"/>
      <c r="B411" s="87"/>
      <c r="C411" s="18"/>
      <c r="D411" s="18"/>
      <c r="E411" s="18"/>
      <c r="F411" s="18"/>
      <c r="G411" s="18"/>
      <c r="H411" s="18"/>
      <c r="I411" s="59"/>
      <c r="J411" s="59"/>
      <c r="K411" s="59"/>
      <c r="L411" s="87"/>
      <c r="M411" s="87"/>
      <c r="N411" s="100"/>
      <c r="O411" s="100"/>
    </row>
    <row r="412" spans="1:15">
      <c r="A412" s="87"/>
      <c r="B412" s="87"/>
      <c r="C412" s="18"/>
      <c r="D412" s="18"/>
      <c r="E412" s="18"/>
      <c r="F412" s="18"/>
      <c r="G412" s="18"/>
      <c r="H412" s="18"/>
      <c r="I412" s="59"/>
      <c r="J412" s="59"/>
      <c r="K412" s="59"/>
      <c r="L412" s="87"/>
      <c r="M412" s="87"/>
      <c r="N412" s="100"/>
      <c r="O412" s="100"/>
    </row>
    <row r="413" spans="1:15">
      <c r="A413" s="87"/>
      <c r="B413" s="87"/>
      <c r="C413" s="18"/>
      <c r="D413" s="18"/>
      <c r="E413" s="18"/>
      <c r="F413" s="18"/>
      <c r="G413" s="18"/>
      <c r="H413" s="18"/>
      <c r="I413" s="59"/>
      <c r="J413" s="59"/>
      <c r="K413" s="59"/>
      <c r="L413" s="87"/>
      <c r="M413" s="87"/>
      <c r="N413" s="100"/>
      <c r="O413" s="100"/>
    </row>
    <row r="414" spans="1:15">
      <c r="A414" s="87"/>
      <c r="B414" s="87"/>
      <c r="C414" s="18"/>
      <c r="D414" s="18"/>
      <c r="E414" s="18"/>
      <c r="F414" s="18"/>
      <c r="G414" s="18"/>
      <c r="H414" s="18"/>
      <c r="I414" s="59"/>
      <c r="J414" s="59"/>
      <c r="K414" s="59"/>
      <c r="L414" s="87"/>
      <c r="M414" s="87"/>
      <c r="N414" s="100"/>
      <c r="O414" s="100"/>
    </row>
    <row r="415" spans="1:15">
      <c r="A415" s="87"/>
      <c r="B415" s="87"/>
      <c r="C415" s="18"/>
      <c r="D415" s="18"/>
      <c r="E415" s="18"/>
      <c r="F415" s="18"/>
      <c r="G415" s="18"/>
      <c r="H415" s="18"/>
      <c r="I415" s="59"/>
      <c r="J415" s="59"/>
      <c r="K415" s="59"/>
      <c r="L415" s="87"/>
      <c r="M415" s="87"/>
      <c r="N415" s="100"/>
      <c r="O415" s="100"/>
    </row>
    <row r="416" spans="1:15">
      <c r="A416" s="87"/>
      <c r="B416" s="87"/>
      <c r="C416" s="18"/>
      <c r="D416" s="18"/>
      <c r="E416" s="18"/>
      <c r="F416" s="18"/>
      <c r="G416" s="18"/>
      <c r="H416" s="18"/>
      <c r="I416" s="59"/>
      <c r="J416" s="59"/>
      <c r="K416" s="59"/>
      <c r="L416" s="87"/>
      <c r="M416" s="87"/>
      <c r="N416" s="100"/>
      <c r="O416" s="100"/>
    </row>
    <row r="417" spans="1:15">
      <c r="A417" s="87"/>
      <c r="B417" s="87"/>
      <c r="C417" s="18"/>
      <c r="D417" s="18"/>
      <c r="E417" s="18"/>
      <c r="F417" s="18"/>
      <c r="G417" s="18"/>
      <c r="H417" s="18"/>
      <c r="I417" s="59"/>
      <c r="J417" s="59"/>
      <c r="K417" s="59"/>
      <c r="L417" s="87"/>
      <c r="M417" s="87"/>
      <c r="N417" s="100"/>
      <c r="O417" s="100"/>
    </row>
    <row r="418" spans="1:15">
      <c r="A418" s="87"/>
      <c r="B418" s="87"/>
      <c r="C418" s="18"/>
      <c r="D418" s="18"/>
      <c r="E418" s="18"/>
      <c r="F418" s="18"/>
      <c r="G418" s="18"/>
      <c r="H418" s="18"/>
      <c r="I418" s="59"/>
      <c r="J418" s="59"/>
      <c r="K418" s="59"/>
      <c r="L418" s="87"/>
      <c r="M418" s="87"/>
      <c r="N418" s="100"/>
      <c r="O418" s="100"/>
    </row>
    <row r="419" spans="1:15">
      <c r="A419" s="87"/>
      <c r="B419" s="87"/>
      <c r="C419" s="18"/>
      <c r="D419" s="18"/>
      <c r="E419" s="18"/>
      <c r="F419" s="18"/>
      <c r="G419" s="18"/>
      <c r="H419" s="18"/>
      <c r="I419" s="59"/>
      <c r="J419" s="59"/>
      <c r="K419" s="59"/>
      <c r="L419" s="87"/>
      <c r="M419" s="87"/>
      <c r="N419" s="100"/>
      <c r="O419" s="100"/>
    </row>
    <row r="420" spans="1:15">
      <c r="A420" s="87"/>
      <c r="B420" s="87"/>
      <c r="C420" s="18"/>
      <c r="D420" s="18"/>
      <c r="E420" s="18"/>
      <c r="F420" s="18"/>
      <c r="G420" s="18"/>
      <c r="H420" s="18"/>
      <c r="I420" s="59"/>
      <c r="J420" s="59"/>
      <c r="K420" s="59"/>
      <c r="L420" s="87"/>
      <c r="M420" s="87"/>
      <c r="N420" s="100"/>
      <c r="O420" s="100"/>
    </row>
    <row r="421" spans="1:15">
      <c r="A421" s="87"/>
      <c r="B421" s="87"/>
      <c r="C421" s="18"/>
      <c r="D421" s="18"/>
      <c r="E421" s="18"/>
      <c r="F421" s="18"/>
      <c r="G421" s="18"/>
      <c r="H421" s="18"/>
      <c r="I421" s="59"/>
      <c r="J421" s="59"/>
      <c r="K421" s="59"/>
      <c r="L421" s="87"/>
      <c r="M421" s="87"/>
      <c r="N421" s="100"/>
      <c r="O421" s="100"/>
    </row>
    <row r="422" spans="1:15">
      <c r="A422" s="87"/>
      <c r="B422" s="87"/>
      <c r="C422" s="18"/>
      <c r="D422" s="18"/>
      <c r="E422" s="18"/>
      <c r="F422" s="18"/>
      <c r="G422" s="18"/>
      <c r="H422" s="18"/>
      <c r="I422" s="59"/>
      <c r="J422" s="59"/>
      <c r="K422" s="59"/>
      <c r="L422" s="87"/>
      <c r="M422" s="87"/>
      <c r="N422" s="100"/>
      <c r="O422" s="100"/>
    </row>
    <row r="423" spans="1:15">
      <c r="A423" s="87"/>
      <c r="B423" s="87"/>
      <c r="C423" s="18"/>
      <c r="D423" s="18"/>
      <c r="E423" s="18"/>
      <c r="F423" s="18"/>
      <c r="G423" s="18"/>
      <c r="H423" s="18"/>
      <c r="I423" s="59"/>
      <c r="J423" s="59"/>
      <c r="K423" s="59"/>
      <c r="L423" s="87"/>
      <c r="M423" s="87"/>
      <c r="N423" s="100"/>
      <c r="O423" s="100"/>
    </row>
    <row r="424" spans="1:15">
      <c r="A424" s="87"/>
      <c r="B424" s="87"/>
      <c r="C424" s="18"/>
      <c r="D424" s="18"/>
      <c r="E424" s="18"/>
      <c r="F424" s="18"/>
      <c r="G424" s="18"/>
      <c r="H424" s="18"/>
      <c r="I424" s="59"/>
      <c r="J424" s="59"/>
      <c r="K424" s="59"/>
      <c r="L424" s="87"/>
      <c r="M424" s="87"/>
      <c r="N424" s="100"/>
      <c r="O424" s="100"/>
    </row>
    <row r="425" spans="1:15">
      <c r="A425" s="87"/>
      <c r="B425" s="87"/>
      <c r="C425" s="18"/>
      <c r="D425" s="18"/>
      <c r="E425" s="18"/>
      <c r="F425" s="18"/>
      <c r="G425" s="18"/>
      <c r="H425" s="18"/>
      <c r="I425" s="59"/>
      <c r="J425" s="59"/>
      <c r="K425" s="59"/>
      <c r="L425" s="87"/>
      <c r="M425" s="87"/>
      <c r="N425" s="100"/>
      <c r="O425" s="100"/>
    </row>
    <row r="426" spans="1:15">
      <c r="A426" s="87"/>
      <c r="B426" s="87"/>
      <c r="C426" s="18"/>
      <c r="D426" s="18"/>
      <c r="E426" s="18"/>
      <c r="F426" s="18"/>
      <c r="G426" s="18"/>
      <c r="H426" s="18"/>
      <c r="I426" s="59"/>
      <c r="J426" s="59"/>
      <c r="K426" s="59"/>
      <c r="L426" s="87"/>
      <c r="M426" s="87"/>
      <c r="N426" s="100"/>
      <c r="O426" s="100"/>
    </row>
    <row r="427" spans="1:15">
      <c r="A427" s="87"/>
      <c r="B427" s="87"/>
      <c r="C427" s="18"/>
      <c r="D427" s="18"/>
      <c r="E427" s="18"/>
      <c r="F427" s="18"/>
      <c r="G427" s="18"/>
      <c r="H427" s="18"/>
      <c r="I427" s="59"/>
      <c r="J427" s="59"/>
      <c r="K427" s="59"/>
      <c r="L427" s="87"/>
      <c r="M427" s="87"/>
      <c r="N427" s="100"/>
      <c r="O427" s="100"/>
    </row>
    <row r="428" spans="1:15">
      <c r="A428" s="87"/>
      <c r="B428" s="87"/>
      <c r="C428" s="18"/>
      <c r="D428" s="18"/>
      <c r="E428" s="18"/>
      <c r="F428" s="18"/>
      <c r="G428" s="18"/>
      <c r="H428" s="18"/>
      <c r="I428" s="59"/>
      <c r="J428" s="59"/>
      <c r="K428" s="59"/>
      <c r="L428" s="87"/>
      <c r="M428" s="87"/>
      <c r="N428" s="100"/>
      <c r="O428" s="100"/>
    </row>
    <row r="429" spans="1:15">
      <c r="A429" s="87"/>
      <c r="B429" s="87"/>
      <c r="C429" s="18"/>
      <c r="D429" s="18"/>
      <c r="E429" s="18"/>
      <c r="F429" s="18"/>
      <c r="G429" s="18"/>
      <c r="H429" s="18"/>
      <c r="I429" s="59"/>
      <c r="J429" s="59"/>
      <c r="K429" s="59"/>
      <c r="L429" s="87"/>
      <c r="M429" s="87"/>
      <c r="N429" s="100"/>
      <c r="O429" s="100"/>
    </row>
    <row r="430" spans="1:15">
      <c r="A430" s="87"/>
      <c r="B430" s="87"/>
      <c r="C430" s="18"/>
      <c r="D430" s="18"/>
      <c r="E430" s="18"/>
      <c r="F430" s="18"/>
      <c r="G430" s="18"/>
      <c r="H430" s="18"/>
      <c r="I430" s="59"/>
      <c r="J430" s="59"/>
      <c r="K430" s="59"/>
      <c r="L430" s="87"/>
      <c r="M430" s="87"/>
      <c r="N430" s="100"/>
      <c r="O430" s="100"/>
    </row>
    <row r="431" spans="1:15">
      <c r="A431" s="87"/>
      <c r="B431" s="87"/>
      <c r="C431" s="18"/>
      <c r="D431" s="18"/>
      <c r="E431" s="18"/>
      <c r="F431" s="18"/>
      <c r="G431" s="18"/>
      <c r="H431" s="18"/>
      <c r="I431" s="59"/>
      <c r="J431" s="59"/>
      <c r="K431" s="59"/>
      <c r="L431" s="87"/>
      <c r="M431" s="87"/>
      <c r="N431" s="100"/>
      <c r="O431" s="100"/>
    </row>
    <row r="432" spans="1:15">
      <c r="A432" s="87"/>
      <c r="B432" s="87"/>
      <c r="C432" s="18"/>
      <c r="D432" s="18"/>
      <c r="E432" s="18"/>
      <c r="F432" s="18"/>
      <c r="G432" s="18"/>
      <c r="H432" s="18"/>
      <c r="I432" s="59"/>
      <c r="J432" s="59"/>
      <c r="K432" s="59"/>
      <c r="L432" s="87"/>
      <c r="M432" s="87"/>
      <c r="N432" s="100"/>
      <c r="O432" s="100"/>
    </row>
    <row r="433" spans="1:15">
      <c r="A433" s="87"/>
      <c r="B433" s="87"/>
      <c r="C433" s="18"/>
      <c r="D433" s="18"/>
      <c r="E433" s="18"/>
      <c r="F433" s="18"/>
      <c r="G433" s="18"/>
      <c r="H433" s="18"/>
      <c r="I433" s="59"/>
      <c r="J433" s="59"/>
      <c r="K433" s="59"/>
      <c r="L433" s="87"/>
      <c r="M433" s="87"/>
      <c r="N433" s="100"/>
      <c r="O433" s="100"/>
    </row>
    <row r="434" spans="1:15">
      <c r="A434" s="87"/>
      <c r="B434" s="87"/>
      <c r="C434" s="18"/>
      <c r="D434" s="18"/>
      <c r="E434" s="18"/>
      <c r="F434" s="18"/>
      <c r="G434" s="18"/>
      <c r="H434" s="18"/>
      <c r="I434" s="59"/>
      <c r="J434" s="59"/>
      <c r="K434" s="59"/>
      <c r="L434" s="87"/>
      <c r="M434" s="87"/>
      <c r="N434" s="100"/>
      <c r="O434" s="100"/>
    </row>
    <row r="435" spans="1:15">
      <c r="A435" s="87"/>
      <c r="B435" s="87"/>
      <c r="C435" s="18"/>
      <c r="D435" s="18"/>
      <c r="E435" s="18"/>
      <c r="F435" s="18"/>
      <c r="G435" s="18"/>
      <c r="H435" s="18"/>
      <c r="I435" s="59"/>
      <c r="J435" s="59"/>
      <c r="K435" s="59"/>
      <c r="L435" s="87"/>
      <c r="M435" s="87"/>
      <c r="N435" s="100"/>
      <c r="O435" s="100"/>
    </row>
    <row r="436" spans="1:15">
      <c r="A436" s="87"/>
      <c r="B436" s="87"/>
      <c r="C436" s="18"/>
      <c r="D436" s="18"/>
      <c r="E436" s="18"/>
      <c r="F436" s="18"/>
      <c r="G436" s="18"/>
      <c r="H436" s="18"/>
      <c r="I436" s="59"/>
      <c r="J436" s="59"/>
      <c r="K436" s="59"/>
      <c r="L436" s="87"/>
      <c r="M436" s="87"/>
      <c r="N436" s="100"/>
      <c r="O436" s="100"/>
    </row>
    <row r="437" spans="1:15">
      <c r="A437" s="87"/>
      <c r="B437" s="87"/>
      <c r="C437" s="18"/>
      <c r="D437" s="18"/>
      <c r="E437" s="18"/>
      <c r="F437" s="18"/>
      <c r="G437" s="18"/>
      <c r="H437" s="18"/>
      <c r="I437" s="59"/>
      <c r="J437" s="59"/>
      <c r="K437" s="59"/>
      <c r="L437" s="87"/>
      <c r="M437" s="87"/>
      <c r="N437" s="100"/>
      <c r="O437" s="100"/>
    </row>
    <row r="438" spans="1:15">
      <c r="A438" s="87"/>
      <c r="B438" s="87"/>
      <c r="C438" s="18"/>
      <c r="D438" s="18"/>
      <c r="E438" s="18"/>
      <c r="F438" s="18"/>
      <c r="G438" s="18"/>
      <c r="H438" s="18"/>
      <c r="I438" s="59"/>
      <c r="J438" s="59"/>
      <c r="K438" s="59"/>
      <c r="L438" s="87"/>
      <c r="M438" s="87"/>
      <c r="N438" s="100"/>
      <c r="O438" s="100"/>
    </row>
    <row r="439" spans="1:15">
      <c r="A439" s="87"/>
      <c r="B439" s="87"/>
      <c r="C439" s="18"/>
      <c r="D439" s="18"/>
      <c r="E439" s="18"/>
      <c r="F439" s="18"/>
      <c r="G439" s="18"/>
      <c r="H439" s="18"/>
      <c r="I439" s="59"/>
      <c r="J439" s="59"/>
      <c r="K439" s="59"/>
      <c r="L439" s="87"/>
      <c r="M439" s="87"/>
      <c r="N439" s="100"/>
      <c r="O439" s="100"/>
    </row>
    <row r="440" spans="1:15">
      <c r="A440" s="87"/>
      <c r="B440" s="87"/>
      <c r="C440" s="18"/>
      <c r="D440" s="18"/>
      <c r="E440" s="18"/>
      <c r="F440" s="18"/>
      <c r="G440" s="18"/>
      <c r="H440" s="18"/>
      <c r="I440" s="59"/>
      <c r="J440" s="59"/>
      <c r="K440" s="59"/>
      <c r="L440" s="87"/>
      <c r="M440" s="87"/>
      <c r="N440" s="100"/>
      <c r="O440" s="100"/>
    </row>
    <row r="441" spans="1:15">
      <c r="A441" s="87"/>
      <c r="B441" s="87"/>
      <c r="C441" s="18"/>
      <c r="D441" s="18"/>
      <c r="E441" s="18"/>
      <c r="F441" s="18"/>
      <c r="G441" s="18"/>
      <c r="H441" s="18"/>
      <c r="I441" s="59"/>
      <c r="J441" s="59"/>
      <c r="K441" s="59"/>
      <c r="L441" s="87"/>
      <c r="M441" s="87"/>
      <c r="N441" s="100"/>
      <c r="O441" s="100"/>
    </row>
    <row r="442" spans="1:15">
      <c r="A442" s="87"/>
      <c r="B442" s="87"/>
      <c r="C442" s="18"/>
      <c r="D442" s="18"/>
      <c r="E442" s="18"/>
      <c r="F442" s="18"/>
      <c r="G442" s="18"/>
      <c r="H442" s="18"/>
      <c r="I442" s="59"/>
      <c r="J442" s="59"/>
      <c r="K442" s="59"/>
      <c r="L442" s="87"/>
      <c r="M442" s="87"/>
      <c r="N442" s="100"/>
      <c r="O442" s="100"/>
    </row>
    <row r="443" spans="1:15">
      <c r="A443" s="87"/>
      <c r="B443" s="87"/>
      <c r="C443" s="18"/>
      <c r="D443" s="18"/>
      <c r="E443" s="18"/>
      <c r="F443" s="18"/>
      <c r="G443" s="18"/>
      <c r="H443" s="18"/>
      <c r="I443" s="59"/>
      <c r="J443" s="59"/>
      <c r="K443" s="59"/>
      <c r="L443" s="87"/>
      <c r="M443" s="87"/>
      <c r="N443" s="100"/>
      <c r="O443" s="100"/>
    </row>
    <row r="444" spans="1:15">
      <c r="A444" s="87"/>
      <c r="B444" s="87"/>
      <c r="C444" s="18"/>
      <c r="D444" s="18"/>
      <c r="E444" s="18"/>
      <c r="F444" s="18"/>
      <c r="G444" s="18"/>
      <c r="H444" s="18"/>
      <c r="I444" s="59"/>
      <c r="J444" s="59"/>
      <c r="K444" s="59"/>
      <c r="L444" s="87"/>
      <c r="M444" s="87"/>
      <c r="N444" s="100"/>
      <c r="O444" s="100"/>
    </row>
    <row r="445" spans="1:15">
      <c r="A445" s="87"/>
      <c r="B445" s="87"/>
      <c r="C445" s="18"/>
      <c r="D445" s="18"/>
      <c r="E445" s="18"/>
      <c r="F445" s="18"/>
      <c r="G445" s="18"/>
      <c r="H445" s="18"/>
      <c r="I445" s="59"/>
      <c r="J445" s="59"/>
      <c r="K445" s="59"/>
      <c r="L445" s="87"/>
      <c r="M445" s="87"/>
      <c r="N445" s="100"/>
      <c r="O445" s="100"/>
    </row>
    <row r="446" spans="1:15">
      <c r="A446" s="87"/>
      <c r="B446" s="87"/>
      <c r="C446" s="18"/>
      <c r="D446" s="18"/>
      <c r="E446" s="18"/>
      <c r="F446" s="18"/>
      <c r="G446" s="18"/>
      <c r="H446" s="18"/>
      <c r="I446" s="59"/>
      <c r="J446" s="59"/>
      <c r="K446" s="59"/>
      <c r="L446" s="87"/>
      <c r="M446" s="87"/>
      <c r="N446" s="100"/>
      <c r="O446" s="100"/>
    </row>
    <row r="447" spans="1:15">
      <c r="A447" s="87"/>
      <c r="B447" s="87"/>
      <c r="C447" s="18"/>
      <c r="D447" s="18"/>
      <c r="E447" s="18"/>
      <c r="F447" s="18"/>
      <c r="G447" s="18"/>
      <c r="H447" s="18"/>
      <c r="I447" s="59"/>
      <c r="J447" s="59"/>
      <c r="K447" s="59"/>
      <c r="L447" s="87"/>
      <c r="M447" s="87"/>
      <c r="N447" s="100"/>
      <c r="O447" s="100"/>
    </row>
    <row r="448" spans="1:15">
      <c r="A448" s="87"/>
      <c r="B448" s="87"/>
      <c r="C448" s="18"/>
      <c r="D448" s="18"/>
      <c r="E448" s="18"/>
      <c r="F448" s="18"/>
      <c r="G448" s="18"/>
      <c r="H448" s="18"/>
      <c r="I448" s="59"/>
      <c r="J448" s="59"/>
      <c r="K448" s="59"/>
      <c r="L448" s="87"/>
      <c r="M448" s="87"/>
      <c r="N448" s="100"/>
      <c r="O448" s="100"/>
    </row>
    <row r="449" spans="1:15">
      <c r="A449" s="87"/>
      <c r="B449" s="87"/>
      <c r="C449" s="18"/>
      <c r="D449" s="18"/>
      <c r="E449" s="18"/>
      <c r="F449" s="18"/>
      <c r="G449" s="18"/>
      <c r="H449" s="18"/>
      <c r="I449" s="59"/>
      <c r="J449" s="59"/>
      <c r="K449" s="59"/>
      <c r="L449" s="87"/>
      <c r="M449" s="87"/>
      <c r="N449" s="100"/>
      <c r="O449" s="100"/>
    </row>
    <row r="450" spans="1:15">
      <c r="A450" s="87"/>
      <c r="B450" s="87"/>
      <c r="C450" s="18"/>
      <c r="D450" s="18"/>
      <c r="E450" s="18"/>
      <c r="F450" s="18"/>
      <c r="G450" s="18"/>
      <c r="H450" s="18"/>
      <c r="I450" s="59"/>
      <c r="J450" s="59"/>
      <c r="K450" s="59"/>
      <c r="L450" s="87"/>
      <c r="M450" s="87"/>
      <c r="N450" s="100"/>
      <c r="O450" s="100"/>
    </row>
    <row r="451" spans="1:15">
      <c r="A451" s="87"/>
      <c r="B451" s="87"/>
      <c r="C451" s="18"/>
      <c r="D451" s="18"/>
      <c r="E451" s="18"/>
      <c r="F451" s="18"/>
      <c r="G451" s="18"/>
      <c r="H451" s="18"/>
      <c r="I451" s="59"/>
      <c r="J451" s="59"/>
      <c r="K451" s="59"/>
      <c r="L451" s="87"/>
      <c r="M451" s="87"/>
      <c r="N451" s="100"/>
      <c r="O451" s="100"/>
    </row>
    <row r="452" spans="1:15">
      <c r="A452" s="87"/>
      <c r="B452" s="87"/>
      <c r="C452" s="18"/>
      <c r="D452" s="18"/>
      <c r="E452" s="18"/>
      <c r="F452" s="18"/>
      <c r="G452" s="18"/>
      <c r="H452" s="18"/>
      <c r="I452" s="59"/>
      <c r="J452" s="59"/>
      <c r="K452" s="59"/>
      <c r="L452" s="87"/>
      <c r="M452" s="87"/>
      <c r="N452" s="100"/>
      <c r="O452" s="100"/>
    </row>
    <row r="453" spans="1:15">
      <c r="A453" s="87"/>
      <c r="B453" s="87"/>
      <c r="C453" s="18"/>
      <c r="D453" s="18"/>
      <c r="E453" s="18"/>
      <c r="F453" s="18"/>
      <c r="G453" s="18"/>
      <c r="H453" s="18"/>
      <c r="I453" s="59"/>
      <c r="J453" s="59"/>
      <c r="K453" s="59"/>
      <c r="L453" s="87"/>
      <c r="M453" s="87"/>
      <c r="N453" s="100"/>
      <c r="O453" s="100"/>
    </row>
    <row r="454" spans="1:15">
      <c r="A454" s="87"/>
      <c r="B454" s="87"/>
      <c r="C454" s="18"/>
      <c r="D454" s="18"/>
      <c r="E454" s="18"/>
      <c r="F454" s="18"/>
      <c r="G454" s="18"/>
      <c r="H454" s="18"/>
      <c r="I454" s="59"/>
      <c r="J454" s="59"/>
      <c r="K454" s="59"/>
      <c r="L454" s="87"/>
      <c r="M454" s="87"/>
      <c r="N454" s="100"/>
      <c r="O454" s="100"/>
    </row>
    <row r="455" spans="1:15">
      <c r="A455" s="87"/>
      <c r="B455" s="87"/>
      <c r="C455" s="18"/>
      <c r="D455" s="18"/>
      <c r="E455" s="18"/>
      <c r="F455" s="18"/>
      <c r="G455" s="18"/>
      <c r="H455" s="18"/>
      <c r="I455" s="59"/>
      <c r="J455" s="59"/>
      <c r="K455" s="59"/>
      <c r="L455" s="87"/>
      <c r="M455" s="87"/>
      <c r="N455" s="100"/>
      <c r="O455" s="100"/>
    </row>
    <row r="456" spans="1:15">
      <c r="A456" s="87"/>
      <c r="B456" s="87"/>
      <c r="C456" s="18"/>
      <c r="D456" s="18"/>
      <c r="E456" s="18"/>
      <c r="F456" s="18"/>
      <c r="G456" s="18"/>
      <c r="H456" s="18"/>
      <c r="I456" s="59"/>
      <c r="J456" s="59"/>
      <c r="K456" s="59"/>
      <c r="L456" s="87"/>
      <c r="M456" s="87"/>
      <c r="N456" s="100"/>
      <c r="O456" s="100"/>
    </row>
    <row r="457" spans="1:15">
      <c r="A457" s="87"/>
      <c r="B457" s="87"/>
      <c r="C457" s="18"/>
      <c r="D457" s="18"/>
      <c r="E457" s="18"/>
      <c r="F457" s="18"/>
      <c r="G457" s="18"/>
      <c r="H457" s="18"/>
      <c r="I457" s="59"/>
      <c r="J457" s="59"/>
      <c r="K457" s="59"/>
      <c r="L457" s="87"/>
      <c r="M457" s="87"/>
      <c r="N457" s="100"/>
      <c r="O457" s="100"/>
    </row>
    <row r="458" spans="1:15">
      <c r="A458" s="87"/>
      <c r="B458" s="87"/>
      <c r="C458" s="18"/>
      <c r="D458" s="18"/>
      <c r="E458" s="18"/>
      <c r="F458" s="18"/>
      <c r="G458" s="18"/>
      <c r="H458" s="18"/>
      <c r="I458" s="59"/>
      <c r="J458" s="59"/>
      <c r="K458" s="59"/>
      <c r="L458" s="87"/>
      <c r="M458" s="87"/>
      <c r="N458" s="100"/>
      <c r="O458" s="100"/>
    </row>
    <row r="459" spans="1:15">
      <c r="A459" s="87"/>
      <c r="B459" s="87"/>
      <c r="C459" s="18"/>
      <c r="D459" s="18"/>
      <c r="E459" s="18"/>
      <c r="F459" s="18"/>
      <c r="G459" s="18"/>
      <c r="H459" s="18"/>
      <c r="I459" s="59"/>
      <c r="J459" s="59"/>
      <c r="K459" s="59"/>
      <c r="L459" s="87"/>
      <c r="M459" s="87"/>
      <c r="N459" s="100"/>
      <c r="O459" s="100"/>
    </row>
    <row r="460" spans="1:15">
      <c r="A460" s="87"/>
      <c r="B460" s="87"/>
      <c r="C460" s="18"/>
      <c r="D460" s="18"/>
      <c r="E460" s="18"/>
      <c r="F460" s="18"/>
      <c r="G460" s="18"/>
      <c r="H460" s="18"/>
      <c r="I460" s="59"/>
      <c r="J460" s="59"/>
      <c r="K460" s="59"/>
      <c r="L460" s="87"/>
      <c r="M460" s="87"/>
      <c r="N460" s="100"/>
      <c r="O460" s="100"/>
    </row>
    <row r="461" spans="1:15">
      <c r="A461" s="87"/>
      <c r="B461" s="87"/>
      <c r="C461" s="18"/>
      <c r="D461" s="18"/>
      <c r="E461" s="18"/>
      <c r="F461" s="18"/>
      <c r="G461" s="18"/>
      <c r="H461" s="18"/>
      <c r="I461" s="59"/>
      <c r="J461" s="59"/>
      <c r="K461" s="59"/>
      <c r="L461" s="87"/>
      <c r="M461" s="87"/>
      <c r="N461" s="100"/>
      <c r="O461" s="100"/>
    </row>
    <row r="462" spans="1:15">
      <c r="A462" s="87"/>
      <c r="B462" s="87"/>
      <c r="C462" s="18"/>
      <c r="D462" s="18"/>
      <c r="E462" s="18"/>
      <c r="F462" s="18"/>
      <c r="G462" s="18"/>
      <c r="H462" s="18"/>
      <c r="I462" s="59"/>
      <c r="J462" s="59"/>
      <c r="K462" s="59"/>
      <c r="L462" s="87"/>
      <c r="M462" s="87"/>
      <c r="N462" s="100"/>
      <c r="O462" s="100"/>
    </row>
    <row r="463" spans="1:15">
      <c r="A463" s="87"/>
      <c r="B463" s="87"/>
      <c r="C463" s="18"/>
      <c r="D463" s="18"/>
      <c r="E463" s="18"/>
      <c r="F463" s="18"/>
      <c r="G463" s="18"/>
      <c r="H463" s="18"/>
      <c r="I463" s="59"/>
      <c r="J463" s="59"/>
      <c r="K463" s="59"/>
      <c r="L463" s="87"/>
      <c r="M463" s="87"/>
      <c r="N463" s="100"/>
      <c r="O463" s="100"/>
    </row>
    <row r="464" spans="1:15">
      <c r="A464" s="87"/>
      <c r="B464" s="87"/>
      <c r="C464" s="18"/>
      <c r="D464" s="18"/>
      <c r="E464" s="18"/>
      <c r="F464" s="18"/>
      <c r="G464" s="18"/>
      <c r="H464" s="18"/>
      <c r="I464" s="59"/>
      <c r="J464" s="59"/>
      <c r="K464" s="59"/>
      <c r="L464" s="87"/>
      <c r="M464" s="87"/>
      <c r="N464" s="100"/>
      <c r="O464" s="100"/>
    </row>
    <row r="465" spans="1:15">
      <c r="A465" s="87"/>
      <c r="B465" s="87"/>
      <c r="C465" s="18"/>
      <c r="D465" s="18"/>
      <c r="E465" s="18"/>
      <c r="F465" s="18"/>
      <c r="G465" s="18"/>
      <c r="H465" s="18"/>
      <c r="I465" s="59"/>
      <c r="J465" s="59"/>
      <c r="K465" s="59"/>
      <c r="L465" s="87"/>
      <c r="M465" s="87"/>
      <c r="N465" s="100"/>
      <c r="O465" s="100"/>
    </row>
    <row r="466" spans="1:15">
      <c r="A466" s="87"/>
      <c r="B466" s="87"/>
      <c r="C466" s="18"/>
      <c r="D466" s="18"/>
      <c r="E466" s="18"/>
      <c r="F466" s="18"/>
      <c r="G466" s="18"/>
      <c r="H466" s="18"/>
      <c r="I466" s="59"/>
      <c r="J466" s="59"/>
      <c r="K466" s="59"/>
      <c r="L466" s="87"/>
      <c r="M466" s="87"/>
      <c r="N466" s="100"/>
      <c r="O466" s="100"/>
    </row>
    <row r="467" spans="1:15">
      <c r="A467" s="87"/>
      <c r="B467" s="87"/>
      <c r="C467" s="18"/>
      <c r="D467" s="18"/>
      <c r="E467" s="18"/>
      <c r="F467" s="18"/>
      <c r="G467" s="18"/>
      <c r="H467" s="18"/>
      <c r="I467" s="59"/>
      <c r="J467" s="59"/>
      <c r="K467" s="59"/>
      <c r="L467" s="87"/>
      <c r="M467" s="87"/>
      <c r="N467" s="100"/>
      <c r="O467" s="100"/>
    </row>
    <row r="468" spans="1:15">
      <c r="A468" s="87"/>
      <c r="B468" s="87"/>
      <c r="C468" s="18"/>
      <c r="D468" s="18"/>
      <c r="E468" s="18"/>
      <c r="F468" s="18"/>
      <c r="G468" s="18"/>
      <c r="H468" s="18"/>
      <c r="I468" s="59"/>
      <c r="J468" s="59"/>
      <c r="K468" s="59"/>
      <c r="L468" s="87"/>
      <c r="M468" s="87"/>
      <c r="N468" s="100"/>
      <c r="O468" s="100"/>
    </row>
    <row r="469" spans="1:15">
      <c r="A469" s="87"/>
      <c r="B469" s="87"/>
      <c r="C469" s="18"/>
      <c r="D469" s="18"/>
      <c r="E469" s="18"/>
      <c r="F469" s="18"/>
      <c r="G469" s="18"/>
      <c r="H469" s="18"/>
      <c r="I469" s="59"/>
      <c r="J469" s="59"/>
      <c r="K469" s="59"/>
      <c r="L469" s="87"/>
      <c r="M469" s="87"/>
      <c r="N469" s="100"/>
      <c r="O469" s="100"/>
    </row>
    <row r="470" spans="1:15">
      <c r="A470" s="87"/>
      <c r="B470" s="87"/>
      <c r="C470" s="18"/>
      <c r="D470" s="18"/>
      <c r="E470" s="18"/>
      <c r="F470" s="18"/>
      <c r="G470" s="18"/>
      <c r="H470" s="18"/>
      <c r="I470" s="59"/>
      <c r="J470" s="59"/>
      <c r="K470" s="59"/>
      <c r="L470" s="87"/>
      <c r="M470" s="87"/>
      <c r="N470" s="100"/>
      <c r="O470" s="100"/>
    </row>
    <row r="471" spans="1:15">
      <c r="A471" s="87"/>
      <c r="B471" s="87"/>
      <c r="C471" s="18"/>
      <c r="D471" s="18"/>
      <c r="E471" s="18"/>
      <c r="F471" s="18"/>
      <c r="G471" s="18"/>
      <c r="H471" s="18"/>
      <c r="I471" s="59"/>
      <c r="J471" s="59"/>
      <c r="K471" s="59"/>
      <c r="L471" s="87"/>
      <c r="M471" s="87"/>
      <c r="N471" s="100"/>
      <c r="O471" s="100"/>
    </row>
    <row r="472" spans="1:15">
      <c r="A472" s="87"/>
      <c r="B472" s="87"/>
      <c r="C472" s="18"/>
      <c r="D472" s="18"/>
      <c r="E472" s="18"/>
      <c r="F472" s="18"/>
      <c r="G472" s="18"/>
      <c r="H472" s="18"/>
      <c r="I472" s="59"/>
      <c r="J472" s="59"/>
      <c r="K472" s="59"/>
      <c r="L472" s="87"/>
      <c r="M472" s="87"/>
      <c r="N472" s="100"/>
      <c r="O472" s="100"/>
    </row>
    <row r="473" spans="1:15">
      <c r="A473" s="87"/>
      <c r="B473" s="87"/>
      <c r="C473" s="18"/>
      <c r="D473" s="18"/>
      <c r="E473" s="18"/>
      <c r="F473" s="18"/>
      <c r="G473" s="18"/>
      <c r="H473" s="18"/>
      <c r="I473" s="59"/>
      <c r="J473" s="59"/>
      <c r="K473" s="59"/>
      <c r="L473" s="87"/>
      <c r="M473" s="87"/>
      <c r="N473" s="100"/>
      <c r="O473" s="100"/>
    </row>
    <row r="474" spans="1:15">
      <c r="A474" s="87"/>
      <c r="B474" s="87"/>
      <c r="C474" s="18"/>
      <c r="D474" s="18"/>
      <c r="E474" s="18"/>
      <c r="F474" s="18"/>
      <c r="G474" s="18"/>
      <c r="H474" s="18"/>
      <c r="I474" s="59"/>
      <c r="J474" s="59"/>
      <c r="K474" s="59"/>
      <c r="L474" s="87"/>
      <c r="M474" s="87"/>
      <c r="N474" s="100"/>
      <c r="O474" s="100"/>
    </row>
    <row r="475" spans="1:15">
      <c r="A475" s="87"/>
      <c r="B475" s="87"/>
      <c r="C475" s="18"/>
      <c r="D475" s="18"/>
      <c r="E475" s="18"/>
      <c r="F475" s="18"/>
      <c r="G475" s="18"/>
      <c r="H475" s="18"/>
      <c r="I475" s="59"/>
      <c r="J475" s="59"/>
      <c r="K475" s="59"/>
      <c r="L475" s="87"/>
      <c r="M475" s="87"/>
      <c r="N475" s="100"/>
      <c r="O475" s="100"/>
    </row>
    <row r="476" spans="1:15">
      <c r="A476" s="87"/>
      <c r="B476" s="87"/>
      <c r="C476" s="18"/>
      <c r="D476" s="18"/>
      <c r="E476" s="18"/>
      <c r="F476" s="18"/>
      <c r="G476" s="18"/>
      <c r="H476" s="18"/>
      <c r="I476" s="59"/>
      <c r="J476" s="59"/>
      <c r="K476" s="59"/>
      <c r="L476" s="87"/>
      <c r="M476" s="87"/>
      <c r="N476" s="100"/>
      <c r="O476" s="100"/>
    </row>
    <row r="477" spans="1:15">
      <c r="A477" s="87"/>
      <c r="B477" s="87"/>
      <c r="C477" s="18"/>
      <c r="D477" s="18"/>
      <c r="E477" s="18"/>
      <c r="F477" s="18"/>
      <c r="G477" s="18"/>
      <c r="H477" s="18"/>
      <c r="I477" s="59"/>
      <c r="J477" s="59"/>
      <c r="K477" s="59"/>
      <c r="L477" s="87"/>
      <c r="M477" s="87"/>
      <c r="N477" s="100"/>
      <c r="O477" s="100"/>
    </row>
    <row r="478" spans="1:15">
      <c r="A478" s="87"/>
      <c r="B478" s="87"/>
      <c r="C478" s="18"/>
      <c r="D478" s="18"/>
      <c r="E478" s="18"/>
      <c r="F478" s="18"/>
      <c r="G478" s="18"/>
      <c r="H478" s="18"/>
      <c r="I478" s="59"/>
      <c r="J478" s="59"/>
      <c r="K478" s="59"/>
      <c r="L478" s="87"/>
      <c r="M478" s="87"/>
      <c r="N478" s="100"/>
      <c r="O478" s="100"/>
    </row>
    <row r="479" spans="1:15">
      <c r="A479" s="87"/>
      <c r="B479" s="87"/>
      <c r="C479" s="18"/>
      <c r="D479" s="18"/>
      <c r="E479" s="18"/>
      <c r="F479" s="18"/>
      <c r="G479" s="18"/>
      <c r="H479" s="18"/>
      <c r="I479" s="59"/>
      <c r="J479" s="59"/>
      <c r="K479" s="59"/>
      <c r="L479" s="87"/>
      <c r="M479" s="87"/>
      <c r="N479" s="100"/>
      <c r="O479" s="100"/>
    </row>
    <row r="480" spans="1:15">
      <c r="A480" s="87"/>
      <c r="B480" s="87"/>
      <c r="C480" s="18"/>
      <c r="D480" s="18"/>
      <c r="E480" s="18"/>
      <c r="F480" s="18"/>
      <c r="G480" s="18"/>
      <c r="H480" s="18"/>
      <c r="I480" s="59"/>
      <c r="J480" s="59"/>
      <c r="K480" s="59"/>
      <c r="L480" s="87"/>
      <c r="M480" s="87"/>
      <c r="N480" s="100"/>
      <c r="O480" s="100"/>
    </row>
    <row r="481" spans="1:15">
      <c r="A481" s="87"/>
      <c r="B481" s="87"/>
      <c r="C481" s="18"/>
      <c r="D481" s="18"/>
      <c r="E481" s="18"/>
      <c r="F481" s="18"/>
      <c r="G481" s="18"/>
      <c r="H481" s="18"/>
      <c r="I481" s="59"/>
      <c r="J481" s="59"/>
      <c r="K481" s="59"/>
      <c r="L481" s="87"/>
      <c r="M481" s="87"/>
      <c r="N481" s="100"/>
      <c r="O481" s="100"/>
    </row>
    <row r="482" spans="1:15">
      <c r="A482" s="87"/>
      <c r="B482" s="87"/>
      <c r="C482" s="18"/>
      <c r="D482" s="18"/>
      <c r="E482" s="18"/>
      <c r="F482" s="18"/>
      <c r="G482" s="18"/>
      <c r="H482" s="18"/>
      <c r="I482" s="59"/>
      <c r="J482" s="59"/>
      <c r="K482" s="59"/>
      <c r="L482" s="87"/>
      <c r="M482" s="87"/>
      <c r="N482" s="100"/>
      <c r="O482" s="100"/>
    </row>
    <row r="483" spans="1:15">
      <c r="A483" s="87"/>
      <c r="B483" s="87"/>
      <c r="C483" s="18"/>
      <c r="D483" s="18"/>
      <c r="E483" s="18"/>
      <c r="F483" s="18"/>
      <c r="G483" s="18"/>
      <c r="H483" s="18"/>
      <c r="I483" s="59"/>
      <c r="J483" s="59"/>
      <c r="K483" s="59"/>
      <c r="L483" s="87"/>
      <c r="M483" s="87"/>
      <c r="N483" s="100"/>
      <c r="O483" s="100"/>
    </row>
    <row r="484" spans="1:15">
      <c r="A484" s="87"/>
      <c r="B484" s="87"/>
      <c r="C484" s="18"/>
      <c r="D484" s="18"/>
      <c r="E484" s="18"/>
      <c r="F484" s="18"/>
      <c r="G484" s="18"/>
      <c r="H484" s="18"/>
      <c r="I484" s="59"/>
      <c r="J484" s="59"/>
      <c r="K484" s="59"/>
      <c r="L484" s="87"/>
      <c r="M484" s="87"/>
      <c r="N484" s="100"/>
      <c r="O484" s="100"/>
    </row>
    <row r="485" spans="1:15">
      <c r="A485" s="87"/>
      <c r="B485" s="87"/>
      <c r="C485" s="18"/>
      <c r="D485" s="18"/>
      <c r="E485" s="18"/>
      <c r="F485" s="18"/>
      <c r="G485" s="18"/>
      <c r="H485" s="18"/>
      <c r="I485" s="59"/>
      <c r="J485" s="59"/>
      <c r="K485" s="59"/>
      <c r="L485" s="87"/>
      <c r="M485" s="87"/>
      <c r="N485" s="100"/>
      <c r="O485" s="100"/>
    </row>
    <row r="486" spans="1:15">
      <c r="A486" s="87"/>
      <c r="B486" s="87"/>
      <c r="C486" s="18"/>
      <c r="D486" s="18"/>
      <c r="E486" s="18"/>
      <c r="F486" s="18"/>
      <c r="G486" s="18"/>
      <c r="H486" s="18"/>
      <c r="I486" s="59"/>
      <c r="J486" s="59"/>
      <c r="K486" s="59"/>
      <c r="L486" s="87"/>
      <c r="M486" s="87"/>
      <c r="N486" s="100"/>
      <c r="O486" s="100"/>
    </row>
    <row r="487" spans="1:15">
      <c r="A487" s="87"/>
      <c r="B487" s="87"/>
      <c r="C487" s="18"/>
      <c r="D487" s="18"/>
      <c r="E487" s="18"/>
      <c r="F487" s="18"/>
      <c r="G487" s="18"/>
      <c r="H487" s="18"/>
      <c r="I487" s="59"/>
      <c r="J487" s="59"/>
      <c r="K487" s="59"/>
      <c r="L487" s="87"/>
      <c r="M487" s="87"/>
      <c r="N487" s="100"/>
      <c r="O487" s="100"/>
    </row>
    <row r="488" spans="1:15">
      <c r="A488" s="87"/>
      <c r="B488" s="87"/>
      <c r="C488" s="18"/>
      <c r="D488" s="18"/>
      <c r="E488" s="18"/>
      <c r="F488" s="18"/>
      <c r="G488" s="18"/>
      <c r="H488" s="18"/>
      <c r="I488" s="59"/>
      <c r="J488" s="59"/>
      <c r="K488" s="59"/>
      <c r="L488" s="87"/>
      <c r="M488" s="87"/>
      <c r="N488" s="100"/>
      <c r="O488" s="100"/>
    </row>
    <row r="489" spans="1:15">
      <c r="A489" s="87"/>
      <c r="B489" s="87"/>
      <c r="C489" s="18"/>
      <c r="D489" s="18"/>
      <c r="E489" s="18"/>
      <c r="F489" s="18"/>
      <c r="G489" s="18"/>
      <c r="H489" s="18"/>
      <c r="I489" s="59"/>
      <c r="J489" s="59"/>
      <c r="K489" s="59"/>
      <c r="L489" s="87"/>
      <c r="M489" s="87"/>
      <c r="N489" s="100"/>
      <c r="O489" s="100"/>
    </row>
    <row r="490" spans="1:15">
      <c r="A490" s="87"/>
      <c r="B490" s="87"/>
      <c r="C490" s="18"/>
      <c r="D490" s="18"/>
      <c r="E490" s="18"/>
      <c r="F490" s="18"/>
      <c r="G490" s="18"/>
      <c r="H490" s="18"/>
      <c r="I490" s="59"/>
      <c r="J490" s="59"/>
      <c r="K490" s="59"/>
      <c r="L490" s="87"/>
      <c r="M490" s="87"/>
      <c r="N490" s="100"/>
      <c r="O490" s="100"/>
    </row>
    <row r="491" spans="1:15">
      <c r="A491" s="87"/>
      <c r="B491" s="87"/>
      <c r="C491" s="18"/>
      <c r="D491" s="18"/>
      <c r="E491" s="18"/>
      <c r="F491" s="18"/>
      <c r="G491" s="18"/>
      <c r="H491" s="18"/>
      <c r="I491" s="59"/>
      <c r="J491" s="59"/>
      <c r="K491" s="59"/>
      <c r="L491" s="87"/>
      <c r="M491" s="87"/>
      <c r="N491" s="100"/>
      <c r="O491" s="100"/>
    </row>
    <row r="492" spans="1:15">
      <c r="A492" s="87"/>
      <c r="B492" s="87"/>
      <c r="C492" s="18"/>
      <c r="D492" s="18"/>
      <c r="E492" s="18"/>
      <c r="F492" s="18"/>
      <c r="G492" s="18"/>
      <c r="H492" s="18"/>
      <c r="I492" s="59"/>
      <c r="J492" s="59"/>
      <c r="K492" s="59"/>
      <c r="L492" s="87"/>
      <c r="M492" s="87"/>
      <c r="N492" s="100"/>
      <c r="O492" s="100"/>
    </row>
    <row r="493" spans="1:15">
      <c r="A493" s="87"/>
      <c r="B493" s="87"/>
      <c r="C493" s="18"/>
      <c r="D493" s="18"/>
      <c r="E493" s="18"/>
      <c r="F493" s="18"/>
      <c r="G493" s="18"/>
      <c r="H493" s="18"/>
      <c r="I493" s="59"/>
      <c r="J493" s="59"/>
      <c r="K493" s="59"/>
      <c r="L493" s="87"/>
      <c r="M493" s="87"/>
      <c r="N493" s="100"/>
      <c r="O493" s="100"/>
    </row>
    <row r="494" spans="1:15">
      <c r="A494" s="87"/>
      <c r="B494" s="87"/>
      <c r="C494" s="18"/>
      <c r="D494" s="18"/>
      <c r="E494" s="18"/>
      <c r="F494" s="18"/>
      <c r="G494" s="18"/>
      <c r="H494" s="18"/>
      <c r="I494" s="59"/>
      <c r="J494" s="59"/>
      <c r="K494" s="59"/>
      <c r="L494" s="87"/>
      <c r="M494" s="87"/>
      <c r="N494" s="100"/>
      <c r="O494" s="100"/>
    </row>
    <row r="495" spans="1:15">
      <c r="A495" s="87"/>
      <c r="B495" s="87"/>
      <c r="C495" s="18"/>
      <c r="D495" s="18"/>
      <c r="E495" s="18"/>
      <c r="F495" s="18"/>
      <c r="G495" s="18"/>
      <c r="H495" s="18"/>
      <c r="I495" s="59"/>
      <c r="J495" s="59"/>
      <c r="K495" s="59"/>
      <c r="L495" s="87"/>
      <c r="M495" s="87"/>
      <c r="N495" s="100"/>
      <c r="O495" s="100"/>
    </row>
    <row r="496" spans="1:15">
      <c r="A496" s="87"/>
      <c r="B496" s="87"/>
      <c r="C496" s="18"/>
      <c r="D496" s="18"/>
      <c r="E496" s="18"/>
      <c r="F496" s="18"/>
      <c r="G496" s="18"/>
      <c r="H496" s="18"/>
      <c r="I496" s="59"/>
      <c r="J496" s="59"/>
      <c r="K496" s="59"/>
      <c r="L496" s="87"/>
      <c r="M496" s="87"/>
      <c r="N496" s="100"/>
      <c r="O496" s="100"/>
    </row>
    <row r="497" spans="1:15">
      <c r="A497" s="87"/>
      <c r="B497" s="87"/>
      <c r="C497" s="18"/>
      <c r="D497" s="18"/>
      <c r="E497" s="18"/>
      <c r="F497" s="18"/>
      <c r="G497" s="18"/>
      <c r="H497" s="18"/>
      <c r="I497" s="59"/>
      <c r="J497" s="59"/>
      <c r="K497" s="59"/>
      <c r="L497" s="87"/>
      <c r="M497" s="87"/>
      <c r="N497" s="100"/>
      <c r="O497" s="100"/>
    </row>
    <row r="498" spans="1:15">
      <c r="A498" s="87"/>
      <c r="B498" s="87"/>
      <c r="C498" s="18"/>
      <c r="D498" s="18"/>
      <c r="E498" s="18"/>
      <c r="F498" s="18"/>
      <c r="G498" s="18"/>
      <c r="H498" s="18"/>
      <c r="I498" s="59"/>
      <c r="J498" s="59"/>
      <c r="K498" s="59"/>
      <c r="L498" s="87"/>
      <c r="M498" s="87"/>
      <c r="N498" s="100"/>
      <c r="O498" s="100"/>
    </row>
    <row r="499" spans="1:15">
      <c r="A499" s="87"/>
      <c r="B499" s="87"/>
      <c r="C499" s="18"/>
      <c r="D499" s="18"/>
      <c r="E499" s="18"/>
      <c r="F499" s="18"/>
      <c r="G499" s="18"/>
      <c r="H499" s="18"/>
      <c r="I499" s="59"/>
      <c r="J499" s="59"/>
      <c r="K499" s="59"/>
      <c r="L499" s="87"/>
      <c r="M499" s="87"/>
      <c r="N499" s="100"/>
      <c r="O499" s="100"/>
    </row>
    <row r="500" spans="1:15">
      <c r="A500" s="87"/>
      <c r="B500" s="87"/>
      <c r="C500" s="18"/>
      <c r="D500" s="18"/>
      <c r="E500" s="18"/>
      <c r="F500" s="18"/>
      <c r="G500" s="18"/>
      <c r="H500" s="18"/>
      <c r="I500" s="59"/>
      <c r="J500" s="59"/>
      <c r="K500" s="59"/>
      <c r="L500" s="87"/>
      <c r="M500" s="87"/>
      <c r="N500" s="100"/>
      <c r="O500" s="100"/>
    </row>
    <row r="501" spans="1:15">
      <c r="A501" s="87"/>
      <c r="B501" s="87"/>
      <c r="C501" s="18"/>
      <c r="D501" s="18"/>
      <c r="E501" s="18"/>
      <c r="F501" s="18"/>
      <c r="G501" s="18"/>
      <c r="H501" s="18"/>
      <c r="I501" s="59"/>
      <c r="J501" s="59"/>
      <c r="K501" s="59"/>
      <c r="L501" s="87"/>
      <c r="M501" s="87"/>
      <c r="N501" s="100"/>
      <c r="O501" s="100"/>
    </row>
    <row r="502" spans="1:15">
      <c r="A502" s="87"/>
      <c r="B502" s="87"/>
      <c r="C502" s="18"/>
      <c r="D502" s="18"/>
      <c r="E502" s="18"/>
      <c r="F502" s="18"/>
      <c r="G502" s="18"/>
      <c r="H502" s="18"/>
      <c r="I502" s="59"/>
      <c r="J502" s="59"/>
      <c r="K502" s="59"/>
      <c r="L502" s="87"/>
      <c r="M502" s="87"/>
      <c r="N502" s="100"/>
      <c r="O502" s="100"/>
    </row>
    <row r="503" spans="1:15">
      <c r="A503" s="87"/>
      <c r="B503" s="87"/>
      <c r="C503" s="18"/>
      <c r="D503" s="18"/>
      <c r="E503" s="18"/>
      <c r="F503" s="18"/>
      <c r="G503" s="18"/>
      <c r="H503" s="18"/>
      <c r="I503" s="59"/>
      <c r="J503" s="59"/>
      <c r="K503" s="59"/>
      <c r="L503" s="87"/>
      <c r="M503" s="87"/>
      <c r="N503" s="100"/>
      <c r="O503" s="100"/>
    </row>
    <row r="504" spans="1:15">
      <c r="A504" s="87"/>
      <c r="B504" s="87"/>
      <c r="C504" s="18"/>
      <c r="D504" s="18"/>
      <c r="E504" s="18"/>
      <c r="F504" s="18"/>
      <c r="G504" s="18"/>
      <c r="H504" s="18"/>
      <c r="I504" s="59"/>
      <c r="J504" s="59"/>
      <c r="K504" s="59"/>
      <c r="L504" s="87"/>
      <c r="M504" s="87"/>
      <c r="N504" s="100"/>
      <c r="O504" s="100"/>
    </row>
    <row r="505" spans="1:15">
      <c r="A505" s="87"/>
      <c r="B505" s="87"/>
      <c r="C505" s="18"/>
      <c r="D505" s="18"/>
      <c r="E505" s="18"/>
      <c r="F505" s="18"/>
      <c r="G505" s="18"/>
      <c r="H505" s="18"/>
      <c r="I505" s="59"/>
      <c r="J505" s="59"/>
      <c r="K505" s="59"/>
      <c r="L505" s="87"/>
      <c r="M505" s="87"/>
      <c r="N505" s="100"/>
      <c r="O505" s="100"/>
    </row>
    <row r="506" spans="1:15">
      <c r="A506" s="87"/>
      <c r="B506" s="87"/>
      <c r="C506" s="18"/>
      <c r="D506" s="18"/>
      <c r="E506" s="18"/>
      <c r="F506" s="18"/>
      <c r="G506" s="18"/>
      <c r="H506" s="18"/>
      <c r="I506" s="59"/>
      <c r="J506" s="59"/>
      <c r="K506" s="59"/>
      <c r="L506" s="87"/>
      <c r="M506" s="87"/>
      <c r="N506" s="100"/>
      <c r="O506" s="100"/>
    </row>
    <row r="507" spans="1:15">
      <c r="A507" s="87"/>
      <c r="B507" s="87"/>
      <c r="C507" s="18"/>
      <c r="D507" s="18"/>
      <c r="E507" s="18"/>
      <c r="F507" s="18"/>
      <c r="G507" s="18"/>
      <c r="H507" s="18"/>
      <c r="I507" s="59"/>
      <c r="J507" s="59"/>
      <c r="K507" s="59"/>
      <c r="L507" s="87"/>
      <c r="M507" s="87"/>
      <c r="N507" s="100"/>
      <c r="O507" s="100"/>
    </row>
    <row r="508" spans="1:15">
      <c r="A508" s="87"/>
      <c r="B508" s="87"/>
      <c r="C508" s="18"/>
      <c r="D508" s="18"/>
      <c r="E508" s="18"/>
      <c r="F508" s="18"/>
      <c r="G508" s="18"/>
      <c r="H508" s="18"/>
      <c r="I508" s="59"/>
      <c r="J508" s="59"/>
      <c r="K508" s="59"/>
      <c r="L508" s="87"/>
      <c r="M508" s="87"/>
      <c r="N508" s="100"/>
      <c r="O508" s="100"/>
    </row>
    <row r="509" spans="1:15">
      <c r="A509" s="87"/>
      <c r="B509" s="87"/>
      <c r="C509" s="18"/>
      <c r="D509" s="18"/>
      <c r="E509" s="18"/>
      <c r="F509" s="18"/>
      <c r="G509" s="18"/>
      <c r="H509" s="18"/>
      <c r="I509" s="59"/>
      <c r="J509" s="59"/>
      <c r="K509" s="59"/>
      <c r="L509" s="87"/>
      <c r="M509" s="87"/>
      <c r="N509" s="100"/>
      <c r="O509" s="100"/>
    </row>
    <row r="510" spans="1:15">
      <c r="A510" s="87"/>
      <c r="B510" s="87"/>
      <c r="C510" s="18"/>
      <c r="D510" s="18"/>
      <c r="E510" s="18"/>
      <c r="F510" s="18"/>
      <c r="G510" s="18"/>
      <c r="H510" s="18"/>
      <c r="I510" s="59"/>
      <c r="J510" s="59"/>
      <c r="K510" s="59"/>
      <c r="L510" s="87"/>
      <c r="M510" s="87"/>
      <c r="N510" s="100"/>
      <c r="O510" s="100"/>
    </row>
    <row r="511" spans="1:15">
      <c r="A511" s="87"/>
      <c r="B511" s="87"/>
      <c r="C511" s="18"/>
      <c r="D511" s="18"/>
      <c r="E511" s="18"/>
      <c r="F511" s="18"/>
      <c r="G511" s="18"/>
      <c r="H511" s="18"/>
      <c r="I511" s="59"/>
      <c r="J511" s="59"/>
      <c r="K511" s="59"/>
      <c r="L511" s="87"/>
      <c r="M511" s="87"/>
      <c r="N511" s="100"/>
      <c r="O511" s="100"/>
    </row>
    <row r="512" spans="1:15">
      <c r="A512" s="87"/>
      <c r="B512" s="87"/>
      <c r="C512" s="18"/>
      <c r="D512" s="18"/>
      <c r="E512" s="18"/>
      <c r="F512" s="18"/>
      <c r="G512" s="18"/>
      <c r="H512" s="18"/>
      <c r="I512" s="59"/>
      <c r="J512" s="59"/>
      <c r="K512" s="59"/>
      <c r="L512" s="87"/>
      <c r="M512" s="87"/>
      <c r="N512" s="100"/>
      <c r="O512" s="100"/>
    </row>
    <row r="513" spans="1:15">
      <c r="A513" s="87"/>
      <c r="B513" s="87"/>
      <c r="C513" s="18"/>
      <c r="D513" s="18"/>
      <c r="E513" s="18"/>
      <c r="F513" s="18"/>
      <c r="G513" s="18"/>
      <c r="H513" s="18"/>
      <c r="I513" s="59"/>
      <c r="J513" s="59"/>
      <c r="K513" s="59"/>
      <c r="L513" s="87"/>
      <c r="M513" s="87"/>
      <c r="N513" s="100"/>
      <c r="O513" s="100"/>
    </row>
    <row r="514" spans="1:15">
      <c r="A514" s="87"/>
      <c r="B514" s="87"/>
      <c r="C514" s="18"/>
      <c r="D514" s="18"/>
      <c r="E514" s="18"/>
      <c r="F514" s="18"/>
      <c r="G514" s="18"/>
      <c r="H514" s="18"/>
      <c r="I514" s="59"/>
      <c r="J514" s="59"/>
      <c r="K514" s="59"/>
      <c r="L514" s="87"/>
      <c r="M514" s="87"/>
      <c r="N514" s="100"/>
      <c r="O514" s="100"/>
    </row>
    <row r="515" spans="1:15">
      <c r="A515" s="87"/>
      <c r="B515" s="87"/>
      <c r="C515" s="18"/>
      <c r="D515" s="18"/>
      <c r="E515" s="18"/>
      <c r="F515" s="18"/>
      <c r="G515" s="18"/>
      <c r="H515" s="18"/>
      <c r="I515" s="59"/>
      <c r="J515" s="59"/>
      <c r="K515" s="59"/>
      <c r="L515" s="87"/>
      <c r="M515" s="87"/>
      <c r="N515" s="100"/>
      <c r="O515" s="100"/>
    </row>
    <row r="516" spans="1:15">
      <c r="A516" s="87"/>
      <c r="B516" s="87"/>
      <c r="C516" s="18"/>
      <c r="D516" s="18"/>
      <c r="E516" s="18"/>
      <c r="F516" s="18"/>
      <c r="G516" s="18"/>
      <c r="H516" s="18"/>
      <c r="I516" s="59"/>
      <c r="J516" s="59"/>
      <c r="K516" s="59"/>
      <c r="L516" s="87"/>
      <c r="M516" s="87"/>
      <c r="N516" s="100"/>
      <c r="O516" s="100"/>
    </row>
    <row r="517" spans="1:15">
      <c r="A517" s="87"/>
      <c r="B517" s="87"/>
      <c r="C517" s="18"/>
      <c r="D517" s="18"/>
      <c r="E517" s="18"/>
      <c r="F517" s="18"/>
      <c r="G517" s="18"/>
      <c r="H517" s="18"/>
      <c r="I517" s="59"/>
      <c r="J517" s="59"/>
      <c r="K517" s="59"/>
      <c r="L517" s="87"/>
      <c r="M517" s="87"/>
      <c r="N517" s="100"/>
      <c r="O517" s="100"/>
    </row>
    <row r="518" spans="1:15">
      <c r="A518" s="87"/>
      <c r="B518" s="87"/>
      <c r="C518" s="18"/>
      <c r="D518" s="18"/>
      <c r="E518" s="18"/>
      <c r="F518" s="18"/>
      <c r="G518" s="18"/>
      <c r="H518" s="18"/>
      <c r="I518" s="59"/>
      <c r="J518" s="59"/>
      <c r="K518" s="59"/>
      <c r="L518" s="87"/>
      <c r="M518" s="87"/>
      <c r="N518" s="100"/>
      <c r="O518" s="100"/>
    </row>
    <row r="519" spans="1:15">
      <c r="A519" s="87"/>
      <c r="B519" s="87"/>
      <c r="C519" s="18"/>
      <c r="D519" s="18"/>
      <c r="E519" s="18"/>
      <c r="F519" s="18"/>
      <c r="G519" s="18"/>
      <c r="H519" s="18"/>
      <c r="I519" s="59"/>
      <c r="J519" s="59"/>
      <c r="K519" s="59"/>
      <c r="L519" s="87"/>
      <c r="M519" s="87"/>
      <c r="N519" s="100"/>
      <c r="O519" s="100"/>
    </row>
    <row r="520" spans="1:15">
      <c r="A520" s="87"/>
      <c r="B520" s="87"/>
      <c r="C520" s="18"/>
      <c r="D520" s="18"/>
      <c r="E520" s="18"/>
      <c r="F520" s="18"/>
      <c r="G520" s="18"/>
      <c r="H520" s="18"/>
      <c r="I520" s="59"/>
      <c r="J520" s="59"/>
      <c r="K520" s="59"/>
      <c r="L520" s="87"/>
      <c r="M520" s="87"/>
      <c r="N520" s="100"/>
      <c r="O520" s="100"/>
    </row>
    <row r="521" spans="1:15">
      <c r="A521" s="87"/>
      <c r="B521" s="87"/>
      <c r="C521" s="18"/>
      <c r="D521" s="18"/>
      <c r="E521" s="18"/>
      <c r="F521" s="18"/>
      <c r="G521" s="18"/>
      <c r="H521" s="18"/>
      <c r="I521" s="59"/>
      <c r="J521" s="59"/>
      <c r="K521" s="59"/>
      <c r="L521" s="87"/>
      <c r="M521" s="87"/>
      <c r="N521" s="100"/>
      <c r="O521" s="100"/>
    </row>
    <row r="522" spans="1:15">
      <c r="A522" s="87"/>
      <c r="B522" s="87"/>
      <c r="C522" s="18"/>
      <c r="D522" s="18"/>
      <c r="E522" s="18"/>
      <c r="F522" s="18"/>
      <c r="G522" s="18"/>
      <c r="H522" s="18"/>
      <c r="I522" s="59"/>
      <c r="J522" s="59"/>
      <c r="K522" s="59"/>
      <c r="L522" s="87"/>
      <c r="M522" s="87"/>
      <c r="N522" s="100"/>
      <c r="O522" s="100"/>
    </row>
    <row r="523" spans="1:15">
      <c r="A523" s="87"/>
      <c r="B523" s="87"/>
      <c r="C523" s="18"/>
      <c r="D523" s="18"/>
      <c r="E523" s="18"/>
      <c r="F523" s="18"/>
      <c r="G523" s="18"/>
      <c r="H523" s="18"/>
      <c r="I523" s="59"/>
      <c r="J523" s="59"/>
      <c r="K523" s="59"/>
      <c r="L523" s="87"/>
      <c r="M523" s="87"/>
      <c r="N523" s="100"/>
      <c r="O523" s="100"/>
    </row>
    <row r="524" spans="1:15">
      <c r="A524" s="87"/>
      <c r="B524" s="87"/>
      <c r="C524" s="18"/>
      <c r="D524" s="18"/>
      <c r="E524" s="18"/>
      <c r="F524" s="18"/>
      <c r="G524" s="18"/>
      <c r="H524" s="18"/>
      <c r="I524" s="59"/>
      <c r="J524" s="59"/>
      <c r="K524" s="59"/>
      <c r="L524" s="87"/>
      <c r="M524" s="87"/>
      <c r="N524" s="100"/>
      <c r="O524" s="100"/>
    </row>
    <row r="525" spans="1:15">
      <c r="A525" s="87"/>
      <c r="B525" s="87"/>
      <c r="C525" s="18"/>
      <c r="D525" s="18"/>
      <c r="E525" s="18"/>
      <c r="F525" s="18"/>
      <c r="G525" s="18"/>
      <c r="H525" s="18"/>
      <c r="I525" s="59"/>
      <c r="J525" s="59"/>
      <c r="K525" s="59"/>
      <c r="L525" s="87"/>
      <c r="M525" s="87"/>
      <c r="N525" s="100"/>
      <c r="O525" s="100"/>
    </row>
    <row r="526" spans="1:15">
      <c r="A526" s="87"/>
      <c r="B526" s="87"/>
      <c r="C526" s="18"/>
      <c r="D526" s="18"/>
      <c r="E526" s="18"/>
      <c r="F526" s="18"/>
      <c r="G526" s="18"/>
      <c r="H526" s="18"/>
      <c r="I526" s="59"/>
      <c r="J526" s="59"/>
      <c r="K526" s="59"/>
      <c r="L526" s="87"/>
      <c r="M526" s="87"/>
      <c r="N526" s="100"/>
      <c r="O526" s="100"/>
    </row>
    <row r="527" spans="1:15">
      <c r="A527" s="87"/>
      <c r="B527" s="87"/>
      <c r="C527" s="18"/>
      <c r="D527" s="18"/>
      <c r="E527" s="18"/>
      <c r="F527" s="18"/>
      <c r="G527" s="18"/>
      <c r="H527" s="18"/>
      <c r="I527" s="59"/>
      <c r="J527" s="59"/>
      <c r="K527" s="59"/>
      <c r="L527" s="87"/>
      <c r="M527" s="87"/>
      <c r="N527" s="100"/>
      <c r="O527" s="100"/>
    </row>
    <row r="528" spans="1:15">
      <c r="A528" s="87"/>
      <c r="B528" s="87"/>
      <c r="C528" s="18"/>
      <c r="D528" s="18"/>
      <c r="E528" s="18"/>
      <c r="F528" s="18"/>
      <c r="G528" s="18"/>
      <c r="H528" s="18"/>
      <c r="I528" s="59"/>
      <c r="J528" s="59"/>
      <c r="K528" s="59"/>
      <c r="L528" s="87"/>
      <c r="M528" s="87"/>
      <c r="N528" s="100"/>
      <c r="O528" s="100"/>
    </row>
    <row r="529" spans="1:15">
      <c r="A529" s="87"/>
      <c r="B529" s="87"/>
      <c r="C529" s="18"/>
      <c r="D529" s="18"/>
      <c r="E529" s="18"/>
      <c r="F529" s="18"/>
      <c r="G529" s="18"/>
      <c r="H529" s="18"/>
      <c r="I529" s="59"/>
      <c r="J529" s="59"/>
      <c r="K529" s="59"/>
      <c r="L529" s="87"/>
      <c r="M529" s="87"/>
      <c r="N529" s="100"/>
      <c r="O529" s="100"/>
    </row>
    <row r="530" spans="1:15">
      <c r="A530" s="87"/>
      <c r="B530" s="87"/>
      <c r="C530" s="18"/>
      <c r="D530" s="18"/>
      <c r="E530" s="18"/>
      <c r="F530" s="18"/>
      <c r="G530" s="18"/>
      <c r="H530" s="18"/>
      <c r="I530" s="59"/>
      <c r="J530" s="59"/>
      <c r="K530" s="59"/>
      <c r="L530" s="87"/>
      <c r="M530" s="87"/>
      <c r="N530" s="100"/>
      <c r="O530" s="100"/>
    </row>
    <row r="531" spans="1:15">
      <c r="A531" s="87"/>
      <c r="B531" s="87"/>
      <c r="C531" s="18"/>
      <c r="D531" s="18"/>
      <c r="E531" s="18"/>
      <c r="F531" s="18"/>
      <c r="G531" s="18"/>
      <c r="H531" s="18"/>
      <c r="I531" s="59"/>
      <c r="J531" s="59"/>
      <c r="K531" s="59"/>
      <c r="L531" s="87"/>
      <c r="M531" s="87"/>
      <c r="N531" s="100"/>
      <c r="O531" s="100"/>
    </row>
    <row r="532" spans="1:15">
      <c r="A532" s="87"/>
      <c r="B532" s="87"/>
      <c r="C532" s="18"/>
      <c r="D532" s="18"/>
      <c r="E532" s="18"/>
      <c r="F532" s="18"/>
      <c r="G532" s="18"/>
      <c r="H532" s="18"/>
      <c r="I532" s="59"/>
      <c r="J532" s="59"/>
      <c r="K532" s="59"/>
      <c r="L532" s="87"/>
      <c r="M532" s="87"/>
      <c r="N532" s="100"/>
      <c r="O532" s="100"/>
    </row>
    <row r="533" spans="1:15">
      <c r="A533" s="87"/>
      <c r="B533" s="87"/>
      <c r="C533" s="18"/>
      <c r="D533" s="18"/>
      <c r="E533" s="18"/>
      <c r="F533" s="18"/>
      <c r="G533" s="18"/>
      <c r="H533" s="18"/>
      <c r="I533" s="59"/>
      <c r="J533" s="59"/>
      <c r="K533" s="59"/>
      <c r="L533" s="87"/>
      <c r="M533" s="87"/>
      <c r="N533" s="100"/>
      <c r="O533" s="100"/>
    </row>
    <row r="534" spans="1:15">
      <c r="A534" s="87"/>
      <c r="B534" s="87"/>
      <c r="C534" s="18"/>
      <c r="D534" s="18"/>
      <c r="E534" s="18"/>
      <c r="F534" s="18"/>
      <c r="G534" s="18"/>
      <c r="H534" s="18"/>
      <c r="I534" s="59"/>
      <c r="J534" s="59"/>
      <c r="K534" s="59"/>
      <c r="L534" s="87"/>
      <c r="M534" s="87"/>
      <c r="N534" s="100"/>
      <c r="O534" s="100"/>
    </row>
    <row r="535" spans="1:15">
      <c r="A535" s="87"/>
      <c r="B535" s="87"/>
      <c r="C535" s="18"/>
      <c r="D535" s="18"/>
      <c r="E535" s="18"/>
      <c r="F535" s="18"/>
      <c r="G535" s="18"/>
      <c r="H535" s="18"/>
      <c r="I535" s="59"/>
      <c r="J535" s="59"/>
      <c r="K535" s="59"/>
      <c r="L535" s="87"/>
      <c r="M535" s="87"/>
      <c r="N535" s="100"/>
      <c r="O535" s="100"/>
    </row>
    <row r="536" spans="1:15">
      <c r="A536" s="87"/>
      <c r="B536" s="87"/>
      <c r="C536" s="18"/>
      <c r="D536" s="18"/>
      <c r="E536" s="18"/>
      <c r="F536" s="18"/>
      <c r="G536" s="18"/>
      <c r="H536" s="18"/>
      <c r="I536" s="59"/>
      <c r="J536" s="59"/>
      <c r="K536" s="59"/>
      <c r="L536" s="87"/>
      <c r="M536" s="87"/>
      <c r="N536" s="100"/>
      <c r="O536" s="100"/>
    </row>
    <row r="537" spans="1:15">
      <c r="A537" s="87"/>
      <c r="B537" s="87"/>
      <c r="C537" s="18"/>
      <c r="D537" s="18"/>
      <c r="E537" s="18"/>
      <c r="F537" s="18"/>
      <c r="G537" s="18"/>
      <c r="H537" s="18"/>
      <c r="I537" s="59"/>
      <c r="J537" s="59"/>
      <c r="K537" s="59"/>
      <c r="L537" s="87"/>
      <c r="M537" s="87"/>
      <c r="N537" s="100"/>
      <c r="O537" s="100"/>
    </row>
    <row r="538" spans="1:15">
      <c r="A538" s="87"/>
      <c r="B538" s="87"/>
      <c r="C538" s="18"/>
      <c r="D538" s="18"/>
      <c r="E538" s="18"/>
      <c r="F538" s="18"/>
      <c r="G538" s="18"/>
      <c r="H538" s="18"/>
      <c r="I538" s="59"/>
      <c r="J538" s="59"/>
      <c r="K538" s="59"/>
      <c r="L538" s="87"/>
      <c r="M538" s="87"/>
      <c r="N538" s="100"/>
      <c r="O538" s="100"/>
    </row>
    <row r="539" spans="1:15">
      <c r="A539" s="87"/>
      <c r="B539" s="87"/>
      <c r="C539" s="18"/>
      <c r="D539" s="18"/>
      <c r="E539" s="18"/>
      <c r="F539" s="18"/>
      <c r="G539" s="18"/>
      <c r="H539" s="18"/>
      <c r="I539" s="59"/>
      <c r="J539" s="59"/>
      <c r="K539" s="59"/>
      <c r="L539" s="87"/>
      <c r="M539" s="87"/>
      <c r="N539" s="100"/>
      <c r="O539" s="100"/>
    </row>
    <row r="540" spans="1:15">
      <c r="A540" s="87"/>
      <c r="B540" s="87"/>
      <c r="C540" s="18"/>
      <c r="D540" s="18"/>
      <c r="E540" s="18"/>
      <c r="F540" s="18"/>
      <c r="G540" s="18"/>
      <c r="H540" s="18"/>
      <c r="I540" s="59"/>
      <c r="J540" s="59"/>
      <c r="K540" s="59"/>
      <c r="L540" s="87"/>
      <c r="M540" s="87"/>
      <c r="N540" s="100"/>
      <c r="O540" s="100"/>
    </row>
    <row r="541" spans="1:15">
      <c r="A541" s="87"/>
      <c r="B541" s="87"/>
      <c r="C541" s="18"/>
      <c r="D541" s="18"/>
      <c r="E541" s="18"/>
      <c r="F541" s="18"/>
      <c r="G541" s="18"/>
      <c r="H541" s="18"/>
      <c r="I541" s="59"/>
      <c r="J541" s="59"/>
      <c r="K541" s="59"/>
      <c r="L541" s="87"/>
      <c r="M541" s="87"/>
      <c r="N541" s="100"/>
      <c r="O541" s="100"/>
    </row>
    <row r="542" spans="1:15">
      <c r="A542" s="87"/>
      <c r="B542" s="87"/>
      <c r="C542" s="18"/>
      <c r="D542" s="18"/>
      <c r="E542" s="18"/>
      <c r="F542" s="18"/>
      <c r="G542" s="18"/>
      <c r="H542" s="18"/>
      <c r="I542" s="59"/>
      <c r="J542" s="59"/>
      <c r="K542" s="59"/>
      <c r="L542" s="87"/>
      <c r="M542" s="87"/>
      <c r="N542" s="100"/>
      <c r="O542" s="100"/>
    </row>
    <row r="543" spans="1:15">
      <c r="A543" s="87"/>
      <c r="B543" s="87"/>
      <c r="C543" s="18"/>
      <c r="D543" s="18"/>
      <c r="E543" s="18"/>
      <c r="F543" s="18"/>
      <c r="G543" s="18"/>
      <c r="H543" s="18"/>
      <c r="I543" s="59"/>
      <c r="J543" s="59"/>
      <c r="K543" s="59"/>
      <c r="L543" s="87"/>
      <c r="M543" s="87"/>
      <c r="N543" s="100"/>
      <c r="O543" s="100"/>
    </row>
    <row r="544" spans="1:15">
      <c r="A544" s="87"/>
      <c r="B544" s="87"/>
      <c r="C544" s="18"/>
      <c r="D544" s="18"/>
      <c r="E544" s="18"/>
      <c r="F544" s="18"/>
      <c r="G544" s="18"/>
      <c r="H544" s="18"/>
      <c r="I544" s="59"/>
      <c r="J544" s="59"/>
      <c r="K544" s="59"/>
      <c r="L544" s="87"/>
      <c r="M544" s="87"/>
      <c r="N544" s="100"/>
      <c r="O544" s="100"/>
    </row>
    <row r="545" spans="1:15">
      <c r="A545" s="87"/>
      <c r="B545" s="87"/>
      <c r="C545" s="18"/>
      <c r="D545" s="18"/>
      <c r="E545" s="18"/>
      <c r="F545" s="18"/>
      <c r="G545" s="18"/>
      <c r="H545" s="18"/>
      <c r="I545" s="59"/>
      <c r="J545" s="59"/>
      <c r="K545" s="59"/>
      <c r="L545" s="87"/>
      <c r="M545" s="87"/>
      <c r="N545" s="100"/>
      <c r="O545" s="100"/>
    </row>
    <row r="546" spans="1:15">
      <c r="A546" s="87"/>
      <c r="B546" s="87"/>
      <c r="C546" s="18"/>
      <c r="D546" s="18"/>
      <c r="E546" s="18"/>
      <c r="F546" s="18"/>
      <c r="G546" s="18"/>
      <c r="H546" s="18"/>
      <c r="I546" s="59"/>
      <c r="J546" s="59"/>
      <c r="K546" s="59"/>
      <c r="L546" s="87"/>
      <c r="M546" s="87"/>
      <c r="N546" s="100"/>
      <c r="O546" s="100"/>
    </row>
    <row r="547" spans="1:15">
      <c r="A547" s="87"/>
      <c r="B547" s="87"/>
      <c r="C547" s="18"/>
      <c r="D547" s="18"/>
      <c r="E547" s="18"/>
      <c r="F547" s="18"/>
      <c r="G547" s="18"/>
      <c r="H547" s="18"/>
      <c r="I547" s="59"/>
      <c r="J547" s="59"/>
      <c r="K547" s="59"/>
      <c r="L547" s="87"/>
      <c r="M547" s="87"/>
      <c r="N547" s="100"/>
      <c r="O547" s="100"/>
    </row>
    <row r="548" spans="1:15">
      <c r="A548" s="87"/>
      <c r="B548" s="87"/>
      <c r="C548" s="18"/>
      <c r="D548" s="18"/>
      <c r="E548" s="18"/>
      <c r="F548" s="18"/>
      <c r="G548" s="18"/>
      <c r="H548" s="18"/>
      <c r="I548" s="59"/>
      <c r="J548" s="59"/>
      <c r="K548" s="59"/>
      <c r="L548" s="87"/>
      <c r="M548" s="87"/>
      <c r="N548" s="100"/>
      <c r="O548" s="100"/>
    </row>
    <row r="549" spans="1:15">
      <c r="A549" s="87"/>
      <c r="B549" s="87"/>
      <c r="C549" s="18"/>
      <c r="D549" s="18"/>
      <c r="E549" s="18"/>
      <c r="F549" s="18"/>
      <c r="G549" s="18"/>
      <c r="H549" s="18"/>
      <c r="I549" s="59"/>
      <c r="J549" s="59"/>
      <c r="K549" s="59"/>
      <c r="L549" s="87"/>
      <c r="M549" s="87"/>
      <c r="N549" s="100"/>
      <c r="O549" s="100"/>
    </row>
    <row r="550" spans="1:15">
      <c r="A550" s="87"/>
      <c r="B550" s="87"/>
      <c r="C550" s="18"/>
      <c r="D550" s="18"/>
      <c r="E550" s="18"/>
      <c r="F550" s="18"/>
      <c r="G550" s="18"/>
      <c r="H550" s="18"/>
      <c r="I550" s="59"/>
      <c r="J550" s="59"/>
      <c r="K550" s="59"/>
      <c r="L550" s="87"/>
      <c r="M550" s="87"/>
      <c r="N550" s="100"/>
      <c r="O550" s="100"/>
    </row>
    <row r="551" spans="1:15">
      <c r="A551" s="87"/>
      <c r="B551" s="87"/>
      <c r="C551" s="18"/>
      <c r="D551" s="18"/>
      <c r="E551" s="18"/>
      <c r="F551" s="18"/>
      <c r="G551" s="18"/>
      <c r="H551" s="18"/>
      <c r="I551" s="59"/>
      <c r="J551" s="59"/>
      <c r="K551" s="59"/>
      <c r="L551" s="87"/>
      <c r="M551" s="87"/>
      <c r="N551" s="100"/>
      <c r="O551" s="100"/>
    </row>
    <row r="552" spans="1:15">
      <c r="A552" s="87"/>
      <c r="B552" s="87"/>
      <c r="C552" s="18"/>
      <c r="D552" s="18"/>
      <c r="E552" s="18"/>
      <c r="F552" s="18"/>
      <c r="G552" s="18"/>
      <c r="H552" s="18"/>
      <c r="I552" s="59"/>
      <c r="J552" s="59"/>
      <c r="K552" s="59"/>
      <c r="L552" s="87"/>
      <c r="M552" s="87"/>
      <c r="N552" s="100"/>
      <c r="O552" s="100"/>
    </row>
    <row r="553" spans="1:15">
      <c r="A553" s="87"/>
      <c r="B553" s="87"/>
      <c r="C553" s="18"/>
      <c r="D553" s="18"/>
      <c r="E553" s="18"/>
      <c r="F553" s="18"/>
      <c r="G553" s="18"/>
      <c r="H553" s="18"/>
      <c r="I553" s="59"/>
      <c r="J553" s="59"/>
      <c r="K553" s="59"/>
      <c r="L553" s="87"/>
      <c r="M553" s="87"/>
      <c r="N553" s="100"/>
      <c r="O553" s="100"/>
    </row>
    <row r="554" spans="1:15">
      <c r="A554" s="87"/>
      <c r="B554" s="87"/>
      <c r="C554" s="18"/>
      <c r="D554" s="18"/>
      <c r="E554" s="18"/>
      <c r="F554" s="18"/>
      <c r="G554" s="18"/>
      <c r="H554" s="18"/>
      <c r="I554" s="59"/>
      <c r="J554" s="59"/>
      <c r="K554" s="59"/>
      <c r="L554" s="87"/>
      <c r="M554" s="87"/>
      <c r="N554" s="100"/>
      <c r="O554" s="100"/>
    </row>
    <row r="555" spans="1:15">
      <c r="A555" s="87"/>
      <c r="B555" s="87"/>
      <c r="C555" s="18"/>
      <c r="D555" s="18"/>
      <c r="E555" s="18"/>
      <c r="F555" s="18"/>
      <c r="G555" s="18"/>
      <c r="H555" s="18"/>
      <c r="I555" s="59"/>
      <c r="J555" s="59"/>
      <c r="K555" s="59"/>
      <c r="L555" s="87"/>
      <c r="M555" s="87"/>
      <c r="N555" s="100"/>
      <c r="O555" s="100"/>
    </row>
    <row r="556" spans="1:15">
      <c r="A556" s="87"/>
      <c r="B556" s="87"/>
      <c r="C556" s="18"/>
      <c r="D556" s="18"/>
      <c r="E556" s="18"/>
      <c r="F556" s="18"/>
      <c r="G556" s="18"/>
      <c r="H556" s="18"/>
      <c r="I556" s="59"/>
      <c r="J556" s="59"/>
      <c r="K556" s="59"/>
      <c r="L556" s="87"/>
      <c r="M556" s="87"/>
      <c r="N556" s="100"/>
      <c r="O556" s="100"/>
    </row>
    <row r="557" spans="1:15">
      <c r="A557" s="87"/>
      <c r="B557" s="87"/>
      <c r="C557" s="18"/>
      <c r="D557" s="18"/>
      <c r="E557" s="18"/>
      <c r="F557" s="18"/>
      <c r="G557" s="18"/>
      <c r="H557" s="18"/>
      <c r="I557" s="59"/>
      <c r="J557" s="59"/>
      <c r="K557" s="59"/>
      <c r="L557" s="87"/>
      <c r="M557" s="87"/>
      <c r="N557" s="100"/>
      <c r="O557" s="100"/>
    </row>
    <row r="558" spans="1:15">
      <c r="A558" s="87"/>
      <c r="B558" s="87"/>
      <c r="C558" s="18"/>
      <c r="D558" s="18"/>
      <c r="E558" s="18"/>
      <c r="F558" s="18"/>
      <c r="G558" s="18"/>
      <c r="H558" s="18"/>
      <c r="I558" s="59"/>
      <c r="J558" s="59"/>
      <c r="K558" s="59"/>
      <c r="L558" s="87"/>
      <c r="M558" s="87"/>
      <c r="N558" s="100"/>
      <c r="O558" s="100"/>
    </row>
    <row r="559" spans="1:15">
      <c r="A559" s="87"/>
      <c r="B559" s="87"/>
      <c r="C559" s="18"/>
      <c r="D559" s="18"/>
      <c r="E559" s="18"/>
      <c r="F559" s="18"/>
      <c r="G559" s="18"/>
      <c r="H559" s="18"/>
      <c r="I559" s="59"/>
      <c r="J559" s="59"/>
      <c r="K559" s="59"/>
      <c r="L559" s="87"/>
      <c r="M559" s="87"/>
      <c r="N559" s="100"/>
      <c r="O559" s="100"/>
    </row>
    <row r="560" spans="1:15">
      <c r="A560" s="87"/>
      <c r="B560" s="87"/>
      <c r="C560" s="18"/>
      <c r="D560" s="18"/>
      <c r="E560" s="18"/>
      <c r="F560" s="18"/>
      <c r="G560" s="18"/>
      <c r="H560" s="18"/>
      <c r="I560" s="59"/>
      <c r="J560" s="59"/>
      <c r="K560" s="59"/>
      <c r="L560" s="87"/>
      <c r="M560" s="87"/>
      <c r="N560" s="100"/>
      <c r="O560" s="100"/>
    </row>
    <row r="561" spans="1:15">
      <c r="A561" s="87"/>
      <c r="B561" s="87"/>
      <c r="C561" s="18"/>
      <c r="D561" s="18"/>
      <c r="E561" s="18"/>
      <c r="F561" s="18"/>
      <c r="G561" s="18"/>
      <c r="H561" s="18"/>
      <c r="I561" s="59"/>
      <c r="J561" s="59"/>
      <c r="K561" s="59"/>
      <c r="L561" s="87"/>
      <c r="M561" s="87"/>
      <c r="N561" s="100"/>
      <c r="O561" s="100"/>
    </row>
    <row r="562" spans="1:15">
      <c r="A562" s="87"/>
      <c r="B562" s="87"/>
      <c r="C562" s="18"/>
      <c r="D562" s="18"/>
      <c r="E562" s="18"/>
      <c r="F562" s="18"/>
      <c r="G562" s="18"/>
      <c r="H562" s="18"/>
      <c r="I562" s="59"/>
      <c r="J562" s="59"/>
      <c r="K562" s="59"/>
      <c r="L562" s="87"/>
      <c r="M562" s="87"/>
      <c r="N562" s="100"/>
      <c r="O562" s="100"/>
    </row>
    <row r="563" spans="1:15">
      <c r="A563" s="87"/>
      <c r="B563" s="87"/>
      <c r="C563" s="18"/>
      <c r="D563" s="18"/>
      <c r="E563" s="18"/>
      <c r="F563" s="18"/>
      <c r="G563" s="18"/>
      <c r="H563" s="18"/>
      <c r="I563" s="59"/>
      <c r="J563" s="59"/>
      <c r="K563" s="59"/>
      <c r="L563" s="87"/>
      <c r="M563" s="87"/>
      <c r="N563" s="100"/>
      <c r="O563" s="100"/>
    </row>
    <row r="564" spans="1:15">
      <c r="A564" s="87"/>
      <c r="B564" s="87"/>
      <c r="C564" s="18"/>
      <c r="D564" s="18"/>
      <c r="E564" s="18"/>
      <c r="F564" s="18"/>
      <c r="G564" s="18"/>
      <c r="H564" s="18"/>
      <c r="I564" s="59"/>
      <c r="J564" s="59"/>
      <c r="K564" s="59"/>
      <c r="L564" s="87"/>
      <c r="M564" s="87"/>
      <c r="N564" s="100"/>
      <c r="O564" s="100"/>
    </row>
    <row r="565" spans="1:15">
      <c r="A565" s="87"/>
      <c r="B565" s="87"/>
      <c r="C565" s="18"/>
      <c r="D565" s="18"/>
      <c r="E565" s="18"/>
      <c r="F565" s="18"/>
      <c r="G565" s="18"/>
      <c r="H565" s="18"/>
      <c r="I565" s="59"/>
      <c r="J565" s="59"/>
      <c r="K565" s="59"/>
      <c r="L565" s="87"/>
      <c r="M565" s="87"/>
      <c r="N565" s="100"/>
      <c r="O565" s="100"/>
    </row>
    <row r="566" spans="1:15">
      <c r="A566" s="87"/>
      <c r="B566" s="87"/>
      <c r="C566" s="18"/>
      <c r="D566" s="18"/>
      <c r="E566" s="18"/>
      <c r="F566" s="18"/>
      <c r="G566" s="18"/>
      <c r="H566" s="18"/>
      <c r="I566" s="59"/>
      <c r="J566" s="59"/>
      <c r="K566" s="59"/>
      <c r="L566" s="87"/>
      <c r="M566" s="87"/>
      <c r="N566" s="100"/>
      <c r="O566" s="100"/>
    </row>
    <row r="567" spans="1:15">
      <c r="A567" s="87"/>
      <c r="B567" s="87"/>
      <c r="C567" s="18"/>
      <c r="D567" s="18"/>
      <c r="E567" s="18"/>
      <c r="F567" s="18"/>
      <c r="G567" s="18"/>
      <c r="H567" s="18"/>
      <c r="I567" s="59"/>
      <c r="J567" s="59"/>
      <c r="K567" s="59"/>
      <c r="L567" s="87"/>
      <c r="M567" s="87"/>
      <c r="N567" s="100"/>
      <c r="O567" s="100"/>
    </row>
    <row r="568" spans="1:15">
      <c r="A568" s="87"/>
      <c r="B568" s="87"/>
      <c r="C568" s="18"/>
      <c r="D568" s="18"/>
      <c r="E568" s="18"/>
      <c r="F568" s="18"/>
      <c r="G568" s="18"/>
      <c r="H568" s="18"/>
      <c r="I568" s="59"/>
      <c r="J568" s="59"/>
      <c r="K568" s="59"/>
      <c r="L568" s="87"/>
      <c r="M568" s="87"/>
      <c r="N568" s="100"/>
      <c r="O568" s="100"/>
    </row>
    <row r="569" spans="1:15">
      <c r="A569" s="87"/>
      <c r="B569" s="87"/>
      <c r="C569" s="18"/>
      <c r="D569" s="18"/>
      <c r="E569" s="18"/>
      <c r="F569" s="18"/>
      <c r="G569" s="18"/>
      <c r="H569" s="18"/>
      <c r="I569" s="59"/>
      <c r="J569" s="59"/>
      <c r="K569" s="59"/>
      <c r="L569" s="87"/>
      <c r="M569" s="87"/>
      <c r="N569" s="100"/>
      <c r="O569" s="100"/>
    </row>
    <row r="570" spans="1:15">
      <c r="A570" s="87"/>
      <c r="B570" s="87"/>
      <c r="C570" s="18"/>
      <c r="D570" s="18"/>
      <c r="E570" s="18"/>
      <c r="F570" s="18"/>
      <c r="G570" s="18"/>
      <c r="H570" s="18"/>
      <c r="I570" s="59"/>
      <c r="J570" s="59"/>
      <c r="K570" s="59"/>
      <c r="L570" s="87"/>
      <c r="M570" s="87"/>
      <c r="N570" s="100"/>
      <c r="O570" s="100"/>
    </row>
    <row r="571" spans="1:15">
      <c r="A571" s="87"/>
      <c r="B571" s="87"/>
      <c r="C571" s="18"/>
      <c r="D571" s="18"/>
      <c r="E571" s="18"/>
      <c r="F571" s="18"/>
      <c r="G571" s="18"/>
      <c r="H571" s="18"/>
      <c r="I571" s="59"/>
      <c r="J571" s="59"/>
      <c r="K571" s="59"/>
      <c r="L571" s="87"/>
      <c r="M571" s="87"/>
      <c r="N571" s="100"/>
      <c r="O571" s="100"/>
    </row>
    <row r="572" spans="1:15">
      <c r="A572" s="87"/>
      <c r="B572" s="87"/>
      <c r="C572" s="18"/>
      <c r="D572" s="18"/>
      <c r="E572" s="18"/>
      <c r="F572" s="18"/>
      <c r="G572" s="18"/>
      <c r="H572" s="18"/>
      <c r="I572" s="59"/>
      <c r="J572" s="59"/>
      <c r="K572" s="59"/>
      <c r="L572" s="87"/>
      <c r="M572" s="87"/>
      <c r="N572" s="100"/>
      <c r="O572" s="100"/>
    </row>
    <row r="573" spans="1:15">
      <c r="A573" s="87"/>
      <c r="B573" s="87"/>
      <c r="C573" s="18"/>
      <c r="D573" s="18"/>
      <c r="E573" s="18"/>
      <c r="F573" s="18"/>
      <c r="G573" s="18"/>
      <c r="H573" s="18"/>
      <c r="I573" s="59"/>
      <c r="J573" s="59"/>
      <c r="K573" s="59"/>
      <c r="L573" s="87"/>
      <c r="M573" s="87"/>
      <c r="N573" s="100"/>
      <c r="O573" s="100"/>
    </row>
    <row r="574" spans="1:15">
      <c r="A574" s="87"/>
      <c r="B574" s="87"/>
      <c r="C574" s="18"/>
      <c r="D574" s="18"/>
      <c r="E574" s="18"/>
      <c r="F574" s="18"/>
      <c r="G574" s="18"/>
      <c r="H574" s="18"/>
      <c r="I574" s="59"/>
      <c r="J574" s="59"/>
      <c r="K574" s="59"/>
      <c r="L574" s="87"/>
      <c r="M574" s="87"/>
      <c r="N574" s="100"/>
      <c r="O574" s="100"/>
    </row>
    <row r="575" spans="1:15">
      <c r="A575" s="87"/>
      <c r="B575" s="87"/>
      <c r="C575" s="18"/>
      <c r="D575" s="18"/>
      <c r="E575" s="18"/>
      <c r="F575" s="18"/>
      <c r="G575" s="18"/>
      <c r="H575" s="18"/>
      <c r="I575" s="59"/>
      <c r="J575" s="59"/>
      <c r="K575" s="59"/>
      <c r="L575" s="87"/>
      <c r="M575" s="87"/>
      <c r="N575" s="100"/>
      <c r="O575" s="100"/>
    </row>
    <row r="576" spans="1:15">
      <c r="A576" s="87"/>
      <c r="B576" s="87"/>
      <c r="C576" s="18"/>
      <c r="D576" s="18"/>
      <c r="E576" s="18"/>
      <c r="F576" s="18"/>
      <c r="G576" s="18"/>
      <c r="H576" s="18"/>
      <c r="I576" s="59"/>
      <c r="J576" s="59"/>
      <c r="K576" s="59"/>
      <c r="L576" s="87"/>
      <c r="M576" s="87"/>
      <c r="N576" s="100"/>
      <c r="O576" s="100"/>
    </row>
    <row r="577" spans="1:15">
      <c r="A577" s="87"/>
      <c r="B577" s="87"/>
      <c r="C577" s="18"/>
      <c r="D577" s="18"/>
      <c r="E577" s="18"/>
      <c r="F577" s="18"/>
      <c r="G577" s="18"/>
      <c r="H577" s="18"/>
      <c r="I577" s="59"/>
      <c r="J577" s="59"/>
      <c r="K577" s="59"/>
      <c r="L577" s="87"/>
      <c r="M577" s="87"/>
      <c r="N577" s="100"/>
      <c r="O577" s="100"/>
    </row>
    <row r="578" spans="1:15">
      <c r="A578" s="87"/>
      <c r="B578" s="87"/>
      <c r="C578" s="18"/>
      <c r="D578" s="18"/>
      <c r="E578" s="18"/>
      <c r="F578" s="18"/>
      <c r="G578" s="18"/>
      <c r="H578" s="18"/>
      <c r="I578" s="59"/>
      <c r="J578" s="59"/>
      <c r="K578" s="59"/>
      <c r="L578" s="87"/>
      <c r="M578" s="87"/>
      <c r="N578" s="100"/>
      <c r="O578" s="100"/>
    </row>
    <row r="579" spans="1:15">
      <c r="A579" s="87"/>
      <c r="B579" s="87"/>
      <c r="C579" s="18"/>
      <c r="D579" s="18"/>
      <c r="E579" s="18"/>
      <c r="F579" s="18"/>
      <c r="G579" s="18"/>
      <c r="H579" s="18"/>
      <c r="I579" s="59"/>
      <c r="J579" s="59"/>
      <c r="K579" s="59"/>
      <c r="L579" s="87"/>
      <c r="M579" s="87"/>
      <c r="N579" s="100"/>
      <c r="O579" s="100"/>
    </row>
    <row r="580" spans="1:15">
      <c r="A580" s="87"/>
      <c r="B580" s="87"/>
      <c r="C580" s="18"/>
      <c r="D580" s="18"/>
      <c r="E580" s="18"/>
      <c r="F580" s="18"/>
      <c r="G580" s="18"/>
      <c r="H580" s="18"/>
      <c r="I580" s="59"/>
      <c r="J580" s="59"/>
      <c r="K580" s="59"/>
      <c r="L580" s="87"/>
      <c r="M580" s="87"/>
      <c r="N580" s="100"/>
      <c r="O580" s="100"/>
    </row>
    <row r="581" spans="1:15">
      <c r="A581" s="87"/>
      <c r="B581" s="87"/>
      <c r="C581" s="18"/>
      <c r="D581" s="18"/>
      <c r="E581" s="18"/>
      <c r="F581" s="18"/>
      <c r="G581" s="18"/>
      <c r="H581" s="18"/>
      <c r="I581" s="59"/>
      <c r="J581" s="59"/>
      <c r="K581" s="59"/>
      <c r="L581" s="87"/>
      <c r="M581" s="87"/>
      <c r="N581" s="100"/>
      <c r="O581" s="100"/>
    </row>
    <row r="582" spans="1:15">
      <c r="A582" s="87"/>
      <c r="B582" s="87"/>
      <c r="C582" s="18"/>
      <c r="D582" s="18"/>
      <c r="E582" s="18"/>
      <c r="F582" s="18"/>
      <c r="G582" s="18"/>
      <c r="H582" s="18"/>
      <c r="I582" s="59"/>
      <c r="J582" s="59"/>
      <c r="K582" s="59"/>
      <c r="L582" s="87"/>
      <c r="M582" s="87"/>
      <c r="N582" s="100"/>
      <c r="O582" s="100"/>
    </row>
    <row r="583" spans="1:15">
      <c r="A583" s="87"/>
      <c r="B583" s="87"/>
      <c r="C583" s="18"/>
      <c r="D583" s="18"/>
      <c r="E583" s="18"/>
      <c r="F583" s="18"/>
      <c r="G583" s="18"/>
      <c r="H583" s="18"/>
      <c r="I583" s="59"/>
      <c r="J583" s="59"/>
      <c r="K583" s="59"/>
      <c r="L583" s="87"/>
      <c r="M583" s="87"/>
      <c r="N583" s="100"/>
      <c r="O583" s="100"/>
    </row>
    <row r="584" spans="1:15">
      <c r="A584" s="87"/>
      <c r="B584" s="87"/>
      <c r="C584" s="18"/>
      <c r="D584" s="18"/>
      <c r="E584" s="18"/>
      <c r="F584" s="18"/>
      <c r="G584" s="18"/>
      <c r="H584" s="18"/>
      <c r="I584" s="59"/>
      <c r="J584" s="59"/>
      <c r="K584" s="59"/>
      <c r="L584" s="87"/>
      <c r="M584" s="87"/>
      <c r="N584" s="100"/>
      <c r="O584" s="100"/>
    </row>
    <row r="585" spans="1:15">
      <c r="A585" s="87"/>
      <c r="B585" s="87"/>
      <c r="C585" s="18"/>
      <c r="D585" s="18"/>
      <c r="E585" s="18"/>
      <c r="F585" s="18"/>
      <c r="G585" s="18"/>
      <c r="H585" s="18"/>
      <c r="I585" s="59"/>
      <c r="J585" s="59"/>
      <c r="K585" s="59"/>
      <c r="L585" s="87"/>
      <c r="M585" s="87"/>
      <c r="N585" s="100"/>
      <c r="O585" s="100"/>
    </row>
    <row r="586" spans="1:15">
      <c r="A586" s="87"/>
      <c r="B586" s="87"/>
      <c r="C586" s="18"/>
      <c r="D586" s="18"/>
      <c r="E586" s="18"/>
      <c r="F586" s="18"/>
      <c r="G586" s="18"/>
      <c r="H586" s="18"/>
      <c r="I586" s="59"/>
      <c r="J586" s="59"/>
      <c r="K586" s="59"/>
      <c r="L586" s="87"/>
      <c r="M586" s="87"/>
      <c r="N586" s="100"/>
      <c r="O586" s="100"/>
    </row>
    <row r="587" spans="1:15">
      <c r="A587" s="87"/>
      <c r="B587" s="87"/>
      <c r="C587" s="18"/>
      <c r="D587" s="18"/>
      <c r="E587" s="18"/>
      <c r="F587" s="18"/>
      <c r="G587" s="18"/>
      <c r="H587" s="18"/>
      <c r="I587" s="59"/>
      <c r="J587" s="59"/>
      <c r="K587" s="59"/>
      <c r="L587" s="87"/>
      <c r="M587" s="87"/>
      <c r="N587" s="100"/>
      <c r="O587" s="100"/>
    </row>
    <row r="588" spans="1:15">
      <c r="A588" s="87"/>
      <c r="B588" s="87"/>
      <c r="C588" s="18"/>
      <c r="D588" s="18"/>
      <c r="E588" s="18"/>
      <c r="F588" s="18"/>
      <c r="G588" s="18"/>
      <c r="H588" s="18"/>
      <c r="I588" s="59"/>
      <c r="J588" s="59"/>
      <c r="K588" s="59"/>
      <c r="L588" s="87"/>
      <c r="M588" s="87"/>
      <c r="N588" s="100"/>
      <c r="O588" s="100"/>
    </row>
    <row r="589" spans="1:15">
      <c r="A589" s="87"/>
      <c r="B589" s="87"/>
      <c r="C589" s="18"/>
      <c r="D589" s="18"/>
      <c r="E589" s="18"/>
      <c r="F589" s="18"/>
      <c r="G589" s="18"/>
      <c r="H589" s="18"/>
      <c r="I589" s="59"/>
      <c r="J589" s="59"/>
      <c r="K589" s="59"/>
      <c r="L589" s="87"/>
      <c r="M589" s="87"/>
      <c r="N589" s="100"/>
      <c r="O589" s="100"/>
    </row>
    <row r="590" spans="1:15">
      <c r="A590" s="87"/>
      <c r="B590" s="87"/>
      <c r="C590" s="18"/>
      <c r="D590" s="18"/>
      <c r="E590" s="18"/>
      <c r="F590" s="18"/>
      <c r="G590" s="18"/>
      <c r="H590" s="18"/>
      <c r="I590" s="59"/>
      <c r="J590" s="59"/>
      <c r="K590" s="59"/>
      <c r="L590" s="87"/>
      <c r="M590" s="87"/>
      <c r="N590" s="100"/>
      <c r="O590" s="100"/>
    </row>
    <row r="591" spans="1:15">
      <c r="A591" s="87"/>
      <c r="B591" s="87"/>
      <c r="C591" s="18"/>
      <c r="D591" s="18"/>
      <c r="E591" s="18"/>
      <c r="F591" s="18"/>
      <c r="G591" s="18"/>
      <c r="H591" s="18"/>
      <c r="I591" s="59"/>
      <c r="J591" s="59"/>
      <c r="K591" s="59"/>
      <c r="L591" s="87"/>
      <c r="M591" s="87"/>
      <c r="N591" s="100"/>
      <c r="O591" s="100"/>
    </row>
    <row r="592" spans="1:15">
      <c r="A592" s="87"/>
      <c r="B592" s="87"/>
      <c r="C592" s="18"/>
      <c r="D592" s="18"/>
      <c r="E592" s="18"/>
      <c r="F592" s="18"/>
      <c r="G592" s="18"/>
      <c r="H592" s="18"/>
      <c r="I592" s="59"/>
      <c r="J592" s="59"/>
      <c r="K592" s="59"/>
      <c r="L592" s="87"/>
      <c r="M592" s="87"/>
      <c r="N592" s="100"/>
      <c r="O592" s="100"/>
    </row>
    <row r="593" spans="1:15">
      <c r="A593" s="87"/>
      <c r="B593" s="87"/>
      <c r="C593" s="18"/>
      <c r="D593" s="18"/>
      <c r="E593" s="18"/>
      <c r="F593" s="18"/>
      <c r="G593" s="18"/>
      <c r="H593" s="18"/>
      <c r="I593" s="59"/>
      <c r="J593" s="59"/>
      <c r="K593" s="59"/>
      <c r="L593" s="87"/>
      <c r="M593" s="87"/>
      <c r="N593" s="100"/>
      <c r="O593" s="100"/>
    </row>
    <row r="594" spans="1:15">
      <c r="A594" s="87"/>
      <c r="B594" s="87"/>
      <c r="C594" s="18"/>
      <c r="D594" s="18"/>
      <c r="E594" s="18"/>
      <c r="F594" s="87"/>
      <c r="G594" s="87"/>
      <c r="H594" s="87"/>
      <c r="I594" s="59"/>
      <c r="J594" s="59"/>
      <c r="K594" s="59"/>
      <c r="L594" s="87"/>
      <c r="M594" s="87"/>
      <c r="N594" s="100"/>
      <c r="O594" s="100"/>
    </row>
    <row r="595" spans="1:15">
      <c r="A595" s="87"/>
      <c r="B595" s="87"/>
      <c r="C595" s="18"/>
      <c r="D595" s="18"/>
      <c r="E595" s="18"/>
      <c r="F595" s="87"/>
      <c r="G595" s="87"/>
      <c r="H595" s="87"/>
      <c r="I595" s="59"/>
      <c r="J595" s="59"/>
      <c r="K595" s="59"/>
      <c r="L595" s="87"/>
      <c r="M595" s="87"/>
      <c r="N595" s="100"/>
      <c r="O595" s="100"/>
    </row>
    <row r="596" spans="1:15">
      <c r="A596" s="87"/>
      <c r="B596" s="87"/>
      <c r="C596" s="18"/>
      <c r="D596" s="18"/>
      <c r="E596" s="18"/>
      <c r="F596" s="87"/>
      <c r="G596" s="87"/>
      <c r="H596" s="87"/>
      <c r="I596" s="59"/>
      <c r="J596" s="59"/>
      <c r="K596" s="59"/>
      <c r="L596" s="87"/>
      <c r="M596" s="87"/>
      <c r="N596" s="100"/>
      <c r="O596" s="100"/>
    </row>
    <row r="597" spans="1:15">
      <c r="A597" s="87"/>
      <c r="B597" s="87"/>
      <c r="C597" s="18"/>
      <c r="D597" s="18"/>
      <c r="E597" s="18"/>
      <c r="F597" s="87"/>
      <c r="G597" s="87"/>
      <c r="H597" s="87"/>
      <c r="I597" s="59"/>
      <c r="J597" s="59"/>
      <c r="K597" s="59"/>
      <c r="L597" s="87"/>
      <c r="M597" s="87"/>
      <c r="N597" s="100"/>
      <c r="O597" s="100"/>
    </row>
    <row r="598" spans="1:15">
      <c r="A598" s="87"/>
      <c r="B598" s="87"/>
      <c r="C598" s="18"/>
      <c r="D598" s="18"/>
      <c r="E598" s="18"/>
      <c r="F598" s="87"/>
      <c r="G598" s="87"/>
      <c r="H598" s="87"/>
      <c r="I598" s="59"/>
      <c r="J598" s="59"/>
      <c r="K598" s="59"/>
      <c r="L598" s="87"/>
      <c r="M598" s="87"/>
      <c r="N598" s="100"/>
      <c r="O598" s="100"/>
    </row>
    <row r="599" spans="1:15">
      <c r="A599" s="87"/>
      <c r="B599" s="87"/>
      <c r="C599" s="18"/>
      <c r="D599" s="18"/>
      <c r="E599" s="18"/>
      <c r="F599" s="87"/>
      <c r="G599" s="87"/>
      <c r="H599" s="87"/>
      <c r="I599" s="59"/>
      <c r="J599" s="59"/>
      <c r="K599" s="59"/>
      <c r="L599" s="87"/>
      <c r="M599" s="87"/>
      <c r="N599" s="100"/>
      <c r="O599" s="100"/>
    </row>
    <row r="600" spans="1:15">
      <c r="A600" s="87"/>
      <c r="B600" s="87"/>
      <c r="C600" s="18"/>
      <c r="D600" s="18"/>
      <c r="E600" s="18"/>
      <c r="F600" s="87"/>
      <c r="G600" s="87"/>
      <c r="H600" s="87"/>
      <c r="I600" s="59"/>
      <c r="J600" s="59"/>
      <c r="K600" s="59"/>
      <c r="L600" s="87"/>
      <c r="M600" s="87"/>
      <c r="N600" s="100"/>
      <c r="O600" s="100"/>
    </row>
    <row r="601" spans="1:15">
      <c r="A601" s="87"/>
      <c r="B601" s="87"/>
      <c r="C601" s="18"/>
      <c r="D601" s="18"/>
      <c r="E601" s="18"/>
      <c r="F601" s="87"/>
      <c r="G601" s="87"/>
      <c r="H601" s="87"/>
      <c r="I601" s="59"/>
      <c r="J601" s="59"/>
      <c r="K601" s="59"/>
      <c r="L601" s="87"/>
      <c r="M601" s="87"/>
      <c r="N601" s="100"/>
      <c r="O601" s="100"/>
    </row>
    <row r="602" spans="1:15">
      <c r="A602" s="87"/>
      <c r="B602" s="87"/>
      <c r="C602" s="18"/>
      <c r="D602" s="18"/>
      <c r="E602" s="18"/>
      <c r="F602" s="87"/>
      <c r="G602" s="87"/>
      <c r="H602" s="87"/>
      <c r="I602" s="59"/>
      <c r="J602" s="59"/>
      <c r="K602" s="59"/>
      <c r="L602" s="87"/>
      <c r="M602" s="87"/>
      <c r="N602" s="100"/>
      <c r="O602" s="100"/>
    </row>
    <row r="603" spans="1:15">
      <c r="A603" s="87"/>
      <c r="B603" s="87"/>
      <c r="C603" s="18"/>
      <c r="D603" s="18"/>
      <c r="E603" s="18"/>
      <c r="F603" s="87"/>
      <c r="G603" s="87"/>
      <c r="H603" s="87"/>
      <c r="I603" s="59"/>
      <c r="J603" s="59"/>
      <c r="K603" s="59"/>
      <c r="L603" s="87"/>
      <c r="M603" s="87"/>
      <c r="N603" s="100"/>
      <c r="O603" s="100"/>
    </row>
    <row r="604" spans="1:15">
      <c r="A604" s="87"/>
      <c r="B604" s="87"/>
      <c r="C604" s="18"/>
      <c r="D604" s="18"/>
      <c r="E604" s="18"/>
      <c r="F604" s="87"/>
      <c r="G604" s="87"/>
      <c r="H604" s="87"/>
      <c r="I604" s="59"/>
      <c r="J604" s="59"/>
      <c r="K604" s="59"/>
      <c r="L604" s="87"/>
      <c r="M604" s="87"/>
      <c r="N604" s="100"/>
      <c r="O604" s="100"/>
    </row>
    <row r="605" spans="1:15">
      <c r="A605" s="87"/>
      <c r="B605" s="87"/>
      <c r="C605" s="18"/>
      <c r="D605" s="18"/>
      <c r="E605" s="18"/>
      <c r="F605" s="87"/>
      <c r="G605" s="87"/>
      <c r="H605" s="87"/>
      <c r="I605" s="59"/>
      <c r="J605" s="59"/>
      <c r="K605" s="59"/>
      <c r="L605" s="87"/>
      <c r="M605" s="87"/>
      <c r="N605" s="100"/>
      <c r="O605" s="100"/>
    </row>
    <row r="606" spans="1:15">
      <c r="A606" s="87"/>
      <c r="B606" s="87"/>
      <c r="C606" s="18"/>
      <c r="D606" s="18"/>
      <c r="E606" s="18"/>
      <c r="F606" s="87"/>
      <c r="G606" s="87"/>
      <c r="H606" s="87"/>
      <c r="I606" s="59"/>
      <c r="J606" s="59"/>
      <c r="K606" s="59"/>
      <c r="L606" s="87"/>
      <c r="M606" s="87"/>
      <c r="N606" s="100"/>
      <c r="O606" s="100"/>
    </row>
    <row r="607" spans="1:15">
      <c r="A607" s="87"/>
      <c r="B607" s="87"/>
      <c r="C607" s="18"/>
      <c r="D607" s="18"/>
      <c r="E607" s="18"/>
      <c r="F607" s="87"/>
      <c r="G607" s="87"/>
      <c r="H607" s="87"/>
      <c r="I607" s="59"/>
      <c r="J607" s="59"/>
      <c r="K607" s="59"/>
      <c r="L607" s="87"/>
      <c r="M607" s="87"/>
      <c r="N607" s="100"/>
      <c r="O607" s="100"/>
    </row>
    <row r="608" spans="1:15">
      <c r="A608" s="87"/>
      <c r="B608" s="87"/>
      <c r="C608" s="18"/>
      <c r="D608" s="18"/>
      <c r="E608" s="18"/>
      <c r="F608" s="87"/>
      <c r="G608" s="87"/>
      <c r="H608" s="87"/>
      <c r="I608" s="59"/>
      <c r="J608" s="59"/>
      <c r="K608" s="59"/>
      <c r="L608" s="87"/>
      <c r="M608" s="87"/>
      <c r="N608" s="100"/>
      <c r="O608" s="100"/>
    </row>
    <row r="609" spans="1:15">
      <c r="A609" s="87"/>
      <c r="B609" s="87"/>
      <c r="C609" s="18"/>
      <c r="D609" s="18"/>
      <c r="E609" s="18"/>
      <c r="F609" s="87"/>
      <c r="G609" s="87"/>
      <c r="H609" s="87"/>
      <c r="I609" s="59"/>
      <c r="J609" s="59"/>
      <c r="K609" s="59"/>
      <c r="L609" s="87"/>
      <c r="M609" s="87"/>
      <c r="N609" s="100"/>
      <c r="O609" s="100"/>
    </row>
    <row r="610" spans="1:15">
      <c r="A610" s="87"/>
      <c r="B610" s="87"/>
      <c r="C610" s="18"/>
      <c r="D610" s="18"/>
      <c r="E610" s="18"/>
      <c r="F610" s="87"/>
      <c r="G610" s="87"/>
      <c r="H610" s="87"/>
      <c r="I610" s="59"/>
      <c r="J610" s="59"/>
      <c r="K610" s="59"/>
      <c r="L610" s="87"/>
      <c r="M610" s="87"/>
      <c r="N610" s="100"/>
      <c r="O610" s="100"/>
    </row>
    <row r="611" spans="1:15">
      <c r="A611" s="87"/>
      <c r="B611" s="87"/>
      <c r="C611" s="18"/>
      <c r="D611" s="18"/>
      <c r="E611" s="18"/>
      <c r="F611" s="87"/>
      <c r="G611" s="87"/>
      <c r="H611" s="87"/>
      <c r="I611" s="59"/>
      <c r="J611" s="59"/>
      <c r="K611" s="59"/>
      <c r="L611" s="87"/>
      <c r="M611" s="87"/>
      <c r="N611" s="100"/>
      <c r="O611" s="100"/>
    </row>
    <row r="612" spans="1:15">
      <c r="A612" s="87"/>
      <c r="B612" s="87"/>
      <c r="C612" s="18"/>
      <c r="D612" s="18"/>
      <c r="E612" s="18"/>
      <c r="F612" s="87"/>
      <c r="G612" s="87"/>
      <c r="H612" s="87"/>
      <c r="I612" s="59"/>
      <c r="J612" s="59"/>
      <c r="K612" s="59"/>
      <c r="L612" s="87"/>
      <c r="M612" s="87"/>
      <c r="N612" s="100"/>
      <c r="O612" s="100"/>
    </row>
    <row r="613" spans="1:15">
      <c r="A613" s="87"/>
      <c r="B613" s="87"/>
      <c r="C613" s="18"/>
      <c r="D613" s="18"/>
      <c r="E613" s="18"/>
      <c r="F613" s="87"/>
      <c r="G613" s="87"/>
      <c r="H613" s="87"/>
      <c r="I613" s="59"/>
      <c r="J613" s="59"/>
      <c r="K613" s="59"/>
      <c r="L613" s="87"/>
      <c r="M613" s="87"/>
      <c r="N613" s="100"/>
      <c r="O613" s="100"/>
    </row>
    <row r="614" spans="1:15">
      <c r="A614" s="87"/>
      <c r="B614" s="87"/>
      <c r="C614" s="18"/>
      <c r="D614" s="18"/>
      <c r="E614" s="18"/>
      <c r="F614" s="87"/>
      <c r="G614" s="87"/>
      <c r="H614" s="87"/>
      <c r="I614" s="59"/>
      <c r="J614" s="59"/>
      <c r="K614" s="59"/>
      <c r="L614" s="87"/>
      <c r="M614" s="87"/>
      <c r="N614" s="100"/>
      <c r="O614" s="100"/>
    </row>
    <row r="615" spans="1:15">
      <c r="A615" s="87"/>
      <c r="B615" s="87"/>
      <c r="C615" s="18"/>
      <c r="D615" s="18"/>
      <c r="E615" s="18"/>
      <c r="F615" s="87"/>
      <c r="G615" s="87"/>
      <c r="H615" s="87"/>
      <c r="I615" s="59"/>
      <c r="J615" s="59"/>
      <c r="K615" s="59"/>
      <c r="L615" s="87"/>
      <c r="M615" s="87"/>
      <c r="N615" s="100"/>
      <c r="O615" s="100"/>
    </row>
    <row r="616" spans="1:15">
      <c r="A616" s="87"/>
      <c r="B616" s="87"/>
      <c r="C616" s="18"/>
      <c r="D616" s="18"/>
      <c r="E616" s="18"/>
      <c r="F616" s="87"/>
      <c r="G616" s="87"/>
      <c r="H616" s="87"/>
      <c r="I616" s="59"/>
      <c r="J616" s="59"/>
      <c r="K616" s="59"/>
      <c r="L616" s="87"/>
      <c r="M616" s="87"/>
      <c r="N616" s="100"/>
      <c r="O616" s="100"/>
    </row>
    <row r="617" spans="1:15">
      <c r="A617" s="87"/>
      <c r="B617" s="87"/>
      <c r="C617" s="18"/>
      <c r="D617" s="18"/>
      <c r="E617" s="18"/>
      <c r="F617" s="87"/>
      <c r="G617" s="87"/>
      <c r="H617" s="87"/>
      <c r="I617" s="59"/>
      <c r="J617" s="59"/>
      <c r="K617" s="59"/>
      <c r="L617" s="87"/>
      <c r="M617" s="87"/>
      <c r="N617" s="100"/>
      <c r="O617" s="100"/>
    </row>
    <row r="618" spans="1:15">
      <c r="A618" s="87"/>
      <c r="B618" s="87"/>
      <c r="C618" s="18"/>
      <c r="D618" s="18"/>
      <c r="E618" s="18"/>
      <c r="F618" s="87"/>
      <c r="G618" s="87"/>
      <c r="H618" s="87"/>
      <c r="I618" s="59"/>
      <c r="J618" s="59"/>
      <c r="K618" s="59"/>
      <c r="L618" s="87"/>
      <c r="M618" s="87"/>
      <c r="N618" s="100"/>
      <c r="O618" s="100"/>
    </row>
    <row r="619" spans="1:15">
      <c r="A619" s="87"/>
      <c r="B619" s="87"/>
      <c r="C619" s="18"/>
      <c r="D619" s="18"/>
      <c r="E619" s="18"/>
      <c r="F619" s="87"/>
      <c r="G619" s="87"/>
      <c r="H619" s="87"/>
      <c r="I619" s="59"/>
      <c r="J619" s="59"/>
      <c r="K619" s="59"/>
      <c r="L619" s="87"/>
      <c r="M619" s="87"/>
      <c r="N619" s="100"/>
      <c r="O619" s="100"/>
    </row>
    <row r="620" spans="1:15">
      <c r="A620" s="87"/>
      <c r="B620" s="87"/>
      <c r="C620" s="18"/>
      <c r="D620" s="18"/>
      <c r="E620" s="18"/>
      <c r="F620" s="87"/>
      <c r="G620" s="87"/>
      <c r="H620" s="87"/>
      <c r="I620" s="59"/>
      <c r="J620" s="59"/>
      <c r="K620" s="59"/>
      <c r="L620" s="87"/>
      <c r="M620" s="87"/>
      <c r="N620" s="100"/>
      <c r="O620" s="100"/>
    </row>
    <row r="621" spans="1:15">
      <c r="A621" s="87"/>
      <c r="B621" s="87"/>
      <c r="C621" s="18"/>
      <c r="D621" s="18"/>
      <c r="E621" s="18"/>
      <c r="F621" s="87"/>
      <c r="G621" s="87"/>
      <c r="H621" s="87"/>
      <c r="I621" s="59"/>
      <c r="J621" s="59"/>
      <c r="K621" s="59"/>
      <c r="L621" s="87"/>
      <c r="M621" s="87"/>
      <c r="N621" s="100"/>
      <c r="O621" s="100"/>
    </row>
    <row r="622" spans="1:15">
      <c r="A622" s="87"/>
      <c r="B622" s="87"/>
      <c r="C622" s="18"/>
      <c r="D622" s="18"/>
      <c r="E622" s="18"/>
      <c r="F622" s="87"/>
      <c r="G622" s="87"/>
      <c r="H622" s="87"/>
      <c r="I622" s="59"/>
      <c r="J622" s="59"/>
      <c r="K622" s="59"/>
      <c r="L622" s="87"/>
      <c r="M622" s="87"/>
      <c r="N622" s="100"/>
      <c r="O622" s="100"/>
    </row>
    <row r="623" spans="1:15">
      <c r="A623" s="87"/>
      <c r="B623" s="87"/>
      <c r="C623" s="18"/>
      <c r="D623" s="18"/>
      <c r="E623" s="18"/>
      <c r="F623" s="87"/>
      <c r="G623" s="87"/>
      <c r="H623" s="87"/>
      <c r="I623" s="59"/>
      <c r="J623" s="59"/>
      <c r="K623" s="59"/>
      <c r="L623" s="87"/>
      <c r="M623" s="87"/>
      <c r="N623" s="100"/>
      <c r="O623" s="100"/>
    </row>
    <row r="624" spans="1:15">
      <c r="A624" s="87"/>
      <c r="B624" s="87"/>
      <c r="C624" s="18"/>
      <c r="D624" s="18"/>
      <c r="E624" s="18"/>
      <c r="F624" s="87"/>
      <c r="G624" s="87"/>
      <c r="H624" s="87"/>
      <c r="I624" s="59"/>
      <c r="J624" s="59"/>
      <c r="K624" s="59"/>
      <c r="L624" s="87"/>
      <c r="M624" s="87"/>
      <c r="N624" s="100"/>
      <c r="O624" s="100"/>
    </row>
    <row r="625" spans="1:15">
      <c r="A625" s="87"/>
      <c r="B625" s="87"/>
      <c r="C625" s="18"/>
      <c r="D625" s="18"/>
      <c r="E625" s="18"/>
      <c r="F625" s="87"/>
      <c r="G625" s="87"/>
      <c r="H625" s="87"/>
      <c r="I625" s="59"/>
      <c r="J625" s="59"/>
      <c r="K625" s="59"/>
      <c r="L625" s="87"/>
      <c r="M625" s="87"/>
      <c r="N625" s="100"/>
      <c r="O625" s="100"/>
    </row>
    <row r="626" spans="1:15">
      <c r="A626" s="87"/>
      <c r="B626" s="87"/>
      <c r="C626" s="18"/>
      <c r="D626" s="18"/>
      <c r="E626" s="18"/>
      <c r="F626" s="87"/>
      <c r="G626" s="87"/>
      <c r="H626" s="87"/>
      <c r="I626" s="59"/>
      <c r="J626" s="59"/>
      <c r="K626" s="59"/>
      <c r="L626" s="87"/>
      <c r="M626" s="87"/>
      <c r="N626" s="100"/>
      <c r="O626" s="100"/>
    </row>
    <row r="627" spans="1:15">
      <c r="A627" s="87"/>
      <c r="B627" s="87"/>
      <c r="C627" s="18"/>
      <c r="D627" s="18"/>
      <c r="E627" s="18"/>
      <c r="F627" s="87"/>
      <c r="G627" s="87"/>
      <c r="H627" s="87"/>
      <c r="I627" s="59"/>
      <c r="J627" s="59"/>
      <c r="K627" s="59"/>
      <c r="L627" s="87"/>
      <c r="M627" s="87"/>
      <c r="N627" s="100"/>
      <c r="O627" s="100"/>
    </row>
    <row r="628" spans="1:15">
      <c r="A628" s="87"/>
      <c r="B628" s="87"/>
      <c r="C628" s="18"/>
      <c r="D628" s="18"/>
      <c r="E628" s="18"/>
      <c r="F628" s="87"/>
      <c r="G628" s="87"/>
      <c r="H628" s="87"/>
      <c r="I628" s="59"/>
      <c r="J628" s="59"/>
      <c r="K628" s="59"/>
      <c r="L628" s="87"/>
      <c r="M628" s="87"/>
      <c r="N628" s="100"/>
      <c r="O628" s="100"/>
    </row>
    <row r="629" spans="1:15">
      <c r="A629" s="87"/>
      <c r="B629" s="87"/>
      <c r="C629" s="18"/>
      <c r="D629" s="18"/>
      <c r="E629" s="18"/>
      <c r="F629" s="87"/>
      <c r="G629" s="87"/>
      <c r="H629" s="87"/>
      <c r="I629" s="59"/>
      <c r="J629" s="59"/>
      <c r="K629" s="59"/>
      <c r="L629" s="87"/>
      <c r="M629" s="87"/>
      <c r="N629" s="100"/>
      <c r="O629" s="100"/>
    </row>
    <row r="630" spans="1:15">
      <c r="A630" s="87"/>
      <c r="B630" s="87"/>
      <c r="C630" s="18"/>
      <c r="D630" s="18"/>
      <c r="E630" s="18"/>
      <c r="F630" s="87"/>
      <c r="G630" s="87"/>
      <c r="H630" s="87"/>
      <c r="I630" s="59"/>
      <c r="J630" s="59"/>
      <c r="K630" s="59"/>
      <c r="L630" s="87"/>
      <c r="M630" s="87"/>
      <c r="N630" s="100"/>
      <c r="O630" s="100"/>
    </row>
    <row r="631" spans="1:15">
      <c r="A631" s="87"/>
      <c r="B631" s="87"/>
      <c r="C631" s="18"/>
      <c r="D631" s="18"/>
      <c r="E631" s="18"/>
      <c r="F631" s="87"/>
      <c r="G631" s="87"/>
      <c r="H631" s="87"/>
      <c r="I631" s="59"/>
      <c r="J631" s="59"/>
      <c r="K631" s="59"/>
      <c r="L631" s="87"/>
      <c r="M631" s="87"/>
      <c r="N631" s="100"/>
      <c r="O631" s="100"/>
    </row>
    <row r="632" spans="1:15">
      <c r="A632" s="87"/>
      <c r="B632" s="87"/>
      <c r="C632" s="18"/>
      <c r="D632" s="18"/>
      <c r="E632" s="18"/>
      <c r="F632" s="87"/>
      <c r="G632" s="87"/>
      <c r="H632" s="87"/>
      <c r="I632" s="59"/>
      <c r="J632" s="59"/>
      <c r="K632" s="59"/>
      <c r="L632" s="87"/>
      <c r="M632" s="87"/>
      <c r="N632" s="100"/>
      <c r="O632" s="100"/>
    </row>
    <row r="633" spans="1:15">
      <c r="A633" s="87"/>
      <c r="B633" s="87"/>
      <c r="C633" s="18"/>
      <c r="D633" s="18"/>
      <c r="E633" s="18"/>
      <c r="F633" s="87"/>
      <c r="G633" s="87"/>
      <c r="H633" s="87"/>
      <c r="I633" s="59"/>
      <c r="J633" s="59"/>
      <c r="K633" s="59"/>
      <c r="L633" s="87"/>
      <c r="M633" s="87"/>
      <c r="N633" s="100"/>
      <c r="O633" s="100"/>
    </row>
    <row r="634" spans="1:15">
      <c r="A634" s="87"/>
      <c r="B634" s="87"/>
      <c r="C634" s="18"/>
      <c r="D634" s="18"/>
      <c r="E634" s="18"/>
      <c r="F634" s="87"/>
      <c r="G634" s="87"/>
      <c r="H634" s="87"/>
      <c r="I634" s="59"/>
      <c r="J634" s="59"/>
      <c r="K634" s="59"/>
      <c r="L634" s="87"/>
      <c r="M634" s="87"/>
      <c r="N634" s="100"/>
      <c r="O634" s="100"/>
    </row>
    <row r="635" spans="1:15">
      <c r="A635" s="87"/>
      <c r="B635" s="87"/>
      <c r="C635" s="18"/>
      <c r="D635" s="18"/>
      <c r="E635" s="18"/>
      <c r="F635" s="87"/>
      <c r="G635" s="87"/>
      <c r="H635" s="87"/>
      <c r="I635" s="59"/>
      <c r="J635" s="59"/>
      <c r="K635" s="59"/>
      <c r="L635" s="87"/>
      <c r="M635" s="87"/>
      <c r="N635" s="100"/>
      <c r="O635" s="100"/>
    </row>
    <row r="636" spans="1:15">
      <c r="A636" s="87"/>
      <c r="B636" s="87"/>
      <c r="C636" s="18"/>
      <c r="D636" s="18"/>
      <c r="E636" s="18"/>
      <c r="F636" s="87"/>
      <c r="G636" s="87"/>
      <c r="H636" s="87"/>
      <c r="I636" s="59"/>
      <c r="J636" s="59"/>
      <c r="K636" s="59"/>
      <c r="L636" s="87"/>
      <c r="M636" s="87"/>
      <c r="N636" s="100"/>
      <c r="O636" s="100"/>
    </row>
    <row r="637" spans="1:15">
      <c r="A637" s="87"/>
      <c r="B637" s="87"/>
      <c r="C637" s="18"/>
      <c r="D637" s="18"/>
      <c r="E637" s="18"/>
      <c r="F637" s="87"/>
      <c r="G637" s="87"/>
      <c r="H637" s="87"/>
      <c r="I637" s="59"/>
      <c r="J637" s="59"/>
      <c r="K637" s="59"/>
      <c r="L637" s="87"/>
      <c r="M637" s="87"/>
      <c r="N637" s="100"/>
      <c r="O637" s="100"/>
    </row>
    <row r="638" spans="1:15">
      <c r="A638" s="87"/>
      <c r="B638" s="87"/>
      <c r="C638" s="18"/>
      <c r="D638" s="18"/>
      <c r="E638" s="18"/>
      <c r="F638" s="87"/>
      <c r="G638" s="87"/>
      <c r="H638" s="87"/>
      <c r="I638" s="59"/>
      <c r="J638" s="59"/>
      <c r="K638" s="59"/>
      <c r="L638" s="87"/>
      <c r="M638" s="87"/>
      <c r="N638" s="100"/>
      <c r="O638" s="100"/>
    </row>
    <row r="639" spans="1:15">
      <c r="A639" s="87"/>
      <c r="B639" s="87"/>
      <c r="C639" s="18"/>
      <c r="D639" s="18"/>
      <c r="E639" s="18"/>
      <c r="F639" s="87"/>
      <c r="G639" s="87"/>
      <c r="H639" s="87"/>
      <c r="I639" s="59"/>
      <c r="J639" s="59"/>
      <c r="K639" s="59"/>
      <c r="L639" s="87"/>
      <c r="M639" s="87"/>
      <c r="N639" s="100"/>
      <c r="O639" s="100"/>
    </row>
    <row r="640" spans="1:15">
      <c r="A640" s="87"/>
      <c r="B640" s="87"/>
      <c r="C640" s="18"/>
      <c r="D640" s="18"/>
      <c r="E640" s="18"/>
      <c r="F640" s="87"/>
      <c r="G640" s="87"/>
      <c r="H640" s="87"/>
      <c r="I640" s="59"/>
      <c r="J640" s="59"/>
      <c r="K640" s="59"/>
      <c r="L640" s="87"/>
      <c r="M640" s="87"/>
      <c r="N640" s="100"/>
      <c r="O640" s="100"/>
    </row>
    <row r="641" spans="1:15">
      <c r="A641" s="87"/>
      <c r="B641" s="87"/>
      <c r="C641" s="18"/>
      <c r="D641" s="18"/>
      <c r="E641" s="18"/>
      <c r="F641" s="87"/>
      <c r="G641" s="87"/>
      <c r="H641" s="87"/>
      <c r="I641" s="59"/>
      <c r="J641" s="59"/>
      <c r="K641" s="59"/>
      <c r="L641" s="87"/>
      <c r="M641" s="87"/>
      <c r="N641" s="100"/>
      <c r="O641" s="100"/>
    </row>
    <row r="642" spans="1:15">
      <c r="A642" s="87"/>
      <c r="B642" s="87"/>
      <c r="C642" s="18"/>
      <c r="D642" s="18"/>
      <c r="E642" s="18"/>
      <c r="F642" s="87"/>
      <c r="G642" s="87"/>
      <c r="H642" s="87"/>
      <c r="I642" s="59"/>
      <c r="J642" s="59"/>
      <c r="K642" s="59"/>
      <c r="L642" s="87"/>
      <c r="M642" s="87"/>
      <c r="N642" s="100"/>
      <c r="O642" s="100"/>
    </row>
    <row r="643" spans="1:15">
      <c r="A643" s="87"/>
      <c r="B643" s="87"/>
      <c r="C643" s="18"/>
      <c r="D643" s="18"/>
      <c r="E643" s="18"/>
      <c r="F643" s="87"/>
      <c r="G643" s="87"/>
      <c r="H643" s="87"/>
      <c r="I643" s="59"/>
      <c r="J643" s="59"/>
      <c r="K643" s="59"/>
      <c r="L643" s="87"/>
      <c r="M643" s="87"/>
      <c r="N643" s="100"/>
      <c r="O643" s="100"/>
    </row>
    <row r="644" spans="1:15">
      <c r="A644" s="87"/>
      <c r="B644" s="87"/>
      <c r="C644" s="18"/>
      <c r="D644" s="18"/>
      <c r="E644" s="18"/>
      <c r="F644" s="87"/>
      <c r="G644" s="87"/>
      <c r="H644" s="87"/>
      <c r="I644" s="59"/>
      <c r="J644" s="59"/>
      <c r="K644" s="59"/>
      <c r="L644" s="87"/>
      <c r="M644" s="87"/>
      <c r="N644" s="100"/>
      <c r="O644" s="100"/>
    </row>
    <row r="645" spans="1:15">
      <c r="A645" s="87"/>
      <c r="B645" s="87"/>
      <c r="C645" s="18"/>
      <c r="D645" s="18"/>
      <c r="E645" s="18"/>
      <c r="F645" s="87"/>
      <c r="G645" s="87"/>
      <c r="H645" s="87"/>
      <c r="I645" s="59"/>
      <c r="J645" s="59"/>
      <c r="K645" s="59"/>
      <c r="L645" s="87"/>
      <c r="M645" s="87"/>
      <c r="N645" s="100"/>
      <c r="O645" s="100"/>
    </row>
    <row r="646" spans="1:15">
      <c r="A646" s="87"/>
      <c r="B646" s="87"/>
      <c r="C646" s="18"/>
      <c r="D646" s="18"/>
      <c r="E646" s="18"/>
      <c r="F646" s="87"/>
      <c r="G646" s="87"/>
      <c r="H646" s="87"/>
      <c r="I646" s="59"/>
      <c r="J646" s="59"/>
      <c r="K646" s="59"/>
      <c r="L646" s="87"/>
      <c r="M646" s="87"/>
      <c r="N646" s="100"/>
      <c r="O646" s="100"/>
    </row>
    <row r="647" spans="1:15">
      <c r="A647" s="87"/>
      <c r="B647" s="87"/>
      <c r="C647" s="18"/>
      <c r="D647" s="18"/>
      <c r="E647" s="18"/>
      <c r="F647" s="87"/>
      <c r="G647" s="87"/>
      <c r="H647" s="87"/>
      <c r="I647" s="59"/>
      <c r="J647" s="59"/>
      <c r="K647" s="59"/>
      <c r="L647" s="87"/>
      <c r="M647" s="87"/>
      <c r="N647" s="100"/>
      <c r="O647" s="100"/>
    </row>
    <row r="648" spans="1:15">
      <c r="A648" s="87"/>
      <c r="B648" s="87"/>
      <c r="C648" s="18"/>
      <c r="D648" s="18"/>
      <c r="E648" s="18"/>
      <c r="F648" s="87"/>
      <c r="G648" s="87"/>
      <c r="H648" s="87"/>
      <c r="I648" s="59"/>
      <c r="J648" s="59"/>
      <c r="K648" s="59"/>
      <c r="L648" s="87"/>
      <c r="M648" s="87"/>
      <c r="N648" s="100"/>
      <c r="O648" s="100"/>
    </row>
    <row r="649" spans="1:15">
      <c r="A649" s="87"/>
      <c r="B649" s="87"/>
      <c r="C649" s="18"/>
      <c r="D649" s="18"/>
      <c r="E649" s="18"/>
      <c r="F649" s="87"/>
      <c r="G649" s="87"/>
      <c r="H649" s="87"/>
      <c r="I649" s="59"/>
      <c r="J649" s="59"/>
      <c r="K649" s="59"/>
      <c r="L649" s="87"/>
      <c r="M649" s="87"/>
      <c r="N649" s="100"/>
      <c r="O649" s="100"/>
    </row>
    <row r="650" spans="1:15">
      <c r="A650" s="87"/>
      <c r="B650" s="87"/>
      <c r="C650" s="18"/>
      <c r="D650" s="18"/>
      <c r="E650" s="18"/>
      <c r="F650" s="87"/>
      <c r="G650" s="87"/>
      <c r="H650" s="87"/>
      <c r="I650" s="59"/>
      <c r="J650" s="59"/>
      <c r="K650" s="59"/>
      <c r="L650" s="87"/>
      <c r="M650" s="87"/>
      <c r="N650" s="100"/>
      <c r="O650" s="100"/>
    </row>
    <row r="651" spans="1:15">
      <c r="A651" s="87"/>
      <c r="B651" s="87"/>
      <c r="C651" s="18"/>
      <c r="D651" s="18"/>
      <c r="E651" s="18"/>
      <c r="F651" s="87"/>
      <c r="G651" s="87"/>
      <c r="H651" s="87"/>
      <c r="I651" s="59"/>
      <c r="J651" s="59"/>
      <c r="K651" s="59"/>
      <c r="L651" s="87"/>
      <c r="M651" s="87"/>
      <c r="N651" s="100"/>
      <c r="O651" s="100"/>
    </row>
    <row r="652" spans="1:15">
      <c r="A652" s="87"/>
      <c r="B652" s="87"/>
      <c r="C652" s="18"/>
      <c r="D652" s="18"/>
      <c r="E652" s="18"/>
      <c r="F652" s="87"/>
      <c r="G652" s="87"/>
      <c r="H652" s="87"/>
      <c r="I652" s="59"/>
      <c r="J652" s="59"/>
      <c r="K652" s="59"/>
      <c r="L652" s="87"/>
      <c r="M652" s="87"/>
      <c r="N652" s="100"/>
      <c r="O652" s="100"/>
    </row>
    <row r="653" spans="1:15">
      <c r="A653" s="87"/>
      <c r="B653" s="87"/>
      <c r="C653" s="18"/>
      <c r="D653" s="18"/>
      <c r="E653" s="18"/>
      <c r="F653" s="87"/>
      <c r="G653" s="87"/>
      <c r="H653" s="87"/>
      <c r="I653" s="59"/>
      <c r="J653" s="59"/>
      <c r="K653" s="59"/>
      <c r="L653" s="87"/>
      <c r="M653" s="87"/>
      <c r="N653" s="100"/>
      <c r="O653" s="100"/>
    </row>
    <row r="654" spans="1:15">
      <c r="A654" s="87"/>
      <c r="B654" s="87"/>
      <c r="C654" s="18"/>
      <c r="D654" s="18"/>
      <c r="E654" s="18"/>
      <c r="F654" s="87"/>
      <c r="G654" s="87"/>
      <c r="H654" s="87"/>
      <c r="I654" s="59"/>
      <c r="J654" s="59"/>
      <c r="K654" s="59"/>
      <c r="L654" s="87"/>
      <c r="M654" s="87"/>
      <c r="N654" s="100"/>
      <c r="O654" s="100"/>
    </row>
    <row r="655" spans="1:15">
      <c r="A655" s="87"/>
      <c r="B655" s="87"/>
      <c r="C655" s="18"/>
      <c r="D655" s="18"/>
      <c r="E655" s="18"/>
      <c r="F655" s="87"/>
      <c r="G655" s="87"/>
      <c r="H655" s="87"/>
      <c r="I655" s="59"/>
      <c r="J655" s="59"/>
      <c r="K655" s="59"/>
      <c r="L655" s="87"/>
      <c r="M655" s="87"/>
      <c r="N655" s="100"/>
      <c r="O655" s="100"/>
    </row>
    <row r="656" spans="1:15">
      <c r="A656" s="87"/>
      <c r="B656" s="87"/>
      <c r="C656" s="18"/>
      <c r="D656" s="18"/>
      <c r="E656" s="18"/>
      <c r="F656" s="87"/>
      <c r="G656" s="87"/>
      <c r="H656" s="87"/>
      <c r="I656" s="59"/>
      <c r="J656" s="59"/>
      <c r="K656" s="59"/>
      <c r="L656" s="87"/>
      <c r="M656" s="87"/>
      <c r="N656" s="100"/>
      <c r="O656" s="100"/>
    </row>
    <row r="657" spans="1:15">
      <c r="A657" s="87"/>
      <c r="B657" s="87"/>
      <c r="C657" s="18"/>
      <c r="D657" s="18"/>
      <c r="E657" s="18"/>
      <c r="F657" s="87"/>
      <c r="G657" s="87"/>
      <c r="H657" s="87"/>
      <c r="I657" s="59"/>
      <c r="J657" s="59"/>
      <c r="K657" s="59"/>
      <c r="L657" s="87"/>
      <c r="M657" s="87"/>
      <c r="N657" s="100"/>
      <c r="O657" s="100"/>
    </row>
    <row r="658" spans="1:15">
      <c r="A658" s="87"/>
      <c r="B658" s="87"/>
      <c r="C658" s="18"/>
      <c r="D658" s="18"/>
      <c r="E658" s="18"/>
      <c r="F658" s="87"/>
      <c r="G658" s="87"/>
      <c r="H658" s="87"/>
      <c r="I658" s="59"/>
      <c r="J658" s="59"/>
      <c r="K658" s="59"/>
      <c r="L658" s="87"/>
      <c r="M658" s="87"/>
      <c r="N658" s="100"/>
      <c r="O658" s="100"/>
    </row>
    <row r="659" spans="1:15">
      <c r="A659" s="87"/>
      <c r="B659" s="87"/>
      <c r="C659" s="18"/>
      <c r="D659" s="18"/>
      <c r="E659" s="18"/>
      <c r="F659" s="87"/>
      <c r="G659" s="87"/>
      <c r="H659" s="87"/>
      <c r="I659" s="59"/>
      <c r="J659" s="59"/>
      <c r="K659" s="59"/>
      <c r="L659" s="87"/>
      <c r="M659" s="87"/>
      <c r="N659" s="100"/>
      <c r="O659" s="100"/>
    </row>
    <row r="660" spans="1:15">
      <c r="A660" s="87"/>
      <c r="B660" s="87"/>
      <c r="C660" s="18"/>
      <c r="D660" s="18"/>
      <c r="E660" s="18"/>
      <c r="F660" s="87"/>
      <c r="G660" s="87"/>
      <c r="H660" s="87"/>
      <c r="I660" s="59"/>
      <c r="J660" s="59"/>
      <c r="K660" s="59"/>
      <c r="L660" s="87"/>
      <c r="M660" s="87"/>
      <c r="N660" s="100"/>
      <c r="O660" s="100"/>
    </row>
    <row r="661" spans="1:15">
      <c r="A661" s="87"/>
      <c r="B661" s="87"/>
      <c r="C661" s="18"/>
      <c r="D661" s="18"/>
      <c r="E661" s="18"/>
      <c r="F661" s="87"/>
      <c r="G661" s="87"/>
      <c r="H661" s="87"/>
      <c r="I661" s="59"/>
      <c r="J661" s="59"/>
      <c r="K661" s="59"/>
      <c r="L661" s="87"/>
      <c r="M661" s="87"/>
      <c r="N661" s="100"/>
      <c r="O661" s="100"/>
    </row>
    <row r="662" spans="1:15">
      <c r="A662" s="87"/>
      <c r="B662" s="87"/>
      <c r="C662" s="18"/>
      <c r="D662" s="18"/>
      <c r="E662" s="18"/>
      <c r="F662" s="87"/>
      <c r="G662" s="87"/>
      <c r="H662" s="87"/>
      <c r="I662" s="59"/>
      <c r="J662" s="59"/>
      <c r="K662" s="59"/>
      <c r="L662" s="87"/>
      <c r="M662" s="87"/>
      <c r="N662" s="100"/>
      <c r="O662" s="100"/>
    </row>
    <row r="663" spans="1:15">
      <c r="A663" s="87"/>
      <c r="B663" s="87"/>
      <c r="C663" s="18"/>
      <c r="D663" s="18"/>
      <c r="E663" s="18"/>
      <c r="F663" s="87"/>
      <c r="G663" s="87"/>
      <c r="H663" s="87"/>
      <c r="I663" s="59"/>
      <c r="J663" s="59"/>
      <c r="K663" s="59"/>
      <c r="L663" s="87"/>
      <c r="M663" s="87"/>
      <c r="N663" s="100"/>
      <c r="O663" s="100"/>
    </row>
    <row r="664" spans="1:15">
      <c r="A664" s="87"/>
      <c r="B664" s="87"/>
      <c r="C664" s="18"/>
      <c r="D664" s="18"/>
      <c r="E664" s="18"/>
      <c r="F664" s="87"/>
      <c r="G664" s="87"/>
      <c r="H664" s="87"/>
      <c r="I664" s="59"/>
      <c r="J664" s="59"/>
      <c r="K664" s="59"/>
      <c r="L664" s="87"/>
      <c r="M664" s="87"/>
      <c r="N664" s="100"/>
      <c r="O664" s="100"/>
    </row>
    <row r="665" spans="1:15">
      <c r="A665" s="87"/>
      <c r="B665" s="87"/>
      <c r="C665" s="18"/>
      <c r="D665" s="18"/>
      <c r="E665" s="18"/>
      <c r="F665" s="87"/>
      <c r="G665" s="87"/>
      <c r="H665" s="87"/>
      <c r="I665" s="59"/>
      <c r="J665" s="59"/>
      <c r="K665" s="59"/>
      <c r="L665" s="87"/>
      <c r="M665" s="87"/>
      <c r="N665" s="100"/>
      <c r="O665" s="100"/>
    </row>
    <row r="666" spans="1:15">
      <c r="A666" s="87"/>
      <c r="B666" s="87"/>
      <c r="C666" s="18"/>
      <c r="D666" s="18"/>
      <c r="E666" s="18"/>
      <c r="F666" s="87"/>
      <c r="G666" s="87"/>
      <c r="H666" s="87"/>
      <c r="I666" s="59"/>
      <c r="J666" s="59"/>
      <c r="K666" s="59"/>
      <c r="L666" s="87"/>
      <c r="M666" s="87"/>
      <c r="N666" s="100"/>
      <c r="O666" s="100"/>
    </row>
    <row r="667" spans="1:15">
      <c r="A667" s="87"/>
      <c r="B667" s="87"/>
      <c r="C667" s="18"/>
      <c r="D667" s="18"/>
      <c r="E667" s="18"/>
      <c r="F667" s="87"/>
      <c r="G667" s="87"/>
      <c r="H667" s="87"/>
      <c r="I667" s="59"/>
      <c r="J667" s="59"/>
      <c r="K667" s="59"/>
      <c r="L667" s="87"/>
      <c r="M667" s="87"/>
      <c r="N667" s="100"/>
      <c r="O667" s="100"/>
    </row>
    <row r="668" spans="1:15">
      <c r="A668" s="87"/>
      <c r="B668" s="87"/>
      <c r="C668" s="18"/>
      <c r="D668" s="18"/>
      <c r="E668" s="18"/>
      <c r="F668" s="87"/>
      <c r="G668" s="87"/>
      <c r="H668" s="87"/>
      <c r="I668" s="59"/>
      <c r="J668" s="59"/>
      <c r="K668" s="59"/>
      <c r="L668" s="87"/>
      <c r="M668" s="87"/>
      <c r="N668" s="100"/>
      <c r="O668" s="100"/>
    </row>
    <row r="669" spans="1:15">
      <c r="A669" s="87"/>
      <c r="B669" s="87"/>
      <c r="C669" s="18"/>
      <c r="D669" s="18"/>
      <c r="E669" s="18"/>
      <c r="F669" s="87"/>
      <c r="G669" s="87"/>
      <c r="H669" s="87"/>
      <c r="I669" s="59"/>
      <c r="J669" s="59"/>
      <c r="K669" s="59"/>
      <c r="L669" s="87"/>
      <c r="M669" s="87"/>
      <c r="N669" s="100"/>
      <c r="O669" s="100"/>
    </row>
    <row r="670" spans="1:15">
      <c r="A670" s="87"/>
      <c r="B670" s="87"/>
      <c r="C670" s="18"/>
      <c r="D670" s="18"/>
      <c r="E670" s="18"/>
      <c r="F670" s="87"/>
      <c r="G670" s="87"/>
      <c r="H670" s="87"/>
      <c r="I670" s="59"/>
      <c r="J670" s="59"/>
      <c r="K670" s="59"/>
      <c r="L670" s="87"/>
      <c r="M670" s="87"/>
      <c r="N670" s="100"/>
      <c r="O670" s="100"/>
    </row>
    <row r="671" spans="1:15">
      <c r="A671" s="87"/>
      <c r="B671" s="87"/>
      <c r="C671" s="18"/>
      <c r="D671" s="18"/>
      <c r="E671" s="18"/>
      <c r="F671" s="87"/>
      <c r="G671" s="87"/>
      <c r="H671" s="87"/>
      <c r="I671" s="59"/>
      <c r="J671" s="59"/>
      <c r="K671" s="59"/>
      <c r="L671" s="87"/>
      <c r="M671" s="87"/>
      <c r="N671" s="100"/>
      <c r="O671" s="100"/>
    </row>
    <row r="672" spans="1:15">
      <c r="A672" s="87"/>
      <c r="B672" s="87"/>
      <c r="C672" s="18"/>
      <c r="D672" s="18"/>
      <c r="E672" s="18"/>
      <c r="F672" s="87"/>
      <c r="G672" s="87"/>
      <c r="H672" s="87"/>
      <c r="I672" s="59"/>
      <c r="J672" s="59"/>
      <c r="K672" s="59"/>
      <c r="L672" s="87"/>
      <c r="M672" s="87"/>
      <c r="N672" s="100"/>
      <c r="O672" s="100"/>
    </row>
    <row r="673" spans="1:15">
      <c r="A673" s="87"/>
      <c r="B673" s="87"/>
      <c r="C673" s="18"/>
      <c r="D673" s="18"/>
      <c r="E673" s="18"/>
      <c r="F673" s="87"/>
      <c r="G673" s="87"/>
      <c r="H673" s="87"/>
      <c r="I673" s="59"/>
      <c r="J673" s="59"/>
      <c r="K673" s="59"/>
      <c r="L673" s="87"/>
      <c r="M673" s="87"/>
      <c r="N673" s="100"/>
      <c r="O673" s="100"/>
    </row>
    <row r="674" spans="1:15">
      <c r="A674" s="87"/>
      <c r="B674" s="87"/>
      <c r="C674" s="18"/>
      <c r="D674" s="18"/>
      <c r="E674" s="18"/>
      <c r="F674" s="87"/>
      <c r="G674" s="87"/>
      <c r="H674" s="87"/>
      <c r="I674" s="59"/>
      <c r="J674" s="59"/>
      <c r="K674" s="59"/>
      <c r="L674" s="87"/>
      <c r="M674" s="87"/>
      <c r="N674" s="100"/>
      <c r="O674" s="100"/>
    </row>
    <row r="675" spans="1:15">
      <c r="A675" s="87"/>
      <c r="B675" s="87"/>
      <c r="C675" s="18"/>
      <c r="D675" s="18"/>
      <c r="E675" s="18"/>
      <c r="F675" s="87"/>
      <c r="G675" s="87"/>
      <c r="H675" s="87"/>
      <c r="I675" s="59"/>
      <c r="J675" s="59"/>
      <c r="K675" s="59"/>
      <c r="L675" s="87"/>
      <c r="M675" s="87"/>
      <c r="N675" s="100"/>
      <c r="O675" s="100"/>
    </row>
    <row r="676" spans="1:15">
      <c r="A676" s="87"/>
      <c r="B676" s="87"/>
      <c r="C676" s="18"/>
      <c r="D676" s="18"/>
      <c r="E676" s="18"/>
      <c r="F676" s="87"/>
      <c r="G676" s="87"/>
      <c r="H676" s="87"/>
      <c r="I676" s="59"/>
      <c r="J676" s="59"/>
      <c r="K676" s="59"/>
      <c r="L676" s="87"/>
      <c r="M676" s="87"/>
      <c r="N676" s="100"/>
      <c r="O676" s="100"/>
    </row>
    <row r="677" spans="1:15">
      <c r="A677" s="87"/>
      <c r="B677" s="87"/>
      <c r="C677" s="18"/>
      <c r="D677" s="18"/>
      <c r="E677" s="18"/>
      <c r="F677" s="87"/>
      <c r="G677" s="87"/>
      <c r="H677" s="87"/>
      <c r="I677" s="59"/>
      <c r="J677" s="59"/>
      <c r="K677" s="59"/>
      <c r="L677" s="87"/>
      <c r="M677" s="87"/>
      <c r="N677" s="100"/>
      <c r="O677" s="100"/>
    </row>
    <row r="678" spans="1:15">
      <c r="A678" s="87"/>
      <c r="B678" s="87"/>
      <c r="C678" s="18"/>
      <c r="D678" s="18"/>
      <c r="E678" s="18"/>
      <c r="F678" s="87"/>
      <c r="G678" s="87"/>
      <c r="H678" s="87"/>
      <c r="I678" s="59"/>
      <c r="J678" s="59"/>
      <c r="K678" s="59"/>
      <c r="L678" s="87"/>
      <c r="M678" s="87"/>
      <c r="N678" s="100"/>
      <c r="O678" s="100"/>
    </row>
    <row r="679" spans="1:15">
      <c r="A679" s="87"/>
      <c r="B679" s="87"/>
      <c r="C679" s="18"/>
      <c r="D679" s="18"/>
      <c r="E679" s="18"/>
      <c r="F679" s="87"/>
      <c r="G679" s="87"/>
      <c r="H679" s="87"/>
      <c r="I679" s="59"/>
      <c r="J679" s="59"/>
      <c r="K679" s="59"/>
      <c r="L679" s="87"/>
      <c r="M679" s="87"/>
      <c r="N679" s="100"/>
      <c r="O679" s="100"/>
    </row>
    <row r="680" spans="1:15">
      <c r="A680" s="87"/>
      <c r="B680" s="87"/>
      <c r="C680" s="18"/>
      <c r="D680" s="18"/>
      <c r="E680" s="18"/>
      <c r="F680" s="87"/>
      <c r="G680" s="87"/>
      <c r="H680" s="87"/>
      <c r="I680" s="59"/>
      <c r="J680" s="59"/>
      <c r="K680" s="59"/>
      <c r="L680" s="87"/>
      <c r="M680" s="87"/>
      <c r="N680" s="100"/>
      <c r="O680" s="100"/>
    </row>
    <row r="681" spans="1:15">
      <c r="A681" s="87"/>
      <c r="B681" s="87"/>
      <c r="C681" s="18"/>
      <c r="D681" s="18"/>
      <c r="E681" s="18"/>
      <c r="F681" s="87"/>
      <c r="G681" s="87"/>
      <c r="H681" s="87"/>
      <c r="I681" s="59"/>
      <c r="J681" s="59"/>
      <c r="K681" s="59"/>
      <c r="L681" s="87"/>
      <c r="M681" s="87"/>
      <c r="N681" s="100"/>
      <c r="O681" s="100"/>
    </row>
    <row r="682" spans="1:15">
      <c r="A682" s="87"/>
      <c r="B682" s="87"/>
      <c r="C682" s="18"/>
      <c r="D682" s="18"/>
      <c r="E682" s="18"/>
      <c r="F682" s="87"/>
      <c r="G682" s="87"/>
      <c r="H682" s="87"/>
      <c r="I682" s="59"/>
      <c r="J682" s="59"/>
      <c r="K682" s="59"/>
      <c r="L682" s="87"/>
      <c r="M682" s="87"/>
      <c r="N682" s="100"/>
      <c r="O682" s="100"/>
    </row>
    <row r="683" spans="1:15">
      <c r="A683" s="87"/>
      <c r="B683" s="87"/>
      <c r="C683" s="18"/>
      <c r="D683" s="18"/>
      <c r="E683" s="18"/>
      <c r="F683" s="87"/>
      <c r="G683" s="87"/>
      <c r="H683" s="87"/>
      <c r="I683" s="59"/>
      <c r="J683" s="59"/>
      <c r="K683" s="59"/>
      <c r="L683" s="87"/>
      <c r="M683" s="87"/>
      <c r="N683" s="100"/>
      <c r="O683" s="100"/>
    </row>
    <row r="684" spans="1:15">
      <c r="A684" s="87"/>
      <c r="B684" s="87"/>
      <c r="C684" s="18"/>
      <c r="D684" s="18"/>
      <c r="E684" s="18"/>
      <c r="F684" s="87"/>
      <c r="G684" s="87"/>
      <c r="H684" s="87"/>
      <c r="I684" s="59"/>
      <c r="J684" s="59"/>
      <c r="K684" s="59"/>
      <c r="L684" s="87"/>
      <c r="M684" s="87"/>
      <c r="N684" s="100"/>
      <c r="O684" s="100"/>
    </row>
    <row r="685" spans="1:15">
      <c r="A685" s="87"/>
      <c r="B685" s="87"/>
      <c r="C685" s="18"/>
      <c r="D685" s="18"/>
      <c r="E685" s="18"/>
      <c r="F685" s="87"/>
      <c r="G685" s="87"/>
      <c r="H685" s="87"/>
      <c r="I685" s="59"/>
      <c r="J685" s="59"/>
      <c r="K685" s="59"/>
      <c r="L685" s="87"/>
      <c r="M685" s="87"/>
      <c r="N685" s="100"/>
      <c r="O685" s="100"/>
    </row>
    <row r="686" spans="1:15">
      <c r="A686" s="87"/>
      <c r="B686" s="87"/>
      <c r="C686" s="18"/>
      <c r="D686" s="18"/>
      <c r="E686" s="18"/>
      <c r="F686" s="87"/>
      <c r="G686" s="87"/>
      <c r="H686" s="87"/>
      <c r="I686" s="59"/>
      <c r="J686" s="59"/>
      <c r="K686" s="59"/>
      <c r="L686" s="87"/>
      <c r="M686" s="87"/>
      <c r="N686" s="100"/>
      <c r="O686" s="100"/>
    </row>
    <row r="687" spans="1:15">
      <c r="A687" s="87"/>
      <c r="B687" s="87"/>
      <c r="C687" s="18"/>
      <c r="D687" s="18"/>
      <c r="E687" s="18"/>
      <c r="F687" s="87"/>
      <c r="G687" s="87"/>
      <c r="H687" s="87"/>
      <c r="I687" s="59"/>
      <c r="J687" s="59"/>
      <c r="K687" s="59"/>
      <c r="L687" s="87"/>
      <c r="M687" s="87"/>
      <c r="N687" s="100"/>
      <c r="O687" s="100"/>
    </row>
    <row r="688" spans="1:15">
      <c r="A688" s="87"/>
      <c r="B688" s="87"/>
      <c r="C688" s="18"/>
      <c r="D688" s="18"/>
      <c r="E688" s="18"/>
      <c r="F688" s="87"/>
      <c r="G688" s="87"/>
      <c r="H688" s="87"/>
      <c r="I688" s="59"/>
      <c r="J688" s="59"/>
      <c r="K688" s="59"/>
      <c r="L688" s="87"/>
      <c r="M688" s="87"/>
      <c r="N688" s="100"/>
      <c r="O688" s="100"/>
    </row>
    <row r="689" spans="1:15">
      <c r="A689" s="87"/>
      <c r="B689" s="87"/>
      <c r="C689" s="18"/>
      <c r="D689" s="18"/>
      <c r="E689" s="18"/>
      <c r="F689" s="87"/>
      <c r="G689" s="87"/>
      <c r="H689" s="87"/>
      <c r="I689" s="59"/>
      <c r="J689" s="59"/>
      <c r="K689" s="59"/>
      <c r="L689" s="87"/>
      <c r="M689" s="87"/>
      <c r="N689" s="100"/>
      <c r="O689" s="100"/>
    </row>
    <row r="690" spans="1:15">
      <c r="A690" s="87"/>
      <c r="B690" s="87"/>
      <c r="C690" s="18"/>
      <c r="D690" s="18"/>
      <c r="E690" s="18"/>
      <c r="F690" s="87"/>
      <c r="G690" s="87"/>
      <c r="H690" s="87"/>
      <c r="I690" s="59"/>
      <c r="J690" s="59"/>
      <c r="K690" s="59"/>
      <c r="L690" s="87"/>
      <c r="M690" s="87"/>
      <c r="N690" s="100"/>
      <c r="O690" s="100"/>
    </row>
    <row r="691" spans="1:15">
      <c r="A691" s="87"/>
      <c r="B691" s="87"/>
      <c r="C691" s="18"/>
      <c r="D691" s="18"/>
      <c r="E691" s="18"/>
      <c r="F691" s="87"/>
      <c r="G691" s="87"/>
      <c r="H691" s="87"/>
      <c r="I691" s="59"/>
      <c r="J691" s="59"/>
      <c r="K691" s="59"/>
      <c r="L691" s="87"/>
      <c r="M691" s="87"/>
      <c r="N691" s="100"/>
      <c r="O691" s="100"/>
    </row>
    <row r="692" spans="1:15">
      <c r="A692" s="87"/>
      <c r="B692" s="87"/>
      <c r="C692" s="18"/>
      <c r="D692" s="18"/>
      <c r="E692" s="18"/>
      <c r="F692" s="87"/>
      <c r="G692" s="87"/>
      <c r="H692" s="87"/>
      <c r="I692" s="59"/>
      <c r="J692" s="59"/>
      <c r="K692" s="59"/>
      <c r="L692" s="87"/>
      <c r="M692" s="87"/>
      <c r="N692" s="100"/>
      <c r="O692" s="100"/>
    </row>
    <row r="693" spans="1:15">
      <c r="A693" s="87"/>
      <c r="B693" s="87"/>
      <c r="C693" s="18"/>
      <c r="D693" s="18"/>
      <c r="E693" s="18"/>
      <c r="F693" s="87"/>
      <c r="G693" s="87"/>
      <c r="H693" s="87"/>
      <c r="I693" s="59"/>
      <c r="J693" s="59"/>
      <c r="K693" s="59"/>
      <c r="L693" s="87"/>
      <c r="M693" s="87"/>
      <c r="N693" s="100"/>
      <c r="O693" s="100"/>
    </row>
    <row r="694" spans="1:15">
      <c r="A694" s="87"/>
      <c r="B694" s="87"/>
      <c r="C694" s="18"/>
      <c r="D694" s="18"/>
      <c r="E694" s="18"/>
      <c r="F694" s="87"/>
      <c r="G694" s="87"/>
      <c r="H694" s="87"/>
      <c r="I694" s="59"/>
      <c r="J694" s="59"/>
      <c r="K694" s="59"/>
      <c r="L694" s="87"/>
      <c r="M694" s="87"/>
      <c r="N694" s="100"/>
      <c r="O694" s="100"/>
    </row>
    <row r="695" spans="1:15">
      <c r="A695" s="87"/>
      <c r="B695" s="87"/>
      <c r="C695" s="18"/>
      <c r="D695" s="18"/>
      <c r="E695" s="18"/>
      <c r="F695" s="87"/>
      <c r="G695" s="87"/>
      <c r="H695" s="87"/>
      <c r="I695" s="59"/>
      <c r="J695" s="59"/>
      <c r="K695" s="59"/>
      <c r="L695" s="87"/>
      <c r="M695" s="87"/>
      <c r="N695" s="100"/>
      <c r="O695" s="100"/>
    </row>
    <row r="696" spans="1:15">
      <c r="A696" s="87"/>
      <c r="B696" s="87"/>
      <c r="C696" s="18"/>
      <c r="D696" s="18"/>
      <c r="E696" s="18"/>
      <c r="F696" s="87"/>
      <c r="G696" s="87"/>
      <c r="H696" s="87"/>
      <c r="I696" s="59"/>
      <c r="J696" s="59"/>
      <c r="K696" s="59"/>
      <c r="L696" s="87"/>
      <c r="M696" s="87"/>
      <c r="N696" s="100"/>
      <c r="O696" s="100"/>
    </row>
    <row r="697" spans="1:15">
      <c r="A697" s="87"/>
      <c r="B697" s="87"/>
      <c r="C697" s="18"/>
      <c r="D697" s="18"/>
      <c r="E697" s="18"/>
      <c r="F697" s="87"/>
      <c r="G697" s="87"/>
      <c r="H697" s="87"/>
      <c r="I697" s="59"/>
      <c r="J697" s="59"/>
      <c r="K697" s="59"/>
      <c r="L697" s="87"/>
      <c r="M697" s="87"/>
      <c r="N697" s="100"/>
      <c r="O697" s="100"/>
    </row>
    <row r="698" spans="1:15">
      <c r="A698" s="87"/>
      <c r="B698" s="87"/>
      <c r="C698" s="18"/>
      <c r="D698" s="18"/>
      <c r="E698" s="18"/>
      <c r="F698" s="87"/>
      <c r="G698" s="87"/>
      <c r="H698" s="87"/>
      <c r="I698" s="59"/>
      <c r="J698" s="59"/>
      <c r="K698" s="59"/>
      <c r="L698" s="87"/>
      <c r="M698" s="87"/>
      <c r="N698" s="100"/>
      <c r="O698" s="100"/>
    </row>
    <row r="699" spans="1:15">
      <c r="A699" s="87"/>
      <c r="B699" s="87"/>
      <c r="C699" s="18"/>
      <c r="D699" s="18"/>
      <c r="E699" s="18"/>
      <c r="F699" s="87"/>
      <c r="G699" s="87"/>
      <c r="H699" s="87"/>
      <c r="I699" s="59"/>
      <c r="J699" s="59"/>
      <c r="K699" s="59"/>
      <c r="L699" s="87"/>
      <c r="M699" s="87"/>
      <c r="N699" s="100"/>
      <c r="O699" s="100"/>
    </row>
    <row r="700" spans="1:15">
      <c r="A700" s="87"/>
      <c r="B700" s="87"/>
      <c r="C700" s="18"/>
      <c r="D700" s="18"/>
      <c r="E700" s="18"/>
      <c r="F700" s="87"/>
      <c r="G700" s="87"/>
      <c r="H700" s="87"/>
      <c r="I700" s="59"/>
      <c r="J700" s="59"/>
      <c r="K700" s="59"/>
      <c r="L700" s="87"/>
      <c r="M700" s="87"/>
      <c r="N700" s="100"/>
      <c r="O700" s="100"/>
    </row>
    <row r="701" spans="1:15">
      <c r="A701" s="87"/>
      <c r="B701" s="87"/>
      <c r="C701" s="18"/>
      <c r="D701" s="18"/>
      <c r="E701" s="18"/>
      <c r="F701" s="87"/>
      <c r="G701" s="87"/>
      <c r="H701" s="87"/>
      <c r="I701" s="59"/>
      <c r="J701" s="59"/>
      <c r="K701" s="59"/>
      <c r="L701" s="87"/>
      <c r="M701" s="87"/>
      <c r="N701" s="100"/>
      <c r="O701" s="100"/>
    </row>
    <row r="702" spans="1:15">
      <c r="A702" s="87"/>
      <c r="B702" s="87"/>
      <c r="C702" s="18"/>
      <c r="D702" s="18"/>
      <c r="E702" s="18"/>
      <c r="F702" s="87"/>
      <c r="G702" s="87"/>
      <c r="H702" s="87"/>
      <c r="I702" s="59"/>
      <c r="J702" s="59"/>
      <c r="K702" s="59"/>
      <c r="L702" s="87"/>
      <c r="M702" s="87"/>
      <c r="N702" s="100"/>
      <c r="O702" s="100"/>
    </row>
    <row r="703" spans="1:15">
      <c r="A703" s="87"/>
      <c r="B703" s="87"/>
      <c r="C703" s="18"/>
      <c r="D703" s="18"/>
      <c r="E703" s="18"/>
      <c r="F703" s="87"/>
      <c r="G703" s="87"/>
      <c r="H703" s="87"/>
      <c r="I703" s="59"/>
      <c r="J703" s="59"/>
      <c r="K703" s="59"/>
      <c r="L703" s="87"/>
      <c r="M703" s="87"/>
      <c r="N703" s="100"/>
      <c r="O703" s="100"/>
    </row>
    <row r="704" spans="1:15">
      <c r="A704" s="87"/>
      <c r="B704" s="87"/>
      <c r="C704" s="18"/>
      <c r="D704" s="18"/>
      <c r="E704" s="18"/>
      <c r="F704" s="87"/>
      <c r="G704" s="87"/>
      <c r="H704" s="87"/>
      <c r="I704" s="59"/>
      <c r="J704" s="59"/>
      <c r="K704" s="59"/>
      <c r="L704" s="87"/>
      <c r="M704" s="87"/>
      <c r="N704" s="100"/>
      <c r="O704" s="100"/>
    </row>
    <row r="705" spans="1:15">
      <c r="A705" s="87"/>
      <c r="B705" s="87"/>
      <c r="C705" s="18"/>
      <c r="D705" s="18"/>
      <c r="E705" s="18"/>
      <c r="F705" s="87"/>
      <c r="G705" s="87"/>
      <c r="H705" s="87"/>
      <c r="I705" s="59"/>
      <c r="J705" s="59"/>
      <c r="K705" s="59"/>
      <c r="L705" s="87"/>
      <c r="M705" s="87"/>
      <c r="N705" s="100"/>
      <c r="O705" s="100"/>
    </row>
    <row r="706" spans="1:15">
      <c r="A706" s="87"/>
      <c r="B706" s="87"/>
      <c r="C706" s="18"/>
      <c r="D706" s="18"/>
      <c r="E706" s="18"/>
      <c r="F706" s="87"/>
      <c r="G706" s="87"/>
      <c r="H706" s="87"/>
      <c r="I706" s="59"/>
      <c r="J706" s="59"/>
      <c r="K706" s="59"/>
      <c r="L706" s="87"/>
      <c r="M706" s="87"/>
      <c r="N706" s="100"/>
      <c r="O706" s="100"/>
    </row>
    <row r="707" spans="1:15">
      <c r="A707" s="87"/>
      <c r="B707" s="87"/>
      <c r="C707" s="18"/>
      <c r="D707" s="18"/>
      <c r="E707" s="18"/>
      <c r="F707" s="87"/>
      <c r="G707" s="87"/>
      <c r="H707" s="87"/>
      <c r="I707" s="59"/>
      <c r="J707" s="59"/>
      <c r="K707" s="59"/>
      <c r="L707" s="87"/>
      <c r="M707" s="87"/>
      <c r="N707" s="100"/>
      <c r="O707" s="100"/>
    </row>
    <row r="708" spans="1:15">
      <c r="A708" s="87"/>
      <c r="B708" s="87"/>
      <c r="C708" s="18"/>
      <c r="D708" s="18"/>
      <c r="E708" s="18"/>
      <c r="F708" s="87"/>
      <c r="G708" s="87"/>
      <c r="H708" s="87"/>
      <c r="I708" s="59"/>
      <c r="J708" s="59"/>
      <c r="K708" s="59"/>
      <c r="L708" s="87"/>
      <c r="M708" s="87"/>
      <c r="N708" s="100"/>
      <c r="O708" s="100"/>
    </row>
    <row r="709" spans="1:15">
      <c r="A709" s="87"/>
      <c r="B709" s="87"/>
      <c r="C709" s="18"/>
      <c r="D709" s="18"/>
      <c r="E709" s="18"/>
      <c r="F709" s="87"/>
      <c r="G709" s="87"/>
      <c r="H709" s="87"/>
      <c r="I709" s="59"/>
      <c r="J709" s="59"/>
      <c r="K709" s="59"/>
      <c r="L709" s="87"/>
      <c r="M709" s="87"/>
      <c r="N709" s="100"/>
      <c r="O709" s="100"/>
    </row>
    <row r="710" spans="1:15">
      <c r="A710" s="87"/>
      <c r="B710" s="87"/>
      <c r="C710" s="18"/>
      <c r="D710" s="18"/>
      <c r="E710" s="18"/>
      <c r="F710" s="87"/>
      <c r="G710" s="87"/>
      <c r="H710" s="87"/>
      <c r="I710" s="59"/>
      <c r="J710" s="59"/>
      <c r="K710" s="59"/>
      <c r="L710" s="87"/>
      <c r="M710" s="87"/>
      <c r="N710" s="100"/>
      <c r="O710" s="100"/>
    </row>
    <row r="711" spans="1:15">
      <c r="A711" s="87"/>
      <c r="B711" s="87"/>
      <c r="C711" s="18"/>
      <c r="D711" s="18"/>
      <c r="E711" s="18"/>
      <c r="F711" s="87"/>
      <c r="G711" s="87"/>
      <c r="H711" s="87"/>
      <c r="I711" s="59"/>
      <c r="J711" s="59"/>
      <c r="K711" s="59"/>
      <c r="L711" s="87"/>
      <c r="M711" s="87"/>
      <c r="N711" s="100"/>
      <c r="O711" s="100"/>
    </row>
    <row r="712" spans="1:15">
      <c r="A712" s="87"/>
      <c r="B712" s="87"/>
      <c r="C712" s="18"/>
      <c r="D712" s="18"/>
      <c r="E712" s="18"/>
      <c r="F712" s="87"/>
      <c r="G712" s="87"/>
      <c r="H712" s="87"/>
      <c r="I712" s="59"/>
      <c r="J712" s="59"/>
      <c r="K712" s="59"/>
      <c r="L712" s="87"/>
      <c r="M712" s="87"/>
      <c r="N712" s="100"/>
      <c r="O712" s="100"/>
    </row>
    <row r="713" spans="1:15">
      <c r="A713" s="87"/>
      <c r="B713" s="87"/>
      <c r="C713" s="18"/>
      <c r="D713" s="18"/>
      <c r="E713" s="18"/>
      <c r="F713" s="87"/>
      <c r="G713" s="87"/>
      <c r="H713" s="87"/>
      <c r="I713" s="59"/>
      <c r="J713" s="59"/>
      <c r="K713" s="59"/>
      <c r="L713" s="87"/>
      <c r="M713" s="87"/>
      <c r="N713" s="100"/>
      <c r="O713" s="100"/>
    </row>
    <row r="714" spans="1:15">
      <c r="A714" s="87"/>
      <c r="B714" s="87"/>
      <c r="C714" s="18"/>
      <c r="D714" s="18"/>
      <c r="E714" s="18"/>
      <c r="F714" s="87"/>
      <c r="G714" s="87"/>
      <c r="H714" s="87"/>
      <c r="I714" s="59"/>
      <c r="J714" s="59"/>
      <c r="K714" s="59"/>
      <c r="L714" s="87"/>
      <c r="M714" s="87"/>
      <c r="N714" s="100"/>
      <c r="O714" s="100"/>
    </row>
    <row r="715" spans="1:15">
      <c r="A715" s="87"/>
      <c r="B715" s="87"/>
      <c r="C715" s="18"/>
      <c r="D715" s="18"/>
      <c r="E715" s="18"/>
      <c r="F715" s="87"/>
      <c r="G715" s="87"/>
      <c r="H715" s="87"/>
      <c r="I715" s="59"/>
      <c r="J715" s="59"/>
      <c r="K715" s="59"/>
      <c r="L715" s="87"/>
      <c r="M715" s="87"/>
      <c r="N715" s="100"/>
      <c r="O715" s="100"/>
    </row>
    <row r="716" spans="1:15">
      <c r="A716" s="87"/>
      <c r="B716" s="87"/>
      <c r="C716" s="18"/>
      <c r="D716" s="18"/>
      <c r="E716" s="18"/>
      <c r="F716" s="87"/>
      <c r="G716" s="87"/>
      <c r="H716" s="87"/>
      <c r="I716" s="59"/>
      <c r="J716" s="59"/>
      <c r="K716" s="59"/>
      <c r="L716" s="87"/>
      <c r="M716" s="87"/>
      <c r="N716" s="100"/>
      <c r="O716" s="100"/>
    </row>
    <row r="717" spans="1:15">
      <c r="A717" s="87"/>
      <c r="B717" s="87"/>
      <c r="C717" s="18"/>
      <c r="D717" s="18"/>
      <c r="E717" s="18"/>
      <c r="F717" s="87"/>
      <c r="G717" s="87"/>
      <c r="H717" s="87"/>
      <c r="I717" s="59"/>
      <c r="J717" s="59"/>
      <c r="K717" s="59"/>
      <c r="L717" s="87"/>
      <c r="M717" s="87"/>
      <c r="N717" s="100"/>
      <c r="O717" s="100"/>
    </row>
    <row r="718" spans="1:15">
      <c r="A718" s="87"/>
      <c r="B718" s="87"/>
      <c r="C718" s="18"/>
      <c r="D718" s="18"/>
      <c r="E718" s="18"/>
      <c r="F718" s="87"/>
      <c r="G718" s="87"/>
      <c r="H718" s="87"/>
      <c r="I718" s="59"/>
      <c r="J718" s="59"/>
      <c r="K718" s="59"/>
      <c r="L718" s="87"/>
      <c r="M718" s="87"/>
      <c r="N718" s="100"/>
      <c r="O718" s="100"/>
    </row>
    <row r="719" spans="1:15">
      <c r="A719" s="87"/>
      <c r="B719" s="87"/>
      <c r="C719" s="18"/>
      <c r="D719" s="18"/>
      <c r="E719" s="18"/>
      <c r="F719" s="87"/>
      <c r="G719" s="87"/>
      <c r="H719" s="87"/>
      <c r="I719" s="59"/>
      <c r="J719" s="59"/>
      <c r="K719" s="59"/>
      <c r="L719" s="87"/>
      <c r="M719" s="87"/>
      <c r="N719" s="100"/>
      <c r="O719" s="100"/>
    </row>
    <row r="720" spans="1:15">
      <c r="A720" s="87"/>
      <c r="B720" s="87"/>
      <c r="C720" s="18"/>
      <c r="D720" s="18"/>
      <c r="E720" s="18"/>
      <c r="F720" s="87"/>
      <c r="G720" s="87"/>
      <c r="H720" s="87"/>
      <c r="I720" s="59"/>
      <c r="J720" s="59"/>
      <c r="K720" s="59"/>
      <c r="L720" s="87"/>
      <c r="M720" s="87"/>
      <c r="N720" s="100"/>
      <c r="O720" s="100"/>
    </row>
    <row r="721" spans="1:15">
      <c r="A721" s="87"/>
      <c r="B721" s="87"/>
      <c r="C721" s="18"/>
      <c r="D721" s="18"/>
      <c r="E721" s="18"/>
      <c r="F721" s="87"/>
      <c r="G721" s="87"/>
      <c r="H721" s="87"/>
      <c r="I721" s="59"/>
      <c r="J721" s="59"/>
      <c r="K721" s="59"/>
      <c r="L721" s="87"/>
      <c r="M721" s="87"/>
      <c r="N721" s="100"/>
      <c r="O721" s="100"/>
    </row>
    <row r="722" spans="1:15">
      <c r="A722" s="87"/>
      <c r="B722" s="87"/>
      <c r="C722" s="18"/>
      <c r="D722" s="18"/>
      <c r="E722" s="18"/>
      <c r="F722" s="87"/>
      <c r="G722" s="87"/>
      <c r="H722" s="87"/>
      <c r="I722" s="59"/>
      <c r="J722" s="59"/>
      <c r="K722" s="59"/>
      <c r="L722" s="87"/>
      <c r="M722" s="87"/>
      <c r="N722" s="100"/>
      <c r="O722" s="100"/>
    </row>
    <row r="723" spans="1:15">
      <c r="A723" s="87"/>
      <c r="B723" s="87"/>
      <c r="C723" s="18"/>
      <c r="D723" s="18"/>
      <c r="E723" s="18"/>
      <c r="F723" s="87"/>
      <c r="G723" s="87"/>
      <c r="H723" s="87"/>
      <c r="I723" s="59"/>
      <c r="J723" s="59"/>
      <c r="K723" s="59"/>
      <c r="L723" s="87"/>
      <c r="M723" s="87"/>
      <c r="N723" s="100"/>
      <c r="O723" s="100"/>
    </row>
    <row r="724" spans="1:15">
      <c r="A724" s="87"/>
      <c r="B724" s="87"/>
      <c r="C724" s="18"/>
      <c r="D724" s="18"/>
      <c r="E724" s="18"/>
      <c r="F724" s="87"/>
      <c r="G724" s="87"/>
      <c r="H724" s="87"/>
      <c r="I724" s="59"/>
      <c r="J724" s="59"/>
      <c r="K724" s="59"/>
      <c r="L724" s="87"/>
      <c r="M724" s="87"/>
      <c r="N724" s="100"/>
      <c r="O724" s="100"/>
    </row>
    <row r="725" spans="1:15">
      <c r="A725" s="87"/>
      <c r="B725" s="87"/>
      <c r="C725" s="18"/>
      <c r="D725" s="18"/>
      <c r="E725" s="18"/>
      <c r="F725" s="87"/>
      <c r="G725" s="87"/>
      <c r="H725" s="87"/>
      <c r="I725" s="59"/>
      <c r="J725" s="59"/>
      <c r="K725" s="59"/>
      <c r="L725" s="87"/>
      <c r="M725" s="87"/>
      <c r="N725" s="100"/>
      <c r="O725" s="100"/>
    </row>
    <row r="726" spans="1:15">
      <c r="A726" s="87"/>
      <c r="B726" s="87"/>
      <c r="C726" s="18"/>
      <c r="D726" s="18"/>
      <c r="E726" s="18"/>
      <c r="F726" s="87"/>
      <c r="G726" s="87"/>
      <c r="H726" s="87"/>
      <c r="I726" s="59"/>
      <c r="J726" s="59"/>
      <c r="K726" s="59"/>
      <c r="L726" s="87"/>
      <c r="M726" s="87"/>
      <c r="N726" s="100"/>
      <c r="O726" s="100"/>
    </row>
    <row r="727" spans="1:15">
      <c r="A727" s="87"/>
      <c r="B727" s="87"/>
      <c r="C727" s="18"/>
      <c r="D727" s="18"/>
      <c r="E727" s="18"/>
      <c r="F727" s="87"/>
      <c r="G727" s="87"/>
      <c r="H727" s="87"/>
      <c r="I727" s="59"/>
      <c r="J727" s="59"/>
      <c r="K727" s="59"/>
      <c r="L727" s="87"/>
      <c r="M727" s="87"/>
      <c r="N727" s="100"/>
      <c r="O727" s="100"/>
    </row>
    <row r="728" spans="1:15">
      <c r="A728" s="87"/>
      <c r="B728" s="87"/>
      <c r="C728" s="18"/>
      <c r="D728" s="18"/>
      <c r="E728" s="18"/>
      <c r="F728" s="87"/>
      <c r="G728" s="87"/>
      <c r="H728" s="87"/>
      <c r="I728" s="59"/>
      <c r="J728" s="59"/>
      <c r="K728" s="59"/>
      <c r="L728" s="87"/>
      <c r="M728" s="87"/>
      <c r="N728" s="100"/>
      <c r="O728" s="100"/>
    </row>
    <row r="729" spans="1:15">
      <c r="A729" s="87"/>
      <c r="B729" s="87"/>
      <c r="C729" s="18"/>
      <c r="D729" s="18"/>
      <c r="E729" s="18"/>
      <c r="F729" s="87"/>
      <c r="G729" s="87"/>
      <c r="H729" s="87"/>
      <c r="I729" s="59"/>
      <c r="J729" s="59"/>
      <c r="K729" s="59"/>
      <c r="L729" s="87"/>
      <c r="M729" s="87"/>
      <c r="N729" s="100"/>
      <c r="O729" s="100"/>
    </row>
    <row r="730" spans="1:15">
      <c r="A730" s="87"/>
      <c r="B730" s="87"/>
      <c r="C730" s="18"/>
      <c r="D730" s="18"/>
      <c r="E730" s="18"/>
      <c r="F730" s="87"/>
      <c r="G730" s="87"/>
      <c r="H730" s="87"/>
      <c r="I730" s="59"/>
      <c r="J730" s="59"/>
      <c r="K730" s="59"/>
      <c r="L730" s="87"/>
      <c r="M730" s="87"/>
      <c r="N730" s="100"/>
      <c r="O730" s="100"/>
    </row>
    <row r="731" spans="1:15">
      <c r="A731" s="87"/>
      <c r="B731" s="87"/>
      <c r="C731" s="18"/>
      <c r="D731" s="18"/>
      <c r="E731" s="18"/>
      <c r="F731" s="87"/>
      <c r="G731" s="87"/>
      <c r="H731" s="87"/>
      <c r="I731" s="59"/>
      <c r="J731" s="59"/>
      <c r="K731" s="59"/>
      <c r="L731" s="87"/>
      <c r="M731" s="87"/>
      <c r="N731" s="100"/>
      <c r="O731" s="100"/>
    </row>
    <row r="732" spans="1:15">
      <c r="A732" s="87"/>
      <c r="B732" s="87"/>
      <c r="C732" s="18"/>
      <c r="D732" s="18"/>
      <c r="E732" s="18"/>
      <c r="F732" s="87"/>
      <c r="G732" s="87"/>
      <c r="H732" s="87"/>
      <c r="I732" s="59"/>
      <c r="J732" s="59"/>
      <c r="K732" s="59"/>
      <c r="L732" s="87"/>
      <c r="M732" s="87"/>
      <c r="N732" s="100"/>
      <c r="O732" s="100"/>
    </row>
    <row r="733" spans="1:15">
      <c r="A733" s="87"/>
      <c r="B733" s="87"/>
      <c r="C733" s="18"/>
      <c r="D733" s="18"/>
      <c r="E733" s="18"/>
      <c r="F733" s="87"/>
      <c r="G733" s="87"/>
      <c r="H733" s="87"/>
      <c r="I733" s="59"/>
      <c r="J733" s="59"/>
      <c r="K733" s="59"/>
      <c r="L733" s="87"/>
      <c r="M733" s="87"/>
      <c r="N733" s="100"/>
      <c r="O733" s="100"/>
    </row>
    <row r="734" spans="1:15">
      <c r="A734" s="87"/>
      <c r="B734" s="87"/>
      <c r="C734" s="18"/>
      <c r="D734" s="18"/>
      <c r="E734" s="18"/>
      <c r="F734" s="87"/>
      <c r="G734" s="87"/>
      <c r="H734" s="87"/>
      <c r="I734" s="59"/>
      <c r="J734" s="59"/>
      <c r="K734" s="59"/>
      <c r="L734" s="87"/>
      <c r="M734" s="87"/>
      <c r="N734" s="100"/>
      <c r="O734" s="100"/>
    </row>
    <row r="735" spans="1:15">
      <c r="A735" s="87"/>
      <c r="B735" s="87"/>
      <c r="C735" s="18"/>
      <c r="D735" s="18"/>
      <c r="E735" s="18"/>
      <c r="F735" s="87"/>
      <c r="G735" s="87"/>
      <c r="H735" s="87"/>
      <c r="I735" s="59"/>
      <c r="J735" s="59"/>
      <c r="K735" s="59"/>
      <c r="L735" s="87"/>
      <c r="M735" s="87"/>
      <c r="N735" s="100"/>
      <c r="O735" s="100"/>
    </row>
    <row r="736" spans="1:15">
      <c r="A736" s="87"/>
      <c r="B736" s="87"/>
      <c r="C736" s="18"/>
      <c r="D736" s="18"/>
      <c r="E736" s="18"/>
      <c r="F736" s="87"/>
      <c r="G736" s="87"/>
      <c r="H736" s="87"/>
      <c r="I736" s="59"/>
      <c r="J736" s="59"/>
      <c r="K736" s="59"/>
      <c r="L736" s="87"/>
      <c r="M736" s="87"/>
      <c r="N736" s="100"/>
      <c r="O736" s="100"/>
    </row>
    <row r="737" spans="1:15">
      <c r="A737" s="87"/>
      <c r="B737" s="87"/>
      <c r="C737" s="18"/>
      <c r="D737" s="18"/>
      <c r="E737" s="18"/>
      <c r="F737" s="87"/>
      <c r="G737" s="87"/>
      <c r="H737" s="87"/>
      <c r="I737" s="59"/>
      <c r="J737" s="59"/>
      <c r="K737" s="59"/>
      <c r="L737" s="87"/>
      <c r="M737" s="87"/>
      <c r="N737" s="100"/>
      <c r="O737" s="100"/>
    </row>
    <row r="738" spans="1:15">
      <c r="A738" s="87"/>
      <c r="B738" s="87"/>
      <c r="C738" s="18"/>
      <c r="D738" s="18"/>
      <c r="E738" s="18"/>
      <c r="F738" s="87"/>
      <c r="G738" s="87"/>
      <c r="H738" s="87"/>
      <c r="I738" s="59"/>
      <c r="J738" s="59"/>
      <c r="K738" s="59"/>
      <c r="L738" s="87"/>
      <c r="M738" s="87"/>
      <c r="N738" s="100"/>
      <c r="O738" s="100"/>
    </row>
    <row r="739" spans="1:15">
      <c r="A739" s="87"/>
      <c r="B739" s="87"/>
      <c r="C739" s="18"/>
      <c r="D739" s="18"/>
      <c r="E739" s="18"/>
      <c r="F739" s="87"/>
      <c r="G739" s="87"/>
      <c r="H739" s="87"/>
      <c r="I739" s="59"/>
      <c r="J739" s="59"/>
      <c r="K739" s="59"/>
      <c r="L739" s="87"/>
      <c r="M739" s="87"/>
      <c r="N739" s="100"/>
      <c r="O739" s="100"/>
    </row>
    <row r="740" spans="1:15">
      <c r="A740" s="87"/>
      <c r="B740" s="87"/>
      <c r="C740" s="18"/>
      <c r="D740" s="18"/>
      <c r="E740" s="18"/>
      <c r="F740" s="87"/>
      <c r="G740" s="87"/>
      <c r="H740" s="87"/>
      <c r="I740" s="59"/>
      <c r="J740" s="59"/>
      <c r="K740" s="59"/>
      <c r="L740" s="87"/>
      <c r="M740" s="87"/>
      <c r="N740" s="100"/>
      <c r="O740" s="100"/>
    </row>
    <row r="741" spans="1:15">
      <c r="A741" s="87"/>
      <c r="B741" s="87"/>
      <c r="C741" s="18"/>
      <c r="D741" s="18"/>
      <c r="E741" s="18"/>
      <c r="F741" s="87"/>
      <c r="G741" s="87"/>
      <c r="H741" s="87"/>
      <c r="I741" s="59"/>
      <c r="J741" s="59"/>
      <c r="K741" s="59"/>
      <c r="L741" s="87"/>
      <c r="M741" s="87"/>
      <c r="N741" s="100"/>
      <c r="O741" s="100"/>
    </row>
    <row r="742" spans="1:15">
      <c r="A742" s="87"/>
      <c r="B742" s="87"/>
      <c r="C742" s="18"/>
      <c r="D742" s="18"/>
      <c r="E742" s="18"/>
      <c r="F742" s="87"/>
      <c r="G742" s="87"/>
      <c r="H742" s="87"/>
      <c r="I742" s="59"/>
      <c r="J742" s="59"/>
      <c r="K742" s="59"/>
      <c r="L742" s="87"/>
      <c r="M742" s="87"/>
      <c r="N742" s="100"/>
      <c r="O742" s="100"/>
    </row>
    <row r="743" spans="1:15">
      <c r="A743" s="87"/>
      <c r="B743" s="87"/>
      <c r="C743" s="18"/>
      <c r="D743" s="18"/>
      <c r="E743" s="18"/>
      <c r="F743" s="87"/>
      <c r="G743" s="87"/>
      <c r="H743" s="87"/>
      <c r="I743" s="59"/>
      <c r="J743" s="59"/>
      <c r="K743" s="59"/>
      <c r="L743" s="87"/>
      <c r="M743" s="87"/>
      <c r="N743" s="100"/>
      <c r="O743" s="100"/>
    </row>
    <row r="744" spans="1:15">
      <c r="A744" s="87"/>
      <c r="B744" s="87"/>
      <c r="C744" s="18"/>
      <c r="D744" s="18"/>
      <c r="E744" s="18"/>
      <c r="F744" s="87"/>
      <c r="G744" s="87"/>
      <c r="H744" s="87"/>
      <c r="I744" s="59"/>
      <c r="J744" s="59"/>
      <c r="K744" s="59"/>
      <c r="L744" s="87"/>
      <c r="M744" s="87"/>
      <c r="N744" s="100"/>
      <c r="O744" s="100"/>
    </row>
    <row r="745" spans="1:15">
      <c r="A745" s="87"/>
      <c r="B745" s="87"/>
      <c r="C745" s="18"/>
      <c r="D745" s="18"/>
      <c r="E745" s="18"/>
      <c r="F745" s="87"/>
      <c r="G745" s="87"/>
      <c r="H745" s="87"/>
      <c r="I745" s="59"/>
      <c r="J745" s="59"/>
      <c r="K745" s="59"/>
      <c r="L745" s="87"/>
      <c r="M745" s="87"/>
      <c r="N745" s="100"/>
      <c r="O745" s="100"/>
    </row>
    <row r="746" spans="1:15">
      <c r="A746" s="87"/>
      <c r="B746" s="87"/>
      <c r="C746" s="18"/>
      <c r="D746" s="18"/>
      <c r="E746" s="18"/>
      <c r="F746" s="87"/>
      <c r="G746" s="87"/>
      <c r="H746" s="87"/>
      <c r="I746" s="59"/>
      <c r="J746" s="59"/>
      <c r="K746" s="59"/>
      <c r="L746" s="87"/>
      <c r="M746" s="87"/>
      <c r="N746" s="100"/>
      <c r="O746" s="100"/>
    </row>
    <row r="747" spans="1:15">
      <c r="A747" s="87"/>
      <c r="B747" s="87"/>
      <c r="C747" s="18"/>
      <c r="D747" s="18"/>
      <c r="E747" s="18"/>
      <c r="F747" s="87"/>
      <c r="G747" s="87"/>
      <c r="H747" s="87"/>
      <c r="I747" s="59"/>
      <c r="J747" s="59"/>
      <c r="K747" s="59"/>
      <c r="L747" s="87"/>
      <c r="M747" s="87"/>
      <c r="N747" s="100"/>
      <c r="O747" s="100"/>
    </row>
    <row r="748" spans="1:15">
      <c r="A748" s="87"/>
      <c r="B748" s="87"/>
      <c r="C748" s="18"/>
      <c r="D748" s="18"/>
      <c r="E748" s="18"/>
      <c r="F748" s="87"/>
      <c r="G748" s="87"/>
      <c r="H748" s="87"/>
      <c r="I748" s="59"/>
      <c r="J748" s="59"/>
      <c r="K748" s="59"/>
      <c r="L748" s="87"/>
      <c r="M748" s="87"/>
      <c r="N748" s="100"/>
      <c r="O748" s="100"/>
    </row>
    <row r="749" spans="1:15">
      <c r="A749" s="87"/>
      <c r="B749" s="87"/>
      <c r="C749" s="18"/>
      <c r="D749" s="18"/>
      <c r="E749" s="18"/>
      <c r="F749" s="87"/>
      <c r="G749" s="87"/>
      <c r="H749" s="87"/>
      <c r="I749" s="59"/>
      <c r="J749" s="59"/>
      <c r="K749" s="59"/>
      <c r="L749" s="87"/>
      <c r="M749" s="87"/>
      <c r="N749" s="100"/>
      <c r="O749" s="100"/>
    </row>
    <row r="750" spans="1:15">
      <c r="A750" s="87"/>
      <c r="B750" s="87"/>
      <c r="C750" s="18"/>
      <c r="D750" s="18"/>
      <c r="E750" s="18"/>
      <c r="F750" s="87"/>
      <c r="G750" s="87"/>
      <c r="H750" s="87"/>
      <c r="I750" s="59"/>
      <c r="J750" s="59"/>
      <c r="K750" s="59"/>
      <c r="L750" s="87"/>
      <c r="M750" s="87"/>
      <c r="N750" s="100"/>
      <c r="O750" s="100"/>
    </row>
    <row r="751" spans="1:15">
      <c r="A751" s="87"/>
      <c r="B751" s="87"/>
      <c r="C751" s="18"/>
      <c r="D751" s="18"/>
      <c r="E751" s="18"/>
      <c r="F751" s="87"/>
      <c r="G751" s="87"/>
      <c r="H751" s="87"/>
      <c r="I751" s="59"/>
      <c r="J751" s="59"/>
      <c r="K751" s="59"/>
      <c r="L751" s="87"/>
      <c r="M751" s="87"/>
      <c r="N751" s="100"/>
      <c r="O751" s="100"/>
    </row>
    <row r="752" spans="1:15">
      <c r="A752" s="87"/>
      <c r="B752" s="87"/>
      <c r="C752" s="18"/>
      <c r="D752" s="18"/>
      <c r="E752" s="18"/>
      <c r="F752" s="87"/>
      <c r="G752" s="87"/>
      <c r="H752" s="87"/>
      <c r="I752" s="59"/>
      <c r="J752" s="59"/>
      <c r="K752" s="59"/>
      <c r="L752" s="87"/>
      <c r="M752" s="87"/>
      <c r="N752" s="100"/>
      <c r="O752" s="100"/>
    </row>
    <row r="753" spans="1:15">
      <c r="A753" s="87"/>
      <c r="B753" s="87"/>
      <c r="C753" s="18"/>
      <c r="D753" s="18"/>
      <c r="E753" s="18"/>
      <c r="F753" s="87"/>
      <c r="G753" s="87"/>
      <c r="H753" s="87"/>
      <c r="I753" s="59"/>
      <c r="J753" s="59"/>
      <c r="K753" s="59"/>
      <c r="L753" s="87"/>
      <c r="M753" s="87"/>
      <c r="N753" s="100"/>
      <c r="O753" s="100"/>
    </row>
    <row r="754" spans="1:15">
      <c r="A754" s="87"/>
      <c r="B754" s="87"/>
      <c r="C754" s="18"/>
      <c r="D754" s="18"/>
      <c r="E754" s="18"/>
      <c r="F754" s="87"/>
      <c r="G754" s="87"/>
      <c r="H754" s="87"/>
      <c r="I754" s="59"/>
      <c r="J754" s="59"/>
      <c r="K754" s="59"/>
      <c r="L754" s="87"/>
      <c r="M754" s="87"/>
      <c r="N754" s="100"/>
      <c r="O754" s="100"/>
    </row>
    <row r="755" spans="1:15">
      <c r="A755" s="87"/>
      <c r="B755" s="87"/>
      <c r="C755" s="18"/>
      <c r="D755" s="18"/>
      <c r="E755" s="18"/>
      <c r="F755" s="87"/>
      <c r="G755" s="87"/>
      <c r="H755" s="87"/>
      <c r="I755" s="59"/>
      <c r="J755" s="59"/>
      <c r="K755" s="59"/>
      <c r="L755" s="87"/>
      <c r="M755" s="87"/>
      <c r="N755" s="100"/>
      <c r="O755" s="100"/>
    </row>
    <row r="756" spans="1:15">
      <c r="A756" s="87"/>
      <c r="B756" s="87"/>
      <c r="C756" s="18"/>
      <c r="D756" s="18"/>
      <c r="E756" s="18"/>
      <c r="F756" s="87"/>
      <c r="G756" s="87"/>
      <c r="H756" s="87"/>
      <c r="I756" s="59"/>
      <c r="J756" s="59"/>
      <c r="K756" s="59"/>
      <c r="L756" s="87"/>
      <c r="M756" s="87"/>
      <c r="N756" s="100"/>
      <c r="O756" s="100"/>
    </row>
    <row r="757" spans="1:15">
      <c r="A757" s="87"/>
      <c r="B757" s="87"/>
      <c r="C757" s="18"/>
      <c r="D757" s="18"/>
      <c r="E757" s="18"/>
      <c r="F757" s="87"/>
      <c r="G757" s="87"/>
      <c r="H757" s="87"/>
      <c r="I757" s="59"/>
      <c r="J757" s="59"/>
      <c r="K757" s="59"/>
      <c r="L757" s="87"/>
      <c r="M757" s="87"/>
      <c r="N757" s="100"/>
      <c r="O757" s="100"/>
    </row>
    <row r="758" spans="1:15">
      <c r="A758" s="87"/>
      <c r="B758" s="87"/>
      <c r="C758" s="18"/>
      <c r="D758" s="18"/>
      <c r="E758" s="18"/>
      <c r="F758" s="87"/>
      <c r="G758" s="87"/>
      <c r="H758" s="87"/>
      <c r="I758" s="59"/>
      <c r="J758" s="59"/>
      <c r="K758" s="59"/>
      <c r="L758" s="87"/>
      <c r="M758" s="87"/>
      <c r="N758" s="100"/>
      <c r="O758" s="100"/>
    </row>
    <row r="759" spans="1:15">
      <c r="A759" s="87"/>
      <c r="B759" s="87"/>
      <c r="C759" s="18"/>
      <c r="D759" s="18"/>
      <c r="E759" s="18"/>
      <c r="F759" s="87"/>
      <c r="G759" s="87"/>
      <c r="H759" s="87"/>
      <c r="I759" s="59"/>
      <c r="J759" s="59"/>
      <c r="K759" s="59"/>
      <c r="L759" s="87"/>
      <c r="M759" s="87"/>
      <c r="N759" s="100"/>
      <c r="O759" s="100"/>
    </row>
    <row r="760" spans="1:15">
      <c r="A760" s="87"/>
      <c r="B760" s="87"/>
      <c r="C760" s="18"/>
      <c r="D760" s="18"/>
      <c r="E760" s="18"/>
      <c r="F760" s="87"/>
      <c r="G760" s="87"/>
      <c r="H760" s="87"/>
      <c r="I760" s="59"/>
      <c r="J760" s="59"/>
      <c r="K760" s="59"/>
      <c r="L760" s="87"/>
      <c r="M760" s="87"/>
      <c r="N760" s="100"/>
      <c r="O760" s="100"/>
    </row>
    <row r="761" spans="1:15">
      <c r="A761" s="87"/>
      <c r="B761" s="87"/>
      <c r="C761" s="18"/>
      <c r="D761" s="18"/>
      <c r="E761" s="18"/>
      <c r="F761" s="87"/>
      <c r="G761" s="87"/>
      <c r="H761" s="87"/>
      <c r="I761" s="59"/>
      <c r="J761" s="59"/>
      <c r="K761" s="59"/>
      <c r="L761" s="87"/>
      <c r="M761" s="87"/>
      <c r="N761" s="100"/>
      <c r="O761" s="100"/>
    </row>
    <row r="762" spans="1:15">
      <c r="A762" s="87"/>
      <c r="B762" s="87"/>
      <c r="C762" s="18"/>
      <c r="D762" s="18"/>
      <c r="E762" s="18"/>
      <c r="F762" s="87"/>
      <c r="G762" s="87"/>
      <c r="H762" s="87"/>
      <c r="I762" s="59"/>
      <c r="J762" s="59"/>
      <c r="K762" s="59"/>
      <c r="L762" s="87"/>
      <c r="M762" s="87"/>
      <c r="N762" s="100"/>
      <c r="O762" s="100"/>
    </row>
    <row r="763" spans="1:15">
      <c r="A763" s="87"/>
      <c r="B763" s="87"/>
      <c r="C763" s="18"/>
      <c r="D763" s="18"/>
      <c r="E763" s="18"/>
      <c r="F763" s="87"/>
      <c r="G763" s="87"/>
      <c r="H763" s="87"/>
      <c r="I763" s="59"/>
      <c r="J763" s="59"/>
      <c r="K763" s="59"/>
      <c r="L763" s="87"/>
      <c r="M763" s="87"/>
      <c r="N763" s="100"/>
      <c r="O763" s="100"/>
    </row>
    <row r="764" spans="1:15">
      <c r="A764" s="87"/>
      <c r="B764" s="87"/>
      <c r="C764" s="18"/>
      <c r="D764" s="18"/>
      <c r="E764" s="18"/>
      <c r="F764" s="87"/>
      <c r="G764" s="87"/>
      <c r="H764" s="87"/>
      <c r="I764" s="59"/>
      <c r="J764" s="59"/>
      <c r="K764" s="59"/>
      <c r="L764" s="87"/>
      <c r="M764" s="87"/>
      <c r="N764" s="100"/>
      <c r="O764" s="100"/>
    </row>
    <row r="765" spans="1:15">
      <c r="A765" s="87"/>
      <c r="B765" s="87"/>
      <c r="C765" s="18"/>
      <c r="D765" s="18"/>
      <c r="E765" s="18"/>
      <c r="F765" s="87"/>
      <c r="G765" s="87"/>
      <c r="H765" s="87"/>
      <c r="I765" s="59"/>
      <c r="J765" s="59"/>
      <c r="K765" s="59"/>
      <c r="L765" s="87"/>
      <c r="M765" s="87"/>
      <c r="N765" s="100"/>
      <c r="O765" s="100"/>
    </row>
    <row r="766" spans="1:15">
      <c r="A766" s="87"/>
      <c r="B766" s="87"/>
      <c r="C766" s="18"/>
      <c r="D766" s="18"/>
      <c r="E766" s="18"/>
      <c r="F766" s="87"/>
      <c r="G766" s="87"/>
      <c r="H766" s="87"/>
      <c r="I766" s="59"/>
      <c r="J766" s="59"/>
      <c r="K766" s="59"/>
      <c r="L766" s="87"/>
      <c r="M766" s="87"/>
      <c r="N766" s="100"/>
      <c r="O766" s="100"/>
    </row>
    <row r="767" spans="1:15">
      <c r="A767" s="87"/>
      <c r="B767" s="87"/>
      <c r="C767" s="18"/>
      <c r="D767" s="18"/>
      <c r="E767" s="18"/>
      <c r="F767" s="87"/>
      <c r="G767" s="87"/>
      <c r="H767" s="87"/>
      <c r="I767" s="59"/>
      <c r="J767" s="59"/>
      <c r="K767" s="59"/>
      <c r="L767" s="87"/>
      <c r="M767" s="87"/>
      <c r="N767" s="100"/>
      <c r="O767" s="100"/>
    </row>
    <row r="768" spans="1:15">
      <c r="A768" s="87"/>
      <c r="B768" s="87"/>
      <c r="C768" s="18"/>
      <c r="D768" s="18"/>
      <c r="E768" s="18"/>
      <c r="F768" s="87"/>
      <c r="G768" s="87"/>
      <c r="H768" s="87"/>
      <c r="I768" s="59"/>
      <c r="J768" s="59"/>
      <c r="K768" s="59"/>
      <c r="L768" s="87"/>
      <c r="M768" s="87"/>
      <c r="N768" s="100"/>
      <c r="O768" s="100"/>
    </row>
    <row r="769" spans="1:15">
      <c r="A769" s="87"/>
      <c r="B769" s="87"/>
      <c r="C769" s="18"/>
      <c r="D769" s="18"/>
      <c r="E769" s="18"/>
      <c r="F769" s="87"/>
      <c r="G769" s="87"/>
      <c r="H769" s="87"/>
      <c r="I769" s="59"/>
      <c r="J769" s="59"/>
      <c r="K769" s="59"/>
      <c r="L769" s="87"/>
      <c r="M769" s="87"/>
      <c r="N769" s="100"/>
      <c r="O769" s="100"/>
    </row>
    <row r="770" spans="1:15">
      <c r="A770" s="87"/>
      <c r="B770" s="87"/>
      <c r="C770" s="18"/>
      <c r="D770" s="18"/>
      <c r="E770" s="18"/>
      <c r="F770" s="87"/>
      <c r="G770" s="87"/>
      <c r="H770" s="87"/>
      <c r="I770" s="59"/>
      <c r="J770" s="59"/>
      <c r="K770" s="59"/>
      <c r="L770" s="87"/>
      <c r="M770" s="87"/>
      <c r="N770" s="100"/>
      <c r="O770" s="100"/>
    </row>
    <row r="771" spans="1:15">
      <c r="A771" s="87"/>
      <c r="B771" s="87"/>
      <c r="C771" s="18"/>
      <c r="D771" s="18"/>
      <c r="E771" s="18"/>
      <c r="F771" s="87"/>
      <c r="G771" s="87"/>
      <c r="H771" s="87"/>
      <c r="I771" s="59"/>
      <c r="J771" s="59"/>
      <c r="K771" s="59"/>
      <c r="L771" s="87"/>
      <c r="M771" s="87"/>
      <c r="N771" s="100"/>
      <c r="O771" s="100"/>
    </row>
    <row r="772" spans="1:15">
      <c r="A772" s="87"/>
      <c r="B772" s="87"/>
      <c r="C772" s="18"/>
      <c r="D772" s="18"/>
      <c r="E772" s="18"/>
      <c r="F772" s="87"/>
      <c r="G772" s="87"/>
      <c r="H772" s="87"/>
      <c r="I772" s="59"/>
      <c r="J772" s="59"/>
      <c r="K772" s="59"/>
      <c r="L772" s="87"/>
      <c r="M772" s="87"/>
      <c r="N772" s="100"/>
      <c r="O772" s="100"/>
    </row>
    <row r="773" spans="1:15">
      <c r="A773" s="87"/>
      <c r="B773" s="87"/>
      <c r="C773" s="18"/>
      <c r="D773" s="18"/>
      <c r="E773" s="18"/>
      <c r="F773" s="87"/>
      <c r="G773" s="87"/>
      <c r="H773" s="87"/>
      <c r="I773" s="59"/>
      <c r="J773" s="59"/>
      <c r="K773" s="59"/>
      <c r="L773" s="87"/>
      <c r="M773" s="87"/>
      <c r="N773" s="100"/>
      <c r="O773" s="100"/>
    </row>
    <row r="774" spans="1:15">
      <c r="A774" s="87"/>
      <c r="B774" s="87"/>
      <c r="C774" s="18"/>
      <c r="D774" s="18"/>
      <c r="E774" s="18"/>
      <c r="F774" s="87"/>
      <c r="G774" s="87"/>
      <c r="H774" s="87"/>
      <c r="I774" s="59"/>
      <c r="J774" s="59"/>
      <c r="K774" s="59"/>
      <c r="L774" s="87"/>
      <c r="M774" s="87"/>
      <c r="N774" s="100"/>
      <c r="O774" s="100"/>
    </row>
    <row r="775" spans="1:15">
      <c r="A775" s="87"/>
      <c r="B775" s="87"/>
      <c r="C775" s="18"/>
      <c r="D775" s="18"/>
      <c r="E775" s="18"/>
      <c r="F775" s="87"/>
      <c r="G775" s="87"/>
      <c r="H775" s="87"/>
      <c r="I775" s="59"/>
      <c r="J775" s="59"/>
      <c r="K775" s="59"/>
      <c r="L775" s="87"/>
      <c r="M775" s="87"/>
      <c r="N775" s="100"/>
      <c r="O775" s="100"/>
    </row>
    <row r="776" spans="1:15">
      <c r="A776" s="87"/>
      <c r="B776" s="87"/>
      <c r="C776" s="18"/>
      <c r="D776" s="18"/>
      <c r="E776" s="18"/>
      <c r="F776" s="87"/>
      <c r="G776" s="87"/>
      <c r="H776" s="87"/>
      <c r="I776" s="59"/>
      <c r="J776" s="59"/>
      <c r="K776" s="59"/>
      <c r="L776" s="87"/>
      <c r="M776" s="87"/>
      <c r="N776" s="100"/>
      <c r="O776" s="100"/>
    </row>
    <row r="777" spans="1:15">
      <c r="A777" s="87"/>
      <c r="B777" s="87"/>
      <c r="C777" s="18"/>
      <c r="D777" s="18"/>
      <c r="E777" s="18"/>
      <c r="F777" s="87"/>
      <c r="G777" s="87"/>
      <c r="H777" s="87"/>
      <c r="I777" s="59"/>
      <c r="J777" s="59"/>
      <c r="K777" s="59"/>
      <c r="L777" s="87"/>
      <c r="M777" s="87"/>
      <c r="N777" s="100"/>
      <c r="O777" s="100"/>
    </row>
    <row r="778" spans="1:15">
      <c r="A778" s="87"/>
      <c r="B778" s="87"/>
      <c r="C778" s="18"/>
      <c r="D778" s="18"/>
      <c r="E778" s="18"/>
      <c r="F778" s="87"/>
      <c r="G778" s="87"/>
      <c r="H778" s="87"/>
      <c r="I778" s="59"/>
      <c r="J778" s="59"/>
      <c r="K778" s="59"/>
      <c r="L778" s="87"/>
      <c r="M778" s="87"/>
      <c r="N778" s="100"/>
      <c r="O778" s="100"/>
    </row>
    <row r="779" spans="1:15">
      <c r="A779" s="87"/>
      <c r="B779" s="87"/>
      <c r="C779" s="18"/>
      <c r="D779" s="18"/>
      <c r="E779" s="18"/>
      <c r="F779" s="87"/>
      <c r="G779" s="87"/>
      <c r="H779" s="87"/>
      <c r="I779" s="59"/>
      <c r="J779" s="59"/>
      <c r="K779" s="59"/>
      <c r="L779" s="87"/>
      <c r="M779" s="87"/>
      <c r="N779" s="100"/>
      <c r="O779" s="100"/>
    </row>
    <row r="780" spans="1:15">
      <c r="A780" s="87"/>
      <c r="B780" s="87"/>
      <c r="C780" s="18"/>
      <c r="D780" s="18"/>
      <c r="E780" s="18"/>
      <c r="F780" s="87"/>
      <c r="G780" s="87"/>
      <c r="H780" s="87"/>
      <c r="I780" s="59"/>
      <c r="J780" s="59"/>
      <c r="K780" s="59"/>
      <c r="L780" s="87"/>
      <c r="M780" s="87"/>
      <c r="N780" s="100"/>
      <c r="O780" s="100"/>
    </row>
    <row r="781" spans="1:15">
      <c r="A781" s="87"/>
      <c r="B781" s="87"/>
      <c r="C781" s="18"/>
      <c r="D781" s="18"/>
      <c r="E781" s="18"/>
      <c r="F781" s="87"/>
      <c r="G781" s="87"/>
      <c r="H781" s="87"/>
      <c r="I781" s="59"/>
      <c r="J781" s="59"/>
      <c r="K781" s="59"/>
      <c r="L781" s="87"/>
      <c r="M781" s="87"/>
      <c r="N781" s="100"/>
      <c r="O781" s="100"/>
    </row>
    <row r="782" spans="1:15">
      <c r="A782" s="87"/>
      <c r="B782" s="87"/>
      <c r="C782" s="18"/>
      <c r="D782" s="18"/>
      <c r="E782" s="18"/>
      <c r="F782" s="87"/>
      <c r="G782" s="87"/>
      <c r="H782" s="87"/>
      <c r="I782" s="59"/>
      <c r="J782" s="59"/>
      <c r="K782" s="59"/>
      <c r="L782" s="87"/>
      <c r="M782" s="87"/>
      <c r="N782" s="100"/>
      <c r="O782" s="100"/>
    </row>
    <row r="783" spans="1:15">
      <c r="A783" s="87"/>
      <c r="B783" s="87"/>
      <c r="C783" s="18"/>
      <c r="D783" s="18"/>
      <c r="E783" s="18"/>
      <c r="F783" s="87"/>
      <c r="G783" s="87"/>
      <c r="H783" s="87"/>
      <c r="I783" s="59"/>
      <c r="J783" s="59"/>
      <c r="K783" s="59"/>
      <c r="L783" s="87"/>
      <c r="M783" s="87"/>
      <c r="N783" s="100"/>
      <c r="O783" s="100"/>
    </row>
    <row r="784" spans="1:15">
      <c r="A784" s="87"/>
      <c r="B784" s="87"/>
      <c r="C784" s="18"/>
      <c r="D784" s="18"/>
      <c r="E784" s="18"/>
      <c r="F784" s="87"/>
      <c r="G784" s="87"/>
      <c r="H784" s="87"/>
      <c r="I784" s="59"/>
      <c r="J784" s="59"/>
      <c r="K784" s="59"/>
      <c r="L784" s="87"/>
      <c r="M784" s="87"/>
      <c r="N784" s="100"/>
      <c r="O784" s="100"/>
    </row>
    <row r="785" spans="1:15">
      <c r="A785" s="87"/>
      <c r="B785" s="87"/>
      <c r="C785" s="18"/>
      <c r="D785" s="18"/>
      <c r="E785" s="18"/>
      <c r="F785" s="87"/>
      <c r="G785" s="87"/>
      <c r="H785" s="87"/>
      <c r="I785" s="59"/>
      <c r="J785" s="59"/>
      <c r="K785" s="59"/>
      <c r="L785" s="87"/>
      <c r="M785" s="87"/>
      <c r="N785" s="100"/>
      <c r="O785" s="100"/>
    </row>
    <row r="786" spans="1:15">
      <c r="A786" s="87"/>
      <c r="B786" s="87"/>
      <c r="C786" s="18"/>
      <c r="D786" s="18"/>
      <c r="E786" s="18"/>
      <c r="F786" s="87"/>
      <c r="G786" s="87"/>
      <c r="H786" s="87"/>
      <c r="I786" s="59"/>
      <c r="J786" s="59"/>
      <c r="K786" s="59"/>
      <c r="L786" s="87"/>
      <c r="M786" s="87"/>
      <c r="N786" s="100"/>
      <c r="O786" s="100"/>
    </row>
    <row r="787" spans="1:15">
      <c r="A787" s="87"/>
      <c r="B787" s="87"/>
      <c r="C787" s="18"/>
      <c r="D787" s="18"/>
      <c r="E787" s="18"/>
      <c r="F787" s="87"/>
      <c r="G787" s="87"/>
      <c r="H787" s="87"/>
      <c r="I787" s="59"/>
      <c r="J787" s="59"/>
      <c r="K787" s="59"/>
      <c r="L787" s="87"/>
      <c r="M787" s="87"/>
      <c r="N787" s="100"/>
      <c r="O787" s="100"/>
    </row>
    <row r="788" spans="1:15">
      <c r="A788" s="87"/>
      <c r="B788" s="87"/>
      <c r="C788" s="18"/>
      <c r="D788" s="18"/>
      <c r="E788" s="18"/>
      <c r="F788" s="87"/>
      <c r="G788" s="87"/>
      <c r="H788" s="87"/>
      <c r="I788" s="59"/>
      <c r="J788" s="59"/>
      <c r="K788" s="59"/>
      <c r="L788" s="87"/>
      <c r="M788" s="87"/>
      <c r="N788" s="100"/>
      <c r="O788" s="100"/>
    </row>
    <row r="789" spans="1:15">
      <c r="A789" s="87"/>
      <c r="B789" s="87"/>
      <c r="C789" s="18"/>
      <c r="D789" s="18"/>
      <c r="E789" s="18"/>
      <c r="F789" s="87"/>
      <c r="G789" s="87"/>
      <c r="H789" s="87"/>
      <c r="I789" s="59"/>
      <c r="J789" s="59"/>
      <c r="K789" s="59"/>
      <c r="L789" s="87"/>
      <c r="M789" s="87"/>
      <c r="N789" s="100"/>
      <c r="O789" s="100"/>
    </row>
    <row r="790" spans="1:15">
      <c r="A790" s="87"/>
      <c r="B790" s="87"/>
      <c r="C790" s="18"/>
      <c r="D790" s="18"/>
      <c r="E790" s="18"/>
      <c r="F790" s="87"/>
      <c r="G790" s="87"/>
      <c r="H790" s="87"/>
      <c r="I790" s="59"/>
      <c r="J790" s="59"/>
      <c r="K790" s="59"/>
      <c r="L790" s="87"/>
      <c r="M790" s="87"/>
      <c r="N790" s="100"/>
      <c r="O790" s="100"/>
    </row>
    <row r="791" spans="1:15">
      <c r="A791" s="87"/>
      <c r="B791" s="87"/>
      <c r="C791" s="18"/>
      <c r="D791" s="18"/>
      <c r="E791" s="18"/>
      <c r="F791" s="87"/>
      <c r="G791" s="87"/>
      <c r="H791" s="87"/>
      <c r="I791" s="59"/>
      <c r="J791" s="59"/>
      <c r="K791" s="59"/>
      <c r="L791" s="87"/>
      <c r="M791" s="87"/>
      <c r="N791" s="100"/>
      <c r="O791" s="100"/>
    </row>
    <row r="792" spans="1:15">
      <c r="A792" s="87"/>
      <c r="B792" s="87"/>
      <c r="C792" s="18"/>
      <c r="D792" s="18"/>
      <c r="E792" s="18"/>
      <c r="F792" s="87"/>
      <c r="G792" s="87"/>
      <c r="H792" s="87"/>
      <c r="I792" s="59"/>
      <c r="J792" s="59"/>
      <c r="K792" s="59"/>
      <c r="L792" s="87"/>
      <c r="M792" s="87"/>
      <c r="N792" s="100"/>
      <c r="O792" s="100"/>
    </row>
    <row r="793" spans="1:15">
      <c r="A793" s="87"/>
      <c r="B793" s="87"/>
      <c r="C793" s="18"/>
      <c r="D793" s="18"/>
      <c r="E793" s="18"/>
      <c r="F793" s="87"/>
      <c r="G793" s="87"/>
      <c r="H793" s="87"/>
      <c r="I793" s="59"/>
      <c r="J793" s="59"/>
      <c r="K793" s="59"/>
      <c r="L793" s="87"/>
      <c r="M793" s="87"/>
      <c r="N793" s="100"/>
      <c r="O793" s="100"/>
    </row>
    <row r="794" spans="1:15">
      <c r="A794" s="87"/>
      <c r="B794" s="87"/>
      <c r="C794" s="18"/>
      <c r="D794" s="18"/>
      <c r="E794" s="18"/>
      <c r="F794" s="87"/>
      <c r="G794" s="87"/>
      <c r="H794" s="87"/>
      <c r="I794" s="59"/>
      <c r="J794" s="59"/>
      <c r="K794" s="59"/>
      <c r="L794" s="87"/>
      <c r="M794" s="87"/>
      <c r="N794" s="100"/>
      <c r="O794" s="100"/>
    </row>
    <row r="795" spans="1:15">
      <c r="A795" s="87"/>
      <c r="B795" s="87"/>
      <c r="C795" s="18"/>
      <c r="D795" s="18"/>
      <c r="E795" s="18"/>
      <c r="F795" s="87"/>
      <c r="G795" s="87"/>
      <c r="H795" s="87"/>
      <c r="I795" s="59"/>
      <c r="J795" s="59"/>
      <c r="K795" s="59"/>
      <c r="L795" s="87"/>
      <c r="M795" s="87"/>
      <c r="N795" s="100"/>
      <c r="O795" s="100"/>
    </row>
    <row r="796" spans="1:15">
      <c r="A796" s="87"/>
      <c r="B796" s="87"/>
      <c r="C796" s="18"/>
      <c r="D796" s="18"/>
      <c r="E796" s="18"/>
      <c r="F796" s="87"/>
      <c r="G796" s="87"/>
      <c r="H796" s="87"/>
      <c r="I796" s="59"/>
      <c r="J796" s="59"/>
      <c r="K796" s="59"/>
      <c r="L796" s="87"/>
      <c r="M796" s="87"/>
      <c r="N796" s="100"/>
      <c r="O796" s="100"/>
    </row>
    <row r="797" spans="1:15">
      <c r="A797" s="87"/>
      <c r="B797" s="87"/>
      <c r="C797" s="18"/>
      <c r="D797" s="18"/>
      <c r="E797" s="18"/>
      <c r="F797" s="87"/>
      <c r="G797" s="87"/>
      <c r="H797" s="87"/>
      <c r="I797" s="59"/>
      <c r="J797" s="59"/>
      <c r="K797" s="59"/>
      <c r="L797" s="87"/>
      <c r="M797" s="87"/>
      <c r="N797" s="100"/>
      <c r="O797" s="100"/>
    </row>
    <row r="798" spans="1:15">
      <c r="A798" s="87"/>
      <c r="B798" s="87"/>
      <c r="C798" s="18"/>
      <c r="D798" s="18"/>
      <c r="E798" s="18"/>
      <c r="F798" s="87"/>
      <c r="G798" s="87"/>
      <c r="H798" s="87"/>
      <c r="I798" s="59"/>
      <c r="J798" s="59"/>
      <c r="K798" s="59"/>
      <c r="L798" s="87"/>
      <c r="M798" s="87"/>
      <c r="N798" s="100"/>
      <c r="O798" s="100"/>
    </row>
    <row r="799" spans="1:15">
      <c r="A799" s="87"/>
      <c r="B799" s="87"/>
      <c r="C799" s="18"/>
      <c r="D799" s="18"/>
      <c r="E799" s="18"/>
      <c r="F799" s="87"/>
      <c r="G799" s="87"/>
      <c r="H799" s="87"/>
      <c r="I799" s="59"/>
      <c r="J799" s="59"/>
      <c r="K799" s="59"/>
      <c r="L799" s="87"/>
      <c r="M799" s="87"/>
      <c r="N799" s="100"/>
      <c r="O799" s="100"/>
    </row>
    <row r="800" spans="1:15">
      <c r="A800" s="87"/>
      <c r="B800" s="87"/>
      <c r="C800" s="18"/>
      <c r="D800" s="18"/>
      <c r="E800" s="18"/>
      <c r="F800" s="87"/>
      <c r="G800" s="87"/>
      <c r="H800" s="87"/>
      <c r="I800" s="59"/>
      <c r="J800" s="59"/>
      <c r="K800" s="59"/>
      <c r="L800" s="87"/>
      <c r="M800" s="87"/>
      <c r="N800" s="100"/>
      <c r="O800" s="100"/>
    </row>
    <row r="801" spans="1:15">
      <c r="A801" s="87"/>
      <c r="B801" s="87"/>
      <c r="C801" s="18"/>
      <c r="D801" s="18"/>
      <c r="E801" s="18"/>
      <c r="F801" s="87"/>
      <c r="G801" s="87"/>
      <c r="H801" s="87"/>
      <c r="I801" s="59"/>
      <c r="J801" s="59"/>
      <c r="K801" s="59"/>
      <c r="L801" s="87"/>
      <c r="M801" s="87"/>
      <c r="N801" s="100"/>
      <c r="O801" s="100"/>
    </row>
    <row r="802" spans="1:15">
      <c r="A802" s="87"/>
      <c r="B802" s="87"/>
      <c r="C802" s="18"/>
      <c r="D802" s="18"/>
      <c r="E802" s="18"/>
      <c r="F802" s="87"/>
      <c r="G802" s="87"/>
      <c r="H802" s="87"/>
      <c r="I802" s="59"/>
      <c r="J802" s="59"/>
      <c r="K802" s="59"/>
      <c r="L802" s="87"/>
      <c r="M802" s="87"/>
      <c r="N802" s="100"/>
      <c r="O802" s="100"/>
    </row>
    <row r="803" spans="1:15">
      <c r="A803" s="87"/>
      <c r="B803" s="87"/>
      <c r="C803" s="18"/>
      <c r="D803" s="18"/>
      <c r="E803" s="18"/>
      <c r="F803" s="87"/>
      <c r="G803" s="87"/>
      <c r="H803" s="87"/>
      <c r="I803" s="59"/>
      <c r="J803" s="59"/>
      <c r="K803" s="59"/>
      <c r="L803" s="87"/>
      <c r="M803" s="87"/>
      <c r="N803" s="100"/>
      <c r="O803" s="100"/>
    </row>
    <row r="804" spans="1:15">
      <c r="A804" s="87"/>
      <c r="B804" s="87"/>
      <c r="C804" s="18"/>
      <c r="D804" s="18"/>
      <c r="E804" s="18"/>
      <c r="F804" s="87"/>
      <c r="G804" s="87"/>
      <c r="H804" s="87"/>
      <c r="I804" s="59"/>
      <c r="J804" s="59"/>
      <c r="K804" s="59"/>
      <c r="L804" s="87"/>
      <c r="M804" s="87"/>
      <c r="N804" s="100"/>
      <c r="O804" s="100"/>
    </row>
    <row r="805" spans="1:15">
      <c r="A805" s="87"/>
      <c r="B805" s="87"/>
      <c r="C805" s="18"/>
      <c r="D805" s="18"/>
      <c r="E805" s="18"/>
      <c r="F805" s="87"/>
      <c r="G805" s="87"/>
      <c r="H805" s="87"/>
      <c r="I805" s="59"/>
      <c r="J805" s="59"/>
      <c r="K805" s="59"/>
      <c r="L805" s="87"/>
      <c r="M805" s="87"/>
      <c r="N805" s="100"/>
      <c r="O805" s="100"/>
    </row>
    <row r="806" spans="1:15">
      <c r="A806" s="87"/>
      <c r="B806" s="87"/>
      <c r="C806" s="18"/>
      <c r="D806" s="18"/>
      <c r="E806" s="18"/>
      <c r="F806" s="87"/>
      <c r="G806" s="87"/>
      <c r="H806" s="87"/>
      <c r="I806" s="59"/>
      <c r="J806" s="59"/>
      <c r="K806" s="59"/>
      <c r="L806" s="87"/>
      <c r="M806" s="87"/>
      <c r="N806" s="100"/>
      <c r="O806" s="100"/>
    </row>
    <row r="807" spans="1:15">
      <c r="A807" s="87"/>
      <c r="B807" s="87"/>
      <c r="C807" s="18"/>
      <c r="D807" s="18"/>
      <c r="E807" s="18"/>
      <c r="F807" s="87"/>
      <c r="G807" s="87"/>
      <c r="H807" s="87"/>
      <c r="I807" s="59"/>
      <c r="J807" s="59"/>
      <c r="K807" s="59"/>
      <c r="L807" s="87"/>
      <c r="M807" s="87"/>
      <c r="N807" s="100"/>
      <c r="O807" s="100"/>
    </row>
    <row r="808" spans="1:15">
      <c r="A808" s="87"/>
      <c r="B808" s="87"/>
      <c r="C808" s="18"/>
      <c r="D808" s="18"/>
      <c r="E808" s="18"/>
      <c r="F808" s="87"/>
      <c r="G808" s="87"/>
      <c r="H808" s="87"/>
      <c r="I808" s="59"/>
      <c r="J808" s="59"/>
      <c r="K808" s="59"/>
      <c r="L808" s="87"/>
      <c r="M808" s="87"/>
      <c r="N808" s="100"/>
      <c r="O808" s="100"/>
    </row>
    <row r="809" spans="1:15">
      <c r="A809" s="87"/>
      <c r="B809" s="87"/>
      <c r="C809" s="18"/>
      <c r="D809" s="18"/>
      <c r="E809" s="18"/>
      <c r="F809" s="87"/>
      <c r="G809" s="87"/>
      <c r="H809" s="87"/>
      <c r="I809" s="59"/>
      <c r="J809" s="59"/>
      <c r="K809" s="59"/>
      <c r="L809" s="87"/>
      <c r="M809" s="87"/>
      <c r="N809" s="100"/>
      <c r="O809" s="100"/>
    </row>
    <row r="810" spans="1:15">
      <c r="A810" s="87"/>
      <c r="B810" s="87"/>
      <c r="C810" s="18"/>
      <c r="D810" s="18"/>
      <c r="E810" s="18"/>
      <c r="F810" s="87"/>
      <c r="G810" s="87"/>
      <c r="H810" s="87"/>
      <c r="I810" s="59"/>
      <c r="J810" s="59"/>
      <c r="K810" s="59"/>
      <c r="L810" s="87"/>
      <c r="M810" s="87"/>
      <c r="N810" s="100"/>
      <c r="O810" s="100"/>
    </row>
    <row r="811" spans="1:15">
      <c r="A811" s="87"/>
      <c r="B811" s="87"/>
      <c r="C811" s="18"/>
      <c r="D811" s="18"/>
      <c r="E811" s="18"/>
      <c r="F811" s="87"/>
      <c r="G811" s="87"/>
      <c r="H811" s="87"/>
      <c r="I811" s="59"/>
      <c r="J811" s="59"/>
      <c r="K811" s="59"/>
      <c r="L811" s="87"/>
      <c r="M811" s="87"/>
      <c r="N811" s="100"/>
      <c r="O811" s="100"/>
    </row>
    <row r="812" spans="1:15">
      <c r="A812" s="87"/>
      <c r="B812" s="87"/>
      <c r="C812" s="18"/>
      <c r="D812" s="18"/>
      <c r="E812" s="18"/>
      <c r="F812" s="87"/>
      <c r="G812" s="87"/>
      <c r="H812" s="87"/>
      <c r="I812" s="59"/>
      <c r="J812" s="59"/>
      <c r="K812" s="59"/>
      <c r="L812" s="87"/>
      <c r="M812" s="87"/>
      <c r="N812" s="100"/>
      <c r="O812" s="100"/>
    </row>
    <row r="813" spans="1:15">
      <c r="A813" s="87"/>
      <c r="B813" s="87"/>
      <c r="C813" s="18"/>
      <c r="D813" s="18"/>
      <c r="E813" s="18"/>
      <c r="F813" s="87"/>
      <c r="G813" s="87"/>
      <c r="H813" s="87"/>
      <c r="I813" s="59"/>
      <c r="J813" s="59"/>
      <c r="K813" s="59"/>
      <c r="L813" s="87"/>
      <c r="M813" s="87"/>
      <c r="N813" s="100"/>
      <c r="O813" s="100"/>
    </row>
    <row r="814" spans="1:15">
      <c r="A814" s="87"/>
      <c r="B814" s="87"/>
      <c r="C814" s="18"/>
      <c r="D814" s="18"/>
      <c r="E814" s="18"/>
      <c r="F814" s="87"/>
      <c r="G814" s="87"/>
      <c r="H814" s="87"/>
      <c r="I814" s="59"/>
      <c r="J814" s="59"/>
      <c r="K814" s="59"/>
      <c r="L814" s="87"/>
      <c r="M814" s="87"/>
      <c r="N814" s="100"/>
      <c r="O814" s="100"/>
    </row>
    <row r="815" spans="1:15">
      <c r="A815" s="87"/>
      <c r="B815" s="87"/>
      <c r="C815" s="18"/>
      <c r="D815" s="18"/>
      <c r="E815" s="18"/>
      <c r="F815" s="87"/>
      <c r="G815" s="87"/>
      <c r="H815" s="87"/>
      <c r="I815" s="59"/>
      <c r="J815" s="59"/>
      <c r="K815" s="59"/>
      <c r="L815" s="87"/>
      <c r="M815" s="87"/>
      <c r="N815" s="100"/>
      <c r="O815" s="100"/>
    </row>
    <row r="816" spans="1:15">
      <c r="A816" s="87"/>
      <c r="B816" s="87"/>
      <c r="C816" s="18"/>
      <c r="D816" s="18"/>
      <c r="E816" s="18"/>
      <c r="F816" s="87"/>
      <c r="G816" s="87"/>
      <c r="H816" s="87"/>
      <c r="I816" s="59"/>
      <c r="J816" s="59"/>
      <c r="K816" s="59"/>
      <c r="L816" s="87"/>
      <c r="M816" s="87"/>
      <c r="N816" s="100"/>
      <c r="O816" s="100"/>
    </row>
    <row r="817" spans="1:15">
      <c r="A817" s="87"/>
      <c r="B817" s="87"/>
      <c r="C817" s="18"/>
      <c r="D817" s="18"/>
      <c r="E817" s="18"/>
      <c r="F817" s="87"/>
      <c r="G817" s="87"/>
      <c r="H817" s="87"/>
      <c r="I817" s="59"/>
      <c r="J817" s="59"/>
      <c r="K817" s="59"/>
      <c r="L817" s="87"/>
      <c r="M817" s="87"/>
      <c r="N817" s="100"/>
      <c r="O817" s="100"/>
    </row>
    <row r="818" spans="1:15">
      <c r="A818" s="87"/>
      <c r="B818" s="87"/>
      <c r="C818" s="18"/>
      <c r="D818" s="18"/>
      <c r="E818" s="18"/>
      <c r="F818" s="87"/>
      <c r="G818" s="87"/>
      <c r="H818" s="87"/>
      <c r="I818" s="59"/>
      <c r="J818" s="59"/>
      <c r="K818" s="59"/>
      <c r="L818" s="87"/>
      <c r="M818" s="87"/>
      <c r="N818" s="100"/>
      <c r="O818" s="100"/>
    </row>
    <row r="819" spans="1:15">
      <c r="A819" s="87"/>
      <c r="B819" s="87"/>
      <c r="C819" s="18"/>
      <c r="D819" s="18"/>
      <c r="E819" s="18"/>
      <c r="F819" s="87"/>
      <c r="G819" s="87"/>
      <c r="H819" s="87"/>
      <c r="I819" s="59"/>
      <c r="J819" s="59"/>
      <c r="K819" s="59"/>
      <c r="L819" s="87"/>
      <c r="M819" s="87"/>
      <c r="N819" s="100"/>
      <c r="O819" s="100"/>
    </row>
    <row r="820" spans="1:15">
      <c r="A820" s="87"/>
      <c r="B820" s="87"/>
      <c r="C820" s="18"/>
      <c r="D820" s="18"/>
      <c r="E820" s="18"/>
      <c r="F820" s="87"/>
      <c r="G820" s="87"/>
      <c r="H820" s="87"/>
      <c r="I820" s="59"/>
      <c r="J820" s="59"/>
      <c r="K820" s="59"/>
      <c r="L820" s="87"/>
      <c r="M820" s="87"/>
      <c r="N820" s="100"/>
      <c r="O820" s="100"/>
    </row>
    <row r="821" spans="1:15">
      <c r="A821" s="87"/>
      <c r="B821" s="87"/>
      <c r="C821" s="18"/>
      <c r="D821" s="18"/>
      <c r="E821" s="18"/>
      <c r="F821" s="87"/>
      <c r="G821" s="87"/>
      <c r="H821" s="87"/>
      <c r="I821" s="59"/>
      <c r="J821" s="59"/>
      <c r="K821" s="59"/>
      <c r="L821" s="87"/>
      <c r="M821" s="87"/>
      <c r="N821" s="100"/>
      <c r="O821" s="100"/>
    </row>
    <row r="822" spans="1:15">
      <c r="A822" s="87"/>
      <c r="B822" s="87"/>
      <c r="C822" s="18"/>
      <c r="D822" s="18"/>
      <c r="E822" s="18"/>
      <c r="F822" s="87"/>
      <c r="G822" s="87"/>
      <c r="H822" s="87"/>
      <c r="I822" s="59"/>
      <c r="J822" s="59"/>
      <c r="K822" s="59"/>
      <c r="L822" s="87"/>
      <c r="M822" s="87"/>
      <c r="N822" s="100"/>
      <c r="O822" s="100"/>
    </row>
    <row r="823" spans="1:15">
      <c r="A823" s="87"/>
      <c r="B823" s="87"/>
      <c r="C823" s="18"/>
      <c r="D823" s="18"/>
      <c r="E823" s="18"/>
      <c r="F823" s="87"/>
      <c r="G823" s="87"/>
      <c r="H823" s="87"/>
      <c r="I823" s="59"/>
      <c r="J823" s="59"/>
      <c r="K823" s="59"/>
      <c r="L823" s="87"/>
      <c r="M823" s="87"/>
      <c r="N823" s="100"/>
      <c r="O823" s="100"/>
    </row>
    <row r="824" spans="1:15">
      <c r="A824" s="87"/>
      <c r="B824" s="87"/>
      <c r="C824" s="18"/>
      <c r="D824" s="18"/>
      <c r="E824" s="18"/>
      <c r="F824" s="87"/>
      <c r="G824" s="87"/>
      <c r="H824" s="87"/>
      <c r="I824" s="59"/>
      <c r="J824" s="59"/>
      <c r="K824" s="59"/>
      <c r="L824" s="87"/>
      <c r="M824" s="87"/>
      <c r="N824" s="100"/>
      <c r="O824" s="100"/>
    </row>
    <row r="825" spans="1:15">
      <c r="A825" s="87"/>
      <c r="B825" s="87"/>
      <c r="C825" s="18"/>
      <c r="D825" s="18"/>
      <c r="E825" s="18"/>
      <c r="F825" s="87"/>
      <c r="G825" s="87"/>
      <c r="H825" s="87"/>
      <c r="I825" s="59"/>
      <c r="J825" s="59"/>
      <c r="K825" s="59"/>
      <c r="L825" s="87"/>
      <c r="M825" s="87"/>
      <c r="N825" s="100"/>
      <c r="O825" s="100"/>
    </row>
    <row r="826" spans="1:15">
      <c r="A826" s="87"/>
      <c r="B826" s="87"/>
      <c r="C826" s="18"/>
      <c r="D826" s="18"/>
      <c r="E826" s="18"/>
      <c r="F826" s="87"/>
      <c r="G826" s="87"/>
      <c r="H826" s="87"/>
      <c r="I826" s="59"/>
      <c r="J826" s="59"/>
      <c r="K826" s="59"/>
      <c r="L826" s="87"/>
      <c r="M826" s="87"/>
      <c r="N826" s="100"/>
      <c r="O826" s="100"/>
    </row>
    <row r="827" spans="1:15">
      <c r="A827" s="87"/>
      <c r="B827" s="87"/>
      <c r="C827" s="18"/>
      <c r="D827" s="18"/>
      <c r="E827" s="18"/>
      <c r="F827" s="87"/>
      <c r="G827" s="87"/>
      <c r="H827" s="87"/>
      <c r="I827" s="59"/>
      <c r="J827" s="59"/>
      <c r="K827" s="59"/>
      <c r="L827" s="87"/>
      <c r="M827" s="87"/>
      <c r="N827" s="100"/>
      <c r="O827" s="100"/>
    </row>
    <row r="828" spans="1:15">
      <c r="A828" s="87"/>
      <c r="B828" s="87"/>
      <c r="C828" s="18"/>
      <c r="D828" s="18"/>
      <c r="E828" s="18"/>
      <c r="F828" s="87"/>
      <c r="G828" s="87"/>
      <c r="H828" s="87"/>
      <c r="I828" s="59"/>
      <c r="J828" s="59"/>
      <c r="K828" s="59"/>
      <c r="L828" s="87"/>
      <c r="M828" s="87"/>
      <c r="N828" s="100"/>
      <c r="O828" s="100"/>
    </row>
    <row r="829" spans="1:15">
      <c r="A829" s="87"/>
      <c r="B829" s="87"/>
      <c r="C829" s="18"/>
      <c r="D829" s="18"/>
      <c r="E829" s="18"/>
      <c r="F829" s="87"/>
      <c r="G829" s="87"/>
      <c r="H829" s="87"/>
      <c r="I829" s="59"/>
      <c r="J829" s="59"/>
      <c r="K829" s="59"/>
      <c r="L829" s="87"/>
      <c r="M829" s="87"/>
      <c r="N829" s="100"/>
      <c r="O829" s="100"/>
    </row>
    <row r="830" spans="1:15">
      <c r="A830" s="87"/>
      <c r="B830" s="87"/>
      <c r="C830" s="18"/>
      <c r="D830" s="18"/>
      <c r="E830" s="18"/>
      <c r="F830" s="87"/>
      <c r="G830" s="87"/>
      <c r="H830" s="87"/>
      <c r="I830" s="59"/>
      <c r="J830" s="59"/>
      <c r="K830" s="59"/>
      <c r="L830" s="87"/>
      <c r="M830" s="87"/>
      <c r="N830" s="100"/>
      <c r="O830" s="100"/>
    </row>
    <row r="831" spans="1:15">
      <c r="A831" s="87"/>
      <c r="B831" s="87"/>
      <c r="C831" s="18"/>
      <c r="D831" s="18"/>
      <c r="E831" s="18"/>
      <c r="F831" s="87"/>
      <c r="G831" s="87"/>
      <c r="H831" s="87"/>
      <c r="I831" s="59"/>
      <c r="J831" s="59"/>
      <c r="K831" s="59"/>
      <c r="L831" s="87"/>
      <c r="M831" s="87"/>
      <c r="N831" s="100"/>
      <c r="O831" s="100"/>
    </row>
    <row r="832" spans="1:15">
      <c r="A832" s="87"/>
      <c r="B832" s="87"/>
      <c r="C832" s="18"/>
      <c r="D832" s="18"/>
      <c r="E832" s="18"/>
      <c r="F832" s="87"/>
      <c r="G832" s="87"/>
      <c r="H832" s="87"/>
      <c r="I832" s="59"/>
      <c r="J832" s="59"/>
      <c r="K832" s="59"/>
      <c r="L832" s="87"/>
      <c r="M832" s="87"/>
      <c r="N832" s="100"/>
      <c r="O832" s="100"/>
    </row>
    <row r="833" spans="1:15">
      <c r="A833" s="87"/>
      <c r="B833" s="87"/>
      <c r="C833" s="18"/>
      <c r="D833" s="18"/>
      <c r="E833" s="18"/>
      <c r="F833" s="87"/>
      <c r="G833" s="87"/>
      <c r="H833" s="87"/>
      <c r="I833" s="59"/>
      <c r="J833" s="59"/>
      <c r="K833" s="59"/>
      <c r="L833" s="87"/>
      <c r="M833" s="87"/>
      <c r="N833" s="100"/>
      <c r="O833" s="100"/>
    </row>
    <row r="834" spans="1:15">
      <c r="A834" s="87"/>
      <c r="B834" s="87"/>
      <c r="C834" s="18"/>
      <c r="D834" s="18"/>
      <c r="E834" s="18"/>
      <c r="F834" s="87"/>
      <c r="G834" s="87"/>
      <c r="H834" s="87"/>
      <c r="I834" s="59"/>
      <c r="J834" s="59"/>
      <c r="K834" s="59"/>
      <c r="L834" s="87"/>
      <c r="M834" s="87"/>
      <c r="N834" s="100"/>
      <c r="O834" s="100"/>
    </row>
    <row r="835" spans="1:15">
      <c r="A835" s="87"/>
      <c r="B835" s="87"/>
      <c r="C835" s="18"/>
      <c r="D835" s="18"/>
      <c r="E835" s="18"/>
      <c r="F835" s="87"/>
      <c r="G835" s="87"/>
      <c r="H835" s="87"/>
      <c r="I835" s="59"/>
      <c r="J835" s="59"/>
      <c r="K835" s="59"/>
      <c r="L835" s="87"/>
      <c r="M835" s="87"/>
      <c r="N835" s="100"/>
      <c r="O835" s="100"/>
    </row>
    <row r="836" spans="1:15">
      <c r="A836" s="87"/>
      <c r="B836" s="87"/>
      <c r="C836" s="18"/>
      <c r="D836" s="18"/>
      <c r="E836" s="18"/>
      <c r="F836" s="87"/>
      <c r="G836" s="87"/>
      <c r="H836" s="87"/>
      <c r="I836" s="59"/>
      <c r="J836" s="59"/>
      <c r="K836" s="59"/>
      <c r="L836" s="87"/>
      <c r="M836" s="87"/>
      <c r="N836" s="100"/>
      <c r="O836" s="100"/>
    </row>
    <row r="837" spans="1:15">
      <c r="A837" s="87"/>
      <c r="B837" s="87"/>
      <c r="C837" s="18"/>
      <c r="D837" s="18"/>
      <c r="E837" s="18"/>
      <c r="F837" s="87"/>
      <c r="G837" s="87"/>
      <c r="H837" s="87"/>
      <c r="I837" s="59"/>
      <c r="J837" s="59"/>
      <c r="K837" s="59"/>
      <c r="L837" s="87"/>
      <c r="M837" s="87"/>
      <c r="N837" s="100"/>
      <c r="O837" s="100"/>
    </row>
    <row r="838" spans="1:15">
      <c r="A838" s="87"/>
      <c r="B838" s="87"/>
      <c r="C838" s="18"/>
      <c r="D838" s="18"/>
      <c r="E838" s="18"/>
      <c r="F838" s="87"/>
      <c r="G838" s="87"/>
      <c r="H838" s="87"/>
      <c r="I838" s="59"/>
      <c r="J838" s="59"/>
      <c r="K838" s="59"/>
      <c r="L838" s="87"/>
      <c r="M838" s="87"/>
      <c r="N838" s="100"/>
      <c r="O838" s="100"/>
    </row>
    <row r="839" spans="1:15">
      <c r="A839" s="87"/>
      <c r="B839" s="87"/>
      <c r="C839" s="18"/>
      <c r="D839" s="18"/>
      <c r="E839" s="18"/>
      <c r="F839" s="87"/>
      <c r="G839" s="87"/>
      <c r="H839" s="87"/>
      <c r="I839" s="59"/>
      <c r="J839" s="59"/>
      <c r="K839" s="59"/>
      <c r="L839" s="87"/>
      <c r="M839" s="87"/>
      <c r="N839" s="100"/>
      <c r="O839" s="100"/>
    </row>
    <row r="840" spans="1:15">
      <c r="A840" s="87"/>
      <c r="B840" s="87"/>
      <c r="C840" s="18"/>
      <c r="D840" s="18"/>
      <c r="E840" s="18"/>
      <c r="F840" s="87"/>
      <c r="G840" s="87"/>
      <c r="H840" s="87"/>
      <c r="I840" s="59"/>
      <c r="J840" s="59"/>
      <c r="K840" s="59"/>
      <c r="L840" s="87"/>
      <c r="M840" s="87"/>
      <c r="N840" s="100"/>
      <c r="O840" s="100"/>
    </row>
    <row r="841" spans="1:15">
      <c r="A841" s="87"/>
      <c r="B841" s="87"/>
      <c r="C841" s="18"/>
      <c r="D841" s="18"/>
      <c r="E841" s="18"/>
      <c r="F841" s="87"/>
      <c r="G841" s="87"/>
      <c r="H841" s="87"/>
      <c r="I841" s="59"/>
      <c r="J841" s="59"/>
      <c r="K841" s="59"/>
      <c r="L841" s="87"/>
      <c r="M841" s="87"/>
      <c r="N841" s="100"/>
      <c r="O841" s="100"/>
    </row>
    <row r="842" spans="1:15">
      <c r="A842" s="87"/>
      <c r="B842" s="87"/>
      <c r="C842" s="18"/>
      <c r="D842" s="18"/>
      <c r="E842" s="18"/>
      <c r="F842" s="87"/>
      <c r="G842" s="87"/>
      <c r="H842" s="87"/>
      <c r="I842" s="59"/>
      <c r="J842" s="59"/>
      <c r="K842" s="59"/>
      <c r="L842" s="87"/>
      <c r="M842" s="87"/>
      <c r="N842" s="100"/>
      <c r="O842" s="100"/>
    </row>
    <row r="843" spans="1:15">
      <c r="A843" s="87"/>
      <c r="B843" s="87"/>
      <c r="C843" s="18"/>
      <c r="D843" s="18"/>
      <c r="E843" s="18"/>
      <c r="F843" s="87"/>
      <c r="G843" s="87"/>
      <c r="H843" s="87"/>
      <c r="I843" s="59"/>
      <c r="J843" s="59"/>
      <c r="K843" s="59"/>
      <c r="L843" s="87"/>
      <c r="M843" s="87"/>
      <c r="N843" s="100"/>
      <c r="O843" s="100"/>
    </row>
    <row r="844" spans="1:15">
      <c r="A844" s="87"/>
      <c r="B844" s="87"/>
      <c r="C844" s="18"/>
      <c r="D844" s="18"/>
      <c r="E844" s="18"/>
      <c r="F844" s="87"/>
      <c r="G844" s="87"/>
      <c r="H844" s="87"/>
      <c r="I844" s="59"/>
      <c r="J844" s="59"/>
      <c r="K844" s="59"/>
      <c r="L844" s="87"/>
      <c r="M844" s="87"/>
      <c r="N844" s="100"/>
      <c r="O844" s="100"/>
    </row>
    <row r="845" spans="1:15">
      <c r="A845" s="87"/>
      <c r="B845" s="87"/>
      <c r="C845" s="18"/>
      <c r="D845" s="18"/>
      <c r="E845" s="18"/>
      <c r="F845" s="87"/>
      <c r="G845" s="87"/>
      <c r="H845" s="87"/>
      <c r="I845" s="59"/>
      <c r="J845" s="59"/>
      <c r="K845" s="59"/>
      <c r="L845" s="87"/>
      <c r="M845" s="87"/>
      <c r="N845" s="100"/>
      <c r="O845" s="100"/>
    </row>
    <row r="846" spans="1:15">
      <c r="A846" s="87"/>
      <c r="B846" s="87"/>
      <c r="C846" s="18"/>
      <c r="D846" s="18"/>
      <c r="E846" s="18"/>
      <c r="F846" s="87"/>
      <c r="G846" s="87"/>
      <c r="H846" s="87"/>
      <c r="I846" s="59"/>
      <c r="J846" s="59"/>
      <c r="K846" s="59"/>
      <c r="L846" s="87"/>
      <c r="M846" s="87"/>
      <c r="N846" s="100"/>
      <c r="O846" s="100"/>
    </row>
    <row r="847" spans="1:15">
      <c r="A847" s="87"/>
      <c r="B847" s="87"/>
      <c r="C847" s="18"/>
      <c r="D847" s="18"/>
      <c r="E847" s="18"/>
      <c r="F847" s="87"/>
      <c r="G847" s="87"/>
      <c r="H847" s="87"/>
      <c r="I847" s="59"/>
      <c r="J847" s="59"/>
      <c r="K847" s="59"/>
      <c r="L847" s="87"/>
      <c r="M847" s="87"/>
      <c r="N847" s="100"/>
      <c r="O847" s="100"/>
    </row>
    <row r="848" spans="1:15">
      <c r="A848" s="87"/>
      <c r="B848" s="87"/>
      <c r="C848" s="18"/>
      <c r="D848" s="18"/>
      <c r="E848" s="18"/>
      <c r="F848" s="87"/>
      <c r="G848" s="87"/>
      <c r="H848" s="87"/>
      <c r="I848" s="59"/>
      <c r="J848" s="59"/>
      <c r="K848" s="59"/>
      <c r="L848" s="87"/>
      <c r="M848" s="87"/>
      <c r="N848" s="100"/>
      <c r="O848" s="100"/>
    </row>
    <row r="849" spans="1:15">
      <c r="A849" s="87"/>
      <c r="B849" s="87"/>
      <c r="C849" s="18"/>
      <c r="D849" s="18"/>
      <c r="E849" s="18"/>
      <c r="F849" s="87"/>
      <c r="G849" s="87"/>
      <c r="H849" s="87"/>
      <c r="I849" s="59"/>
      <c r="J849" s="59"/>
      <c r="K849" s="59"/>
      <c r="L849" s="87"/>
      <c r="M849" s="87"/>
      <c r="N849" s="100"/>
      <c r="O849" s="100"/>
    </row>
    <row r="850" spans="1:15">
      <c r="A850" s="87"/>
      <c r="B850" s="87"/>
      <c r="C850" s="18"/>
      <c r="D850" s="18"/>
      <c r="E850" s="18"/>
      <c r="F850" s="87"/>
      <c r="G850" s="87"/>
      <c r="H850" s="87"/>
      <c r="I850" s="59"/>
      <c r="J850" s="59"/>
      <c r="K850" s="59"/>
      <c r="L850" s="87"/>
      <c r="M850" s="87"/>
      <c r="N850" s="100"/>
      <c r="O850" s="100"/>
    </row>
    <row r="851" spans="1:15">
      <c r="A851" s="87"/>
      <c r="B851" s="87"/>
      <c r="C851" s="18"/>
      <c r="D851" s="18"/>
      <c r="E851" s="18"/>
      <c r="F851" s="87"/>
      <c r="G851" s="87"/>
      <c r="H851" s="87"/>
      <c r="I851" s="59"/>
      <c r="J851" s="59"/>
      <c r="K851" s="59"/>
      <c r="L851" s="87"/>
      <c r="M851" s="87"/>
      <c r="N851" s="100"/>
      <c r="O851" s="100"/>
    </row>
    <row r="852" spans="1:15">
      <c r="A852" s="87"/>
      <c r="B852" s="87"/>
      <c r="C852" s="18"/>
      <c r="D852" s="18"/>
      <c r="E852" s="18"/>
      <c r="F852" s="87"/>
      <c r="G852" s="87"/>
      <c r="H852" s="87"/>
      <c r="I852" s="59"/>
      <c r="J852" s="59"/>
      <c r="K852" s="59"/>
      <c r="L852" s="87"/>
      <c r="M852" s="87"/>
      <c r="N852" s="100"/>
      <c r="O852" s="100"/>
    </row>
    <row r="853" spans="1:15">
      <c r="A853" s="87"/>
      <c r="B853" s="87"/>
      <c r="C853" s="18"/>
      <c r="D853" s="18"/>
      <c r="E853" s="18"/>
      <c r="F853" s="87"/>
      <c r="G853" s="87"/>
      <c r="H853" s="87"/>
      <c r="I853" s="59"/>
      <c r="J853" s="59"/>
      <c r="K853" s="59"/>
      <c r="L853" s="87"/>
      <c r="M853" s="87"/>
      <c r="N853" s="100"/>
      <c r="O853" s="100"/>
    </row>
    <row r="854" spans="1:15">
      <c r="A854" s="87"/>
      <c r="B854" s="87"/>
      <c r="C854" s="18"/>
      <c r="D854" s="18"/>
      <c r="E854" s="18"/>
      <c r="F854" s="87"/>
      <c r="G854" s="87"/>
      <c r="H854" s="87"/>
      <c r="I854" s="59"/>
      <c r="J854" s="59"/>
      <c r="K854" s="59"/>
      <c r="L854" s="87"/>
      <c r="M854" s="87"/>
      <c r="N854" s="100"/>
      <c r="O854" s="100"/>
    </row>
    <row r="855" spans="1:15">
      <c r="A855" s="87"/>
      <c r="B855" s="87"/>
      <c r="C855" s="18"/>
      <c r="D855" s="18"/>
      <c r="E855" s="18"/>
      <c r="F855" s="87"/>
      <c r="G855" s="87"/>
      <c r="H855" s="87"/>
      <c r="I855" s="59"/>
      <c r="J855" s="59"/>
      <c r="K855" s="59"/>
      <c r="L855" s="87"/>
      <c r="M855" s="87"/>
      <c r="N855" s="100"/>
      <c r="O855" s="100"/>
    </row>
    <row r="856" spans="1:15">
      <c r="A856" s="87"/>
      <c r="B856" s="87"/>
      <c r="C856" s="18"/>
      <c r="D856" s="18"/>
      <c r="E856" s="18"/>
      <c r="F856" s="87"/>
      <c r="G856" s="87"/>
      <c r="H856" s="87"/>
      <c r="I856" s="59"/>
      <c r="J856" s="59"/>
      <c r="K856" s="59"/>
      <c r="L856" s="87"/>
      <c r="M856" s="87"/>
      <c r="N856" s="100"/>
      <c r="O856" s="100"/>
    </row>
    <row r="857" spans="1:15">
      <c r="A857" s="87"/>
      <c r="B857" s="87"/>
      <c r="C857" s="18"/>
      <c r="D857" s="18"/>
      <c r="E857" s="18"/>
      <c r="F857" s="87"/>
      <c r="G857" s="87"/>
      <c r="H857" s="87"/>
      <c r="I857" s="59"/>
      <c r="J857" s="59"/>
      <c r="K857" s="59"/>
      <c r="L857" s="87"/>
      <c r="M857" s="87"/>
      <c r="N857" s="100"/>
      <c r="O857" s="100"/>
    </row>
    <row r="858" spans="1:15">
      <c r="A858" s="87"/>
      <c r="B858" s="87"/>
      <c r="C858" s="18"/>
      <c r="D858" s="18"/>
      <c r="E858" s="18"/>
      <c r="F858" s="87"/>
      <c r="G858" s="87"/>
      <c r="H858" s="87"/>
      <c r="I858" s="59"/>
      <c r="J858" s="59"/>
      <c r="K858" s="59"/>
      <c r="L858" s="87"/>
      <c r="M858" s="87"/>
      <c r="N858" s="100"/>
      <c r="O858" s="100"/>
    </row>
    <row r="859" spans="1:15">
      <c r="A859" s="87"/>
      <c r="B859" s="87"/>
      <c r="C859" s="18"/>
      <c r="D859" s="18"/>
      <c r="E859" s="18"/>
      <c r="F859" s="87"/>
      <c r="G859" s="87"/>
      <c r="H859" s="87"/>
      <c r="I859" s="59"/>
      <c r="J859" s="59"/>
      <c r="K859" s="59"/>
      <c r="L859" s="87"/>
      <c r="M859" s="87"/>
      <c r="N859" s="100"/>
      <c r="O859" s="100"/>
    </row>
    <row r="860" spans="1:15">
      <c r="A860" s="87"/>
      <c r="B860" s="87"/>
      <c r="C860" s="18"/>
      <c r="D860" s="18"/>
      <c r="E860" s="18"/>
      <c r="F860" s="87"/>
      <c r="G860" s="87"/>
      <c r="H860" s="87"/>
      <c r="I860" s="59"/>
      <c r="J860" s="59"/>
      <c r="K860" s="59"/>
      <c r="L860" s="87"/>
      <c r="M860" s="87"/>
      <c r="N860" s="100"/>
      <c r="O860" s="100"/>
    </row>
    <row r="861" spans="1:15">
      <c r="A861" s="87"/>
      <c r="B861" s="87"/>
      <c r="C861" s="18"/>
      <c r="D861" s="18"/>
      <c r="E861" s="18"/>
      <c r="F861" s="87"/>
      <c r="G861" s="87"/>
      <c r="H861" s="87"/>
      <c r="I861" s="59"/>
      <c r="J861" s="59"/>
      <c r="K861" s="59"/>
      <c r="L861" s="87"/>
      <c r="M861" s="87"/>
      <c r="N861" s="100"/>
      <c r="O861" s="100"/>
    </row>
    <row r="862" spans="1:15">
      <c r="A862" s="87"/>
      <c r="B862" s="87"/>
      <c r="C862" s="18"/>
      <c r="D862" s="18"/>
      <c r="E862" s="18"/>
      <c r="F862" s="87"/>
      <c r="G862" s="87"/>
      <c r="H862" s="87"/>
      <c r="I862" s="59"/>
      <c r="J862" s="59"/>
      <c r="K862" s="59"/>
      <c r="L862" s="87"/>
      <c r="M862" s="87"/>
      <c r="N862" s="100"/>
      <c r="O862" s="100"/>
    </row>
    <row r="863" spans="1:15">
      <c r="A863" s="87"/>
      <c r="B863" s="87"/>
      <c r="C863" s="18"/>
      <c r="D863" s="18"/>
      <c r="E863" s="18"/>
      <c r="F863" s="87"/>
      <c r="G863" s="87"/>
      <c r="H863" s="87"/>
      <c r="I863" s="59"/>
      <c r="J863" s="59"/>
      <c r="K863" s="59"/>
      <c r="L863" s="87"/>
      <c r="M863" s="87"/>
      <c r="N863" s="100"/>
      <c r="O863" s="100"/>
    </row>
    <row r="864" spans="1:15">
      <c r="A864" s="87"/>
      <c r="B864" s="87"/>
      <c r="C864" s="18"/>
      <c r="D864" s="18"/>
      <c r="E864" s="18"/>
      <c r="F864" s="87"/>
      <c r="G864" s="87"/>
      <c r="H864" s="87"/>
      <c r="I864" s="59"/>
      <c r="J864" s="59"/>
      <c r="K864" s="59"/>
      <c r="L864" s="87"/>
      <c r="M864" s="87"/>
      <c r="N864" s="100"/>
      <c r="O864" s="100"/>
    </row>
    <row r="865" spans="1:15">
      <c r="A865" s="87"/>
      <c r="B865" s="87"/>
      <c r="C865" s="18"/>
      <c r="D865" s="18"/>
      <c r="E865" s="18"/>
      <c r="F865" s="87"/>
      <c r="G865" s="87"/>
      <c r="H865" s="87"/>
      <c r="I865" s="59"/>
      <c r="J865" s="59"/>
      <c r="K865" s="59"/>
      <c r="L865" s="87"/>
      <c r="M865" s="87"/>
      <c r="N865" s="100"/>
      <c r="O865" s="100"/>
    </row>
    <row r="866" spans="1:15">
      <c r="A866" s="87"/>
      <c r="B866" s="87"/>
      <c r="C866" s="18"/>
      <c r="D866" s="18"/>
      <c r="E866" s="18"/>
      <c r="F866" s="87"/>
      <c r="G866" s="87"/>
      <c r="H866" s="87"/>
      <c r="I866" s="59"/>
      <c r="J866" s="59"/>
      <c r="K866" s="59"/>
      <c r="L866" s="87"/>
      <c r="M866" s="87"/>
      <c r="N866" s="100"/>
      <c r="O866" s="100"/>
    </row>
    <row r="867" spans="1:15">
      <c r="A867" s="87"/>
      <c r="B867" s="87"/>
      <c r="C867" s="18"/>
      <c r="D867" s="18"/>
      <c r="E867" s="18"/>
      <c r="F867" s="87"/>
      <c r="G867" s="87"/>
      <c r="H867" s="87"/>
      <c r="I867" s="59"/>
      <c r="J867" s="59"/>
      <c r="K867" s="59"/>
      <c r="L867" s="87"/>
      <c r="M867" s="87"/>
      <c r="N867" s="100"/>
      <c r="O867" s="100"/>
    </row>
    <row r="868" spans="1:15">
      <c r="A868" s="87"/>
      <c r="B868" s="87"/>
      <c r="C868" s="18"/>
      <c r="D868" s="18"/>
      <c r="E868" s="18"/>
      <c r="F868" s="87"/>
      <c r="G868" s="87"/>
      <c r="H868" s="87"/>
      <c r="I868" s="59"/>
      <c r="J868" s="59"/>
      <c r="K868" s="59"/>
      <c r="L868" s="87"/>
      <c r="M868" s="87"/>
      <c r="N868" s="100"/>
      <c r="O868" s="100"/>
    </row>
    <row r="869" spans="1:15">
      <c r="A869" s="87"/>
      <c r="B869" s="87"/>
      <c r="C869" s="18"/>
      <c r="D869" s="18"/>
      <c r="E869" s="18"/>
      <c r="F869" s="87"/>
      <c r="G869" s="87"/>
      <c r="H869" s="87"/>
      <c r="I869" s="59"/>
      <c r="J869" s="59"/>
      <c r="K869" s="59"/>
      <c r="L869" s="87"/>
      <c r="M869" s="87"/>
      <c r="N869" s="100"/>
      <c r="O869" s="100"/>
    </row>
    <row r="870" spans="1:15">
      <c r="A870" s="87"/>
      <c r="B870" s="87"/>
      <c r="C870" s="18"/>
      <c r="D870" s="18"/>
      <c r="E870" s="18"/>
      <c r="F870" s="87"/>
      <c r="G870" s="87"/>
      <c r="H870" s="87"/>
      <c r="I870" s="59"/>
      <c r="J870" s="59"/>
      <c r="K870" s="59"/>
      <c r="L870" s="87"/>
      <c r="M870" s="87"/>
      <c r="N870" s="100"/>
      <c r="O870" s="100"/>
    </row>
    <row r="871" spans="1:15">
      <c r="A871" s="87"/>
      <c r="B871" s="87"/>
      <c r="C871" s="18"/>
      <c r="D871" s="18"/>
      <c r="E871" s="18"/>
      <c r="F871" s="87"/>
      <c r="G871" s="87"/>
      <c r="H871" s="87"/>
      <c r="I871" s="59"/>
      <c r="J871" s="59"/>
      <c r="K871" s="59"/>
      <c r="L871" s="87"/>
      <c r="M871" s="87"/>
      <c r="N871" s="100"/>
      <c r="O871" s="100"/>
    </row>
    <row r="872" spans="1:15">
      <c r="A872" s="87"/>
      <c r="B872" s="87"/>
      <c r="C872" s="18"/>
      <c r="D872" s="18"/>
      <c r="E872" s="18"/>
      <c r="F872" s="87"/>
      <c r="G872" s="87"/>
      <c r="H872" s="87"/>
      <c r="I872" s="59"/>
      <c r="J872" s="59"/>
      <c r="K872" s="59"/>
      <c r="L872" s="87"/>
      <c r="M872" s="87"/>
      <c r="N872" s="100"/>
      <c r="O872" s="100"/>
    </row>
    <row r="873" spans="1:15">
      <c r="A873" s="87"/>
      <c r="B873" s="87"/>
      <c r="C873" s="18"/>
      <c r="D873" s="18"/>
      <c r="E873" s="18"/>
      <c r="F873" s="87"/>
      <c r="G873" s="87"/>
      <c r="H873" s="87"/>
      <c r="I873" s="59"/>
      <c r="J873" s="59"/>
      <c r="K873" s="59"/>
      <c r="L873" s="87"/>
      <c r="M873" s="87"/>
      <c r="N873" s="100"/>
      <c r="O873" s="100"/>
    </row>
    <row r="874" spans="1:15">
      <c r="A874" s="87"/>
      <c r="B874" s="87"/>
      <c r="C874" s="18"/>
      <c r="D874" s="18"/>
      <c r="E874" s="18"/>
      <c r="F874" s="87"/>
      <c r="G874" s="87"/>
      <c r="H874" s="87"/>
      <c r="I874" s="59"/>
      <c r="J874" s="59"/>
      <c r="K874" s="59"/>
      <c r="L874" s="87"/>
      <c r="M874" s="87"/>
      <c r="N874" s="100"/>
      <c r="O874" s="100"/>
    </row>
    <row r="875" spans="1:15">
      <c r="A875" s="87"/>
      <c r="B875" s="87"/>
      <c r="C875" s="18"/>
      <c r="D875" s="18"/>
      <c r="E875" s="18"/>
      <c r="F875" s="87"/>
      <c r="G875" s="87"/>
      <c r="H875" s="87"/>
      <c r="I875" s="59"/>
      <c r="J875" s="59"/>
      <c r="K875" s="59"/>
      <c r="L875" s="87"/>
      <c r="M875" s="87"/>
      <c r="N875" s="100"/>
      <c r="O875" s="100"/>
    </row>
    <row r="876" spans="1:15">
      <c r="A876" s="87"/>
      <c r="B876" s="87"/>
      <c r="C876" s="18"/>
      <c r="D876" s="18"/>
      <c r="E876" s="18"/>
      <c r="F876" s="87"/>
      <c r="G876" s="87"/>
      <c r="H876" s="87"/>
      <c r="I876" s="59"/>
      <c r="J876" s="59"/>
      <c r="K876" s="59"/>
      <c r="L876" s="87"/>
      <c r="M876" s="87"/>
      <c r="N876" s="100"/>
      <c r="O876" s="100"/>
    </row>
    <row r="877" spans="1:15">
      <c r="A877" s="87"/>
      <c r="B877" s="87"/>
      <c r="C877" s="18"/>
      <c r="D877" s="18"/>
      <c r="E877" s="18"/>
      <c r="F877" s="87"/>
      <c r="G877" s="87"/>
      <c r="H877" s="87"/>
      <c r="I877" s="59"/>
      <c r="J877" s="59"/>
      <c r="K877" s="59"/>
      <c r="L877" s="87"/>
      <c r="M877" s="87"/>
      <c r="N877" s="100"/>
      <c r="O877" s="100"/>
    </row>
    <row r="878" spans="1:15">
      <c r="A878" s="87"/>
      <c r="B878" s="87"/>
      <c r="C878" s="18"/>
      <c r="D878" s="18"/>
      <c r="E878" s="18"/>
      <c r="F878" s="87"/>
      <c r="G878" s="87"/>
      <c r="H878" s="87"/>
      <c r="I878" s="59"/>
      <c r="J878" s="59"/>
      <c r="K878" s="59"/>
      <c r="L878" s="87"/>
      <c r="M878" s="87"/>
      <c r="N878" s="100"/>
      <c r="O878" s="100"/>
    </row>
    <row r="879" spans="1:15">
      <c r="A879" s="87"/>
      <c r="B879" s="87"/>
      <c r="C879" s="18"/>
      <c r="D879" s="18"/>
      <c r="E879" s="18"/>
      <c r="F879" s="87"/>
      <c r="G879" s="87"/>
      <c r="H879" s="87"/>
      <c r="I879" s="59"/>
      <c r="J879" s="59"/>
      <c r="K879" s="59"/>
      <c r="L879" s="87"/>
      <c r="M879" s="87"/>
      <c r="N879" s="100"/>
      <c r="O879" s="100"/>
    </row>
    <row r="880" spans="1:15">
      <c r="A880" s="87"/>
      <c r="B880" s="87"/>
      <c r="C880" s="18"/>
      <c r="D880" s="18"/>
      <c r="E880" s="18"/>
      <c r="F880" s="87"/>
      <c r="G880" s="87"/>
      <c r="H880" s="87"/>
      <c r="I880" s="59"/>
      <c r="J880" s="59"/>
      <c r="K880" s="59"/>
      <c r="L880" s="87"/>
      <c r="M880" s="87"/>
      <c r="N880" s="100"/>
      <c r="O880" s="100"/>
    </row>
    <row r="881" spans="1:15">
      <c r="A881" s="87"/>
      <c r="B881" s="87"/>
      <c r="C881" s="18"/>
      <c r="D881" s="18"/>
      <c r="E881" s="18"/>
      <c r="F881" s="87"/>
      <c r="G881" s="87"/>
      <c r="H881" s="87"/>
      <c r="I881" s="59"/>
      <c r="J881" s="59"/>
      <c r="K881" s="59"/>
      <c r="L881" s="87"/>
      <c r="M881" s="87"/>
      <c r="N881" s="100"/>
      <c r="O881" s="100"/>
    </row>
    <row r="882" spans="1:15">
      <c r="A882" s="87"/>
      <c r="B882" s="87"/>
      <c r="C882" s="18"/>
      <c r="D882" s="18"/>
      <c r="E882" s="18"/>
      <c r="F882" s="87"/>
      <c r="G882" s="87"/>
      <c r="H882" s="87"/>
      <c r="I882" s="59"/>
      <c r="J882" s="59"/>
      <c r="K882" s="59"/>
      <c r="L882" s="87"/>
      <c r="M882" s="87"/>
      <c r="N882" s="100"/>
      <c r="O882" s="100"/>
    </row>
    <row r="883" spans="1:15">
      <c r="A883" s="87"/>
      <c r="B883" s="87"/>
      <c r="C883" s="18"/>
      <c r="D883" s="18"/>
      <c r="E883" s="18"/>
      <c r="F883" s="87"/>
      <c r="G883" s="87"/>
      <c r="H883" s="87"/>
      <c r="I883" s="59"/>
      <c r="J883" s="59"/>
      <c r="K883" s="59"/>
      <c r="L883" s="87"/>
      <c r="M883" s="87"/>
      <c r="N883" s="100"/>
      <c r="O883" s="100"/>
    </row>
    <row r="884" spans="1:15">
      <c r="A884" s="87"/>
      <c r="B884" s="87"/>
      <c r="C884" s="18"/>
      <c r="D884" s="18"/>
      <c r="E884" s="18"/>
      <c r="F884" s="87"/>
      <c r="G884" s="87"/>
      <c r="H884" s="87"/>
      <c r="I884" s="59"/>
      <c r="J884" s="59"/>
      <c r="K884" s="59"/>
      <c r="L884" s="87"/>
      <c r="M884" s="87"/>
      <c r="N884" s="100"/>
      <c r="O884" s="100"/>
    </row>
    <row r="885" spans="1:15">
      <c r="A885" s="87"/>
      <c r="B885" s="87"/>
      <c r="C885" s="18"/>
      <c r="D885" s="18"/>
      <c r="E885" s="18"/>
      <c r="F885" s="87"/>
      <c r="G885" s="87"/>
      <c r="H885" s="87"/>
      <c r="I885" s="59"/>
      <c r="J885" s="59"/>
      <c r="K885" s="59"/>
      <c r="L885" s="87"/>
      <c r="M885" s="87"/>
      <c r="N885" s="100"/>
      <c r="O885" s="100"/>
    </row>
    <row r="886" spans="1:15">
      <c r="A886" s="87"/>
      <c r="B886" s="87"/>
      <c r="C886" s="18"/>
      <c r="D886" s="18"/>
      <c r="E886" s="18"/>
      <c r="F886" s="87"/>
      <c r="G886" s="87"/>
      <c r="H886" s="87"/>
      <c r="I886" s="59"/>
      <c r="J886" s="59"/>
      <c r="K886" s="59"/>
      <c r="L886" s="87"/>
      <c r="M886" s="87"/>
      <c r="N886" s="100"/>
      <c r="O886" s="100"/>
    </row>
    <row r="887" spans="1:15">
      <c r="A887" s="87"/>
      <c r="B887" s="87"/>
      <c r="C887" s="18"/>
      <c r="D887" s="18"/>
      <c r="E887" s="18"/>
      <c r="F887" s="87"/>
      <c r="G887" s="87"/>
      <c r="H887" s="87"/>
      <c r="I887" s="59"/>
      <c r="J887" s="59"/>
      <c r="K887" s="59"/>
      <c r="L887" s="87"/>
      <c r="M887" s="87"/>
      <c r="N887" s="100"/>
      <c r="O887" s="100"/>
    </row>
    <row r="888" spans="1:15">
      <c r="A888" s="87"/>
      <c r="B888" s="87"/>
      <c r="C888" s="18"/>
      <c r="D888" s="18"/>
      <c r="E888" s="18"/>
      <c r="F888" s="87"/>
      <c r="G888" s="87"/>
      <c r="H888" s="87"/>
      <c r="I888" s="59"/>
      <c r="J888" s="59"/>
      <c r="K888" s="59"/>
      <c r="L888" s="87"/>
      <c r="M888" s="87"/>
      <c r="N888" s="100"/>
      <c r="O888" s="100"/>
    </row>
    <row r="889" spans="1:15">
      <c r="A889" s="87"/>
      <c r="B889" s="87"/>
      <c r="C889" s="18"/>
      <c r="D889" s="18"/>
      <c r="E889" s="18"/>
      <c r="F889" s="87"/>
      <c r="G889" s="87"/>
      <c r="H889" s="87"/>
      <c r="I889" s="59"/>
      <c r="J889" s="59"/>
      <c r="K889" s="59"/>
      <c r="L889" s="87"/>
      <c r="M889" s="87"/>
      <c r="N889" s="100"/>
      <c r="O889" s="100"/>
    </row>
    <row r="890" spans="1:15">
      <c r="A890" s="87"/>
      <c r="B890" s="87"/>
      <c r="C890" s="18"/>
      <c r="D890" s="18"/>
      <c r="E890" s="18"/>
      <c r="F890" s="87"/>
      <c r="G890" s="87"/>
      <c r="H890" s="87"/>
      <c r="I890" s="59"/>
      <c r="J890" s="59"/>
      <c r="K890" s="59"/>
      <c r="L890" s="87"/>
      <c r="M890" s="87"/>
      <c r="N890" s="100"/>
      <c r="O890" s="100"/>
    </row>
    <row r="891" spans="1:15">
      <c r="A891" s="87"/>
      <c r="B891" s="87"/>
      <c r="C891" s="18"/>
      <c r="D891" s="18"/>
      <c r="E891" s="18"/>
      <c r="F891" s="87"/>
      <c r="G891" s="87"/>
      <c r="H891" s="87"/>
      <c r="I891" s="59"/>
      <c r="J891" s="59"/>
      <c r="K891" s="59"/>
      <c r="L891" s="87"/>
      <c r="M891" s="87"/>
      <c r="N891" s="100"/>
      <c r="O891" s="100"/>
    </row>
    <row r="892" spans="1:15">
      <c r="A892" s="87"/>
      <c r="B892" s="87"/>
      <c r="C892" s="18"/>
      <c r="D892" s="18"/>
      <c r="E892" s="18"/>
      <c r="F892" s="87"/>
      <c r="G892" s="87"/>
      <c r="H892" s="87"/>
      <c r="I892" s="59"/>
      <c r="J892" s="59"/>
      <c r="K892" s="59"/>
      <c r="L892" s="87"/>
      <c r="M892" s="87"/>
      <c r="N892" s="100"/>
      <c r="O892" s="100"/>
    </row>
    <row r="893" spans="1:15">
      <c r="A893" s="87"/>
      <c r="B893" s="87"/>
      <c r="C893" s="18"/>
      <c r="D893" s="18"/>
      <c r="E893" s="18"/>
      <c r="F893" s="87"/>
      <c r="G893" s="87"/>
      <c r="H893" s="87"/>
      <c r="I893" s="59"/>
      <c r="J893" s="59"/>
      <c r="K893" s="59"/>
      <c r="L893" s="87"/>
      <c r="M893" s="87"/>
      <c r="N893" s="100"/>
      <c r="O893" s="100"/>
    </row>
    <row r="894" spans="1:15">
      <c r="A894" s="87"/>
      <c r="B894" s="87"/>
      <c r="C894" s="18"/>
      <c r="D894" s="18"/>
      <c r="E894" s="18"/>
      <c r="F894" s="87"/>
      <c r="G894" s="87"/>
      <c r="H894" s="87"/>
      <c r="I894" s="59"/>
      <c r="J894" s="59"/>
      <c r="K894" s="59"/>
      <c r="L894" s="87"/>
      <c r="M894" s="87"/>
      <c r="N894" s="100"/>
      <c r="O894" s="100"/>
    </row>
    <row r="895" spans="1:15">
      <c r="A895" s="87"/>
      <c r="B895" s="87"/>
      <c r="C895" s="18"/>
      <c r="D895" s="18"/>
      <c r="E895" s="18"/>
      <c r="F895" s="87"/>
      <c r="G895" s="87"/>
      <c r="H895" s="87"/>
      <c r="I895" s="59"/>
      <c r="J895" s="59"/>
      <c r="K895" s="59"/>
      <c r="L895" s="87"/>
      <c r="M895" s="87"/>
      <c r="N895" s="100"/>
      <c r="O895" s="100"/>
    </row>
    <row r="896" spans="1:15">
      <c r="A896" s="87"/>
      <c r="B896" s="87"/>
      <c r="C896" s="18"/>
      <c r="D896" s="18"/>
      <c r="E896" s="18"/>
      <c r="F896" s="87"/>
      <c r="G896" s="87"/>
      <c r="H896" s="87"/>
      <c r="I896" s="59"/>
      <c r="J896" s="59"/>
      <c r="K896" s="59"/>
      <c r="L896" s="87"/>
      <c r="M896" s="87"/>
      <c r="N896" s="100"/>
      <c r="O896" s="100"/>
    </row>
    <row r="897" spans="1:15">
      <c r="A897" s="87"/>
      <c r="B897" s="87"/>
      <c r="C897" s="18"/>
      <c r="D897" s="18"/>
      <c r="E897" s="18"/>
      <c r="F897" s="87"/>
      <c r="G897" s="87"/>
      <c r="H897" s="87"/>
      <c r="I897" s="59"/>
      <c r="J897" s="59"/>
      <c r="K897" s="59"/>
      <c r="L897" s="87"/>
      <c r="M897" s="87"/>
      <c r="N897" s="100"/>
      <c r="O897" s="100"/>
    </row>
    <row r="898" spans="1:15">
      <c r="A898" s="87"/>
      <c r="B898" s="87"/>
      <c r="C898" s="18"/>
      <c r="D898" s="18"/>
      <c r="E898" s="18"/>
      <c r="F898" s="87"/>
      <c r="G898" s="87"/>
      <c r="H898" s="87"/>
      <c r="I898" s="59"/>
      <c r="J898" s="59"/>
      <c r="K898" s="59"/>
      <c r="L898" s="87"/>
      <c r="M898" s="87"/>
      <c r="N898" s="100"/>
      <c r="O898" s="100"/>
    </row>
    <row r="899" spans="1:15">
      <c r="A899" s="87"/>
      <c r="B899" s="87"/>
      <c r="C899" s="18"/>
      <c r="D899" s="18"/>
      <c r="E899" s="18"/>
      <c r="F899" s="87"/>
      <c r="G899" s="87"/>
      <c r="H899" s="87"/>
      <c r="I899" s="59"/>
      <c r="J899" s="59"/>
      <c r="K899" s="59"/>
      <c r="L899" s="87"/>
      <c r="M899" s="87"/>
      <c r="N899" s="100"/>
      <c r="O899" s="100"/>
    </row>
    <row r="900" spans="1:15">
      <c r="A900" s="87"/>
      <c r="B900" s="87"/>
      <c r="C900" s="18"/>
      <c r="D900" s="18"/>
      <c r="E900" s="18"/>
      <c r="F900" s="87"/>
      <c r="G900" s="87"/>
      <c r="H900" s="87"/>
      <c r="I900" s="59"/>
      <c r="J900" s="59"/>
      <c r="K900" s="59"/>
      <c r="L900" s="87"/>
      <c r="M900" s="87"/>
      <c r="N900" s="100"/>
      <c r="O900" s="100"/>
    </row>
    <row r="901" spans="1:15">
      <c r="A901" s="87"/>
      <c r="B901" s="87"/>
      <c r="C901" s="18"/>
      <c r="D901" s="18"/>
      <c r="E901" s="18"/>
      <c r="F901" s="87"/>
      <c r="G901" s="87"/>
      <c r="H901" s="87"/>
      <c r="I901" s="59"/>
      <c r="J901" s="59"/>
      <c r="K901" s="59"/>
      <c r="L901" s="87"/>
      <c r="M901" s="87"/>
      <c r="N901" s="100"/>
      <c r="O901" s="100"/>
    </row>
    <row r="902" spans="1:15">
      <c r="A902" s="87"/>
      <c r="B902" s="87"/>
      <c r="C902" s="18"/>
      <c r="D902" s="18"/>
      <c r="E902" s="18"/>
      <c r="F902" s="87"/>
      <c r="G902" s="87"/>
      <c r="H902" s="87"/>
      <c r="I902" s="59"/>
      <c r="J902" s="59"/>
      <c r="K902" s="59"/>
      <c r="L902" s="87"/>
      <c r="M902" s="87"/>
      <c r="N902" s="100"/>
      <c r="O902" s="100"/>
    </row>
    <row r="903" spans="1:15">
      <c r="A903" s="87"/>
      <c r="B903" s="87"/>
      <c r="C903" s="18"/>
      <c r="D903" s="18"/>
      <c r="E903" s="18"/>
      <c r="F903" s="87"/>
      <c r="G903" s="87"/>
      <c r="H903" s="87"/>
      <c r="I903" s="59"/>
      <c r="J903" s="59"/>
      <c r="K903" s="59"/>
      <c r="L903" s="87"/>
      <c r="M903" s="87"/>
      <c r="N903" s="100"/>
      <c r="O903" s="100"/>
    </row>
    <row r="904" spans="1:15">
      <c r="A904" s="87"/>
      <c r="B904" s="87"/>
      <c r="C904" s="18"/>
      <c r="D904" s="18"/>
      <c r="E904" s="18"/>
      <c r="F904" s="87"/>
      <c r="G904" s="87"/>
      <c r="H904" s="87"/>
      <c r="I904" s="59"/>
      <c r="J904" s="59"/>
      <c r="K904" s="59"/>
      <c r="L904" s="87"/>
      <c r="M904" s="87"/>
      <c r="N904" s="100"/>
      <c r="O904" s="100"/>
    </row>
    <row r="905" spans="1:15">
      <c r="A905" s="87"/>
      <c r="B905" s="87"/>
      <c r="C905" s="18"/>
      <c r="D905" s="18"/>
      <c r="E905" s="18"/>
      <c r="F905" s="87"/>
      <c r="G905" s="87"/>
      <c r="H905" s="87"/>
      <c r="I905" s="59"/>
      <c r="J905" s="59"/>
      <c r="K905" s="59"/>
      <c r="L905" s="87"/>
      <c r="M905" s="87"/>
      <c r="N905" s="100"/>
      <c r="O905" s="100"/>
    </row>
    <row r="906" spans="1:15">
      <c r="A906" s="87"/>
      <c r="B906" s="87"/>
      <c r="C906" s="18"/>
      <c r="D906" s="18"/>
      <c r="E906" s="18"/>
      <c r="F906" s="87"/>
      <c r="G906" s="87"/>
      <c r="H906" s="87"/>
      <c r="I906" s="59"/>
      <c r="J906" s="59"/>
      <c r="K906" s="59"/>
      <c r="L906" s="87"/>
      <c r="M906" s="87"/>
      <c r="N906" s="100"/>
      <c r="O906" s="100"/>
    </row>
    <row r="907" spans="1:15">
      <c r="A907" s="87"/>
      <c r="B907" s="87"/>
      <c r="C907" s="18"/>
      <c r="D907" s="18"/>
      <c r="E907" s="18"/>
      <c r="F907" s="87"/>
      <c r="G907" s="87"/>
      <c r="H907" s="87"/>
      <c r="I907" s="59"/>
      <c r="J907" s="59"/>
      <c r="K907" s="59"/>
      <c r="L907" s="87"/>
      <c r="M907" s="87"/>
      <c r="N907" s="100"/>
      <c r="O907" s="100"/>
    </row>
    <row r="908" spans="1:15">
      <c r="A908" s="87"/>
      <c r="B908" s="87"/>
      <c r="C908" s="18"/>
      <c r="D908" s="18"/>
      <c r="E908" s="18"/>
      <c r="F908" s="87"/>
      <c r="G908" s="87"/>
      <c r="H908" s="87"/>
      <c r="I908" s="59"/>
      <c r="J908" s="59"/>
      <c r="K908" s="59"/>
      <c r="L908" s="87"/>
      <c r="M908" s="87"/>
      <c r="N908" s="100"/>
      <c r="O908" s="100"/>
    </row>
    <row r="909" spans="1:15">
      <c r="A909" s="87"/>
      <c r="B909" s="87"/>
      <c r="C909" s="18"/>
      <c r="D909" s="18"/>
      <c r="E909" s="18"/>
      <c r="F909" s="87"/>
      <c r="G909" s="87"/>
      <c r="H909" s="87"/>
      <c r="I909" s="59"/>
      <c r="J909" s="59"/>
      <c r="K909" s="59"/>
      <c r="L909" s="87"/>
      <c r="M909" s="87"/>
      <c r="N909" s="100"/>
      <c r="O909" s="100"/>
    </row>
    <row r="910" spans="1:15">
      <c r="A910" s="87"/>
      <c r="B910" s="87"/>
      <c r="C910" s="18"/>
      <c r="D910" s="18"/>
      <c r="E910" s="18"/>
      <c r="F910" s="87"/>
      <c r="G910" s="87"/>
      <c r="H910" s="87"/>
      <c r="I910" s="59"/>
      <c r="J910" s="59"/>
      <c r="K910" s="59"/>
      <c r="L910" s="87"/>
      <c r="M910" s="87"/>
      <c r="N910" s="100"/>
      <c r="O910" s="100"/>
    </row>
    <row r="911" spans="1:15">
      <c r="A911" s="87"/>
      <c r="B911" s="87"/>
      <c r="C911" s="18"/>
      <c r="D911" s="18"/>
      <c r="E911" s="18"/>
      <c r="F911" s="87"/>
      <c r="G911" s="87"/>
      <c r="H911" s="87"/>
      <c r="I911" s="59"/>
      <c r="J911" s="59"/>
      <c r="K911" s="59"/>
      <c r="L911" s="87"/>
      <c r="M911" s="87"/>
      <c r="N911" s="100"/>
      <c r="O911" s="100"/>
    </row>
    <row r="912" spans="1:15">
      <c r="A912" s="87"/>
      <c r="B912" s="87"/>
      <c r="C912" s="18"/>
      <c r="D912" s="18"/>
      <c r="E912" s="18"/>
      <c r="F912" s="87"/>
      <c r="G912" s="87"/>
      <c r="H912" s="87"/>
      <c r="I912" s="59"/>
      <c r="J912" s="59"/>
      <c r="K912" s="59"/>
      <c r="L912" s="87"/>
      <c r="M912" s="87"/>
      <c r="N912" s="100"/>
      <c r="O912" s="100"/>
    </row>
    <row r="913" spans="1:15">
      <c r="A913" s="87"/>
      <c r="B913" s="87"/>
      <c r="C913" s="18"/>
      <c r="D913" s="18"/>
      <c r="E913" s="18"/>
      <c r="F913" s="87"/>
      <c r="G913" s="87"/>
      <c r="H913" s="87"/>
      <c r="I913" s="59"/>
      <c r="J913" s="59"/>
      <c r="K913" s="59"/>
      <c r="L913" s="87"/>
      <c r="M913" s="87"/>
      <c r="N913" s="100"/>
      <c r="O913" s="100"/>
    </row>
    <row r="914" spans="1:15">
      <c r="A914" s="87"/>
      <c r="B914" s="87"/>
      <c r="C914" s="18"/>
      <c r="D914" s="18"/>
      <c r="E914" s="18"/>
      <c r="F914" s="87"/>
      <c r="G914" s="87"/>
      <c r="H914" s="87"/>
      <c r="I914" s="59"/>
      <c r="J914" s="59"/>
      <c r="K914" s="59"/>
      <c r="L914" s="87"/>
      <c r="M914" s="87"/>
      <c r="N914" s="100"/>
      <c r="O914" s="100"/>
    </row>
    <row r="915" spans="1:15">
      <c r="A915" s="87"/>
      <c r="B915" s="87"/>
      <c r="C915" s="18"/>
      <c r="D915" s="18"/>
      <c r="E915" s="18"/>
      <c r="F915" s="87"/>
      <c r="G915" s="87"/>
      <c r="H915" s="87"/>
      <c r="I915" s="59"/>
      <c r="J915" s="59"/>
      <c r="K915" s="59"/>
      <c r="L915" s="87"/>
      <c r="M915" s="87"/>
      <c r="N915" s="100"/>
      <c r="O915" s="100"/>
    </row>
    <row r="916" spans="1:15">
      <c r="A916" s="87"/>
      <c r="B916" s="87"/>
      <c r="C916" s="18"/>
      <c r="D916" s="18"/>
      <c r="E916" s="18"/>
      <c r="F916" s="87"/>
      <c r="G916" s="87"/>
      <c r="H916" s="87"/>
      <c r="I916" s="59"/>
      <c r="J916" s="59"/>
      <c r="K916" s="59"/>
      <c r="L916" s="87"/>
      <c r="M916" s="87"/>
      <c r="N916" s="100"/>
      <c r="O916" s="100"/>
    </row>
    <row r="917" spans="1:15">
      <c r="A917" s="87"/>
      <c r="B917" s="87"/>
      <c r="C917" s="18"/>
      <c r="D917" s="18"/>
      <c r="E917" s="18"/>
      <c r="F917" s="87"/>
      <c r="G917" s="87"/>
      <c r="H917" s="87"/>
      <c r="I917" s="59"/>
      <c r="J917" s="59"/>
      <c r="K917" s="59"/>
      <c r="L917" s="87"/>
      <c r="M917" s="87"/>
      <c r="N917" s="100"/>
      <c r="O917" s="100"/>
    </row>
    <row r="918" spans="1:15">
      <c r="A918" s="87"/>
      <c r="B918" s="87"/>
      <c r="C918" s="18"/>
      <c r="D918" s="18"/>
      <c r="E918" s="18"/>
      <c r="F918" s="87"/>
      <c r="G918" s="87"/>
      <c r="H918" s="87"/>
      <c r="I918" s="59"/>
      <c r="J918" s="59"/>
      <c r="K918" s="59"/>
      <c r="L918" s="87"/>
      <c r="M918" s="87"/>
      <c r="N918" s="100"/>
      <c r="O918" s="100"/>
    </row>
    <row r="919" spans="1:15">
      <c r="A919" s="87"/>
      <c r="B919" s="87"/>
      <c r="C919" s="18"/>
      <c r="D919" s="18"/>
      <c r="E919" s="18"/>
      <c r="F919" s="87"/>
      <c r="G919" s="87"/>
      <c r="H919" s="87"/>
      <c r="I919" s="59"/>
      <c r="J919" s="59"/>
      <c r="K919" s="59"/>
      <c r="L919" s="87"/>
      <c r="M919" s="87"/>
      <c r="N919" s="100"/>
      <c r="O919" s="100"/>
    </row>
    <row r="920" spans="1:15">
      <c r="A920" s="87"/>
      <c r="B920" s="87"/>
      <c r="C920" s="18"/>
      <c r="D920" s="18"/>
      <c r="E920" s="18"/>
      <c r="F920" s="87"/>
      <c r="G920" s="87"/>
      <c r="H920" s="87"/>
      <c r="I920" s="59"/>
      <c r="J920" s="59"/>
      <c r="K920" s="59"/>
      <c r="L920" s="87"/>
      <c r="M920" s="87"/>
      <c r="N920" s="100"/>
      <c r="O920" s="100"/>
    </row>
    <row r="921" spans="1:15">
      <c r="A921" s="87"/>
      <c r="B921" s="87"/>
      <c r="C921" s="18"/>
      <c r="D921" s="18"/>
      <c r="E921" s="18"/>
      <c r="F921" s="87"/>
      <c r="G921" s="87"/>
      <c r="H921" s="87"/>
      <c r="I921" s="59"/>
      <c r="J921" s="59"/>
      <c r="K921" s="59"/>
      <c r="L921" s="87"/>
      <c r="M921" s="87"/>
      <c r="N921" s="100"/>
      <c r="O921" s="100"/>
    </row>
    <row r="922" spans="1:15">
      <c r="A922" s="87"/>
      <c r="B922" s="87"/>
      <c r="C922" s="18"/>
      <c r="D922" s="18"/>
      <c r="E922" s="18"/>
      <c r="F922" s="87"/>
      <c r="G922" s="87"/>
      <c r="H922" s="87"/>
      <c r="I922" s="59"/>
      <c r="J922" s="59"/>
      <c r="K922" s="59"/>
      <c r="L922" s="87"/>
      <c r="M922" s="87"/>
      <c r="N922" s="100"/>
      <c r="O922" s="100"/>
    </row>
    <row r="923" spans="1:15">
      <c r="A923" s="87"/>
      <c r="B923" s="87"/>
      <c r="C923" s="18"/>
      <c r="D923" s="18"/>
      <c r="E923" s="18"/>
      <c r="F923" s="87"/>
      <c r="G923" s="87"/>
      <c r="H923" s="87"/>
      <c r="I923" s="59"/>
      <c r="J923" s="59"/>
      <c r="K923" s="59"/>
      <c r="L923" s="87"/>
      <c r="M923" s="87"/>
      <c r="N923" s="100"/>
      <c r="O923" s="100"/>
    </row>
    <row r="924" spans="1:15">
      <c r="A924" s="87"/>
      <c r="B924" s="87"/>
      <c r="C924" s="18"/>
      <c r="D924" s="18"/>
      <c r="E924" s="18"/>
      <c r="F924" s="87"/>
      <c r="G924" s="87"/>
      <c r="H924" s="87"/>
      <c r="I924" s="59"/>
      <c r="J924" s="59"/>
      <c r="K924" s="59"/>
      <c r="L924" s="87"/>
      <c r="M924" s="87"/>
      <c r="N924" s="100"/>
      <c r="O924" s="100"/>
    </row>
    <row r="925" spans="1:15">
      <c r="A925" s="87"/>
      <c r="B925" s="87"/>
      <c r="C925" s="18"/>
      <c r="D925" s="18"/>
      <c r="E925" s="18"/>
      <c r="F925" s="87"/>
      <c r="G925" s="87"/>
      <c r="H925" s="87"/>
      <c r="I925" s="59"/>
      <c r="J925" s="59"/>
      <c r="K925" s="59"/>
      <c r="L925" s="87"/>
      <c r="M925" s="87"/>
      <c r="N925" s="100"/>
      <c r="O925" s="100"/>
    </row>
    <row r="926" spans="1:15">
      <c r="A926" s="87"/>
      <c r="B926" s="87"/>
      <c r="C926" s="18"/>
      <c r="D926" s="18"/>
      <c r="E926" s="18"/>
      <c r="F926" s="87"/>
      <c r="G926" s="87"/>
      <c r="H926" s="87"/>
      <c r="I926" s="59"/>
      <c r="J926" s="59"/>
      <c r="K926" s="59"/>
      <c r="L926" s="87"/>
      <c r="M926" s="87"/>
      <c r="N926" s="100"/>
      <c r="O926" s="100"/>
    </row>
    <row r="927" spans="1:15">
      <c r="A927" s="87"/>
      <c r="B927" s="87"/>
      <c r="C927" s="18"/>
      <c r="D927" s="18"/>
      <c r="E927" s="18"/>
      <c r="F927" s="87"/>
      <c r="G927" s="87"/>
      <c r="H927" s="87"/>
      <c r="I927" s="59"/>
      <c r="J927" s="59"/>
      <c r="K927" s="59"/>
      <c r="L927" s="87"/>
      <c r="M927" s="87"/>
      <c r="N927" s="100"/>
      <c r="O927" s="100"/>
    </row>
    <row r="928" spans="1:15">
      <c r="A928" s="87"/>
      <c r="B928" s="87"/>
      <c r="C928" s="18"/>
      <c r="D928" s="18"/>
      <c r="E928" s="18"/>
      <c r="F928" s="87"/>
      <c r="G928" s="87"/>
      <c r="H928" s="87"/>
      <c r="I928" s="59"/>
      <c r="J928" s="59"/>
      <c r="K928" s="59"/>
      <c r="L928" s="87"/>
      <c r="M928" s="87"/>
      <c r="N928" s="100"/>
      <c r="O928" s="100"/>
    </row>
    <row r="929" spans="1:15">
      <c r="A929" s="87"/>
      <c r="B929" s="87"/>
      <c r="C929" s="18"/>
      <c r="D929" s="18"/>
      <c r="E929" s="18"/>
      <c r="F929" s="87"/>
      <c r="G929" s="87"/>
      <c r="H929" s="87"/>
      <c r="I929" s="59"/>
      <c r="J929" s="59"/>
      <c r="K929" s="59"/>
      <c r="L929" s="87"/>
      <c r="M929" s="87"/>
      <c r="N929" s="100"/>
      <c r="O929" s="100"/>
    </row>
    <row r="930" spans="1:15">
      <c r="A930" s="87"/>
      <c r="B930" s="87"/>
      <c r="C930" s="18"/>
      <c r="D930" s="18"/>
      <c r="E930" s="18"/>
      <c r="F930" s="87"/>
      <c r="G930" s="87"/>
      <c r="H930" s="87"/>
      <c r="I930" s="59"/>
      <c r="J930" s="59"/>
      <c r="K930" s="59"/>
      <c r="L930" s="87"/>
      <c r="M930" s="87"/>
      <c r="N930" s="100"/>
      <c r="O930" s="100"/>
    </row>
    <row r="931" spans="1:15">
      <c r="A931" s="87"/>
      <c r="B931" s="87"/>
      <c r="C931" s="18"/>
      <c r="D931" s="18"/>
      <c r="E931" s="18"/>
      <c r="F931" s="87"/>
      <c r="G931" s="87"/>
      <c r="H931" s="87"/>
      <c r="I931" s="59"/>
      <c r="J931" s="59"/>
      <c r="K931" s="59"/>
      <c r="L931" s="87"/>
      <c r="M931" s="87"/>
      <c r="N931" s="100"/>
      <c r="O931" s="100"/>
    </row>
    <row r="932" spans="1:15">
      <c r="A932" s="87"/>
      <c r="B932" s="87"/>
      <c r="C932" s="18"/>
      <c r="D932" s="18"/>
      <c r="E932" s="18"/>
      <c r="F932" s="87"/>
      <c r="G932" s="87"/>
      <c r="H932" s="87"/>
      <c r="I932" s="59"/>
      <c r="J932" s="59"/>
      <c r="K932" s="59"/>
      <c r="L932" s="87"/>
      <c r="M932" s="87"/>
      <c r="N932" s="100"/>
      <c r="O932" s="100"/>
    </row>
    <row r="933" spans="1:15">
      <c r="A933" s="87"/>
      <c r="B933" s="87"/>
      <c r="C933" s="18"/>
      <c r="D933" s="18"/>
      <c r="E933" s="18"/>
      <c r="F933" s="87"/>
      <c r="G933" s="87"/>
      <c r="H933" s="87"/>
      <c r="I933" s="59"/>
      <c r="J933" s="59"/>
      <c r="K933" s="59"/>
      <c r="L933" s="87"/>
      <c r="M933" s="87"/>
      <c r="N933" s="100"/>
      <c r="O933" s="100"/>
    </row>
    <row r="934" spans="1:15">
      <c r="A934" s="87"/>
      <c r="B934" s="87"/>
      <c r="C934" s="18"/>
      <c r="D934" s="18"/>
      <c r="E934" s="18"/>
      <c r="F934" s="87"/>
      <c r="G934" s="87"/>
      <c r="H934" s="87"/>
      <c r="I934" s="59"/>
      <c r="J934" s="59"/>
      <c r="K934" s="59"/>
      <c r="L934" s="87"/>
      <c r="M934" s="87"/>
      <c r="N934" s="100"/>
      <c r="O934" s="100"/>
    </row>
    <row r="935" spans="1:15">
      <c r="A935" s="87"/>
      <c r="B935" s="87"/>
      <c r="C935" s="18"/>
      <c r="D935" s="18"/>
      <c r="E935" s="18"/>
      <c r="F935" s="87"/>
      <c r="G935" s="87"/>
      <c r="H935" s="87"/>
      <c r="I935" s="59"/>
      <c r="J935" s="59"/>
      <c r="K935" s="59"/>
      <c r="L935" s="87"/>
      <c r="M935" s="87"/>
      <c r="N935" s="100"/>
      <c r="O935" s="100"/>
    </row>
    <row r="936" spans="1:15">
      <c r="A936" s="87"/>
      <c r="B936" s="87"/>
      <c r="C936" s="18"/>
      <c r="D936" s="18"/>
      <c r="E936" s="18"/>
      <c r="F936" s="87"/>
      <c r="G936" s="87"/>
      <c r="H936" s="87"/>
      <c r="I936" s="59"/>
      <c r="J936" s="59"/>
      <c r="K936" s="59"/>
      <c r="L936" s="87"/>
      <c r="M936" s="87"/>
      <c r="N936" s="100"/>
      <c r="O936" s="100"/>
    </row>
    <row r="937" spans="1:15">
      <c r="A937" s="87"/>
      <c r="B937" s="87"/>
      <c r="C937" s="18"/>
      <c r="D937" s="18"/>
      <c r="E937" s="18"/>
      <c r="F937" s="87"/>
      <c r="G937" s="87"/>
      <c r="H937" s="87"/>
      <c r="I937" s="59"/>
      <c r="J937" s="59"/>
      <c r="K937" s="59"/>
      <c r="L937" s="87"/>
      <c r="M937" s="87"/>
      <c r="N937" s="100"/>
      <c r="O937" s="100"/>
    </row>
    <row r="938" spans="1:15">
      <c r="A938" s="87"/>
      <c r="B938" s="87"/>
      <c r="C938" s="18"/>
      <c r="D938" s="18"/>
      <c r="E938" s="18"/>
      <c r="F938" s="87"/>
      <c r="G938" s="87"/>
      <c r="H938" s="87"/>
      <c r="I938" s="59"/>
      <c r="J938" s="59"/>
      <c r="K938" s="59"/>
      <c r="L938" s="87"/>
      <c r="M938" s="87"/>
      <c r="N938" s="100"/>
      <c r="O938" s="100"/>
    </row>
    <row r="939" spans="1:15">
      <c r="A939" s="87"/>
      <c r="B939" s="87"/>
      <c r="C939" s="18"/>
      <c r="D939" s="18"/>
      <c r="E939" s="18"/>
      <c r="F939" s="87"/>
      <c r="G939" s="87"/>
      <c r="H939" s="87"/>
      <c r="I939" s="59"/>
      <c r="J939" s="59"/>
      <c r="K939" s="59"/>
      <c r="L939" s="87"/>
      <c r="M939" s="87"/>
      <c r="N939" s="100"/>
      <c r="O939" s="100"/>
    </row>
    <row r="940" spans="1:15">
      <c r="A940" s="87"/>
      <c r="B940" s="87"/>
      <c r="C940" s="18"/>
      <c r="D940" s="18"/>
      <c r="E940" s="18"/>
      <c r="F940" s="87"/>
      <c r="G940" s="87"/>
      <c r="H940" s="87"/>
      <c r="I940" s="59"/>
      <c r="J940" s="59"/>
      <c r="K940" s="59"/>
      <c r="L940" s="87"/>
      <c r="M940" s="87"/>
      <c r="N940" s="100"/>
      <c r="O940" s="100"/>
    </row>
    <row r="941" spans="1:15">
      <c r="A941" s="87"/>
      <c r="B941" s="87"/>
      <c r="C941" s="18"/>
      <c r="D941" s="18"/>
      <c r="E941" s="18"/>
      <c r="F941" s="87"/>
      <c r="G941" s="87"/>
      <c r="H941" s="87"/>
      <c r="I941" s="59"/>
      <c r="J941" s="59"/>
      <c r="K941" s="59"/>
      <c r="L941" s="87"/>
      <c r="M941" s="87"/>
      <c r="N941" s="100"/>
      <c r="O941" s="100"/>
    </row>
    <row r="942" spans="1:15">
      <c r="A942" s="87"/>
      <c r="B942" s="87"/>
      <c r="C942" s="18"/>
      <c r="D942" s="18"/>
      <c r="E942" s="18"/>
      <c r="F942" s="87"/>
      <c r="G942" s="87"/>
      <c r="H942" s="87"/>
      <c r="I942" s="59"/>
      <c r="J942" s="59"/>
      <c r="K942" s="59"/>
      <c r="L942" s="87"/>
      <c r="M942" s="87"/>
      <c r="N942" s="100"/>
      <c r="O942" s="100"/>
    </row>
    <row r="943" spans="1:15">
      <c r="A943" s="87"/>
      <c r="B943" s="87"/>
      <c r="C943" s="18"/>
      <c r="D943" s="18"/>
      <c r="E943" s="18"/>
      <c r="F943" s="87"/>
      <c r="G943" s="87"/>
      <c r="H943" s="87"/>
      <c r="I943" s="59"/>
      <c r="J943" s="59"/>
      <c r="K943" s="59"/>
      <c r="L943" s="87"/>
      <c r="M943" s="87"/>
      <c r="N943" s="100"/>
      <c r="O943" s="100"/>
    </row>
    <row r="944" spans="1:15">
      <c r="A944" s="87"/>
      <c r="B944" s="87"/>
      <c r="C944" s="18"/>
      <c r="D944" s="18"/>
      <c r="E944" s="18"/>
      <c r="F944" s="87"/>
      <c r="G944" s="87"/>
      <c r="H944" s="87"/>
      <c r="I944" s="59"/>
      <c r="J944" s="59"/>
      <c r="K944" s="59"/>
      <c r="L944" s="87"/>
      <c r="M944" s="87"/>
      <c r="N944" s="100"/>
      <c r="O944" s="100"/>
    </row>
    <row r="945" spans="1:15">
      <c r="A945" s="87"/>
      <c r="B945" s="87"/>
      <c r="C945" s="18"/>
      <c r="D945" s="18"/>
      <c r="E945" s="18"/>
      <c r="F945" s="87"/>
      <c r="G945" s="87"/>
      <c r="H945" s="87"/>
      <c r="I945" s="59"/>
      <c r="J945" s="59"/>
      <c r="K945" s="59"/>
      <c r="L945" s="87"/>
      <c r="M945" s="87"/>
      <c r="N945" s="100"/>
      <c r="O945" s="100"/>
    </row>
    <row r="946" spans="1:15">
      <c r="A946" s="87"/>
      <c r="B946" s="87"/>
      <c r="C946" s="18"/>
      <c r="D946" s="18"/>
      <c r="E946" s="18"/>
      <c r="F946" s="87"/>
      <c r="G946" s="87"/>
      <c r="H946" s="87"/>
      <c r="I946" s="59"/>
      <c r="J946" s="59"/>
      <c r="K946" s="59"/>
      <c r="L946" s="87"/>
      <c r="M946" s="87"/>
      <c r="N946" s="100"/>
      <c r="O946" s="100"/>
    </row>
    <row r="947" spans="1:15">
      <c r="A947" s="87"/>
      <c r="B947" s="87"/>
      <c r="C947" s="18"/>
      <c r="D947" s="18"/>
      <c r="E947" s="18"/>
      <c r="F947" s="87"/>
      <c r="G947" s="87"/>
      <c r="H947" s="87"/>
      <c r="I947" s="59"/>
      <c r="J947" s="59"/>
      <c r="K947" s="59"/>
      <c r="L947" s="87"/>
      <c r="M947" s="87"/>
      <c r="N947" s="100"/>
      <c r="O947" s="100"/>
    </row>
    <row r="948" spans="1:15">
      <c r="A948" s="87"/>
      <c r="B948" s="87"/>
      <c r="C948" s="18"/>
      <c r="D948" s="18"/>
      <c r="E948" s="18"/>
      <c r="F948" s="87"/>
      <c r="G948" s="87"/>
      <c r="H948" s="87"/>
      <c r="I948" s="59"/>
      <c r="J948" s="59"/>
      <c r="K948" s="59"/>
      <c r="L948" s="87"/>
      <c r="M948" s="87"/>
      <c r="N948" s="100"/>
      <c r="O948" s="100"/>
    </row>
    <row r="949" spans="1:15">
      <c r="A949" s="87"/>
      <c r="B949" s="87"/>
      <c r="C949" s="18"/>
      <c r="D949" s="18"/>
      <c r="E949" s="18"/>
      <c r="F949" s="87"/>
      <c r="G949" s="87"/>
      <c r="H949" s="87"/>
      <c r="I949" s="59"/>
      <c r="J949" s="59"/>
      <c r="K949" s="59"/>
      <c r="L949" s="87"/>
      <c r="M949" s="87"/>
      <c r="N949" s="100"/>
      <c r="O949" s="100"/>
    </row>
    <row r="950" spans="1:15">
      <c r="A950" s="87"/>
      <c r="B950" s="87"/>
      <c r="C950" s="18"/>
      <c r="D950" s="18"/>
      <c r="E950" s="18"/>
      <c r="F950" s="87"/>
      <c r="G950" s="87"/>
      <c r="H950" s="87"/>
      <c r="I950" s="59"/>
      <c r="J950" s="59"/>
      <c r="K950" s="59"/>
      <c r="L950" s="87"/>
      <c r="M950" s="87"/>
      <c r="N950" s="100"/>
      <c r="O950" s="100"/>
    </row>
    <row r="951" spans="1:15">
      <c r="A951" s="87"/>
      <c r="B951" s="87"/>
      <c r="C951" s="18"/>
      <c r="D951" s="18"/>
      <c r="E951" s="18"/>
      <c r="F951" s="87"/>
      <c r="G951" s="87"/>
      <c r="H951" s="87"/>
      <c r="I951" s="59"/>
      <c r="J951" s="59"/>
      <c r="K951" s="59"/>
      <c r="L951" s="87"/>
      <c r="M951" s="87"/>
      <c r="N951" s="100"/>
      <c r="O951" s="100"/>
    </row>
    <row r="952" spans="1:15">
      <c r="A952" s="87"/>
      <c r="B952" s="87"/>
      <c r="C952" s="18"/>
      <c r="D952" s="18"/>
      <c r="E952" s="18"/>
      <c r="F952" s="87"/>
      <c r="G952" s="87"/>
      <c r="H952" s="87"/>
      <c r="I952" s="59"/>
      <c r="J952" s="59"/>
      <c r="K952" s="59"/>
      <c r="L952" s="87"/>
      <c r="M952" s="87"/>
      <c r="N952" s="100"/>
      <c r="O952" s="100"/>
    </row>
    <row r="953" spans="1:15">
      <c r="A953" s="87"/>
      <c r="B953" s="87"/>
      <c r="C953" s="18"/>
      <c r="D953" s="18"/>
      <c r="E953" s="18"/>
      <c r="F953" s="87"/>
      <c r="G953" s="87"/>
      <c r="H953" s="87"/>
      <c r="I953" s="59"/>
      <c r="J953" s="59"/>
      <c r="K953" s="59"/>
      <c r="L953" s="87"/>
      <c r="M953" s="87"/>
      <c r="N953" s="100"/>
      <c r="O953" s="100"/>
    </row>
    <row r="954" spans="1:15">
      <c r="A954" s="87"/>
      <c r="B954" s="87"/>
      <c r="C954" s="18"/>
      <c r="D954" s="18"/>
      <c r="E954" s="18"/>
      <c r="F954" s="87"/>
      <c r="G954" s="87"/>
      <c r="H954" s="87"/>
      <c r="I954" s="59"/>
      <c r="J954" s="59"/>
      <c r="K954" s="59"/>
      <c r="L954" s="87"/>
      <c r="M954" s="87"/>
      <c r="N954" s="100"/>
      <c r="O954" s="100"/>
    </row>
    <row r="955" spans="1:15">
      <c r="A955" s="87"/>
      <c r="B955" s="87"/>
      <c r="C955" s="18"/>
      <c r="D955" s="18"/>
      <c r="E955" s="18"/>
      <c r="F955" s="87"/>
      <c r="G955" s="87"/>
      <c r="H955" s="87"/>
      <c r="I955" s="59"/>
      <c r="J955" s="59"/>
      <c r="K955" s="59"/>
      <c r="L955" s="87"/>
      <c r="M955" s="87"/>
      <c r="N955" s="100"/>
      <c r="O955" s="100"/>
    </row>
    <row r="956" spans="1:15">
      <c r="A956" s="87"/>
      <c r="B956" s="87"/>
      <c r="C956" s="18"/>
      <c r="D956" s="18"/>
      <c r="E956" s="18"/>
      <c r="F956" s="87"/>
      <c r="G956" s="87"/>
      <c r="H956" s="87"/>
      <c r="I956" s="59"/>
      <c r="J956" s="59"/>
      <c r="K956" s="59"/>
      <c r="L956" s="87"/>
      <c r="M956" s="87"/>
      <c r="N956" s="100"/>
      <c r="O956" s="100"/>
    </row>
    <row r="957" spans="1:15">
      <c r="A957" s="87"/>
      <c r="B957" s="87"/>
      <c r="C957" s="18"/>
      <c r="D957" s="18"/>
      <c r="E957" s="18"/>
      <c r="F957" s="87"/>
      <c r="G957" s="87"/>
      <c r="H957" s="87"/>
      <c r="I957" s="59"/>
      <c r="J957" s="59"/>
      <c r="K957" s="59"/>
      <c r="L957" s="87"/>
      <c r="M957" s="87"/>
      <c r="N957" s="100"/>
      <c r="O957" s="100"/>
    </row>
    <row r="958" spans="1:15">
      <c r="A958" s="87"/>
      <c r="B958" s="87"/>
      <c r="C958" s="18"/>
      <c r="D958" s="18"/>
      <c r="E958" s="18"/>
      <c r="F958" s="87"/>
      <c r="G958" s="87"/>
      <c r="H958" s="87"/>
      <c r="I958" s="59"/>
      <c r="J958" s="59"/>
      <c r="K958" s="59"/>
      <c r="L958" s="87"/>
      <c r="M958" s="87"/>
      <c r="N958" s="100"/>
      <c r="O958" s="100"/>
    </row>
    <row r="959" spans="1:15">
      <c r="A959" s="87"/>
      <c r="B959" s="87"/>
      <c r="C959" s="18"/>
      <c r="D959" s="18"/>
      <c r="E959" s="18"/>
      <c r="F959" s="87"/>
      <c r="G959" s="87"/>
      <c r="H959" s="87"/>
      <c r="I959" s="59"/>
      <c r="J959" s="59"/>
      <c r="K959" s="59"/>
      <c r="L959" s="87"/>
      <c r="M959" s="87"/>
      <c r="N959" s="100"/>
      <c r="O959" s="100"/>
    </row>
    <row r="960" spans="1:15">
      <c r="A960" s="87"/>
      <c r="B960" s="87"/>
      <c r="C960" s="18"/>
      <c r="D960" s="18"/>
      <c r="E960" s="18"/>
      <c r="F960" s="87"/>
      <c r="G960" s="87"/>
      <c r="H960" s="87"/>
      <c r="I960" s="59"/>
      <c r="J960" s="59"/>
      <c r="K960" s="59"/>
      <c r="L960" s="87"/>
      <c r="M960" s="87"/>
      <c r="N960" s="100"/>
      <c r="O960" s="100"/>
    </row>
    <row r="961" spans="1:15">
      <c r="A961" s="87"/>
      <c r="B961" s="87"/>
      <c r="C961" s="18"/>
      <c r="D961" s="18"/>
      <c r="E961" s="18"/>
      <c r="F961" s="87"/>
      <c r="G961" s="87"/>
      <c r="H961" s="87"/>
      <c r="I961" s="59"/>
      <c r="J961" s="59"/>
      <c r="K961" s="59"/>
      <c r="L961" s="87"/>
      <c r="M961" s="87"/>
      <c r="N961" s="100"/>
      <c r="O961" s="100"/>
    </row>
    <row r="962" spans="1:15">
      <c r="A962" s="87"/>
      <c r="B962" s="87"/>
      <c r="C962" s="18"/>
      <c r="D962" s="18"/>
      <c r="E962" s="18"/>
      <c r="F962" s="87"/>
      <c r="G962" s="87"/>
      <c r="H962" s="87"/>
      <c r="I962" s="59"/>
      <c r="J962" s="59"/>
      <c r="K962" s="59"/>
      <c r="L962" s="87"/>
      <c r="M962" s="87"/>
      <c r="N962" s="100"/>
      <c r="O962" s="100"/>
    </row>
    <row r="963" spans="1:15">
      <c r="A963" s="87"/>
      <c r="B963" s="87"/>
      <c r="C963" s="18"/>
      <c r="D963" s="18"/>
      <c r="E963" s="18"/>
      <c r="F963" s="87"/>
      <c r="G963" s="87"/>
      <c r="H963" s="87"/>
      <c r="I963" s="59"/>
      <c r="J963" s="59"/>
      <c r="K963" s="59"/>
      <c r="L963" s="87"/>
      <c r="M963" s="87"/>
      <c r="N963" s="100"/>
      <c r="O963" s="100"/>
    </row>
    <row r="964" spans="1:15">
      <c r="A964" s="87"/>
      <c r="B964" s="87"/>
      <c r="C964" s="18"/>
      <c r="D964" s="18"/>
      <c r="E964" s="18"/>
      <c r="F964" s="87"/>
      <c r="G964" s="87"/>
      <c r="H964" s="87"/>
      <c r="I964" s="59"/>
      <c r="J964" s="59"/>
      <c r="K964" s="59"/>
      <c r="L964" s="87"/>
      <c r="M964" s="87"/>
      <c r="N964" s="100"/>
      <c r="O964" s="100"/>
    </row>
    <row r="965" spans="1:15">
      <c r="A965" s="87"/>
      <c r="B965" s="87"/>
      <c r="C965" s="18"/>
      <c r="D965" s="18"/>
      <c r="E965" s="18"/>
      <c r="F965" s="87"/>
      <c r="G965" s="87"/>
      <c r="H965" s="87"/>
      <c r="I965" s="59"/>
      <c r="J965" s="59"/>
      <c r="K965" s="59"/>
      <c r="L965" s="87"/>
      <c r="M965" s="87"/>
      <c r="N965" s="100"/>
      <c r="O965" s="100"/>
    </row>
    <row r="966" spans="1:15">
      <c r="A966" s="87"/>
      <c r="B966" s="87"/>
      <c r="C966" s="18"/>
      <c r="D966" s="18"/>
      <c r="E966" s="18"/>
      <c r="F966" s="87"/>
      <c r="G966" s="87"/>
      <c r="H966" s="87"/>
      <c r="I966" s="59"/>
      <c r="J966" s="59"/>
      <c r="K966" s="59"/>
      <c r="L966" s="87"/>
      <c r="M966" s="87"/>
      <c r="N966" s="100"/>
      <c r="O966" s="100"/>
    </row>
    <row r="967" spans="1:15">
      <c r="A967" s="87"/>
      <c r="B967" s="87"/>
      <c r="C967" s="18"/>
      <c r="D967" s="18"/>
      <c r="E967" s="18"/>
      <c r="F967" s="87"/>
      <c r="G967" s="87"/>
      <c r="H967" s="87"/>
      <c r="I967" s="59"/>
      <c r="J967" s="59"/>
      <c r="K967" s="59"/>
      <c r="L967" s="87"/>
      <c r="M967" s="87"/>
      <c r="N967" s="100"/>
      <c r="O967" s="100"/>
    </row>
    <row r="968" spans="1:15">
      <c r="A968" s="87"/>
      <c r="B968" s="87"/>
      <c r="C968" s="18"/>
      <c r="D968" s="18"/>
      <c r="E968" s="18"/>
      <c r="F968" s="87"/>
      <c r="G968" s="87"/>
      <c r="H968" s="87"/>
      <c r="I968" s="59"/>
      <c r="J968" s="59"/>
      <c r="K968" s="59"/>
      <c r="L968" s="87"/>
      <c r="M968" s="87"/>
      <c r="N968" s="100"/>
      <c r="O968" s="100"/>
    </row>
    <row r="969" spans="1:15">
      <c r="A969" s="87"/>
      <c r="B969" s="87"/>
      <c r="C969" s="18"/>
      <c r="D969" s="18"/>
      <c r="E969" s="18"/>
      <c r="F969" s="87"/>
      <c r="G969" s="87"/>
      <c r="H969" s="87"/>
      <c r="I969" s="59"/>
      <c r="J969" s="59"/>
      <c r="K969" s="59"/>
      <c r="L969" s="87"/>
      <c r="M969" s="87"/>
      <c r="N969" s="100"/>
      <c r="O969" s="100"/>
    </row>
    <row r="970" spans="1:15">
      <c r="A970" s="87"/>
      <c r="B970" s="87"/>
      <c r="C970" s="18"/>
      <c r="D970" s="18"/>
      <c r="E970" s="18"/>
      <c r="F970" s="87"/>
      <c r="G970" s="87"/>
      <c r="H970" s="87"/>
      <c r="I970" s="59"/>
      <c r="J970" s="59"/>
      <c r="K970" s="59"/>
      <c r="L970" s="87"/>
      <c r="M970" s="87"/>
      <c r="N970" s="100"/>
      <c r="O970" s="100"/>
    </row>
    <row r="971" spans="1:15">
      <c r="A971" s="87"/>
      <c r="B971" s="87"/>
      <c r="C971" s="18"/>
      <c r="D971" s="18"/>
      <c r="E971" s="18"/>
      <c r="F971" s="87"/>
      <c r="G971" s="87"/>
      <c r="H971" s="87"/>
      <c r="I971" s="59"/>
      <c r="J971" s="59"/>
      <c r="K971" s="59"/>
      <c r="L971" s="87"/>
      <c r="M971" s="87"/>
      <c r="N971" s="100"/>
      <c r="O971" s="100"/>
    </row>
    <row r="972" spans="1:15">
      <c r="A972" s="87"/>
      <c r="B972" s="87"/>
      <c r="C972" s="18"/>
      <c r="D972" s="18"/>
      <c r="E972" s="18"/>
      <c r="F972" s="87"/>
      <c r="G972" s="87"/>
      <c r="H972" s="87"/>
      <c r="I972" s="59"/>
      <c r="J972" s="59"/>
      <c r="K972" s="59"/>
      <c r="L972" s="87"/>
      <c r="M972" s="87"/>
      <c r="N972" s="100"/>
      <c r="O972" s="100"/>
    </row>
    <row r="973" spans="1:15">
      <c r="A973" s="87"/>
      <c r="B973" s="87"/>
      <c r="C973" s="18"/>
      <c r="D973" s="18"/>
      <c r="E973" s="18"/>
      <c r="F973" s="87"/>
      <c r="G973" s="87"/>
      <c r="H973" s="87"/>
      <c r="I973" s="59"/>
      <c r="J973" s="59"/>
      <c r="K973" s="59"/>
      <c r="L973" s="87"/>
      <c r="M973" s="87"/>
      <c r="N973" s="100"/>
      <c r="O973" s="100"/>
    </row>
    <row r="974" spans="1:15">
      <c r="A974" s="87"/>
      <c r="B974" s="87"/>
      <c r="C974" s="18"/>
      <c r="D974" s="18"/>
      <c r="E974" s="18"/>
      <c r="F974" s="87"/>
      <c r="G974" s="87"/>
      <c r="H974" s="87"/>
      <c r="I974" s="59"/>
      <c r="J974" s="59"/>
      <c r="K974" s="59"/>
      <c r="L974" s="87"/>
      <c r="M974" s="87"/>
      <c r="N974" s="100"/>
      <c r="O974" s="100"/>
    </row>
    <row r="975" spans="1:15">
      <c r="A975" s="87"/>
      <c r="B975" s="87"/>
      <c r="C975" s="18"/>
      <c r="D975" s="18"/>
      <c r="E975" s="18"/>
      <c r="F975" s="87"/>
      <c r="G975" s="87"/>
      <c r="H975" s="87"/>
      <c r="I975" s="59"/>
      <c r="J975" s="59"/>
      <c r="K975" s="59"/>
      <c r="L975" s="87"/>
      <c r="M975" s="87"/>
      <c r="N975" s="100"/>
      <c r="O975" s="100"/>
    </row>
    <row r="976" spans="1:15">
      <c r="A976" s="87"/>
      <c r="B976" s="87"/>
      <c r="C976" s="18"/>
      <c r="D976" s="18"/>
      <c r="E976" s="18"/>
      <c r="F976" s="87"/>
      <c r="G976" s="87"/>
      <c r="H976" s="87"/>
      <c r="I976" s="59"/>
      <c r="J976" s="59"/>
      <c r="K976" s="59"/>
      <c r="L976" s="87"/>
      <c r="M976" s="87"/>
      <c r="N976" s="100"/>
      <c r="O976" s="100"/>
    </row>
    <row r="977" spans="1:15">
      <c r="A977" s="87"/>
      <c r="B977" s="87"/>
      <c r="C977" s="18"/>
      <c r="D977" s="18"/>
      <c r="E977" s="18"/>
      <c r="F977" s="87"/>
      <c r="G977" s="87"/>
      <c r="H977" s="87"/>
      <c r="I977" s="59"/>
      <c r="J977" s="59"/>
      <c r="K977" s="59"/>
      <c r="L977" s="87"/>
      <c r="M977" s="87"/>
      <c r="N977" s="100"/>
      <c r="O977" s="100"/>
    </row>
    <row r="978" spans="1:15">
      <c r="A978" s="87"/>
      <c r="B978" s="87"/>
      <c r="C978" s="18"/>
      <c r="D978" s="18"/>
      <c r="E978" s="18"/>
      <c r="F978" s="87"/>
      <c r="G978" s="87"/>
      <c r="H978" s="87"/>
      <c r="I978" s="59"/>
      <c r="J978" s="59"/>
      <c r="K978" s="59"/>
      <c r="L978" s="87"/>
      <c r="M978" s="87"/>
      <c r="N978" s="100"/>
      <c r="O978" s="100"/>
    </row>
    <row r="979" spans="1:15">
      <c r="A979" s="87"/>
      <c r="B979" s="87"/>
      <c r="C979" s="18"/>
      <c r="D979" s="18"/>
      <c r="E979" s="18"/>
      <c r="F979" s="87"/>
      <c r="G979" s="87"/>
      <c r="H979" s="87"/>
      <c r="I979" s="59"/>
      <c r="J979" s="59"/>
      <c r="K979" s="59"/>
      <c r="L979" s="87"/>
      <c r="M979" s="87"/>
      <c r="N979" s="100"/>
      <c r="O979" s="100"/>
    </row>
    <row r="980" spans="1:15">
      <c r="A980" s="87"/>
      <c r="B980" s="87"/>
      <c r="C980" s="18"/>
      <c r="D980" s="18"/>
      <c r="E980" s="18"/>
      <c r="F980" s="87"/>
      <c r="G980" s="87"/>
      <c r="H980" s="87"/>
      <c r="I980" s="59"/>
      <c r="J980" s="59"/>
      <c r="K980" s="59"/>
      <c r="L980" s="87"/>
      <c r="M980" s="87"/>
      <c r="N980" s="100"/>
      <c r="O980" s="100"/>
    </row>
    <row r="981" spans="1:15">
      <c r="A981" s="87"/>
      <c r="B981" s="87"/>
      <c r="C981" s="18"/>
      <c r="D981" s="18"/>
      <c r="E981" s="18"/>
      <c r="F981" s="87"/>
      <c r="G981" s="87"/>
      <c r="H981" s="87"/>
      <c r="I981" s="59"/>
      <c r="J981" s="59"/>
      <c r="K981" s="59"/>
      <c r="L981" s="87"/>
      <c r="M981" s="87"/>
      <c r="N981" s="100"/>
      <c r="O981" s="100"/>
    </row>
    <row r="982" spans="1:15">
      <c r="A982" s="87"/>
      <c r="B982" s="87"/>
      <c r="C982" s="18"/>
      <c r="D982" s="18"/>
      <c r="E982" s="18"/>
      <c r="F982" s="87"/>
      <c r="G982" s="87"/>
      <c r="H982" s="87"/>
      <c r="I982" s="59"/>
      <c r="J982" s="59"/>
      <c r="K982" s="59"/>
      <c r="L982" s="87"/>
      <c r="M982" s="87"/>
      <c r="N982" s="100"/>
      <c r="O982" s="100"/>
    </row>
    <row r="983" spans="1:15">
      <c r="A983" s="87"/>
      <c r="B983" s="87"/>
      <c r="C983" s="18"/>
      <c r="D983" s="18"/>
      <c r="E983" s="18"/>
      <c r="F983" s="87"/>
      <c r="G983" s="87"/>
      <c r="H983" s="87"/>
      <c r="I983" s="59"/>
      <c r="J983" s="59"/>
      <c r="K983" s="59"/>
      <c r="L983" s="87"/>
      <c r="M983" s="87"/>
      <c r="N983" s="100"/>
      <c r="O983" s="100"/>
    </row>
    <row r="984" spans="1:15">
      <c r="A984" s="87"/>
      <c r="B984" s="87"/>
      <c r="C984" s="18"/>
      <c r="D984" s="18"/>
      <c r="E984" s="18"/>
      <c r="F984" s="87"/>
      <c r="G984" s="87"/>
      <c r="H984" s="87"/>
      <c r="I984" s="59"/>
      <c r="J984" s="59"/>
      <c r="K984" s="59"/>
      <c r="L984" s="87"/>
      <c r="M984" s="87"/>
      <c r="N984" s="100"/>
      <c r="O984" s="100"/>
    </row>
    <row r="985" spans="1:15">
      <c r="A985" s="87"/>
      <c r="B985" s="87"/>
      <c r="C985" s="18"/>
      <c r="D985" s="18"/>
      <c r="E985" s="18"/>
      <c r="F985" s="87"/>
      <c r="G985" s="87"/>
      <c r="H985" s="87"/>
      <c r="I985" s="59"/>
      <c r="J985" s="59"/>
      <c r="K985" s="59"/>
      <c r="L985" s="87"/>
      <c r="M985" s="87"/>
      <c r="N985" s="100"/>
      <c r="O985" s="100"/>
    </row>
    <row r="986" spans="1:15">
      <c r="A986" s="87"/>
      <c r="B986" s="87"/>
      <c r="C986" s="18"/>
      <c r="D986" s="18"/>
      <c r="E986" s="18"/>
      <c r="F986" s="87"/>
      <c r="G986" s="87"/>
      <c r="H986" s="87"/>
      <c r="I986" s="59"/>
      <c r="J986" s="59"/>
      <c r="K986" s="59"/>
      <c r="L986" s="87"/>
      <c r="M986" s="87"/>
      <c r="N986" s="100"/>
      <c r="O986" s="100"/>
    </row>
    <row r="987" spans="1:15">
      <c r="A987" s="87"/>
      <c r="B987" s="87"/>
      <c r="C987" s="18"/>
      <c r="D987" s="18"/>
      <c r="E987" s="18"/>
      <c r="F987" s="87"/>
      <c r="G987" s="87"/>
      <c r="H987" s="87"/>
      <c r="I987" s="59"/>
      <c r="J987" s="59"/>
      <c r="K987" s="59"/>
      <c r="L987" s="87"/>
      <c r="M987" s="87"/>
      <c r="N987" s="100"/>
      <c r="O987" s="100"/>
    </row>
    <row r="988" spans="1:15">
      <c r="A988" s="87"/>
      <c r="B988" s="87"/>
      <c r="C988" s="18"/>
      <c r="D988" s="18"/>
      <c r="E988" s="18"/>
      <c r="F988" s="87"/>
      <c r="G988" s="87"/>
      <c r="H988" s="87"/>
      <c r="I988" s="59"/>
      <c r="J988" s="59"/>
      <c r="K988" s="59"/>
      <c r="L988" s="87"/>
      <c r="M988" s="87"/>
      <c r="N988" s="100"/>
      <c r="O988" s="100"/>
    </row>
    <row r="989" spans="1:15">
      <c r="A989" s="87"/>
      <c r="B989" s="87"/>
      <c r="C989" s="18"/>
      <c r="D989" s="18"/>
      <c r="E989" s="18"/>
      <c r="F989" s="87"/>
      <c r="G989" s="87"/>
      <c r="H989" s="87"/>
      <c r="I989" s="59"/>
      <c r="J989" s="59"/>
      <c r="K989" s="59"/>
      <c r="L989" s="87"/>
      <c r="M989" s="87"/>
      <c r="N989" s="100"/>
      <c r="O989" s="100"/>
    </row>
    <row r="990" spans="1:15">
      <c r="A990" s="87"/>
      <c r="B990" s="87"/>
      <c r="C990" s="18"/>
      <c r="D990" s="18"/>
      <c r="E990" s="18"/>
      <c r="F990" s="87"/>
      <c r="G990" s="87"/>
      <c r="H990" s="87"/>
      <c r="I990" s="59"/>
      <c r="J990" s="59"/>
      <c r="K990" s="59"/>
      <c r="L990" s="87"/>
      <c r="M990" s="87"/>
      <c r="N990" s="100"/>
      <c r="O990" s="100"/>
    </row>
    <row r="991" spans="1:15">
      <c r="A991" s="87"/>
      <c r="B991" s="87"/>
      <c r="C991" s="18"/>
      <c r="D991" s="18"/>
      <c r="E991" s="18"/>
      <c r="F991" s="87"/>
      <c r="G991" s="87"/>
      <c r="H991" s="87"/>
      <c r="I991" s="59"/>
      <c r="J991" s="59"/>
      <c r="K991" s="59"/>
      <c r="L991" s="87"/>
      <c r="M991" s="87"/>
      <c r="N991" s="100"/>
      <c r="O991" s="100"/>
    </row>
    <row r="992" spans="1:15">
      <c r="A992" s="87"/>
      <c r="B992" s="87"/>
      <c r="C992" s="18"/>
      <c r="D992" s="18"/>
      <c r="E992" s="18"/>
      <c r="F992" s="87"/>
      <c r="G992" s="87"/>
      <c r="H992" s="87"/>
      <c r="I992" s="59"/>
      <c r="J992" s="59"/>
      <c r="K992" s="59"/>
      <c r="L992" s="87"/>
      <c r="M992" s="87"/>
      <c r="N992" s="100"/>
      <c r="O992" s="100"/>
    </row>
    <row r="993" spans="1:15">
      <c r="A993" s="87"/>
      <c r="B993" s="87"/>
      <c r="C993" s="18"/>
      <c r="D993" s="18"/>
      <c r="E993" s="18"/>
      <c r="F993" s="87"/>
      <c r="G993" s="87"/>
      <c r="H993" s="87"/>
      <c r="I993" s="59"/>
      <c r="J993" s="59"/>
      <c r="K993" s="59"/>
      <c r="L993" s="87"/>
      <c r="M993" s="87"/>
      <c r="N993" s="100"/>
      <c r="O993" s="100"/>
    </row>
    <row r="994" spans="1:15">
      <c r="A994" s="87"/>
      <c r="B994" s="87"/>
      <c r="C994" s="18"/>
      <c r="D994" s="18"/>
      <c r="E994" s="18"/>
      <c r="F994" s="87"/>
      <c r="G994" s="87"/>
      <c r="H994" s="87"/>
      <c r="I994" s="59"/>
      <c r="J994" s="59"/>
      <c r="K994" s="59"/>
      <c r="L994" s="87"/>
      <c r="M994" s="87"/>
      <c r="N994" s="100"/>
      <c r="O994" s="100"/>
    </row>
    <row r="995" spans="1:15">
      <c r="A995" s="87"/>
      <c r="B995" s="87"/>
      <c r="C995" s="18"/>
      <c r="D995" s="18"/>
      <c r="E995" s="18"/>
      <c r="F995" s="87"/>
      <c r="G995" s="87"/>
      <c r="H995" s="87"/>
      <c r="I995" s="59"/>
      <c r="J995" s="59"/>
      <c r="K995" s="59"/>
      <c r="L995" s="87"/>
      <c r="M995" s="87"/>
      <c r="N995" s="100"/>
      <c r="O995" s="100"/>
    </row>
    <row r="996" spans="1:15">
      <c r="A996" s="87"/>
      <c r="B996" s="87"/>
      <c r="C996" s="18"/>
      <c r="D996" s="18"/>
      <c r="E996" s="18"/>
      <c r="F996" s="87"/>
      <c r="G996" s="87"/>
      <c r="H996" s="87"/>
      <c r="I996" s="59"/>
      <c r="J996" s="59"/>
      <c r="K996" s="59"/>
      <c r="L996" s="87"/>
      <c r="M996" s="87"/>
      <c r="N996" s="100"/>
      <c r="O996" s="100"/>
    </row>
    <row r="997" spans="1:15">
      <c r="A997" s="87"/>
      <c r="B997" s="87"/>
      <c r="C997" s="18"/>
      <c r="D997" s="18"/>
      <c r="E997" s="18"/>
      <c r="F997" s="87"/>
      <c r="G997" s="87"/>
      <c r="H997" s="87"/>
      <c r="I997" s="59"/>
      <c r="J997" s="59"/>
      <c r="K997" s="59"/>
      <c r="L997" s="87"/>
      <c r="M997" s="87"/>
      <c r="N997" s="100"/>
      <c r="O997" s="100"/>
    </row>
    <row r="998" spans="1:15">
      <c r="A998" s="87"/>
      <c r="B998" s="87"/>
      <c r="C998" s="18"/>
      <c r="D998" s="18"/>
      <c r="E998" s="18"/>
      <c r="F998" s="87"/>
      <c r="G998" s="87"/>
      <c r="H998" s="87"/>
      <c r="I998" s="59"/>
      <c r="J998" s="59"/>
      <c r="K998" s="59"/>
      <c r="L998" s="87"/>
      <c r="M998" s="87"/>
      <c r="N998" s="100"/>
      <c r="O998" s="100"/>
    </row>
    <row r="999" spans="1:15">
      <c r="A999" s="87"/>
      <c r="B999" s="87"/>
      <c r="C999" s="18"/>
      <c r="D999" s="18"/>
      <c r="E999" s="18"/>
      <c r="F999" s="87"/>
      <c r="G999" s="87"/>
      <c r="H999" s="87"/>
      <c r="I999" s="59"/>
      <c r="J999" s="59"/>
      <c r="K999" s="59"/>
      <c r="L999" s="87"/>
      <c r="M999" s="87"/>
      <c r="N999" s="100"/>
      <c r="O999" s="100"/>
    </row>
    <row r="1000" spans="1:15">
      <c r="A1000" s="87"/>
      <c r="B1000" s="87"/>
      <c r="C1000" s="18"/>
      <c r="D1000" s="18"/>
      <c r="E1000" s="18"/>
      <c r="F1000" s="87"/>
      <c r="G1000" s="87"/>
      <c r="H1000" s="87"/>
      <c r="I1000" s="59"/>
      <c r="J1000" s="59"/>
      <c r="K1000" s="59"/>
      <c r="L1000" s="87"/>
      <c r="M1000" s="87"/>
      <c r="N1000" s="100"/>
      <c r="O1000" s="100"/>
    </row>
    <row r="1001" spans="1:15">
      <c r="A1001" s="87"/>
      <c r="B1001" s="87"/>
      <c r="C1001" s="18"/>
      <c r="D1001" s="18"/>
      <c r="E1001" s="18"/>
      <c r="F1001" s="87"/>
      <c r="G1001" s="87"/>
      <c r="H1001" s="87"/>
      <c r="I1001" s="59"/>
      <c r="J1001" s="59"/>
      <c r="K1001" s="59"/>
      <c r="L1001" s="87"/>
      <c r="M1001" s="87"/>
      <c r="N1001" s="100"/>
      <c r="O1001" s="100"/>
    </row>
    <row r="1002" spans="1:15">
      <c r="A1002" s="87"/>
      <c r="B1002" s="87"/>
      <c r="C1002" s="18"/>
      <c r="D1002" s="18"/>
      <c r="E1002" s="18"/>
      <c r="F1002" s="87"/>
      <c r="G1002" s="87"/>
      <c r="H1002" s="87"/>
      <c r="I1002" s="59"/>
      <c r="J1002" s="59"/>
      <c r="K1002" s="59"/>
      <c r="L1002" s="87"/>
      <c r="M1002" s="87"/>
      <c r="N1002" s="100"/>
      <c r="O1002" s="100"/>
    </row>
    <row r="1003" spans="1:15">
      <c r="A1003" s="87"/>
      <c r="B1003" s="87"/>
      <c r="C1003" s="18"/>
      <c r="D1003" s="18"/>
      <c r="E1003" s="18"/>
      <c r="F1003" s="87"/>
      <c r="G1003" s="87"/>
      <c r="H1003" s="87"/>
      <c r="I1003" s="59"/>
      <c r="J1003" s="59"/>
      <c r="K1003" s="59"/>
      <c r="L1003" s="87"/>
      <c r="M1003" s="87"/>
      <c r="N1003" s="100"/>
      <c r="O1003" s="100"/>
    </row>
    <row r="1004" spans="1:15">
      <c r="A1004" s="87"/>
      <c r="B1004" s="87"/>
      <c r="C1004" s="18"/>
      <c r="D1004" s="18"/>
      <c r="E1004" s="18"/>
      <c r="F1004" s="87"/>
      <c r="G1004" s="87"/>
      <c r="H1004" s="87"/>
      <c r="I1004" s="59"/>
      <c r="J1004" s="59"/>
      <c r="K1004" s="59"/>
      <c r="L1004" s="87"/>
      <c r="M1004" s="87"/>
      <c r="N1004" s="100"/>
      <c r="O1004" s="100"/>
    </row>
    <row r="1005" spans="1:15">
      <c r="A1005" s="87"/>
      <c r="B1005" s="87"/>
      <c r="C1005" s="18"/>
      <c r="D1005" s="18"/>
      <c r="E1005" s="18"/>
      <c r="F1005" s="87"/>
      <c r="G1005" s="87"/>
      <c r="H1005" s="87"/>
      <c r="I1005" s="59"/>
      <c r="J1005" s="59"/>
      <c r="K1005" s="59"/>
      <c r="L1005" s="87"/>
      <c r="M1005" s="87"/>
      <c r="N1005" s="100"/>
      <c r="O1005" s="100"/>
    </row>
    <row r="1006" spans="1:15">
      <c r="A1006" s="87"/>
      <c r="B1006" s="87"/>
      <c r="C1006" s="18"/>
      <c r="D1006" s="18"/>
      <c r="E1006" s="18"/>
      <c r="F1006" s="87"/>
      <c r="G1006" s="87"/>
      <c r="H1006" s="87"/>
      <c r="I1006" s="59"/>
      <c r="J1006" s="59"/>
      <c r="K1006" s="59"/>
      <c r="L1006" s="87"/>
      <c r="M1006" s="87"/>
      <c r="N1006" s="100"/>
      <c r="O1006" s="100"/>
    </row>
    <row r="1007" spans="1:15">
      <c r="A1007" s="87"/>
      <c r="B1007" s="87"/>
      <c r="C1007" s="18"/>
      <c r="D1007" s="18"/>
      <c r="E1007" s="18"/>
      <c r="F1007" s="87"/>
      <c r="G1007" s="87"/>
      <c r="H1007" s="87"/>
      <c r="I1007" s="59"/>
      <c r="J1007" s="59"/>
      <c r="K1007" s="59"/>
      <c r="L1007" s="87"/>
      <c r="M1007" s="87"/>
      <c r="N1007" s="100"/>
      <c r="O1007" s="100"/>
    </row>
    <row r="1008" spans="1:15">
      <c r="A1008" s="87"/>
      <c r="B1008" s="87"/>
      <c r="C1008" s="18"/>
      <c r="D1008" s="18"/>
      <c r="E1008" s="18"/>
      <c r="F1008" s="87"/>
      <c r="G1008" s="87"/>
      <c r="H1008" s="87"/>
      <c r="I1008" s="59"/>
      <c r="J1008" s="59"/>
      <c r="K1008" s="59"/>
      <c r="L1008" s="87"/>
      <c r="M1008" s="87"/>
      <c r="N1008" s="100"/>
      <c r="O1008" s="100"/>
    </row>
    <row r="1009" spans="1:15">
      <c r="A1009" s="87"/>
      <c r="B1009" s="87"/>
      <c r="C1009" s="18"/>
      <c r="D1009" s="18"/>
      <c r="E1009" s="18"/>
      <c r="F1009" s="87"/>
      <c r="G1009" s="87"/>
      <c r="H1009" s="87"/>
      <c r="I1009" s="59"/>
      <c r="J1009" s="59"/>
      <c r="K1009" s="59"/>
      <c r="L1009" s="87"/>
      <c r="M1009" s="87"/>
      <c r="N1009" s="100"/>
      <c r="O1009" s="100"/>
    </row>
    <row r="1010" spans="1:15">
      <c r="A1010" s="87"/>
      <c r="B1010" s="87"/>
      <c r="C1010" s="18"/>
      <c r="D1010" s="18"/>
      <c r="E1010" s="18"/>
      <c r="F1010" s="87"/>
      <c r="G1010" s="87"/>
      <c r="H1010" s="87"/>
      <c r="I1010" s="59"/>
      <c r="J1010" s="59"/>
      <c r="K1010" s="59"/>
      <c r="L1010" s="87"/>
      <c r="M1010" s="87"/>
      <c r="N1010" s="100"/>
      <c r="O1010" s="100"/>
    </row>
    <row r="1011" spans="1:15">
      <c r="A1011" s="87"/>
      <c r="B1011" s="87"/>
      <c r="C1011" s="18"/>
      <c r="D1011" s="18"/>
      <c r="E1011" s="18"/>
      <c r="F1011" s="87"/>
      <c r="G1011" s="87"/>
      <c r="H1011" s="87"/>
      <c r="I1011" s="59"/>
      <c r="J1011" s="59"/>
      <c r="K1011" s="59"/>
      <c r="L1011" s="87"/>
      <c r="M1011" s="87"/>
      <c r="N1011" s="100"/>
      <c r="O1011" s="100"/>
    </row>
    <row r="1012" spans="1:15">
      <c r="A1012" s="87"/>
      <c r="B1012" s="87"/>
      <c r="C1012" s="18"/>
      <c r="D1012" s="18"/>
      <c r="E1012" s="18"/>
      <c r="F1012" s="87"/>
      <c r="G1012" s="87"/>
      <c r="H1012" s="87"/>
      <c r="I1012" s="59"/>
      <c r="J1012" s="59"/>
      <c r="K1012" s="59"/>
      <c r="L1012" s="87"/>
      <c r="M1012" s="87"/>
      <c r="N1012" s="100"/>
      <c r="O1012" s="100"/>
    </row>
    <row r="1013" spans="1:15">
      <c r="A1013" s="87"/>
      <c r="B1013" s="87"/>
      <c r="C1013" s="18"/>
      <c r="D1013" s="18"/>
      <c r="E1013" s="18"/>
      <c r="F1013" s="87"/>
      <c r="G1013" s="87"/>
      <c r="H1013" s="87"/>
      <c r="I1013" s="59"/>
      <c r="J1013" s="59"/>
      <c r="K1013" s="59"/>
      <c r="L1013" s="87"/>
      <c r="M1013" s="87"/>
      <c r="N1013" s="100"/>
      <c r="O1013" s="100"/>
    </row>
    <row r="1014" spans="1:15">
      <c r="A1014" s="87"/>
      <c r="B1014" s="87"/>
      <c r="C1014" s="18"/>
      <c r="D1014" s="18"/>
      <c r="E1014" s="18"/>
      <c r="F1014" s="87"/>
      <c r="G1014" s="87"/>
      <c r="H1014" s="87"/>
      <c r="I1014" s="59"/>
      <c r="J1014" s="59"/>
      <c r="K1014" s="59"/>
      <c r="L1014" s="87"/>
      <c r="M1014" s="87"/>
      <c r="N1014" s="100"/>
      <c r="O1014" s="100"/>
    </row>
    <row r="1015" spans="1:15">
      <c r="A1015" s="87"/>
      <c r="B1015" s="87"/>
      <c r="C1015" s="18"/>
      <c r="D1015" s="18"/>
      <c r="E1015" s="18"/>
      <c r="F1015" s="87"/>
      <c r="G1015" s="87"/>
      <c r="H1015" s="87"/>
      <c r="I1015" s="59"/>
      <c r="J1015" s="59"/>
      <c r="K1015" s="59"/>
      <c r="L1015" s="87"/>
      <c r="M1015" s="87"/>
      <c r="N1015" s="100"/>
      <c r="O1015" s="100"/>
    </row>
    <row r="1016" spans="1:15">
      <c r="A1016" s="87"/>
      <c r="B1016" s="87"/>
      <c r="C1016" s="18"/>
      <c r="D1016" s="18"/>
      <c r="E1016" s="18"/>
      <c r="F1016" s="87"/>
      <c r="G1016" s="87"/>
      <c r="H1016" s="87"/>
      <c r="I1016" s="59"/>
      <c r="J1016" s="59"/>
      <c r="K1016" s="59"/>
      <c r="L1016" s="87"/>
      <c r="M1016" s="87"/>
      <c r="N1016" s="100"/>
      <c r="O1016" s="100"/>
    </row>
    <row r="1017" spans="1:15">
      <c r="A1017" s="87"/>
      <c r="B1017" s="87"/>
      <c r="C1017" s="18"/>
      <c r="D1017" s="18"/>
      <c r="E1017" s="18"/>
      <c r="F1017" s="87"/>
      <c r="G1017" s="87"/>
      <c r="H1017" s="87"/>
      <c r="I1017" s="59"/>
      <c r="J1017" s="59"/>
      <c r="K1017" s="59"/>
      <c r="L1017" s="87"/>
      <c r="M1017" s="87"/>
      <c r="N1017" s="100"/>
      <c r="O1017" s="100"/>
    </row>
    <row r="1018" spans="1:15">
      <c r="A1018" s="87"/>
      <c r="B1018" s="87"/>
      <c r="C1018" s="18"/>
      <c r="D1018" s="18"/>
      <c r="E1018" s="18"/>
      <c r="F1018" s="87"/>
      <c r="G1018" s="87"/>
      <c r="H1018" s="87"/>
      <c r="I1018" s="59"/>
      <c r="J1018" s="59"/>
      <c r="K1018" s="59"/>
      <c r="L1018" s="87"/>
      <c r="M1018" s="87"/>
      <c r="N1018" s="100"/>
      <c r="O1018" s="100"/>
    </row>
    <row r="1019" spans="1:15">
      <c r="A1019" s="87"/>
      <c r="B1019" s="87"/>
      <c r="C1019" s="18"/>
      <c r="D1019" s="18"/>
      <c r="E1019" s="18"/>
      <c r="F1019" s="87"/>
      <c r="G1019" s="87"/>
      <c r="H1019" s="87"/>
      <c r="I1019" s="59"/>
      <c r="J1019" s="59"/>
      <c r="K1019" s="59"/>
      <c r="L1019" s="87"/>
      <c r="M1019" s="87"/>
      <c r="N1019" s="100"/>
      <c r="O1019" s="100"/>
    </row>
    <row r="1020" spans="1:15">
      <c r="A1020" s="87"/>
      <c r="B1020" s="87"/>
      <c r="C1020" s="18"/>
      <c r="D1020" s="18"/>
      <c r="E1020" s="18"/>
      <c r="F1020" s="87"/>
      <c r="G1020" s="87"/>
      <c r="H1020" s="87"/>
      <c r="I1020" s="59"/>
      <c r="J1020" s="59"/>
      <c r="K1020" s="59"/>
      <c r="L1020" s="87"/>
      <c r="M1020" s="87"/>
      <c r="N1020" s="100"/>
      <c r="O1020" s="100"/>
    </row>
    <row r="1021" spans="1:15">
      <c r="A1021" s="87"/>
      <c r="B1021" s="87"/>
      <c r="C1021" s="18"/>
      <c r="D1021" s="18"/>
      <c r="E1021" s="18"/>
      <c r="F1021" s="87"/>
      <c r="G1021" s="87"/>
      <c r="H1021" s="87"/>
      <c r="I1021" s="59"/>
      <c r="J1021" s="59"/>
      <c r="K1021" s="59"/>
      <c r="L1021" s="87"/>
      <c r="M1021" s="87"/>
      <c r="N1021" s="100"/>
      <c r="O1021" s="100"/>
    </row>
    <row r="1022" spans="1:15">
      <c r="A1022" s="87"/>
      <c r="B1022" s="87"/>
      <c r="C1022" s="18"/>
      <c r="D1022" s="18"/>
      <c r="E1022" s="18"/>
      <c r="F1022" s="87"/>
      <c r="G1022" s="87"/>
      <c r="H1022" s="87"/>
      <c r="I1022" s="59"/>
      <c r="J1022" s="59"/>
      <c r="K1022" s="59"/>
      <c r="L1022" s="87"/>
      <c r="M1022" s="87"/>
      <c r="N1022" s="100"/>
      <c r="O1022" s="100"/>
    </row>
    <row r="1023" spans="1:15">
      <c r="A1023" s="87"/>
      <c r="B1023" s="87"/>
      <c r="C1023" s="18"/>
      <c r="D1023" s="18"/>
      <c r="E1023" s="18"/>
      <c r="F1023" s="87"/>
      <c r="G1023" s="87"/>
      <c r="H1023" s="87"/>
      <c r="I1023" s="59"/>
      <c r="J1023" s="59"/>
      <c r="K1023" s="59"/>
      <c r="L1023" s="87"/>
      <c r="M1023" s="87"/>
      <c r="N1023" s="100"/>
      <c r="O1023" s="100"/>
    </row>
    <row r="1024" spans="1:15">
      <c r="A1024" s="87"/>
      <c r="B1024" s="87"/>
      <c r="C1024" s="18"/>
      <c r="D1024" s="18"/>
      <c r="E1024" s="18"/>
      <c r="F1024" s="87"/>
      <c r="G1024" s="87"/>
      <c r="H1024" s="87"/>
      <c r="I1024" s="59"/>
      <c r="J1024" s="59"/>
      <c r="K1024" s="59"/>
      <c r="L1024" s="87"/>
      <c r="M1024" s="87"/>
      <c r="N1024" s="100"/>
      <c r="O1024" s="100"/>
    </row>
    <row r="1025" spans="1:15">
      <c r="A1025" s="87"/>
      <c r="B1025" s="87"/>
      <c r="C1025" s="18"/>
      <c r="D1025" s="18"/>
      <c r="E1025" s="18"/>
      <c r="F1025" s="87"/>
      <c r="G1025" s="87"/>
      <c r="H1025" s="87"/>
      <c r="I1025" s="59"/>
      <c r="J1025" s="59"/>
      <c r="K1025" s="59"/>
      <c r="L1025" s="87"/>
      <c r="M1025" s="87"/>
      <c r="N1025" s="100"/>
      <c r="O1025" s="100"/>
    </row>
    <row r="1026" spans="1:15">
      <c r="A1026" s="87"/>
      <c r="B1026" s="87"/>
      <c r="C1026" s="18"/>
      <c r="D1026" s="18"/>
      <c r="E1026" s="18"/>
      <c r="F1026" s="87"/>
      <c r="G1026" s="87"/>
      <c r="H1026" s="87"/>
      <c r="I1026" s="59"/>
      <c r="J1026" s="59"/>
      <c r="K1026" s="59"/>
      <c r="L1026" s="87"/>
      <c r="M1026" s="87"/>
      <c r="N1026" s="100"/>
      <c r="O1026" s="100"/>
    </row>
    <row r="1027" spans="1:15">
      <c r="A1027" s="87"/>
      <c r="B1027" s="87"/>
      <c r="C1027" s="18"/>
      <c r="D1027" s="18"/>
      <c r="E1027" s="18"/>
      <c r="F1027" s="87"/>
      <c r="G1027" s="87"/>
      <c r="H1027" s="87"/>
      <c r="I1027" s="59"/>
      <c r="J1027" s="59"/>
      <c r="K1027" s="59"/>
      <c r="L1027" s="87"/>
      <c r="M1027" s="87"/>
      <c r="N1027" s="100"/>
      <c r="O1027" s="100"/>
    </row>
    <row r="1028" spans="1:15">
      <c r="A1028" s="87"/>
      <c r="B1028" s="87"/>
      <c r="C1028" s="18"/>
      <c r="D1028" s="18"/>
      <c r="E1028" s="18"/>
      <c r="F1028" s="87"/>
      <c r="G1028" s="87"/>
      <c r="H1028" s="87"/>
      <c r="I1028" s="59"/>
      <c r="J1028" s="59"/>
      <c r="K1028" s="59"/>
      <c r="L1028" s="87"/>
      <c r="M1028" s="87"/>
      <c r="N1028" s="100"/>
      <c r="O1028" s="100"/>
    </row>
    <row r="1029" spans="1:15">
      <c r="A1029" s="87"/>
      <c r="B1029" s="87"/>
      <c r="C1029" s="18"/>
      <c r="D1029" s="18"/>
      <c r="E1029" s="18"/>
      <c r="F1029" s="87"/>
      <c r="G1029" s="87"/>
      <c r="H1029" s="87"/>
      <c r="I1029" s="59"/>
      <c r="J1029" s="59"/>
      <c r="K1029" s="59"/>
      <c r="L1029" s="87"/>
      <c r="M1029" s="87"/>
      <c r="N1029" s="100"/>
      <c r="O1029" s="100"/>
    </row>
    <row r="1030" spans="1:15">
      <c r="A1030" s="87"/>
      <c r="B1030" s="87"/>
      <c r="C1030" s="18"/>
      <c r="D1030" s="18"/>
      <c r="E1030" s="18"/>
      <c r="F1030" s="87"/>
      <c r="G1030" s="87"/>
      <c r="H1030" s="87"/>
      <c r="I1030" s="59"/>
      <c r="J1030" s="59"/>
      <c r="K1030" s="59"/>
      <c r="L1030" s="87"/>
      <c r="M1030" s="87"/>
      <c r="N1030" s="100"/>
      <c r="O1030" s="100"/>
    </row>
    <row r="1031" spans="1:15">
      <c r="A1031" s="87"/>
      <c r="B1031" s="87"/>
      <c r="C1031" s="18"/>
      <c r="D1031" s="18"/>
      <c r="E1031" s="18"/>
      <c r="F1031" s="87"/>
      <c r="G1031" s="87"/>
      <c r="H1031" s="87"/>
      <c r="I1031" s="59"/>
      <c r="J1031" s="59"/>
      <c r="K1031" s="59"/>
      <c r="L1031" s="87"/>
      <c r="M1031" s="87"/>
      <c r="N1031" s="100"/>
      <c r="O1031" s="100"/>
    </row>
    <row r="1032" spans="1:15">
      <c r="A1032" s="87"/>
      <c r="B1032" s="87"/>
      <c r="C1032" s="18"/>
      <c r="D1032" s="18"/>
      <c r="E1032" s="18"/>
      <c r="F1032" s="87"/>
      <c r="G1032" s="87"/>
      <c r="H1032" s="87"/>
      <c r="I1032" s="59"/>
      <c r="J1032" s="59"/>
      <c r="K1032" s="59"/>
      <c r="L1032" s="87"/>
      <c r="M1032" s="87"/>
      <c r="N1032" s="100"/>
      <c r="O1032" s="100"/>
    </row>
    <row r="1033" spans="1:15">
      <c r="A1033" s="87"/>
      <c r="B1033" s="87"/>
      <c r="C1033" s="18"/>
      <c r="D1033" s="18"/>
      <c r="E1033" s="18"/>
      <c r="F1033" s="87"/>
      <c r="G1033" s="87"/>
      <c r="H1033" s="87"/>
      <c r="I1033" s="59"/>
      <c r="J1033" s="59"/>
      <c r="K1033" s="59"/>
      <c r="L1033" s="87"/>
      <c r="M1033" s="87"/>
      <c r="N1033" s="100"/>
      <c r="O1033" s="100"/>
    </row>
    <row r="1034" spans="1:15">
      <c r="A1034" s="87"/>
      <c r="B1034" s="87"/>
      <c r="C1034" s="18"/>
      <c r="D1034" s="18"/>
      <c r="E1034" s="18"/>
      <c r="F1034" s="87"/>
      <c r="G1034" s="87"/>
      <c r="H1034" s="87"/>
      <c r="I1034" s="59"/>
      <c r="J1034" s="59"/>
      <c r="K1034" s="59"/>
      <c r="L1034" s="87"/>
      <c r="M1034" s="87"/>
      <c r="N1034" s="100"/>
      <c r="O1034" s="100"/>
    </row>
    <row r="1035" spans="1:15">
      <c r="A1035" s="87"/>
      <c r="B1035" s="87"/>
      <c r="C1035" s="18"/>
      <c r="D1035" s="18"/>
      <c r="E1035" s="18"/>
      <c r="F1035" s="87"/>
      <c r="G1035" s="87"/>
      <c r="H1035" s="87"/>
      <c r="I1035" s="59"/>
      <c r="J1035" s="59"/>
      <c r="K1035" s="59"/>
      <c r="L1035" s="87"/>
      <c r="M1035" s="87"/>
      <c r="N1035" s="100"/>
      <c r="O1035" s="100"/>
    </row>
    <row r="1036" spans="1:15">
      <c r="A1036" s="87"/>
      <c r="B1036" s="87"/>
      <c r="C1036" s="18"/>
      <c r="D1036" s="18"/>
      <c r="E1036" s="18"/>
      <c r="F1036" s="87"/>
      <c r="G1036" s="87"/>
      <c r="H1036" s="87"/>
      <c r="I1036" s="59"/>
      <c r="J1036" s="59"/>
      <c r="K1036" s="59"/>
      <c r="L1036" s="87"/>
      <c r="M1036" s="87"/>
      <c r="N1036" s="100"/>
      <c r="O1036" s="100"/>
    </row>
    <row r="1037" spans="1:15">
      <c r="A1037" s="87"/>
      <c r="B1037" s="87"/>
      <c r="C1037" s="18"/>
      <c r="D1037" s="18"/>
      <c r="E1037" s="18"/>
      <c r="F1037" s="87"/>
      <c r="G1037" s="87"/>
      <c r="H1037" s="87"/>
      <c r="I1037" s="59"/>
      <c r="J1037" s="59"/>
      <c r="K1037" s="59"/>
      <c r="L1037" s="87"/>
      <c r="M1037" s="87"/>
      <c r="N1037" s="100"/>
      <c r="O1037" s="100"/>
    </row>
    <row r="1038" spans="1:15">
      <c r="A1038" s="87"/>
      <c r="B1038" s="87"/>
      <c r="C1038" s="18"/>
      <c r="D1038" s="18"/>
      <c r="E1038" s="18"/>
      <c r="F1038" s="87"/>
      <c r="G1038" s="87"/>
      <c r="H1038" s="87"/>
      <c r="I1038" s="59"/>
      <c r="J1038" s="59"/>
      <c r="K1038" s="59"/>
      <c r="L1038" s="87"/>
      <c r="M1038" s="87"/>
      <c r="N1038" s="100"/>
      <c r="O1038" s="100"/>
    </row>
    <row r="1039" spans="1:15">
      <c r="A1039" s="87"/>
      <c r="B1039" s="87"/>
      <c r="C1039" s="18"/>
      <c r="D1039" s="18"/>
      <c r="E1039" s="18"/>
      <c r="F1039" s="87"/>
      <c r="G1039" s="87"/>
      <c r="H1039" s="87"/>
      <c r="I1039" s="59"/>
      <c r="J1039" s="59"/>
      <c r="K1039" s="59"/>
      <c r="L1039" s="87"/>
      <c r="M1039" s="87"/>
      <c r="N1039" s="100"/>
      <c r="O1039" s="100"/>
    </row>
    <row r="1040" spans="1:15">
      <c r="A1040" s="87"/>
      <c r="B1040" s="87"/>
      <c r="C1040" s="18"/>
      <c r="D1040" s="18"/>
      <c r="E1040" s="18"/>
      <c r="F1040" s="87"/>
      <c r="G1040" s="87"/>
      <c r="H1040" s="87"/>
      <c r="I1040" s="59"/>
      <c r="J1040" s="59"/>
      <c r="K1040" s="59"/>
      <c r="L1040" s="87"/>
      <c r="M1040" s="87"/>
      <c r="N1040" s="100"/>
      <c r="O1040" s="100"/>
    </row>
    <row r="1041" spans="1:15">
      <c r="A1041" s="87"/>
      <c r="B1041" s="87"/>
      <c r="C1041" s="18"/>
      <c r="D1041" s="18"/>
      <c r="E1041" s="18"/>
      <c r="F1041" s="87"/>
      <c r="G1041" s="87"/>
      <c r="H1041" s="87"/>
      <c r="I1041" s="59"/>
      <c r="J1041" s="59"/>
      <c r="K1041" s="59"/>
      <c r="L1041" s="87"/>
      <c r="M1041" s="87"/>
      <c r="N1041" s="100"/>
      <c r="O1041" s="100"/>
    </row>
    <row r="1042" spans="1:15">
      <c r="A1042" s="87"/>
      <c r="B1042" s="87"/>
      <c r="C1042" s="18"/>
      <c r="D1042" s="18"/>
      <c r="E1042" s="18"/>
      <c r="F1042" s="87"/>
      <c r="G1042" s="87"/>
      <c r="H1042" s="87"/>
      <c r="I1042" s="59"/>
      <c r="J1042" s="59"/>
      <c r="K1042" s="59"/>
      <c r="L1042" s="87"/>
      <c r="M1042" s="87"/>
      <c r="N1042" s="100"/>
      <c r="O1042" s="100"/>
    </row>
    <row r="1043" spans="1:15">
      <c r="A1043" s="87"/>
      <c r="B1043" s="87"/>
      <c r="C1043" s="18"/>
      <c r="D1043" s="18"/>
      <c r="E1043" s="18"/>
      <c r="F1043" s="87"/>
      <c r="G1043" s="87"/>
      <c r="H1043" s="87"/>
      <c r="I1043" s="59"/>
      <c r="J1043" s="59"/>
      <c r="K1043" s="59"/>
      <c r="L1043" s="87"/>
      <c r="M1043" s="87"/>
      <c r="N1043" s="100"/>
      <c r="O1043" s="100"/>
    </row>
    <row r="1044" spans="1:15">
      <c r="A1044" s="87"/>
      <c r="B1044" s="87"/>
      <c r="C1044" s="18"/>
      <c r="D1044" s="18"/>
      <c r="E1044" s="18"/>
      <c r="F1044" s="87"/>
      <c r="G1044" s="87"/>
      <c r="H1044" s="87"/>
      <c r="I1044" s="59"/>
      <c r="J1044" s="59"/>
      <c r="K1044" s="59"/>
      <c r="L1044" s="87"/>
      <c r="M1044" s="87"/>
      <c r="N1044" s="100"/>
      <c r="O1044" s="100"/>
    </row>
    <row r="1045" spans="1:15">
      <c r="A1045" s="87"/>
      <c r="B1045" s="87"/>
      <c r="C1045" s="18"/>
      <c r="D1045" s="18"/>
      <c r="E1045" s="18"/>
      <c r="F1045" s="87"/>
      <c r="G1045" s="87"/>
      <c r="H1045" s="87"/>
      <c r="I1045" s="59"/>
      <c r="J1045" s="59"/>
      <c r="K1045" s="59"/>
      <c r="L1045" s="87"/>
      <c r="M1045" s="87"/>
      <c r="N1045" s="100"/>
      <c r="O1045" s="100"/>
    </row>
    <row r="1046" spans="1:15">
      <c r="A1046" s="87"/>
      <c r="B1046" s="87"/>
      <c r="C1046" s="18"/>
      <c r="D1046" s="18"/>
      <c r="E1046" s="18"/>
      <c r="F1046" s="87"/>
      <c r="G1046" s="87"/>
      <c r="H1046" s="87"/>
      <c r="I1046" s="59"/>
      <c r="J1046" s="59"/>
      <c r="K1046" s="59"/>
      <c r="L1046" s="87"/>
      <c r="M1046" s="87"/>
      <c r="N1046" s="100"/>
      <c r="O1046" s="100"/>
    </row>
    <row r="1047" spans="1:15">
      <c r="A1047" s="87"/>
      <c r="B1047" s="87"/>
      <c r="C1047" s="18"/>
      <c r="D1047" s="18"/>
      <c r="E1047" s="18"/>
      <c r="F1047" s="87"/>
      <c r="G1047" s="87"/>
      <c r="H1047" s="87"/>
      <c r="I1047" s="59"/>
      <c r="J1047" s="59"/>
      <c r="K1047" s="59"/>
      <c r="L1047" s="87"/>
      <c r="M1047" s="87"/>
      <c r="N1047" s="100"/>
      <c r="O1047" s="100"/>
    </row>
    <row r="1048" spans="1:15">
      <c r="A1048" s="87"/>
      <c r="B1048" s="87"/>
      <c r="C1048" s="18"/>
      <c r="D1048" s="18"/>
      <c r="E1048" s="18"/>
      <c r="F1048" s="87"/>
      <c r="G1048" s="87"/>
      <c r="H1048" s="87"/>
      <c r="I1048" s="59"/>
      <c r="J1048" s="59"/>
      <c r="K1048" s="59"/>
      <c r="L1048" s="87"/>
      <c r="M1048" s="87"/>
      <c r="N1048" s="100"/>
      <c r="O1048" s="100"/>
    </row>
    <row r="1049" spans="1:15">
      <c r="A1049" s="87"/>
      <c r="B1049" s="87"/>
      <c r="C1049" s="18"/>
      <c r="D1049" s="18"/>
      <c r="E1049" s="18"/>
      <c r="F1049" s="87"/>
      <c r="G1049" s="87"/>
      <c r="H1049" s="87"/>
      <c r="I1049" s="59"/>
      <c r="J1049" s="59"/>
      <c r="K1049" s="59"/>
      <c r="L1049" s="87"/>
      <c r="M1049" s="87"/>
      <c r="N1049" s="100"/>
      <c r="O1049" s="100"/>
    </row>
    <row r="1050" spans="1:15">
      <c r="A1050" s="87"/>
      <c r="B1050" s="87"/>
      <c r="C1050" s="18"/>
      <c r="D1050" s="18"/>
      <c r="E1050" s="18"/>
      <c r="F1050" s="87"/>
      <c r="G1050" s="87"/>
      <c r="H1050" s="87"/>
      <c r="I1050" s="59"/>
      <c r="J1050" s="59"/>
      <c r="K1050" s="59"/>
      <c r="L1050" s="87"/>
      <c r="M1050" s="87"/>
      <c r="N1050" s="100"/>
      <c r="O1050" s="100"/>
    </row>
    <row r="1051" spans="1:15">
      <c r="A1051" s="87"/>
      <c r="B1051" s="87"/>
      <c r="C1051" s="18"/>
      <c r="D1051" s="18"/>
      <c r="E1051" s="18"/>
      <c r="F1051" s="87"/>
      <c r="G1051" s="87"/>
      <c r="H1051" s="87"/>
      <c r="I1051" s="59"/>
      <c r="J1051" s="59"/>
      <c r="K1051" s="59"/>
      <c r="L1051" s="87"/>
      <c r="M1051" s="87"/>
      <c r="N1051" s="100"/>
      <c r="O1051" s="100"/>
    </row>
    <row r="1052" spans="1:15">
      <c r="A1052" s="87"/>
      <c r="B1052" s="87"/>
      <c r="C1052" s="18"/>
      <c r="D1052" s="18"/>
      <c r="E1052" s="18"/>
      <c r="F1052" s="87"/>
      <c r="G1052" s="87"/>
      <c r="H1052" s="87"/>
      <c r="I1052" s="59"/>
      <c r="J1052" s="59"/>
      <c r="K1052" s="59"/>
      <c r="L1052" s="87"/>
      <c r="M1052" s="87"/>
      <c r="N1052" s="100"/>
      <c r="O1052" s="100"/>
    </row>
    <row r="1053" spans="1:15">
      <c r="A1053" s="87"/>
      <c r="B1053" s="87"/>
      <c r="C1053" s="18"/>
      <c r="D1053" s="18"/>
      <c r="E1053" s="18"/>
      <c r="F1053" s="87"/>
      <c r="G1053" s="87"/>
      <c r="H1053" s="87"/>
      <c r="I1053" s="59"/>
      <c r="J1053" s="59"/>
      <c r="K1053" s="59"/>
      <c r="L1053" s="87"/>
      <c r="M1053" s="87"/>
      <c r="N1053" s="100"/>
      <c r="O1053" s="100"/>
    </row>
    <row r="1054" spans="1:15">
      <c r="A1054" s="87"/>
      <c r="B1054" s="87"/>
      <c r="C1054" s="18"/>
      <c r="D1054" s="18"/>
      <c r="E1054" s="18"/>
      <c r="F1054" s="87"/>
      <c r="G1054" s="87"/>
      <c r="H1054" s="87"/>
      <c r="I1054" s="59"/>
      <c r="J1054" s="59"/>
      <c r="K1054" s="59"/>
      <c r="L1054" s="87"/>
      <c r="M1054" s="87"/>
      <c r="N1054" s="100"/>
      <c r="O1054" s="100"/>
    </row>
    <row r="1055" spans="1:15">
      <c r="A1055" s="87"/>
      <c r="B1055" s="87"/>
      <c r="C1055" s="18"/>
      <c r="D1055" s="18"/>
      <c r="E1055" s="18"/>
      <c r="F1055" s="87"/>
      <c r="G1055" s="87"/>
      <c r="H1055" s="87"/>
      <c r="I1055" s="59"/>
      <c r="J1055" s="59"/>
      <c r="K1055" s="59"/>
      <c r="L1055" s="87"/>
      <c r="M1055" s="87"/>
      <c r="N1055" s="100"/>
      <c r="O1055" s="100"/>
    </row>
    <row r="1056" spans="1:15">
      <c r="A1056" s="87"/>
      <c r="B1056" s="87"/>
      <c r="C1056" s="18"/>
      <c r="D1056" s="18"/>
      <c r="E1056" s="18"/>
      <c r="F1056" s="87"/>
      <c r="G1056" s="87"/>
      <c r="H1056" s="87"/>
      <c r="I1056" s="59"/>
      <c r="J1056" s="59"/>
      <c r="K1056" s="59"/>
      <c r="L1056" s="87"/>
      <c r="M1056" s="87"/>
      <c r="N1056" s="100"/>
      <c r="O1056" s="100"/>
    </row>
    <row r="1057" spans="1:15">
      <c r="A1057" s="87"/>
      <c r="B1057" s="87"/>
      <c r="C1057" s="18"/>
      <c r="D1057" s="18"/>
      <c r="E1057" s="18"/>
      <c r="F1057" s="87"/>
      <c r="G1057" s="87"/>
      <c r="H1057" s="87"/>
      <c r="I1057" s="59"/>
      <c r="J1057" s="59"/>
      <c r="K1057" s="59"/>
      <c r="L1057" s="87"/>
      <c r="M1057" s="87"/>
      <c r="N1057" s="100"/>
      <c r="O1057" s="100"/>
    </row>
    <row r="1058" spans="1:15">
      <c r="A1058" s="87"/>
      <c r="B1058" s="87"/>
      <c r="C1058" s="18"/>
      <c r="D1058" s="18"/>
      <c r="E1058" s="18"/>
      <c r="F1058" s="87"/>
      <c r="G1058" s="87"/>
      <c r="H1058" s="87"/>
      <c r="I1058" s="59"/>
      <c r="J1058" s="59"/>
      <c r="K1058" s="59"/>
      <c r="L1058" s="87"/>
      <c r="M1058" s="87"/>
      <c r="N1058" s="100"/>
      <c r="O1058" s="100"/>
    </row>
    <row r="1059" spans="1:15">
      <c r="A1059" s="87"/>
      <c r="B1059" s="87"/>
      <c r="C1059" s="18"/>
      <c r="D1059" s="18"/>
      <c r="E1059" s="18"/>
      <c r="F1059" s="87"/>
      <c r="G1059" s="87"/>
      <c r="H1059" s="87"/>
      <c r="I1059" s="59"/>
      <c r="J1059" s="59"/>
      <c r="K1059" s="59"/>
      <c r="L1059" s="87"/>
      <c r="M1059" s="87"/>
      <c r="N1059" s="100"/>
      <c r="O1059" s="100"/>
    </row>
    <row r="1060" spans="1:15">
      <c r="A1060" s="87"/>
      <c r="B1060" s="87"/>
      <c r="C1060" s="18"/>
      <c r="D1060" s="18"/>
      <c r="E1060" s="18"/>
      <c r="F1060" s="87"/>
      <c r="G1060" s="87"/>
      <c r="H1060" s="87"/>
      <c r="I1060" s="59"/>
      <c r="J1060" s="59"/>
      <c r="K1060" s="59"/>
      <c r="L1060" s="87"/>
      <c r="M1060" s="87"/>
      <c r="N1060" s="100"/>
      <c r="O1060" s="100"/>
    </row>
    <row r="1061" spans="1:15">
      <c r="A1061" s="87"/>
      <c r="B1061" s="87"/>
      <c r="C1061" s="18"/>
      <c r="D1061" s="18"/>
      <c r="E1061" s="18"/>
      <c r="F1061" s="87"/>
      <c r="G1061" s="87"/>
      <c r="H1061" s="87"/>
      <c r="I1061" s="59"/>
      <c r="J1061" s="59"/>
      <c r="K1061" s="59"/>
      <c r="L1061" s="87"/>
      <c r="M1061" s="87"/>
      <c r="N1061" s="100"/>
      <c r="O1061" s="100"/>
    </row>
    <row r="1062" spans="1:15">
      <c r="A1062" s="87"/>
      <c r="B1062" s="87"/>
      <c r="C1062" s="18"/>
      <c r="D1062" s="18"/>
      <c r="E1062" s="18"/>
      <c r="F1062" s="87"/>
      <c r="G1062" s="87"/>
      <c r="H1062" s="87"/>
      <c r="I1062" s="59"/>
      <c r="J1062" s="59"/>
      <c r="K1062" s="59"/>
      <c r="L1062" s="87"/>
      <c r="M1062" s="87"/>
      <c r="N1062" s="100"/>
      <c r="O1062" s="100"/>
    </row>
    <row r="1063" spans="1:15">
      <c r="A1063" s="87"/>
      <c r="B1063" s="87"/>
      <c r="C1063" s="18"/>
      <c r="D1063" s="18"/>
      <c r="E1063" s="18"/>
      <c r="F1063" s="87"/>
      <c r="G1063" s="87"/>
      <c r="H1063" s="87"/>
      <c r="I1063" s="59"/>
      <c r="J1063" s="59"/>
      <c r="K1063" s="59"/>
      <c r="L1063" s="87"/>
      <c r="M1063" s="87"/>
      <c r="N1063" s="100"/>
      <c r="O1063" s="100"/>
    </row>
    <row r="1064" spans="1:15">
      <c r="A1064" s="87"/>
      <c r="B1064" s="87"/>
      <c r="C1064" s="18"/>
      <c r="D1064" s="18"/>
      <c r="E1064" s="18"/>
      <c r="F1064" s="87"/>
      <c r="G1064" s="87"/>
      <c r="H1064" s="87"/>
      <c r="I1064" s="59"/>
      <c r="J1064" s="59"/>
      <c r="K1064" s="59"/>
      <c r="L1064" s="87"/>
      <c r="M1064" s="87"/>
      <c r="N1064" s="100"/>
      <c r="O1064" s="100"/>
    </row>
    <row r="1065" spans="1:15">
      <c r="A1065" s="87"/>
      <c r="B1065" s="87"/>
      <c r="C1065" s="18"/>
      <c r="D1065" s="18"/>
      <c r="E1065" s="18"/>
      <c r="F1065" s="87"/>
      <c r="G1065" s="87"/>
      <c r="H1065" s="87"/>
      <c r="I1065" s="59"/>
      <c r="J1065" s="59"/>
      <c r="K1065" s="59"/>
      <c r="L1065" s="87"/>
      <c r="M1065" s="87"/>
      <c r="N1065" s="100"/>
      <c r="O1065" s="100"/>
    </row>
    <row r="1066" spans="1:15">
      <c r="A1066" s="87"/>
      <c r="B1066" s="87"/>
      <c r="C1066" s="18"/>
      <c r="D1066" s="18"/>
      <c r="E1066" s="18"/>
      <c r="F1066" s="87"/>
      <c r="G1066" s="87"/>
      <c r="H1066" s="87"/>
      <c r="I1066" s="59"/>
      <c r="J1066" s="59"/>
      <c r="K1066" s="59"/>
      <c r="L1066" s="87"/>
      <c r="M1066" s="87"/>
      <c r="N1066" s="100"/>
      <c r="O1066" s="100"/>
    </row>
    <row r="1067" spans="1:15">
      <c r="A1067" s="87"/>
      <c r="B1067" s="87"/>
      <c r="C1067" s="18"/>
      <c r="D1067" s="18"/>
      <c r="E1067" s="18"/>
      <c r="F1067" s="87"/>
      <c r="G1067" s="87"/>
      <c r="H1067" s="87"/>
      <c r="I1067" s="59"/>
      <c r="J1067" s="59"/>
      <c r="K1067" s="59"/>
      <c r="L1067" s="87"/>
      <c r="M1067" s="87"/>
      <c r="N1067" s="100"/>
      <c r="O1067" s="100"/>
    </row>
    <row r="1068" spans="1:15">
      <c r="A1068" s="87"/>
      <c r="B1068" s="87"/>
      <c r="C1068" s="18"/>
      <c r="D1068" s="18"/>
      <c r="E1068" s="18"/>
      <c r="F1068" s="87"/>
      <c r="G1068" s="87"/>
      <c r="H1068" s="87"/>
      <c r="I1068" s="59"/>
      <c r="J1068" s="59"/>
      <c r="K1068" s="59"/>
      <c r="L1068" s="87"/>
      <c r="M1068" s="87"/>
      <c r="N1068" s="100"/>
      <c r="O1068" s="100"/>
    </row>
    <row r="1069" spans="1:15">
      <c r="A1069" s="87"/>
      <c r="B1069" s="87"/>
      <c r="C1069" s="18"/>
      <c r="D1069" s="18"/>
      <c r="E1069" s="18"/>
      <c r="F1069" s="87"/>
      <c r="G1069" s="87"/>
      <c r="H1069" s="87"/>
      <c r="I1069" s="59"/>
      <c r="J1069" s="59"/>
      <c r="K1069" s="59"/>
      <c r="L1069" s="87"/>
      <c r="M1069" s="87"/>
      <c r="N1069" s="100"/>
      <c r="O1069" s="100"/>
    </row>
    <row r="1070" spans="1:15">
      <c r="A1070" s="87"/>
      <c r="B1070" s="87"/>
      <c r="C1070" s="18"/>
      <c r="D1070" s="18"/>
      <c r="E1070" s="18"/>
      <c r="F1070" s="87"/>
      <c r="G1070" s="87"/>
      <c r="H1070" s="87"/>
      <c r="I1070" s="59"/>
      <c r="J1070" s="59"/>
      <c r="K1070" s="59"/>
      <c r="L1070" s="87"/>
      <c r="M1070" s="87"/>
      <c r="N1070" s="100"/>
      <c r="O1070" s="100"/>
    </row>
    <row r="1071" spans="1:15">
      <c r="A1071" s="87"/>
      <c r="B1071" s="87"/>
      <c r="C1071" s="18"/>
      <c r="D1071" s="18"/>
      <c r="E1071" s="18"/>
      <c r="F1071" s="87"/>
      <c r="G1071" s="87"/>
      <c r="H1071" s="87"/>
      <c r="I1071" s="59"/>
      <c r="J1071" s="59"/>
      <c r="K1071" s="59"/>
      <c r="L1071" s="87"/>
      <c r="M1071" s="87"/>
      <c r="N1071" s="100"/>
      <c r="O1071" s="100"/>
    </row>
    <row r="1072" spans="1:15">
      <c r="A1072" s="87"/>
      <c r="B1072" s="87"/>
      <c r="C1072" s="18"/>
      <c r="D1072" s="18"/>
      <c r="E1072" s="18"/>
      <c r="F1072" s="87"/>
      <c r="G1072" s="87"/>
      <c r="H1072" s="87"/>
      <c r="I1072" s="59"/>
      <c r="J1072" s="59"/>
      <c r="K1072" s="59"/>
      <c r="L1072" s="87"/>
      <c r="M1072" s="87"/>
      <c r="N1072" s="100"/>
      <c r="O1072" s="100"/>
    </row>
    <row r="1073" spans="1:15">
      <c r="A1073" s="87"/>
      <c r="B1073" s="87"/>
      <c r="C1073" s="18"/>
      <c r="D1073" s="18"/>
      <c r="E1073" s="18"/>
      <c r="F1073" s="87"/>
      <c r="G1073" s="87"/>
      <c r="H1073" s="87"/>
      <c r="I1073" s="59"/>
      <c r="J1073" s="59"/>
      <c r="K1073" s="59"/>
      <c r="L1073" s="87"/>
      <c r="M1073" s="87"/>
      <c r="N1073" s="100"/>
      <c r="O1073" s="100"/>
    </row>
    <row r="1074" spans="1:15">
      <c r="A1074" s="87"/>
      <c r="B1074" s="87"/>
      <c r="C1074" s="18"/>
      <c r="D1074" s="18"/>
      <c r="E1074" s="18"/>
      <c r="F1074" s="87"/>
      <c r="G1074" s="87"/>
      <c r="H1074" s="87"/>
      <c r="I1074" s="59"/>
      <c r="J1074" s="59"/>
      <c r="K1074" s="59"/>
      <c r="L1074" s="87"/>
      <c r="M1074" s="87"/>
      <c r="N1074" s="100"/>
      <c r="O1074" s="100"/>
    </row>
    <row r="1075" spans="1:15">
      <c r="A1075" s="87"/>
      <c r="B1075" s="87"/>
      <c r="C1075" s="18"/>
      <c r="D1075" s="18"/>
      <c r="E1075" s="18"/>
      <c r="F1075" s="87"/>
      <c r="G1075" s="87"/>
      <c r="H1075" s="87"/>
      <c r="I1075" s="59"/>
      <c r="J1075" s="59"/>
      <c r="K1075" s="59"/>
      <c r="L1075" s="87"/>
      <c r="M1075" s="87"/>
      <c r="N1075" s="100"/>
      <c r="O1075" s="100"/>
    </row>
    <row r="1076" spans="1:15">
      <c r="A1076" s="87"/>
      <c r="B1076" s="87"/>
      <c r="C1076" s="18"/>
      <c r="D1076" s="18"/>
      <c r="E1076" s="18"/>
      <c r="F1076" s="87"/>
      <c r="G1076" s="87"/>
      <c r="H1076" s="87"/>
      <c r="I1076" s="59"/>
      <c r="J1076" s="59"/>
      <c r="K1076" s="59"/>
      <c r="L1076" s="87"/>
      <c r="M1076" s="87"/>
      <c r="N1076" s="100"/>
      <c r="O1076" s="100"/>
    </row>
    <row r="1077" spans="1:15">
      <c r="A1077" s="87"/>
      <c r="B1077" s="87"/>
      <c r="C1077" s="18"/>
      <c r="D1077" s="18"/>
      <c r="E1077" s="18"/>
      <c r="F1077" s="87"/>
      <c r="G1077" s="87"/>
      <c r="H1077" s="87"/>
      <c r="I1077" s="59"/>
      <c r="J1077" s="59"/>
      <c r="K1077" s="59"/>
      <c r="L1077" s="87"/>
      <c r="M1077" s="87"/>
      <c r="N1077" s="100"/>
      <c r="O1077" s="100"/>
    </row>
    <row r="1078" spans="1:15">
      <c r="A1078" s="87"/>
      <c r="B1078" s="87"/>
      <c r="C1078" s="18"/>
      <c r="D1078" s="18"/>
      <c r="E1078" s="18"/>
      <c r="F1078" s="87"/>
      <c r="G1078" s="87"/>
      <c r="H1078" s="87"/>
      <c r="I1078" s="59"/>
      <c r="J1078" s="59"/>
      <c r="K1078" s="59"/>
      <c r="L1078" s="87"/>
      <c r="M1078" s="87"/>
      <c r="N1078" s="100"/>
      <c r="O1078" s="100"/>
    </row>
    <row r="1079" spans="1:15">
      <c r="A1079" s="87"/>
      <c r="B1079" s="87"/>
      <c r="C1079" s="18"/>
      <c r="D1079" s="18"/>
      <c r="E1079" s="18"/>
      <c r="F1079" s="87"/>
      <c r="G1079" s="87"/>
      <c r="H1079" s="87"/>
      <c r="I1079" s="59"/>
      <c r="J1079" s="59"/>
      <c r="K1079" s="59"/>
      <c r="L1079" s="87"/>
      <c r="M1079" s="87"/>
      <c r="N1079" s="100"/>
      <c r="O1079" s="100"/>
    </row>
    <row r="1080" spans="1:15">
      <c r="A1080" s="87"/>
      <c r="B1080" s="87"/>
      <c r="C1080" s="18"/>
      <c r="D1080" s="18"/>
      <c r="E1080" s="18"/>
      <c r="F1080" s="87"/>
      <c r="G1080" s="87"/>
      <c r="H1080" s="87"/>
      <c r="I1080" s="59"/>
      <c r="J1080" s="59"/>
      <c r="K1080" s="59"/>
      <c r="L1080" s="87"/>
      <c r="M1080" s="87"/>
      <c r="N1080" s="100"/>
      <c r="O1080" s="100"/>
    </row>
    <row r="1081" spans="1:15">
      <c r="A1081" s="87"/>
      <c r="B1081" s="87"/>
      <c r="C1081" s="18"/>
      <c r="D1081" s="18"/>
      <c r="E1081" s="18"/>
      <c r="F1081" s="87"/>
      <c r="G1081" s="87"/>
      <c r="H1081" s="87"/>
      <c r="I1081" s="59"/>
      <c r="J1081" s="59"/>
      <c r="K1081" s="59"/>
      <c r="L1081" s="87"/>
      <c r="M1081" s="87"/>
      <c r="N1081" s="100"/>
      <c r="O1081" s="100"/>
    </row>
    <row r="1082" spans="1:15">
      <c r="A1082" s="87"/>
      <c r="B1082" s="87"/>
      <c r="C1082" s="18"/>
      <c r="D1082" s="18"/>
      <c r="E1082" s="18"/>
      <c r="F1082" s="87"/>
      <c r="G1082" s="87"/>
      <c r="H1082" s="87"/>
      <c r="I1082" s="59"/>
      <c r="J1082" s="59"/>
      <c r="K1082" s="59"/>
      <c r="L1082" s="87"/>
      <c r="M1082" s="87"/>
      <c r="N1082" s="100"/>
      <c r="O1082" s="100"/>
    </row>
    <row r="1083" spans="1:15">
      <c r="A1083" s="87"/>
      <c r="B1083" s="87"/>
      <c r="C1083" s="18"/>
      <c r="D1083" s="18"/>
      <c r="E1083" s="18"/>
      <c r="F1083" s="87"/>
      <c r="G1083" s="87"/>
      <c r="H1083" s="87"/>
      <c r="I1083" s="59"/>
      <c r="J1083" s="59"/>
      <c r="K1083" s="59"/>
      <c r="L1083" s="87"/>
      <c r="M1083" s="87"/>
      <c r="N1083" s="100"/>
      <c r="O1083" s="100"/>
    </row>
    <row r="1084" spans="1:15">
      <c r="A1084" s="87"/>
      <c r="B1084" s="87"/>
      <c r="C1084" s="18"/>
      <c r="D1084" s="18"/>
      <c r="E1084" s="18"/>
      <c r="F1084" s="87"/>
      <c r="G1084" s="87"/>
      <c r="H1084" s="87"/>
      <c r="I1084" s="59"/>
      <c r="J1084" s="59"/>
      <c r="K1084" s="59"/>
      <c r="L1084" s="87"/>
      <c r="M1084" s="87"/>
      <c r="N1084" s="100"/>
      <c r="O1084" s="100"/>
    </row>
    <row r="1085" spans="1:15">
      <c r="A1085" s="87"/>
      <c r="B1085" s="87"/>
      <c r="C1085" s="18"/>
      <c r="D1085" s="18"/>
      <c r="E1085" s="18"/>
      <c r="F1085" s="87"/>
      <c r="G1085" s="87"/>
      <c r="H1085" s="87"/>
      <c r="I1085" s="59"/>
      <c r="J1085" s="59"/>
      <c r="K1085" s="59"/>
      <c r="L1085" s="87"/>
      <c r="M1085" s="87"/>
      <c r="N1085" s="100"/>
      <c r="O1085" s="100"/>
    </row>
    <row r="1086" spans="1:15">
      <c r="A1086" s="87"/>
      <c r="B1086" s="87"/>
      <c r="C1086" s="18"/>
      <c r="D1086" s="18"/>
      <c r="E1086" s="18"/>
      <c r="F1086" s="87"/>
      <c r="G1086" s="87"/>
      <c r="H1086" s="87"/>
      <c r="I1086" s="59"/>
      <c r="J1086" s="59"/>
      <c r="K1086" s="59"/>
      <c r="L1086" s="87"/>
      <c r="M1086" s="87"/>
      <c r="N1086" s="100"/>
      <c r="O1086" s="100"/>
    </row>
    <row r="1087" spans="1:15">
      <c r="A1087" s="87"/>
      <c r="B1087" s="87"/>
      <c r="C1087" s="18"/>
      <c r="D1087" s="18"/>
      <c r="E1087" s="18"/>
      <c r="F1087" s="87"/>
      <c r="G1087" s="87"/>
      <c r="H1087" s="87"/>
      <c r="I1087" s="59"/>
      <c r="J1087" s="59"/>
      <c r="K1087" s="59"/>
      <c r="L1087" s="87"/>
      <c r="M1087" s="87"/>
      <c r="N1087" s="100"/>
      <c r="O1087" s="100"/>
    </row>
    <row r="1088" spans="1:15">
      <c r="A1088" s="87"/>
      <c r="B1088" s="87"/>
      <c r="C1088" s="18"/>
      <c r="D1088" s="18"/>
      <c r="E1088" s="18"/>
      <c r="F1088" s="87"/>
      <c r="G1088" s="87"/>
      <c r="H1088" s="87"/>
      <c r="I1088" s="59"/>
      <c r="J1088" s="59"/>
      <c r="K1088" s="59"/>
      <c r="L1088" s="87"/>
      <c r="M1088" s="87"/>
      <c r="N1088" s="100"/>
      <c r="O1088" s="100"/>
    </row>
    <row r="1089" spans="1:15">
      <c r="A1089" s="87"/>
      <c r="B1089" s="87"/>
      <c r="C1089" s="18"/>
      <c r="D1089" s="18"/>
      <c r="E1089" s="18"/>
      <c r="F1089" s="87"/>
      <c r="G1089" s="87"/>
      <c r="H1089" s="87"/>
      <c r="I1089" s="59"/>
      <c r="J1089" s="59"/>
      <c r="K1089" s="59"/>
      <c r="L1089" s="87"/>
      <c r="M1089" s="87"/>
      <c r="N1089" s="100"/>
      <c r="O1089" s="100"/>
    </row>
    <row r="1090" spans="1:15">
      <c r="A1090" s="87"/>
      <c r="B1090" s="87"/>
      <c r="C1090" s="18"/>
      <c r="D1090" s="18"/>
      <c r="E1090" s="18"/>
      <c r="F1090" s="87"/>
      <c r="G1090" s="87"/>
      <c r="H1090" s="87"/>
      <c r="I1090" s="59"/>
      <c r="J1090" s="59"/>
      <c r="K1090" s="59"/>
      <c r="L1090" s="87"/>
      <c r="M1090" s="87"/>
      <c r="N1090" s="100"/>
      <c r="O1090" s="100"/>
    </row>
    <row r="1091" spans="1:15">
      <c r="A1091" s="87"/>
      <c r="B1091" s="87"/>
      <c r="C1091" s="18"/>
      <c r="D1091" s="18"/>
      <c r="E1091" s="18"/>
      <c r="F1091" s="87"/>
      <c r="G1091" s="87"/>
      <c r="H1091" s="87"/>
      <c r="I1091" s="59"/>
      <c r="J1091" s="59"/>
      <c r="K1091" s="59"/>
      <c r="L1091" s="87"/>
      <c r="M1091" s="87"/>
      <c r="N1091" s="100"/>
      <c r="O1091" s="100"/>
    </row>
    <row r="1092" spans="1:15">
      <c r="A1092" s="87"/>
      <c r="B1092" s="87"/>
      <c r="C1092" s="18"/>
      <c r="D1092" s="18"/>
      <c r="E1092" s="18"/>
      <c r="F1092" s="87"/>
      <c r="G1092" s="87"/>
      <c r="H1092" s="87"/>
      <c r="I1092" s="59"/>
      <c r="J1092" s="59"/>
      <c r="K1092" s="59"/>
      <c r="L1092" s="87"/>
      <c r="M1092" s="87"/>
      <c r="N1092" s="100"/>
      <c r="O1092" s="100"/>
    </row>
    <row r="1093" spans="1:15">
      <c r="A1093" s="87"/>
      <c r="B1093" s="87"/>
      <c r="C1093" s="18"/>
      <c r="D1093" s="18"/>
      <c r="E1093" s="18"/>
      <c r="F1093" s="87"/>
      <c r="G1093" s="87"/>
      <c r="H1093" s="87"/>
      <c r="I1093" s="59"/>
      <c r="J1093" s="59"/>
      <c r="K1093" s="59"/>
      <c r="L1093" s="87"/>
      <c r="M1093" s="87"/>
      <c r="N1093" s="100"/>
      <c r="O1093" s="100"/>
    </row>
    <row r="1094" spans="1:15">
      <c r="A1094" s="87"/>
      <c r="B1094" s="87"/>
      <c r="C1094" s="18"/>
      <c r="D1094" s="18"/>
      <c r="E1094" s="18"/>
      <c r="F1094" s="87"/>
      <c r="G1094" s="87"/>
      <c r="H1094" s="87"/>
      <c r="I1094" s="59"/>
      <c r="J1094" s="59"/>
      <c r="K1094" s="59"/>
      <c r="L1094" s="87"/>
      <c r="M1094" s="87"/>
      <c r="N1094" s="100"/>
      <c r="O1094" s="100"/>
    </row>
    <row r="1095" spans="1:15">
      <c r="A1095" s="87"/>
      <c r="B1095" s="87"/>
      <c r="C1095" s="18"/>
      <c r="D1095" s="18"/>
      <c r="E1095" s="18"/>
      <c r="F1095" s="87"/>
      <c r="G1095" s="87"/>
      <c r="H1095" s="87"/>
      <c r="I1095" s="59"/>
      <c r="J1095" s="59"/>
      <c r="K1095" s="59"/>
      <c r="L1095" s="87"/>
      <c r="M1095" s="87"/>
      <c r="N1095" s="100"/>
      <c r="O1095" s="100"/>
    </row>
    <row r="1096" spans="1:15">
      <c r="A1096" s="87"/>
      <c r="B1096" s="87"/>
      <c r="C1096" s="18"/>
      <c r="D1096" s="18"/>
      <c r="E1096" s="18"/>
      <c r="F1096" s="87"/>
      <c r="G1096" s="87"/>
      <c r="H1096" s="87"/>
      <c r="I1096" s="59"/>
      <c r="J1096" s="59"/>
      <c r="K1096" s="59"/>
      <c r="L1096" s="87"/>
      <c r="M1096" s="87"/>
      <c r="N1096" s="100"/>
      <c r="O1096" s="100"/>
    </row>
    <row r="1097" spans="1:15">
      <c r="A1097" s="87"/>
      <c r="B1097" s="87"/>
      <c r="C1097" s="18"/>
      <c r="D1097" s="18"/>
      <c r="E1097" s="18"/>
      <c r="F1097" s="87"/>
      <c r="G1097" s="87"/>
      <c r="H1097" s="87"/>
      <c r="I1097" s="59"/>
      <c r="J1097" s="59"/>
      <c r="K1097" s="59"/>
      <c r="L1097" s="87"/>
      <c r="M1097" s="87"/>
      <c r="N1097" s="100"/>
      <c r="O1097" s="100"/>
    </row>
    <row r="1098" spans="1:15">
      <c r="A1098" s="87"/>
      <c r="B1098" s="87"/>
      <c r="C1098" s="18"/>
      <c r="D1098" s="18"/>
      <c r="E1098" s="18"/>
      <c r="F1098" s="87"/>
      <c r="G1098" s="87"/>
      <c r="H1098" s="87"/>
      <c r="I1098" s="59"/>
      <c r="J1098" s="59"/>
      <c r="K1098" s="59"/>
      <c r="L1098" s="87"/>
      <c r="M1098" s="87"/>
      <c r="N1098" s="100"/>
      <c r="O1098" s="100"/>
    </row>
    <row r="1099" spans="1:15">
      <c r="A1099" s="87"/>
      <c r="B1099" s="87"/>
      <c r="C1099" s="18"/>
      <c r="D1099" s="18"/>
      <c r="E1099" s="18"/>
      <c r="F1099" s="87"/>
      <c r="G1099" s="87"/>
      <c r="H1099" s="87"/>
      <c r="I1099" s="59"/>
      <c r="J1099" s="59"/>
      <c r="K1099" s="59"/>
      <c r="L1099" s="87"/>
      <c r="M1099" s="87"/>
      <c r="N1099" s="100"/>
      <c r="O1099" s="100"/>
    </row>
    <row r="1100" spans="1:15">
      <c r="A1100" s="87"/>
      <c r="B1100" s="87"/>
      <c r="C1100" s="18"/>
      <c r="D1100" s="18"/>
      <c r="E1100" s="18"/>
      <c r="F1100" s="87"/>
      <c r="G1100" s="87"/>
      <c r="H1100" s="87"/>
      <c r="I1100" s="59"/>
      <c r="J1100" s="59"/>
      <c r="K1100" s="59"/>
      <c r="L1100" s="87"/>
      <c r="M1100" s="87"/>
      <c r="N1100" s="100"/>
      <c r="O1100" s="100"/>
    </row>
    <row r="1101" spans="1:15">
      <c r="A1101" s="87"/>
      <c r="B1101" s="87"/>
      <c r="C1101" s="18"/>
      <c r="D1101" s="18"/>
      <c r="E1101" s="18"/>
      <c r="F1101" s="87"/>
      <c r="G1101" s="87"/>
      <c r="H1101" s="87"/>
      <c r="I1101" s="59"/>
      <c r="J1101" s="59"/>
      <c r="K1101" s="59"/>
      <c r="L1101" s="87"/>
      <c r="M1101" s="87"/>
      <c r="N1101" s="100"/>
      <c r="O1101" s="100"/>
    </row>
    <row r="1102" spans="1:15">
      <c r="A1102" s="87"/>
      <c r="B1102" s="87"/>
      <c r="C1102" s="18"/>
      <c r="D1102" s="18"/>
      <c r="E1102" s="18"/>
      <c r="F1102" s="87"/>
      <c r="G1102" s="87"/>
      <c r="H1102" s="87"/>
      <c r="I1102" s="59"/>
      <c r="J1102" s="59"/>
      <c r="K1102" s="59"/>
      <c r="L1102" s="87"/>
      <c r="M1102" s="87"/>
      <c r="N1102" s="100"/>
      <c r="O1102" s="100"/>
    </row>
    <row r="1103" spans="1:15">
      <c r="A1103" s="87"/>
      <c r="B1103" s="87"/>
      <c r="C1103" s="18"/>
      <c r="D1103" s="18"/>
      <c r="E1103" s="18"/>
      <c r="F1103" s="87"/>
      <c r="G1103" s="87"/>
      <c r="H1103" s="87"/>
      <c r="I1103" s="59"/>
      <c r="J1103" s="59"/>
      <c r="K1103" s="59"/>
      <c r="L1103" s="87"/>
      <c r="M1103" s="87"/>
      <c r="N1103" s="100"/>
      <c r="O1103" s="100"/>
    </row>
    <row r="1104" spans="1:15">
      <c r="A1104" s="87"/>
      <c r="B1104" s="87"/>
      <c r="C1104" s="18"/>
      <c r="D1104" s="18"/>
      <c r="E1104" s="18"/>
      <c r="F1104" s="87"/>
      <c r="G1104" s="87"/>
      <c r="H1104" s="87"/>
      <c r="I1104" s="59"/>
      <c r="J1104" s="59"/>
      <c r="K1104" s="59"/>
      <c r="L1104" s="87"/>
      <c r="M1104" s="87"/>
      <c r="N1104" s="100"/>
      <c r="O1104" s="100"/>
    </row>
    <row r="1105" spans="1:15">
      <c r="A1105" s="87"/>
      <c r="B1105" s="87"/>
      <c r="C1105" s="18"/>
      <c r="D1105" s="18"/>
      <c r="E1105" s="18"/>
      <c r="F1105" s="87"/>
      <c r="G1105" s="87"/>
      <c r="H1105" s="87"/>
      <c r="I1105" s="59"/>
      <c r="J1105" s="59"/>
      <c r="K1105" s="59"/>
      <c r="L1105" s="87"/>
      <c r="M1105" s="87"/>
      <c r="N1105" s="100"/>
      <c r="O1105" s="100"/>
    </row>
    <row r="1106" spans="1:15">
      <c r="A1106" s="87"/>
      <c r="B1106" s="87"/>
      <c r="C1106" s="18"/>
      <c r="D1106" s="18"/>
      <c r="E1106" s="18"/>
      <c r="F1106" s="87"/>
      <c r="G1106" s="87"/>
      <c r="H1106" s="87"/>
      <c r="I1106" s="59"/>
      <c r="J1106" s="59"/>
      <c r="K1106" s="59"/>
      <c r="L1106" s="87"/>
      <c r="M1106" s="87"/>
      <c r="N1106" s="100"/>
      <c r="O1106" s="100"/>
    </row>
    <row r="1107" spans="1:15">
      <c r="A1107" s="87"/>
      <c r="B1107" s="87"/>
      <c r="C1107" s="18"/>
      <c r="D1107" s="18"/>
      <c r="E1107" s="18"/>
      <c r="F1107" s="87"/>
      <c r="G1107" s="87"/>
      <c r="H1107" s="87"/>
      <c r="I1107" s="59"/>
      <c r="J1107" s="59"/>
      <c r="K1107" s="59"/>
      <c r="L1107" s="87"/>
      <c r="M1107" s="87"/>
      <c r="N1107" s="100"/>
      <c r="O1107" s="100"/>
    </row>
    <row r="1108" spans="1:15">
      <c r="A1108" s="87"/>
      <c r="B1108" s="87"/>
      <c r="C1108" s="18"/>
      <c r="D1108" s="18"/>
      <c r="E1108" s="18"/>
      <c r="F1108" s="87"/>
      <c r="G1108" s="87"/>
      <c r="H1108" s="87"/>
      <c r="I1108" s="59"/>
      <c r="J1108" s="59"/>
      <c r="K1108" s="59"/>
      <c r="L1108" s="87"/>
      <c r="M1108" s="87"/>
      <c r="N1108" s="100"/>
      <c r="O1108" s="100"/>
    </row>
    <row r="1109" spans="1:15">
      <c r="A1109" s="87"/>
      <c r="B1109" s="87"/>
      <c r="C1109" s="18"/>
      <c r="D1109" s="18"/>
      <c r="E1109" s="18"/>
      <c r="F1109" s="87"/>
      <c r="G1109" s="87"/>
      <c r="H1109" s="87"/>
      <c r="I1109" s="59"/>
      <c r="J1109" s="59"/>
      <c r="K1109" s="59"/>
      <c r="L1109" s="87"/>
      <c r="M1109" s="87"/>
      <c r="N1109" s="100"/>
      <c r="O1109" s="100"/>
    </row>
    <row r="1110" spans="1:15">
      <c r="A1110" s="87"/>
      <c r="B1110" s="87"/>
      <c r="C1110" s="18"/>
      <c r="D1110" s="18"/>
      <c r="E1110" s="18"/>
      <c r="F1110" s="87"/>
      <c r="G1110" s="87"/>
      <c r="H1110" s="87"/>
      <c r="I1110" s="59"/>
      <c r="J1110" s="59"/>
      <c r="K1110" s="59"/>
      <c r="L1110" s="87"/>
      <c r="M1110" s="87"/>
      <c r="N1110" s="100"/>
      <c r="O1110" s="100"/>
    </row>
    <row r="1111" spans="1:15">
      <c r="A1111" s="87"/>
      <c r="B1111" s="87"/>
      <c r="C1111" s="18"/>
      <c r="D1111" s="18"/>
      <c r="E1111" s="18"/>
      <c r="F1111" s="87"/>
      <c r="G1111" s="87"/>
      <c r="H1111" s="87"/>
      <c r="I1111" s="59"/>
      <c r="J1111" s="59"/>
      <c r="K1111" s="59"/>
      <c r="L1111" s="87"/>
      <c r="M1111" s="87"/>
      <c r="N1111" s="100"/>
      <c r="O1111" s="100"/>
    </row>
    <row r="1112" spans="1:15">
      <c r="A1112" s="87"/>
      <c r="B1112" s="87"/>
      <c r="C1112" s="18"/>
      <c r="D1112" s="18"/>
      <c r="E1112" s="18"/>
      <c r="F1112" s="87"/>
      <c r="G1112" s="87"/>
      <c r="H1112" s="87"/>
      <c r="I1112" s="59"/>
      <c r="J1112" s="59"/>
      <c r="K1112" s="59"/>
      <c r="L1112" s="87"/>
      <c r="M1112" s="87"/>
      <c r="N1112" s="100"/>
      <c r="O1112" s="100"/>
    </row>
    <row r="1113" spans="1:15">
      <c r="A1113" s="87"/>
      <c r="B1113" s="87"/>
      <c r="C1113" s="18"/>
      <c r="D1113" s="18"/>
      <c r="E1113" s="18"/>
      <c r="F1113" s="87"/>
      <c r="G1113" s="87"/>
      <c r="H1113" s="87"/>
      <c r="I1113" s="59"/>
      <c r="J1113" s="59"/>
      <c r="K1113" s="59"/>
      <c r="L1113" s="87"/>
      <c r="M1113" s="87"/>
      <c r="N1113" s="100"/>
      <c r="O1113" s="100"/>
    </row>
    <row r="1114" spans="1:15">
      <c r="A1114" s="87"/>
      <c r="B1114" s="87"/>
      <c r="C1114" s="18"/>
      <c r="D1114" s="18"/>
      <c r="E1114" s="18"/>
      <c r="F1114" s="87"/>
      <c r="G1114" s="87"/>
      <c r="H1114" s="87"/>
      <c r="I1114" s="59"/>
      <c r="J1114" s="59"/>
      <c r="K1114" s="59"/>
      <c r="L1114" s="87"/>
      <c r="M1114" s="87"/>
      <c r="N1114" s="100"/>
      <c r="O1114" s="100"/>
    </row>
    <row r="1115" spans="1:15">
      <c r="A1115" s="87"/>
      <c r="B1115" s="87"/>
      <c r="C1115" s="18"/>
      <c r="D1115" s="18"/>
      <c r="E1115" s="18"/>
      <c r="F1115" s="87"/>
      <c r="G1115" s="87"/>
      <c r="H1115" s="87"/>
      <c r="I1115" s="59"/>
      <c r="J1115" s="59"/>
      <c r="K1115" s="59"/>
      <c r="L1115" s="87"/>
      <c r="M1115" s="87"/>
      <c r="N1115" s="100"/>
      <c r="O1115" s="100"/>
    </row>
    <row r="1116" spans="1:15">
      <c r="A1116" s="87"/>
      <c r="B1116" s="87"/>
      <c r="C1116" s="18"/>
      <c r="D1116" s="18"/>
      <c r="E1116" s="18"/>
      <c r="F1116" s="87"/>
      <c r="G1116" s="87"/>
      <c r="H1116" s="87"/>
      <c r="I1116" s="59"/>
      <c r="J1116" s="59"/>
      <c r="K1116" s="59"/>
      <c r="L1116" s="87"/>
      <c r="M1116" s="87"/>
      <c r="N1116" s="100"/>
      <c r="O1116" s="100"/>
    </row>
    <row r="1117" spans="1:15">
      <c r="A1117" s="87"/>
      <c r="B1117" s="87"/>
      <c r="C1117" s="18"/>
      <c r="D1117" s="18"/>
      <c r="E1117" s="18"/>
      <c r="F1117" s="87"/>
      <c r="G1117" s="87"/>
      <c r="H1117" s="87"/>
      <c r="I1117" s="59"/>
      <c r="J1117" s="59"/>
      <c r="K1117" s="59"/>
      <c r="L1117" s="87"/>
      <c r="M1117" s="87"/>
      <c r="N1117" s="100"/>
      <c r="O1117" s="100"/>
    </row>
    <row r="1118" spans="1:15">
      <c r="A1118" s="87"/>
      <c r="B1118" s="87"/>
      <c r="C1118" s="18"/>
      <c r="D1118" s="18"/>
      <c r="E1118" s="18"/>
      <c r="F1118" s="87"/>
      <c r="G1118" s="87"/>
      <c r="H1118" s="87"/>
      <c r="I1118" s="59"/>
      <c r="J1118" s="59"/>
      <c r="K1118" s="59"/>
      <c r="L1118" s="87"/>
      <c r="M1118" s="87"/>
      <c r="N1118" s="100"/>
      <c r="O1118" s="100"/>
    </row>
    <row r="1119" spans="1:15">
      <c r="A1119" s="87"/>
      <c r="B1119" s="87"/>
      <c r="C1119" s="18"/>
      <c r="D1119" s="18"/>
      <c r="E1119" s="18"/>
      <c r="F1119" s="87"/>
      <c r="G1119" s="87"/>
      <c r="H1119" s="87"/>
      <c r="I1119" s="59"/>
      <c r="J1119" s="59"/>
      <c r="K1119" s="59"/>
      <c r="L1119" s="87"/>
      <c r="M1119" s="87"/>
      <c r="N1119" s="100"/>
      <c r="O1119" s="100"/>
    </row>
    <row r="1120" spans="1:15">
      <c r="A1120" s="87"/>
      <c r="B1120" s="87"/>
      <c r="C1120" s="18"/>
      <c r="D1120" s="18"/>
      <c r="E1120" s="18"/>
      <c r="F1120" s="87"/>
      <c r="G1120" s="87"/>
      <c r="H1120" s="87"/>
      <c r="I1120" s="59"/>
      <c r="J1120" s="59"/>
      <c r="K1120" s="59"/>
      <c r="L1120" s="87"/>
      <c r="M1120" s="87"/>
      <c r="N1120" s="100"/>
      <c r="O1120" s="100"/>
    </row>
    <row r="1121" spans="1:15">
      <c r="A1121" s="87"/>
      <c r="B1121" s="87"/>
      <c r="C1121" s="18"/>
      <c r="D1121" s="18"/>
      <c r="E1121" s="18"/>
      <c r="F1121" s="87"/>
      <c r="G1121" s="87"/>
      <c r="H1121" s="87"/>
      <c r="I1121" s="59"/>
      <c r="J1121" s="59"/>
      <c r="K1121" s="59"/>
      <c r="L1121" s="87"/>
      <c r="M1121" s="87"/>
      <c r="N1121" s="100"/>
      <c r="O1121" s="100"/>
    </row>
    <row r="1122" spans="1:15">
      <c r="A1122" s="87"/>
      <c r="B1122" s="87"/>
      <c r="C1122" s="18"/>
      <c r="D1122" s="18"/>
      <c r="E1122" s="18"/>
      <c r="F1122" s="87"/>
      <c r="G1122" s="87"/>
      <c r="H1122" s="87"/>
      <c r="I1122" s="59"/>
      <c r="J1122" s="59"/>
      <c r="K1122" s="59"/>
      <c r="L1122" s="87"/>
      <c r="M1122" s="87"/>
      <c r="N1122" s="100"/>
      <c r="O1122" s="100"/>
    </row>
    <row r="1123" spans="1:15">
      <c r="A1123" s="87"/>
      <c r="B1123" s="87"/>
      <c r="C1123" s="18"/>
      <c r="D1123" s="18"/>
      <c r="E1123" s="18"/>
      <c r="F1123" s="87"/>
      <c r="G1123" s="87"/>
      <c r="H1123" s="87"/>
      <c r="I1123" s="59"/>
      <c r="J1123" s="59"/>
      <c r="K1123" s="59"/>
      <c r="L1123" s="87"/>
      <c r="M1123" s="87"/>
      <c r="N1123" s="100"/>
      <c r="O1123" s="100"/>
    </row>
    <row r="1124" spans="1:15">
      <c r="A1124" s="87"/>
      <c r="B1124" s="87"/>
      <c r="C1124" s="18"/>
      <c r="D1124" s="18"/>
      <c r="E1124" s="18"/>
      <c r="F1124" s="87"/>
      <c r="G1124" s="87"/>
      <c r="H1124" s="87"/>
      <c r="I1124" s="59"/>
      <c r="J1124" s="59"/>
      <c r="K1124" s="59"/>
      <c r="L1124" s="87"/>
      <c r="M1124" s="87"/>
      <c r="N1124" s="100"/>
      <c r="O1124" s="100"/>
    </row>
    <row r="1125" spans="1:15">
      <c r="A1125" s="87"/>
      <c r="B1125" s="87"/>
      <c r="C1125" s="18"/>
      <c r="D1125" s="18"/>
      <c r="E1125" s="18"/>
      <c r="F1125" s="87"/>
      <c r="G1125" s="87"/>
      <c r="H1125" s="87"/>
      <c r="I1125" s="59"/>
      <c r="J1125" s="59"/>
      <c r="K1125" s="59"/>
      <c r="L1125" s="87"/>
      <c r="M1125" s="87"/>
      <c r="N1125" s="100"/>
      <c r="O1125" s="100"/>
    </row>
    <row r="1126" spans="1:15">
      <c r="A1126" s="87"/>
      <c r="B1126" s="87"/>
      <c r="C1126" s="18"/>
      <c r="D1126" s="18"/>
      <c r="E1126" s="18"/>
      <c r="F1126" s="87"/>
      <c r="G1126" s="87"/>
      <c r="H1126" s="87"/>
      <c r="I1126" s="59"/>
      <c r="J1126" s="59"/>
      <c r="K1126" s="59"/>
      <c r="L1126" s="87"/>
      <c r="M1126" s="87"/>
      <c r="N1126" s="100"/>
      <c r="O1126" s="100"/>
    </row>
    <row r="1127" spans="1:15">
      <c r="A1127" s="87"/>
      <c r="B1127" s="87"/>
      <c r="C1127" s="18"/>
      <c r="D1127" s="18"/>
      <c r="E1127" s="18"/>
      <c r="F1127" s="87"/>
      <c r="G1127" s="87"/>
      <c r="H1127" s="87"/>
      <c r="I1127" s="59"/>
      <c r="J1127" s="59"/>
      <c r="K1127" s="59"/>
      <c r="L1127" s="87"/>
      <c r="M1127" s="87"/>
      <c r="N1127" s="100"/>
      <c r="O1127" s="100"/>
    </row>
    <row r="1128" spans="1:15">
      <c r="A1128" s="87"/>
      <c r="B1128" s="87"/>
      <c r="C1128" s="18"/>
      <c r="D1128" s="18"/>
      <c r="E1128" s="18"/>
      <c r="F1128" s="87"/>
      <c r="G1128" s="87"/>
      <c r="H1128" s="87"/>
      <c r="I1128" s="59"/>
      <c r="J1128" s="59"/>
      <c r="K1128" s="59"/>
      <c r="L1128" s="87"/>
      <c r="M1128" s="87"/>
      <c r="N1128" s="100"/>
      <c r="O1128" s="100"/>
    </row>
    <row r="1129" spans="1:15">
      <c r="A1129" s="87"/>
      <c r="B1129" s="87"/>
      <c r="C1129" s="18"/>
      <c r="D1129" s="18"/>
      <c r="E1129" s="18"/>
      <c r="F1129" s="87"/>
      <c r="G1129" s="87"/>
      <c r="H1129" s="87"/>
      <c r="I1129" s="59"/>
      <c r="J1129" s="59"/>
      <c r="K1129" s="59"/>
      <c r="L1129" s="87"/>
      <c r="M1129" s="87"/>
      <c r="N1129" s="100"/>
      <c r="O1129" s="100"/>
    </row>
    <row r="1130" spans="1:15">
      <c r="A1130" s="87"/>
      <c r="B1130" s="87"/>
      <c r="C1130" s="18"/>
      <c r="D1130" s="18"/>
      <c r="E1130" s="18"/>
      <c r="F1130" s="87"/>
      <c r="G1130" s="87"/>
      <c r="H1130" s="87"/>
      <c r="I1130" s="59"/>
      <c r="J1130" s="59"/>
      <c r="K1130" s="59"/>
      <c r="L1130" s="87"/>
      <c r="M1130" s="87"/>
      <c r="N1130" s="100"/>
      <c r="O1130" s="100"/>
    </row>
    <row r="1131" spans="1:15">
      <c r="A1131" s="87"/>
      <c r="B1131" s="87"/>
      <c r="C1131" s="18"/>
      <c r="D1131" s="18"/>
      <c r="E1131" s="18"/>
      <c r="F1131" s="87"/>
      <c r="G1131" s="87"/>
      <c r="H1131" s="87"/>
      <c r="I1131" s="59"/>
      <c r="J1131" s="59"/>
      <c r="K1131" s="59"/>
      <c r="L1131" s="87"/>
      <c r="M1131" s="87"/>
      <c r="N1131" s="100"/>
      <c r="O1131" s="100"/>
    </row>
    <row r="1132" spans="1:15">
      <c r="A1132" s="87"/>
      <c r="B1132" s="87"/>
      <c r="C1132" s="18"/>
      <c r="D1132" s="18"/>
      <c r="E1132" s="18"/>
      <c r="F1132" s="87"/>
      <c r="G1132" s="87"/>
      <c r="H1132" s="87"/>
      <c r="I1132" s="59"/>
      <c r="J1132" s="59"/>
      <c r="K1132" s="59"/>
      <c r="L1132" s="87"/>
      <c r="M1132" s="87"/>
      <c r="N1132" s="100"/>
      <c r="O1132" s="100"/>
    </row>
    <row r="1133" spans="1:15">
      <c r="A1133" s="87"/>
      <c r="B1133" s="87"/>
      <c r="C1133" s="18"/>
      <c r="D1133" s="18"/>
      <c r="E1133" s="18"/>
      <c r="F1133" s="87"/>
      <c r="G1133" s="87"/>
      <c r="H1133" s="87"/>
      <c r="I1133" s="59"/>
      <c r="J1133" s="59"/>
      <c r="K1133" s="59"/>
      <c r="L1133" s="87"/>
      <c r="M1133" s="87"/>
      <c r="N1133" s="100"/>
      <c r="O1133" s="100"/>
    </row>
    <row r="1134" spans="1:15">
      <c r="A1134" s="87"/>
      <c r="B1134" s="87"/>
      <c r="C1134" s="18"/>
      <c r="D1134" s="18"/>
      <c r="E1134" s="18"/>
      <c r="F1134" s="87"/>
      <c r="G1134" s="87"/>
      <c r="H1134" s="87"/>
      <c r="I1134" s="59"/>
      <c r="J1134" s="59"/>
      <c r="K1134" s="59"/>
      <c r="L1134" s="87"/>
      <c r="M1134" s="87"/>
      <c r="N1134" s="100"/>
      <c r="O1134" s="100"/>
    </row>
    <row r="1135" spans="1:15">
      <c r="A1135" s="87"/>
      <c r="B1135" s="87"/>
      <c r="C1135" s="18"/>
      <c r="D1135" s="18"/>
      <c r="E1135" s="18"/>
      <c r="F1135" s="87"/>
      <c r="G1135" s="87"/>
      <c r="H1135" s="87"/>
      <c r="I1135" s="59"/>
      <c r="J1135" s="59"/>
      <c r="K1135" s="59"/>
      <c r="L1135" s="87"/>
      <c r="M1135" s="87"/>
      <c r="N1135" s="100"/>
      <c r="O1135" s="100"/>
    </row>
    <row r="1136" spans="1:15">
      <c r="A1136" s="87"/>
      <c r="B1136" s="87"/>
      <c r="C1136" s="18"/>
      <c r="D1136" s="18"/>
      <c r="E1136" s="18"/>
      <c r="F1136" s="87"/>
      <c r="G1136" s="87"/>
      <c r="H1136" s="87"/>
      <c r="I1136" s="59"/>
      <c r="J1136" s="59"/>
      <c r="K1136" s="59"/>
      <c r="L1136" s="87"/>
      <c r="M1136" s="87"/>
      <c r="N1136" s="100"/>
      <c r="O1136" s="100"/>
    </row>
    <row r="1137" spans="1:15">
      <c r="A1137" s="87"/>
      <c r="B1137" s="87"/>
      <c r="C1137" s="18"/>
      <c r="D1137" s="18"/>
      <c r="E1137" s="18"/>
      <c r="F1137" s="87"/>
      <c r="G1137" s="87"/>
      <c r="H1137" s="87"/>
      <c r="I1137" s="59"/>
      <c r="J1137" s="59"/>
      <c r="K1137" s="59"/>
      <c r="L1137" s="87"/>
      <c r="M1137" s="87"/>
      <c r="N1137" s="100"/>
      <c r="O1137" s="100"/>
    </row>
    <row r="1138" spans="1:15">
      <c r="A1138" s="87"/>
      <c r="B1138" s="87"/>
      <c r="C1138" s="18"/>
      <c r="D1138" s="18"/>
      <c r="E1138" s="18"/>
      <c r="F1138" s="87"/>
      <c r="G1138" s="87"/>
      <c r="H1138" s="87"/>
      <c r="I1138" s="59"/>
      <c r="J1138" s="59"/>
      <c r="K1138" s="59"/>
      <c r="L1138" s="87"/>
      <c r="M1138" s="87"/>
      <c r="N1138" s="100"/>
      <c r="O1138" s="100"/>
    </row>
    <row r="1139" spans="1:15">
      <c r="A1139" s="87"/>
      <c r="B1139" s="87"/>
      <c r="C1139" s="18"/>
      <c r="D1139" s="18"/>
      <c r="E1139" s="18"/>
      <c r="F1139" s="87"/>
      <c r="G1139" s="87"/>
      <c r="H1139" s="87"/>
      <c r="I1139" s="59"/>
      <c r="J1139" s="59"/>
      <c r="K1139" s="59"/>
      <c r="L1139" s="87"/>
      <c r="M1139" s="87"/>
      <c r="N1139" s="100"/>
      <c r="O1139" s="100"/>
    </row>
    <row r="1140" spans="1:15">
      <c r="A1140" s="87"/>
      <c r="B1140" s="87"/>
      <c r="C1140" s="18"/>
      <c r="D1140" s="18"/>
      <c r="E1140" s="18"/>
      <c r="F1140" s="87"/>
      <c r="G1140" s="87"/>
      <c r="H1140" s="87"/>
      <c r="I1140" s="59"/>
      <c r="J1140" s="59"/>
      <c r="K1140" s="59"/>
      <c r="L1140" s="87"/>
      <c r="M1140" s="87"/>
      <c r="N1140" s="100"/>
      <c r="O1140" s="100"/>
    </row>
    <row r="1141" spans="1:15">
      <c r="A1141" s="87"/>
      <c r="B1141" s="87"/>
      <c r="C1141" s="18"/>
      <c r="D1141" s="18"/>
      <c r="E1141" s="18"/>
      <c r="F1141" s="87"/>
      <c r="G1141" s="87"/>
      <c r="H1141" s="87"/>
      <c r="I1141" s="59"/>
      <c r="J1141" s="59"/>
      <c r="K1141" s="59"/>
      <c r="L1141" s="87"/>
      <c r="M1141" s="87"/>
      <c r="N1141" s="100"/>
      <c r="O1141" s="100"/>
    </row>
    <row r="1142" spans="1:15">
      <c r="A1142" s="87"/>
      <c r="B1142" s="87"/>
      <c r="C1142" s="18"/>
      <c r="D1142" s="18"/>
      <c r="E1142" s="18"/>
      <c r="F1142" s="87"/>
      <c r="G1142" s="87"/>
      <c r="H1142" s="87"/>
      <c r="I1142" s="59"/>
      <c r="J1142" s="59"/>
      <c r="K1142" s="59"/>
      <c r="L1142" s="87"/>
      <c r="M1142" s="87"/>
      <c r="N1142" s="100"/>
      <c r="O1142" s="100"/>
    </row>
    <row r="1143" spans="1:15">
      <c r="A1143" s="87"/>
      <c r="B1143" s="87"/>
      <c r="C1143" s="18"/>
      <c r="D1143" s="18"/>
      <c r="E1143" s="18"/>
      <c r="F1143" s="87"/>
      <c r="G1143" s="87"/>
      <c r="H1143" s="87"/>
      <c r="I1143" s="59"/>
      <c r="J1143" s="59"/>
      <c r="K1143" s="59"/>
      <c r="L1143" s="87"/>
      <c r="M1143" s="87"/>
      <c r="N1143" s="100"/>
      <c r="O1143" s="100"/>
    </row>
    <row r="1144" spans="1:15">
      <c r="A1144" s="87"/>
      <c r="B1144" s="87"/>
      <c r="C1144" s="18"/>
      <c r="D1144" s="18"/>
      <c r="E1144" s="18"/>
      <c r="F1144" s="87"/>
      <c r="G1144" s="87"/>
      <c r="H1144" s="87"/>
      <c r="I1144" s="59"/>
      <c r="J1144" s="59"/>
      <c r="K1144" s="59"/>
      <c r="L1144" s="87"/>
      <c r="M1144" s="87"/>
      <c r="N1144" s="100"/>
      <c r="O1144" s="100"/>
    </row>
    <row r="1145" spans="1:15">
      <c r="A1145" s="87"/>
      <c r="B1145" s="87"/>
      <c r="C1145" s="18"/>
      <c r="D1145" s="18"/>
      <c r="E1145" s="18"/>
      <c r="F1145" s="87"/>
      <c r="G1145" s="87"/>
      <c r="H1145" s="87"/>
      <c r="I1145" s="59"/>
      <c r="J1145" s="59"/>
      <c r="K1145" s="59"/>
      <c r="L1145" s="87"/>
      <c r="M1145" s="87"/>
      <c r="N1145" s="100"/>
      <c r="O1145" s="100"/>
    </row>
    <row r="1146" spans="1:15">
      <c r="A1146" s="87"/>
      <c r="B1146" s="87"/>
      <c r="C1146" s="18"/>
      <c r="D1146" s="18"/>
      <c r="E1146" s="18"/>
      <c r="F1146" s="87"/>
      <c r="G1146" s="87"/>
      <c r="H1146" s="87"/>
      <c r="I1146" s="59"/>
      <c r="J1146" s="59"/>
      <c r="K1146" s="59"/>
      <c r="L1146" s="87"/>
      <c r="M1146" s="87"/>
      <c r="N1146" s="100"/>
      <c r="O1146" s="100"/>
    </row>
    <row r="1147" spans="1:15">
      <c r="A1147" s="87"/>
      <c r="B1147" s="87"/>
      <c r="C1147" s="18"/>
      <c r="D1147" s="18"/>
      <c r="E1147" s="18"/>
      <c r="F1147" s="87"/>
      <c r="G1147" s="87"/>
      <c r="H1147" s="87"/>
      <c r="I1147" s="59"/>
      <c r="J1147" s="59"/>
      <c r="K1147" s="59"/>
      <c r="L1147" s="87"/>
      <c r="M1147" s="87"/>
      <c r="N1147" s="100"/>
      <c r="O1147" s="100"/>
    </row>
    <row r="1148" spans="1:15">
      <c r="A1148" s="87"/>
      <c r="B1148" s="87"/>
      <c r="C1148" s="18"/>
      <c r="D1148" s="18"/>
      <c r="E1148" s="18"/>
      <c r="F1148" s="87"/>
      <c r="G1148" s="87"/>
      <c r="H1148" s="87"/>
      <c r="I1148" s="59"/>
      <c r="J1148" s="59"/>
      <c r="K1148" s="59"/>
      <c r="L1148" s="87"/>
      <c r="M1148" s="87"/>
      <c r="N1148" s="100"/>
      <c r="O1148" s="100"/>
    </row>
    <row r="1149" spans="1:15">
      <c r="A1149" s="87"/>
      <c r="B1149" s="87"/>
      <c r="C1149" s="18"/>
      <c r="D1149" s="18"/>
      <c r="E1149" s="18"/>
      <c r="F1149" s="87"/>
      <c r="G1149" s="87"/>
      <c r="H1149" s="87"/>
      <c r="I1149" s="59"/>
      <c r="J1149" s="59"/>
      <c r="K1149" s="59"/>
      <c r="L1149" s="87"/>
      <c r="M1149" s="87"/>
      <c r="N1149" s="100"/>
      <c r="O1149" s="100"/>
    </row>
    <row r="1150" spans="1:15">
      <c r="A1150" s="87"/>
      <c r="B1150" s="87"/>
      <c r="C1150" s="18"/>
      <c r="D1150" s="18"/>
      <c r="E1150" s="18"/>
      <c r="F1150" s="87"/>
      <c r="G1150" s="87"/>
      <c r="H1150" s="87"/>
      <c r="I1150" s="59"/>
      <c r="J1150" s="59"/>
      <c r="K1150" s="59"/>
      <c r="L1150" s="87"/>
      <c r="M1150" s="87"/>
      <c r="N1150" s="100"/>
      <c r="O1150" s="100"/>
    </row>
    <row r="1151" spans="1:15">
      <c r="A1151" s="87"/>
      <c r="B1151" s="87"/>
      <c r="C1151" s="18"/>
      <c r="D1151" s="18"/>
      <c r="E1151" s="18"/>
      <c r="F1151" s="87"/>
      <c r="G1151" s="87"/>
      <c r="H1151" s="87"/>
      <c r="I1151" s="59"/>
      <c r="J1151" s="59"/>
      <c r="K1151" s="59"/>
      <c r="L1151" s="87"/>
      <c r="M1151" s="87"/>
      <c r="N1151" s="100"/>
      <c r="O1151" s="100"/>
    </row>
    <row r="1152" spans="1:15">
      <c r="A1152" s="87"/>
      <c r="B1152" s="87"/>
      <c r="C1152" s="18"/>
      <c r="D1152" s="18"/>
      <c r="E1152" s="18"/>
      <c r="F1152" s="87"/>
      <c r="G1152" s="87"/>
      <c r="H1152" s="87"/>
      <c r="I1152" s="59"/>
      <c r="J1152" s="59"/>
      <c r="K1152" s="59"/>
      <c r="L1152" s="87"/>
      <c r="M1152" s="87"/>
      <c r="N1152" s="100"/>
      <c r="O1152" s="100"/>
    </row>
    <row r="1153" spans="1:15">
      <c r="A1153" s="87"/>
      <c r="B1153" s="87"/>
      <c r="C1153" s="18"/>
      <c r="D1153" s="18"/>
      <c r="E1153" s="18"/>
      <c r="F1153" s="87"/>
      <c r="G1153" s="87"/>
      <c r="H1153" s="87"/>
      <c r="I1153" s="59"/>
      <c r="J1153" s="59"/>
      <c r="K1153" s="59"/>
      <c r="L1153" s="87"/>
      <c r="M1153" s="87"/>
      <c r="N1153" s="100"/>
      <c r="O1153" s="100"/>
    </row>
    <row r="1154" spans="1:15">
      <c r="A1154" s="87"/>
      <c r="B1154" s="87"/>
      <c r="C1154" s="18"/>
      <c r="D1154" s="18"/>
      <c r="E1154" s="18"/>
      <c r="F1154" s="87"/>
      <c r="G1154" s="87"/>
      <c r="H1154" s="87"/>
      <c r="I1154" s="59"/>
      <c r="J1154" s="59"/>
      <c r="K1154" s="59"/>
      <c r="L1154" s="87"/>
      <c r="M1154" s="87"/>
      <c r="N1154" s="100"/>
      <c r="O1154" s="100"/>
    </row>
    <row r="1155" spans="1:15">
      <c r="A1155" s="87"/>
      <c r="B1155" s="87"/>
      <c r="C1155" s="18"/>
      <c r="D1155" s="18"/>
      <c r="E1155" s="18"/>
      <c r="F1155" s="87"/>
      <c r="G1155" s="87"/>
      <c r="H1155" s="87"/>
      <c r="I1155" s="59"/>
      <c r="J1155" s="59"/>
      <c r="K1155" s="59"/>
      <c r="L1155" s="87"/>
      <c r="M1155" s="87"/>
      <c r="N1155" s="100"/>
      <c r="O1155" s="100"/>
    </row>
    <row r="1156" spans="1:15">
      <c r="A1156" s="87"/>
      <c r="B1156" s="87"/>
      <c r="C1156" s="18"/>
      <c r="D1156" s="18"/>
      <c r="E1156" s="18"/>
      <c r="F1156" s="87"/>
      <c r="G1156" s="87"/>
      <c r="H1156" s="87"/>
      <c r="I1156" s="59"/>
      <c r="J1156" s="59"/>
      <c r="K1156" s="59"/>
      <c r="L1156" s="87"/>
      <c r="M1156" s="87"/>
      <c r="N1156" s="100"/>
      <c r="O1156" s="100"/>
    </row>
    <row r="1157" spans="1:15">
      <c r="A1157" s="87"/>
      <c r="B1157" s="87"/>
      <c r="C1157" s="18"/>
      <c r="D1157" s="18"/>
      <c r="E1157" s="18"/>
      <c r="F1157" s="87"/>
      <c r="G1157" s="87"/>
      <c r="H1157" s="87"/>
      <c r="I1157" s="59"/>
      <c r="J1157" s="59"/>
      <c r="K1157" s="59"/>
      <c r="L1157" s="87"/>
      <c r="M1157" s="87"/>
      <c r="N1157" s="100"/>
      <c r="O1157" s="100"/>
    </row>
    <row r="1158" spans="1:15">
      <c r="A1158" s="87"/>
      <c r="B1158" s="87"/>
      <c r="C1158" s="18"/>
      <c r="D1158" s="18"/>
      <c r="E1158" s="18"/>
      <c r="F1158" s="87"/>
      <c r="G1158" s="87"/>
      <c r="H1158" s="87"/>
      <c r="I1158" s="59"/>
      <c r="J1158" s="59"/>
      <c r="K1158" s="59"/>
      <c r="L1158" s="87"/>
      <c r="M1158" s="87"/>
      <c r="N1158" s="100"/>
      <c r="O1158" s="100"/>
    </row>
    <row r="1159" spans="1:15">
      <c r="A1159" s="87"/>
      <c r="B1159" s="87"/>
      <c r="C1159" s="18"/>
      <c r="D1159" s="18"/>
      <c r="E1159" s="18"/>
      <c r="F1159" s="87"/>
      <c r="G1159" s="87"/>
      <c r="H1159" s="87"/>
      <c r="I1159" s="59"/>
      <c r="J1159" s="59"/>
      <c r="K1159" s="59"/>
      <c r="L1159" s="87"/>
      <c r="M1159" s="87"/>
      <c r="N1159" s="100"/>
      <c r="O1159" s="100"/>
    </row>
    <row r="1160" spans="1:15">
      <c r="A1160" s="87"/>
      <c r="B1160" s="87"/>
      <c r="C1160" s="18"/>
      <c r="D1160" s="18"/>
      <c r="E1160" s="18"/>
      <c r="F1160" s="87"/>
      <c r="G1160" s="87"/>
      <c r="H1160" s="87"/>
      <c r="I1160" s="59"/>
      <c r="J1160" s="59"/>
      <c r="K1160" s="59"/>
      <c r="L1160" s="87"/>
      <c r="M1160" s="87"/>
      <c r="N1160" s="100"/>
      <c r="O1160" s="100"/>
    </row>
    <row r="1161" spans="1:15">
      <c r="A1161" s="87"/>
      <c r="B1161" s="87"/>
      <c r="C1161" s="18"/>
      <c r="D1161" s="18"/>
      <c r="E1161" s="18"/>
      <c r="F1161" s="87"/>
      <c r="G1161" s="87"/>
      <c r="H1161" s="87"/>
      <c r="I1161" s="59"/>
      <c r="J1161" s="59"/>
      <c r="K1161" s="59"/>
      <c r="L1161" s="87"/>
      <c r="M1161" s="87"/>
      <c r="N1161" s="100"/>
      <c r="O1161" s="100"/>
    </row>
    <row r="1162" spans="1:15">
      <c r="A1162" s="87"/>
      <c r="B1162" s="87"/>
      <c r="C1162" s="18"/>
      <c r="D1162" s="18"/>
      <c r="E1162" s="18"/>
      <c r="F1162" s="87"/>
      <c r="G1162" s="87"/>
      <c r="H1162" s="87"/>
      <c r="I1162" s="59"/>
      <c r="J1162" s="59"/>
      <c r="K1162" s="59"/>
      <c r="L1162" s="87"/>
      <c r="M1162" s="87"/>
      <c r="N1162" s="100"/>
      <c r="O1162" s="100"/>
    </row>
    <row r="1163" spans="1:15">
      <c r="A1163" s="87"/>
      <c r="B1163" s="87"/>
      <c r="C1163" s="18"/>
      <c r="D1163" s="18"/>
      <c r="E1163" s="18"/>
      <c r="F1163" s="87"/>
      <c r="G1163" s="87"/>
      <c r="H1163" s="87"/>
      <c r="I1163" s="59"/>
      <c r="J1163" s="59"/>
      <c r="K1163" s="59"/>
      <c r="L1163" s="87"/>
      <c r="M1163" s="87"/>
      <c r="N1163" s="100"/>
      <c r="O1163" s="100"/>
    </row>
    <row r="1164" spans="1:15">
      <c r="A1164" s="87"/>
      <c r="B1164" s="87"/>
      <c r="C1164" s="18"/>
      <c r="D1164" s="18"/>
      <c r="E1164" s="18"/>
      <c r="F1164" s="87"/>
      <c r="G1164" s="87"/>
      <c r="H1164" s="87"/>
      <c r="I1164" s="59"/>
      <c r="J1164" s="59"/>
      <c r="K1164" s="59"/>
      <c r="L1164" s="87"/>
      <c r="M1164" s="87"/>
      <c r="N1164" s="100"/>
      <c r="O1164" s="100"/>
    </row>
    <row r="1165" spans="1:15">
      <c r="A1165" s="87"/>
      <c r="B1165" s="87"/>
      <c r="C1165" s="18"/>
      <c r="D1165" s="18"/>
      <c r="E1165" s="18"/>
      <c r="F1165" s="87"/>
      <c r="G1165" s="87"/>
      <c r="H1165" s="87"/>
      <c r="I1165" s="59"/>
      <c r="J1165" s="59"/>
      <c r="K1165" s="59"/>
      <c r="L1165" s="87"/>
      <c r="M1165" s="87"/>
      <c r="N1165" s="100"/>
      <c r="O1165" s="100"/>
    </row>
    <row r="1166" spans="1:15">
      <c r="A1166" s="87"/>
      <c r="B1166" s="87"/>
      <c r="C1166" s="18"/>
      <c r="D1166" s="18"/>
      <c r="E1166" s="18"/>
      <c r="F1166" s="87"/>
      <c r="G1166" s="87"/>
      <c r="H1166" s="87"/>
      <c r="I1166" s="59"/>
      <c r="J1166" s="59"/>
      <c r="K1166" s="59"/>
      <c r="L1166" s="87"/>
      <c r="M1166" s="87"/>
      <c r="N1166" s="100"/>
      <c r="O1166" s="100"/>
    </row>
    <row r="1167" spans="1:15">
      <c r="A1167" s="87"/>
      <c r="B1167" s="87"/>
      <c r="C1167" s="18"/>
      <c r="D1167" s="18"/>
      <c r="E1167" s="18"/>
      <c r="F1167" s="87"/>
      <c r="G1167" s="87"/>
      <c r="H1167" s="87"/>
      <c r="I1167" s="59"/>
      <c r="J1167" s="59"/>
      <c r="K1167" s="59"/>
      <c r="L1167" s="87"/>
      <c r="M1167" s="87"/>
      <c r="N1167" s="100"/>
      <c r="O1167" s="100"/>
    </row>
    <row r="1168" spans="1:15">
      <c r="A1168" s="87"/>
      <c r="B1168" s="87"/>
      <c r="C1168" s="18"/>
      <c r="D1168" s="18"/>
      <c r="E1168" s="18"/>
      <c r="F1168" s="87"/>
      <c r="G1168" s="87"/>
      <c r="H1168" s="87"/>
      <c r="I1168" s="59"/>
      <c r="J1168" s="59"/>
      <c r="K1168" s="59"/>
      <c r="L1168" s="87"/>
      <c r="M1168" s="87"/>
      <c r="N1168" s="100"/>
      <c r="O1168" s="100"/>
    </row>
    <row r="1169" spans="1:15">
      <c r="A1169" s="87"/>
      <c r="B1169" s="87"/>
      <c r="C1169" s="18"/>
      <c r="D1169" s="18"/>
      <c r="E1169" s="18"/>
      <c r="F1169" s="87"/>
      <c r="G1169" s="87"/>
      <c r="H1169" s="87"/>
      <c r="I1169" s="59"/>
      <c r="J1169" s="59"/>
      <c r="K1169" s="59"/>
      <c r="L1169" s="87"/>
      <c r="M1169" s="87"/>
      <c r="N1169" s="100"/>
      <c r="O1169" s="100"/>
    </row>
    <row r="1170" spans="1:15">
      <c r="A1170" s="87"/>
      <c r="B1170" s="87"/>
      <c r="C1170" s="18"/>
      <c r="D1170" s="18"/>
      <c r="E1170" s="18"/>
      <c r="F1170" s="87"/>
      <c r="G1170" s="87"/>
      <c r="H1170" s="87"/>
      <c r="I1170" s="59"/>
      <c r="J1170" s="59"/>
      <c r="K1170" s="59"/>
      <c r="L1170" s="87"/>
      <c r="M1170" s="87"/>
      <c r="N1170" s="100"/>
      <c r="O1170" s="100"/>
    </row>
    <row r="1171" spans="1:15">
      <c r="A1171" s="87"/>
      <c r="B1171" s="87"/>
      <c r="C1171" s="18"/>
      <c r="D1171" s="18"/>
      <c r="E1171" s="18"/>
      <c r="F1171" s="87"/>
      <c r="G1171" s="87"/>
      <c r="H1171" s="87"/>
      <c r="I1171" s="59"/>
      <c r="J1171" s="59"/>
      <c r="K1171" s="59"/>
      <c r="L1171" s="87"/>
      <c r="M1171" s="87"/>
      <c r="N1171" s="100"/>
      <c r="O1171" s="100"/>
    </row>
    <row r="1172" spans="1:15">
      <c r="A1172" s="87"/>
      <c r="B1172" s="87"/>
      <c r="C1172" s="18"/>
      <c r="D1172" s="18"/>
      <c r="E1172" s="18"/>
      <c r="F1172" s="87"/>
      <c r="G1172" s="87"/>
      <c r="H1172" s="87"/>
      <c r="I1172" s="59"/>
      <c r="J1172" s="59"/>
      <c r="K1172" s="59"/>
      <c r="L1172" s="87"/>
      <c r="M1172" s="87"/>
      <c r="N1172" s="100"/>
      <c r="O1172" s="100"/>
    </row>
    <row r="1173" spans="1:15">
      <c r="A1173" s="87"/>
      <c r="B1173" s="87"/>
      <c r="C1173" s="18"/>
      <c r="D1173" s="18"/>
      <c r="E1173" s="18"/>
      <c r="F1173" s="87"/>
      <c r="G1173" s="87"/>
      <c r="H1173" s="87"/>
      <c r="I1173" s="59"/>
      <c r="J1173" s="59"/>
      <c r="K1173" s="59"/>
      <c r="L1173" s="87"/>
      <c r="M1173" s="87"/>
      <c r="N1173" s="100"/>
      <c r="O1173" s="100"/>
    </row>
    <row r="1174" spans="1:15">
      <c r="A1174" s="87"/>
      <c r="B1174" s="87"/>
      <c r="C1174" s="18"/>
      <c r="D1174" s="18"/>
      <c r="E1174" s="18"/>
      <c r="F1174" s="87"/>
      <c r="G1174" s="87"/>
      <c r="H1174" s="87"/>
      <c r="I1174" s="59"/>
      <c r="J1174" s="59"/>
      <c r="K1174" s="59"/>
      <c r="L1174" s="87"/>
      <c r="M1174" s="87"/>
      <c r="N1174" s="100"/>
      <c r="O1174" s="100"/>
    </row>
    <row r="1175" spans="1:15">
      <c r="A1175" s="87"/>
      <c r="B1175" s="87"/>
      <c r="C1175" s="18"/>
      <c r="D1175" s="18"/>
      <c r="E1175" s="18"/>
      <c r="F1175" s="87"/>
      <c r="G1175" s="87"/>
      <c r="H1175" s="87"/>
      <c r="I1175" s="59"/>
      <c r="J1175" s="59"/>
      <c r="K1175" s="59"/>
      <c r="L1175" s="87"/>
      <c r="M1175" s="87"/>
      <c r="N1175" s="100"/>
      <c r="O1175" s="100"/>
    </row>
    <row r="1176" spans="1:15">
      <c r="A1176" s="87"/>
      <c r="B1176" s="87"/>
      <c r="C1176" s="18"/>
      <c r="D1176" s="18"/>
      <c r="E1176" s="18"/>
      <c r="F1176" s="87"/>
      <c r="G1176" s="87"/>
      <c r="H1176" s="87"/>
      <c r="I1176" s="59"/>
      <c r="J1176" s="59"/>
      <c r="K1176" s="59"/>
      <c r="L1176" s="87"/>
      <c r="M1176" s="87"/>
      <c r="N1176" s="100"/>
      <c r="O1176" s="100"/>
    </row>
    <row r="1177" spans="1:15">
      <c r="A1177" s="87"/>
      <c r="B1177" s="87"/>
      <c r="C1177" s="18"/>
      <c r="D1177" s="18"/>
      <c r="E1177" s="18"/>
      <c r="F1177" s="87"/>
      <c r="G1177" s="87"/>
      <c r="H1177" s="87"/>
      <c r="I1177" s="59"/>
      <c r="J1177" s="59"/>
      <c r="K1177" s="59"/>
      <c r="L1177" s="87"/>
      <c r="M1177" s="87"/>
      <c r="N1177" s="100"/>
      <c r="O1177" s="100"/>
    </row>
    <row r="1178" spans="1:15">
      <c r="A1178" s="87"/>
      <c r="B1178" s="87"/>
      <c r="C1178" s="18"/>
      <c r="D1178" s="18"/>
      <c r="E1178" s="18"/>
      <c r="F1178" s="87"/>
      <c r="G1178" s="87"/>
      <c r="H1178" s="87"/>
      <c r="I1178" s="59"/>
      <c r="J1178" s="59"/>
      <c r="K1178" s="59"/>
      <c r="L1178" s="87"/>
      <c r="M1178" s="87"/>
      <c r="N1178" s="100"/>
      <c r="O1178" s="100"/>
    </row>
    <row r="1179" spans="1:15">
      <c r="A1179" s="87"/>
      <c r="B1179" s="87"/>
      <c r="C1179" s="18"/>
      <c r="D1179" s="18"/>
      <c r="E1179" s="18"/>
      <c r="F1179" s="87"/>
      <c r="G1179" s="87"/>
      <c r="H1179" s="87"/>
      <c r="I1179" s="59"/>
      <c r="J1179" s="59"/>
      <c r="K1179" s="59"/>
      <c r="L1179" s="87"/>
      <c r="M1179" s="87"/>
      <c r="N1179" s="100"/>
      <c r="O1179" s="100"/>
    </row>
    <row r="1180" spans="1:15">
      <c r="A1180" s="87"/>
      <c r="B1180" s="87"/>
      <c r="C1180" s="18"/>
      <c r="D1180" s="18"/>
      <c r="E1180" s="18"/>
      <c r="F1180" s="87"/>
      <c r="G1180" s="87"/>
      <c r="H1180" s="87"/>
      <c r="I1180" s="59"/>
      <c r="J1180" s="59"/>
      <c r="K1180" s="59"/>
      <c r="L1180" s="87"/>
      <c r="M1180" s="87"/>
      <c r="N1180" s="100"/>
      <c r="O1180" s="100"/>
    </row>
    <row r="1181" spans="1:15">
      <c r="A1181" s="87"/>
      <c r="B1181" s="87"/>
      <c r="C1181" s="18"/>
      <c r="D1181" s="18"/>
      <c r="E1181" s="18"/>
      <c r="F1181" s="87"/>
      <c r="G1181" s="87"/>
      <c r="H1181" s="87"/>
      <c r="I1181" s="59"/>
      <c r="J1181" s="59"/>
      <c r="K1181" s="59"/>
      <c r="L1181" s="87"/>
      <c r="M1181" s="87"/>
      <c r="N1181" s="100"/>
      <c r="O1181" s="100"/>
    </row>
    <row r="1182" spans="1:15">
      <c r="A1182" s="87"/>
      <c r="B1182" s="87"/>
      <c r="C1182" s="18"/>
      <c r="D1182" s="18"/>
      <c r="E1182" s="18"/>
      <c r="F1182" s="87"/>
      <c r="G1182" s="87"/>
      <c r="H1182" s="87"/>
      <c r="I1182" s="59"/>
      <c r="J1182" s="59"/>
      <c r="K1182" s="59"/>
      <c r="L1182" s="87"/>
      <c r="M1182" s="87"/>
      <c r="N1182" s="100"/>
      <c r="O1182" s="100"/>
    </row>
    <row r="1183" spans="1:15">
      <c r="A1183" s="87"/>
      <c r="B1183" s="87"/>
      <c r="C1183" s="18"/>
      <c r="D1183" s="18"/>
      <c r="E1183" s="18"/>
      <c r="F1183" s="87"/>
      <c r="G1183" s="87"/>
      <c r="H1183" s="87"/>
      <c r="I1183" s="59"/>
      <c r="J1183" s="59"/>
      <c r="K1183" s="59"/>
      <c r="L1183" s="87"/>
      <c r="M1183" s="87"/>
      <c r="N1183" s="100"/>
      <c r="O1183" s="100"/>
    </row>
    <row r="1184" spans="1:15">
      <c r="A1184" s="87"/>
      <c r="B1184" s="87"/>
      <c r="C1184" s="18"/>
      <c r="D1184" s="18"/>
      <c r="E1184" s="18"/>
      <c r="F1184" s="87"/>
      <c r="G1184" s="87"/>
      <c r="H1184" s="87"/>
      <c r="I1184" s="59"/>
      <c r="J1184" s="59"/>
      <c r="K1184" s="59"/>
      <c r="L1184" s="87"/>
      <c r="M1184" s="87"/>
      <c r="N1184" s="100"/>
      <c r="O1184" s="100"/>
    </row>
    <row r="1185" spans="1:15">
      <c r="A1185" s="87"/>
      <c r="B1185" s="87"/>
      <c r="C1185" s="18"/>
      <c r="D1185" s="18"/>
      <c r="E1185" s="18"/>
      <c r="F1185" s="87"/>
      <c r="G1185" s="87"/>
      <c r="H1185" s="87"/>
      <c r="I1185" s="59"/>
      <c r="J1185" s="59"/>
      <c r="K1185" s="59"/>
      <c r="L1185" s="87"/>
      <c r="M1185" s="87"/>
      <c r="N1185" s="100"/>
      <c r="O1185" s="100"/>
    </row>
    <row r="1186" spans="1:15">
      <c r="A1186" s="87"/>
      <c r="B1186" s="87"/>
      <c r="C1186" s="18"/>
      <c r="D1186" s="18"/>
      <c r="E1186" s="18"/>
      <c r="F1186" s="87"/>
      <c r="G1186" s="87"/>
      <c r="H1186" s="87"/>
      <c r="I1186" s="59"/>
      <c r="J1186" s="59"/>
      <c r="K1186" s="59"/>
      <c r="L1186" s="87"/>
      <c r="M1186" s="87"/>
      <c r="N1186" s="100"/>
      <c r="O1186" s="100"/>
    </row>
    <row r="1187" spans="1:15">
      <c r="A1187" s="87"/>
      <c r="B1187" s="87"/>
      <c r="C1187" s="18"/>
      <c r="D1187" s="18"/>
      <c r="E1187" s="18"/>
      <c r="F1187" s="87"/>
      <c r="G1187" s="87"/>
      <c r="H1187" s="87"/>
      <c r="I1187" s="59"/>
      <c r="J1187" s="59"/>
      <c r="K1187" s="59"/>
      <c r="L1187" s="87"/>
      <c r="M1187" s="87"/>
      <c r="N1187" s="100"/>
      <c r="O1187" s="100"/>
    </row>
    <row r="1188" spans="1:15">
      <c r="A1188" s="87"/>
      <c r="B1188" s="87"/>
      <c r="C1188" s="18"/>
      <c r="D1188" s="18"/>
      <c r="E1188" s="18"/>
      <c r="F1188" s="87"/>
      <c r="G1188" s="87"/>
      <c r="H1188" s="87"/>
      <c r="I1188" s="59"/>
      <c r="J1188" s="59"/>
      <c r="K1188" s="59"/>
      <c r="L1188" s="87"/>
      <c r="M1188" s="87"/>
      <c r="N1188" s="100"/>
      <c r="O1188" s="100"/>
    </row>
    <row r="1189" spans="1:15">
      <c r="A1189" s="87"/>
      <c r="B1189" s="87"/>
      <c r="C1189" s="18"/>
      <c r="D1189" s="18"/>
      <c r="E1189" s="18"/>
      <c r="F1189" s="87"/>
      <c r="G1189" s="87"/>
      <c r="H1189" s="87"/>
      <c r="I1189" s="59"/>
      <c r="J1189" s="59"/>
      <c r="K1189" s="59"/>
      <c r="L1189" s="87"/>
      <c r="M1189" s="87"/>
      <c r="N1189" s="100"/>
      <c r="O1189" s="100"/>
    </row>
    <row r="1190" spans="1:15">
      <c r="A1190" s="87"/>
      <c r="B1190" s="87"/>
      <c r="C1190" s="18"/>
      <c r="D1190" s="18"/>
      <c r="E1190" s="18"/>
      <c r="F1190" s="87"/>
      <c r="G1190" s="87"/>
      <c r="H1190" s="87"/>
      <c r="I1190" s="59"/>
      <c r="J1190" s="59"/>
      <c r="K1190" s="59"/>
      <c r="L1190" s="87"/>
      <c r="M1190" s="87"/>
      <c r="N1190" s="100"/>
      <c r="O1190" s="100"/>
    </row>
    <row r="1191" spans="1:15">
      <c r="A1191" s="87"/>
      <c r="B1191" s="87"/>
      <c r="C1191" s="18"/>
      <c r="D1191" s="18"/>
      <c r="E1191" s="18"/>
      <c r="F1191" s="87"/>
      <c r="G1191" s="87"/>
      <c r="H1191" s="87"/>
      <c r="I1191" s="59"/>
      <c r="J1191" s="59"/>
      <c r="K1191" s="59"/>
      <c r="L1191" s="87"/>
      <c r="M1191" s="87"/>
      <c r="N1191" s="100"/>
      <c r="O1191" s="100"/>
    </row>
    <row r="1192" spans="1:15">
      <c r="A1192" s="87"/>
      <c r="B1192" s="87"/>
      <c r="C1192" s="18"/>
      <c r="D1192" s="18"/>
      <c r="E1192" s="18"/>
      <c r="F1192" s="87"/>
      <c r="G1192" s="87"/>
      <c r="H1192" s="87"/>
      <c r="I1192" s="59"/>
      <c r="J1192" s="59"/>
      <c r="K1192" s="59"/>
      <c r="L1192" s="87"/>
      <c r="M1192" s="87"/>
      <c r="N1192" s="100"/>
      <c r="O1192" s="100"/>
    </row>
    <row r="1193" spans="1:15">
      <c r="A1193" s="87"/>
      <c r="B1193" s="87"/>
      <c r="C1193" s="18"/>
      <c r="D1193" s="18"/>
      <c r="E1193" s="18"/>
      <c r="F1193" s="87"/>
      <c r="G1193" s="87"/>
      <c r="H1193" s="87"/>
      <c r="I1193" s="59"/>
      <c r="J1193" s="59"/>
      <c r="K1193" s="59"/>
      <c r="L1193" s="87"/>
      <c r="M1193" s="87"/>
      <c r="N1193" s="100"/>
      <c r="O1193" s="100"/>
    </row>
    <row r="1194" spans="1:15">
      <c r="A1194" s="87"/>
      <c r="B1194" s="87"/>
      <c r="C1194" s="18"/>
      <c r="D1194" s="18"/>
      <c r="E1194" s="18"/>
      <c r="F1194" s="87"/>
      <c r="G1194" s="87"/>
      <c r="H1194" s="87"/>
      <c r="I1194" s="59"/>
      <c r="J1194" s="59"/>
      <c r="K1194" s="59"/>
      <c r="L1194" s="87"/>
      <c r="M1194" s="87"/>
      <c r="N1194" s="100"/>
      <c r="O1194" s="100"/>
    </row>
    <row r="1195" spans="1:15">
      <c r="A1195" s="87"/>
      <c r="B1195" s="87"/>
      <c r="C1195" s="18"/>
      <c r="D1195" s="18"/>
      <c r="E1195" s="18"/>
      <c r="F1195" s="87"/>
      <c r="G1195" s="87"/>
      <c r="H1195" s="87"/>
      <c r="I1195" s="59"/>
      <c r="J1195" s="59"/>
      <c r="K1195" s="59"/>
      <c r="L1195" s="87"/>
      <c r="M1195" s="87"/>
      <c r="N1195" s="100"/>
      <c r="O1195" s="100"/>
    </row>
    <row r="1196" spans="1:15">
      <c r="A1196" s="87"/>
      <c r="B1196" s="87"/>
      <c r="C1196" s="18"/>
      <c r="D1196" s="18"/>
      <c r="E1196" s="18"/>
      <c r="F1196" s="87"/>
      <c r="G1196" s="87"/>
      <c r="H1196" s="87"/>
      <c r="I1196" s="59"/>
      <c r="J1196" s="59"/>
      <c r="K1196" s="59"/>
      <c r="L1196" s="87"/>
      <c r="M1196" s="87"/>
      <c r="N1196" s="100"/>
      <c r="O1196" s="100"/>
    </row>
    <row r="1197" spans="1:15">
      <c r="A1197" s="87"/>
      <c r="B1197" s="87"/>
      <c r="C1197" s="18"/>
      <c r="D1197" s="18"/>
      <c r="E1197" s="18"/>
      <c r="F1197" s="87"/>
      <c r="G1197" s="87"/>
      <c r="H1197" s="87"/>
      <c r="I1197" s="59"/>
      <c r="J1197" s="59"/>
      <c r="K1197" s="59"/>
      <c r="L1197" s="87"/>
      <c r="M1197" s="87"/>
      <c r="N1197" s="100"/>
      <c r="O1197" s="100"/>
    </row>
    <row r="1198" spans="1:15">
      <c r="A1198" s="87"/>
      <c r="B1198" s="87"/>
      <c r="C1198" s="18"/>
      <c r="D1198" s="18"/>
      <c r="E1198" s="18"/>
      <c r="F1198" s="87"/>
      <c r="G1198" s="87"/>
      <c r="H1198" s="87"/>
      <c r="I1198" s="59"/>
      <c r="J1198" s="59"/>
      <c r="K1198" s="59"/>
      <c r="L1198" s="87"/>
      <c r="M1198" s="87"/>
      <c r="N1198" s="100"/>
      <c r="O1198" s="100"/>
    </row>
    <row r="1199" spans="1:15">
      <c r="A1199" s="87"/>
      <c r="B1199" s="87"/>
      <c r="C1199" s="18"/>
      <c r="D1199" s="18"/>
      <c r="E1199" s="18"/>
      <c r="F1199" s="87"/>
      <c r="G1199" s="87"/>
      <c r="H1199" s="87"/>
      <c r="I1199" s="59"/>
      <c r="J1199" s="59"/>
      <c r="K1199" s="59"/>
      <c r="L1199" s="87"/>
      <c r="M1199" s="87"/>
      <c r="N1199" s="100"/>
      <c r="O1199" s="100"/>
    </row>
    <row r="1200" spans="1:15">
      <c r="A1200" s="87"/>
      <c r="B1200" s="87"/>
      <c r="C1200" s="18"/>
      <c r="D1200" s="18"/>
      <c r="E1200" s="18"/>
      <c r="F1200" s="87"/>
      <c r="G1200" s="87"/>
      <c r="H1200" s="87"/>
      <c r="I1200" s="59"/>
      <c r="J1200" s="59"/>
      <c r="K1200" s="59"/>
      <c r="L1200" s="87"/>
      <c r="M1200" s="87"/>
      <c r="N1200" s="100"/>
      <c r="O1200" s="100"/>
    </row>
    <row r="1201" spans="1:15">
      <c r="A1201" s="87"/>
      <c r="B1201" s="87"/>
      <c r="C1201" s="18"/>
      <c r="D1201" s="18"/>
      <c r="E1201" s="18"/>
      <c r="F1201" s="87"/>
      <c r="G1201" s="87"/>
      <c r="H1201" s="87"/>
      <c r="I1201" s="59"/>
      <c r="J1201" s="59"/>
      <c r="K1201" s="59"/>
      <c r="L1201" s="87"/>
      <c r="M1201" s="87"/>
      <c r="N1201" s="100"/>
      <c r="O1201" s="100"/>
    </row>
    <row r="1202" spans="1:15">
      <c r="A1202" s="87"/>
      <c r="B1202" s="87"/>
      <c r="C1202" s="18"/>
      <c r="D1202" s="18"/>
      <c r="E1202" s="18"/>
      <c r="F1202" s="87"/>
      <c r="G1202" s="87"/>
      <c r="H1202" s="87"/>
      <c r="I1202" s="59"/>
      <c r="J1202" s="59"/>
      <c r="K1202" s="59"/>
      <c r="L1202" s="87"/>
      <c r="M1202" s="87"/>
      <c r="N1202" s="100"/>
      <c r="O1202" s="100"/>
    </row>
    <row r="1203" spans="1:15">
      <c r="A1203" s="87"/>
      <c r="B1203" s="87"/>
      <c r="C1203" s="18"/>
      <c r="D1203" s="18"/>
      <c r="E1203" s="18"/>
      <c r="F1203" s="87"/>
      <c r="G1203" s="87"/>
      <c r="H1203" s="87"/>
      <c r="I1203" s="59"/>
      <c r="J1203" s="59"/>
      <c r="K1203" s="59"/>
      <c r="L1203" s="87"/>
      <c r="M1203" s="87"/>
      <c r="N1203" s="100"/>
      <c r="O1203" s="100"/>
    </row>
    <row r="1204" spans="1:15">
      <c r="A1204" s="87"/>
      <c r="B1204" s="87"/>
      <c r="C1204" s="18"/>
      <c r="D1204" s="18"/>
      <c r="E1204" s="18"/>
      <c r="F1204" s="87"/>
      <c r="G1204" s="87"/>
      <c r="H1204" s="87"/>
      <c r="I1204" s="59"/>
      <c r="J1204" s="59"/>
      <c r="K1204" s="59"/>
      <c r="L1204" s="87"/>
      <c r="M1204" s="87"/>
      <c r="N1204" s="100"/>
      <c r="O1204" s="100"/>
    </row>
    <row r="1205" spans="1:15">
      <c r="A1205" s="87"/>
      <c r="B1205" s="87"/>
      <c r="C1205" s="18"/>
      <c r="D1205" s="18"/>
      <c r="E1205" s="18"/>
      <c r="F1205" s="87"/>
      <c r="G1205" s="87"/>
      <c r="H1205" s="87"/>
      <c r="I1205" s="59"/>
      <c r="J1205" s="59"/>
      <c r="K1205" s="59"/>
      <c r="L1205" s="87"/>
      <c r="M1205" s="87"/>
      <c r="N1205" s="100"/>
      <c r="O1205" s="100"/>
    </row>
    <row r="1206" spans="1:15">
      <c r="A1206" s="87"/>
      <c r="B1206" s="87"/>
      <c r="C1206" s="18"/>
      <c r="D1206" s="18"/>
      <c r="E1206" s="18"/>
      <c r="F1206" s="87"/>
      <c r="G1206" s="87"/>
      <c r="H1206" s="87"/>
      <c r="I1206" s="59"/>
      <c r="J1206" s="59"/>
      <c r="K1206" s="59"/>
      <c r="L1206" s="87"/>
      <c r="M1206" s="87"/>
      <c r="N1206" s="100"/>
      <c r="O1206" s="100"/>
    </row>
    <row r="1207" spans="1:15">
      <c r="A1207" s="87"/>
      <c r="B1207" s="87"/>
      <c r="C1207" s="18"/>
      <c r="D1207" s="18"/>
      <c r="E1207" s="18"/>
      <c r="F1207" s="87"/>
      <c r="G1207" s="87"/>
      <c r="H1207" s="87"/>
      <c r="I1207" s="59"/>
      <c r="J1207" s="59"/>
      <c r="K1207" s="59"/>
      <c r="L1207" s="87"/>
      <c r="M1207" s="87"/>
      <c r="N1207" s="100"/>
      <c r="O1207" s="100"/>
    </row>
    <row r="1208" spans="1:15">
      <c r="A1208" s="87"/>
      <c r="B1208" s="87"/>
      <c r="C1208" s="18"/>
      <c r="D1208" s="18"/>
      <c r="E1208" s="18"/>
      <c r="F1208" s="87"/>
      <c r="G1208" s="87"/>
      <c r="H1208" s="87"/>
      <c r="I1208" s="59"/>
      <c r="J1208" s="59"/>
      <c r="K1208" s="59"/>
      <c r="L1208" s="87"/>
      <c r="M1208" s="87"/>
      <c r="N1208" s="100"/>
      <c r="O1208" s="100"/>
    </row>
    <row r="1209" spans="1:15">
      <c r="A1209" s="87"/>
      <c r="B1209" s="87"/>
      <c r="C1209" s="18"/>
      <c r="D1209" s="18"/>
      <c r="E1209" s="18"/>
      <c r="F1209" s="87"/>
      <c r="G1209" s="87"/>
      <c r="H1209" s="87"/>
      <c r="I1209" s="59"/>
      <c r="J1209" s="59"/>
      <c r="K1209" s="59"/>
      <c r="L1209" s="87"/>
      <c r="M1209" s="87"/>
      <c r="N1209" s="100"/>
      <c r="O1209" s="100"/>
    </row>
    <row r="1210" spans="1:15">
      <c r="A1210" s="87"/>
      <c r="B1210" s="87"/>
      <c r="C1210" s="18"/>
      <c r="D1210" s="18"/>
      <c r="E1210" s="18"/>
      <c r="F1210" s="87"/>
      <c r="G1210" s="87"/>
      <c r="H1210" s="87"/>
      <c r="I1210" s="59"/>
      <c r="J1210" s="59"/>
      <c r="K1210" s="59"/>
      <c r="L1210" s="87"/>
      <c r="M1210" s="87"/>
      <c r="N1210" s="100"/>
      <c r="O1210" s="100"/>
    </row>
    <row r="1211" spans="1:15">
      <c r="A1211" s="87"/>
      <c r="B1211" s="87"/>
      <c r="C1211" s="18"/>
      <c r="D1211" s="18"/>
      <c r="E1211" s="18"/>
      <c r="F1211" s="87"/>
      <c r="G1211" s="87"/>
      <c r="H1211" s="87"/>
      <c r="I1211" s="59"/>
      <c r="J1211" s="59"/>
      <c r="K1211" s="59"/>
      <c r="L1211" s="87"/>
      <c r="M1211" s="87"/>
      <c r="N1211" s="100"/>
      <c r="O1211" s="100"/>
    </row>
    <row r="1212" spans="1:15">
      <c r="A1212" s="87"/>
      <c r="B1212" s="87"/>
      <c r="C1212" s="18"/>
      <c r="D1212" s="18"/>
      <c r="E1212" s="18"/>
      <c r="F1212" s="87"/>
      <c r="G1212" s="87"/>
      <c r="H1212" s="87"/>
      <c r="I1212" s="59"/>
      <c r="J1212" s="59"/>
      <c r="K1212" s="59"/>
      <c r="L1212" s="87"/>
      <c r="M1212" s="87"/>
      <c r="N1212" s="100"/>
      <c r="O1212" s="100"/>
    </row>
    <row r="1213" spans="1:15">
      <c r="A1213" s="87"/>
      <c r="B1213" s="87"/>
      <c r="C1213" s="18"/>
      <c r="D1213" s="18"/>
      <c r="E1213" s="18"/>
      <c r="F1213" s="87"/>
      <c r="G1213" s="87"/>
      <c r="H1213" s="87"/>
      <c r="I1213" s="59"/>
      <c r="J1213" s="59"/>
      <c r="K1213" s="59"/>
      <c r="L1213" s="87"/>
      <c r="M1213" s="87"/>
      <c r="N1213" s="100"/>
      <c r="O1213" s="100"/>
    </row>
    <row r="1214" spans="1:15">
      <c r="A1214" s="87"/>
      <c r="B1214" s="87"/>
      <c r="C1214" s="18"/>
      <c r="D1214" s="18"/>
      <c r="E1214" s="18"/>
      <c r="F1214" s="87"/>
      <c r="G1214" s="87"/>
      <c r="H1214" s="87"/>
      <c r="I1214" s="59"/>
      <c r="J1214" s="59"/>
      <c r="K1214" s="59"/>
      <c r="L1214" s="87"/>
      <c r="M1214" s="87"/>
      <c r="N1214" s="100"/>
      <c r="O1214" s="100"/>
    </row>
    <row r="1215" spans="1:15">
      <c r="A1215" s="87"/>
      <c r="B1215" s="87"/>
      <c r="C1215" s="18"/>
      <c r="D1215" s="18"/>
      <c r="E1215" s="18"/>
      <c r="F1215" s="87"/>
      <c r="G1215" s="87"/>
      <c r="H1215" s="87"/>
      <c r="I1215" s="59"/>
      <c r="J1215" s="59"/>
      <c r="K1215" s="59"/>
      <c r="L1215" s="87"/>
      <c r="M1215" s="87"/>
      <c r="N1215" s="100"/>
      <c r="O1215" s="100"/>
    </row>
    <row r="1216" spans="1:15">
      <c r="A1216" s="87"/>
      <c r="B1216" s="87"/>
      <c r="C1216" s="18"/>
      <c r="D1216" s="18"/>
      <c r="E1216" s="18"/>
      <c r="F1216" s="87"/>
      <c r="G1216" s="87"/>
      <c r="H1216" s="87"/>
      <c r="I1216" s="59"/>
      <c r="J1216" s="59"/>
      <c r="K1216" s="59"/>
      <c r="L1216" s="87"/>
      <c r="M1216" s="87"/>
      <c r="N1216" s="100"/>
      <c r="O1216" s="100"/>
    </row>
    <row r="1217" spans="1:15">
      <c r="A1217" s="87"/>
      <c r="B1217" s="87"/>
      <c r="C1217" s="18"/>
      <c r="D1217" s="18"/>
      <c r="E1217" s="18"/>
      <c r="F1217" s="87"/>
      <c r="G1217" s="87"/>
      <c r="H1217" s="87"/>
      <c r="I1217" s="59"/>
      <c r="J1217" s="59"/>
      <c r="K1217" s="59"/>
      <c r="L1217" s="87"/>
      <c r="M1217" s="87"/>
      <c r="N1217" s="100"/>
      <c r="O1217" s="100"/>
    </row>
    <row r="1218" spans="1:15">
      <c r="A1218" s="87"/>
      <c r="B1218" s="87"/>
      <c r="C1218" s="18"/>
      <c r="D1218" s="18"/>
      <c r="E1218" s="18"/>
      <c r="F1218" s="87"/>
      <c r="G1218" s="87"/>
      <c r="H1218" s="87"/>
      <c r="I1218" s="59"/>
      <c r="J1218" s="59"/>
      <c r="K1218" s="59"/>
      <c r="L1218" s="87"/>
      <c r="M1218" s="87"/>
      <c r="N1218" s="100"/>
      <c r="O1218" s="100"/>
    </row>
    <row r="1219" spans="1:15">
      <c r="A1219" s="87"/>
      <c r="B1219" s="87"/>
      <c r="C1219" s="18"/>
      <c r="D1219" s="18"/>
      <c r="E1219" s="18"/>
      <c r="F1219" s="87"/>
      <c r="G1219" s="87"/>
      <c r="H1219" s="87"/>
      <c r="I1219" s="59"/>
      <c r="J1219" s="59"/>
      <c r="K1219" s="59"/>
      <c r="L1219" s="87"/>
      <c r="M1219" s="87"/>
      <c r="N1219" s="100"/>
      <c r="O1219" s="100"/>
    </row>
    <row r="1220" spans="1:15">
      <c r="A1220" s="87"/>
      <c r="B1220" s="87"/>
      <c r="C1220" s="18"/>
      <c r="D1220" s="18"/>
      <c r="E1220" s="18"/>
      <c r="F1220" s="87"/>
      <c r="G1220" s="87"/>
      <c r="H1220" s="87"/>
      <c r="I1220" s="59"/>
      <c r="J1220" s="59"/>
      <c r="K1220" s="59"/>
      <c r="L1220" s="87"/>
      <c r="M1220" s="87"/>
      <c r="N1220" s="100"/>
      <c r="O1220" s="100"/>
    </row>
    <row r="1221" spans="1:15">
      <c r="A1221" s="87"/>
      <c r="B1221" s="87"/>
      <c r="C1221" s="18"/>
      <c r="D1221" s="18"/>
      <c r="E1221" s="18"/>
      <c r="F1221" s="87"/>
      <c r="G1221" s="87"/>
      <c r="H1221" s="87"/>
      <c r="I1221" s="59"/>
      <c r="J1221" s="59"/>
      <c r="K1221" s="59"/>
      <c r="L1221" s="87"/>
      <c r="M1221" s="87"/>
      <c r="N1221" s="100"/>
      <c r="O1221" s="100"/>
    </row>
    <row r="1222" spans="1:15">
      <c r="A1222" s="87"/>
      <c r="B1222" s="87"/>
      <c r="C1222" s="18"/>
      <c r="D1222" s="18"/>
      <c r="E1222" s="18"/>
      <c r="F1222" s="87"/>
      <c r="G1222" s="87"/>
      <c r="H1222" s="87"/>
      <c r="I1222" s="59"/>
      <c r="J1222" s="59"/>
      <c r="K1222" s="59"/>
      <c r="L1222" s="87"/>
      <c r="M1222" s="87"/>
      <c r="N1222" s="100"/>
      <c r="O1222" s="100"/>
    </row>
    <row r="1223" spans="1:15">
      <c r="A1223" s="87"/>
      <c r="B1223" s="87"/>
      <c r="C1223" s="18"/>
      <c r="D1223" s="18"/>
      <c r="E1223" s="18"/>
      <c r="F1223" s="87"/>
      <c r="G1223" s="87"/>
      <c r="H1223" s="87"/>
      <c r="I1223" s="59"/>
      <c r="J1223" s="59"/>
      <c r="K1223" s="59"/>
      <c r="L1223" s="87"/>
      <c r="M1223" s="87"/>
      <c r="N1223" s="100"/>
      <c r="O1223" s="100"/>
    </row>
    <row r="1224" spans="1:15">
      <c r="A1224" s="87"/>
      <c r="B1224" s="87"/>
      <c r="C1224" s="18"/>
      <c r="D1224" s="18"/>
      <c r="E1224" s="18"/>
      <c r="F1224" s="87"/>
      <c r="G1224" s="87"/>
      <c r="H1224" s="87"/>
      <c r="I1224" s="59"/>
      <c r="J1224" s="59"/>
      <c r="K1224" s="59"/>
      <c r="L1224" s="87"/>
      <c r="M1224" s="87"/>
      <c r="N1224" s="100"/>
      <c r="O1224" s="100"/>
    </row>
    <row r="1225" spans="1:15">
      <c r="A1225" s="87"/>
      <c r="B1225" s="87"/>
      <c r="C1225" s="18"/>
      <c r="D1225" s="18"/>
      <c r="E1225" s="18"/>
      <c r="F1225" s="87"/>
      <c r="G1225" s="87"/>
      <c r="H1225" s="87"/>
      <c r="I1225" s="59"/>
      <c r="J1225" s="59"/>
      <c r="K1225" s="59"/>
      <c r="L1225" s="87"/>
      <c r="M1225" s="87"/>
      <c r="N1225" s="100"/>
      <c r="O1225" s="100"/>
    </row>
    <row r="1226" spans="1:15">
      <c r="A1226" s="87"/>
      <c r="B1226" s="87"/>
      <c r="C1226" s="18"/>
      <c r="D1226" s="18"/>
      <c r="E1226" s="18"/>
      <c r="F1226" s="87"/>
      <c r="G1226" s="87"/>
      <c r="H1226" s="87"/>
      <c r="I1226" s="59"/>
      <c r="J1226" s="59"/>
      <c r="K1226" s="59"/>
      <c r="L1226" s="87"/>
      <c r="M1226" s="87"/>
      <c r="N1226" s="100"/>
      <c r="O1226" s="100"/>
    </row>
    <row r="1227" spans="1:15">
      <c r="A1227" s="87"/>
      <c r="B1227" s="87"/>
      <c r="C1227" s="18"/>
      <c r="D1227" s="18"/>
      <c r="E1227" s="18"/>
      <c r="F1227" s="87"/>
      <c r="G1227" s="87"/>
      <c r="H1227" s="87"/>
      <c r="I1227" s="59"/>
      <c r="J1227" s="59"/>
      <c r="K1227" s="59"/>
      <c r="L1227" s="87"/>
      <c r="M1227" s="87"/>
      <c r="N1227" s="100"/>
      <c r="O1227" s="100"/>
    </row>
    <row r="1228" spans="1:15">
      <c r="A1228" s="87"/>
      <c r="B1228" s="87"/>
      <c r="C1228" s="18"/>
      <c r="D1228" s="18"/>
      <c r="E1228" s="18"/>
      <c r="F1228" s="87"/>
      <c r="G1228" s="87"/>
      <c r="H1228" s="87"/>
      <c r="I1228" s="59"/>
      <c r="J1228" s="59"/>
      <c r="K1228" s="59"/>
      <c r="L1228" s="87"/>
      <c r="M1228" s="87"/>
      <c r="N1228" s="100"/>
      <c r="O1228" s="100"/>
    </row>
    <row r="1229" spans="1:15">
      <c r="A1229" s="87"/>
      <c r="B1229" s="87"/>
      <c r="C1229" s="18"/>
      <c r="D1229" s="18"/>
      <c r="E1229" s="18"/>
      <c r="F1229" s="87"/>
      <c r="G1229" s="87"/>
      <c r="H1229" s="87"/>
      <c r="I1229" s="59"/>
      <c r="J1229" s="59"/>
      <c r="K1229" s="59"/>
      <c r="L1229" s="87"/>
      <c r="M1229" s="87"/>
      <c r="N1229" s="100"/>
      <c r="O1229" s="100"/>
    </row>
    <row r="1230" spans="1:15">
      <c r="A1230" s="87"/>
      <c r="B1230" s="87"/>
      <c r="C1230" s="18"/>
      <c r="D1230" s="18"/>
      <c r="E1230" s="18"/>
      <c r="F1230" s="87"/>
      <c r="G1230" s="87"/>
      <c r="H1230" s="87"/>
      <c r="I1230" s="59"/>
      <c r="J1230" s="59"/>
      <c r="K1230" s="59"/>
      <c r="L1230" s="87"/>
      <c r="M1230" s="87"/>
      <c r="N1230" s="100"/>
      <c r="O1230" s="100"/>
    </row>
    <row r="1231" spans="1:15">
      <c r="A1231" s="87"/>
      <c r="B1231" s="87"/>
      <c r="C1231" s="18"/>
      <c r="D1231" s="18"/>
      <c r="E1231" s="18"/>
      <c r="F1231" s="87"/>
      <c r="G1231" s="87"/>
      <c r="H1231" s="87"/>
      <c r="I1231" s="59"/>
      <c r="J1231" s="59"/>
      <c r="K1231" s="59"/>
      <c r="L1231" s="87"/>
      <c r="M1231" s="87"/>
      <c r="N1231" s="100"/>
      <c r="O1231" s="100"/>
    </row>
    <row r="1232" spans="1:15">
      <c r="A1232" s="87"/>
      <c r="B1232" s="87"/>
      <c r="C1232" s="18"/>
      <c r="D1232" s="18"/>
      <c r="E1232" s="18"/>
      <c r="F1232" s="87"/>
      <c r="G1232" s="87"/>
      <c r="H1232" s="87"/>
      <c r="I1232" s="59"/>
      <c r="J1232" s="59"/>
      <c r="K1232" s="59"/>
      <c r="L1232" s="87"/>
      <c r="M1232" s="87"/>
      <c r="N1232" s="100"/>
      <c r="O1232" s="100"/>
    </row>
    <row r="1233" spans="1:15">
      <c r="A1233" s="87"/>
      <c r="B1233" s="87"/>
      <c r="C1233" s="18"/>
      <c r="D1233" s="18"/>
      <c r="E1233" s="18"/>
      <c r="F1233" s="87"/>
      <c r="G1233" s="87"/>
      <c r="H1233" s="87"/>
      <c r="I1233" s="59"/>
      <c r="J1233" s="59"/>
      <c r="K1233" s="59"/>
      <c r="L1233" s="87"/>
      <c r="M1233" s="87"/>
      <c r="N1233" s="100"/>
      <c r="O1233" s="100"/>
    </row>
    <row r="1234" spans="1:15">
      <c r="A1234" s="87"/>
      <c r="B1234" s="87"/>
      <c r="C1234" s="18"/>
      <c r="D1234" s="18"/>
      <c r="E1234" s="18"/>
      <c r="F1234" s="87"/>
      <c r="G1234" s="87"/>
      <c r="H1234" s="87"/>
      <c r="I1234" s="59"/>
      <c r="J1234" s="59"/>
      <c r="K1234" s="59"/>
      <c r="L1234" s="87"/>
      <c r="M1234" s="87"/>
      <c r="N1234" s="100"/>
      <c r="O1234" s="100"/>
    </row>
    <row r="1235" spans="1:15">
      <c r="A1235" s="87"/>
      <c r="B1235" s="87"/>
      <c r="C1235" s="18"/>
      <c r="D1235" s="18"/>
      <c r="E1235" s="18"/>
      <c r="F1235" s="87"/>
      <c r="G1235" s="87"/>
      <c r="H1235" s="87"/>
      <c r="I1235" s="59"/>
      <c r="J1235" s="59"/>
      <c r="K1235" s="59"/>
      <c r="L1235" s="87"/>
      <c r="M1235" s="87"/>
      <c r="N1235" s="100"/>
      <c r="O1235" s="100"/>
    </row>
    <row r="1236" spans="1:15">
      <c r="A1236" s="87"/>
      <c r="B1236" s="87"/>
      <c r="C1236" s="18"/>
      <c r="D1236" s="18"/>
      <c r="E1236" s="18"/>
      <c r="F1236" s="87"/>
      <c r="G1236" s="87"/>
      <c r="H1236" s="87"/>
      <c r="I1236" s="59"/>
      <c r="J1236" s="59"/>
      <c r="K1236" s="59"/>
      <c r="L1236" s="87"/>
      <c r="M1236" s="87"/>
      <c r="N1236" s="100"/>
      <c r="O1236" s="100"/>
    </row>
    <row r="1237" spans="1:15">
      <c r="A1237" s="87"/>
      <c r="B1237" s="87"/>
      <c r="C1237" s="18"/>
      <c r="D1237" s="18"/>
      <c r="E1237" s="18"/>
      <c r="F1237" s="87"/>
      <c r="G1237" s="87"/>
      <c r="H1237" s="87"/>
      <c r="I1237" s="59"/>
      <c r="J1237" s="59"/>
      <c r="K1237" s="59"/>
      <c r="L1237" s="87"/>
      <c r="M1237" s="87"/>
      <c r="N1237" s="100"/>
      <c r="O1237" s="100"/>
    </row>
    <row r="1238" spans="1:15">
      <c r="A1238" s="87"/>
      <c r="B1238" s="87"/>
      <c r="C1238" s="18"/>
      <c r="D1238" s="18"/>
      <c r="E1238" s="18"/>
      <c r="F1238" s="87"/>
      <c r="G1238" s="87"/>
      <c r="H1238" s="87"/>
      <c r="I1238" s="59"/>
      <c r="J1238" s="59"/>
      <c r="K1238" s="59"/>
      <c r="L1238" s="87"/>
      <c r="M1238" s="87"/>
      <c r="N1238" s="100"/>
      <c r="O1238" s="100"/>
    </row>
    <row r="1239" spans="1:15">
      <c r="A1239" s="87"/>
      <c r="B1239" s="87"/>
      <c r="C1239" s="18"/>
      <c r="D1239" s="18"/>
      <c r="E1239" s="18"/>
      <c r="F1239" s="87"/>
      <c r="G1239" s="87"/>
      <c r="H1239" s="87"/>
      <c r="I1239" s="59"/>
      <c r="J1239" s="59"/>
      <c r="K1239" s="59"/>
      <c r="L1239" s="87"/>
      <c r="M1239" s="87"/>
      <c r="N1239" s="100"/>
      <c r="O1239" s="100"/>
    </row>
    <row r="1240" spans="1:15">
      <c r="A1240" s="87"/>
      <c r="B1240" s="87"/>
      <c r="C1240" s="18"/>
      <c r="D1240" s="18"/>
      <c r="E1240" s="18"/>
      <c r="F1240" s="87"/>
      <c r="G1240" s="87"/>
      <c r="H1240" s="87"/>
      <c r="I1240" s="59"/>
      <c r="J1240" s="59"/>
      <c r="K1240" s="59"/>
      <c r="L1240" s="87"/>
      <c r="M1240" s="87"/>
      <c r="N1240" s="100"/>
      <c r="O1240" s="100"/>
    </row>
    <row r="1241" spans="1:15">
      <c r="A1241" s="87"/>
      <c r="B1241" s="87"/>
      <c r="C1241" s="18"/>
      <c r="D1241" s="18"/>
      <c r="E1241" s="18"/>
      <c r="F1241" s="87"/>
      <c r="G1241" s="87"/>
      <c r="H1241" s="87"/>
      <c r="I1241" s="59"/>
      <c r="J1241" s="59"/>
      <c r="K1241" s="59"/>
      <c r="L1241" s="87"/>
      <c r="M1241" s="87"/>
      <c r="N1241" s="100"/>
      <c r="O1241" s="100"/>
    </row>
    <row r="1242" spans="1:15">
      <c r="A1242" s="87"/>
      <c r="B1242" s="87"/>
      <c r="C1242" s="18"/>
      <c r="D1242" s="18"/>
      <c r="E1242" s="18"/>
      <c r="F1242" s="87"/>
      <c r="G1242" s="87"/>
      <c r="H1242" s="87"/>
      <c r="I1242" s="59"/>
      <c r="J1242" s="59"/>
      <c r="K1242" s="59"/>
      <c r="L1242" s="87"/>
      <c r="M1242" s="87"/>
      <c r="N1242" s="100"/>
      <c r="O1242" s="100"/>
    </row>
    <row r="1243" spans="1:15">
      <c r="A1243" s="87"/>
      <c r="B1243" s="87"/>
      <c r="C1243" s="18"/>
      <c r="D1243" s="18"/>
      <c r="E1243" s="18"/>
      <c r="F1243" s="87"/>
      <c r="G1243" s="87"/>
      <c r="H1243" s="87"/>
      <c r="I1243" s="59"/>
      <c r="J1243" s="59"/>
      <c r="K1243" s="59"/>
      <c r="L1243" s="87"/>
      <c r="M1243" s="87"/>
      <c r="N1243" s="100"/>
      <c r="O1243" s="100"/>
    </row>
    <row r="1244" spans="1:15">
      <c r="A1244" s="87"/>
      <c r="B1244" s="87"/>
      <c r="C1244" s="18"/>
      <c r="D1244" s="18"/>
      <c r="E1244" s="18"/>
      <c r="F1244" s="87"/>
      <c r="G1244" s="87"/>
      <c r="H1244" s="87"/>
      <c r="I1244" s="59"/>
      <c r="J1244" s="59"/>
      <c r="K1244" s="59"/>
      <c r="L1244" s="87"/>
      <c r="M1244" s="87"/>
      <c r="N1244" s="100"/>
      <c r="O1244" s="100"/>
    </row>
    <row r="1245" spans="1:15">
      <c r="A1245" s="87"/>
      <c r="B1245" s="87"/>
      <c r="C1245" s="18"/>
      <c r="D1245" s="18"/>
      <c r="E1245" s="18"/>
      <c r="F1245" s="87"/>
      <c r="G1245" s="87"/>
      <c r="H1245" s="87"/>
      <c r="I1245" s="59"/>
      <c r="J1245" s="59"/>
      <c r="K1245" s="59"/>
      <c r="L1245" s="87"/>
      <c r="M1245" s="87"/>
      <c r="N1245" s="100"/>
      <c r="O1245" s="100"/>
    </row>
    <row r="1246" spans="1:15">
      <c r="A1246" s="87"/>
      <c r="B1246" s="87"/>
      <c r="C1246" s="18"/>
      <c r="D1246" s="18"/>
      <c r="E1246" s="18"/>
      <c r="F1246" s="87"/>
      <c r="G1246" s="87"/>
      <c r="H1246" s="87"/>
      <c r="I1246" s="59"/>
      <c r="J1246" s="59"/>
      <c r="K1246" s="59"/>
      <c r="L1246" s="87"/>
      <c r="M1246" s="87"/>
      <c r="N1246" s="100"/>
      <c r="O1246" s="100"/>
    </row>
    <row r="1247" spans="1:15">
      <c r="A1247" s="87"/>
      <c r="B1247" s="87"/>
      <c r="C1247" s="18"/>
      <c r="D1247" s="18"/>
      <c r="E1247" s="18"/>
      <c r="F1247" s="87"/>
      <c r="G1247" s="87"/>
      <c r="H1247" s="87"/>
      <c r="I1247" s="59"/>
      <c r="J1247" s="59"/>
      <c r="K1247" s="59"/>
      <c r="L1247" s="87"/>
      <c r="M1247" s="87"/>
      <c r="N1247" s="100"/>
      <c r="O1247" s="100"/>
    </row>
    <row r="1248" spans="1:15">
      <c r="A1248" s="87"/>
      <c r="B1248" s="87"/>
      <c r="C1248" s="18"/>
      <c r="D1248" s="18"/>
      <c r="E1248" s="18"/>
      <c r="F1248" s="87"/>
      <c r="G1248" s="87"/>
      <c r="H1248" s="87"/>
      <c r="I1248" s="59"/>
      <c r="J1248" s="59"/>
      <c r="K1248" s="59"/>
      <c r="L1248" s="87"/>
      <c r="M1248" s="87"/>
      <c r="N1248" s="100"/>
      <c r="O1248" s="100"/>
    </row>
    <row r="1249" spans="1:15">
      <c r="A1249" s="87"/>
      <c r="B1249" s="87"/>
      <c r="C1249" s="18"/>
      <c r="D1249" s="18"/>
      <c r="E1249" s="18"/>
      <c r="F1249" s="87"/>
      <c r="G1249" s="87"/>
      <c r="H1249" s="87"/>
      <c r="I1249" s="59"/>
      <c r="J1249" s="59"/>
      <c r="K1249" s="59"/>
      <c r="L1249" s="87"/>
      <c r="M1249" s="87"/>
      <c r="N1249" s="100"/>
      <c r="O1249" s="100"/>
    </row>
    <row r="1250" spans="1:15">
      <c r="A1250" s="87"/>
      <c r="B1250" s="87"/>
      <c r="C1250" s="18"/>
      <c r="D1250" s="18"/>
      <c r="E1250" s="18"/>
      <c r="F1250" s="87"/>
      <c r="G1250" s="87"/>
      <c r="H1250" s="87"/>
      <c r="I1250" s="59"/>
      <c r="J1250" s="59"/>
      <c r="K1250" s="59"/>
      <c r="L1250" s="87"/>
      <c r="M1250" s="87"/>
      <c r="N1250" s="100"/>
      <c r="O1250" s="100"/>
    </row>
    <row r="1251" spans="1:15">
      <c r="A1251" s="87"/>
      <c r="B1251" s="87"/>
      <c r="C1251" s="18"/>
      <c r="D1251" s="18"/>
      <c r="E1251" s="18"/>
      <c r="F1251" s="87"/>
      <c r="G1251" s="87"/>
      <c r="H1251" s="87"/>
      <c r="I1251" s="59"/>
      <c r="J1251" s="59"/>
      <c r="K1251" s="59"/>
      <c r="L1251" s="87"/>
      <c r="M1251" s="87"/>
      <c r="N1251" s="100"/>
      <c r="O1251" s="100"/>
    </row>
    <row r="1252" spans="1:15">
      <c r="A1252" s="87"/>
      <c r="B1252" s="87"/>
      <c r="C1252" s="18"/>
      <c r="D1252" s="18"/>
      <c r="E1252" s="18"/>
      <c r="F1252" s="87"/>
      <c r="G1252" s="87"/>
      <c r="H1252" s="87"/>
      <c r="I1252" s="59"/>
      <c r="J1252" s="59"/>
      <c r="K1252" s="59"/>
      <c r="L1252" s="87"/>
      <c r="M1252" s="87"/>
      <c r="N1252" s="100"/>
      <c r="O1252" s="100"/>
    </row>
    <row r="1253" spans="1:15">
      <c r="A1253" s="87"/>
      <c r="B1253" s="87"/>
      <c r="C1253" s="18"/>
      <c r="D1253" s="18"/>
      <c r="E1253" s="18"/>
      <c r="F1253" s="87"/>
      <c r="G1253" s="87"/>
      <c r="H1253" s="87"/>
      <c r="I1253" s="59"/>
      <c r="J1253" s="59"/>
      <c r="K1253" s="59"/>
      <c r="L1253" s="87"/>
      <c r="M1253" s="87"/>
      <c r="N1253" s="100"/>
      <c r="O1253" s="100"/>
    </row>
    <row r="1254" spans="1:15">
      <c r="A1254" s="87"/>
      <c r="B1254" s="87"/>
      <c r="C1254" s="18"/>
      <c r="D1254" s="18"/>
      <c r="E1254" s="18"/>
      <c r="F1254" s="87"/>
      <c r="G1254" s="87"/>
      <c r="H1254" s="87"/>
      <c r="I1254" s="59"/>
      <c r="J1254" s="59"/>
      <c r="K1254" s="59"/>
      <c r="L1254" s="87"/>
      <c r="M1254" s="87"/>
      <c r="N1254" s="100"/>
      <c r="O1254" s="100"/>
    </row>
    <row r="1255" spans="1:15">
      <c r="A1255" s="87"/>
      <c r="B1255" s="87"/>
      <c r="C1255" s="18"/>
      <c r="D1255" s="18"/>
      <c r="E1255" s="18"/>
      <c r="F1255" s="87"/>
      <c r="G1255" s="87"/>
      <c r="H1255" s="87"/>
      <c r="I1255" s="59"/>
      <c r="J1255" s="59"/>
      <c r="K1255" s="59"/>
      <c r="L1255" s="87"/>
      <c r="M1255" s="87"/>
      <c r="N1255" s="100"/>
      <c r="O1255" s="100"/>
    </row>
    <row r="1256" spans="1:15">
      <c r="A1256" s="87"/>
      <c r="B1256" s="87"/>
      <c r="C1256" s="18"/>
      <c r="D1256" s="18"/>
      <c r="E1256" s="18"/>
      <c r="F1256" s="87"/>
      <c r="G1256" s="87"/>
      <c r="H1256" s="87"/>
      <c r="I1256" s="59"/>
      <c r="J1256" s="59"/>
      <c r="K1256" s="59"/>
      <c r="L1256" s="87"/>
      <c r="M1256" s="87"/>
      <c r="N1256" s="100"/>
      <c r="O1256" s="100"/>
    </row>
    <row r="1257" spans="1:15">
      <c r="A1257" s="87"/>
      <c r="B1257" s="87"/>
      <c r="C1257" s="18"/>
      <c r="D1257" s="18"/>
      <c r="E1257" s="18"/>
      <c r="F1257" s="87"/>
      <c r="G1257" s="87"/>
      <c r="H1257" s="87"/>
      <c r="I1257" s="59"/>
      <c r="J1257" s="59"/>
      <c r="K1257" s="59"/>
      <c r="L1257" s="87"/>
      <c r="M1257" s="87"/>
      <c r="N1257" s="100"/>
      <c r="O1257" s="100"/>
    </row>
    <row r="1258" spans="1:15">
      <c r="A1258" s="87"/>
      <c r="B1258" s="87"/>
      <c r="C1258" s="18"/>
      <c r="D1258" s="18"/>
      <c r="E1258" s="18"/>
      <c r="F1258" s="87"/>
      <c r="G1258" s="87"/>
      <c r="H1258" s="87"/>
      <c r="I1258" s="59"/>
      <c r="J1258" s="59"/>
      <c r="K1258" s="59"/>
      <c r="L1258" s="87"/>
      <c r="M1258" s="87"/>
      <c r="N1258" s="100"/>
      <c r="O1258" s="100"/>
    </row>
    <row r="1259" spans="1:15">
      <c r="A1259" s="87"/>
      <c r="B1259" s="87"/>
      <c r="C1259" s="18"/>
      <c r="D1259" s="18"/>
      <c r="E1259" s="18"/>
      <c r="F1259" s="87"/>
      <c r="G1259" s="87"/>
      <c r="H1259" s="87"/>
      <c r="I1259" s="59"/>
      <c r="J1259" s="59"/>
      <c r="K1259" s="59"/>
      <c r="L1259" s="87"/>
      <c r="M1259" s="87"/>
      <c r="N1259" s="100"/>
      <c r="O1259" s="100"/>
    </row>
    <row r="1260" spans="1:15">
      <c r="A1260" s="87"/>
      <c r="B1260" s="87"/>
      <c r="C1260" s="18"/>
      <c r="D1260" s="18"/>
      <c r="E1260" s="18"/>
      <c r="F1260" s="87"/>
      <c r="G1260" s="87"/>
      <c r="H1260" s="87"/>
      <c r="I1260" s="59"/>
      <c r="J1260" s="59"/>
      <c r="K1260" s="59"/>
      <c r="L1260" s="87"/>
      <c r="M1260" s="87"/>
      <c r="N1260" s="100"/>
      <c r="O1260" s="100"/>
    </row>
    <row r="1261" spans="1:15">
      <c r="A1261" s="87"/>
      <c r="B1261" s="87"/>
      <c r="C1261" s="18"/>
      <c r="D1261" s="18"/>
      <c r="E1261" s="18"/>
      <c r="F1261" s="87"/>
      <c r="G1261" s="87"/>
      <c r="H1261" s="87"/>
      <c r="I1261" s="59"/>
      <c r="J1261" s="59"/>
      <c r="K1261" s="59"/>
      <c r="L1261" s="87"/>
      <c r="M1261" s="87"/>
      <c r="N1261" s="100"/>
      <c r="O1261" s="100"/>
    </row>
    <row r="1262" spans="1:15">
      <c r="A1262" s="87"/>
      <c r="B1262" s="87"/>
      <c r="C1262" s="18"/>
      <c r="D1262" s="18"/>
      <c r="E1262" s="18"/>
      <c r="F1262" s="87"/>
      <c r="G1262" s="87"/>
      <c r="H1262" s="87"/>
      <c r="I1262" s="59"/>
      <c r="J1262" s="59"/>
      <c r="K1262" s="59"/>
      <c r="L1262" s="87"/>
      <c r="M1262" s="87"/>
      <c r="N1262" s="100"/>
      <c r="O1262" s="100"/>
    </row>
    <row r="1263" spans="1:15">
      <c r="A1263" s="87"/>
      <c r="B1263" s="87"/>
      <c r="C1263" s="18"/>
      <c r="D1263" s="18"/>
      <c r="E1263" s="18"/>
      <c r="F1263" s="87"/>
      <c r="G1263" s="87"/>
      <c r="H1263" s="87"/>
      <c r="I1263" s="59"/>
      <c r="J1263" s="59"/>
      <c r="K1263" s="59"/>
      <c r="L1263" s="87"/>
      <c r="M1263" s="87"/>
      <c r="N1263" s="100"/>
      <c r="O1263" s="100"/>
    </row>
    <row r="1264" spans="1:15">
      <c r="A1264" s="87"/>
      <c r="B1264" s="87"/>
      <c r="C1264" s="18"/>
      <c r="D1264" s="18"/>
      <c r="E1264" s="18"/>
      <c r="F1264" s="87"/>
      <c r="G1264" s="87"/>
      <c r="H1264" s="87"/>
      <c r="I1264" s="59"/>
      <c r="J1264" s="59"/>
      <c r="K1264" s="59"/>
      <c r="L1264" s="87"/>
      <c r="M1264" s="87"/>
      <c r="N1264" s="100"/>
      <c r="O1264" s="100"/>
    </row>
    <row r="1265" spans="1:15">
      <c r="A1265" s="87"/>
      <c r="B1265" s="87"/>
      <c r="C1265" s="18"/>
      <c r="D1265" s="18"/>
      <c r="E1265" s="18"/>
      <c r="F1265" s="87"/>
      <c r="G1265" s="87"/>
      <c r="H1265" s="87"/>
      <c r="I1265" s="59"/>
      <c r="J1265" s="59"/>
      <c r="K1265" s="59"/>
      <c r="L1265" s="87"/>
      <c r="M1265" s="87"/>
      <c r="N1265" s="100"/>
      <c r="O1265" s="100"/>
    </row>
    <row r="1266" spans="1:15">
      <c r="A1266" s="87"/>
      <c r="B1266" s="87"/>
      <c r="C1266" s="18"/>
      <c r="D1266" s="18"/>
      <c r="E1266" s="18"/>
      <c r="F1266" s="87"/>
      <c r="G1266" s="87"/>
      <c r="H1266" s="87"/>
      <c r="I1266" s="59"/>
      <c r="J1266" s="59"/>
      <c r="K1266" s="59"/>
      <c r="L1266" s="87"/>
      <c r="M1266" s="87"/>
      <c r="N1266" s="100"/>
      <c r="O1266" s="100"/>
    </row>
    <row r="1267" spans="1:15">
      <c r="A1267" s="87"/>
      <c r="B1267" s="87"/>
      <c r="C1267" s="18"/>
      <c r="D1267" s="18"/>
      <c r="E1267" s="18"/>
      <c r="F1267" s="87"/>
      <c r="G1267" s="87"/>
      <c r="H1267" s="87"/>
      <c r="I1267" s="59"/>
      <c r="J1267" s="59"/>
      <c r="K1267" s="59"/>
      <c r="L1267" s="87"/>
      <c r="M1267" s="87"/>
      <c r="N1267" s="100"/>
      <c r="O1267" s="100"/>
    </row>
    <row r="1268" spans="1:15">
      <c r="A1268" s="87"/>
      <c r="B1268" s="87"/>
      <c r="C1268" s="18"/>
      <c r="D1268" s="18"/>
      <c r="E1268" s="18"/>
      <c r="F1268" s="87"/>
      <c r="G1268" s="87"/>
      <c r="H1268" s="87"/>
      <c r="I1268" s="59"/>
      <c r="J1268" s="59"/>
      <c r="K1268" s="59"/>
      <c r="L1268" s="87"/>
      <c r="M1268" s="87"/>
      <c r="N1268" s="100"/>
      <c r="O1268" s="100"/>
    </row>
    <row r="1269" spans="1:15">
      <c r="A1269" s="87"/>
      <c r="B1269" s="87"/>
      <c r="C1269" s="18"/>
      <c r="D1269" s="18"/>
      <c r="E1269" s="18"/>
      <c r="F1269" s="87"/>
      <c r="G1269" s="87"/>
      <c r="H1269" s="87"/>
      <c r="I1269" s="59"/>
      <c r="J1269" s="59"/>
      <c r="K1269" s="59"/>
      <c r="L1269" s="87"/>
      <c r="M1269" s="87"/>
      <c r="N1269" s="100"/>
      <c r="O1269" s="100"/>
    </row>
    <row r="1270" spans="1:15">
      <c r="A1270" s="87"/>
      <c r="B1270" s="87"/>
      <c r="C1270" s="18"/>
      <c r="D1270" s="18"/>
      <c r="E1270" s="18"/>
      <c r="F1270" s="87"/>
      <c r="G1270" s="87"/>
      <c r="H1270" s="87"/>
      <c r="I1270" s="59"/>
      <c r="J1270" s="59"/>
      <c r="K1270" s="59"/>
      <c r="L1270" s="87"/>
      <c r="M1270" s="87"/>
      <c r="N1270" s="100"/>
      <c r="O1270" s="100"/>
    </row>
    <row r="1271" spans="1:15">
      <c r="A1271" s="87"/>
      <c r="B1271" s="87"/>
      <c r="C1271" s="18"/>
      <c r="D1271" s="18"/>
      <c r="E1271" s="18"/>
      <c r="F1271" s="87"/>
      <c r="G1271" s="87"/>
      <c r="H1271" s="87"/>
      <c r="I1271" s="59"/>
      <c r="J1271" s="59"/>
      <c r="K1271" s="59"/>
      <c r="L1271" s="87"/>
      <c r="M1271" s="87"/>
      <c r="N1271" s="100"/>
      <c r="O1271" s="100"/>
    </row>
    <row r="1272" spans="1:15">
      <c r="A1272" s="87"/>
      <c r="B1272" s="87"/>
      <c r="C1272" s="18"/>
      <c r="D1272" s="18"/>
      <c r="E1272" s="18"/>
      <c r="F1272" s="87"/>
      <c r="G1272" s="87"/>
      <c r="H1272" s="87"/>
      <c r="I1272" s="59"/>
      <c r="J1272" s="59"/>
      <c r="K1272" s="59"/>
      <c r="L1272" s="87"/>
      <c r="M1272" s="87"/>
      <c r="N1272" s="100"/>
      <c r="O1272" s="100"/>
    </row>
    <row r="1273" spans="1:15">
      <c r="A1273" s="87"/>
      <c r="B1273" s="87"/>
      <c r="C1273" s="18"/>
      <c r="D1273" s="18"/>
      <c r="E1273" s="18"/>
      <c r="F1273" s="87"/>
      <c r="G1273" s="87"/>
      <c r="H1273" s="87"/>
      <c r="I1273" s="59"/>
      <c r="J1273" s="59"/>
      <c r="K1273" s="59"/>
      <c r="L1273" s="87"/>
      <c r="M1273" s="87"/>
      <c r="N1273" s="100"/>
      <c r="O1273" s="100"/>
    </row>
    <row r="1274" spans="1:15">
      <c r="A1274" s="87"/>
      <c r="B1274" s="87"/>
      <c r="C1274" s="18"/>
      <c r="D1274" s="18"/>
      <c r="E1274" s="18"/>
      <c r="F1274" s="87"/>
      <c r="G1274" s="87"/>
      <c r="H1274" s="87"/>
      <c r="I1274" s="59"/>
      <c r="J1274" s="59"/>
      <c r="K1274" s="59"/>
      <c r="L1274" s="87"/>
      <c r="M1274" s="87"/>
      <c r="N1274" s="100"/>
      <c r="O1274" s="100"/>
    </row>
    <row r="1275" spans="1:15">
      <c r="A1275" s="87"/>
      <c r="B1275" s="87"/>
      <c r="C1275" s="18"/>
      <c r="D1275" s="18"/>
      <c r="E1275" s="18"/>
      <c r="F1275" s="87"/>
      <c r="G1275" s="87"/>
      <c r="H1275" s="87"/>
      <c r="I1275" s="59"/>
      <c r="J1275" s="59"/>
      <c r="K1275" s="59"/>
      <c r="L1275" s="87"/>
      <c r="M1275" s="87"/>
      <c r="N1275" s="100"/>
      <c r="O1275" s="100"/>
    </row>
    <row r="1276" spans="1:15">
      <c r="A1276" s="87"/>
      <c r="B1276" s="87"/>
      <c r="C1276" s="18"/>
      <c r="D1276" s="18"/>
      <c r="E1276" s="18"/>
      <c r="F1276" s="87"/>
      <c r="G1276" s="87"/>
      <c r="H1276" s="87"/>
      <c r="I1276" s="59"/>
      <c r="J1276" s="59"/>
      <c r="K1276" s="59"/>
      <c r="L1276" s="87"/>
      <c r="M1276" s="87"/>
      <c r="N1276" s="100"/>
      <c r="O1276" s="100"/>
    </row>
    <row r="1277" spans="1:15">
      <c r="A1277" s="87"/>
      <c r="B1277" s="87"/>
      <c r="C1277" s="18"/>
      <c r="D1277" s="18"/>
      <c r="E1277" s="18"/>
      <c r="F1277" s="87"/>
      <c r="G1277" s="87"/>
      <c r="H1277" s="87"/>
      <c r="I1277" s="59"/>
      <c r="J1277" s="59"/>
      <c r="K1277" s="59"/>
      <c r="L1277" s="87"/>
      <c r="M1277" s="87"/>
      <c r="N1277" s="100"/>
      <c r="O1277" s="100"/>
    </row>
    <row r="1278" spans="1:15">
      <c r="A1278" s="87"/>
      <c r="B1278" s="87"/>
      <c r="C1278" s="18"/>
      <c r="D1278" s="18"/>
      <c r="E1278" s="18"/>
      <c r="F1278" s="87"/>
      <c r="G1278" s="87"/>
      <c r="H1278" s="87"/>
      <c r="I1278" s="59"/>
      <c r="J1278" s="59"/>
      <c r="K1278" s="59"/>
      <c r="L1278" s="87"/>
      <c r="M1278" s="87"/>
      <c r="N1278" s="100"/>
      <c r="O1278" s="100"/>
    </row>
    <row r="1279" spans="1:15">
      <c r="A1279" s="87"/>
      <c r="B1279" s="87"/>
      <c r="C1279" s="18"/>
      <c r="D1279" s="18"/>
      <c r="E1279" s="18"/>
      <c r="F1279" s="87"/>
      <c r="G1279" s="87"/>
      <c r="H1279" s="87"/>
      <c r="I1279" s="59"/>
      <c r="J1279" s="59"/>
      <c r="K1279" s="59"/>
      <c r="L1279" s="87"/>
      <c r="M1279" s="87"/>
      <c r="N1279" s="100"/>
      <c r="O1279" s="100"/>
    </row>
    <row r="1280" spans="1:15">
      <c r="A1280" s="87"/>
      <c r="B1280" s="87"/>
      <c r="C1280" s="18"/>
      <c r="D1280" s="18"/>
      <c r="E1280" s="18"/>
      <c r="F1280" s="87"/>
      <c r="G1280" s="87"/>
      <c r="H1280" s="87"/>
      <c r="I1280" s="59"/>
      <c r="J1280" s="59"/>
      <c r="K1280" s="59"/>
      <c r="L1280" s="87"/>
      <c r="M1280" s="87"/>
      <c r="N1280" s="100"/>
      <c r="O1280" s="100"/>
    </row>
    <row r="1281" spans="1:15">
      <c r="A1281" s="87"/>
      <c r="B1281" s="87"/>
      <c r="C1281" s="18"/>
      <c r="D1281" s="18"/>
      <c r="E1281" s="18"/>
      <c r="F1281" s="87"/>
      <c r="G1281" s="87"/>
      <c r="H1281" s="87"/>
      <c r="I1281" s="59"/>
      <c r="J1281" s="59"/>
      <c r="K1281" s="59"/>
      <c r="L1281" s="87"/>
      <c r="M1281" s="87"/>
      <c r="N1281" s="100"/>
      <c r="O1281" s="100"/>
    </row>
    <row r="1282" spans="1:15">
      <c r="A1282" s="87"/>
      <c r="B1282" s="87"/>
      <c r="C1282" s="18"/>
      <c r="D1282" s="18"/>
      <c r="E1282" s="18"/>
      <c r="F1282" s="87"/>
      <c r="G1282" s="87"/>
      <c r="H1282" s="87"/>
      <c r="I1282" s="59"/>
      <c r="J1282" s="59"/>
      <c r="K1282" s="59"/>
      <c r="L1282" s="87"/>
      <c r="M1282" s="87"/>
      <c r="N1282" s="100"/>
      <c r="O1282" s="100"/>
    </row>
    <row r="1283" spans="1:15">
      <c r="A1283" s="87"/>
      <c r="B1283" s="87"/>
      <c r="C1283" s="18"/>
      <c r="D1283" s="18"/>
      <c r="E1283" s="18"/>
      <c r="F1283" s="87"/>
      <c r="G1283" s="87"/>
      <c r="H1283" s="87"/>
      <c r="I1283" s="59"/>
      <c r="J1283" s="59"/>
      <c r="K1283" s="59"/>
      <c r="L1283" s="87"/>
      <c r="M1283" s="87"/>
      <c r="N1283" s="100"/>
      <c r="O1283" s="100"/>
    </row>
    <row r="1284" spans="1:15">
      <c r="A1284" s="87"/>
      <c r="B1284" s="87"/>
      <c r="C1284" s="18"/>
      <c r="D1284" s="18"/>
      <c r="E1284" s="18"/>
      <c r="F1284" s="87"/>
      <c r="G1284" s="87"/>
      <c r="H1284" s="87"/>
      <c r="I1284" s="59"/>
      <c r="J1284" s="59"/>
      <c r="K1284" s="59"/>
      <c r="L1284" s="87"/>
      <c r="M1284" s="87"/>
      <c r="N1284" s="100"/>
      <c r="O1284" s="100"/>
    </row>
    <row r="1285" spans="1:15">
      <c r="A1285" s="87"/>
      <c r="B1285" s="87"/>
      <c r="C1285" s="18"/>
      <c r="D1285" s="18"/>
      <c r="E1285" s="18"/>
      <c r="F1285" s="87"/>
      <c r="G1285" s="87"/>
      <c r="H1285" s="87"/>
      <c r="I1285" s="59"/>
      <c r="J1285" s="59"/>
      <c r="K1285" s="59"/>
      <c r="L1285" s="87"/>
      <c r="M1285" s="87"/>
      <c r="N1285" s="100"/>
      <c r="O1285" s="100"/>
    </row>
    <row r="1286" spans="1:15">
      <c r="A1286" s="87"/>
      <c r="B1286" s="87"/>
      <c r="C1286" s="18"/>
      <c r="D1286" s="18"/>
      <c r="E1286" s="18"/>
      <c r="F1286" s="87"/>
      <c r="G1286" s="87"/>
      <c r="H1286" s="87"/>
      <c r="I1286" s="59"/>
      <c r="J1286" s="59"/>
      <c r="K1286" s="59"/>
      <c r="L1286" s="87"/>
      <c r="M1286" s="87"/>
      <c r="N1286" s="100"/>
      <c r="O1286" s="100"/>
    </row>
    <row r="1287" spans="1:15">
      <c r="A1287" s="87"/>
      <c r="B1287" s="87"/>
      <c r="C1287" s="18"/>
      <c r="D1287" s="18"/>
      <c r="E1287" s="18"/>
      <c r="F1287" s="87"/>
      <c r="G1287" s="87"/>
      <c r="H1287" s="87"/>
      <c r="I1287" s="59"/>
      <c r="J1287" s="59"/>
      <c r="K1287" s="59"/>
      <c r="L1287" s="87"/>
      <c r="M1287" s="87"/>
      <c r="N1287" s="100"/>
      <c r="O1287" s="100"/>
    </row>
    <row r="1288" spans="1:15">
      <c r="A1288" s="87"/>
      <c r="B1288" s="87"/>
      <c r="C1288" s="18"/>
      <c r="D1288" s="18"/>
      <c r="E1288" s="18"/>
      <c r="F1288" s="87"/>
      <c r="G1288" s="87"/>
      <c r="H1288" s="87"/>
      <c r="I1288" s="59"/>
      <c r="J1288" s="59"/>
      <c r="K1288" s="59"/>
      <c r="L1288" s="87"/>
      <c r="M1288" s="87"/>
      <c r="N1288" s="100"/>
      <c r="O1288" s="100"/>
    </row>
    <row r="1289" spans="1:15">
      <c r="A1289" s="87"/>
      <c r="B1289" s="87"/>
      <c r="C1289" s="18"/>
      <c r="D1289" s="18"/>
      <c r="E1289" s="18"/>
      <c r="F1289" s="87"/>
      <c r="G1289" s="87"/>
      <c r="H1289" s="87"/>
      <c r="I1289" s="59"/>
      <c r="J1289" s="59"/>
      <c r="K1289" s="59"/>
      <c r="L1289" s="87"/>
      <c r="M1289" s="87"/>
      <c r="N1289" s="100"/>
      <c r="O1289" s="100"/>
    </row>
    <row r="1290" spans="1:15">
      <c r="A1290" s="87"/>
      <c r="B1290" s="87"/>
      <c r="C1290" s="18"/>
      <c r="D1290" s="18"/>
      <c r="E1290" s="18"/>
      <c r="F1290" s="87"/>
      <c r="G1290" s="87"/>
      <c r="H1290" s="87"/>
      <c r="I1290" s="59"/>
      <c r="J1290" s="59"/>
      <c r="K1290" s="59"/>
      <c r="L1290" s="87"/>
      <c r="M1290" s="87"/>
      <c r="N1290" s="100"/>
      <c r="O1290" s="100"/>
    </row>
    <row r="1291" spans="1:15">
      <c r="A1291" s="87"/>
      <c r="B1291" s="87"/>
      <c r="C1291" s="18"/>
      <c r="D1291" s="18"/>
      <c r="E1291" s="18"/>
      <c r="F1291" s="87"/>
      <c r="G1291" s="87"/>
      <c r="H1291" s="87"/>
      <c r="I1291" s="59"/>
      <c r="J1291" s="59"/>
      <c r="K1291" s="59"/>
      <c r="L1291" s="87"/>
      <c r="M1291" s="87"/>
      <c r="N1291" s="100"/>
      <c r="O1291" s="100"/>
    </row>
    <row r="1292" spans="1:15">
      <c r="A1292" s="87"/>
      <c r="B1292" s="87"/>
      <c r="C1292" s="18"/>
      <c r="D1292" s="18"/>
      <c r="E1292" s="18"/>
      <c r="F1292" s="87"/>
      <c r="G1292" s="87"/>
      <c r="H1292" s="87"/>
      <c r="I1292" s="59"/>
      <c r="J1292" s="59"/>
      <c r="K1292" s="59"/>
      <c r="L1292" s="87"/>
      <c r="M1292" s="87"/>
      <c r="N1292" s="100"/>
      <c r="O1292" s="100"/>
    </row>
    <row r="1293" spans="1:15">
      <c r="A1293" s="87"/>
      <c r="B1293" s="87"/>
      <c r="C1293" s="18"/>
      <c r="D1293" s="18"/>
      <c r="E1293" s="18"/>
      <c r="F1293" s="87"/>
      <c r="G1293" s="87"/>
      <c r="H1293" s="87"/>
      <c r="I1293" s="59"/>
      <c r="J1293" s="59"/>
      <c r="K1293" s="59"/>
      <c r="L1293" s="87"/>
      <c r="M1293" s="87"/>
      <c r="N1293" s="100"/>
      <c r="O1293" s="100"/>
    </row>
    <row r="1294" spans="1:15">
      <c r="A1294" s="87"/>
      <c r="B1294" s="87"/>
      <c r="C1294" s="18"/>
      <c r="D1294" s="18"/>
      <c r="E1294" s="18"/>
      <c r="F1294" s="87"/>
      <c r="G1294" s="87"/>
      <c r="H1294" s="87"/>
      <c r="I1294" s="59"/>
      <c r="J1294" s="59"/>
      <c r="K1294" s="59"/>
      <c r="L1294" s="87"/>
      <c r="M1294" s="87"/>
      <c r="N1294" s="100"/>
      <c r="O1294" s="100"/>
    </row>
    <row r="1295" spans="1:15">
      <c r="A1295" s="87"/>
      <c r="B1295" s="87"/>
      <c r="C1295" s="18"/>
      <c r="D1295" s="18"/>
      <c r="E1295" s="18"/>
      <c r="F1295" s="87"/>
      <c r="G1295" s="87"/>
      <c r="H1295" s="87"/>
      <c r="I1295" s="59"/>
      <c r="J1295" s="59"/>
      <c r="K1295" s="59"/>
      <c r="L1295" s="87"/>
      <c r="M1295" s="87"/>
      <c r="N1295" s="100"/>
      <c r="O1295" s="100"/>
    </row>
    <row r="1296" spans="1:15">
      <c r="A1296" s="87"/>
      <c r="B1296" s="87"/>
      <c r="C1296" s="18"/>
      <c r="D1296" s="18"/>
      <c r="E1296" s="18"/>
      <c r="F1296" s="87"/>
      <c r="G1296" s="87"/>
      <c r="H1296" s="87"/>
      <c r="I1296" s="59"/>
      <c r="J1296" s="59"/>
      <c r="K1296" s="59"/>
      <c r="L1296" s="87"/>
      <c r="M1296" s="87"/>
      <c r="N1296" s="100"/>
      <c r="O1296" s="100"/>
    </row>
    <row r="1297" spans="1:15">
      <c r="A1297" s="87"/>
      <c r="B1297" s="87"/>
      <c r="C1297" s="18"/>
      <c r="D1297" s="18"/>
      <c r="E1297" s="18"/>
      <c r="F1297" s="87"/>
      <c r="G1297" s="87"/>
      <c r="H1297" s="87"/>
      <c r="I1297" s="59"/>
      <c r="J1297" s="59"/>
      <c r="K1297" s="59"/>
      <c r="L1297" s="87"/>
      <c r="M1297" s="87"/>
      <c r="N1297" s="100"/>
      <c r="O1297" s="100"/>
    </row>
    <row r="1298" spans="1:15">
      <c r="A1298" s="87"/>
      <c r="B1298" s="87"/>
      <c r="C1298" s="18"/>
      <c r="D1298" s="18"/>
      <c r="E1298" s="18"/>
      <c r="F1298" s="87"/>
      <c r="G1298" s="87"/>
      <c r="H1298" s="87"/>
      <c r="I1298" s="59"/>
      <c r="J1298" s="59"/>
      <c r="K1298" s="59"/>
      <c r="L1298" s="87"/>
      <c r="M1298" s="87"/>
      <c r="N1298" s="100"/>
      <c r="O1298" s="100"/>
    </row>
    <row r="1299" spans="1:15">
      <c r="A1299" s="87"/>
      <c r="B1299" s="87"/>
      <c r="C1299" s="18"/>
      <c r="D1299" s="18"/>
      <c r="E1299" s="18"/>
      <c r="F1299" s="87"/>
      <c r="G1299" s="87"/>
      <c r="H1299" s="87"/>
      <c r="I1299" s="59"/>
      <c r="J1299" s="59"/>
      <c r="K1299" s="59"/>
      <c r="L1299" s="87"/>
      <c r="M1299" s="87"/>
      <c r="N1299" s="100"/>
      <c r="O1299" s="100"/>
    </row>
    <row r="1300" spans="1:15">
      <c r="A1300" s="87"/>
      <c r="B1300" s="87"/>
      <c r="C1300" s="18"/>
      <c r="D1300" s="18"/>
      <c r="E1300" s="18"/>
      <c r="F1300" s="87"/>
      <c r="G1300" s="87"/>
      <c r="H1300" s="87"/>
      <c r="I1300" s="59"/>
      <c r="J1300" s="59"/>
      <c r="K1300" s="59"/>
      <c r="L1300" s="87"/>
      <c r="M1300" s="87"/>
      <c r="N1300" s="100"/>
      <c r="O1300" s="100"/>
    </row>
    <row r="1301" spans="1:15">
      <c r="A1301" s="87"/>
      <c r="B1301" s="87"/>
      <c r="C1301" s="18"/>
      <c r="D1301" s="18"/>
      <c r="E1301" s="18"/>
      <c r="F1301" s="87"/>
      <c r="G1301" s="87"/>
      <c r="H1301" s="87"/>
      <c r="I1301" s="59"/>
      <c r="J1301" s="59"/>
      <c r="K1301" s="59"/>
      <c r="L1301" s="87"/>
      <c r="M1301" s="87"/>
      <c r="N1301" s="100"/>
      <c r="O1301" s="100"/>
    </row>
    <row r="1302" spans="1:15">
      <c r="A1302" s="87"/>
      <c r="B1302" s="87"/>
      <c r="C1302" s="18"/>
      <c r="D1302" s="18"/>
      <c r="E1302" s="18"/>
      <c r="F1302" s="87"/>
      <c r="G1302" s="87"/>
      <c r="H1302" s="87"/>
      <c r="I1302" s="59"/>
      <c r="J1302" s="59"/>
      <c r="K1302" s="59"/>
      <c r="L1302" s="87"/>
      <c r="M1302" s="87"/>
      <c r="N1302" s="100"/>
      <c r="O1302" s="100"/>
    </row>
    <row r="1303" spans="1:15">
      <c r="A1303" s="87"/>
      <c r="B1303" s="87"/>
      <c r="C1303" s="18"/>
      <c r="D1303" s="18"/>
      <c r="E1303" s="18"/>
      <c r="F1303" s="87"/>
      <c r="G1303" s="87"/>
      <c r="H1303" s="87"/>
      <c r="I1303" s="59"/>
      <c r="J1303" s="59"/>
      <c r="K1303" s="59"/>
      <c r="L1303" s="87"/>
      <c r="M1303" s="87"/>
      <c r="N1303" s="100"/>
      <c r="O1303" s="100"/>
    </row>
    <row r="1304" spans="1:15">
      <c r="A1304" s="87"/>
      <c r="B1304" s="87"/>
      <c r="C1304" s="18"/>
      <c r="D1304" s="18"/>
      <c r="E1304" s="18"/>
      <c r="F1304" s="87"/>
      <c r="G1304" s="87"/>
      <c r="H1304" s="87"/>
      <c r="I1304" s="59"/>
      <c r="J1304" s="59"/>
      <c r="K1304" s="59"/>
      <c r="L1304" s="87"/>
      <c r="M1304" s="87"/>
      <c r="N1304" s="100"/>
      <c r="O1304" s="100"/>
    </row>
    <row r="1305" spans="1:15">
      <c r="A1305" s="87"/>
      <c r="B1305" s="87"/>
      <c r="C1305" s="18"/>
      <c r="D1305" s="18"/>
      <c r="E1305" s="18"/>
      <c r="F1305" s="87"/>
      <c r="G1305" s="87"/>
      <c r="H1305" s="87"/>
      <c r="I1305" s="59"/>
      <c r="J1305" s="59"/>
      <c r="K1305" s="59"/>
      <c r="L1305" s="87"/>
      <c r="M1305" s="87"/>
      <c r="N1305" s="100"/>
      <c r="O1305" s="100"/>
    </row>
    <row r="1306" spans="1:15">
      <c r="A1306" s="87"/>
      <c r="B1306" s="87"/>
      <c r="C1306" s="18"/>
      <c r="D1306" s="18"/>
      <c r="E1306" s="18"/>
      <c r="F1306" s="87"/>
      <c r="G1306" s="87"/>
      <c r="H1306" s="87"/>
      <c r="I1306" s="59"/>
      <c r="J1306" s="59"/>
      <c r="K1306" s="59"/>
      <c r="L1306" s="87"/>
      <c r="M1306" s="87"/>
      <c r="N1306" s="100"/>
      <c r="O1306" s="100"/>
    </row>
    <row r="1307" spans="1:15">
      <c r="A1307" s="87"/>
      <c r="B1307" s="87"/>
      <c r="C1307" s="18"/>
      <c r="D1307" s="18"/>
      <c r="E1307" s="18"/>
      <c r="F1307" s="87"/>
      <c r="G1307" s="87"/>
      <c r="H1307" s="87"/>
      <c r="I1307" s="59"/>
      <c r="J1307" s="59"/>
      <c r="K1307" s="59"/>
      <c r="L1307" s="87"/>
      <c r="M1307" s="87"/>
      <c r="N1307" s="100"/>
      <c r="O1307" s="100"/>
    </row>
    <row r="1308" spans="1:15">
      <c r="A1308" s="87"/>
      <c r="B1308" s="87"/>
      <c r="C1308" s="18"/>
      <c r="D1308" s="18"/>
      <c r="E1308" s="18"/>
      <c r="F1308" s="87"/>
      <c r="G1308" s="87"/>
      <c r="H1308" s="87"/>
      <c r="I1308" s="59"/>
      <c r="J1308" s="59"/>
      <c r="K1308" s="59"/>
      <c r="L1308" s="87"/>
      <c r="M1308" s="87"/>
      <c r="N1308" s="100"/>
      <c r="O1308" s="100"/>
    </row>
    <row r="1309" spans="1:15">
      <c r="A1309" s="87"/>
      <c r="B1309" s="87"/>
      <c r="C1309" s="18"/>
      <c r="D1309" s="18"/>
      <c r="E1309" s="18"/>
      <c r="F1309" s="87"/>
      <c r="G1309" s="87"/>
      <c r="H1309" s="87"/>
      <c r="I1309" s="59"/>
      <c r="J1309" s="59"/>
      <c r="K1309" s="59"/>
      <c r="L1309" s="87"/>
      <c r="M1309" s="87"/>
      <c r="N1309" s="100"/>
      <c r="O1309" s="100"/>
    </row>
    <row r="1310" spans="1:15">
      <c r="A1310" s="87"/>
      <c r="B1310" s="87"/>
      <c r="C1310" s="18"/>
      <c r="D1310" s="18"/>
      <c r="E1310" s="18"/>
      <c r="F1310" s="87"/>
      <c r="G1310" s="87"/>
      <c r="H1310" s="87"/>
      <c r="I1310" s="59"/>
      <c r="J1310" s="59"/>
      <c r="K1310" s="59"/>
      <c r="L1310" s="87"/>
      <c r="M1310" s="87"/>
      <c r="N1310" s="100"/>
      <c r="O1310" s="100"/>
    </row>
    <row r="1311" spans="1:15">
      <c r="A1311" s="87"/>
      <c r="B1311" s="87"/>
      <c r="C1311" s="18"/>
      <c r="D1311" s="18"/>
      <c r="E1311" s="18"/>
      <c r="F1311" s="87"/>
      <c r="G1311" s="87"/>
      <c r="H1311" s="87"/>
      <c r="I1311" s="59"/>
      <c r="J1311" s="59"/>
      <c r="K1311" s="59"/>
      <c r="L1311" s="87"/>
      <c r="M1311" s="87"/>
      <c r="N1311" s="100"/>
      <c r="O1311" s="100"/>
    </row>
    <row r="1312" spans="1:15">
      <c r="A1312" s="87"/>
      <c r="B1312" s="87"/>
      <c r="C1312" s="18"/>
      <c r="D1312" s="18"/>
      <c r="E1312" s="18"/>
      <c r="F1312" s="87"/>
      <c r="G1312" s="87"/>
      <c r="H1312" s="87"/>
      <c r="I1312" s="59"/>
      <c r="J1312" s="59"/>
      <c r="K1312" s="59"/>
      <c r="L1312" s="87"/>
      <c r="M1312" s="87"/>
      <c r="N1312" s="100"/>
      <c r="O1312" s="100"/>
    </row>
    <row r="1313" spans="1:15">
      <c r="A1313" s="87"/>
      <c r="B1313" s="87"/>
      <c r="C1313" s="18"/>
      <c r="D1313" s="18"/>
      <c r="E1313" s="18"/>
      <c r="F1313" s="87"/>
      <c r="G1313" s="87"/>
      <c r="H1313" s="87"/>
      <c r="I1313" s="59"/>
      <c r="J1313" s="59"/>
      <c r="K1313" s="59"/>
      <c r="L1313" s="87"/>
      <c r="M1313" s="87"/>
      <c r="N1313" s="100"/>
      <c r="O1313" s="100"/>
    </row>
    <row r="1314" spans="1:15">
      <c r="A1314" s="87"/>
      <c r="B1314" s="87"/>
      <c r="C1314" s="18"/>
      <c r="D1314" s="18"/>
      <c r="E1314" s="18"/>
      <c r="F1314" s="87"/>
      <c r="G1314" s="87"/>
      <c r="H1314" s="87"/>
      <c r="I1314" s="59"/>
      <c r="J1314" s="59"/>
      <c r="K1314" s="59"/>
      <c r="L1314" s="87"/>
      <c r="M1314" s="87"/>
      <c r="N1314" s="100"/>
      <c r="O1314" s="100"/>
    </row>
    <row r="1315" spans="1:15">
      <c r="A1315" s="87"/>
      <c r="B1315" s="87"/>
      <c r="C1315" s="18"/>
      <c r="D1315" s="18"/>
      <c r="E1315" s="18"/>
      <c r="F1315" s="87"/>
      <c r="G1315" s="87"/>
      <c r="H1315" s="87"/>
      <c r="I1315" s="59"/>
      <c r="J1315" s="59"/>
      <c r="K1315" s="59"/>
      <c r="L1315" s="87"/>
      <c r="M1315" s="87"/>
      <c r="N1315" s="100"/>
      <c r="O1315" s="100"/>
    </row>
    <row r="1316" spans="1:15">
      <c r="A1316" s="87"/>
      <c r="B1316" s="87"/>
      <c r="C1316" s="18"/>
      <c r="D1316" s="18"/>
      <c r="E1316" s="18"/>
      <c r="F1316" s="87"/>
      <c r="G1316" s="87"/>
      <c r="H1316" s="87"/>
      <c r="I1316" s="59"/>
      <c r="J1316" s="59"/>
      <c r="K1316" s="59"/>
      <c r="L1316" s="87"/>
      <c r="M1316" s="87"/>
      <c r="N1316" s="100"/>
      <c r="O1316" s="100"/>
    </row>
    <row r="1317" spans="1:15">
      <c r="A1317" s="87"/>
      <c r="B1317" s="87"/>
      <c r="C1317" s="18"/>
      <c r="D1317" s="18"/>
      <c r="E1317" s="18"/>
      <c r="F1317" s="87"/>
      <c r="G1317" s="87"/>
      <c r="H1317" s="87"/>
      <c r="I1317" s="59"/>
      <c r="J1317" s="59"/>
      <c r="K1317" s="59"/>
      <c r="L1317" s="87"/>
      <c r="M1317" s="87"/>
      <c r="N1317" s="100"/>
      <c r="O1317" s="100"/>
    </row>
    <row r="1318" spans="1:15">
      <c r="A1318" s="87"/>
      <c r="B1318" s="87"/>
      <c r="C1318" s="18"/>
      <c r="D1318" s="18"/>
      <c r="E1318" s="18"/>
      <c r="F1318" s="87"/>
      <c r="G1318" s="87"/>
      <c r="H1318" s="87"/>
      <c r="I1318" s="59"/>
      <c r="J1318" s="59"/>
      <c r="K1318" s="59"/>
      <c r="L1318" s="87"/>
      <c r="M1318" s="87"/>
      <c r="N1318" s="100"/>
      <c r="O1318" s="100"/>
    </row>
    <row r="1319" spans="1:15">
      <c r="A1319" s="87"/>
      <c r="B1319" s="87"/>
      <c r="C1319" s="18"/>
      <c r="D1319" s="18"/>
      <c r="E1319" s="18"/>
      <c r="F1319" s="87"/>
      <c r="G1319" s="87"/>
      <c r="H1319" s="87"/>
      <c r="I1319" s="59"/>
      <c r="J1319" s="59"/>
      <c r="K1319" s="59"/>
      <c r="L1319" s="87"/>
      <c r="M1319" s="87"/>
      <c r="N1319" s="100"/>
      <c r="O1319" s="100"/>
    </row>
    <row r="1320" spans="1:15">
      <c r="A1320" s="87"/>
      <c r="B1320" s="87"/>
      <c r="C1320" s="18"/>
      <c r="D1320" s="18"/>
      <c r="E1320" s="18"/>
      <c r="F1320" s="87"/>
      <c r="G1320" s="87"/>
      <c r="H1320" s="87"/>
      <c r="I1320" s="59"/>
      <c r="J1320" s="59"/>
      <c r="K1320" s="59"/>
      <c r="L1320" s="87"/>
      <c r="M1320" s="87"/>
      <c r="N1320" s="100"/>
      <c r="O1320" s="100"/>
    </row>
    <row r="1321" spans="1:15">
      <c r="A1321" s="87"/>
      <c r="B1321" s="87"/>
      <c r="C1321" s="18"/>
      <c r="D1321" s="18"/>
      <c r="E1321" s="18"/>
      <c r="F1321" s="87"/>
      <c r="G1321" s="87"/>
      <c r="H1321" s="87"/>
      <c r="I1321" s="59"/>
      <c r="J1321" s="59"/>
      <c r="K1321" s="59"/>
      <c r="L1321" s="87"/>
      <c r="M1321" s="87"/>
      <c r="N1321" s="100"/>
      <c r="O1321" s="100"/>
    </row>
    <row r="1322" spans="1:15">
      <c r="A1322" s="87"/>
      <c r="B1322" s="87"/>
      <c r="C1322" s="18"/>
      <c r="D1322" s="18"/>
      <c r="E1322" s="18"/>
      <c r="F1322" s="87"/>
      <c r="G1322" s="87"/>
      <c r="H1322" s="87"/>
      <c r="I1322" s="59"/>
      <c r="J1322" s="59"/>
      <c r="K1322" s="59"/>
      <c r="L1322" s="87"/>
      <c r="M1322" s="87"/>
      <c r="N1322" s="100"/>
      <c r="O1322" s="100"/>
    </row>
    <row r="1323" spans="1:15">
      <c r="A1323" s="87"/>
      <c r="B1323" s="87"/>
      <c r="C1323" s="18"/>
      <c r="D1323" s="18"/>
      <c r="E1323" s="18"/>
      <c r="F1323" s="87"/>
      <c r="G1323" s="87"/>
      <c r="H1323" s="87"/>
      <c r="I1323" s="59"/>
      <c r="J1323" s="59"/>
      <c r="K1323" s="59"/>
      <c r="L1323" s="87"/>
      <c r="M1323" s="87"/>
      <c r="N1323" s="100"/>
      <c r="O1323" s="100"/>
    </row>
    <row r="1324" spans="1:15">
      <c r="A1324" s="87"/>
      <c r="B1324" s="87"/>
      <c r="C1324" s="18"/>
      <c r="D1324" s="18"/>
      <c r="E1324" s="18"/>
      <c r="F1324" s="87"/>
      <c r="G1324" s="87"/>
      <c r="H1324" s="87"/>
      <c r="I1324" s="59"/>
      <c r="J1324" s="59"/>
      <c r="K1324" s="59"/>
      <c r="L1324" s="87"/>
      <c r="M1324" s="87"/>
      <c r="N1324" s="100"/>
      <c r="O1324" s="100"/>
    </row>
    <row r="1325" spans="1:15">
      <c r="A1325" s="87"/>
      <c r="B1325" s="87"/>
      <c r="C1325" s="18"/>
      <c r="D1325" s="18"/>
      <c r="E1325" s="18"/>
      <c r="F1325" s="87"/>
      <c r="G1325" s="87"/>
      <c r="H1325" s="87"/>
      <c r="I1325" s="59"/>
      <c r="J1325" s="59"/>
      <c r="K1325" s="59"/>
      <c r="L1325" s="87"/>
      <c r="M1325" s="87"/>
      <c r="N1325" s="100"/>
      <c r="O1325" s="100"/>
    </row>
    <row r="1326" spans="1:15">
      <c r="A1326" s="87"/>
      <c r="B1326" s="87"/>
      <c r="C1326" s="18"/>
      <c r="D1326" s="18"/>
      <c r="E1326" s="18"/>
      <c r="F1326" s="87"/>
      <c r="G1326" s="87"/>
      <c r="H1326" s="87"/>
      <c r="I1326" s="59"/>
      <c r="J1326" s="59"/>
      <c r="K1326" s="59"/>
      <c r="L1326" s="87"/>
      <c r="M1326" s="87"/>
      <c r="N1326" s="100"/>
      <c r="O1326" s="100"/>
    </row>
    <row r="1327" spans="1:15">
      <c r="A1327" s="87"/>
      <c r="B1327" s="87"/>
      <c r="C1327" s="18"/>
      <c r="D1327" s="18"/>
      <c r="E1327" s="18"/>
      <c r="F1327" s="87"/>
      <c r="G1327" s="87"/>
      <c r="H1327" s="87"/>
      <c r="I1327" s="59"/>
      <c r="J1327" s="59"/>
      <c r="K1327" s="59"/>
      <c r="L1327" s="87"/>
      <c r="M1327" s="87"/>
      <c r="N1327" s="100"/>
      <c r="O1327" s="100"/>
    </row>
    <row r="1328" spans="1:15">
      <c r="A1328" s="87"/>
      <c r="B1328" s="87"/>
      <c r="C1328" s="18"/>
      <c r="D1328" s="18"/>
      <c r="E1328" s="18"/>
      <c r="F1328" s="87"/>
      <c r="G1328" s="87"/>
      <c r="H1328" s="87"/>
      <c r="I1328" s="59"/>
      <c r="J1328" s="59"/>
      <c r="K1328" s="59"/>
      <c r="L1328" s="87"/>
      <c r="M1328" s="87"/>
      <c r="N1328" s="100"/>
      <c r="O1328" s="100"/>
    </row>
    <row r="1329" spans="1:15">
      <c r="A1329" s="87"/>
      <c r="B1329" s="87"/>
      <c r="C1329" s="18"/>
      <c r="D1329" s="18"/>
      <c r="E1329" s="18"/>
      <c r="F1329" s="87"/>
      <c r="G1329" s="87"/>
      <c r="H1329" s="87"/>
      <c r="I1329" s="59"/>
      <c r="J1329" s="59"/>
      <c r="K1329" s="59"/>
      <c r="L1329" s="87"/>
      <c r="M1329" s="87"/>
      <c r="N1329" s="100"/>
      <c r="O1329" s="100"/>
    </row>
    <row r="1330" spans="1:15">
      <c r="A1330" s="87"/>
      <c r="B1330" s="87"/>
      <c r="C1330" s="18"/>
      <c r="D1330" s="18"/>
      <c r="E1330" s="18"/>
      <c r="F1330" s="87"/>
      <c r="G1330" s="87"/>
      <c r="H1330" s="87"/>
      <c r="I1330" s="59"/>
      <c r="J1330" s="59"/>
      <c r="K1330" s="59"/>
      <c r="L1330" s="87"/>
      <c r="M1330" s="87"/>
      <c r="N1330" s="100"/>
      <c r="O1330" s="100"/>
    </row>
    <row r="1331" spans="1:15">
      <c r="A1331" s="87"/>
      <c r="B1331" s="87"/>
      <c r="C1331" s="18"/>
      <c r="D1331" s="18"/>
      <c r="E1331" s="18"/>
      <c r="F1331" s="87"/>
      <c r="G1331" s="87"/>
      <c r="H1331" s="87"/>
      <c r="I1331" s="59"/>
      <c r="J1331" s="59"/>
      <c r="K1331" s="59"/>
      <c r="L1331" s="87"/>
      <c r="M1331" s="87"/>
      <c r="N1331" s="100"/>
      <c r="O1331" s="100"/>
    </row>
    <row r="1332" spans="1:15">
      <c r="A1332" s="87"/>
      <c r="B1332" s="87"/>
      <c r="C1332" s="18"/>
      <c r="D1332" s="18"/>
      <c r="E1332" s="18"/>
      <c r="F1332" s="87"/>
      <c r="G1332" s="87"/>
      <c r="H1332" s="87"/>
      <c r="I1332" s="59"/>
      <c r="J1332" s="59"/>
      <c r="K1332" s="59"/>
      <c r="L1332" s="87"/>
      <c r="M1332" s="87"/>
      <c r="N1332" s="100"/>
      <c r="O1332" s="100"/>
    </row>
    <row r="1333" spans="1:15">
      <c r="A1333" s="87"/>
      <c r="B1333" s="87"/>
      <c r="C1333" s="18"/>
      <c r="D1333" s="18"/>
      <c r="E1333" s="18"/>
      <c r="F1333" s="87"/>
      <c r="G1333" s="87"/>
      <c r="H1333" s="87"/>
      <c r="I1333" s="59"/>
      <c r="J1333" s="59"/>
      <c r="K1333" s="59"/>
      <c r="L1333" s="87"/>
      <c r="M1333" s="87"/>
      <c r="N1333" s="100"/>
      <c r="O1333" s="100"/>
    </row>
    <row r="1334" spans="1:15">
      <c r="A1334" s="87"/>
      <c r="B1334" s="87"/>
      <c r="C1334" s="18"/>
      <c r="D1334" s="18"/>
      <c r="E1334" s="18"/>
      <c r="F1334" s="87"/>
      <c r="G1334" s="87"/>
      <c r="H1334" s="87"/>
      <c r="I1334" s="59"/>
      <c r="J1334" s="59"/>
      <c r="K1334" s="59"/>
      <c r="L1334" s="87"/>
      <c r="M1334" s="87"/>
      <c r="N1334" s="100"/>
      <c r="O1334" s="100"/>
    </row>
    <row r="1335" spans="1:15">
      <c r="A1335" s="87"/>
      <c r="B1335" s="87"/>
      <c r="C1335" s="18"/>
      <c r="D1335" s="18"/>
      <c r="E1335" s="18"/>
      <c r="F1335" s="87"/>
      <c r="G1335" s="87"/>
      <c r="H1335" s="87"/>
      <c r="I1335" s="59"/>
      <c r="J1335" s="59"/>
      <c r="K1335" s="59"/>
      <c r="L1335" s="87"/>
      <c r="M1335" s="87"/>
      <c r="N1335" s="100"/>
      <c r="O1335" s="100"/>
    </row>
    <row r="1336" spans="1:15">
      <c r="A1336" s="87"/>
      <c r="B1336" s="87"/>
      <c r="C1336" s="18"/>
      <c r="D1336" s="18"/>
      <c r="E1336" s="18"/>
      <c r="F1336" s="87"/>
      <c r="G1336" s="87"/>
      <c r="H1336" s="87"/>
      <c r="I1336" s="59"/>
      <c r="J1336" s="59"/>
      <c r="K1336" s="59"/>
      <c r="L1336" s="87"/>
      <c r="M1336" s="87"/>
      <c r="N1336" s="100"/>
      <c r="O1336" s="100"/>
    </row>
    <row r="1337" spans="1:15">
      <c r="A1337" s="87"/>
      <c r="B1337" s="87"/>
      <c r="C1337" s="18"/>
      <c r="D1337" s="18"/>
      <c r="E1337" s="18"/>
      <c r="F1337" s="87"/>
      <c r="G1337" s="87"/>
      <c r="H1337" s="87"/>
      <c r="I1337" s="59"/>
      <c r="J1337" s="59"/>
      <c r="K1337" s="59"/>
      <c r="L1337" s="87"/>
      <c r="M1337" s="87"/>
      <c r="N1337" s="100"/>
      <c r="O1337" s="100"/>
    </row>
    <row r="1338" spans="1:15">
      <c r="A1338" s="87"/>
      <c r="B1338" s="87"/>
      <c r="C1338" s="18"/>
      <c r="D1338" s="18"/>
      <c r="E1338" s="18"/>
      <c r="F1338" s="87"/>
      <c r="G1338" s="87"/>
      <c r="H1338" s="87"/>
      <c r="I1338" s="59"/>
      <c r="J1338" s="59"/>
      <c r="K1338" s="59"/>
      <c r="L1338" s="87"/>
      <c r="M1338" s="87"/>
      <c r="N1338" s="100"/>
      <c r="O1338" s="100"/>
    </row>
    <row r="1339" spans="1:15">
      <c r="A1339" s="87"/>
      <c r="B1339" s="87"/>
      <c r="C1339" s="18"/>
      <c r="D1339" s="18"/>
      <c r="E1339" s="18"/>
      <c r="F1339" s="87"/>
      <c r="G1339" s="87"/>
      <c r="H1339" s="87"/>
      <c r="I1339" s="59"/>
      <c r="J1339" s="59"/>
      <c r="K1339" s="59"/>
      <c r="L1339" s="87"/>
      <c r="M1339" s="87"/>
      <c r="N1339" s="100"/>
      <c r="O1339" s="100"/>
    </row>
    <row r="1340" spans="1:15">
      <c r="A1340" s="87"/>
      <c r="B1340" s="87"/>
      <c r="C1340" s="18"/>
      <c r="D1340" s="18"/>
      <c r="E1340" s="18"/>
      <c r="F1340" s="87"/>
      <c r="G1340" s="87"/>
      <c r="H1340" s="87"/>
      <c r="I1340" s="59"/>
      <c r="J1340" s="59"/>
      <c r="K1340" s="59"/>
      <c r="L1340" s="87"/>
      <c r="M1340" s="87"/>
      <c r="N1340" s="100"/>
      <c r="O1340" s="100"/>
    </row>
    <row r="1341" spans="1:15">
      <c r="A1341" s="87"/>
      <c r="B1341" s="87"/>
      <c r="C1341" s="18"/>
      <c r="D1341" s="18"/>
      <c r="E1341" s="18"/>
      <c r="F1341" s="87"/>
      <c r="G1341" s="87"/>
      <c r="H1341" s="87"/>
      <c r="I1341" s="59"/>
      <c r="J1341" s="59"/>
      <c r="K1341" s="59"/>
      <c r="L1341" s="87"/>
      <c r="M1341" s="87"/>
      <c r="N1341" s="100"/>
      <c r="O1341" s="100"/>
    </row>
    <row r="1342" spans="1:15">
      <c r="A1342" s="87"/>
      <c r="B1342" s="87"/>
      <c r="C1342" s="18"/>
      <c r="D1342" s="18"/>
      <c r="E1342" s="18"/>
      <c r="F1342" s="87"/>
      <c r="G1342" s="87"/>
      <c r="H1342" s="87"/>
      <c r="I1342" s="59"/>
      <c r="J1342" s="59"/>
      <c r="K1342" s="59"/>
      <c r="L1342" s="87"/>
      <c r="M1342" s="87"/>
      <c r="N1342" s="100"/>
      <c r="O1342" s="100"/>
    </row>
    <row r="1343" spans="1:15">
      <c r="A1343" s="87"/>
      <c r="B1343" s="87"/>
      <c r="C1343" s="18"/>
      <c r="D1343" s="18"/>
      <c r="E1343" s="18"/>
      <c r="F1343" s="87"/>
      <c r="G1343" s="87"/>
      <c r="H1343" s="87"/>
      <c r="I1343" s="59"/>
      <c r="J1343" s="59"/>
      <c r="K1343" s="59"/>
      <c r="L1343" s="87"/>
      <c r="M1343" s="87"/>
      <c r="N1343" s="100"/>
      <c r="O1343" s="100"/>
    </row>
    <row r="1344" spans="1:15">
      <c r="A1344" s="87"/>
      <c r="B1344" s="87"/>
      <c r="C1344" s="18"/>
      <c r="D1344" s="18"/>
      <c r="E1344" s="18"/>
      <c r="F1344" s="87"/>
      <c r="G1344" s="87"/>
      <c r="H1344" s="87"/>
      <c r="I1344" s="59"/>
      <c r="J1344" s="59"/>
      <c r="K1344" s="59"/>
      <c r="L1344" s="87"/>
      <c r="M1344" s="87"/>
      <c r="N1344" s="100"/>
      <c r="O1344" s="100"/>
    </row>
    <row r="1345" spans="1:15">
      <c r="A1345" s="87"/>
      <c r="B1345" s="87"/>
      <c r="C1345" s="18"/>
      <c r="D1345" s="18"/>
      <c r="E1345" s="18"/>
      <c r="F1345" s="87"/>
      <c r="G1345" s="87"/>
      <c r="H1345" s="87"/>
      <c r="I1345" s="59"/>
      <c r="J1345" s="59"/>
      <c r="K1345" s="59"/>
      <c r="L1345" s="87"/>
      <c r="M1345" s="87"/>
      <c r="N1345" s="100"/>
      <c r="O1345" s="100"/>
    </row>
    <row r="1346" spans="1:15">
      <c r="A1346" s="87"/>
      <c r="B1346" s="87"/>
      <c r="C1346" s="18"/>
      <c r="D1346" s="18"/>
      <c r="E1346" s="18"/>
      <c r="F1346" s="87"/>
      <c r="G1346" s="87"/>
      <c r="H1346" s="87"/>
      <c r="I1346" s="59"/>
      <c r="J1346" s="59"/>
      <c r="K1346" s="59"/>
      <c r="L1346" s="87"/>
      <c r="M1346" s="87"/>
      <c r="N1346" s="100"/>
      <c r="O1346" s="100"/>
    </row>
    <row r="1347" spans="1:15">
      <c r="A1347" s="87"/>
      <c r="B1347" s="87"/>
      <c r="C1347" s="18"/>
      <c r="D1347" s="18"/>
      <c r="E1347" s="18"/>
      <c r="F1347" s="87"/>
      <c r="G1347" s="87"/>
      <c r="H1347" s="87"/>
      <c r="I1347" s="59"/>
      <c r="J1347" s="59"/>
      <c r="K1347" s="59"/>
      <c r="L1347" s="87"/>
      <c r="M1347" s="87"/>
      <c r="N1347" s="100"/>
      <c r="O1347" s="100"/>
    </row>
    <row r="1348" spans="1:15">
      <c r="A1348" s="87"/>
      <c r="B1348" s="87"/>
      <c r="C1348" s="18"/>
      <c r="D1348" s="18"/>
      <c r="E1348" s="18"/>
      <c r="F1348" s="87"/>
      <c r="G1348" s="87"/>
      <c r="H1348" s="87"/>
      <c r="I1348" s="59"/>
      <c r="J1348" s="59"/>
      <c r="K1348" s="59"/>
      <c r="L1348" s="87"/>
      <c r="M1348" s="87"/>
      <c r="N1348" s="100"/>
      <c r="O1348" s="100"/>
    </row>
    <row r="1349" spans="1:15">
      <c r="A1349" s="87"/>
      <c r="B1349" s="87"/>
      <c r="C1349" s="18"/>
      <c r="D1349" s="18"/>
      <c r="E1349" s="18"/>
      <c r="F1349" s="87"/>
      <c r="G1349" s="87"/>
      <c r="H1349" s="87"/>
      <c r="I1349" s="59"/>
      <c r="J1349" s="59"/>
      <c r="K1349" s="59"/>
      <c r="L1349" s="87"/>
      <c r="M1349" s="87"/>
      <c r="N1349" s="100"/>
      <c r="O1349" s="100"/>
    </row>
    <row r="1350" spans="1:15">
      <c r="A1350" s="87"/>
      <c r="B1350" s="87"/>
      <c r="C1350" s="18"/>
      <c r="D1350" s="18"/>
      <c r="E1350" s="18"/>
      <c r="F1350" s="87"/>
      <c r="G1350" s="87"/>
      <c r="H1350" s="87"/>
      <c r="I1350" s="59"/>
      <c r="J1350" s="59"/>
      <c r="K1350" s="59"/>
      <c r="L1350" s="87"/>
      <c r="M1350" s="87"/>
      <c r="N1350" s="100"/>
      <c r="O1350" s="100"/>
    </row>
    <row r="1351" spans="1:15">
      <c r="A1351" s="87"/>
      <c r="B1351" s="87"/>
      <c r="C1351" s="18"/>
      <c r="D1351" s="18"/>
      <c r="E1351" s="18"/>
      <c r="F1351" s="87"/>
      <c r="G1351" s="87"/>
      <c r="H1351" s="87"/>
      <c r="I1351" s="59"/>
      <c r="J1351" s="59"/>
      <c r="K1351" s="59"/>
      <c r="L1351" s="87"/>
      <c r="M1351" s="87"/>
      <c r="N1351" s="100"/>
      <c r="O1351" s="100"/>
    </row>
    <row r="1352" spans="1:15">
      <c r="A1352" s="87"/>
      <c r="B1352" s="87"/>
      <c r="C1352" s="18"/>
      <c r="D1352" s="18"/>
      <c r="E1352" s="18"/>
      <c r="F1352" s="87"/>
      <c r="G1352" s="87"/>
      <c r="H1352" s="87"/>
      <c r="I1352" s="59"/>
      <c r="J1352" s="59"/>
      <c r="K1352" s="59"/>
      <c r="L1352" s="87"/>
      <c r="M1352" s="87"/>
      <c r="N1352" s="100"/>
      <c r="O1352" s="100"/>
    </row>
    <row r="1353" spans="1:15">
      <c r="A1353" s="87"/>
      <c r="B1353" s="87"/>
      <c r="C1353" s="18"/>
      <c r="D1353" s="18"/>
      <c r="E1353" s="18"/>
      <c r="F1353" s="87"/>
      <c r="G1353" s="87"/>
      <c r="H1353" s="87"/>
      <c r="I1353" s="59"/>
      <c r="J1353" s="59"/>
      <c r="K1353" s="59"/>
      <c r="L1353" s="87"/>
      <c r="M1353" s="87"/>
      <c r="N1353" s="100"/>
      <c r="O1353" s="100"/>
    </row>
    <row r="1354" spans="1:15">
      <c r="A1354" s="87"/>
      <c r="B1354" s="87"/>
      <c r="C1354" s="18"/>
      <c r="D1354" s="18"/>
      <c r="E1354" s="18"/>
      <c r="F1354" s="87"/>
      <c r="G1354" s="87"/>
      <c r="H1354" s="87"/>
      <c r="I1354" s="59"/>
      <c r="J1354" s="59"/>
      <c r="K1354" s="59"/>
      <c r="L1354" s="87"/>
      <c r="M1354" s="87"/>
      <c r="N1354" s="100"/>
      <c r="O1354" s="100"/>
    </row>
    <row r="1355" spans="1:15">
      <c r="A1355" s="87"/>
      <c r="B1355" s="87"/>
      <c r="C1355" s="18"/>
      <c r="D1355" s="18"/>
      <c r="E1355" s="18"/>
      <c r="F1355" s="87"/>
      <c r="G1355" s="87"/>
      <c r="H1355" s="87"/>
      <c r="I1355" s="59"/>
      <c r="J1355" s="59"/>
      <c r="K1355" s="59"/>
      <c r="L1355" s="87"/>
      <c r="M1355" s="87"/>
      <c r="N1355" s="100"/>
      <c r="O1355" s="100"/>
    </row>
    <row r="1356" spans="1:15">
      <c r="A1356" s="87"/>
      <c r="B1356" s="87"/>
      <c r="C1356" s="18"/>
      <c r="D1356" s="18"/>
      <c r="E1356" s="18"/>
      <c r="F1356" s="87"/>
      <c r="G1356" s="87"/>
      <c r="H1356" s="87"/>
      <c r="I1356" s="59"/>
      <c r="J1356" s="59"/>
      <c r="K1356" s="59"/>
      <c r="L1356" s="87"/>
      <c r="M1356" s="87"/>
      <c r="N1356" s="100"/>
      <c r="O1356" s="100"/>
    </row>
    <row r="1357" spans="1:15">
      <c r="A1357" s="87"/>
      <c r="B1357" s="87"/>
      <c r="C1357" s="18"/>
      <c r="D1357" s="18"/>
      <c r="E1357" s="18"/>
      <c r="F1357" s="87"/>
      <c r="G1357" s="87"/>
      <c r="H1357" s="87"/>
      <c r="I1357" s="59"/>
      <c r="J1357" s="59"/>
      <c r="K1357" s="59"/>
      <c r="L1357" s="87"/>
      <c r="M1357" s="87"/>
      <c r="N1357" s="100"/>
      <c r="O1357" s="100"/>
    </row>
    <row r="1358" spans="1:15">
      <c r="A1358" s="87"/>
      <c r="B1358" s="87"/>
      <c r="C1358" s="18"/>
      <c r="D1358" s="18"/>
      <c r="E1358" s="18"/>
      <c r="F1358" s="87"/>
      <c r="G1358" s="87"/>
      <c r="H1358" s="87"/>
      <c r="I1358" s="59"/>
      <c r="J1358" s="59"/>
      <c r="K1358" s="59"/>
      <c r="L1358" s="87"/>
      <c r="M1358" s="87"/>
      <c r="N1358" s="100"/>
      <c r="O1358" s="100"/>
    </row>
    <row r="1359" spans="1:15">
      <c r="A1359" s="87"/>
      <c r="B1359" s="87"/>
      <c r="C1359" s="18"/>
      <c r="D1359" s="18"/>
      <c r="E1359" s="18"/>
      <c r="F1359" s="87"/>
      <c r="G1359" s="87"/>
      <c r="H1359" s="87"/>
      <c r="I1359" s="59"/>
      <c r="J1359" s="59"/>
      <c r="K1359" s="59"/>
      <c r="L1359" s="87"/>
      <c r="M1359" s="87"/>
      <c r="N1359" s="100"/>
      <c r="O1359" s="100"/>
    </row>
    <row r="1360" spans="1:15">
      <c r="A1360" s="87"/>
      <c r="B1360" s="87"/>
      <c r="C1360" s="18"/>
      <c r="D1360" s="18"/>
      <c r="E1360" s="18"/>
      <c r="F1360" s="87"/>
      <c r="G1360" s="87"/>
      <c r="H1360" s="87"/>
      <c r="I1360" s="59"/>
      <c r="J1360" s="59"/>
      <c r="K1360" s="59"/>
      <c r="L1360" s="87"/>
      <c r="M1360" s="87"/>
      <c r="N1360" s="100"/>
      <c r="O1360" s="100"/>
    </row>
    <row r="1361" spans="1:15">
      <c r="A1361" s="87"/>
      <c r="B1361" s="87"/>
      <c r="C1361" s="18"/>
      <c r="D1361" s="18"/>
      <c r="E1361" s="18"/>
      <c r="F1361" s="87"/>
      <c r="G1361" s="87"/>
      <c r="H1361" s="87"/>
      <c r="I1361" s="59"/>
      <c r="J1361" s="59"/>
      <c r="K1361" s="59"/>
      <c r="L1361" s="87"/>
      <c r="M1361" s="87"/>
      <c r="N1361" s="100"/>
      <c r="O1361" s="100"/>
    </row>
    <row r="1362" spans="1:15">
      <c r="A1362" s="87"/>
      <c r="B1362" s="87"/>
      <c r="C1362" s="18"/>
      <c r="D1362" s="18"/>
      <c r="E1362" s="18"/>
      <c r="F1362" s="87"/>
      <c r="G1362" s="87"/>
      <c r="H1362" s="87"/>
      <c r="I1362" s="59"/>
      <c r="J1362" s="59"/>
      <c r="K1362" s="59"/>
      <c r="L1362" s="87"/>
      <c r="M1362" s="87"/>
      <c r="N1362" s="100"/>
      <c r="O1362" s="100"/>
    </row>
    <row r="1363" spans="1:15">
      <c r="A1363" s="87"/>
      <c r="B1363" s="87"/>
      <c r="C1363" s="18"/>
      <c r="D1363" s="18"/>
      <c r="E1363" s="18"/>
      <c r="F1363" s="87"/>
      <c r="G1363" s="87"/>
      <c r="H1363" s="87"/>
      <c r="I1363" s="59"/>
      <c r="J1363" s="59"/>
      <c r="K1363" s="59"/>
      <c r="L1363" s="87"/>
      <c r="M1363" s="87"/>
      <c r="N1363" s="100"/>
      <c r="O1363" s="100"/>
    </row>
    <row r="1364" spans="1:15">
      <c r="A1364" s="87"/>
      <c r="B1364" s="87"/>
      <c r="C1364" s="18"/>
      <c r="D1364" s="18"/>
      <c r="E1364" s="18"/>
      <c r="F1364" s="87"/>
      <c r="G1364" s="87"/>
      <c r="H1364" s="87"/>
      <c r="I1364" s="59"/>
      <c r="J1364" s="59"/>
      <c r="K1364" s="59"/>
      <c r="L1364" s="87"/>
      <c r="M1364" s="87"/>
      <c r="N1364" s="100"/>
      <c r="O1364" s="100"/>
    </row>
    <row r="1365" spans="1:15">
      <c r="A1365" s="87"/>
      <c r="B1365" s="87"/>
      <c r="C1365" s="18"/>
      <c r="D1365" s="18"/>
      <c r="E1365" s="18"/>
      <c r="F1365" s="87"/>
      <c r="G1365" s="87"/>
      <c r="H1365" s="87"/>
      <c r="I1365" s="59"/>
      <c r="J1365" s="59"/>
      <c r="K1365" s="59"/>
      <c r="L1365" s="87"/>
      <c r="M1365" s="87"/>
      <c r="N1365" s="100"/>
      <c r="O1365" s="100"/>
    </row>
    <row r="1366" spans="1:15">
      <c r="A1366" s="87"/>
      <c r="B1366" s="87"/>
      <c r="C1366" s="18"/>
      <c r="D1366" s="18"/>
      <c r="E1366" s="18"/>
      <c r="F1366" s="87"/>
      <c r="G1366" s="87"/>
      <c r="H1366" s="87"/>
      <c r="I1366" s="59"/>
      <c r="J1366" s="59"/>
      <c r="K1366" s="59"/>
      <c r="L1366" s="87"/>
      <c r="M1366" s="87"/>
      <c r="N1366" s="100"/>
      <c r="O1366" s="100"/>
    </row>
    <row r="1367" spans="1:15">
      <c r="A1367" s="87"/>
      <c r="B1367" s="87"/>
      <c r="C1367" s="18"/>
      <c r="D1367" s="18"/>
      <c r="E1367" s="18"/>
      <c r="F1367" s="87"/>
      <c r="G1367" s="87"/>
      <c r="H1367" s="87"/>
      <c r="I1367" s="59"/>
      <c r="J1367" s="59"/>
      <c r="K1367" s="59"/>
      <c r="L1367" s="87"/>
      <c r="M1367" s="87"/>
      <c r="N1367" s="100"/>
      <c r="O1367" s="100"/>
    </row>
    <row r="1368" spans="1:15">
      <c r="A1368" s="87"/>
      <c r="B1368" s="87"/>
      <c r="C1368" s="18"/>
      <c r="D1368" s="18"/>
      <c r="E1368" s="18"/>
      <c r="F1368" s="87"/>
      <c r="G1368" s="87"/>
      <c r="H1368" s="87"/>
      <c r="I1368" s="59"/>
      <c r="J1368" s="59"/>
      <c r="K1368" s="59"/>
      <c r="L1368" s="87"/>
      <c r="M1368" s="87"/>
      <c r="N1368" s="100"/>
      <c r="O1368" s="100"/>
    </row>
    <row r="1369" spans="1:15">
      <c r="A1369" s="87"/>
      <c r="B1369" s="87"/>
      <c r="C1369" s="18"/>
      <c r="D1369" s="18"/>
      <c r="E1369" s="18"/>
      <c r="F1369" s="87"/>
      <c r="G1369" s="87"/>
      <c r="H1369" s="87"/>
      <c r="I1369" s="59"/>
      <c r="J1369" s="59"/>
      <c r="K1369" s="59"/>
      <c r="L1369" s="87"/>
      <c r="M1369" s="87"/>
      <c r="N1369" s="100"/>
      <c r="O1369" s="100"/>
    </row>
    <row r="1370" spans="1:15">
      <c r="A1370" s="87"/>
      <c r="B1370" s="87"/>
      <c r="C1370" s="18"/>
      <c r="D1370" s="18"/>
      <c r="E1370" s="18"/>
      <c r="F1370" s="87"/>
      <c r="G1370" s="87"/>
      <c r="H1370" s="87"/>
      <c r="I1370" s="59"/>
      <c r="J1370" s="59"/>
      <c r="K1370" s="59"/>
      <c r="L1370" s="87"/>
      <c r="M1370" s="87"/>
      <c r="N1370" s="100"/>
      <c r="O1370" s="100"/>
    </row>
    <row r="1371" spans="1:15">
      <c r="A1371" s="87"/>
      <c r="B1371" s="87"/>
      <c r="C1371" s="18"/>
      <c r="D1371" s="18"/>
      <c r="E1371" s="18"/>
      <c r="F1371" s="87"/>
      <c r="G1371" s="87"/>
      <c r="H1371" s="87"/>
      <c r="I1371" s="59"/>
      <c r="J1371" s="59"/>
      <c r="K1371" s="59"/>
      <c r="L1371" s="87"/>
      <c r="M1371" s="87"/>
      <c r="N1371" s="100"/>
      <c r="O1371" s="100"/>
    </row>
    <row r="1372" spans="1:15">
      <c r="A1372" s="87"/>
      <c r="B1372" s="87"/>
      <c r="C1372" s="18"/>
      <c r="D1372" s="18"/>
      <c r="E1372" s="18"/>
      <c r="F1372" s="87"/>
      <c r="G1372" s="87"/>
      <c r="H1372" s="87"/>
      <c r="I1372" s="59"/>
      <c r="J1372" s="59"/>
      <c r="K1372" s="59"/>
      <c r="L1372" s="87"/>
      <c r="M1372" s="87"/>
      <c r="N1372" s="100"/>
      <c r="O1372" s="100"/>
    </row>
    <row r="1373" spans="1:15">
      <c r="A1373" s="87"/>
      <c r="B1373" s="87"/>
      <c r="C1373" s="18"/>
      <c r="D1373" s="18"/>
      <c r="E1373" s="18"/>
      <c r="F1373" s="87"/>
      <c r="G1373" s="87"/>
      <c r="H1373" s="87"/>
      <c r="I1373" s="59"/>
      <c r="J1373" s="59"/>
      <c r="K1373" s="59"/>
      <c r="L1373" s="87"/>
      <c r="M1373" s="87"/>
      <c r="N1373" s="100"/>
      <c r="O1373" s="100"/>
    </row>
    <row r="1374" spans="1:15">
      <c r="A1374" s="87"/>
      <c r="B1374" s="87"/>
      <c r="C1374" s="18"/>
      <c r="D1374" s="18"/>
      <c r="E1374" s="18"/>
      <c r="F1374" s="87"/>
      <c r="G1374" s="87"/>
      <c r="H1374" s="87"/>
      <c r="I1374" s="59"/>
      <c r="J1374" s="59"/>
      <c r="K1374" s="59"/>
      <c r="L1374" s="87"/>
      <c r="M1374" s="87"/>
      <c r="N1374" s="100"/>
      <c r="O1374" s="100"/>
    </row>
    <row r="1375" spans="1:15">
      <c r="A1375" s="87"/>
      <c r="B1375" s="87"/>
      <c r="C1375" s="18"/>
      <c r="D1375" s="18"/>
      <c r="E1375" s="18"/>
      <c r="F1375" s="87"/>
      <c r="G1375" s="87"/>
      <c r="H1375" s="87"/>
      <c r="I1375" s="59"/>
      <c r="J1375" s="59"/>
      <c r="K1375" s="59"/>
      <c r="L1375" s="87"/>
      <c r="M1375" s="87"/>
      <c r="N1375" s="100"/>
      <c r="O1375" s="100"/>
    </row>
    <row r="1376" spans="1:15">
      <c r="A1376" s="87"/>
      <c r="B1376" s="87"/>
      <c r="C1376" s="18"/>
      <c r="D1376" s="18"/>
      <c r="E1376" s="18"/>
      <c r="F1376" s="87"/>
      <c r="G1376" s="87"/>
      <c r="H1376" s="87"/>
      <c r="I1376" s="59"/>
      <c r="J1376" s="59"/>
      <c r="K1376" s="59"/>
      <c r="L1376" s="87"/>
      <c r="M1376" s="87"/>
      <c r="N1376" s="100"/>
      <c r="O1376" s="100"/>
    </row>
    <row r="1377" spans="1:15">
      <c r="A1377" s="87"/>
      <c r="B1377" s="87"/>
      <c r="C1377" s="18"/>
      <c r="D1377" s="18"/>
      <c r="E1377" s="18"/>
      <c r="F1377" s="87"/>
      <c r="G1377" s="87"/>
      <c r="H1377" s="87"/>
      <c r="I1377" s="59"/>
      <c r="J1377" s="59"/>
      <c r="K1377" s="59"/>
      <c r="L1377" s="87"/>
      <c r="M1377" s="87"/>
      <c r="N1377" s="100"/>
      <c r="O1377" s="100"/>
    </row>
    <row r="1378" spans="1:15">
      <c r="A1378" s="87"/>
      <c r="B1378" s="87"/>
      <c r="C1378" s="18"/>
      <c r="D1378" s="18"/>
      <c r="E1378" s="18"/>
      <c r="F1378" s="87"/>
      <c r="G1378" s="87"/>
      <c r="H1378" s="87"/>
      <c r="I1378" s="59"/>
      <c r="J1378" s="59"/>
      <c r="K1378" s="59"/>
      <c r="L1378" s="87"/>
      <c r="M1378" s="87"/>
      <c r="N1378" s="100"/>
      <c r="O1378" s="100"/>
    </row>
    <row r="1379" spans="1:15">
      <c r="A1379" s="87"/>
      <c r="B1379" s="87"/>
      <c r="C1379" s="18"/>
      <c r="D1379" s="18"/>
      <c r="E1379" s="18"/>
      <c r="F1379" s="87"/>
      <c r="G1379" s="87"/>
      <c r="H1379" s="87"/>
      <c r="I1379" s="59"/>
      <c r="J1379" s="59"/>
      <c r="K1379" s="59"/>
      <c r="L1379" s="87"/>
      <c r="M1379" s="87"/>
      <c r="N1379" s="100"/>
      <c r="O1379" s="100"/>
    </row>
    <row r="1380" spans="1:15">
      <c r="A1380" s="87"/>
      <c r="B1380" s="87"/>
      <c r="C1380" s="18"/>
      <c r="D1380" s="18"/>
      <c r="E1380" s="18"/>
      <c r="F1380" s="87"/>
      <c r="G1380" s="87"/>
      <c r="H1380" s="87"/>
      <c r="I1380" s="59"/>
      <c r="J1380" s="59"/>
      <c r="K1380" s="59"/>
      <c r="L1380" s="87"/>
      <c r="M1380" s="87"/>
      <c r="N1380" s="100"/>
      <c r="O1380" s="100"/>
    </row>
    <row r="1381" spans="1:15">
      <c r="A1381" s="87"/>
      <c r="B1381" s="87"/>
      <c r="C1381" s="18"/>
      <c r="D1381" s="18"/>
      <c r="E1381" s="18"/>
      <c r="F1381" s="87"/>
      <c r="G1381" s="87"/>
      <c r="H1381" s="87"/>
      <c r="I1381" s="59"/>
      <c r="J1381" s="59"/>
      <c r="K1381" s="59"/>
      <c r="L1381" s="87"/>
      <c r="M1381" s="87"/>
      <c r="N1381" s="100"/>
      <c r="O1381" s="100"/>
    </row>
    <row r="1382" spans="1:15">
      <c r="A1382" s="87"/>
      <c r="B1382" s="87"/>
      <c r="C1382" s="18"/>
      <c r="D1382" s="18"/>
      <c r="E1382" s="18"/>
      <c r="F1382" s="87"/>
      <c r="G1382" s="87"/>
      <c r="H1382" s="87"/>
      <c r="I1382" s="59"/>
      <c r="J1382" s="59"/>
      <c r="K1382" s="59"/>
      <c r="L1382" s="87"/>
      <c r="M1382" s="87"/>
      <c r="N1382" s="100"/>
      <c r="O1382" s="100"/>
    </row>
    <row r="1383" spans="1:15">
      <c r="A1383" s="87"/>
      <c r="B1383" s="87"/>
      <c r="C1383" s="18"/>
      <c r="D1383" s="18"/>
      <c r="E1383" s="18"/>
      <c r="F1383" s="87"/>
      <c r="G1383" s="87"/>
      <c r="H1383" s="87"/>
      <c r="I1383" s="59"/>
      <c r="J1383" s="59"/>
      <c r="K1383" s="59"/>
      <c r="L1383" s="87"/>
      <c r="M1383" s="87"/>
      <c r="N1383" s="100"/>
      <c r="O1383" s="100"/>
    </row>
    <row r="1384" spans="1:15">
      <c r="A1384" s="87"/>
      <c r="B1384" s="87"/>
      <c r="C1384" s="18"/>
      <c r="D1384" s="18"/>
      <c r="E1384" s="18"/>
      <c r="F1384" s="87"/>
      <c r="G1384" s="87"/>
      <c r="H1384" s="87"/>
      <c r="I1384" s="59"/>
      <c r="J1384" s="59"/>
      <c r="K1384" s="59"/>
      <c r="L1384" s="87"/>
      <c r="M1384" s="87"/>
      <c r="N1384" s="100"/>
      <c r="O1384" s="100"/>
    </row>
    <row r="1385" spans="1:15">
      <c r="A1385" s="87"/>
      <c r="B1385" s="87"/>
      <c r="C1385" s="18"/>
      <c r="D1385" s="18"/>
      <c r="E1385" s="18"/>
      <c r="F1385" s="87"/>
      <c r="G1385" s="87"/>
      <c r="H1385" s="87"/>
      <c r="I1385" s="59"/>
      <c r="J1385" s="59"/>
      <c r="K1385" s="59"/>
      <c r="L1385" s="87"/>
      <c r="M1385" s="87"/>
      <c r="N1385" s="100"/>
      <c r="O1385" s="100"/>
    </row>
    <row r="1386" spans="1:15">
      <c r="A1386" s="87"/>
      <c r="B1386" s="87"/>
      <c r="C1386" s="18"/>
      <c r="D1386" s="18"/>
      <c r="E1386" s="18"/>
      <c r="F1386" s="87"/>
      <c r="G1386" s="87"/>
      <c r="H1386" s="87"/>
      <c r="I1386" s="59"/>
      <c r="J1386" s="59"/>
      <c r="K1386" s="59"/>
      <c r="L1386" s="87"/>
      <c r="M1386" s="87"/>
      <c r="N1386" s="100"/>
      <c r="O1386" s="100"/>
    </row>
    <row r="1387" spans="1:15">
      <c r="A1387" s="87"/>
      <c r="B1387" s="87"/>
      <c r="C1387" s="18"/>
      <c r="D1387" s="18"/>
      <c r="E1387" s="18"/>
      <c r="F1387" s="87"/>
      <c r="G1387" s="87"/>
      <c r="H1387" s="87"/>
      <c r="I1387" s="59"/>
      <c r="J1387" s="59"/>
      <c r="K1387" s="59"/>
      <c r="L1387" s="87"/>
      <c r="M1387" s="87"/>
      <c r="N1387" s="100"/>
      <c r="O1387" s="100"/>
    </row>
    <row r="1388" spans="1:15">
      <c r="A1388" s="87"/>
      <c r="B1388" s="87"/>
      <c r="C1388" s="18"/>
      <c r="D1388" s="18"/>
      <c r="E1388" s="18"/>
      <c r="F1388" s="87"/>
      <c r="G1388" s="87"/>
      <c r="H1388" s="87"/>
      <c r="I1388" s="59"/>
      <c r="J1388" s="59"/>
      <c r="K1388" s="59"/>
      <c r="L1388" s="87"/>
      <c r="M1388" s="87"/>
      <c r="N1388" s="100"/>
      <c r="O1388" s="100"/>
    </row>
    <row r="1389" spans="1:15">
      <c r="A1389" s="87"/>
      <c r="B1389" s="87"/>
      <c r="C1389" s="18"/>
      <c r="D1389" s="18"/>
      <c r="E1389" s="18"/>
      <c r="F1389" s="87"/>
      <c r="G1389" s="87"/>
      <c r="H1389" s="87"/>
      <c r="I1389" s="59"/>
      <c r="J1389" s="59"/>
      <c r="K1389" s="59"/>
      <c r="L1389" s="87"/>
      <c r="M1389" s="87"/>
      <c r="N1389" s="100"/>
      <c r="O1389" s="100"/>
    </row>
    <row r="1390" spans="1:15">
      <c r="A1390" s="87"/>
      <c r="B1390" s="87"/>
      <c r="C1390" s="18"/>
      <c r="D1390" s="18"/>
      <c r="E1390" s="18"/>
      <c r="F1390" s="87"/>
      <c r="G1390" s="87"/>
      <c r="H1390" s="87"/>
      <c r="I1390" s="59"/>
      <c r="J1390" s="59"/>
      <c r="K1390" s="59"/>
      <c r="L1390" s="87"/>
      <c r="M1390" s="87"/>
      <c r="N1390" s="100"/>
      <c r="O1390" s="100"/>
    </row>
    <row r="1391" spans="1:15">
      <c r="A1391" s="87"/>
      <c r="B1391" s="87"/>
      <c r="C1391" s="18"/>
      <c r="D1391" s="18"/>
      <c r="E1391" s="18"/>
      <c r="F1391" s="87"/>
      <c r="G1391" s="87"/>
      <c r="H1391" s="87"/>
      <c r="I1391" s="59"/>
      <c r="J1391" s="59"/>
      <c r="K1391" s="59"/>
      <c r="L1391" s="87"/>
      <c r="M1391" s="87"/>
      <c r="N1391" s="100"/>
      <c r="O1391" s="100"/>
    </row>
    <row r="1392" spans="1:15">
      <c r="A1392" s="87"/>
      <c r="B1392" s="87"/>
      <c r="C1392" s="18"/>
      <c r="D1392" s="18"/>
      <c r="E1392" s="18"/>
      <c r="F1392" s="87"/>
      <c r="G1392" s="87"/>
      <c r="H1392" s="87"/>
      <c r="I1392" s="59"/>
      <c r="J1392" s="59"/>
      <c r="K1392" s="59"/>
      <c r="L1392" s="87"/>
      <c r="M1392" s="87"/>
      <c r="N1392" s="100"/>
      <c r="O1392" s="100"/>
    </row>
    <row r="1393" spans="1:15">
      <c r="A1393" s="87"/>
      <c r="B1393" s="87"/>
      <c r="C1393" s="18"/>
      <c r="D1393" s="18"/>
      <c r="E1393" s="18"/>
      <c r="F1393" s="87"/>
      <c r="G1393" s="87"/>
      <c r="H1393" s="87"/>
      <c r="I1393" s="59"/>
      <c r="J1393" s="59"/>
      <c r="K1393" s="59"/>
      <c r="L1393" s="87"/>
      <c r="M1393" s="87"/>
      <c r="N1393" s="100"/>
      <c r="O1393" s="100"/>
    </row>
    <row r="1394" spans="1:15">
      <c r="A1394" s="87"/>
      <c r="B1394" s="87"/>
      <c r="C1394" s="18"/>
      <c r="D1394" s="18"/>
      <c r="E1394" s="18"/>
      <c r="F1394" s="87"/>
      <c r="G1394" s="87"/>
      <c r="H1394" s="87"/>
      <c r="I1394" s="59"/>
      <c r="J1394" s="59"/>
      <c r="K1394" s="59"/>
      <c r="L1394" s="87"/>
      <c r="M1394" s="87"/>
      <c r="N1394" s="100"/>
      <c r="O1394" s="100"/>
    </row>
    <row r="1395" spans="1:15">
      <c r="A1395" s="87"/>
      <c r="B1395" s="87"/>
      <c r="C1395" s="18"/>
      <c r="D1395" s="18"/>
      <c r="E1395" s="18"/>
      <c r="F1395" s="87"/>
      <c r="G1395" s="87"/>
      <c r="H1395" s="87"/>
      <c r="I1395" s="59"/>
      <c r="J1395" s="59"/>
      <c r="K1395" s="59"/>
      <c r="L1395" s="87"/>
      <c r="M1395" s="87"/>
      <c r="N1395" s="100"/>
      <c r="O1395" s="100"/>
    </row>
    <row r="1396" spans="1:15">
      <c r="A1396" s="87"/>
      <c r="B1396" s="87"/>
      <c r="C1396" s="18"/>
      <c r="D1396" s="18"/>
      <c r="E1396" s="18"/>
      <c r="F1396" s="87"/>
      <c r="G1396" s="87"/>
      <c r="H1396" s="87"/>
      <c r="I1396" s="59"/>
      <c r="J1396" s="59"/>
      <c r="K1396" s="59"/>
      <c r="L1396" s="87"/>
      <c r="M1396" s="87"/>
      <c r="N1396" s="100"/>
      <c r="O1396" s="100"/>
    </row>
    <row r="1397" spans="1:15">
      <c r="A1397" s="87"/>
      <c r="B1397" s="87"/>
      <c r="C1397" s="18"/>
      <c r="D1397" s="18"/>
      <c r="E1397" s="18"/>
      <c r="F1397" s="87"/>
      <c r="G1397" s="87"/>
      <c r="H1397" s="87"/>
      <c r="I1397" s="59"/>
      <c r="J1397" s="59"/>
      <c r="K1397" s="59"/>
      <c r="L1397" s="87"/>
      <c r="M1397" s="87"/>
      <c r="N1397" s="100"/>
      <c r="O1397" s="100"/>
    </row>
    <row r="1398" spans="1:15">
      <c r="A1398" s="87"/>
      <c r="B1398" s="87"/>
      <c r="C1398" s="18"/>
      <c r="D1398" s="18"/>
      <c r="E1398" s="18"/>
      <c r="F1398" s="87"/>
      <c r="G1398" s="87"/>
      <c r="H1398" s="87"/>
      <c r="I1398" s="59"/>
      <c r="J1398" s="59"/>
      <c r="K1398" s="59"/>
      <c r="L1398" s="87"/>
      <c r="M1398" s="87"/>
      <c r="N1398" s="100"/>
      <c r="O1398" s="100"/>
    </row>
    <row r="1399" spans="1:15">
      <c r="A1399" s="87"/>
      <c r="B1399" s="87"/>
      <c r="C1399" s="18"/>
      <c r="D1399" s="18"/>
      <c r="E1399" s="18"/>
      <c r="F1399" s="87"/>
      <c r="G1399" s="87"/>
      <c r="H1399" s="87"/>
      <c r="I1399" s="59"/>
      <c r="J1399" s="59"/>
      <c r="K1399" s="59"/>
      <c r="L1399" s="87"/>
      <c r="M1399" s="87"/>
      <c r="N1399" s="100"/>
      <c r="O1399" s="100"/>
    </row>
    <row r="1400" spans="1:15">
      <c r="A1400" s="87"/>
      <c r="B1400" s="87"/>
      <c r="C1400" s="18"/>
      <c r="D1400" s="18"/>
      <c r="E1400" s="18"/>
      <c r="F1400" s="87"/>
      <c r="G1400" s="87"/>
      <c r="H1400" s="87"/>
      <c r="I1400" s="59"/>
      <c r="J1400" s="59"/>
      <c r="K1400" s="59"/>
      <c r="L1400" s="87"/>
      <c r="M1400" s="87"/>
      <c r="N1400" s="100"/>
      <c r="O1400" s="100"/>
    </row>
    <row r="1401" spans="1:15">
      <c r="A1401" s="87"/>
      <c r="B1401" s="87"/>
      <c r="C1401" s="18"/>
      <c r="D1401" s="18"/>
      <c r="E1401" s="18"/>
      <c r="F1401" s="87"/>
      <c r="G1401" s="87"/>
      <c r="H1401" s="87"/>
      <c r="I1401" s="59"/>
      <c r="J1401" s="59"/>
      <c r="K1401" s="59"/>
      <c r="L1401" s="87"/>
      <c r="M1401" s="87"/>
      <c r="N1401" s="100"/>
      <c r="O1401" s="100"/>
    </row>
    <row r="1402" spans="1:15">
      <c r="A1402" s="87"/>
      <c r="B1402" s="87"/>
      <c r="C1402" s="18"/>
      <c r="D1402" s="18"/>
      <c r="E1402" s="18"/>
      <c r="F1402" s="87"/>
      <c r="G1402" s="87"/>
      <c r="H1402" s="87"/>
      <c r="I1402" s="59"/>
      <c r="J1402" s="59"/>
      <c r="K1402" s="59"/>
      <c r="L1402" s="87"/>
      <c r="M1402" s="87"/>
      <c r="N1402" s="100"/>
      <c r="O1402" s="100"/>
    </row>
    <row r="1403" spans="1:15">
      <c r="A1403" s="87"/>
      <c r="B1403" s="87"/>
      <c r="C1403" s="18"/>
      <c r="D1403" s="18"/>
      <c r="E1403" s="18"/>
      <c r="F1403" s="87"/>
      <c r="G1403" s="87"/>
      <c r="H1403" s="87"/>
      <c r="I1403" s="59"/>
      <c r="J1403" s="59"/>
      <c r="K1403" s="59"/>
      <c r="L1403" s="87"/>
      <c r="M1403" s="87"/>
      <c r="N1403" s="100"/>
      <c r="O1403" s="100"/>
    </row>
    <row r="1404" spans="1:15">
      <c r="A1404" s="87"/>
      <c r="B1404" s="87"/>
      <c r="C1404" s="18"/>
      <c r="D1404" s="18"/>
      <c r="E1404" s="18"/>
      <c r="F1404" s="87"/>
      <c r="G1404" s="87"/>
      <c r="H1404" s="87"/>
      <c r="I1404" s="59"/>
      <c r="J1404" s="59"/>
      <c r="K1404" s="59"/>
      <c r="L1404" s="87"/>
      <c r="M1404" s="87"/>
      <c r="N1404" s="100"/>
      <c r="O1404" s="100"/>
    </row>
    <row r="1405" spans="1:15">
      <c r="A1405" s="87"/>
      <c r="B1405" s="87"/>
      <c r="C1405" s="18"/>
      <c r="D1405" s="18"/>
      <c r="E1405" s="18"/>
      <c r="F1405" s="87"/>
      <c r="G1405" s="87"/>
      <c r="H1405" s="87"/>
      <c r="I1405" s="59"/>
      <c r="J1405" s="59"/>
      <c r="K1405" s="59"/>
      <c r="L1405" s="87"/>
      <c r="M1405" s="87"/>
      <c r="N1405" s="100"/>
      <c r="O1405" s="100"/>
    </row>
    <row r="1406" spans="1:15">
      <c r="A1406" s="87"/>
      <c r="B1406" s="87"/>
      <c r="C1406" s="18"/>
      <c r="D1406" s="18"/>
      <c r="E1406" s="18"/>
      <c r="F1406" s="87"/>
      <c r="G1406" s="87"/>
      <c r="H1406" s="87"/>
      <c r="I1406" s="59"/>
      <c r="J1406" s="59"/>
      <c r="K1406" s="59"/>
      <c r="L1406" s="87"/>
      <c r="M1406" s="87"/>
      <c r="N1406" s="100"/>
      <c r="O1406" s="100"/>
    </row>
    <row r="1407" spans="1:15">
      <c r="A1407" s="87"/>
      <c r="B1407" s="87"/>
      <c r="C1407" s="18"/>
      <c r="D1407" s="18"/>
      <c r="E1407" s="18"/>
      <c r="F1407" s="87"/>
      <c r="G1407" s="87"/>
      <c r="H1407" s="87"/>
      <c r="I1407" s="59"/>
      <c r="J1407" s="59"/>
      <c r="K1407" s="59"/>
      <c r="L1407" s="87"/>
      <c r="M1407" s="87"/>
      <c r="N1407" s="100"/>
      <c r="O1407" s="100"/>
    </row>
    <row r="1408" spans="1:15">
      <c r="A1408" s="87"/>
      <c r="B1408" s="87"/>
      <c r="C1408" s="18"/>
      <c r="D1408" s="18"/>
      <c r="E1408" s="18"/>
      <c r="F1408" s="87"/>
      <c r="G1408" s="87"/>
      <c r="H1408" s="87"/>
      <c r="I1408" s="59"/>
      <c r="J1408" s="59"/>
      <c r="K1408" s="59"/>
      <c r="L1408" s="87"/>
      <c r="M1408" s="87"/>
      <c r="N1408" s="100"/>
      <c r="O1408" s="100"/>
    </row>
    <row r="1409" spans="1:15">
      <c r="A1409" s="87"/>
      <c r="B1409" s="87"/>
      <c r="C1409" s="18"/>
      <c r="D1409" s="18"/>
      <c r="E1409" s="18"/>
      <c r="F1409" s="87"/>
      <c r="G1409" s="87"/>
      <c r="H1409" s="87"/>
      <c r="I1409" s="59"/>
      <c r="J1409" s="59"/>
      <c r="K1409" s="59"/>
      <c r="L1409" s="87"/>
      <c r="M1409" s="87"/>
      <c r="N1409" s="100"/>
      <c r="O1409" s="100"/>
    </row>
    <row r="1410" spans="1:15">
      <c r="A1410" s="87"/>
      <c r="B1410" s="87"/>
      <c r="C1410" s="18"/>
      <c r="D1410" s="18"/>
      <c r="E1410" s="18"/>
      <c r="F1410" s="87"/>
      <c r="G1410" s="87"/>
      <c r="H1410" s="87"/>
      <c r="I1410" s="59"/>
      <c r="J1410" s="59"/>
      <c r="K1410" s="59"/>
      <c r="L1410" s="87"/>
      <c r="M1410" s="87"/>
      <c r="N1410" s="100"/>
      <c r="O1410" s="100"/>
    </row>
    <row r="1411" spans="1:15">
      <c r="A1411" s="87"/>
      <c r="B1411" s="87"/>
      <c r="C1411" s="18"/>
      <c r="D1411" s="18"/>
      <c r="E1411" s="18"/>
      <c r="F1411" s="87"/>
      <c r="G1411" s="87"/>
      <c r="H1411" s="87"/>
      <c r="I1411" s="59"/>
      <c r="J1411" s="59"/>
      <c r="K1411" s="59"/>
      <c r="L1411" s="87"/>
      <c r="M1411" s="87"/>
      <c r="N1411" s="100"/>
      <c r="O1411" s="100"/>
    </row>
    <row r="1412" spans="1:15">
      <c r="A1412" s="87"/>
      <c r="B1412" s="87"/>
      <c r="C1412" s="18"/>
      <c r="D1412" s="18"/>
      <c r="E1412" s="18"/>
      <c r="F1412" s="87"/>
      <c r="G1412" s="87"/>
      <c r="H1412" s="87"/>
      <c r="I1412" s="59"/>
      <c r="J1412" s="59"/>
      <c r="K1412" s="59"/>
      <c r="L1412" s="87"/>
      <c r="M1412" s="87"/>
      <c r="N1412" s="100"/>
      <c r="O1412" s="100"/>
    </row>
    <row r="1413" spans="1:15">
      <c r="A1413" s="87"/>
      <c r="B1413" s="87"/>
      <c r="C1413" s="18"/>
      <c r="D1413" s="18"/>
      <c r="E1413" s="18"/>
      <c r="F1413" s="87"/>
      <c r="G1413" s="87"/>
      <c r="H1413" s="87"/>
      <c r="I1413" s="59"/>
      <c r="J1413" s="59"/>
      <c r="K1413" s="59"/>
      <c r="L1413" s="87"/>
      <c r="M1413" s="87"/>
      <c r="N1413" s="100"/>
      <c r="O1413" s="100"/>
    </row>
    <row r="1414" spans="1:15">
      <c r="A1414" s="87"/>
      <c r="B1414" s="87"/>
      <c r="C1414" s="18"/>
      <c r="D1414" s="18"/>
      <c r="E1414" s="18"/>
      <c r="F1414" s="87"/>
      <c r="G1414" s="87"/>
      <c r="H1414" s="87"/>
      <c r="I1414" s="59"/>
      <c r="J1414" s="59"/>
      <c r="K1414" s="59"/>
      <c r="L1414" s="87"/>
      <c r="M1414" s="87"/>
      <c r="N1414" s="100"/>
      <c r="O1414" s="100"/>
    </row>
    <row r="1415" spans="1:15">
      <c r="A1415" s="87"/>
      <c r="B1415" s="87"/>
      <c r="C1415" s="18"/>
      <c r="D1415" s="18"/>
      <c r="E1415" s="18"/>
      <c r="F1415" s="87"/>
      <c r="G1415" s="87"/>
      <c r="H1415" s="87"/>
      <c r="I1415" s="59"/>
      <c r="J1415" s="59"/>
      <c r="K1415" s="59"/>
      <c r="L1415" s="87"/>
      <c r="M1415" s="87"/>
      <c r="N1415" s="100"/>
      <c r="O1415" s="100"/>
    </row>
    <row r="1416" spans="1:15">
      <c r="A1416" s="87"/>
      <c r="B1416" s="87"/>
      <c r="C1416" s="18"/>
      <c r="D1416" s="18"/>
      <c r="E1416" s="18"/>
      <c r="F1416" s="87"/>
      <c r="G1416" s="87"/>
      <c r="H1416" s="87"/>
      <c r="I1416" s="59"/>
      <c r="J1416" s="59"/>
      <c r="K1416" s="59"/>
      <c r="L1416" s="87"/>
      <c r="M1416" s="87"/>
      <c r="N1416" s="100"/>
      <c r="O1416" s="100"/>
    </row>
    <row r="1417" spans="1:15">
      <c r="A1417" s="87"/>
      <c r="B1417" s="87"/>
      <c r="C1417" s="18"/>
      <c r="D1417" s="18"/>
      <c r="E1417" s="18"/>
      <c r="F1417" s="87"/>
      <c r="G1417" s="87"/>
      <c r="H1417" s="87"/>
      <c r="I1417" s="59"/>
      <c r="J1417" s="59"/>
      <c r="K1417" s="59"/>
      <c r="L1417" s="87"/>
      <c r="M1417" s="87"/>
      <c r="N1417" s="100"/>
      <c r="O1417" s="100"/>
    </row>
    <row r="1418" spans="1:15">
      <c r="A1418" s="87"/>
      <c r="B1418" s="87"/>
      <c r="C1418" s="18"/>
      <c r="D1418" s="18"/>
      <c r="E1418" s="18"/>
      <c r="F1418" s="87"/>
      <c r="G1418" s="87"/>
      <c r="H1418" s="87"/>
      <c r="I1418" s="59"/>
      <c r="J1418" s="59"/>
      <c r="K1418" s="59"/>
      <c r="L1418" s="87"/>
      <c r="M1418" s="87"/>
      <c r="N1418" s="100"/>
      <c r="O1418" s="100"/>
    </row>
    <row r="1419" spans="1:15">
      <c r="A1419" s="87"/>
      <c r="B1419" s="87"/>
      <c r="C1419" s="18"/>
      <c r="D1419" s="18"/>
      <c r="E1419" s="18"/>
      <c r="F1419" s="87"/>
      <c r="G1419" s="87"/>
      <c r="H1419" s="87"/>
      <c r="I1419" s="59"/>
      <c r="J1419" s="59"/>
      <c r="K1419" s="59"/>
      <c r="L1419" s="87"/>
      <c r="M1419" s="87"/>
      <c r="N1419" s="100"/>
      <c r="O1419" s="100"/>
    </row>
    <row r="1420" spans="1:15">
      <c r="A1420" s="87"/>
      <c r="B1420" s="87"/>
      <c r="C1420" s="18"/>
      <c r="D1420" s="18"/>
      <c r="E1420" s="18"/>
      <c r="F1420" s="87"/>
      <c r="G1420" s="87"/>
      <c r="H1420" s="87"/>
      <c r="I1420" s="59"/>
      <c r="J1420" s="59"/>
      <c r="K1420" s="59"/>
      <c r="L1420" s="87"/>
      <c r="M1420" s="87"/>
      <c r="N1420" s="100"/>
      <c r="O1420" s="100"/>
    </row>
    <row r="1421" spans="1:15">
      <c r="A1421" s="87"/>
      <c r="B1421" s="87"/>
      <c r="C1421" s="18"/>
      <c r="D1421" s="18"/>
      <c r="E1421" s="18"/>
      <c r="F1421" s="87"/>
      <c r="G1421" s="87"/>
      <c r="H1421" s="87"/>
      <c r="I1421" s="59"/>
      <c r="J1421" s="59"/>
      <c r="K1421" s="59"/>
      <c r="L1421" s="87"/>
      <c r="M1421" s="87"/>
      <c r="N1421" s="100"/>
      <c r="O1421" s="100"/>
    </row>
    <row r="1422" spans="1:15">
      <c r="A1422" s="87"/>
      <c r="B1422" s="87"/>
      <c r="C1422" s="18"/>
      <c r="D1422" s="18"/>
      <c r="E1422" s="18"/>
      <c r="F1422" s="87"/>
      <c r="G1422" s="87"/>
      <c r="H1422" s="87"/>
      <c r="I1422" s="59"/>
      <c r="J1422" s="59"/>
      <c r="K1422" s="59"/>
      <c r="L1422" s="87"/>
      <c r="M1422" s="87"/>
      <c r="N1422" s="100"/>
      <c r="O1422" s="100"/>
    </row>
    <row r="1423" spans="1:15">
      <c r="A1423" s="87"/>
      <c r="B1423" s="87"/>
      <c r="C1423" s="18"/>
      <c r="D1423" s="18"/>
      <c r="E1423" s="18"/>
      <c r="F1423" s="87"/>
      <c r="G1423" s="87"/>
      <c r="H1423" s="87"/>
      <c r="I1423" s="59"/>
      <c r="J1423" s="59"/>
      <c r="K1423" s="59"/>
      <c r="L1423" s="87"/>
      <c r="M1423" s="87"/>
      <c r="N1423" s="100"/>
      <c r="O1423" s="100"/>
    </row>
    <row r="1424" spans="1:15">
      <c r="A1424" s="87"/>
      <c r="B1424" s="87"/>
      <c r="C1424" s="18"/>
      <c r="D1424" s="18"/>
      <c r="E1424" s="18"/>
      <c r="F1424" s="87"/>
      <c r="G1424" s="87"/>
      <c r="H1424" s="87"/>
      <c r="I1424" s="59"/>
      <c r="J1424" s="59"/>
      <c r="K1424" s="59"/>
      <c r="L1424" s="87"/>
      <c r="M1424" s="87"/>
      <c r="N1424" s="100"/>
      <c r="O1424" s="100"/>
    </row>
    <row r="1425" spans="1:15">
      <c r="A1425" s="87"/>
      <c r="B1425" s="87"/>
      <c r="C1425" s="18"/>
      <c r="D1425" s="18"/>
      <c r="E1425" s="18"/>
      <c r="F1425" s="87"/>
      <c r="G1425" s="87"/>
      <c r="H1425" s="87"/>
      <c r="I1425" s="59"/>
      <c r="J1425" s="59"/>
      <c r="K1425" s="59"/>
      <c r="L1425" s="87"/>
      <c r="M1425" s="87"/>
      <c r="N1425" s="100"/>
      <c r="O1425" s="100"/>
    </row>
    <row r="1426" spans="1:15">
      <c r="A1426" s="87"/>
      <c r="B1426" s="87"/>
      <c r="C1426" s="18"/>
      <c r="D1426" s="18"/>
      <c r="E1426" s="18"/>
      <c r="F1426" s="87"/>
      <c r="G1426" s="87"/>
      <c r="H1426" s="87"/>
      <c r="I1426" s="59"/>
      <c r="J1426" s="59"/>
      <c r="K1426" s="59"/>
      <c r="L1426" s="87"/>
      <c r="M1426" s="87"/>
      <c r="N1426" s="100"/>
      <c r="O1426" s="100"/>
    </row>
    <row r="1427" spans="1:15">
      <c r="A1427" s="87"/>
      <c r="B1427" s="87"/>
      <c r="C1427" s="18"/>
      <c r="D1427" s="18"/>
      <c r="E1427" s="18"/>
      <c r="F1427" s="87"/>
      <c r="G1427" s="87"/>
      <c r="H1427" s="87"/>
      <c r="I1427" s="59"/>
      <c r="J1427" s="59"/>
      <c r="K1427" s="59"/>
      <c r="L1427" s="87"/>
      <c r="M1427" s="87"/>
      <c r="N1427" s="100"/>
      <c r="O1427" s="100"/>
    </row>
    <row r="1428" spans="1:15">
      <c r="A1428" s="87"/>
      <c r="B1428" s="87"/>
      <c r="C1428" s="18"/>
      <c r="D1428" s="18"/>
      <c r="E1428" s="18"/>
      <c r="F1428" s="87"/>
      <c r="G1428" s="87"/>
      <c r="H1428" s="87"/>
      <c r="I1428" s="59"/>
      <c r="J1428" s="59"/>
      <c r="K1428" s="59"/>
      <c r="L1428" s="87"/>
      <c r="M1428" s="87"/>
      <c r="N1428" s="100"/>
      <c r="O1428" s="100"/>
    </row>
    <row r="1429" spans="1:15">
      <c r="A1429" s="87"/>
      <c r="B1429" s="87"/>
      <c r="C1429" s="18"/>
      <c r="D1429" s="18"/>
      <c r="E1429" s="18"/>
      <c r="F1429" s="87"/>
      <c r="G1429" s="87"/>
      <c r="H1429" s="87"/>
      <c r="I1429" s="59"/>
      <c r="J1429" s="59"/>
      <c r="K1429" s="59"/>
      <c r="L1429" s="87"/>
      <c r="M1429" s="87"/>
      <c r="N1429" s="100"/>
      <c r="O1429" s="100"/>
    </row>
    <row r="1430" spans="1:15">
      <c r="A1430" s="87"/>
      <c r="B1430" s="87"/>
      <c r="C1430" s="18"/>
      <c r="D1430" s="18"/>
      <c r="E1430" s="18"/>
      <c r="F1430" s="87"/>
      <c r="G1430" s="87"/>
      <c r="H1430" s="87"/>
      <c r="I1430" s="59"/>
      <c r="J1430" s="59"/>
      <c r="K1430" s="59"/>
      <c r="L1430" s="87"/>
      <c r="M1430" s="87"/>
      <c r="N1430" s="100"/>
      <c r="O1430" s="100"/>
    </row>
    <row r="1431" spans="1:15">
      <c r="A1431" s="87"/>
      <c r="B1431" s="87"/>
      <c r="C1431" s="18"/>
      <c r="D1431" s="18"/>
      <c r="E1431" s="18"/>
      <c r="F1431" s="87"/>
      <c r="G1431" s="87"/>
      <c r="H1431" s="87"/>
      <c r="I1431" s="59"/>
      <c r="J1431" s="59"/>
      <c r="K1431" s="59"/>
      <c r="L1431" s="87"/>
      <c r="M1431" s="87"/>
      <c r="N1431" s="100"/>
      <c r="O1431" s="100"/>
    </row>
    <row r="1432" spans="1:15">
      <c r="A1432" s="87"/>
      <c r="B1432" s="87"/>
      <c r="C1432" s="18"/>
      <c r="D1432" s="18"/>
      <c r="E1432" s="18"/>
      <c r="F1432" s="87"/>
      <c r="G1432" s="87"/>
      <c r="H1432" s="87"/>
      <c r="I1432" s="59"/>
      <c r="J1432" s="59"/>
      <c r="K1432" s="59"/>
      <c r="L1432" s="87"/>
      <c r="M1432" s="87"/>
      <c r="N1432" s="100"/>
      <c r="O1432" s="100"/>
    </row>
    <row r="1433" spans="1:15">
      <c r="A1433" s="87"/>
      <c r="B1433" s="87"/>
      <c r="C1433" s="18"/>
      <c r="D1433" s="18"/>
      <c r="E1433" s="18"/>
      <c r="F1433" s="87"/>
      <c r="G1433" s="87"/>
      <c r="H1433" s="87"/>
      <c r="I1433" s="59"/>
      <c r="J1433" s="59"/>
      <c r="K1433" s="59"/>
      <c r="L1433" s="87"/>
      <c r="M1433" s="87"/>
      <c r="N1433" s="100"/>
      <c r="O1433" s="100"/>
    </row>
    <row r="1434" spans="1:15">
      <c r="A1434" s="87"/>
      <c r="B1434" s="87"/>
      <c r="C1434" s="18"/>
      <c r="D1434" s="18"/>
      <c r="E1434" s="18"/>
      <c r="F1434" s="87"/>
      <c r="G1434" s="87"/>
      <c r="H1434" s="87"/>
      <c r="I1434" s="59"/>
      <c r="J1434" s="59"/>
      <c r="K1434" s="59"/>
      <c r="L1434" s="87"/>
      <c r="M1434" s="87"/>
      <c r="N1434" s="100"/>
      <c r="O1434" s="100"/>
    </row>
    <row r="1435" spans="1:15">
      <c r="A1435" s="87"/>
      <c r="B1435" s="87"/>
      <c r="C1435" s="18"/>
      <c r="D1435" s="18"/>
      <c r="E1435" s="18"/>
      <c r="F1435" s="87"/>
      <c r="G1435" s="87"/>
      <c r="H1435" s="87"/>
      <c r="I1435" s="59"/>
      <c r="J1435" s="59"/>
      <c r="K1435" s="59"/>
      <c r="L1435" s="87"/>
      <c r="M1435" s="87"/>
      <c r="N1435" s="100"/>
      <c r="O1435" s="100"/>
    </row>
    <row r="1436" spans="1:15">
      <c r="A1436" s="87"/>
      <c r="B1436" s="87"/>
      <c r="C1436" s="18"/>
      <c r="D1436" s="18"/>
      <c r="E1436" s="18"/>
      <c r="F1436" s="87"/>
      <c r="G1436" s="87"/>
      <c r="H1436" s="87"/>
      <c r="I1436" s="59"/>
      <c r="J1436" s="59"/>
      <c r="K1436" s="59"/>
      <c r="L1436" s="87"/>
      <c r="M1436" s="87"/>
      <c r="N1436" s="100"/>
      <c r="O1436" s="100"/>
    </row>
    <row r="1437" spans="1:15">
      <c r="A1437" s="87"/>
      <c r="B1437" s="87"/>
      <c r="C1437" s="18"/>
      <c r="D1437" s="18"/>
      <c r="E1437" s="18"/>
      <c r="F1437" s="87"/>
      <c r="G1437" s="87"/>
      <c r="H1437" s="87"/>
      <c r="I1437" s="59"/>
      <c r="J1437" s="59"/>
      <c r="K1437" s="59"/>
      <c r="L1437" s="87"/>
      <c r="M1437" s="87"/>
      <c r="N1437" s="100"/>
      <c r="O1437" s="100"/>
    </row>
    <row r="1438" spans="1:15">
      <c r="A1438" s="87"/>
      <c r="B1438" s="87"/>
      <c r="C1438" s="18"/>
      <c r="D1438" s="18"/>
      <c r="E1438" s="18"/>
      <c r="F1438" s="87"/>
      <c r="G1438" s="87"/>
      <c r="H1438" s="87"/>
      <c r="I1438" s="59"/>
      <c r="J1438" s="59"/>
      <c r="K1438" s="59"/>
      <c r="L1438" s="87"/>
      <c r="M1438" s="87"/>
      <c r="N1438" s="100"/>
      <c r="O1438" s="100"/>
    </row>
    <row r="1439" spans="1:15">
      <c r="A1439" s="87"/>
      <c r="B1439" s="87"/>
      <c r="C1439" s="18"/>
      <c r="D1439" s="18"/>
      <c r="E1439" s="18"/>
      <c r="F1439" s="87"/>
      <c r="G1439" s="87"/>
      <c r="H1439" s="87"/>
      <c r="I1439" s="59"/>
      <c r="J1439" s="59"/>
      <c r="K1439" s="59"/>
      <c r="L1439" s="87"/>
      <c r="M1439" s="87"/>
      <c r="N1439" s="100"/>
      <c r="O1439" s="100"/>
    </row>
    <row r="1440" spans="1:15">
      <c r="A1440" s="87"/>
      <c r="B1440" s="87"/>
      <c r="C1440" s="18"/>
      <c r="D1440" s="18"/>
      <c r="E1440" s="18"/>
      <c r="F1440" s="87"/>
      <c r="G1440" s="87"/>
      <c r="H1440" s="87"/>
      <c r="I1440" s="59"/>
      <c r="J1440" s="59"/>
      <c r="K1440" s="59"/>
      <c r="L1440" s="87"/>
      <c r="M1440" s="87"/>
      <c r="N1440" s="100"/>
      <c r="O1440" s="100"/>
    </row>
    <row r="1441" spans="1:15">
      <c r="A1441" s="87"/>
      <c r="B1441" s="87"/>
      <c r="C1441" s="18"/>
      <c r="D1441" s="18"/>
      <c r="E1441" s="18"/>
      <c r="F1441" s="87"/>
      <c r="G1441" s="87"/>
      <c r="H1441" s="87"/>
      <c r="I1441" s="59"/>
      <c r="J1441" s="59"/>
      <c r="K1441" s="59"/>
      <c r="L1441" s="87"/>
      <c r="M1441" s="87"/>
      <c r="N1441" s="100"/>
      <c r="O1441" s="100"/>
    </row>
    <row r="1442" spans="1:15">
      <c r="A1442" s="87"/>
      <c r="B1442" s="87"/>
      <c r="C1442" s="18"/>
      <c r="D1442" s="18"/>
      <c r="E1442" s="18"/>
      <c r="F1442" s="87"/>
      <c r="G1442" s="87"/>
      <c r="H1442" s="87"/>
      <c r="I1442" s="59"/>
      <c r="J1442" s="59"/>
      <c r="K1442" s="59"/>
      <c r="L1442" s="87"/>
      <c r="M1442" s="87"/>
      <c r="N1442" s="100"/>
      <c r="O1442" s="100"/>
    </row>
    <row r="1443" spans="1:15">
      <c r="A1443" s="87"/>
      <c r="B1443" s="87"/>
      <c r="C1443" s="18"/>
      <c r="D1443" s="18"/>
      <c r="E1443" s="18"/>
      <c r="F1443" s="87"/>
      <c r="G1443" s="87"/>
      <c r="H1443" s="87"/>
      <c r="I1443" s="59"/>
      <c r="J1443" s="59"/>
      <c r="K1443" s="59"/>
      <c r="L1443" s="87"/>
      <c r="M1443" s="87"/>
      <c r="N1443" s="100"/>
      <c r="O1443" s="100"/>
    </row>
    <row r="1444" spans="1:15">
      <c r="A1444" s="87"/>
      <c r="B1444" s="87"/>
      <c r="C1444" s="18"/>
      <c r="D1444" s="18"/>
      <c r="E1444" s="18"/>
      <c r="F1444" s="87"/>
      <c r="G1444" s="87"/>
      <c r="H1444" s="87"/>
      <c r="I1444" s="59"/>
      <c r="J1444" s="59"/>
      <c r="K1444" s="59"/>
      <c r="L1444" s="87"/>
      <c r="M1444" s="87"/>
      <c r="N1444" s="100"/>
      <c r="O1444" s="100"/>
    </row>
    <row r="1445" spans="1:15">
      <c r="A1445" s="87"/>
      <c r="B1445" s="87"/>
      <c r="C1445" s="18"/>
      <c r="D1445" s="18"/>
      <c r="E1445" s="18"/>
      <c r="F1445" s="87"/>
      <c r="G1445" s="87"/>
      <c r="H1445" s="87"/>
      <c r="I1445" s="59"/>
      <c r="J1445" s="59"/>
      <c r="K1445" s="59"/>
      <c r="L1445" s="87"/>
      <c r="M1445" s="87"/>
      <c r="N1445" s="100"/>
      <c r="O1445" s="100"/>
    </row>
    <row r="1446" spans="1:15">
      <c r="A1446" s="87"/>
      <c r="B1446" s="87"/>
      <c r="C1446" s="18"/>
      <c r="D1446" s="18"/>
      <c r="E1446" s="18"/>
      <c r="F1446" s="87"/>
      <c r="G1446" s="87"/>
      <c r="H1446" s="87"/>
      <c r="I1446" s="59"/>
      <c r="J1446" s="59"/>
      <c r="K1446" s="59"/>
      <c r="L1446" s="87"/>
      <c r="M1446" s="87"/>
      <c r="N1446" s="100"/>
      <c r="O1446" s="100"/>
    </row>
    <row r="1447" spans="1:15">
      <c r="A1447" s="87"/>
      <c r="B1447" s="87"/>
      <c r="C1447" s="18"/>
      <c r="D1447" s="18"/>
      <c r="E1447" s="18"/>
      <c r="F1447" s="87"/>
      <c r="G1447" s="87"/>
      <c r="H1447" s="87"/>
      <c r="I1447" s="59"/>
      <c r="J1447" s="59"/>
      <c r="K1447" s="59"/>
      <c r="L1447" s="87"/>
      <c r="M1447" s="87"/>
      <c r="N1447" s="100"/>
      <c r="O1447" s="100"/>
    </row>
    <row r="1448" spans="1:15">
      <c r="A1448" s="87"/>
      <c r="B1448" s="87"/>
      <c r="C1448" s="18"/>
      <c r="D1448" s="18"/>
      <c r="E1448" s="18"/>
      <c r="F1448" s="87"/>
      <c r="G1448" s="87"/>
      <c r="H1448" s="87"/>
      <c r="I1448" s="59"/>
      <c r="J1448" s="59"/>
      <c r="K1448" s="59"/>
      <c r="L1448" s="87"/>
      <c r="M1448" s="87"/>
      <c r="N1448" s="100"/>
      <c r="O1448" s="100"/>
    </row>
    <row r="1449" spans="1:15">
      <c r="A1449" s="87"/>
      <c r="B1449" s="87"/>
      <c r="C1449" s="18"/>
      <c r="D1449" s="18"/>
      <c r="E1449" s="18"/>
      <c r="F1449" s="87"/>
      <c r="G1449" s="87"/>
      <c r="H1449" s="87"/>
      <c r="I1449" s="59"/>
      <c r="J1449" s="59"/>
      <c r="K1449" s="59"/>
      <c r="L1449" s="87"/>
      <c r="M1449" s="87"/>
      <c r="N1449" s="100"/>
      <c r="O1449" s="100"/>
    </row>
    <row r="1450" spans="1:15">
      <c r="A1450" s="87"/>
      <c r="B1450" s="87"/>
      <c r="C1450" s="18"/>
      <c r="D1450" s="18"/>
      <c r="E1450" s="18"/>
      <c r="F1450" s="87"/>
      <c r="G1450" s="87"/>
      <c r="H1450" s="87"/>
      <c r="I1450" s="59"/>
      <c r="J1450" s="59"/>
      <c r="K1450" s="59"/>
      <c r="L1450" s="87"/>
      <c r="M1450" s="87"/>
      <c r="N1450" s="100"/>
      <c r="O1450" s="100"/>
    </row>
    <row r="1451" spans="1:15">
      <c r="A1451" s="87"/>
      <c r="B1451" s="87"/>
      <c r="C1451" s="18"/>
      <c r="D1451" s="18"/>
      <c r="E1451" s="18"/>
      <c r="F1451" s="87"/>
      <c r="G1451" s="87"/>
      <c r="H1451" s="87"/>
      <c r="I1451" s="59"/>
      <c r="J1451" s="59"/>
      <c r="K1451" s="59"/>
      <c r="L1451" s="87"/>
      <c r="M1451" s="87"/>
      <c r="N1451" s="100"/>
      <c r="O1451" s="100"/>
    </row>
    <row r="1452" spans="1:15">
      <c r="A1452" s="87"/>
      <c r="B1452" s="87"/>
      <c r="C1452" s="18"/>
      <c r="D1452" s="18"/>
      <c r="E1452" s="18"/>
      <c r="F1452" s="87"/>
      <c r="G1452" s="87"/>
      <c r="H1452" s="87"/>
      <c r="I1452" s="59"/>
      <c r="J1452" s="59"/>
      <c r="K1452" s="59"/>
      <c r="L1452" s="87"/>
      <c r="M1452" s="87"/>
      <c r="N1452" s="100"/>
      <c r="O1452" s="100"/>
    </row>
    <row r="1453" spans="1:15">
      <c r="A1453" s="87"/>
      <c r="B1453" s="87"/>
      <c r="C1453" s="18"/>
      <c r="D1453" s="18"/>
      <c r="E1453" s="18"/>
      <c r="F1453" s="87"/>
      <c r="G1453" s="87"/>
      <c r="H1453" s="87"/>
      <c r="I1453" s="59"/>
      <c r="J1453" s="59"/>
      <c r="K1453" s="59"/>
      <c r="L1453" s="87"/>
      <c r="M1453" s="87"/>
      <c r="N1453" s="100"/>
      <c r="O1453" s="100"/>
    </row>
    <row r="1454" spans="1:15">
      <c r="A1454" s="87"/>
      <c r="B1454" s="87"/>
      <c r="C1454" s="18"/>
      <c r="D1454" s="18"/>
      <c r="E1454" s="18"/>
      <c r="F1454" s="87"/>
      <c r="G1454" s="87"/>
      <c r="H1454" s="87"/>
      <c r="I1454" s="59"/>
      <c r="J1454" s="59"/>
      <c r="K1454" s="59"/>
      <c r="L1454" s="87"/>
      <c r="M1454" s="87"/>
      <c r="N1454" s="100"/>
      <c r="O1454" s="100"/>
    </row>
    <row r="1455" spans="1:15">
      <c r="A1455" s="87"/>
      <c r="B1455" s="87"/>
      <c r="C1455" s="18"/>
      <c r="D1455" s="18"/>
      <c r="E1455" s="18"/>
      <c r="F1455" s="87"/>
      <c r="G1455" s="87"/>
      <c r="H1455" s="87"/>
      <c r="I1455" s="59"/>
      <c r="J1455" s="59"/>
      <c r="K1455" s="59"/>
      <c r="L1455" s="87"/>
      <c r="M1455" s="87"/>
      <c r="N1455" s="100"/>
      <c r="O1455" s="100"/>
    </row>
    <row r="1456" spans="1:15">
      <c r="A1456" s="87"/>
      <c r="B1456" s="87"/>
      <c r="C1456" s="18"/>
      <c r="D1456" s="18"/>
      <c r="E1456" s="18"/>
      <c r="F1456" s="87"/>
      <c r="G1456" s="87"/>
      <c r="H1456" s="87"/>
      <c r="I1456" s="59"/>
      <c r="J1456" s="59"/>
      <c r="K1456" s="59"/>
      <c r="L1456" s="87"/>
      <c r="M1456" s="87"/>
      <c r="N1456" s="100"/>
      <c r="O1456" s="100"/>
    </row>
    <row r="1457" spans="1:15">
      <c r="A1457" s="87"/>
      <c r="B1457" s="87"/>
      <c r="C1457" s="18"/>
      <c r="D1457" s="18"/>
      <c r="E1457" s="18"/>
      <c r="F1457" s="87"/>
      <c r="G1457" s="87"/>
      <c r="H1457" s="87"/>
      <c r="I1457" s="59"/>
      <c r="J1457" s="59"/>
      <c r="K1457" s="59"/>
      <c r="L1457" s="87"/>
      <c r="M1457" s="87"/>
      <c r="N1457" s="100"/>
      <c r="O1457" s="100"/>
    </row>
    <row r="1458" spans="1:15">
      <c r="A1458" s="87"/>
      <c r="B1458" s="87"/>
      <c r="C1458" s="18"/>
      <c r="D1458" s="18"/>
      <c r="E1458" s="18"/>
      <c r="F1458" s="87"/>
      <c r="G1458" s="87"/>
      <c r="H1458" s="87"/>
      <c r="I1458" s="59"/>
      <c r="J1458" s="59"/>
      <c r="K1458" s="59"/>
      <c r="L1458" s="87"/>
      <c r="M1458" s="87"/>
      <c r="N1458" s="100"/>
      <c r="O1458" s="100"/>
    </row>
    <row r="1459" spans="1:15">
      <c r="A1459" s="87"/>
      <c r="B1459" s="87"/>
      <c r="C1459" s="18"/>
      <c r="D1459" s="18"/>
      <c r="E1459" s="18"/>
      <c r="F1459" s="87"/>
      <c r="G1459" s="87"/>
      <c r="H1459" s="87"/>
      <c r="I1459" s="59"/>
      <c r="J1459" s="59"/>
      <c r="K1459" s="59"/>
      <c r="L1459" s="87"/>
      <c r="M1459" s="87"/>
      <c r="N1459" s="100"/>
      <c r="O1459" s="100"/>
    </row>
    <row r="1460" spans="1:15">
      <c r="A1460" s="87"/>
      <c r="B1460" s="87"/>
      <c r="C1460" s="18"/>
      <c r="D1460" s="18"/>
      <c r="E1460" s="18"/>
      <c r="F1460" s="87"/>
      <c r="G1460" s="87"/>
      <c r="H1460" s="87"/>
      <c r="I1460" s="59"/>
      <c r="J1460" s="59"/>
      <c r="K1460" s="59"/>
      <c r="L1460" s="87"/>
      <c r="M1460" s="87"/>
      <c r="N1460" s="100"/>
      <c r="O1460" s="100"/>
    </row>
    <row r="1461" spans="1:15">
      <c r="A1461" s="87"/>
      <c r="B1461" s="87"/>
      <c r="C1461" s="18"/>
      <c r="D1461" s="18"/>
      <c r="E1461" s="18"/>
      <c r="F1461" s="87"/>
      <c r="G1461" s="87"/>
      <c r="H1461" s="87"/>
      <c r="I1461" s="59"/>
      <c r="J1461" s="59"/>
      <c r="K1461" s="59"/>
      <c r="L1461" s="87"/>
      <c r="M1461" s="87"/>
      <c r="N1461" s="100"/>
      <c r="O1461" s="100"/>
    </row>
    <row r="1462" spans="1:15">
      <c r="A1462" s="87"/>
      <c r="B1462" s="87"/>
      <c r="C1462" s="18"/>
      <c r="D1462" s="18"/>
      <c r="E1462" s="18"/>
      <c r="F1462" s="87"/>
      <c r="G1462" s="87"/>
      <c r="H1462" s="87"/>
      <c r="I1462" s="59"/>
      <c r="J1462" s="59"/>
      <c r="K1462" s="59"/>
      <c r="L1462" s="87"/>
      <c r="M1462" s="87"/>
      <c r="N1462" s="100"/>
      <c r="O1462" s="100"/>
    </row>
    <row r="1463" spans="1:15">
      <c r="A1463" s="87"/>
      <c r="B1463" s="87"/>
      <c r="C1463" s="18"/>
      <c r="D1463" s="18"/>
      <c r="E1463" s="18"/>
      <c r="F1463" s="87"/>
      <c r="G1463" s="87"/>
      <c r="H1463" s="87"/>
      <c r="I1463" s="59"/>
      <c r="J1463" s="59"/>
      <c r="K1463" s="59"/>
      <c r="L1463" s="87"/>
      <c r="M1463" s="87"/>
      <c r="N1463" s="100"/>
      <c r="O1463" s="100"/>
    </row>
    <row r="1464" spans="1:15">
      <c r="A1464" s="87"/>
      <c r="B1464" s="87"/>
      <c r="C1464" s="18"/>
      <c r="D1464" s="18"/>
      <c r="E1464" s="18"/>
      <c r="F1464" s="87"/>
      <c r="G1464" s="87"/>
      <c r="H1464" s="87"/>
      <c r="I1464" s="59"/>
      <c r="J1464" s="59"/>
      <c r="K1464" s="59"/>
      <c r="L1464" s="87"/>
      <c r="M1464" s="87"/>
      <c r="N1464" s="100"/>
      <c r="O1464" s="100"/>
    </row>
    <row r="1465" spans="1:15">
      <c r="A1465" s="87"/>
      <c r="B1465" s="87"/>
      <c r="C1465" s="18"/>
      <c r="D1465" s="18"/>
      <c r="E1465" s="18"/>
      <c r="F1465" s="87"/>
      <c r="G1465" s="87"/>
      <c r="H1465" s="87"/>
      <c r="I1465" s="59"/>
      <c r="J1465" s="59"/>
      <c r="K1465" s="59"/>
      <c r="L1465" s="87"/>
      <c r="M1465" s="87"/>
      <c r="N1465" s="100"/>
      <c r="O1465" s="100"/>
    </row>
    <row r="1466" spans="1:15">
      <c r="A1466" s="87"/>
      <c r="B1466" s="87"/>
      <c r="C1466" s="18"/>
      <c r="D1466" s="18"/>
      <c r="E1466" s="18"/>
      <c r="F1466" s="87"/>
      <c r="G1466" s="87"/>
      <c r="H1466" s="87"/>
      <c r="I1466" s="59"/>
      <c r="J1466" s="59"/>
      <c r="K1466" s="59"/>
      <c r="L1466" s="87"/>
      <c r="M1466" s="87"/>
      <c r="N1466" s="100"/>
      <c r="O1466" s="100"/>
    </row>
    <row r="1467" spans="1:15">
      <c r="A1467" s="87"/>
      <c r="B1467" s="87"/>
      <c r="C1467" s="18"/>
      <c r="D1467" s="18"/>
      <c r="E1467" s="18"/>
      <c r="F1467" s="87"/>
      <c r="G1467" s="87"/>
      <c r="H1467" s="87"/>
      <c r="I1467" s="59"/>
      <c r="J1467" s="59"/>
      <c r="K1467" s="59"/>
      <c r="L1467" s="87"/>
      <c r="M1467" s="87"/>
      <c r="N1467" s="100"/>
      <c r="O1467" s="100"/>
    </row>
    <row r="1468" spans="1:15">
      <c r="A1468" s="87"/>
      <c r="B1468" s="87"/>
      <c r="C1468" s="18"/>
      <c r="D1468" s="18"/>
      <c r="E1468" s="18"/>
      <c r="F1468" s="87"/>
      <c r="G1468" s="87"/>
      <c r="H1468" s="87"/>
      <c r="I1468" s="59"/>
      <c r="J1468" s="59"/>
      <c r="K1468" s="59"/>
      <c r="L1468" s="87"/>
      <c r="M1468" s="87"/>
      <c r="N1468" s="100"/>
      <c r="O1468" s="100"/>
    </row>
    <row r="1469" spans="1:15">
      <c r="A1469" s="87"/>
      <c r="B1469" s="87"/>
      <c r="C1469" s="18"/>
      <c r="D1469" s="18"/>
      <c r="E1469" s="18"/>
      <c r="F1469" s="87"/>
      <c r="G1469" s="87"/>
      <c r="H1469" s="87"/>
      <c r="I1469" s="59"/>
      <c r="J1469" s="59"/>
      <c r="K1469" s="59"/>
      <c r="L1469" s="87"/>
      <c r="M1469" s="87"/>
      <c r="N1469" s="100"/>
      <c r="O1469" s="100"/>
    </row>
    <row r="1470" spans="1:15">
      <c r="A1470" s="87"/>
      <c r="B1470" s="87"/>
      <c r="C1470" s="18"/>
      <c r="D1470" s="18"/>
      <c r="E1470" s="18"/>
      <c r="F1470" s="87"/>
      <c r="G1470" s="87"/>
      <c r="H1470" s="87"/>
      <c r="I1470" s="59"/>
      <c r="J1470" s="59"/>
      <c r="K1470" s="59"/>
      <c r="L1470" s="87"/>
      <c r="M1470" s="87"/>
      <c r="N1470" s="100"/>
      <c r="O1470" s="100"/>
    </row>
    <row r="1471" spans="1:15">
      <c r="A1471" s="87"/>
      <c r="B1471" s="87"/>
      <c r="C1471" s="18"/>
      <c r="D1471" s="18"/>
      <c r="E1471" s="18"/>
      <c r="F1471" s="87"/>
      <c r="G1471" s="87"/>
      <c r="H1471" s="87"/>
      <c r="I1471" s="59"/>
      <c r="J1471" s="59"/>
      <c r="K1471" s="59"/>
      <c r="L1471" s="87"/>
      <c r="M1471" s="87"/>
      <c r="N1471" s="100"/>
      <c r="O1471" s="100"/>
    </row>
    <row r="1472" spans="1:15">
      <c r="A1472" s="87"/>
      <c r="B1472" s="87"/>
      <c r="C1472" s="18"/>
      <c r="D1472" s="18"/>
      <c r="E1472" s="18"/>
      <c r="F1472" s="87"/>
      <c r="G1472" s="87"/>
      <c r="H1472" s="87"/>
      <c r="I1472" s="59"/>
      <c r="J1472" s="59"/>
      <c r="K1472" s="59"/>
      <c r="L1472" s="87"/>
      <c r="M1472" s="87"/>
      <c r="N1472" s="100"/>
      <c r="O1472" s="100"/>
    </row>
    <row r="1473" spans="1:15">
      <c r="A1473" s="87"/>
      <c r="B1473" s="87"/>
      <c r="C1473" s="18"/>
      <c r="D1473" s="18"/>
      <c r="E1473" s="18"/>
      <c r="F1473" s="87"/>
      <c r="G1473" s="87"/>
      <c r="H1473" s="87"/>
      <c r="I1473" s="59"/>
      <c r="J1473" s="59"/>
      <c r="K1473" s="59"/>
      <c r="L1473" s="87"/>
      <c r="M1473" s="87"/>
      <c r="N1473" s="100"/>
      <c r="O1473" s="100"/>
    </row>
    <row r="1474" spans="1:15">
      <c r="A1474" s="87"/>
      <c r="B1474" s="87"/>
      <c r="C1474" s="18"/>
      <c r="D1474" s="18"/>
      <c r="E1474" s="18"/>
      <c r="F1474" s="87"/>
      <c r="G1474" s="87"/>
      <c r="H1474" s="87"/>
      <c r="I1474" s="59"/>
      <c r="J1474" s="59"/>
      <c r="K1474" s="59"/>
      <c r="L1474" s="87"/>
      <c r="M1474" s="87"/>
      <c r="N1474" s="100"/>
      <c r="O1474" s="100"/>
    </row>
    <row r="1475" spans="1:15">
      <c r="A1475" s="87"/>
      <c r="B1475" s="87"/>
      <c r="C1475" s="18"/>
      <c r="D1475" s="18"/>
      <c r="E1475" s="18"/>
      <c r="F1475" s="87"/>
      <c r="G1475" s="87"/>
      <c r="H1475" s="87"/>
      <c r="I1475" s="59"/>
      <c r="J1475" s="59"/>
      <c r="K1475" s="59"/>
      <c r="L1475" s="87"/>
      <c r="M1475" s="87"/>
      <c r="N1475" s="100"/>
      <c r="O1475" s="100"/>
    </row>
    <row r="1476" spans="1:15">
      <c r="A1476" s="87"/>
      <c r="B1476" s="87"/>
      <c r="C1476" s="18"/>
      <c r="D1476" s="18"/>
      <c r="E1476" s="18"/>
      <c r="F1476" s="87"/>
      <c r="G1476" s="87"/>
      <c r="H1476" s="87"/>
      <c r="I1476" s="59"/>
      <c r="J1476" s="59"/>
      <c r="K1476" s="59"/>
      <c r="L1476" s="87"/>
      <c r="M1476" s="87"/>
      <c r="N1476" s="100"/>
      <c r="O1476" s="100"/>
    </row>
    <row r="1477" spans="1:15">
      <c r="A1477" s="87"/>
      <c r="B1477" s="87"/>
      <c r="C1477" s="18"/>
      <c r="D1477" s="18"/>
      <c r="E1477" s="18"/>
      <c r="F1477" s="87"/>
      <c r="G1477" s="87"/>
      <c r="H1477" s="87"/>
      <c r="I1477" s="59"/>
      <c r="J1477" s="59"/>
      <c r="K1477" s="59"/>
      <c r="L1477" s="87"/>
      <c r="M1477" s="87"/>
      <c r="N1477" s="100"/>
      <c r="O1477" s="100"/>
    </row>
    <row r="1478" spans="1:15">
      <c r="A1478" s="87"/>
      <c r="B1478" s="87"/>
      <c r="C1478" s="18"/>
      <c r="D1478" s="18"/>
      <c r="E1478" s="18"/>
      <c r="F1478" s="87"/>
      <c r="G1478" s="87"/>
      <c r="H1478" s="87"/>
      <c r="I1478" s="59"/>
      <c r="J1478" s="59"/>
      <c r="K1478" s="59"/>
      <c r="L1478" s="87"/>
      <c r="M1478" s="87"/>
      <c r="N1478" s="100"/>
      <c r="O1478" s="100"/>
    </row>
    <row r="1479" spans="1:15">
      <c r="A1479" s="87"/>
      <c r="B1479" s="87"/>
      <c r="C1479" s="18"/>
      <c r="D1479" s="18"/>
      <c r="E1479" s="18"/>
      <c r="F1479" s="87"/>
      <c r="G1479" s="87"/>
      <c r="H1479" s="87"/>
      <c r="I1479" s="59"/>
      <c r="J1479" s="59"/>
      <c r="K1479" s="59"/>
      <c r="L1479" s="87"/>
      <c r="M1479" s="87"/>
      <c r="N1479" s="100"/>
      <c r="O1479" s="100"/>
    </row>
    <row r="1480" spans="1:15">
      <c r="A1480" s="87"/>
      <c r="B1480" s="87"/>
      <c r="C1480" s="18"/>
      <c r="D1480" s="18"/>
      <c r="E1480" s="18"/>
      <c r="F1480" s="87"/>
      <c r="G1480" s="87"/>
      <c r="H1480" s="87"/>
      <c r="I1480" s="59"/>
      <c r="J1480" s="59"/>
      <c r="K1480" s="59"/>
      <c r="L1480" s="87"/>
      <c r="M1480" s="87"/>
      <c r="N1480" s="100"/>
      <c r="O1480" s="100"/>
    </row>
    <row r="1481" spans="1:15">
      <c r="A1481" s="87"/>
      <c r="B1481" s="87"/>
      <c r="C1481" s="18"/>
      <c r="D1481" s="18"/>
      <c r="E1481" s="18"/>
      <c r="F1481" s="87"/>
      <c r="G1481" s="87"/>
      <c r="H1481" s="87"/>
      <c r="I1481" s="59"/>
      <c r="J1481" s="59"/>
      <c r="K1481" s="59"/>
      <c r="L1481" s="87"/>
      <c r="M1481" s="87"/>
      <c r="N1481" s="100"/>
      <c r="O1481" s="100"/>
    </row>
    <row r="1482" spans="1:15">
      <c r="A1482" s="87"/>
      <c r="B1482" s="87"/>
      <c r="C1482" s="18"/>
      <c r="D1482" s="18"/>
      <c r="E1482" s="18"/>
      <c r="F1482" s="87"/>
      <c r="G1482" s="87"/>
      <c r="H1482" s="87"/>
      <c r="I1482" s="59"/>
      <c r="J1482" s="59"/>
      <c r="K1482" s="59"/>
      <c r="L1482" s="87"/>
      <c r="M1482" s="87"/>
      <c r="N1482" s="100"/>
      <c r="O1482" s="100"/>
    </row>
    <row r="1483" spans="1:15">
      <c r="A1483" s="87"/>
      <c r="B1483" s="87"/>
      <c r="C1483" s="18"/>
      <c r="D1483" s="18"/>
      <c r="E1483" s="18"/>
      <c r="F1483" s="87"/>
      <c r="G1483" s="87"/>
      <c r="H1483" s="87"/>
      <c r="I1483" s="59"/>
      <c r="J1483" s="59"/>
      <c r="K1483" s="59"/>
      <c r="L1483" s="87"/>
      <c r="M1483" s="87"/>
      <c r="N1483" s="100"/>
      <c r="O1483" s="100"/>
    </row>
    <row r="1484" spans="1:15">
      <c r="A1484" s="87"/>
      <c r="B1484" s="87"/>
      <c r="C1484" s="18"/>
      <c r="D1484" s="18"/>
      <c r="E1484" s="18"/>
      <c r="F1484" s="87"/>
      <c r="G1484" s="87"/>
      <c r="H1484" s="87"/>
      <c r="I1484" s="59"/>
      <c r="J1484" s="59"/>
      <c r="K1484" s="59"/>
      <c r="L1484" s="87"/>
      <c r="M1484" s="87"/>
      <c r="N1484" s="100"/>
      <c r="O1484" s="100"/>
    </row>
    <row r="1485" spans="1:15">
      <c r="A1485" s="87"/>
      <c r="B1485" s="87"/>
      <c r="C1485" s="18"/>
      <c r="D1485" s="18"/>
      <c r="E1485" s="18"/>
      <c r="F1485" s="87"/>
      <c r="G1485" s="87"/>
      <c r="H1485" s="87"/>
      <c r="I1485" s="59"/>
      <c r="J1485" s="59"/>
      <c r="K1485" s="59"/>
      <c r="L1485" s="87"/>
      <c r="M1485" s="87"/>
      <c r="N1485" s="100"/>
      <c r="O1485" s="100"/>
    </row>
    <row r="1486" spans="1:15">
      <c r="A1486" s="87"/>
      <c r="B1486" s="87"/>
      <c r="C1486" s="18"/>
      <c r="D1486" s="18"/>
      <c r="E1486" s="18"/>
      <c r="F1486" s="87"/>
      <c r="G1486" s="87"/>
      <c r="H1486" s="87"/>
      <c r="I1486" s="59"/>
      <c r="J1486" s="59"/>
      <c r="K1486" s="59"/>
      <c r="L1486" s="87"/>
      <c r="M1486" s="87"/>
      <c r="N1486" s="100"/>
      <c r="O1486" s="100"/>
    </row>
    <row r="1487" spans="1:15">
      <c r="A1487" s="87"/>
      <c r="B1487" s="87"/>
      <c r="C1487" s="18"/>
      <c r="D1487" s="18"/>
      <c r="E1487" s="18"/>
      <c r="F1487" s="87"/>
      <c r="G1487" s="87"/>
      <c r="H1487" s="87"/>
      <c r="I1487" s="59"/>
      <c r="J1487" s="59"/>
      <c r="K1487" s="59"/>
      <c r="L1487" s="87"/>
      <c r="M1487" s="87"/>
      <c r="N1487" s="100"/>
      <c r="O1487" s="100"/>
    </row>
    <row r="1488" spans="1:15">
      <c r="A1488" s="87"/>
      <c r="B1488" s="87"/>
      <c r="C1488" s="18"/>
      <c r="D1488" s="18"/>
      <c r="E1488" s="18"/>
      <c r="F1488" s="87"/>
      <c r="G1488" s="87"/>
      <c r="H1488" s="87"/>
      <c r="I1488" s="59"/>
      <c r="J1488" s="59"/>
      <c r="K1488" s="59"/>
      <c r="L1488" s="87"/>
      <c r="M1488" s="87"/>
      <c r="N1488" s="100"/>
      <c r="O1488" s="100"/>
    </row>
    <row r="1489" spans="1:15">
      <c r="A1489" s="87"/>
      <c r="B1489" s="87"/>
      <c r="C1489" s="18"/>
      <c r="D1489" s="18"/>
      <c r="E1489" s="18"/>
      <c r="F1489" s="87"/>
      <c r="G1489" s="87"/>
      <c r="H1489" s="87"/>
      <c r="I1489" s="59"/>
      <c r="J1489" s="59"/>
      <c r="K1489" s="59"/>
      <c r="L1489" s="87"/>
      <c r="M1489" s="87"/>
      <c r="N1489" s="100"/>
      <c r="O1489" s="100"/>
    </row>
    <row r="1490" spans="1:15">
      <c r="A1490" s="87"/>
      <c r="B1490" s="87"/>
      <c r="C1490" s="18"/>
      <c r="D1490" s="18"/>
      <c r="E1490" s="18"/>
      <c r="F1490" s="87"/>
      <c r="G1490" s="87"/>
      <c r="H1490" s="87"/>
      <c r="I1490" s="59"/>
      <c r="J1490" s="59"/>
      <c r="K1490" s="59"/>
      <c r="L1490" s="87"/>
      <c r="M1490" s="87"/>
      <c r="N1490" s="100"/>
      <c r="O1490" s="100"/>
    </row>
    <row r="1491" spans="1:15">
      <c r="A1491" s="87"/>
      <c r="B1491" s="87"/>
      <c r="C1491" s="18"/>
      <c r="D1491" s="18"/>
      <c r="E1491" s="18"/>
      <c r="F1491" s="87"/>
      <c r="G1491" s="87"/>
      <c r="H1491" s="87"/>
      <c r="I1491" s="59"/>
      <c r="J1491" s="59"/>
      <c r="K1491" s="59"/>
      <c r="L1491" s="87"/>
      <c r="M1491" s="87"/>
      <c r="N1491" s="100"/>
      <c r="O1491" s="100"/>
    </row>
    <row r="1492" spans="1:15">
      <c r="A1492" s="87"/>
      <c r="B1492" s="87"/>
      <c r="C1492" s="18"/>
      <c r="D1492" s="18"/>
      <c r="E1492" s="18"/>
      <c r="F1492" s="87"/>
      <c r="G1492" s="87"/>
      <c r="H1492" s="87"/>
      <c r="I1492" s="59"/>
      <c r="J1492" s="59"/>
      <c r="K1492" s="59"/>
      <c r="L1492" s="87"/>
      <c r="M1492" s="87"/>
      <c r="N1492" s="100"/>
      <c r="O1492" s="100"/>
    </row>
    <row r="1493" spans="1:15">
      <c r="A1493" s="87"/>
      <c r="B1493" s="87"/>
      <c r="C1493" s="18"/>
      <c r="D1493" s="18"/>
      <c r="E1493" s="18"/>
      <c r="F1493" s="87"/>
      <c r="G1493" s="87"/>
      <c r="H1493" s="87"/>
      <c r="I1493" s="59"/>
      <c r="J1493" s="59"/>
      <c r="K1493" s="59"/>
      <c r="L1493" s="87"/>
      <c r="M1493" s="87"/>
      <c r="N1493" s="100"/>
      <c r="O1493" s="100"/>
    </row>
    <row r="1494" spans="1:15">
      <c r="A1494" s="87"/>
      <c r="B1494" s="87"/>
      <c r="C1494" s="18"/>
      <c r="D1494" s="18"/>
      <c r="E1494" s="18"/>
      <c r="F1494" s="87"/>
      <c r="G1494" s="87"/>
      <c r="H1494" s="87"/>
      <c r="I1494" s="59"/>
      <c r="J1494" s="59"/>
      <c r="K1494" s="59"/>
      <c r="L1494" s="87"/>
      <c r="M1494" s="87"/>
      <c r="N1494" s="100"/>
      <c r="O1494" s="100"/>
    </row>
    <row r="1495" spans="1:15">
      <c r="A1495" s="87"/>
      <c r="B1495" s="87"/>
      <c r="C1495" s="18"/>
      <c r="D1495" s="18"/>
      <c r="E1495" s="18"/>
      <c r="F1495" s="87"/>
      <c r="G1495" s="87"/>
      <c r="H1495" s="87"/>
      <c r="I1495" s="59"/>
      <c r="J1495" s="59"/>
      <c r="K1495" s="59"/>
      <c r="L1495" s="87"/>
      <c r="M1495" s="87"/>
      <c r="N1495" s="100"/>
      <c r="O1495" s="100"/>
    </row>
    <row r="1496" spans="1:15">
      <c r="A1496" s="87"/>
      <c r="B1496" s="87"/>
      <c r="C1496" s="18"/>
      <c r="D1496" s="18"/>
      <c r="E1496" s="18"/>
      <c r="F1496" s="87"/>
      <c r="G1496" s="87"/>
      <c r="H1496" s="87"/>
      <c r="I1496" s="59"/>
      <c r="J1496" s="59"/>
      <c r="K1496" s="59"/>
      <c r="L1496" s="87"/>
      <c r="M1496" s="87"/>
      <c r="N1496" s="100"/>
      <c r="O1496" s="100"/>
    </row>
    <row r="1497" spans="1:15">
      <c r="A1497" s="87"/>
      <c r="B1497" s="87"/>
      <c r="C1497" s="18"/>
      <c r="D1497" s="18"/>
      <c r="E1497" s="18"/>
      <c r="F1497" s="87"/>
      <c r="G1497" s="87"/>
      <c r="H1497" s="87"/>
      <c r="I1497" s="59"/>
      <c r="J1497" s="59"/>
      <c r="K1497" s="59"/>
      <c r="L1497" s="87"/>
      <c r="M1497" s="87"/>
      <c r="N1497" s="100"/>
      <c r="O1497" s="100"/>
    </row>
    <row r="1498" spans="1:15">
      <c r="A1498" s="87"/>
      <c r="B1498" s="87"/>
      <c r="C1498" s="18"/>
      <c r="D1498" s="18"/>
      <c r="E1498" s="18"/>
      <c r="F1498" s="87"/>
      <c r="G1498" s="87"/>
      <c r="H1498" s="87"/>
      <c r="I1498" s="59"/>
      <c r="J1498" s="59"/>
      <c r="K1498" s="59"/>
      <c r="L1498" s="87"/>
      <c r="M1498" s="87"/>
      <c r="N1498" s="100"/>
      <c r="O1498" s="100"/>
    </row>
    <row r="1499" spans="1:15">
      <c r="A1499" s="87"/>
      <c r="B1499" s="87"/>
      <c r="C1499" s="18"/>
      <c r="D1499" s="18"/>
      <c r="E1499" s="18"/>
      <c r="F1499" s="87"/>
      <c r="G1499" s="87"/>
      <c r="H1499" s="87"/>
      <c r="I1499" s="59"/>
      <c r="J1499" s="59"/>
      <c r="K1499" s="59"/>
      <c r="L1499" s="87"/>
      <c r="M1499" s="87"/>
      <c r="N1499" s="100"/>
      <c r="O1499" s="100"/>
    </row>
    <row r="1500" spans="1:15">
      <c r="A1500" s="87"/>
      <c r="B1500" s="87"/>
      <c r="C1500" s="18"/>
      <c r="D1500" s="18"/>
      <c r="E1500" s="18"/>
      <c r="F1500" s="87"/>
      <c r="G1500" s="87"/>
      <c r="H1500" s="87"/>
      <c r="I1500" s="59"/>
      <c r="J1500" s="59"/>
      <c r="K1500" s="59"/>
      <c r="L1500" s="87"/>
      <c r="M1500" s="87"/>
      <c r="N1500" s="100"/>
      <c r="O1500" s="100"/>
    </row>
    <row r="1501" spans="1:15">
      <c r="A1501" s="87"/>
      <c r="B1501" s="87"/>
      <c r="C1501" s="18"/>
      <c r="D1501" s="18"/>
      <c r="E1501" s="18"/>
      <c r="F1501" s="87"/>
      <c r="G1501" s="87"/>
      <c r="H1501" s="87"/>
      <c r="I1501" s="59"/>
      <c r="J1501" s="59"/>
      <c r="K1501" s="59"/>
      <c r="L1501" s="87"/>
      <c r="M1501" s="87"/>
      <c r="N1501" s="100"/>
      <c r="O1501" s="100"/>
    </row>
    <row r="1502" spans="1:15">
      <c r="A1502" s="87"/>
      <c r="B1502" s="87"/>
      <c r="C1502" s="18"/>
      <c r="D1502" s="18"/>
      <c r="E1502" s="18"/>
      <c r="F1502" s="87"/>
      <c r="G1502" s="87"/>
      <c r="H1502" s="87"/>
      <c r="I1502" s="59"/>
      <c r="J1502" s="59"/>
      <c r="K1502" s="59"/>
      <c r="L1502" s="87"/>
      <c r="M1502" s="87"/>
      <c r="N1502" s="100"/>
      <c r="O1502" s="100"/>
    </row>
    <row r="1503" spans="1:15">
      <c r="A1503" s="87"/>
      <c r="B1503" s="87"/>
      <c r="C1503" s="18"/>
      <c r="D1503" s="18"/>
      <c r="E1503" s="18"/>
      <c r="F1503" s="87"/>
      <c r="G1503" s="87"/>
      <c r="H1503" s="87"/>
      <c r="I1503" s="59"/>
      <c r="J1503" s="59"/>
      <c r="K1503" s="59"/>
      <c r="L1503" s="87"/>
      <c r="M1503" s="87"/>
      <c r="N1503" s="100"/>
      <c r="O1503" s="100"/>
    </row>
    <row r="1504" spans="1:15">
      <c r="A1504" s="87"/>
      <c r="B1504" s="87"/>
      <c r="C1504" s="18"/>
      <c r="D1504" s="18"/>
      <c r="E1504" s="18"/>
      <c r="F1504" s="87"/>
      <c r="G1504" s="87"/>
      <c r="H1504" s="87"/>
      <c r="I1504" s="59"/>
      <c r="J1504" s="59"/>
      <c r="K1504" s="59"/>
      <c r="L1504" s="87"/>
      <c r="M1504" s="87"/>
      <c r="N1504" s="100"/>
      <c r="O1504" s="100"/>
    </row>
    <row r="1505" spans="1:15">
      <c r="A1505" s="87"/>
      <c r="B1505" s="87"/>
      <c r="C1505" s="18"/>
      <c r="D1505" s="18"/>
      <c r="E1505" s="18"/>
      <c r="F1505" s="87"/>
      <c r="G1505" s="87"/>
      <c r="H1505" s="87"/>
      <c r="I1505" s="59"/>
      <c r="J1505" s="59"/>
      <c r="K1505" s="59"/>
      <c r="L1505" s="87"/>
      <c r="M1505" s="87"/>
      <c r="N1505" s="100"/>
      <c r="O1505" s="100"/>
    </row>
    <row r="1506" spans="1:15">
      <c r="A1506" s="87"/>
      <c r="B1506" s="87"/>
      <c r="C1506" s="18"/>
      <c r="D1506" s="18"/>
      <c r="E1506" s="18"/>
      <c r="F1506" s="87"/>
      <c r="G1506" s="87"/>
      <c r="H1506" s="87"/>
      <c r="I1506" s="59"/>
      <c r="J1506" s="59"/>
      <c r="K1506" s="59"/>
      <c r="L1506" s="87"/>
      <c r="M1506" s="87"/>
      <c r="N1506" s="100"/>
      <c r="O1506" s="100"/>
    </row>
    <row r="1507" spans="1:15">
      <c r="A1507" s="87"/>
      <c r="B1507" s="87"/>
      <c r="C1507" s="18"/>
      <c r="D1507" s="18"/>
      <c r="E1507" s="18"/>
      <c r="F1507" s="87"/>
      <c r="G1507" s="87"/>
      <c r="H1507" s="87"/>
      <c r="I1507" s="59"/>
      <c r="J1507" s="59"/>
      <c r="K1507" s="59"/>
      <c r="L1507" s="87"/>
      <c r="M1507" s="87"/>
      <c r="N1507" s="100"/>
      <c r="O1507" s="100"/>
    </row>
    <row r="1508" spans="1:15">
      <c r="A1508" s="87"/>
      <c r="B1508" s="87"/>
      <c r="C1508" s="18"/>
      <c r="D1508" s="18"/>
      <c r="E1508" s="18"/>
      <c r="F1508" s="87"/>
      <c r="G1508" s="87"/>
      <c r="H1508" s="87"/>
      <c r="I1508" s="59"/>
      <c r="J1508" s="59"/>
      <c r="K1508" s="59"/>
      <c r="L1508" s="87"/>
      <c r="M1508" s="87"/>
      <c r="N1508" s="100"/>
      <c r="O1508" s="100"/>
    </row>
    <row r="1509" spans="1:15">
      <c r="A1509" s="87"/>
      <c r="B1509" s="87"/>
      <c r="C1509" s="18"/>
      <c r="D1509" s="18"/>
      <c r="E1509" s="18"/>
      <c r="F1509" s="87"/>
      <c r="G1509" s="87"/>
      <c r="H1509" s="87"/>
      <c r="I1509" s="59"/>
      <c r="J1509" s="59"/>
      <c r="K1509" s="59"/>
      <c r="L1509" s="87"/>
      <c r="M1509" s="87"/>
      <c r="N1509" s="100"/>
      <c r="O1509" s="100"/>
    </row>
    <row r="1510" spans="1:15">
      <c r="A1510" s="87"/>
      <c r="B1510" s="87"/>
      <c r="C1510" s="18"/>
      <c r="D1510" s="18"/>
      <c r="E1510" s="18"/>
      <c r="F1510" s="87"/>
      <c r="G1510" s="87"/>
      <c r="H1510" s="87"/>
      <c r="I1510" s="59"/>
      <c r="J1510" s="59"/>
      <c r="K1510" s="59"/>
      <c r="L1510" s="87"/>
      <c r="M1510" s="87"/>
      <c r="N1510" s="100"/>
      <c r="O1510" s="100"/>
    </row>
    <row r="1511" spans="1:15">
      <c r="A1511" s="87"/>
      <c r="B1511" s="87"/>
      <c r="C1511" s="18"/>
      <c r="D1511" s="18"/>
      <c r="E1511" s="18"/>
      <c r="F1511" s="87"/>
      <c r="G1511" s="87"/>
      <c r="H1511" s="87"/>
      <c r="I1511" s="59"/>
      <c r="J1511" s="59"/>
      <c r="K1511" s="59"/>
      <c r="L1511" s="87"/>
      <c r="M1511" s="87"/>
      <c r="N1511" s="100"/>
      <c r="O1511" s="100"/>
    </row>
    <row r="1512" spans="1:15">
      <c r="A1512" s="87"/>
      <c r="B1512" s="87"/>
      <c r="C1512" s="18"/>
      <c r="D1512" s="18"/>
      <c r="E1512" s="18"/>
      <c r="F1512" s="87"/>
      <c r="G1512" s="87"/>
      <c r="H1512" s="87"/>
      <c r="I1512" s="59"/>
      <c r="J1512" s="59"/>
      <c r="K1512" s="59"/>
      <c r="L1512" s="87"/>
      <c r="M1512" s="87"/>
      <c r="N1512" s="100"/>
      <c r="O1512" s="100"/>
    </row>
    <row r="1513" spans="1:15">
      <c r="A1513" s="87"/>
      <c r="B1513" s="87"/>
      <c r="C1513" s="18"/>
      <c r="D1513" s="18"/>
      <c r="E1513" s="18"/>
      <c r="F1513" s="87"/>
      <c r="G1513" s="87"/>
      <c r="H1513" s="87"/>
      <c r="I1513" s="59"/>
      <c r="J1513" s="59"/>
      <c r="K1513" s="59"/>
      <c r="L1513" s="87"/>
      <c r="M1513" s="87"/>
      <c r="N1513" s="100"/>
      <c r="O1513" s="100"/>
    </row>
    <row r="1514" spans="1:15">
      <c r="A1514" s="87"/>
      <c r="B1514" s="87"/>
      <c r="C1514" s="18"/>
      <c r="D1514" s="18"/>
      <c r="E1514" s="18"/>
      <c r="F1514" s="87"/>
      <c r="G1514" s="87"/>
      <c r="H1514" s="87"/>
      <c r="I1514" s="59"/>
      <c r="J1514" s="59"/>
      <c r="K1514" s="59"/>
      <c r="L1514" s="87"/>
      <c r="M1514" s="87"/>
      <c r="N1514" s="100"/>
      <c r="O1514" s="100"/>
    </row>
    <row r="1515" spans="1:15">
      <c r="A1515" s="87"/>
      <c r="B1515" s="87"/>
      <c r="C1515" s="18"/>
      <c r="D1515" s="18"/>
      <c r="E1515" s="18"/>
      <c r="F1515" s="87"/>
      <c r="G1515" s="87"/>
      <c r="H1515" s="87"/>
      <c r="I1515" s="59"/>
      <c r="J1515" s="59"/>
      <c r="K1515" s="59"/>
      <c r="L1515" s="87"/>
      <c r="M1515" s="87"/>
      <c r="N1515" s="100"/>
      <c r="O1515" s="100"/>
    </row>
    <row r="1516" spans="1:15">
      <c r="A1516" s="87"/>
      <c r="B1516" s="87"/>
      <c r="C1516" s="18"/>
      <c r="D1516" s="18"/>
      <c r="E1516" s="18"/>
      <c r="F1516" s="87"/>
      <c r="G1516" s="87"/>
      <c r="H1516" s="87"/>
      <c r="I1516" s="59"/>
      <c r="J1516" s="59"/>
      <c r="K1516" s="59"/>
      <c r="L1516" s="87"/>
      <c r="M1516" s="87"/>
      <c r="N1516" s="100"/>
      <c r="O1516" s="100"/>
    </row>
    <row r="1517" spans="1:15">
      <c r="A1517" s="87"/>
      <c r="B1517" s="87"/>
      <c r="C1517" s="18"/>
      <c r="D1517" s="18"/>
      <c r="E1517" s="18"/>
      <c r="F1517" s="87"/>
      <c r="G1517" s="87"/>
      <c r="H1517" s="87"/>
      <c r="I1517" s="59"/>
      <c r="J1517" s="59"/>
      <c r="K1517" s="59"/>
      <c r="L1517" s="87"/>
      <c r="M1517" s="87"/>
      <c r="N1517" s="100"/>
      <c r="O1517" s="100"/>
    </row>
    <row r="1518" spans="1:15">
      <c r="A1518" s="87"/>
      <c r="B1518" s="87"/>
      <c r="C1518" s="18"/>
      <c r="D1518" s="18"/>
      <c r="E1518" s="18"/>
      <c r="F1518" s="87"/>
      <c r="G1518" s="87"/>
      <c r="H1518" s="87"/>
      <c r="I1518" s="59"/>
      <c r="J1518" s="59"/>
      <c r="K1518" s="59"/>
      <c r="L1518" s="87"/>
      <c r="M1518" s="87"/>
      <c r="N1518" s="100"/>
      <c r="O1518" s="100"/>
    </row>
    <row r="1519" spans="1:15">
      <c r="A1519" s="87"/>
      <c r="B1519" s="87"/>
      <c r="C1519" s="18"/>
      <c r="D1519" s="18"/>
      <c r="E1519" s="18"/>
      <c r="F1519" s="87"/>
      <c r="G1519" s="87"/>
      <c r="H1519" s="87"/>
      <c r="I1519" s="59"/>
      <c r="J1519" s="59"/>
      <c r="K1519" s="59"/>
      <c r="L1519" s="87"/>
      <c r="M1519" s="87"/>
      <c r="N1519" s="100"/>
      <c r="O1519" s="100"/>
    </row>
    <row r="1520" spans="1:15">
      <c r="A1520" s="87"/>
      <c r="B1520" s="87"/>
      <c r="C1520" s="18"/>
      <c r="D1520" s="18"/>
      <c r="E1520" s="18"/>
      <c r="F1520" s="87"/>
      <c r="G1520" s="87"/>
      <c r="H1520" s="87"/>
      <c r="I1520" s="59"/>
      <c r="J1520" s="59"/>
      <c r="K1520" s="59"/>
      <c r="L1520" s="87"/>
      <c r="M1520" s="87"/>
      <c r="N1520" s="100"/>
      <c r="O1520" s="100"/>
    </row>
    <row r="1521" spans="1:15">
      <c r="A1521" s="87"/>
      <c r="B1521" s="87"/>
      <c r="C1521" s="18"/>
      <c r="D1521" s="18"/>
      <c r="E1521" s="18"/>
      <c r="F1521" s="87"/>
      <c r="G1521" s="87"/>
      <c r="H1521" s="87"/>
      <c r="I1521" s="59"/>
      <c r="J1521" s="59"/>
      <c r="K1521" s="59"/>
      <c r="L1521" s="87"/>
      <c r="M1521" s="87"/>
      <c r="N1521" s="100"/>
      <c r="O1521" s="100"/>
    </row>
    <row r="1522" spans="1:15">
      <c r="A1522" s="87"/>
      <c r="B1522" s="87"/>
      <c r="C1522" s="18"/>
      <c r="D1522" s="18"/>
      <c r="E1522" s="18"/>
      <c r="F1522" s="87"/>
      <c r="G1522" s="87"/>
      <c r="H1522" s="87"/>
      <c r="I1522" s="59"/>
      <c r="J1522" s="59"/>
      <c r="K1522" s="59"/>
      <c r="L1522" s="87"/>
      <c r="M1522" s="87"/>
      <c r="N1522" s="100"/>
      <c r="O1522" s="100"/>
    </row>
    <row r="1523" spans="1:15">
      <c r="A1523" s="87"/>
      <c r="B1523" s="87"/>
      <c r="C1523" s="18"/>
      <c r="D1523" s="18"/>
      <c r="E1523" s="18"/>
      <c r="F1523" s="87"/>
      <c r="G1523" s="87"/>
      <c r="H1523" s="87"/>
      <c r="I1523" s="59"/>
      <c r="J1523" s="59"/>
      <c r="K1523" s="59"/>
      <c r="L1523" s="87"/>
      <c r="M1523" s="87"/>
      <c r="N1523" s="100"/>
      <c r="O1523" s="100"/>
    </row>
    <row r="1524" spans="1:15">
      <c r="A1524" s="87"/>
      <c r="B1524" s="87"/>
      <c r="C1524" s="18"/>
      <c r="D1524" s="18"/>
      <c r="E1524" s="18"/>
      <c r="F1524" s="87"/>
      <c r="G1524" s="87"/>
      <c r="H1524" s="87"/>
      <c r="I1524" s="59"/>
      <c r="J1524" s="59"/>
      <c r="K1524" s="59"/>
      <c r="L1524" s="87"/>
      <c r="M1524" s="87"/>
      <c r="N1524" s="100"/>
      <c r="O1524" s="100"/>
    </row>
    <row r="1525" spans="1:15">
      <c r="A1525" s="87"/>
      <c r="B1525" s="87"/>
      <c r="C1525" s="18"/>
      <c r="D1525" s="18"/>
      <c r="E1525" s="18"/>
      <c r="F1525" s="87"/>
      <c r="G1525" s="87"/>
      <c r="H1525" s="87"/>
      <c r="I1525" s="59"/>
      <c r="J1525" s="59"/>
      <c r="K1525" s="59"/>
      <c r="L1525" s="87"/>
      <c r="M1525" s="87"/>
      <c r="N1525" s="100"/>
      <c r="O1525" s="100"/>
    </row>
    <row r="1526" spans="1:15">
      <c r="A1526" s="87"/>
      <c r="B1526" s="87"/>
      <c r="C1526" s="18"/>
      <c r="D1526" s="18"/>
      <c r="E1526" s="18"/>
      <c r="F1526" s="87"/>
      <c r="G1526" s="87"/>
      <c r="H1526" s="87"/>
      <c r="I1526" s="59"/>
      <c r="J1526" s="59"/>
      <c r="K1526" s="59"/>
      <c r="L1526" s="87"/>
      <c r="M1526" s="87"/>
      <c r="N1526" s="100"/>
      <c r="O1526" s="100"/>
    </row>
    <row r="1527" spans="1:15">
      <c r="A1527" s="87"/>
      <c r="B1527" s="87"/>
      <c r="C1527" s="18"/>
      <c r="D1527" s="18"/>
      <c r="E1527" s="18"/>
      <c r="F1527" s="87"/>
      <c r="G1527" s="87"/>
      <c r="H1527" s="87"/>
      <c r="I1527" s="59"/>
      <c r="J1527" s="59"/>
      <c r="K1527" s="59"/>
      <c r="L1527" s="87"/>
      <c r="M1527" s="87"/>
      <c r="N1527" s="100"/>
      <c r="O1527" s="100"/>
    </row>
    <row r="1528" spans="1:15">
      <c r="A1528" s="87"/>
      <c r="B1528" s="87"/>
      <c r="C1528" s="18"/>
      <c r="D1528" s="18"/>
      <c r="E1528" s="18"/>
      <c r="F1528" s="87"/>
      <c r="G1528" s="87"/>
      <c r="H1528" s="87"/>
      <c r="I1528" s="59"/>
      <c r="J1528" s="59"/>
      <c r="K1528" s="59"/>
      <c r="L1528" s="87"/>
      <c r="M1528" s="87"/>
      <c r="N1528" s="100"/>
      <c r="O1528" s="100"/>
    </row>
    <row r="1529" spans="1:15">
      <c r="A1529" s="87"/>
      <c r="B1529" s="87"/>
      <c r="C1529" s="18"/>
      <c r="D1529" s="18"/>
      <c r="E1529" s="18"/>
      <c r="F1529" s="87"/>
      <c r="G1529" s="87"/>
      <c r="H1529" s="87"/>
      <c r="I1529" s="59"/>
      <c r="J1529" s="59"/>
      <c r="K1529" s="59"/>
      <c r="L1529" s="87"/>
      <c r="M1529" s="87"/>
      <c r="N1529" s="100"/>
      <c r="O1529" s="100"/>
    </row>
    <row r="1530" spans="1:15">
      <c r="A1530" s="87"/>
      <c r="B1530" s="87"/>
      <c r="C1530" s="18"/>
      <c r="D1530" s="18"/>
      <c r="E1530" s="18"/>
      <c r="F1530" s="87"/>
      <c r="G1530" s="87"/>
      <c r="H1530" s="87"/>
      <c r="I1530" s="59"/>
      <c r="J1530" s="59"/>
      <c r="K1530" s="59"/>
      <c r="L1530" s="87"/>
      <c r="M1530" s="87"/>
      <c r="N1530" s="100"/>
      <c r="O1530" s="100"/>
    </row>
    <row r="1531" spans="1:15">
      <c r="A1531" s="87"/>
      <c r="B1531" s="87"/>
      <c r="C1531" s="18"/>
      <c r="D1531" s="18"/>
      <c r="E1531" s="18"/>
      <c r="F1531" s="87"/>
      <c r="G1531" s="87"/>
      <c r="H1531" s="87"/>
      <c r="I1531" s="59"/>
      <c r="J1531" s="59"/>
      <c r="K1531" s="59"/>
      <c r="L1531" s="87"/>
      <c r="M1531" s="87"/>
      <c r="N1531" s="100"/>
      <c r="O1531" s="100"/>
    </row>
    <row r="1532" spans="1:15">
      <c r="A1532" s="87"/>
      <c r="B1532" s="87"/>
      <c r="C1532" s="18"/>
      <c r="D1532" s="18"/>
      <c r="E1532" s="18"/>
      <c r="F1532" s="87"/>
      <c r="G1532" s="87"/>
      <c r="H1532" s="87"/>
      <c r="I1532" s="59"/>
      <c r="J1532" s="59"/>
      <c r="K1532" s="59"/>
      <c r="L1532" s="87"/>
      <c r="M1532" s="87"/>
      <c r="N1532" s="100"/>
      <c r="O1532" s="100"/>
    </row>
    <row r="1533" spans="1:15">
      <c r="A1533" s="87"/>
      <c r="B1533" s="87"/>
      <c r="C1533" s="18"/>
      <c r="D1533" s="18"/>
      <c r="E1533" s="18"/>
      <c r="F1533" s="87"/>
      <c r="G1533" s="87"/>
      <c r="H1533" s="87"/>
      <c r="I1533" s="59"/>
      <c r="J1533" s="59"/>
      <c r="K1533" s="59"/>
      <c r="L1533" s="87"/>
      <c r="M1533" s="87"/>
      <c r="N1533" s="100"/>
      <c r="O1533" s="100"/>
    </row>
    <row r="1534" spans="1:15">
      <c r="A1534" s="87"/>
      <c r="B1534" s="87"/>
      <c r="C1534" s="18"/>
      <c r="D1534" s="18"/>
      <c r="E1534" s="18"/>
      <c r="F1534" s="87"/>
      <c r="G1534" s="87"/>
      <c r="H1534" s="87"/>
      <c r="I1534" s="59"/>
      <c r="J1534" s="59"/>
      <c r="K1534" s="59"/>
      <c r="L1534" s="87"/>
      <c r="M1534" s="87"/>
      <c r="N1534" s="100"/>
      <c r="O1534" s="100"/>
    </row>
    <row r="1535" spans="1:15">
      <c r="A1535" s="87"/>
      <c r="B1535" s="87"/>
      <c r="C1535" s="18"/>
      <c r="D1535" s="18"/>
      <c r="E1535" s="18"/>
      <c r="F1535" s="87"/>
      <c r="G1535" s="87"/>
      <c r="H1535" s="87"/>
      <c r="I1535" s="59"/>
      <c r="J1535" s="59"/>
      <c r="K1535" s="59"/>
      <c r="L1535" s="87"/>
      <c r="M1535" s="87"/>
      <c r="N1535" s="100"/>
      <c r="O1535" s="100"/>
    </row>
    <row r="1536" spans="1:15">
      <c r="A1536" s="87"/>
      <c r="B1536" s="87"/>
      <c r="C1536" s="18"/>
      <c r="D1536" s="18"/>
      <c r="E1536" s="18"/>
      <c r="F1536" s="87"/>
      <c r="G1536" s="87"/>
      <c r="H1536" s="87"/>
      <c r="I1536" s="59"/>
      <c r="J1536" s="59"/>
      <c r="K1536" s="59"/>
      <c r="L1536" s="87"/>
      <c r="M1536" s="87"/>
      <c r="N1536" s="100"/>
      <c r="O1536" s="100"/>
    </row>
    <row r="1537" spans="1:15">
      <c r="A1537" s="87"/>
      <c r="B1537" s="87"/>
      <c r="C1537" s="18"/>
      <c r="D1537" s="18"/>
      <c r="E1537" s="18"/>
      <c r="F1537" s="87"/>
      <c r="G1537" s="87"/>
      <c r="H1537" s="87"/>
      <c r="I1537" s="59"/>
      <c r="J1537" s="59"/>
      <c r="K1537" s="59"/>
      <c r="L1537" s="87"/>
      <c r="M1537" s="87"/>
      <c r="N1537" s="100"/>
      <c r="O1537" s="100"/>
    </row>
    <row r="1538" spans="1:15">
      <c r="A1538" s="87"/>
      <c r="B1538" s="87"/>
      <c r="C1538" s="18"/>
      <c r="D1538" s="18"/>
      <c r="E1538" s="18"/>
      <c r="F1538" s="87"/>
      <c r="G1538" s="87"/>
      <c r="H1538" s="87"/>
      <c r="I1538" s="59"/>
      <c r="J1538" s="59"/>
      <c r="K1538" s="59"/>
      <c r="L1538" s="87"/>
      <c r="M1538" s="87"/>
      <c r="N1538" s="100"/>
      <c r="O1538" s="100"/>
    </row>
    <row r="1539" spans="1:15">
      <c r="A1539" s="87"/>
      <c r="B1539" s="87"/>
      <c r="C1539" s="18"/>
      <c r="D1539" s="18"/>
      <c r="E1539" s="18"/>
      <c r="F1539" s="87"/>
      <c r="G1539" s="87"/>
      <c r="H1539" s="87"/>
      <c r="I1539" s="59"/>
      <c r="J1539" s="59"/>
      <c r="K1539" s="59"/>
      <c r="L1539" s="87"/>
      <c r="M1539" s="87"/>
      <c r="N1539" s="100"/>
      <c r="O1539" s="100"/>
    </row>
    <row r="1540" spans="1:15">
      <c r="A1540" s="87"/>
      <c r="B1540" s="87"/>
      <c r="C1540" s="18"/>
      <c r="D1540" s="18"/>
      <c r="E1540" s="18"/>
      <c r="F1540" s="87"/>
      <c r="G1540" s="87"/>
      <c r="H1540" s="87"/>
      <c r="I1540" s="59"/>
      <c r="J1540" s="59"/>
      <c r="K1540" s="59"/>
      <c r="L1540" s="87"/>
      <c r="M1540" s="87"/>
      <c r="N1540" s="100"/>
      <c r="O1540" s="100"/>
    </row>
    <row r="1541" spans="1:15">
      <c r="A1541" s="87"/>
      <c r="B1541" s="87"/>
      <c r="C1541" s="18"/>
      <c r="D1541" s="18"/>
      <c r="E1541" s="18"/>
      <c r="F1541" s="87"/>
      <c r="G1541" s="87"/>
      <c r="H1541" s="87"/>
      <c r="I1541" s="59"/>
      <c r="J1541" s="59"/>
      <c r="K1541" s="59"/>
      <c r="L1541" s="87"/>
      <c r="M1541" s="87"/>
      <c r="N1541" s="100"/>
      <c r="O1541" s="100"/>
    </row>
    <row r="1542" spans="1:15">
      <c r="A1542" s="87"/>
      <c r="B1542" s="87"/>
      <c r="C1542" s="18"/>
      <c r="D1542" s="18"/>
      <c r="E1542" s="18"/>
      <c r="F1542" s="87"/>
      <c r="G1542" s="87"/>
      <c r="H1542" s="87"/>
      <c r="I1542" s="59"/>
      <c r="J1542" s="59"/>
      <c r="K1542" s="59"/>
      <c r="L1542" s="87"/>
      <c r="M1542" s="87"/>
      <c r="N1542" s="100"/>
      <c r="O1542" s="100"/>
    </row>
    <row r="1543" spans="1:15">
      <c r="A1543" s="87"/>
      <c r="B1543" s="87"/>
      <c r="C1543" s="18"/>
      <c r="D1543" s="18"/>
      <c r="E1543" s="18"/>
      <c r="F1543" s="87"/>
      <c r="G1543" s="87"/>
      <c r="H1543" s="87"/>
      <c r="I1543" s="59"/>
      <c r="J1543" s="59"/>
      <c r="K1543" s="59"/>
      <c r="L1543" s="87"/>
      <c r="M1543" s="87"/>
      <c r="N1543" s="100"/>
      <c r="O1543" s="100"/>
    </row>
    <row r="1544" spans="1:15">
      <c r="A1544" s="87"/>
      <c r="B1544" s="87"/>
      <c r="C1544" s="18"/>
      <c r="D1544" s="18"/>
      <c r="E1544" s="18"/>
      <c r="F1544" s="87"/>
      <c r="G1544" s="87"/>
      <c r="H1544" s="87"/>
      <c r="I1544" s="59"/>
      <c r="J1544" s="59"/>
      <c r="K1544" s="59"/>
      <c r="L1544" s="87"/>
      <c r="M1544" s="87"/>
      <c r="N1544" s="100"/>
      <c r="O1544" s="100"/>
    </row>
    <row r="1545" spans="1:15">
      <c r="A1545" s="87"/>
      <c r="B1545" s="87"/>
      <c r="C1545" s="18"/>
      <c r="D1545" s="18"/>
      <c r="E1545" s="18"/>
      <c r="F1545" s="87"/>
      <c r="G1545" s="87"/>
      <c r="H1545" s="87"/>
      <c r="I1545" s="59"/>
      <c r="J1545" s="59"/>
      <c r="K1545" s="59"/>
      <c r="L1545" s="87"/>
      <c r="M1545" s="87"/>
      <c r="N1545" s="100"/>
      <c r="O1545" s="100"/>
    </row>
    <row r="1546" spans="1:15">
      <c r="A1546" s="87"/>
      <c r="B1546" s="87"/>
      <c r="C1546" s="18"/>
      <c r="D1546" s="18"/>
      <c r="E1546" s="18"/>
      <c r="F1546" s="87"/>
      <c r="G1546" s="87"/>
      <c r="H1546" s="87"/>
      <c r="I1546" s="59"/>
      <c r="J1546" s="59"/>
      <c r="K1546" s="59"/>
      <c r="L1546" s="87"/>
      <c r="M1546" s="87"/>
      <c r="N1546" s="100"/>
      <c r="O1546" s="100"/>
    </row>
    <row r="1547" spans="1:15">
      <c r="A1547" s="87"/>
      <c r="B1547" s="87"/>
      <c r="C1547" s="18"/>
      <c r="D1547" s="18"/>
      <c r="E1547" s="18"/>
      <c r="F1547" s="87"/>
      <c r="G1547" s="87"/>
      <c r="H1547" s="87"/>
      <c r="I1547" s="59"/>
      <c r="J1547" s="59"/>
      <c r="K1547" s="59"/>
      <c r="L1547" s="87"/>
      <c r="M1547" s="87"/>
      <c r="N1547" s="100"/>
      <c r="O1547" s="100"/>
    </row>
    <row r="1548" spans="1:15">
      <c r="A1548" s="87"/>
      <c r="B1548" s="87"/>
      <c r="C1548" s="18"/>
      <c r="D1548" s="18"/>
      <c r="E1548" s="18"/>
      <c r="F1548" s="87"/>
      <c r="G1548" s="87"/>
      <c r="H1548" s="87"/>
      <c r="I1548" s="59"/>
      <c r="J1548" s="59"/>
      <c r="K1548" s="59"/>
      <c r="L1548" s="87"/>
      <c r="M1548" s="87"/>
      <c r="N1548" s="100"/>
      <c r="O1548" s="100"/>
    </row>
    <row r="1549" spans="1:15">
      <c r="A1549" s="87"/>
      <c r="B1549" s="87"/>
      <c r="C1549" s="18"/>
      <c r="D1549" s="18"/>
      <c r="E1549" s="18"/>
      <c r="F1549" s="87"/>
      <c r="G1549" s="87"/>
      <c r="H1549" s="87"/>
      <c r="I1549" s="59"/>
      <c r="J1549" s="59"/>
      <c r="K1549" s="59"/>
      <c r="L1549" s="87"/>
      <c r="M1549" s="87"/>
      <c r="N1549" s="100"/>
      <c r="O1549" s="100"/>
    </row>
    <row r="1550" spans="1:15">
      <c r="A1550" s="87"/>
      <c r="B1550" s="87"/>
      <c r="C1550" s="18"/>
      <c r="D1550" s="18"/>
      <c r="E1550" s="18"/>
      <c r="F1550" s="87"/>
      <c r="G1550" s="87"/>
      <c r="H1550" s="87"/>
      <c r="I1550" s="59"/>
      <c r="J1550" s="59"/>
      <c r="K1550" s="59"/>
      <c r="L1550" s="87"/>
      <c r="M1550" s="87"/>
      <c r="N1550" s="100"/>
      <c r="O1550" s="100"/>
    </row>
    <row r="1551" spans="1:15">
      <c r="A1551" s="87"/>
      <c r="B1551" s="87"/>
      <c r="C1551" s="18"/>
      <c r="D1551" s="18"/>
      <c r="E1551" s="18"/>
      <c r="F1551" s="87"/>
      <c r="G1551" s="87"/>
      <c r="H1551" s="87"/>
      <c r="I1551" s="59"/>
      <c r="J1551" s="59"/>
      <c r="K1551" s="59"/>
      <c r="L1551" s="87"/>
      <c r="M1551" s="87"/>
      <c r="N1551" s="100"/>
      <c r="O1551" s="100"/>
    </row>
    <row r="1552" spans="1:15">
      <c r="A1552" s="87"/>
      <c r="B1552" s="87"/>
      <c r="C1552" s="18"/>
      <c r="D1552" s="18"/>
      <c r="E1552" s="18"/>
      <c r="F1552" s="87"/>
      <c r="G1552" s="87"/>
      <c r="H1552" s="87"/>
      <c r="I1552" s="59"/>
      <c r="J1552" s="59"/>
      <c r="K1552" s="59"/>
      <c r="L1552" s="87"/>
      <c r="M1552" s="87"/>
      <c r="N1552" s="100"/>
      <c r="O1552" s="100"/>
    </row>
    <row r="1553" spans="1:15">
      <c r="A1553" s="87"/>
      <c r="B1553" s="87"/>
      <c r="C1553" s="18"/>
      <c r="D1553" s="18"/>
      <c r="E1553" s="18"/>
      <c r="F1553" s="87"/>
      <c r="G1553" s="87"/>
      <c r="H1553" s="87"/>
      <c r="I1553" s="59"/>
      <c r="J1553" s="59"/>
      <c r="K1553" s="59"/>
      <c r="L1553" s="87"/>
      <c r="M1553" s="87"/>
      <c r="N1553" s="100"/>
      <c r="O1553" s="100"/>
    </row>
    <row r="1554" spans="1:15">
      <c r="A1554" s="87"/>
      <c r="B1554" s="87"/>
      <c r="C1554" s="18"/>
      <c r="D1554" s="18"/>
      <c r="E1554" s="18"/>
      <c r="F1554" s="87"/>
      <c r="G1554" s="87"/>
      <c r="H1554" s="87"/>
      <c r="I1554" s="59"/>
      <c r="J1554" s="59"/>
      <c r="K1554" s="59"/>
      <c r="L1554" s="87"/>
      <c r="M1554" s="87"/>
      <c r="N1554" s="100"/>
      <c r="O1554" s="100"/>
    </row>
    <row r="1555" spans="1:15">
      <c r="A1555" s="87"/>
      <c r="B1555" s="87"/>
      <c r="C1555" s="18"/>
      <c r="D1555" s="18"/>
      <c r="E1555" s="18"/>
      <c r="F1555" s="87"/>
      <c r="G1555" s="87"/>
      <c r="H1555" s="87"/>
      <c r="I1555" s="59"/>
      <c r="J1555" s="59"/>
      <c r="K1555" s="59"/>
      <c r="L1555" s="87"/>
      <c r="M1555" s="87"/>
      <c r="N1555" s="100"/>
      <c r="O1555" s="100"/>
    </row>
    <row r="1556" spans="1:15">
      <c r="A1556" s="87"/>
      <c r="B1556" s="87"/>
      <c r="C1556" s="18"/>
      <c r="D1556" s="18"/>
      <c r="E1556" s="18"/>
      <c r="F1556" s="87"/>
      <c r="G1556" s="87"/>
      <c r="H1556" s="87"/>
      <c r="I1556" s="59"/>
      <c r="J1556" s="59"/>
      <c r="K1556" s="59"/>
      <c r="L1556" s="87"/>
      <c r="M1556" s="87"/>
      <c r="N1556" s="100"/>
      <c r="O1556" s="100"/>
    </row>
    <row r="1557" spans="1:15">
      <c r="A1557" s="87"/>
      <c r="B1557" s="87"/>
      <c r="C1557" s="18"/>
      <c r="D1557" s="18"/>
      <c r="E1557" s="18"/>
      <c r="F1557" s="87"/>
      <c r="G1557" s="87"/>
      <c r="H1557" s="87"/>
      <c r="I1557" s="59"/>
      <c r="J1557" s="59"/>
      <c r="K1557" s="59"/>
      <c r="L1557" s="87"/>
      <c r="M1557" s="87"/>
      <c r="N1557" s="100"/>
      <c r="O1557" s="100"/>
    </row>
    <row r="1558" spans="1:15">
      <c r="A1558" s="87"/>
      <c r="B1558" s="87"/>
      <c r="C1558" s="18"/>
      <c r="D1558" s="18"/>
      <c r="E1558" s="18"/>
      <c r="F1558" s="87"/>
      <c r="G1558" s="87"/>
      <c r="H1558" s="87"/>
      <c r="I1558" s="59"/>
      <c r="J1558" s="59"/>
      <c r="K1558" s="59"/>
      <c r="L1558" s="87"/>
      <c r="M1558" s="87"/>
      <c r="N1558" s="100"/>
      <c r="O1558" s="100"/>
    </row>
    <row r="1559" spans="1:15">
      <c r="A1559" s="87"/>
      <c r="B1559" s="87"/>
      <c r="C1559" s="18"/>
      <c r="D1559" s="18"/>
      <c r="E1559" s="18"/>
      <c r="F1559" s="87"/>
      <c r="G1559" s="87"/>
      <c r="H1559" s="87"/>
      <c r="I1559" s="59"/>
      <c r="J1559" s="59"/>
      <c r="K1559" s="59"/>
      <c r="L1559" s="87"/>
      <c r="M1559" s="87"/>
      <c r="N1559" s="100"/>
      <c r="O1559" s="100"/>
    </row>
    <row r="1560" spans="1:15">
      <c r="A1560" s="87"/>
      <c r="B1560" s="87"/>
      <c r="C1560" s="18"/>
      <c r="D1560" s="18"/>
      <c r="E1560" s="18"/>
      <c r="F1560" s="87"/>
      <c r="G1560" s="87"/>
      <c r="H1560" s="87"/>
      <c r="I1560" s="59"/>
      <c r="J1560" s="59"/>
      <c r="K1560" s="59"/>
      <c r="L1560" s="87"/>
      <c r="M1560" s="87"/>
      <c r="N1560" s="100"/>
      <c r="O1560" s="100"/>
    </row>
    <row r="1561" spans="1:15">
      <c r="A1561" s="87"/>
      <c r="B1561" s="87"/>
      <c r="C1561" s="18"/>
      <c r="D1561" s="18"/>
      <c r="E1561" s="18"/>
      <c r="F1561" s="87"/>
      <c r="G1561" s="87"/>
      <c r="H1561" s="87"/>
      <c r="I1561" s="59"/>
      <c r="J1561" s="59"/>
      <c r="K1561" s="59"/>
      <c r="L1561" s="87"/>
      <c r="M1561" s="87"/>
      <c r="N1561" s="100"/>
      <c r="O1561" s="100"/>
    </row>
    <row r="1562" spans="1:15">
      <c r="A1562" s="87"/>
      <c r="B1562" s="87"/>
      <c r="C1562" s="18"/>
      <c r="D1562" s="18"/>
      <c r="E1562" s="18"/>
      <c r="F1562" s="87"/>
      <c r="G1562" s="87"/>
      <c r="H1562" s="87"/>
      <c r="I1562" s="59"/>
      <c r="J1562" s="59"/>
      <c r="K1562" s="59"/>
      <c r="L1562" s="87"/>
      <c r="M1562" s="87"/>
      <c r="N1562" s="100"/>
      <c r="O1562" s="100"/>
    </row>
    <row r="1563" spans="1:15">
      <c r="A1563" s="87"/>
      <c r="B1563" s="87"/>
      <c r="C1563" s="18"/>
      <c r="D1563" s="18"/>
      <c r="E1563" s="18"/>
      <c r="F1563" s="87"/>
      <c r="G1563" s="87"/>
      <c r="H1563" s="87"/>
      <c r="I1563" s="59"/>
      <c r="J1563" s="59"/>
      <c r="K1563" s="59"/>
      <c r="L1563" s="87"/>
      <c r="M1563" s="87"/>
      <c r="N1563" s="100"/>
      <c r="O1563" s="100"/>
    </row>
    <row r="1564" spans="1:15">
      <c r="A1564" s="87"/>
      <c r="B1564" s="87"/>
      <c r="C1564" s="18"/>
      <c r="D1564" s="18"/>
      <c r="E1564" s="18"/>
      <c r="F1564" s="87"/>
      <c r="G1564" s="87"/>
      <c r="H1564" s="87"/>
      <c r="I1564" s="59"/>
      <c r="J1564" s="59"/>
      <c r="K1564" s="59"/>
      <c r="L1564" s="87"/>
      <c r="M1564" s="87"/>
      <c r="N1564" s="100"/>
      <c r="O1564" s="100"/>
    </row>
    <row r="1565" spans="1:15">
      <c r="A1565" s="87"/>
      <c r="B1565" s="87"/>
      <c r="C1565" s="18"/>
      <c r="D1565" s="18"/>
      <c r="E1565" s="18"/>
      <c r="F1565" s="87"/>
      <c r="G1565" s="87"/>
      <c r="H1565" s="87"/>
      <c r="I1565" s="59"/>
      <c r="J1565" s="59"/>
      <c r="K1565" s="59"/>
      <c r="L1565" s="87"/>
      <c r="M1565" s="87"/>
      <c r="N1565" s="100"/>
      <c r="O1565" s="100"/>
    </row>
    <row r="1566" spans="1:15">
      <c r="A1566" s="87"/>
      <c r="B1566" s="87"/>
      <c r="C1566" s="18"/>
      <c r="D1566" s="18"/>
      <c r="E1566" s="18"/>
      <c r="F1566" s="87"/>
      <c r="G1566" s="87"/>
      <c r="H1566" s="87"/>
      <c r="I1566" s="59"/>
      <c r="J1566" s="59"/>
      <c r="K1566" s="59"/>
      <c r="L1566" s="87"/>
      <c r="M1566" s="87"/>
      <c r="N1566" s="100"/>
      <c r="O1566" s="100"/>
    </row>
    <row r="1567" spans="1:15">
      <c r="A1567" s="87"/>
      <c r="B1567" s="87"/>
      <c r="C1567" s="18"/>
      <c r="D1567" s="18"/>
      <c r="E1567" s="18"/>
      <c r="F1567" s="87"/>
      <c r="G1567" s="87"/>
      <c r="H1567" s="87"/>
      <c r="I1567" s="59"/>
      <c r="J1567" s="59"/>
      <c r="K1567" s="59"/>
      <c r="L1567" s="87"/>
      <c r="M1567" s="87"/>
      <c r="N1567" s="100"/>
      <c r="O1567" s="100"/>
    </row>
    <row r="1568" spans="1:15">
      <c r="A1568" s="87"/>
      <c r="B1568" s="87"/>
      <c r="C1568" s="18"/>
      <c r="D1568" s="18"/>
      <c r="E1568" s="18"/>
      <c r="F1568" s="87"/>
      <c r="G1568" s="87"/>
      <c r="H1568" s="87"/>
      <c r="I1568" s="59"/>
      <c r="J1568" s="59"/>
      <c r="K1568" s="59"/>
      <c r="L1568" s="87"/>
      <c r="M1568" s="87"/>
      <c r="N1568" s="100"/>
      <c r="O1568" s="100"/>
    </row>
    <row r="1569" spans="1:15">
      <c r="A1569" s="87"/>
      <c r="B1569" s="87"/>
      <c r="C1569" s="18"/>
      <c r="D1569" s="18"/>
      <c r="E1569" s="18"/>
      <c r="F1569" s="87"/>
      <c r="G1569" s="87"/>
      <c r="H1569" s="87"/>
      <c r="I1569" s="59"/>
      <c r="J1569" s="59"/>
      <c r="K1569" s="59"/>
      <c r="L1569" s="87"/>
      <c r="M1569" s="87"/>
      <c r="N1569" s="100"/>
      <c r="O1569" s="100"/>
    </row>
    <row r="1570" spans="1:15">
      <c r="A1570" s="87"/>
      <c r="B1570" s="87"/>
      <c r="C1570" s="18"/>
      <c r="D1570" s="18"/>
      <c r="E1570" s="18"/>
      <c r="F1570" s="87"/>
      <c r="G1570" s="87"/>
      <c r="H1570" s="87"/>
      <c r="I1570" s="59"/>
      <c r="J1570" s="59"/>
      <c r="K1570" s="59"/>
      <c r="L1570" s="87"/>
      <c r="M1570" s="87"/>
      <c r="N1570" s="100"/>
      <c r="O1570" s="100"/>
    </row>
    <row r="1571" spans="1:15">
      <c r="A1571" s="87"/>
      <c r="B1571" s="87"/>
      <c r="C1571" s="18"/>
      <c r="D1571" s="18"/>
      <c r="E1571" s="18"/>
      <c r="F1571" s="87"/>
      <c r="G1571" s="87"/>
      <c r="H1571" s="87"/>
      <c r="I1571" s="59"/>
      <c r="J1571" s="59"/>
      <c r="K1571" s="59"/>
      <c r="L1571" s="87"/>
      <c r="M1571" s="87"/>
      <c r="N1571" s="100"/>
      <c r="O1571" s="100"/>
    </row>
    <row r="1572" spans="1:15">
      <c r="A1572" s="87"/>
      <c r="B1572" s="87"/>
      <c r="C1572" s="18"/>
      <c r="D1572" s="18"/>
      <c r="E1572" s="18"/>
      <c r="F1572" s="87"/>
      <c r="G1572" s="87"/>
      <c r="H1572" s="87"/>
      <c r="I1572" s="59"/>
      <c r="J1572" s="59"/>
      <c r="K1572" s="59"/>
      <c r="L1572" s="87"/>
      <c r="M1572" s="87"/>
      <c r="N1572" s="100"/>
      <c r="O1572" s="100"/>
    </row>
    <row r="1573" spans="1:15">
      <c r="A1573" s="87"/>
      <c r="B1573" s="87"/>
      <c r="C1573" s="18"/>
      <c r="D1573" s="18"/>
      <c r="E1573" s="18"/>
      <c r="F1573" s="87"/>
      <c r="G1573" s="87"/>
      <c r="H1573" s="87"/>
      <c r="I1573" s="59"/>
      <c r="J1573" s="59"/>
      <c r="K1573" s="59"/>
      <c r="L1573" s="87"/>
      <c r="M1573" s="87"/>
      <c r="N1573" s="100"/>
      <c r="O1573" s="100"/>
    </row>
    <row r="1574" spans="1:15">
      <c r="A1574" s="87"/>
      <c r="B1574" s="87"/>
      <c r="C1574" s="18"/>
      <c r="D1574" s="18"/>
      <c r="E1574" s="18"/>
      <c r="F1574" s="87"/>
      <c r="G1574" s="87"/>
      <c r="H1574" s="87"/>
      <c r="I1574" s="59"/>
      <c r="J1574" s="59"/>
      <c r="K1574" s="59"/>
      <c r="L1574" s="87"/>
      <c r="M1574" s="87"/>
      <c r="N1574" s="100"/>
      <c r="O1574" s="100"/>
    </row>
    <row r="1575" spans="1:15">
      <c r="A1575" s="87"/>
      <c r="B1575" s="87"/>
      <c r="C1575" s="18"/>
      <c r="D1575" s="18"/>
      <c r="E1575" s="18"/>
      <c r="F1575" s="87"/>
      <c r="G1575" s="87"/>
      <c r="H1575" s="87"/>
      <c r="I1575" s="59"/>
      <c r="J1575" s="59"/>
      <c r="K1575" s="59"/>
      <c r="L1575" s="87"/>
      <c r="M1575" s="87"/>
      <c r="N1575" s="100"/>
      <c r="O1575" s="100"/>
    </row>
    <row r="1576" spans="1:15">
      <c r="A1576" s="87"/>
      <c r="B1576" s="87"/>
      <c r="C1576" s="18"/>
      <c r="D1576" s="18"/>
      <c r="E1576" s="18"/>
      <c r="F1576" s="87"/>
      <c r="G1576" s="87"/>
      <c r="H1576" s="87"/>
      <c r="I1576" s="59"/>
      <c r="J1576" s="59"/>
      <c r="K1576" s="59"/>
      <c r="L1576" s="87"/>
      <c r="M1576" s="87"/>
      <c r="N1576" s="100"/>
      <c r="O1576" s="100"/>
    </row>
    <row r="1577" spans="1:15">
      <c r="A1577" s="87"/>
      <c r="B1577" s="87"/>
      <c r="C1577" s="18"/>
      <c r="D1577" s="18"/>
      <c r="E1577" s="18"/>
      <c r="F1577" s="87"/>
      <c r="G1577" s="87"/>
      <c r="H1577" s="87"/>
      <c r="I1577" s="59"/>
      <c r="J1577" s="59"/>
      <c r="K1577" s="59"/>
      <c r="L1577" s="87"/>
      <c r="M1577" s="87"/>
      <c r="N1577" s="100"/>
      <c r="O1577" s="100"/>
    </row>
    <row r="1578" spans="1:15">
      <c r="A1578" s="87"/>
      <c r="B1578" s="87"/>
      <c r="C1578" s="18"/>
      <c r="D1578" s="18"/>
      <c r="E1578" s="18"/>
      <c r="F1578" s="87"/>
      <c r="G1578" s="87"/>
      <c r="H1578" s="87"/>
      <c r="I1578" s="59"/>
      <c r="J1578" s="59"/>
      <c r="K1578" s="59"/>
      <c r="L1578" s="87"/>
      <c r="M1578" s="87"/>
      <c r="N1578" s="100"/>
      <c r="O1578" s="100"/>
    </row>
    <row r="1579" spans="1:15">
      <c r="A1579" s="87"/>
      <c r="B1579" s="87"/>
      <c r="C1579" s="18"/>
      <c r="D1579" s="18"/>
      <c r="E1579" s="18"/>
      <c r="F1579" s="87"/>
      <c r="G1579" s="87"/>
      <c r="H1579" s="87"/>
      <c r="I1579" s="59"/>
      <c r="J1579" s="59"/>
      <c r="K1579" s="59"/>
      <c r="L1579" s="87"/>
      <c r="M1579" s="87"/>
      <c r="N1579" s="100"/>
      <c r="O1579" s="100"/>
    </row>
    <row r="1580" spans="1:15">
      <c r="A1580" s="87"/>
      <c r="B1580" s="87"/>
      <c r="C1580" s="18"/>
      <c r="D1580" s="18"/>
      <c r="E1580" s="18"/>
      <c r="F1580" s="87"/>
      <c r="G1580" s="87"/>
      <c r="H1580" s="87"/>
      <c r="I1580" s="59"/>
      <c r="J1580" s="59"/>
      <c r="K1580" s="59"/>
      <c r="L1580" s="87"/>
      <c r="M1580" s="87"/>
      <c r="N1580" s="100"/>
      <c r="O1580" s="100"/>
    </row>
    <row r="1581" spans="1:15">
      <c r="A1581" s="87"/>
      <c r="B1581" s="87"/>
      <c r="C1581" s="18"/>
      <c r="D1581" s="18"/>
      <c r="E1581" s="18"/>
      <c r="F1581" s="87"/>
      <c r="G1581" s="87"/>
      <c r="H1581" s="87"/>
      <c r="I1581" s="59"/>
      <c r="J1581" s="59"/>
      <c r="K1581" s="59"/>
      <c r="L1581" s="87"/>
      <c r="M1581" s="87"/>
      <c r="N1581" s="100"/>
      <c r="O1581" s="100"/>
    </row>
    <row r="1582" spans="1:15">
      <c r="A1582" s="87"/>
      <c r="B1582" s="87"/>
      <c r="C1582" s="18"/>
      <c r="D1582" s="18"/>
      <c r="E1582" s="18"/>
      <c r="F1582" s="87"/>
      <c r="G1582" s="87"/>
      <c r="H1582" s="87"/>
      <c r="I1582" s="59"/>
      <c r="J1582" s="59"/>
      <c r="K1582" s="59"/>
      <c r="L1582" s="87"/>
      <c r="M1582" s="87"/>
      <c r="N1582" s="100"/>
      <c r="O1582" s="100"/>
    </row>
    <row r="1583" spans="1:15">
      <c r="A1583" s="87"/>
      <c r="B1583" s="87"/>
      <c r="C1583" s="18"/>
      <c r="D1583" s="18"/>
      <c r="E1583" s="18"/>
      <c r="F1583" s="87"/>
      <c r="G1583" s="87"/>
      <c r="H1583" s="87"/>
      <c r="I1583" s="59"/>
      <c r="J1583" s="59"/>
      <c r="K1583" s="59"/>
      <c r="L1583" s="87"/>
      <c r="M1583" s="87"/>
      <c r="N1583" s="100"/>
      <c r="O1583" s="100"/>
    </row>
    <row r="1584" spans="1:15">
      <c r="A1584" s="87"/>
      <c r="B1584" s="87"/>
      <c r="C1584" s="18"/>
      <c r="D1584" s="18"/>
      <c r="E1584" s="18"/>
      <c r="F1584" s="87"/>
      <c r="G1584" s="87"/>
      <c r="H1584" s="87"/>
      <c r="I1584" s="59"/>
      <c r="J1584" s="59"/>
      <c r="K1584" s="59"/>
      <c r="L1584" s="87"/>
      <c r="M1584" s="87"/>
      <c r="N1584" s="100"/>
      <c r="O1584" s="100"/>
    </row>
    <row r="1585" spans="1:15">
      <c r="A1585" s="87"/>
      <c r="B1585" s="87"/>
      <c r="C1585" s="18"/>
      <c r="D1585" s="18"/>
      <c r="E1585" s="18"/>
      <c r="F1585" s="87"/>
      <c r="G1585" s="87"/>
      <c r="H1585" s="87"/>
      <c r="I1585" s="59"/>
      <c r="J1585" s="59"/>
      <c r="K1585" s="59"/>
      <c r="L1585" s="87"/>
      <c r="M1585" s="87"/>
      <c r="N1585" s="100"/>
      <c r="O1585" s="100"/>
    </row>
    <row r="1586" spans="1:15">
      <c r="A1586" s="87"/>
      <c r="B1586" s="87"/>
      <c r="C1586" s="18"/>
      <c r="D1586" s="18"/>
      <c r="E1586" s="18"/>
      <c r="F1586" s="87"/>
      <c r="G1586" s="87"/>
      <c r="H1586" s="87"/>
      <c r="I1586" s="59"/>
      <c r="J1586" s="59"/>
      <c r="K1586" s="59"/>
      <c r="L1586" s="87"/>
      <c r="M1586" s="87"/>
      <c r="N1586" s="100"/>
      <c r="O1586" s="100"/>
    </row>
    <row r="1587" spans="1:15">
      <c r="A1587" s="87"/>
      <c r="B1587" s="87"/>
      <c r="C1587" s="18"/>
      <c r="D1587" s="18"/>
      <c r="E1587" s="18"/>
      <c r="F1587" s="87"/>
      <c r="G1587" s="87"/>
      <c r="H1587" s="87"/>
      <c r="I1587" s="59"/>
      <c r="J1587" s="59"/>
      <c r="K1587" s="59"/>
      <c r="L1587" s="87"/>
      <c r="M1587" s="87"/>
      <c r="N1587" s="100"/>
      <c r="O1587" s="100"/>
    </row>
    <row r="1588" spans="1:15">
      <c r="A1588" s="87"/>
      <c r="B1588" s="87"/>
      <c r="C1588" s="18"/>
      <c r="D1588" s="18"/>
      <c r="E1588" s="18"/>
      <c r="F1588" s="87"/>
      <c r="G1588" s="87"/>
      <c r="H1588" s="87"/>
      <c r="I1588" s="59"/>
      <c r="J1588" s="59"/>
      <c r="K1588" s="59"/>
      <c r="L1588" s="87"/>
      <c r="M1588" s="87"/>
      <c r="N1588" s="100"/>
      <c r="O1588" s="100"/>
    </row>
    <row r="1589" spans="1:15">
      <c r="A1589" s="87"/>
      <c r="B1589" s="87"/>
      <c r="C1589" s="18"/>
      <c r="D1589" s="18"/>
      <c r="E1589" s="18"/>
      <c r="F1589" s="87"/>
      <c r="G1589" s="87"/>
      <c r="H1589" s="87"/>
      <c r="I1589" s="59"/>
      <c r="J1589" s="59"/>
      <c r="K1589" s="59"/>
      <c r="L1589" s="87"/>
      <c r="M1589" s="87"/>
      <c r="N1589" s="100"/>
      <c r="O1589" s="100"/>
    </row>
    <row r="1590" spans="1:15">
      <c r="A1590" s="87"/>
      <c r="B1590" s="87"/>
      <c r="C1590" s="18"/>
      <c r="D1590" s="18"/>
      <c r="E1590" s="18"/>
      <c r="F1590" s="87"/>
      <c r="G1590" s="87"/>
      <c r="H1590" s="87"/>
      <c r="I1590" s="59"/>
      <c r="J1590" s="59"/>
      <c r="K1590" s="59"/>
      <c r="L1590" s="87"/>
      <c r="M1590" s="87"/>
      <c r="N1590" s="100"/>
      <c r="O1590" s="100"/>
    </row>
    <row r="1591" spans="1:15">
      <c r="A1591" s="87"/>
      <c r="B1591" s="87"/>
      <c r="C1591" s="18"/>
      <c r="D1591" s="18"/>
      <c r="E1591" s="18"/>
      <c r="F1591" s="87"/>
      <c r="G1591" s="87"/>
      <c r="H1591" s="87"/>
      <c r="I1591" s="59"/>
      <c r="J1591" s="59"/>
      <c r="K1591" s="59"/>
      <c r="L1591" s="87"/>
      <c r="M1591" s="87"/>
      <c r="N1591" s="100"/>
      <c r="O1591" s="100"/>
    </row>
    <row r="1592" spans="1:15">
      <c r="A1592" s="87"/>
      <c r="B1592" s="87"/>
      <c r="C1592" s="18"/>
      <c r="D1592" s="18"/>
      <c r="E1592" s="18"/>
      <c r="F1592" s="87"/>
      <c r="G1592" s="87"/>
      <c r="H1592" s="87"/>
      <c r="I1592" s="59"/>
      <c r="J1592" s="59"/>
      <c r="K1592" s="59"/>
      <c r="L1592" s="87"/>
      <c r="M1592" s="87"/>
      <c r="N1592" s="100"/>
      <c r="O1592" s="100"/>
    </row>
    <row r="1593" spans="1:15">
      <c r="A1593" s="87"/>
      <c r="B1593" s="87"/>
      <c r="C1593" s="18"/>
      <c r="D1593" s="18"/>
      <c r="E1593" s="18"/>
      <c r="F1593" s="87"/>
      <c r="G1593" s="87"/>
      <c r="H1593" s="87"/>
      <c r="I1593" s="59"/>
      <c r="J1593" s="59"/>
      <c r="K1593" s="59"/>
      <c r="L1593" s="87"/>
      <c r="M1593" s="87"/>
      <c r="N1593" s="100"/>
      <c r="O1593" s="100"/>
    </row>
    <row r="1594" spans="1:15">
      <c r="A1594" s="87"/>
      <c r="B1594" s="87"/>
      <c r="C1594" s="18"/>
      <c r="D1594" s="18"/>
      <c r="E1594" s="18"/>
      <c r="F1594" s="87"/>
      <c r="G1594" s="87"/>
      <c r="H1594" s="87"/>
      <c r="I1594" s="59"/>
      <c r="J1594" s="59"/>
      <c r="K1594" s="59"/>
      <c r="L1594" s="87"/>
      <c r="M1594" s="87"/>
      <c r="N1594" s="100"/>
      <c r="O1594" s="100"/>
    </row>
    <row r="1595" spans="1:15">
      <c r="A1595" s="87"/>
      <c r="B1595" s="87"/>
      <c r="C1595" s="18"/>
      <c r="D1595" s="18"/>
      <c r="E1595" s="18"/>
      <c r="F1595" s="87"/>
      <c r="G1595" s="87"/>
      <c r="H1595" s="87"/>
      <c r="I1595" s="59"/>
      <c r="J1595" s="59"/>
      <c r="K1595" s="59"/>
      <c r="L1595" s="87"/>
      <c r="M1595" s="87"/>
      <c r="N1595" s="100"/>
      <c r="O1595" s="100"/>
    </row>
    <row r="1596" spans="1:15">
      <c r="A1596" s="87"/>
      <c r="B1596" s="87"/>
      <c r="C1596" s="18"/>
      <c r="D1596" s="18"/>
      <c r="E1596" s="18"/>
      <c r="F1596" s="87"/>
      <c r="G1596" s="87"/>
      <c r="H1596" s="87"/>
      <c r="I1596" s="59"/>
      <c r="J1596" s="59"/>
      <c r="K1596" s="59"/>
      <c r="L1596" s="87"/>
      <c r="M1596" s="87"/>
      <c r="N1596" s="100"/>
      <c r="O1596" s="100"/>
    </row>
    <row r="1597" spans="1:15">
      <c r="A1597" s="87"/>
      <c r="B1597" s="87"/>
      <c r="C1597" s="18"/>
      <c r="D1597" s="18"/>
      <c r="E1597" s="18"/>
      <c r="F1597" s="87"/>
      <c r="G1597" s="87"/>
      <c r="H1597" s="87"/>
      <c r="I1597" s="59"/>
      <c r="J1597" s="59"/>
      <c r="K1597" s="59"/>
      <c r="L1597" s="87"/>
      <c r="M1597" s="87"/>
      <c r="N1597" s="100"/>
      <c r="O1597" s="100"/>
    </row>
    <row r="1598" spans="1:15">
      <c r="A1598" s="87"/>
      <c r="B1598" s="87"/>
      <c r="C1598" s="18"/>
      <c r="D1598" s="18"/>
      <c r="E1598" s="18"/>
      <c r="F1598" s="87"/>
      <c r="G1598" s="87"/>
      <c r="H1598" s="87"/>
      <c r="I1598" s="59"/>
      <c r="J1598" s="59"/>
      <c r="K1598" s="59"/>
      <c r="L1598" s="87"/>
      <c r="M1598" s="87"/>
      <c r="N1598" s="100"/>
      <c r="O1598" s="100"/>
    </row>
    <row r="1599" spans="1:15">
      <c r="A1599" s="87"/>
      <c r="B1599" s="87"/>
      <c r="C1599" s="18"/>
      <c r="D1599" s="18"/>
      <c r="E1599" s="18"/>
      <c r="F1599" s="87"/>
      <c r="G1599" s="87"/>
      <c r="H1599" s="87"/>
      <c r="I1599" s="59"/>
      <c r="J1599" s="59"/>
      <c r="K1599" s="59"/>
      <c r="L1599" s="87"/>
      <c r="M1599" s="87"/>
      <c r="N1599" s="100"/>
      <c r="O1599" s="100"/>
    </row>
    <row r="1600" spans="1:15">
      <c r="A1600" s="87"/>
      <c r="B1600" s="87"/>
      <c r="C1600" s="18"/>
      <c r="D1600" s="18"/>
      <c r="E1600" s="18"/>
      <c r="F1600" s="87"/>
      <c r="G1600" s="87"/>
      <c r="H1600" s="87"/>
      <c r="I1600" s="59"/>
      <c r="J1600" s="59"/>
      <c r="K1600" s="59"/>
      <c r="L1600" s="87"/>
      <c r="M1600" s="87"/>
      <c r="N1600" s="100"/>
      <c r="O1600" s="100"/>
    </row>
    <row r="1601" spans="1:15">
      <c r="A1601" s="87"/>
      <c r="B1601" s="87"/>
      <c r="C1601" s="18"/>
      <c r="D1601" s="18"/>
      <c r="E1601" s="18"/>
      <c r="F1601" s="87"/>
      <c r="G1601" s="87"/>
      <c r="H1601" s="87"/>
      <c r="I1601" s="59"/>
      <c r="J1601" s="59"/>
      <c r="K1601" s="59"/>
      <c r="L1601" s="87"/>
      <c r="M1601" s="87"/>
      <c r="N1601" s="100"/>
      <c r="O1601" s="100"/>
    </row>
    <row r="1602" spans="1:15">
      <c r="A1602" s="87"/>
      <c r="B1602" s="87"/>
      <c r="C1602" s="18"/>
      <c r="D1602" s="18"/>
      <c r="E1602" s="18"/>
      <c r="F1602" s="87"/>
      <c r="G1602" s="87"/>
      <c r="H1602" s="87"/>
      <c r="I1602" s="59"/>
      <c r="J1602" s="59"/>
      <c r="K1602" s="59"/>
      <c r="L1602" s="87"/>
      <c r="M1602" s="87"/>
      <c r="N1602" s="100"/>
      <c r="O1602" s="100"/>
    </row>
    <row r="1603" spans="1:15">
      <c r="A1603" s="87"/>
      <c r="B1603" s="87"/>
      <c r="C1603" s="18"/>
      <c r="D1603" s="18"/>
      <c r="E1603" s="18"/>
      <c r="F1603" s="87"/>
      <c r="G1603" s="87"/>
      <c r="H1603" s="87"/>
      <c r="I1603" s="59"/>
      <c r="J1603" s="59"/>
      <c r="K1603" s="59"/>
      <c r="L1603" s="87"/>
      <c r="M1603" s="87"/>
      <c r="N1603" s="100"/>
      <c r="O1603" s="100"/>
    </row>
    <row r="1604" spans="1:15">
      <c r="A1604" s="87"/>
      <c r="B1604" s="87"/>
      <c r="C1604" s="18"/>
      <c r="D1604" s="18"/>
      <c r="E1604" s="18"/>
      <c r="F1604" s="87"/>
      <c r="G1604" s="87"/>
      <c r="H1604" s="87"/>
      <c r="I1604" s="59"/>
      <c r="J1604" s="59"/>
      <c r="K1604" s="59"/>
      <c r="L1604" s="87"/>
      <c r="M1604" s="87"/>
      <c r="N1604" s="100"/>
      <c r="O1604" s="100"/>
    </row>
    <row r="1605" spans="1:15">
      <c r="A1605" s="87"/>
      <c r="B1605" s="87"/>
      <c r="C1605" s="18"/>
      <c r="D1605" s="18"/>
      <c r="E1605" s="18"/>
      <c r="F1605" s="87"/>
      <c r="G1605" s="87"/>
      <c r="H1605" s="87"/>
      <c r="I1605" s="59"/>
      <c r="J1605" s="59"/>
      <c r="K1605" s="59"/>
      <c r="L1605" s="87"/>
      <c r="M1605" s="87"/>
      <c r="N1605" s="100"/>
      <c r="O1605" s="100"/>
    </row>
    <row r="1606" spans="1:15">
      <c r="A1606" s="87"/>
      <c r="B1606" s="87"/>
      <c r="C1606" s="18"/>
      <c r="D1606" s="18"/>
      <c r="E1606" s="18"/>
      <c r="F1606" s="87"/>
      <c r="G1606" s="87"/>
      <c r="H1606" s="87"/>
      <c r="I1606" s="59"/>
      <c r="J1606" s="59"/>
      <c r="K1606" s="59"/>
      <c r="L1606" s="87"/>
      <c r="M1606" s="87"/>
      <c r="N1606" s="100"/>
      <c r="O1606" s="100"/>
    </row>
    <row r="1607" spans="1:15">
      <c r="A1607" s="87"/>
      <c r="B1607" s="87"/>
      <c r="C1607" s="18"/>
      <c r="D1607" s="18"/>
      <c r="E1607" s="18"/>
      <c r="F1607" s="87"/>
      <c r="G1607" s="87"/>
      <c r="H1607" s="87"/>
      <c r="I1607" s="59"/>
      <c r="J1607" s="59"/>
      <c r="K1607" s="59"/>
      <c r="L1607" s="87"/>
      <c r="M1607" s="87"/>
      <c r="N1607" s="100"/>
      <c r="O1607" s="100"/>
    </row>
    <row r="1608" spans="1:15">
      <c r="A1608" s="87"/>
      <c r="B1608" s="87"/>
      <c r="C1608" s="18"/>
      <c r="D1608" s="18"/>
      <c r="E1608" s="18"/>
      <c r="F1608" s="87"/>
      <c r="G1608" s="87"/>
      <c r="H1608" s="87"/>
      <c r="I1608" s="59"/>
      <c r="J1608" s="59"/>
      <c r="K1608" s="59"/>
      <c r="L1608" s="87"/>
      <c r="M1608" s="87"/>
      <c r="N1608" s="100"/>
      <c r="O1608" s="100"/>
    </row>
    <row r="1609" spans="1:15">
      <c r="A1609" s="87"/>
      <c r="B1609" s="87"/>
      <c r="C1609" s="18"/>
      <c r="D1609" s="18"/>
      <c r="E1609" s="18"/>
      <c r="F1609" s="87"/>
      <c r="G1609" s="87"/>
      <c r="H1609" s="87"/>
      <c r="I1609" s="59"/>
      <c r="J1609" s="59"/>
      <c r="K1609" s="59"/>
      <c r="L1609" s="87"/>
      <c r="M1609" s="87"/>
      <c r="N1609" s="100"/>
      <c r="O1609" s="100"/>
    </row>
    <row r="1610" spans="1:15">
      <c r="A1610" s="87"/>
      <c r="B1610" s="87"/>
      <c r="C1610" s="18"/>
      <c r="D1610" s="18"/>
      <c r="E1610" s="18"/>
      <c r="F1610" s="87"/>
      <c r="G1610" s="87"/>
      <c r="H1610" s="87"/>
      <c r="I1610" s="59"/>
      <c r="J1610" s="59"/>
      <c r="K1610" s="59"/>
      <c r="L1610" s="87"/>
      <c r="M1610" s="87"/>
      <c r="N1610" s="100"/>
      <c r="O1610" s="100"/>
    </row>
    <row r="1611" spans="1:15">
      <c r="A1611" s="87"/>
      <c r="B1611" s="87"/>
      <c r="C1611" s="18"/>
      <c r="D1611" s="18"/>
      <c r="E1611" s="18"/>
      <c r="F1611" s="87"/>
      <c r="G1611" s="87"/>
      <c r="H1611" s="87"/>
      <c r="I1611" s="59"/>
      <c r="J1611" s="59"/>
      <c r="K1611" s="59"/>
      <c r="L1611" s="87"/>
      <c r="M1611" s="87"/>
      <c r="N1611" s="100"/>
      <c r="O1611" s="100"/>
    </row>
    <row r="1612" spans="1:15">
      <c r="A1612" s="87"/>
      <c r="B1612" s="87"/>
      <c r="C1612" s="18"/>
      <c r="D1612" s="18"/>
      <c r="E1612" s="18"/>
      <c r="F1612" s="87"/>
      <c r="G1612" s="87"/>
      <c r="H1612" s="87"/>
      <c r="I1612" s="59"/>
      <c r="J1612" s="59"/>
      <c r="K1612" s="59"/>
      <c r="L1612" s="87"/>
      <c r="M1612" s="87"/>
      <c r="N1612" s="100"/>
      <c r="O1612" s="100"/>
    </row>
    <row r="1613" spans="1:15">
      <c r="A1613" s="87"/>
      <c r="B1613" s="87"/>
      <c r="C1613" s="18"/>
      <c r="D1613" s="18"/>
      <c r="E1613" s="18"/>
      <c r="F1613" s="87"/>
      <c r="G1613" s="87"/>
      <c r="H1613" s="87"/>
      <c r="I1613" s="59"/>
      <c r="J1613" s="59"/>
      <c r="K1613" s="59"/>
      <c r="L1613" s="87"/>
      <c r="M1613" s="87"/>
      <c r="N1613" s="100"/>
      <c r="O1613" s="100"/>
    </row>
    <row r="1614" spans="1:15">
      <c r="A1614" s="87"/>
      <c r="B1614" s="87"/>
      <c r="C1614" s="18"/>
      <c r="D1614" s="18"/>
      <c r="E1614" s="18"/>
      <c r="F1614" s="87"/>
      <c r="G1614" s="87"/>
      <c r="H1614" s="87"/>
      <c r="I1614" s="59"/>
      <c r="J1614" s="59"/>
      <c r="K1614" s="59"/>
      <c r="L1614" s="87"/>
      <c r="M1614" s="87"/>
      <c r="N1614" s="100"/>
      <c r="O1614" s="100"/>
    </row>
    <row r="1615" spans="1:15">
      <c r="A1615" s="87"/>
      <c r="B1615" s="87"/>
      <c r="C1615" s="18"/>
      <c r="D1615" s="18"/>
      <c r="E1615" s="18"/>
      <c r="F1615" s="87"/>
      <c r="G1615" s="87"/>
      <c r="H1615" s="87"/>
      <c r="I1615" s="59"/>
      <c r="J1615" s="59"/>
      <c r="K1615" s="59"/>
      <c r="L1615" s="87"/>
      <c r="M1615" s="87"/>
      <c r="N1615" s="100"/>
      <c r="O1615" s="100"/>
    </row>
    <row r="1616" spans="1:15">
      <c r="A1616" s="87"/>
      <c r="B1616" s="87"/>
      <c r="C1616" s="18"/>
      <c r="D1616" s="18"/>
      <c r="E1616" s="18"/>
      <c r="F1616" s="87"/>
      <c r="G1616" s="87"/>
      <c r="H1616" s="87"/>
      <c r="I1616" s="59"/>
      <c r="J1616" s="59"/>
      <c r="K1616" s="59"/>
      <c r="L1616" s="87"/>
      <c r="M1616" s="87"/>
      <c r="N1616" s="100"/>
      <c r="O1616" s="100"/>
    </row>
    <row r="1617" spans="1:15">
      <c r="A1617" s="87"/>
      <c r="B1617" s="87"/>
      <c r="C1617" s="18"/>
      <c r="D1617" s="18"/>
      <c r="E1617" s="18"/>
      <c r="F1617" s="87"/>
      <c r="G1617" s="87"/>
      <c r="H1617" s="87"/>
      <c r="I1617" s="59"/>
      <c r="J1617" s="59"/>
      <c r="K1617" s="59"/>
      <c r="L1617" s="87"/>
      <c r="M1617" s="87"/>
      <c r="N1617" s="100"/>
      <c r="O1617" s="100"/>
    </row>
    <row r="1618" spans="1:15">
      <c r="A1618" s="87"/>
      <c r="B1618" s="87"/>
      <c r="C1618" s="18"/>
      <c r="D1618" s="18"/>
      <c r="E1618" s="18"/>
      <c r="F1618" s="87"/>
      <c r="G1618" s="87"/>
      <c r="H1618" s="87"/>
      <c r="I1618" s="59"/>
      <c r="J1618" s="59"/>
      <c r="K1618" s="59"/>
      <c r="L1618" s="87"/>
      <c r="M1618" s="87"/>
      <c r="N1618" s="100"/>
      <c r="O1618" s="100"/>
    </row>
    <row r="1619" spans="1:15">
      <c r="A1619" s="87"/>
      <c r="B1619" s="87"/>
      <c r="C1619" s="18"/>
      <c r="D1619" s="18"/>
      <c r="E1619" s="18"/>
      <c r="F1619" s="87"/>
      <c r="G1619" s="87"/>
      <c r="H1619" s="87"/>
      <c r="I1619" s="59"/>
      <c r="J1619" s="59"/>
      <c r="K1619" s="59"/>
      <c r="L1619" s="87"/>
      <c r="M1619" s="87"/>
      <c r="N1619" s="100"/>
      <c r="O1619" s="100"/>
    </row>
    <row r="1620" spans="1:15">
      <c r="A1620" s="87"/>
      <c r="B1620" s="87"/>
      <c r="C1620" s="18"/>
      <c r="D1620" s="18"/>
      <c r="E1620" s="18"/>
      <c r="F1620" s="87"/>
      <c r="G1620" s="87"/>
      <c r="H1620" s="87"/>
      <c r="I1620" s="59"/>
      <c r="J1620" s="59"/>
      <c r="K1620" s="59"/>
      <c r="L1620" s="87"/>
      <c r="M1620" s="87"/>
      <c r="N1620" s="100"/>
      <c r="O1620" s="100"/>
    </row>
    <row r="1621" spans="1:15">
      <c r="A1621" s="87"/>
      <c r="B1621" s="87"/>
      <c r="C1621" s="18"/>
      <c r="D1621" s="18"/>
      <c r="E1621" s="18"/>
      <c r="F1621" s="87"/>
      <c r="G1621" s="87"/>
      <c r="H1621" s="87"/>
      <c r="I1621" s="59"/>
      <c r="J1621" s="59"/>
      <c r="K1621" s="59"/>
      <c r="L1621" s="87"/>
      <c r="M1621" s="87"/>
      <c r="N1621" s="100"/>
      <c r="O1621" s="100"/>
    </row>
    <row r="1622" spans="1:15">
      <c r="A1622" s="87"/>
      <c r="B1622" s="87"/>
      <c r="C1622" s="18"/>
      <c r="D1622" s="18"/>
      <c r="E1622" s="18"/>
      <c r="F1622" s="87"/>
      <c r="G1622" s="87"/>
      <c r="H1622" s="87"/>
      <c r="I1622" s="59"/>
      <c r="J1622" s="59"/>
      <c r="K1622" s="59"/>
      <c r="L1622" s="87"/>
      <c r="M1622" s="87"/>
      <c r="N1622" s="100"/>
      <c r="O1622" s="100"/>
    </row>
    <row r="1623" spans="1:15">
      <c r="A1623" s="87"/>
      <c r="B1623" s="87"/>
      <c r="C1623" s="18"/>
      <c r="D1623" s="18"/>
      <c r="E1623" s="18"/>
      <c r="F1623" s="87"/>
      <c r="G1623" s="87"/>
      <c r="H1623" s="87"/>
      <c r="I1623" s="59"/>
      <c r="J1623" s="59"/>
      <c r="K1623" s="59"/>
      <c r="L1623" s="87"/>
      <c r="M1623" s="87"/>
      <c r="N1623" s="100"/>
      <c r="O1623" s="100"/>
    </row>
    <row r="1624" spans="1:15">
      <c r="A1624" s="87"/>
      <c r="B1624" s="87"/>
      <c r="C1624" s="18"/>
      <c r="D1624" s="18"/>
      <c r="E1624" s="18"/>
      <c r="F1624" s="87"/>
      <c r="G1624" s="87"/>
      <c r="H1624" s="87"/>
      <c r="I1624" s="59"/>
      <c r="J1624" s="59"/>
      <c r="K1624" s="59"/>
      <c r="L1624" s="87"/>
      <c r="M1624" s="87"/>
      <c r="N1624" s="100"/>
      <c r="O1624" s="100"/>
    </row>
    <row r="1625" spans="1:15">
      <c r="A1625" s="87"/>
      <c r="B1625" s="87"/>
      <c r="C1625" s="18"/>
      <c r="D1625" s="18"/>
      <c r="E1625" s="18"/>
      <c r="F1625" s="87"/>
      <c r="G1625" s="87"/>
      <c r="H1625" s="87"/>
      <c r="I1625" s="59"/>
      <c r="J1625" s="59"/>
      <c r="K1625" s="59"/>
      <c r="L1625" s="87"/>
      <c r="M1625" s="87"/>
      <c r="N1625" s="100"/>
      <c r="O1625" s="100"/>
    </row>
    <row r="1626" spans="1:15">
      <c r="A1626" s="87"/>
      <c r="B1626" s="87"/>
      <c r="C1626" s="18"/>
      <c r="D1626" s="18"/>
      <c r="E1626" s="18"/>
      <c r="F1626" s="87"/>
      <c r="G1626" s="87"/>
      <c r="H1626" s="87"/>
      <c r="I1626" s="59"/>
      <c r="J1626" s="59"/>
      <c r="K1626" s="59"/>
      <c r="L1626" s="87"/>
      <c r="M1626" s="87"/>
      <c r="N1626" s="100"/>
      <c r="O1626" s="100"/>
    </row>
    <row r="1627" spans="1:15">
      <c r="A1627" s="87"/>
      <c r="B1627" s="87"/>
      <c r="C1627" s="18"/>
      <c r="D1627" s="18"/>
      <c r="E1627" s="18"/>
      <c r="F1627" s="87"/>
      <c r="G1627" s="87"/>
      <c r="H1627" s="87"/>
      <c r="I1627" s="59"/>
      <c r="J1627" s="59"/>
      <c r="K1627" s="59"/>
      <c r="L1627" s="87"/>
      <c r="M1627" s="87"/>
      <c r="N1627" s="100"/>
      <c r="O1627" s="100"/>
    </row>
    <row r="1628" spans="1:15">
      <c r="A1628" s="87"/>
      <c r="B1628" s="87"/>
      <c r="C1628" s="18"/>
      <c r="D1628" s="18"/>
      <c r="E1628" s="18"/>
      <c r="F1628" s="87"/>
      <c r="G1628" s="87"/>
      <c r="H1628" s="87"/>
      <c r="I1628" s="59"/>
      <c r="J1628" s="59"/>
      <c r="K1628" s="59"/>
      <c r="L1628" s="87"/>
      <c r="M1628" s="87"/>
      <c r="N1628" s="100"/>
      <c r="O1628" s="100"/>
    </row>
    <row r="1629" spans="1:15">
      <c r="A1629" s="87"/>
      <c r="B1629" s="87"/>
      <c r="C1629" s="18"/>
      <c r="D1629" s="18"/>
      <c r="E1629" s="18"/>
      <c r="F1629" s="87"/>
      <c r="G1629" s="87"/>
      <c r="H1629" s="87"/>
      <c r="I1629" s="59"/>
      <c r="J1629" s="59"/>
      <c r="K1629" s="59"/>
      <c r="L1629" s="87"/>
      <c r="M1629" s="87"/>
      <c r="N1629" s="100"/>
      <c r="O1629" s="100"/>
    </row>
    <row r="1630" spans="1:15">
      <c r="A1630" s="87"/>
      <c r="B1630" s="87"/>
      <c r="C1630" s="18"/>
      <c r="D1630" s="18"/>
      <c r="E1630" s="18"/>
      <c r="F1630" s="87"/>
      <c r="G1630" s="87"/>
      <c r="H1630" s="87"/>
      <c r="I1630" s="59"/>
      <c r="J1630" s="59"/>
      <c r="K1630" s="59"/>
      <c r="L1630" s="87"/>
      <c r="M1630" s="87"/>
      <c r="N1630" s="100"/>
      <c r="O1630" s="100"/>
    </row>
    <row r="1631" spans="1:15">
      <c r="A1631" s="87"/>
      <c r="B1631" s="87"/>
      <c r="C1631" s="18"/>
      <c r="D1631" s="18"/>
      <c r="E1631" s="18"/>
      <c r="F1631" s="87"/>
      <c r="G1631" s="87"/>
      <c r="H1631" s="87"/>
      <c r="I1631" s="59"/>
      <c r="J1631" s="59"/>
      <c r="K1631" s="59"/>
      <c r="L1631" s="87"/>
      <c r="M1631" s="87"/>
      <c r="N1631" s="100"/>
      <c r="O1631" s="100"/>
    </row>
    <row r="1632" spans="1:15">
      <c r="A1632" s="87"/>
      <c r="B1632" s="87"/>
      <c r="C1632" s="18"/>
      <c r="D1632" s="18"/>
      <c r="E1632" s="18"/>
      <c r="F1632" s="87"/>
      <c r="G1632" s="87"/>
      <c r="H1632" s="87"/>
      <c r="I1632" s="59"/>
      <c r="J1632" s="59"/>
      <c r="K1632" s="59"/>
      <c r="L1632" s="87"/>
      <c r="M1632" s="87"/>
      <c r="N1632" s="100"/>
      <c r="O1632" s="100"/>
    </row>
    <row r="1633" spans="1:15">
      <c r="A1633" s="87"/>
      <c r="B1633" s="87"/>
      <c r="C1633" s="18"/>
      <c r="D1633" s="18"/>
      <c r="E1633" s="18"/>
      <c r="F1633" s="87"/>
      <c r="G1633" s="87"/>
      <c r="H1633" s="87"/>
      <c r="I1633" s="59"/>
      <c r="J1633" s="59"/>
      <c r="K1633" s="59"/>
      <c r="L1633" s="87"/>
      <c r="M1633" s="87"/>
      <c r="N1633" s="100"/>
      <c r="O1633" s="100"/>
    </row>
    <row r="1634" spans="1:15">
      <c r="A1634" s="87"/>
      <c r="B1634" s="87"/>
      <c r="C1634" s="18"/>
      <c r="D1634" s="18"/>
      <c r="E1634" s="18"/>
      <c r="F1634" s="87"/>
      <c r="G1634" s="87"/>
      <c r="H1634" s="87"/>
      <c r="I1634" s="59"/>
      <c r="J1634" s="59"/>
      <c r="K1634" s="59"/>
      <c r="L1634" s="87"/>
      <c r="M1634" s="87"/>
      <c r="N1634" s="100"/>
      <c r="O1634" s="100"/>
    </row>
    <row r="1635" spans="1:15">
      <c r="A1635" s="87"/>
      <c r="B1635" s="87"/>
      <c r="C1635" s="18"/>
      <c r="D1635" s="18"/>
      <c r="E1635" s="18"/>
      <c r="F1635" s="87"/>
      <c r="G1635" s="87"/>
      <c r="H1635" s="87"/>
      <c r="I1635" s="59"/>
      <c r="J1635" s="59"/>
      <c r="K1635" s="59"/>
      <c r="L1635" s="87"/>
      <c r="M1635" s="87"/>
      <c r="N1635" s="100"/>
      <c r="O1635" s="100"/>
    </row>
    <row r="1636" spans="1:15">
      <c r="A1636" s="87"/>
      <c r="B1636" s="87"/>
      <c r="C1636" s="18"/>
      <c r="D1636" s="18"/>
      <c r="E1636" s="18"/>
      <c r="F1636" s="87"/>
      <c r="G1636" s="87"/>
      <c r="H1636" s="87"/>
      <c r="I1636" s="59"/>
      <c r="J1636" s="59"/>
      <c r="K1636" s="59"/>
      <c r="L1636" s="87"/>
      <c r="M1636" s="87"/>
      <c r="N1636" s="100"/>
      <c r="O1636" s="100"/>
    </row>
    <row r="1637" spans="1:15">
      <c r="A1637" s="87"/>
      <c r="B1637" s="87"/>
      <c r="C1637" s="18"/>
      <c r="D1637" s="18"/>
      <c r="E1637" s="18"/>
      <c r="F1637" s="87"/>
      <c r="G1637" s="87"/>
      <c r="H1637" s="87"/>
      <c r="I1637" s="59"/>
      <c r="J1637" s="59"/>
      <c r="K1637" s="59"/>
      <c r="L1637" s="87"/>
      <c r="M1637" s="87"/>
      <c r="N1637" s="100"/>
      <c r="O1637" s="100"/>
    </row>
    <row r="1638" spans="1:15">
      <c r="A1638" s="87"/>
      <c r="B1638" s="87"/>
      <c r="C1638" s="18"/>
      <c r="D1638" s="18"/>
      <c r="E1638" s="18"/>
      <c r="F1638" s="87"/>
      <c r="G1638" s="87"/>
      <c r="H1638" s="87"/>
      <c r="I1638" s="59"/>
      <c r="J1638" s="59"/>
      <c r="K1638" s="59"/>
      <c r="L1638" s="87"/>
      <c r="M1638" s="87"/>
      <c r="N1638" s="100"/>
      <c r="O1638" s="100"/>
    </row>
    <row r="1639" spans="1:15">
      <c r="A1639" s="87"/>
      <c r="B1639" s="87"/>
      <c r="C1639" s="18"/>
      <c r="D1639" s="18"/>
      <c r="E1639" s="18"/>
      <c r="F1639" s="87"/>
      <c r="G1639" s="87"/>
      <c r="H1639" s="87"/>
      <c r="I1639" s="59"/>
      <c r="J1639" s="59"/>
      <c r="K1639" s="59"/>
      <c r="L1639" s="87"/>
      <c r="M1639" s="87"/>
      <c r="N1639" s="100"/>
      <c r="O1639" s="100"/>
    </row>
    <row r="1640" spans="1:15">
      <c r="A1640" s="87"/>
      <c r="B1640" s="87"/>
      <c r="C1640" s="18"/>
      <c r="D1640" s="18"/>
      <c r="E1640" s="18"/>
      <c r="F1640" s="87"/>
      <c r="G1640" s="87"/>
      <c r="H1640" s="87"/>
      <c r="I1640" s="59"/>
      <c r="J1640" s="59"/>
      <c r="K1640" s="59"/>
      <c r="L1640" s="87"/>
      <c r="M1640" s="87"/>
      <c r="N1640" s="100"/>
      <c r="O1640" s="100"/>
    </row>
    <row r="1641" spans="1:15">
      <c r="A1641" s="87"/>
      <c r="B1641" s="87"/>
      <c r="C1641" s="18"/>
      <c r="D1641" s="18"/>
      <c r="E1641" s="18"/>
      <c r="F1641" s="87"/>
      <c r="G1641" s="87"/>
      <c r="H1641" s="87"/>
      <c r="I1641" s="59"/>
      <c r="J1641" s="59"/>
      <c r="K1641" s="59"/>
      <c r="L1641" s="87"/>
      <c r="M1641" s="87"/>
      <c r="N1641" s="100"/>
      <c r="O1641" s="100"/>
    </row>
    <row r="1642" spans="1:15">
      <c r="A1642" s="87"/>
      <c r="B1642" s="87"/>
      <c r="C1642" s="18"/>
      <c r="D1642" s="18"/>
      <c r="E1642" s="18"/>
      <c r="F1642" s="87"/>
      <c r="G1642" s="87"/>
      <c r="H1642" s="87"/>
      <c r="I1642" s="59"/>
      <c r="J1642" s="59"/>
      <c r="K1642" s="59"/>
      <c r="L1642" s="87"/>
      <c r="M1642" s="87"/>
      <c r="N1642" s="100"/>
      <c r="O1642" s="100"/>
    </row>
    <row r="1643" spans="1:15">
      <c r="A1643" s="87"/>
      <c r="B1643" s="87"/>
      <c r="C1643" s="18"/>
      <c r="D1643" s="18"/>
      <c r="E1643" s="18"/>
      <c r="F1643" s="87"/>
      <c r="G1643" s="87"/>
      <c r="H1643" s="87"/>
      <c r="I1643" s="59"/>
      <c r="J1643" s="59"/>
      <c r="K1643" s="59"/>
      <c r="L1643" s="87"/>
      <c r="M1643" s="87"/>
      <c r="N1643" s="100"/>
      <c r="O1643" s="100"/>
    </row>
    <row r="1644" spans="1:15">
      <c r="A1644" s="87"/>
      <c r="B1644" s="87"/>
      <c r="C1644" s="87"/>
      <c r="D1644" s="87"/>
      <c r="E1644" s="87"/>
      <c r="F1644" s="87"/>
      <c r="G1644" s="87"/>
      <c r="H1644" s="87"/>
      <c r="I1644" s="87"/>
      <c r="J1644" s="87"/>
      <c r="K1644" s="87"/>
      <c r="L1644" s="87"/>
      <c r="M1644" s="87"/>
      <c r="N1644" s="100"/>
      <c r="O1644" s="100"/>
    </row>
    <row r="1645" spans="1:15">
      <c r="A1645" s="87"/>
      <c r="B1645" s="87"/>
      <c r="C1645" s="87"/>
      <c r="D1645" s="87"/>
      <c r="E1645" s="87"/>
      <c r="F1645" s="87"/>
      <c r="G1645" s="87"/>
      <c r="H1645" s="87"/>
      <c r="I1645" s="87"/>
      <c r="J1645" s="87"/>
      <c r="K1645" s="87"/>
      <c r="L1645" s="87"/>
      <c r="M1645" s="87"/>
      <c r="N1645" s="100"/>
      <c r="O1645" s="100"/>
    </row>
    <row r="1646" spans="1:15">
      <c r="A1646" s="87"/>
      <c r="B1646" s="87"/>
      <c r="C1646" s="87"/>
      <c r="D1646" s="87"/>
      <c r="E1646" s="87"/>
      <c r="F1646" s="87"/>
      <c r="G1646" s="87"/>
      <c r="H1646" s="87"/>
      <c r="I1646" s="87"/>
      <c r="J1646" s="87"/>
      <c r="K1646" s="87"/>
      <c r="L1646" s="87"/>
      <c r="M1646" s="87"/>
      <c r="N1646" s="100"/>
      <c r="O1646" s="100"/>
    </row>
    <row r="1647" spans="1:15">
      <c r="A1647" s="87"/>
      <c r="B1647" s="87"/>
      <c r="C1647" s="87"/>
      <c r="D1647" s="87"/>
      <c r="E1647" s="87"/>
      <c r="F1647" s="87"/>
      <c r="G1647" s="87"/>
      <c r="H1647" s="87"/>
      <c r="I1647" s="87"/>
      <c r="J1647" s="87"/>
      <c r="K1647" s="87"/>
      <c r="L1647" s="87"/>
      <c r="M1647" s="87"/>
      <c r="N1647" s="100"/>
      <c r="O1647" s="100"/>
    </row>
    <row r="1648" spans="1:15">
      <c r="A1648" s="87"/>
      <c r="B1648" s="87"/>
      <c r="C1648" s="87"/>
      <c r="D1648" s="87"/>
      <c r="E1648" s="87"/>
      <c r="F1648" s="87"/>
      <c r="G1648" s="87"/>
      <c r="H1648" s="87"/>
      <c r="I1648" s="87"/>
      <c r="J1648" s="87"/>
      <c r="K1648" s="87"/>
      <c r="L1648" s="87"/>
      <c r="M1648" s="87"/>
      <c r="N1648" s="100"/>
      <c r="O1648" s="100"/>
    </row>
    <row r="1649" spans="1:15">
      <c r="A1649" s="87"/>
      <c r="B1649" s="87"/>
      <c r="C1649" s="87"/>
      <c r="D1649" s="87"/>
      <c r="E1649" s="87"/>
      <c r="F1649" s="87"/>
      <c r="G1649" s="87"/>
      <c r="H1649" s="87"/>
      <c r="I1649" s="87"/>
      <c r="J1649" s="87"/>
      <c r="K1649" s="87"/>
      <c r="L1649" s="87"/>
      <c r="M1649" s="87"/>
      <c r="N1649" s="100"/>
      <c r="O1649" s="100"/>
    </row>
    <row r="1650" spans="1:15">
      <c r="A1650" s="87"/>
      <c r="B1650" s="87"/>
      <c r="C1650" s="87"/>
      <c r="D1650" s="87"/>
      <c r="E1650" s="87"/>
      <c r="F1650" s="87"/>
      <c r="G1650" s="87"/>
      <c r="H1650" s="87"/>
      <c r="I1650" s="87"/>
      <c r="J1650" s="87"/>
      <c r="K1650" s="87"/>
      <c r="L1650" s="87"/>
      <c r="M1650" s="87"/>
      <c r="N1650" s="100"/>
      <c r="O1650" s="100"/>
    </row>
    <row r="1651" spans="1:15">
      <c r="A1651" s="87"/>
      <c r="B1651" s="87"/>
      <c r="C1651" s="87"/>
      <c r="D1651" s="87"/>
      <c r="E1651" s="87"/>
      <c r="F1651" s="87"/>
      <c r="G1651" s="87"/>
      <c r="H1651" s="87"/>
      <c r="I1651" s="87"/>
      <c r="J1651" s="87"/>
      <c r="K1651" s="87"/>
      <c r="L1651" s="87"/>
      <c r="M1651" s="87"/>
      <c r="N1651" s="100"/>
      <c r="O1651" s="100"/>
    </row>
    <row r="1652" spans="1:15">
      <c r="A1652" s="87"/>
      <c r="B1652" s="87"/>
      <c r="C1652" s="87"/>
      <c r="D1652" s="87"/>
      <c r="E1652" s="87"/>
      <c r="F1652" s="87"/>
      <c r="G1652" s="87"/>
      <c r="H1652" s="87"/>
      <c r="I1652" s="87"/>
      <c r="J1652" s="87"/>
      <c r="K1652" s="87"/>
      <c r="L1652" s="87"/>
      <c r="M1652" s="87"/>
      <c r="N1652" s="100"/>
      <c r="O1652" s="100"/>
    </row>
    <row r="1653" spans="1:15">
      <c r="A1653" s="87"/>
      <c r="B1653" s="87"/>
      <c r="C1653" s="87"/>
      <c r="D1653" s="87"/>
      <c r="E1653" s="87"/>
      <c r="F1653" s="87"/>
      <c r="G1653" s="87"/>
      <c r="H1653" s="87"/>
      <c r="I1653" s="87"/>
      <c r="J1653" s="87"/>
      <c r="K1653" s="87"/>
      <c r="L1653" s="87"/>
      <c r="M1653" s="87"/>
      <c r="N1653" s="100"/>
      <c r="O1653" s="100"/>
    </row>
    <row r="1654" spans="1:15">
      <c r="A1654" s="87"/>
      <c r="B1654" s="87"/>
      <c r="C1654" s="87"/>
      <c r="D1654" s="87"/>
      <c r="E1654" s="87"/>
      <c r="F1654" s="87"/>
      <c r="G1654" s="87"/>
      <c r="H1654" s="87"/>
      <c r="I1654" s="87"/>
      <c r="J1654" s="87"/>
      <c r="K1654" s="87"/>
      <c r="L1654" s="87"/>
      <c r="M1654" s="87"/>
      <c r="N1654" s="100"/>
      <c r="O1654" s="100"/>
    </row>
    <row r="1655" spans="1:15">
      <c r="A1655" s="87"/>
      <c r="B1655" s="87"/>
      <c r="C1655" s="87"/>
      <c r="D1655" s="87"/>
      <c r="E1655" s="87"/>
      <c r="F1655" s="87"/>
      <c r="G1655" s="87"/>
      <c r="H1655" s="87"/>
      <c r="I1655" s="87"/>
      <c r="J1655" s="87"/>
      <c r="K1655" s="87"/>
      <c r="L1655" s="87"/>
      <c r="M1655" s="87"/>
      <c r="N1655" s="100"/>
      <c r="O1655" s="100"/>
    </row>
    <row r="1656" spans="1:15">
      <c r="A1656" s="87"/>
      <c r="B1656" s="87"/>
      <c r="C1656" s="87"/>
      <c r="D1656" s="87"/>
      <c r="E1656" s="87"/>
      <c r="F1656" s="87"/>
      <c r="G1656" s="87"/>
      <c r="H1656" s="87"/>
      <c r="I1656" s="87"/>
      <c r="J1656" s="87"/>
      <c r="K1656" s="87"/>
      <c r="L1656" s="87"/>
      <c r="M1656" s="87"/>
      <c r="N1656" s="100"/>
      <c r="O1656" s="100"/>
    </row>
    <row r="1657" spans="1:15">
      <c r="A1657" s="87"/>
      <c r="B1657" s="87"/>
      <c r="C1657" s="87"/>
      <c r="D1657" s="87"/>
      <c r="E1657" s="87"/>
      <c r="F1657" s="87"/>
      <c r="G1657" s="87"/>
      <c r="H1657" s="87"/>
      <c r="I1657" s="87"/>
      <c r="J1657" s="87"/>
      <c r="K1657" s="87"/>
      <c r="L1657" s="87"/>
      <c r="M1657" s="87"/>
      <c r="N1657" s="100"/>
      <c r="O1657" s="100"/>
    </row>
    <row r="1658" spans="1:15">
      <c r="A1658" s="87"/>
      <c r="B1658" s="87"/>
      <c r="C1658" s="87"/>
      <c r="D1658" s="87"/>
      <c r="E1658" s="87"/>
      <c r="F1658" s="87"/>
      <c r="G1658" s="87"/>
      <c r="H1658" s="87"/>
      <c r="I1658" s="87"/>
      <c r="J1658" s="87"/>
      <c r="K1658" s="87"/>
      <c r="L1658" s="87"/>
      <c r="M1658" s="87"/>
      <c r="N1658" s="100"/>
      <c r="O1658" s="100"/>
    </row>
    <row r="1659" spans="1:15">
      <c r="A1659" s="87"/>
      <c r="B1659" s="87"/>
      <c r="C1659" s="87"/>
      <c r="D1659" s="87"/>
      <c r="E1659" s="87"/>
      <c r="F1659" s="87"/>
      <c r="G1659" s="87"/>
      <c r="H1659" s="87"/>
      <c r="I1659" s="87"/>
      <c r="J1659" s="87"/>
      <c r="K1659" s="87"/>
      <c r="L1659" s="87"/>
      <c r="M1659" s="87"/>
      <c r="N1659" s="100"/>
      <c r="O1659" s="100"/>
    </row>
    <row r="1660" spans="1:15">
      <c r="A1660" s="87"/>
      <c r="B1660" s="87"/>
      <c r="C1660" s="87"/>
      <c r="D1660" s="87"/>
      <c r="E1660" s="87"/>
      <c r="F1660" s="87"/>
      <c r="G1660" s="87"/>
      <c r="H1660" s="87"/>
      <c r="I1660" s="87"/>
      <c r="J1660" s="87"/>
      <c r="K1660" s="87"/>
      <c r="L1660" s="87"/>
      <c r="M1660" s="87"/>
      <c r="N1660" s="100"/>
      <c r="O1660" s="100"/>
    </row>
    <row r="1661" spans="1:15">
      <c r="A1661" s="87"/>
      <c r="B1661" s="87"/>
      <c r="C1661" s="87"/>
      <c r="D1661" s="87"/>
      <c r="E1661" s="87"/>
      <c r="F1661" s="87"/>
      <c r="G1661" s="87"/>
      <c r="H1661" s="87"/>
      <c r="I1661" s="87"/>
      <c r="J1661" s="87"/>
      <c r="K1661" s="87"/>
      <c r="L1661" s="87"/>
      <c r="M1661" s="87"/>
      <c r="N1661" s="100"/>
      <c r="O1661" s="100"/>
    </row>
    <row r="1662" spans="1:15">
      <c r="A1662" s="87"/>
      <c r="B1662" s="87"/>
      <c r="C1662" s="87"/>
      <c r="D1662" s="87"/>
      <c r="E1662" s="87"/>
      <c r="F1662" s="87"/>
      <c r="G1662" s="87"/>
      <c r="H1662" s="87"/>
      <c r="I1662" s="87"/>
      <c r="J1662" s="87"/>
      <c r="K1662" s="87"/>
      <c r="L1662" s="87"/>
      <c r="M1662" s="87"/>
      <c r="N1662" s="100"/>
      <c r="O1662" s="100"/>
    </row>
    <row r="1663" spans="1:15">
      <c r="A1663" s="87"/>
      <c r="B1663" s="87"/>
      <c r="C1663" s="87"/>
      <c r="D1663" s="87"/>
      <c r="E1663" s="87"/>
      <c r="F1663" s="87"/>
      <c r="G1663" s="87"/>
      <c r="H1663" s="87"/>
      <c r="I1663" s="87"/>
      <c r="J1663" s="87"/>
      <c r="K1663" s="87"/>
      <c r="L1663" s="87"/>
      <c r="M1663" s="87"/>
      <c r="N1663" s="100"/>
      <c r="O1663" s="100"/>
    </row>
    <row r="1664" spans="1:15">
      <c r="A1664" s="87"/>
      <c r="B1664" s="87"/>
      <c r="C1664" s="87"/>
      <c r="D1664" s="87"/>
      <c r="E1664" s="87"/>
      <c r="F1664" s="87"/>
      <c r="G1664" s="87"/>
      <c r="H1664" s="87"/>
      <c r="I1664" s="87"/>
      <c r="J1664" s="87"/>
      <c r="K1664" s="87"/>
      <c r="L1664" s="87"/>
      <c r="M1664" s="87"/>
      <c r="N1664" s="100"/>
      <c r="O1664" s="100"/>
    </row>
    <row r="1665" spans="1:15">
      <c r="A1665" s="87"/>
      <c r="B1665" s="87"/>
      <c r="C1665" s="87"/>
      <c r="D1665" s="87"/>
      <c r="E1665" s="87"/>
      <c r="F1665" s="87"/>
      <c r="G1665" s="87"/>
      <c r="H1665" s="87"/>
      <c r="I1665" s="87"/>
      <c r="J1665" s="87"/>
      <c r="K1665" s="87"/>
      <c r="L1665" s="87"/>
      <c r="M1665" s="87"/>
      <c r="N1665" s="100"/>
      <c r="O1665" s="100"/>
    </row>
    <row r="1666" spans="1:15">
      <c r="A1666" s="87"/>
      <c r="B1666" s="87"/>
      <c r="C1666" s="87"/>
      <c r="D1666" s="87"/>
      <c r="E1666" s="87"/>
      <c r="F1666" s="87"/>
      <c r="G1666" s="87"/>
      <c r="H1666" s="87"/>
      <c r="I1666" s="87"/>
      <c r="J1666" s="87"/>
      <c r="K1666" s="87"/>
      <c r="L1666" s="87"/>
      <c r="M1666" s="87"/>
      <c r="N1666" s="100"/>
      <c r="O1666" s="100"/>
    </row>
    <row r="1667" spans="1:15">
      <c r="A1667" s="87"/>
      <c r="B1667" s="87"/>
      <c r="C1667" s="87"/>
      <c r="D1667" s="87"/>
      <c r="E1667" s="87"/>
      <c r="F1667" s="87"/>
      <c r="G1667" s="87"/>
      <c r="H1667" s="87"/>
      <c r="I1667" s="87"/>
      <c r="J1667" s="87"/>
      <c r="K1667" s="87"/>
      <c r="L1667" s="87"/>
      <c r="M1667" s="87"/>
      <c r="N1667" s="100"/>
      <c r="O1667" s="100"/>
    </row>
    <row r="1668" spans="1:15">
      <c r="A1668" s="87"/>
      <c r="B1668" s="87"/>
      <c r="C1668" s="87"/>
      <c r="D1668" s="87"/>
      <c r="E1668" s="87"/>
      <c r="F1668" s="87"/>
      <c r="G1668" s="87"/>
      <c r="H1668" s="87"/>
      <c r="I1668" s="87"/>
      <c r="J1668" s="87"/>
      <c r="K1668" s="87"/>
      <c r="L1668" s="87"/>
      <c r="M1668" s="87"/>
      <c r="N1668" s="100"/>
      <c r="O1668" s="100"/>
    </row>
    <row r="1669" spans="1:15">
      <c r="A1669" s="87"/>
      <c r="B1669" s="87"/>
      <c r="C1669" s="87"/>
      <c r="D1669" s="87"/>
      <c r="E1669" s="87"/>
      <c r="F1669" s="87"/>
      <c r="G1669" s="87"/>
      <c r="H1669" s="87"/>
      <c r="I1669" s="87"/>
      <c r="J1669" s="87"/>
      <c r="K1669" s="87"/>
      <c r="L1669" s="87"/>
      <c r="M1669" s="87"/>
      <c r="N1669" s="100"/>
      <c r="O1669" s="100"/>
    </row>
    <row r="1670" spans="1:15">
      <c r="A1670" s="87"/>
      <c r="B1670" s="87"/>
      <c r="C1670" s="87"/>
      <c r="D1670" s="87"/>
      <c r="E1670" s="87"/>
      <c r="F1670" s="87"/>
      <c r="G1670" s="87"/>
      <c r="H1670" s="87"/>
      <c r="I1670" s="87"/>
      <c r="J1670" s="87"/>
      <c r="K1670" s="87"/>
      <c r="L1670" s="87"/>
      <c r="M1670" s="87"/>
      <c r="N1670" s="100"/>
      <c r="O1670" s="100"/>
    </row>
    <row r="1671" spans="1:15">
      <c r="A1671" s="87"/>
      <c r="B1671" s="87"/>
      <c r="C1671" s="87"/>
      <c r="D1671" s="87"/>
      <c r="E1671" s="87"/>
      <c r="F1671" s="87"/>
      <c r="G1671" s="87"/>
      <c r="H1671" s="87"/>
      <c r="I1671" s="87"/>
      <c r="J1671" s="87"/>
      <c r="K1671" s="87"/>
      <c r="L1671" s="87"/>
      <c r="M1671" s="87"/>
      <c r="N1671" s="100"/>
      <c r="O1671" s="100"/>
    </row>
    <row r="1672" spans="1:15">
      <c r="A1672" s="87"/>
      <c r="B1672" s="87"/>
      <c r="C1672" s="87"/>
      <c r="D1672" s="87"/>
      <c r="E1672" s="87"/>
      <c r="F1672" s="87"/>
      <c r="G1672" s="87"/>
      <c r="H1672" s="87"/>
      <c r="I1672" s="87"/>
      <c r="J1672" s="87"/>
      <c r="K1672" s="87"/>
      <c r="L1672" s="87"/>
      <c r="M1672" s="87"/>
      <c r="N1672" s="100"/>
      <c r="O1672" s="100"/>
    </row>
    <row r="1673" spans="1:15">
      <c r="A1673" s="87"/>
      <c r="B1673" s="87"/>
      <c r="C1673" s="87"/>
      <c r="D1673" s="87"/>
      <c r="E1673" s="87"/>
      <c r="F1673" s="87"/>
      <c r="G1673" s="87"/>
      <c r="H1673" s="87"/>
      <c r="I1673" s="87"/>
      <c r="J1673" s="87"/>
      <c r="K1673" s="87"/>
      <c r="L1673" s="87"/>
      <c r="M1673" s="87"/>
      <c r="N1673" s="100"/>
      <c r="O1673" s="100"/>
    </row>
    <row r="1674" spans="1:15">
      <c r="A1674" s="87"/>
      <c r="B1674" s="87"/>
      <c r="C1674" s="87"/>
      <c r="D1674" s="87"/>
      <c r="E1674" s="87"/>
      <c r="F1674" s="87"/>
      <c r="G1674" s="87"/>
      <c r="H1674" s="87"/>
      <c r="I1674" s="87"/>
      <c r="J1674" s="87"/>
      <c r="K1674" s="87"/>
      <c r="L1674" s="87"/>
      <c r="M1674" s="87"/>
      <c r="N1674" s="100"/>
      <c r="O1674" s="100"/>
    </row>
    <row r="1675" spans="1:15">
      <c r="A1675" s="87"/>
      <c r="B1675" s="87"/>
      <c r="C1675" s="87"/>
      <c r="D1675" s="87"/>
      <c r="E1675" s="87"/>
      <c r="F1675" s="87"/>
      <c r="G1675" s="87"/>
      <c r="H1675" s="87"/>
      <c r="I1675" s="87"/>
      <c r="J1675" s="87"/>
      <c r="K1675" s="87"/>
      <c r="L1675" s="87"/>
      <c r="M1675" s="87"/>
      <c r="N1675" s="100"/>
      <c r="O1675" s="100"/>
    </row>
    <row r="1676" spans="1:15">
      <c r="A1676" s="87"/>
      <c r="B1676" s="87"/>
      <c r="C1676" s="87"/>
      <c r="D1676" s="87"/>
      <c r="E1676" s="87"/>
      <c r="F1676" s="87"/>
      <c r="G1676" s="87"/>
      <c r="H1676" s="87"/>
      <c r="I1676" s="87"/>
      <c r="J1676" s="87"/>
      <c r="K1676" s="87"/>
      <c r="L1676" s="87"/>
      <c r="M1676" s="87"/>
      <c r="N1676" s="100"/>
      <c r="O1676" s="100"/>
    </row>
    <row r="1677" spans="1:15">
      <c r="A1677" s="87"/>
      <c r="B1677" s="87"/>
      <c r="C1677" s="87"/>
      <c r="D1677" s="87"/>
      <c r="E1677" s="87"/>
      <c r="F1677" s="87"/>
      <c r="G1677" s="87"/>
      <c r="H1677" s="87"/>
      <c r="I1677" s="87"/>
      <c r="J1677" s="87"/>
      <c r="K1677" s="87"/>
      <c r="L1677" s="87"/>
      <c r="M1677" s="87"/>
      <c r="N1677" s="100"/>
      <c r="O1677" s="100"/>
    </row>
    <row r="1678" spans="1:15">
      <c r="A1678" s="87"/>
      <c r="B1678" s="87"/>
      <c r="C1678" s="87"/>
      <c r="D1678" s="87"/>
      <c r="E1678" s="87"/>
      <c r="F1678" s="87"/>
      <c r="G1678" s="87"/>
      <c r="H1678" s="87"/>
      <c r="I1678" s="87"/>
      <c r="J1678" s="87"/>
      <c r="K1678" s="87"/>
      <c r="L1678" s="87"/>
      <c r="M1678" s="87"/>
      <c r="N1678" s="100"/>
      <c r="O1678" s="100"/>
    </row>
    <row r="1679" spans="1:15">
      <c r="A1679" s="87"/>
      <c r="B1679" s="87"/>
      <c r="C1679" s="87"/>
      <c r="D1679" s="87"/>
      <c r="E1679" s="87"/>
      <c r="F1679" s="87"/>
      <c r="G1679" s="87"/>
      <c r="H1679" s="87"/>
      <c r="I1679" s="87"/>
      <c r="J1679" s="87"/>
      <c r="K1679" s="87"/>
      <c r="L1679" s="87"/>
      <c r="M1679" s="87"/>
      <c r="N1679" s="100"/>
      <c r="O1679" s="100"/>
    </row>
    <row r="1680" spans="1:15">
      <c r="A1680" s="87"/>
      <c r="B1680" s="87"/>
      <c r="C1680" s="87"/>
      <c r="D1680" s="87"/>
      <c r="E1680" s="87"/>
      <c r="F1680" s="87"/>
      <c r="G1680" s="87"/>
      <c r="H1680" s="87"/>
      <c r="I1680" s="87"/>
      <c r="J1680" s="87"/>
      <c r="K1680" s="87"/>
      <c r="L1680" s="87"/>
      <c r="M1680" s="87"/>
      <c r="N1680" s="100"/>
      <c r="O1680" s="100"/>
    </row>
    <row r="1681" spans="1:15">
      <c r="A1681" s="87"/>
      <c r="B1681" s="87"/>
      <c r="C1681" s="87"/>
      <c r="D1681" s="87"/>
      <c r="E1681" s="87"/>
      <c r="F1681" s="87"/>
      <c r="G1681" s="87"/>
      <c r="H1681" s="87"/>
      <c r="I1681" s="87"/>
      <c r="J1681" s="87"/>
      <c r="K1681" s="87"/>
      <c r="L1681" s="87"/>
      <c r="M1681" s="87"/>
      <c r="N1681" s="100"/>
      <c r="O1681" s="100"/>
    </row>
    <row r="1682" spans="1:15">
      <c r="A1682" s="87"/>
      <c r="B1682" s="87"/>
      <c r="C1682" s="87"/>
      <c r="D1682" s="87"/>
      <c r="E1682" s="87"/>
      <c r="F1682" s="87"/>
      <c r="G1682" s="87"/>
      <c r="H1682" s="87"/>
      <c r="I1682" s="87"/>
      <c r="J1682" s="87"/>
      <c r="K1682" s="87"/>
      <c r="L1682" s="87"/>
      <c r="M1682" s="87"/>
      <c r="N1682" s="100"/>
      <c r="O1682" s="100"/>
    </row>
    <row r="1683" spans="1:15">
      <c r="A1683" s="87"/>
      <c r="B1683" s="87"/>
      <c r="C1683" s="87"/>
      <c r="D1683" s="87"/>
      <c r="E1683" s="87"/>
      <c r="F1683" s="87"/>
      <c r="G1683" s="87"/>
      <c r="H1683" s="87"/>
      <c r="I1683" s="87"/>
      <c r="J1683" s="87"/>
      <c r="K1683" s="87"/>
      <c r="L1683" s="87"/>
      <c r="M1683" s="87"/>
      <c r="N1683" s="100"/>
      <c r="O1683" s="100"/>
    </row>
    <row r="1684" spans="1:15">
      <c r="A1684" s="87"/>
      <c r="B1684" s="87"/>
      <c r="C1684" s="87"/>
      <c r="D1684" s="87"/>
      <c r="E1684" s="87"/>
      <c r="F1684" s="87"/>
      <c r="G1684" s="87"/>
      <c r="H1684" s="87"/>
      <c r="I1684" s="87"/>
      <c r="J1684" s="87"/>
      <c r="K1684" s="87"/>
      <c r="L1684" s="87"/>
      <c r="M1684" s="87"/>
      <c r="N1684" s="100"/>
      <c r="O1684" s="100"/>
    </row>
    <row r="1685" spans="1:15">
      <c r="A1685" s="87"/>
      <c r="B1685" s="87"/>
      <c r="C1685" s="87"/>
      <c r="D1685" s="87"/>
      <c r="E1685" s="87"/>
      <c r="F1685" s="87"/>
      <c r="G1685" s="87"/>
      <c r="H1685" s="87"/>
      <c r="I1685" s="87"/>
      <c r="J1685" s="87"/>
      <c r="K1685" s="87"/>
      <c r="L1685" s="87"/>
      <c r="M1685" s="87"/>
      <c r="N1685" s="100"/>
      <c r="O1685" s="100"/>
    </row>
    <row r="1686" spans="1:15">
      <c r="A1686" s="87"/>
      <c r="B1686" s="87"/>
      <c r="C1686" s="87"/>
      <c r="D1686" s="87"/>
      <c r="E1686" s="87"/>
      <c r="F1686" s="87"/>
      <c r="G1686" s="87"/>
      <c r="H1686" s="87"/>
      <c r="I1686" s="87"/>
      <c r="J1686" s="87"/>
      <c r="K1686" s="87"/>
      <c r="L1686" s="87"/>
      <c r="M1686" s="87"/>
      <c r="N1686" s="100"/>
      <c r="O1686" s="100"/>
    </row>
    <row r="1687" spans="1:15">
      <c r="A1687" s="87"/>
      <c r="B1687" s="87"/>
      <c r="C1687" s="87"/>
      <c r="D1687" s="87"/>
      <c r="E1687" s="87"/>
      <c r="F1687" s="87"/>
      <c r="G1687" s="87"/>
      <c r="H1687" s="87"/>
      <c r="I1687" s="87"/>
      <c r="J1687" s="87"/>
      <c r="K1687" s="87"/>
      <c r="L1687" s="87"/>
      <c r="M1687" s="87"/>
      <c r="N1687" s="100"/>
      <c r="O1687" s="100"/>
    </row>
    <row r="1688" spans="1:15">
      <c r="A1688" s="87"/>
      <c r="B1688" s="87"/>
      <c r="C1688" s="87"/>
      <c r="D1688" s="87"/>
      <c r="E1688" s="87"/>
      <c r="F1688" s="87"/>
      <c r="G1688" s="87"/>
      <c r="H1688" s="87"/>
      <c r="I1688" s="87"/>
      <c r="J1688" s="87"/>
      <c r="K1688" s="87"/>
      <c r="L1688" s="87"/>
      <c r="M1688" s="87"/>
      <c r="N1688" s="100"/>
      <c r="O1688" s="100"/>
    </row>
    <row r="1689" spans="1:15">
      <c r="A1689" s="87"/>
      <c r="B1689" s="87"/>
      <c r="C1689" s="87"/>
      <c r="D1689" s="87"/>
      <c r="E1689" s="87"/>
      <c r="F1689" s="87"/>
      <c r="G1689" s="87"/>
      <c r="H1689" s="87"/>
      <c r="I1689" s="87"/>
      <c r="J1689" s="87"/>
      <c r="K1689" s="87"/>
      <c r="L1689" s="87"/>
      <c r="M1689" s="87"/>
      <c r="N1689" s="100"/>
      <c r="O1689" s="100"/>
    </row>
    <row r="1690" spans="1:15">
      <c r="A1690" s="87"/>
      <c r="B1690" s="87"/>
      <c r="C1690" s="87"/>
      <c r="D1690" s="87"/>
      <c r="E1690" s="87"/>
      <c r="F1690" s="87"/>
      <c r="G1690" s="87"/>
      <c r="H1690" s="87"/>
      <c r="I1690" s="87"/>
      <c r="J1690" s="87"/>
      <c r="K1690" s="87"/>
      <c r="L1690" s="87"/>
      <c r="M1690" s="87"/>
      <c r="N1690" s="100"/>
      <c r="O1690" s="100"/>
    </row>
    <row r="1691" spans="1:15">
      <c r="A1691" s="87"/>
      <c r="B1691" s="87"/>
      <c r="C1691" s="87"/>
      <c r="D1691" s="87"/>
      <c r="E1691" s="87"/>
      <c r="F1691" s="87"/>
      <c r="G1691" s="87"/>
      <c r="H1691" s="87"/>
      <c r="I1691" s="87"/>
      <c r="J1691" s="87"/>
      <c r="K1691" s="87"/>
      <c r="L1691" s="87"/>
      <c r="M1691" s="87"/>
      <c r="N1691" s="100"/>
      <c r="O1691" s="100"/>
    </row>
    <row r="1692" spans="1:15">
      <c r="A1692" s="87"/>
      <c r="B1692" s="87"/>
      <c r="C1692" s="87"/>
      <c r="D1692" s="87"/>
      <c r="E1692" s="87"/>
      <c r="F1692" s="87"/>
      <c r="G1692" s="87"/>
      <c r="H1692" s="87"/>
      <c r="I1692" s="87"/>
      <c r="J1692" s="87"/>
      <c r="K1692" s="87"/>
      <c r="L1692" s="87"/>
      <c r="M1692" s="87"/>
      <c r="N1692" s="100"/>
      <c r="O1692" s="100"/>
    </row>
    <row r="1693" spans="1:15">
      <c r="A1693" s="87"/>
      <c r="B1693" s="87"/>
      <c r="C1693" s="87"/>
      <c r="D1693" s="87"/>
      <c r="E1693" s="87"/>
      <c r="F1693" s="87"/>
      <c r="G1693" s="87"/>
      <c r="H1693" s="87"/>
      <c r="I1693" s="87"/>
      <c r="J1693" s="87"/>
      <c r="K1693" s="87"/>
      <c r="L1693" s="87"/>
      <c r="M1693" s="87"/>
      <c r="N1693" s="100"/>
      <c r="O1693" s="100"/>
    </row>
    <row r="1694" spans="1:15">
      <c r="A1694" s="87"/>
      <c r="B1694" s="87"/>
      <c r="C1694" s="87"/>
      <c r="D1694" s="87"/>
      <c r="E1694" s="87"/>
      <c r="F1694" s="87"/>
      <c r="G1694" s="87"/>
      <c r="H1694" s="87"/>
      <c r="I1694" s="87"/>
      <c r="J1694" s="87"/>
      <c r="K1694" s="87"/>
      <c r="L1694" s="87"/>
      <c r="M1694" s="87"/>
      <c r="N1694" s="100"/>
      <c r="O1694" s="100"/>
    </row>
    <row r="1695" spans="1:15">
      <c r="A1695" s="87"/>
      <c r="B1695" s="87"/>
      <c r="C1695" s="87"/>
      <c r="D1695" s="87"/>
      <c r="E1695" s="87"/>
      <c r="F1695" s="87"/>
      <c r="G1695" s="87"/>
      <c r="H1695" s="87"/>
      <c r="I1695" s="87"/>
      <c r="J1695" s="87"/>
      <c r="K1695" s="87"/>
      <c r="L1695" s="87"/>
      <c r="M1695" s="87"/>
      <c r="N1695" s="100"/>
      <c r="O1695" s="100"/>
    </row>
    <row r="1696" spans="1:15">
      <c r="A1696" s="87"/>
      <c r="B1696" s="87"/>
      <c r="C1696" s="87"/>
      <c r="D1696" s="87"/>
      <c r="E1696" s="87"/>
      <c r="F1696" s="87"/>
      <c r="G1696" s="87"/>
      <c r="H1696" s="87"/>
      <c r="I1696" s="87"/>
      <c r="J1696" s="87"/>
      <c r="K1696" s="87"/>
      <c r="L1696" s="87"/>
      <c r="M1696" s="87"/>
      <c r="N1696" s="100"/>
      <c r="O1696" s="100"/>
    </row>
    <row r="1697" spans="1:15">
      <c r="A1697" s="87"/>
      <c r="B1697" s="87"/>
      <c r="C1697" s="87"/>
      <c r="D1697" s="87"/>
      <c r="E1697" s="87"/>
      <c r="F1697" s="87"/>
      <c r="G1697" s="87"/>
      <c r="H1697" s="87"/>
      <c r="I1697" s="87"/>
      <c r="J1697" s="87"/>
      <c r="K1697" s="87"/>
      <c r="L1697" s="87"/>
      <c r="M1697" s="87"/>
      <c r="N1697" s="100"/>
      <c r="O1697" s="100"/>
    </row>
    <row r="1698" spans="1:15">
      <c r="A1698" s="87"/>
      <c r="B1698" s="87"/>
      <c r="C1698" s="87"/>
      <c r="D1698" s="87"/>
      <c r="E1698" s="87"/>
      <c r="F1698" s="87"/>
      <c r="G1698" s="87"/>
      <c r="H1698" s="87"/>
      <c r="I1698" s="87"/>
      <c r="J1698" s="87"/>
      <c r="K1698" s="87"/>
      <c r="L1698" s="87"/>
      <c r="M1698" s="87"/>
      <c r="N1698" s="100"/>
      <c r="O1698" s="100"/>
    </row>
    <row r="1699" spans="1:15">
      <c r="A1699" s="87"/>
      <c r="B1699" s="87"/>
      <c r="C1699" s="87"/>
      <c r="D1699" s="87"/>
      <c r="E1699" s="87"/>
      <c r="F1699" s="87"/>
      <c r="G1699" s="87"/>
      <c r="H1699" s="87"/>
      <c r="I1699" s="87"/>
      <c r="J1699" s="87"/>
      <c r="K1699" s="87"/>
      <c r="L1699" s="87"/>
      <c r="M1699" s="87"/>
      <c r="N1699" s="100"/>
      <c r="O1699" s="100"/>
    </row>
    <row r="1700" spans="1:15">
      <c r="A1700" s="87"/>
      <c r="B1700" s="87"/>
      <c r="C1700" s="87"/>
      <c r="D1700" s="87"/>
      <c r="E1700" s="87"/>
      <c r="F1700" s="87"/>
      <c r="G1700" s="87"/>
      <c r="H1700" s="87"/>
      <c r="I1700" s="87"/>
      <c r="J1700" s="87"/>
      <c r="K1700" s="87"/>
      <c r="L1700" s="87"/>
      <c r="M1700" s="87"/>
      <c r="N1700" s="100"/>
      <c r="O1700" s="100"/>
    </row>
    <row r="1701" spans="1:15">
      <c r="A1701" s="87"/>
      <c r="B1701" s="87"/>
      <c r="C1701" s="87"/>
      <c r="D1701" s="87"/>
      <c r="E1701" s="87"/>
      <c r="F1701" s="87"/>
      <c r="G1701" s="87"/>
      <c r="H1701" s="87"/>
      <c r="I1701" s="87"/>
      <c r="J1701" s="87"/>
      <c r="K1701" s="87"/>
      <c r="L1701" s="87"/>
      <c r="M1701" s="87"/>
      <c r="N1701" s="100"/>
      <c r="O1701" s="100"/>
    </row>
    <row r="1702" spans="1:15">
      <c r="A1702" s="87"/>
      <c r="B1702" s="87"/>
      <c r="C1702" s="87"/>
      <c r="D1702" s="87"/>
      <c r="E1702" s="87"/>
      <c r="F1702" s="87"/>
      <c r="G1702" s="87"/>
      <c r="H1702" s="87"/>
      <c r="I1702" s="87"/>
      <c r="J1702" s="87"/>
      <c r="K1702" s="87"/>
      <c r="L1702" s="87"/>
      <c r="M1702" s="87"/>
      <c r="N1702" s="100"/>
      <c r="O1702" s="100"/>
    </row>
    <row r="1703" spans="1:15">
      <c r="A1703" s="87"/>
      <c r="B1703" s="87"/>
      <c r="C1703" s="87"/>
      <c r="D1703" s="87"/>
      <c r="E1703" s="87"/>
      <c r="F1703" s="87"/>
      <c r="G1703" s="87"/>
      <c r="H1703" s="87"/>
      <c r="I1703" s="87"/>
      <c r="J1703" s="87"/>
      <c r="K1703" s="87"/>
      <c r="L1703" s="87"/>
      <c r="M1703" s="87"/>
      <c r="N1703" s="100"/>
      <c r="O1703" s="100"/>
    </row>
    <row r="1704" spans="1:15">
      <c r="A1704" s="87"/>
      <c r="B1704" s="87"/>
      <c r="C1704" s="87"/>
      <c r="D1704" s="87"/>
      <c r="E1704" s="87"/>
      <c r="F1704" s="87"/>
      <c r="G1704" s="87"/>
      <c r="H1704" s="87"/>
      <c r="I1704" s="87"/>
      <c r="J1704" s="87"/>
      <c r="K1704" s="87"/>
      <c r="L1704" s="87"/>
      <c r="M1704" s="87"/>
      <c r="N1704" s="100"/>
      <c r="O1704" s="100"/>
    </row>
    <row r="1705" spans="1:15">
      <c r="A1705" s="87"/>
      <c r="B1705" s="87"/>
      <c r="C1705" s="87"/>
      <c r="D1705" s="87"/>
      <c r="E1705" s="87"/>
      <c r="F1705" s="87"/>
      <c r="G1705" s="87"/>
      <c r="H1705" s="87"/>
      <c r="I1705" s="87"/>
      <c r="J1705" s="87"/>
      <c r="K1705" s="87"/>
      <c r="L1705" s="87"/>
      <c r="M1705" s="87"/>
      <c r="N1705" s="100"/>
      <c r="O1705" s="100"/>
    </row>
    <row r="1706" spans="1:15">
      <c r="A1706" s="87"/>
      <c r="B1706" s="87"/>
      <c r="C1706" s="87"/>
      <c r="D1706" s="87"/>
      <c r="E1706" s="87"/>
      <c r="F1706" s="87"/>
      <c r="G1706" s="87"/>
      <c r="H1706" s="87"/>
      <c r="I1706" s="87"/>
      <c r="J1706" s="87"/>
      <c r="K1706" s="87"/>
      <c r="L1706" s="87"/>
      <c r="M1706" s="87"/>
      <c r="N1706" s="100"/>
      <c r="O1706" s="100"/>
    </row>
    <row r="1707" spans="1:15">
      <c r="A1707" s="87"/>
      <c r="B1707" s="87"/>
      <c r="C1707" s="87"/>
      <c r="D1707" s="87"/>
      <c r="E1707" s="87"/>
      <c r="F1707" s="87"/>
      <c r="G1707" s="87"/>
      <c r="H1707" s="87"/>
      <c r="I1707" s="87"/>
      <c r="J1707" s="87"/>
      <c r="K1707" s="87"/>
      <c r="L1707" s="87"/>
      <c r="M1707" s="87"/>
      <c r="N1707" s="100"/>
      <c r="O1707" s="100"/>
    </row>
    <row r="1708" spans="1:15">
      <c r="A1708" s="87"/>
      <c r="B1708" s="87"/>
      <c r="C1708" s="87"/>
      <c r="D1708" s="87"/>
      <c r="E1708" s="87"/>
      <c r="F1708" s="87"/>
      <c r="G1708" s="87"/>
      <c r="H1708" s="87"/>
      <c r="I1708" s="87"/>
      <c r="J1708" s="87"/>
      <c r="K1708" s="87"/>
      <c r="L1708" s="87"/>
      <c r="M1708" s="87"/>
      <c r="N1708" s="100"/>
      <c r="O1708" s="100"/>
    </row>
    <row r="1709" spans="1:15">
      <c r="A1709" s="87"/>
      <c r="B1709" s="87"/>
      <c r="C1709" s="87"/>
      <c r="D1709" s="87"/>
      <c r="E1709" s="87"/>
      <c r="F1709" s="87"/>
      <c r="G1709" s="87"/>
      <c r="H1709" s="87"/>
      <c r="I1709" s="87"/>
      <c r="J1709" s="87"/>
      <c r="K1709" s="87"/>
      <c r="L1709" s="87"/>
      <c r="M1709" s="87"/>
      <c r="N1709" s="100"/>
      <c r="O1709" s="100"/>
    </row>
    <row r="1710" spans="1:15">
      <c r="A1710" s="87"/>
      <c r="B1710" s="87"/>
      <c r="C1710" s="87"/>
      <c r="D1710" s="87"/>
      <c r="E1710" s="87"/>
      <c r="F1710" s="87"/>
      <c r="G1710" s="87"/>
      <c r="H1710" s="87"/>
      <c r="I1710" s="87"/>
      <c r="J1710" s="87"/>
      <c r="K1710" s="87"/>
      <c r="L1710" s="87"/>
      <c r="M1710" s="87"/>
      <c r="N1710" s="100"/>
      <c r="O1710" s="100"/>
    </row>
    <row r="1711" spans="1:15">
      <c r="A1711" s="87"/>
      <c r="B1711" s="87"/>
      <c r="C1711" s="87"/>
      <c r="D1711" s="87"/>
      <c r="E1711" s="87"/>
      <c r="F1711" s="87"/>
      <c r="G1711" s="87"/>
      <c r="H1711" s="87"/>
      <c r="I1711" s="87"/>
      <c r="J1711" s="87"/>
      <c r="K1711" s="87"/>
      <c r="L1711" s="87"/>
      <c r="M1711" s="87"/>
      <c r="N1711" s="100"/>
      <c r="O1711" s="100"/>
    </row>
    <row r="1712" spans="1:15">
      <c r="A1712" s="87"/>
      <c r="B1712" s="87"/>
      <c r="C1712" s="87"/>
      <c r="D1712" s="87"/>
      <c r="E1712" s="87"/>
      <c r="F1712" s="87"/>
      <c r="G1712" s="87"/>
      <c r="H1712" s="87"/>
      <c r="I1712" s="87"/>
      <c r="J1712" s="87"/>
      <c r="K1712" s="87"/>
      <c r="L1712" s="87"/>
      <c r="M1712" s="87"/>
      <c r="N1712" s="100"/>
      <c r="O1712" s="100"/>
    </row>
    <row r="1713" spans="1:15">
      <c r="A1713" s="87"/>
      <c r="B1713" s="87"/>
      <c r="C1713" s="87"/>
      <c r="D1713" s="87"/>
      <c r="E1713" s="87"/>
      <c r="F1713" s="87"/>
      <c r="G1713" s="87"/>
      <c r="H1713" s="87"/>
      <c r="I1713" s="87"/>
      <c r="J1713" s="87"/>
      <c r="K1713" s="87"/>
      <c r="L1713" s="87"/>
      <c r="M1713" s="87"/>
      <c r="N1713" s="100"/>
      <c r="O1713" s="100"/>
    </row>
    <row r="1714" spans="1:15">
      <c r="A1714" s="87"/>
      <c r="B1714" s="87"/>
      <c r="C1714" s="87"/>
      <c r="D1714" s="87"/>
      <c r="E1714" s="87"/>
      <c r="F1714" s="87"/>
      <c r="G1714" s="87"/>
      <c r="H1714" s="87"/>
      <c r="I1714" s="87"/>
      <c r="J1714" s="87"/>
      <c r="K1714" s="87"/>
      <c r="L1714" s="87"/>
      <c r="M1714" s="87"/>
      <c r="N1714" s="100"/>
      <c r="O1714" s="100"/>
    </row>
    <row r="1715" spans="1:15">
      <c r="A1715" s="87"/>
      <c r="B1715" s="87"/>
      <c r="C1715" s="87"/>
      <c r="D1715" s="87"/>
      <c r="E1715" s="87"/>
      <c r="F1715" s="87"/>
      <c r="G1715" s="87"/>
      <c r="H1715" s="87"/>
      <c r="I1715" s="87"/>
      <c r="J1715" s="87"/>
      <c r="K1715" s="87"/>
      <c r="L1715" s="87"/>
      <c r="M1715" s="87"/>
      <c r="N1715" s="100"/>
      <c r="O1715" s="100"/>
    </row>
    <row r="1716" spans="1:15">
      <c r="A1716" s="87"/>
      <c r="B1716" s="87"/>
      <c r="C1716" s="87"/>
      <c r="D1716" s="87"/>
      <c r="E1716" s="87"/>
      <c r="F1716" s="87"/>
      <c r="G1716" s="87"/>
      <c r="H1716" s="87"/>
      <c r="I1716" s="87"/>
      <c r="J1716" s="87"/>
      <c r="K1716" s="87"/>
      <c r="L1716" s="87"/>
      <c r="M1716" s="87"/>
      <c r="N1716" s="100"/>
      <c r="O1716" s="100"/>
    </row>
    <row r="1717" spans="1:15">
      <c r="A1717" s="87"/>
      <c r="B1717" s="87"/>
      <c r="C1717" s="87"/>
      <c r="D1717" s="87"/>
      <c r="E1717" s="87"/>
      <c r="F1717" s="87"/>
      <c r="G1717" s="87"/>
      <c r="H1717" s="87"/>
      <c r="I1717" s="87"/>
      <c r="J1717" s="87"/>
      <c r="K1717" s="87"/>
      <c r="L1717" s="87"/>
      <c r="M1717" s="87"/>
      <c r="N1717" s="100"/>
      <c r="O1717" s="100"/>
    </row>
    <row r="1718" spans="1:15">
      <c r="A1718" s="87"/>
      <c r="B1718" s="87"/>
      <c r="C1718" s="87"/>
      <c r="D1718" s="87"/>
      <c r="E1718" s="87"/>
      <c r="F1718" s="87"/>
      <c r="G1718" s="87"/>
      <c r="H1718" s="87"/>
      <c r="I1718" s="87"/>
      <c r="J1718" s="87"/>
      <c r="K1718" s="87"/>
      <c r="L1718" s="87"/>
      <c r="M1718" s="87"/>
      <c r="N1718" s="100"/>
      <c r="O1718" s="100"/>
    </row>
    <row r="1719" spans="1:15">
      <c r="A1719" s="87"/>
      <c r="B1719" s="87"/>
      <c r="C1719" s="87"/>
      <c r="D1719" s="87"/>
      <c r="E1719" s="87"/>
      <c r="F1719" s="87"/>
      <c r="G1719" s="87"/>
      <c r="H1719" s="87"/>
      <c r="I1719" s="87"/>
      <c r="J1719" s="87"/>
      <c r="K1719" s="87"/>
      <c r="L1719" s="87"/>
      <c r="M1719" s="87"/>
      <c r="N1719" s="100"/>
      <c r="O1719" s="100"/>
    </row>
    <row r="1720" spans="1:15">
      <c r="A1720" s="87"/>
      <c r="B1720" s="87"/>
      <c r="C1720" s="87"/>
      <c r="D1720" s="87"/>
      <c r="E1720" s="87"/>
      <c r="F1720" s="87"/>
      <c r="G1720" s="87"/>
      <c r="H1720" s="87"/>
      <c r="I1720" s="87"/>
      <c r="J1720" s="87"/>
      <c r="K1720" s="87"/>
      <c r="L1720" s="87"/>
      <c r="M1720" s="87"/>
      <c r="N1720" s="100"/>
      <c r="O1720" s="100"/>
    </row>
    <row r="1721" spans="1:15">
      <c r="A1721" s="87"/>
      <c r="B1721" s="87"/>
      <c r="C1721" s="87"/>
      <c r="D1721" s="87"/>
      <c r="E1721" s="87"/>
      <c r="F1721" s="87"/>
      <c r="G1721" s="87"/>
      <c r="H1721" s="87"/>
      <c r="I1721" s="87"/>
      <c r="J1721" s="87"/>
      <c r="K1721" s="87"/>
      <c r="L1721" s="87"/>
      <c r="M1721" s="87"/>
      <c r="N1721" s="100"/>
      <c r="O1721" s="100"/>
    </row>
    <row r="1722" spans="1:15">
      <c r="A1722" s="87"/>
      <c r="B1722" s="87"/>
      <c r="C1722" s="87"/>
      <c r="D1722" s="87"/>
      <c r="E1722" s="87"/>
      <c r="F1722" s="87"/>
      <c r="G1722" s="87"/>
      <c r="H1722" s="87"/>
      <c r="I1722" s="87"/>
      <c r="J1722" s="87"/>
      <c r="K1722" s="87"/>
      <c r="L1722" s="87"/>
      <c r="M1722" s="87"/>
      <c r="N1722" s="100"/>
      <c r="O1722" s="100"/>
    </row>
    <row r="1723" spans="1:15">
      <c r="A1723" s="87"/>
      <c r="B1723" s="87"/>
      <c r="C1723" s="87"/>
      <c r="D1723" s="87"/>
      <c r="E1723" s="87"/>
      <c r="F1723" s="87"/>
      <c r="G1723" s="87"/>
      <c r="H1723" s="87"/>
      <c r="I1723" s="87"/>
      <c r="J1723" s="87"/>
      <c r="K1723" s="87"/>
      <c r="L1723" s="87"/>
      <c r="M1723" s="87"/>
      <c r="N1723" s="100"/>
      <c r="O1723" s="100"/>
    </row>
    <row r="1724" spans="1:15">
      <c r="A1724" s="87"/>
      <c r="B1724" s="87"/>
      <c r="C1724" s="87"/>
      <c r="D1724" s="87"/>
      <c r="E1724" s="87"/>
      <c r="F1724" s="87"/>
      <c r="G1724" s="87"/>
      <c r="H1724" s="87"/>
      <c r="I1724" s="87"/>
      <c r="J1724" s="87"/>
      <c r="K1724" s="87"/>
      <c r="L1724" s="87"/>
      <c r="M1724" s="87"/>
      <c r="N1724" s="100"/>
      <c r="O1724" s="100"/>
    </row>
    <row r="1725" spans="1:15">
      <c r="A1725" s="87"/>
      <c r="B1725" s="87"/>
      <c r="C1725" s="87"/>
      <c r="D1725" s="87"/>
      <c r="E1725" s="87"/>
      <c r="F1725" s="87"/>
      <c r="G1725" s="87"/>
      <c r="H1725" s="87"/>
      <c r="I1725" s="87"/>
      <c r="J1725" s="87"/>
      <c r="K1725" s="87"/>
      <c r="L1725" s="87"/>
      <c r="M1725" s="87"/>
      <c r="N1725" s="100"/>
      <c r="O1725" s="100"/>
    </row>
    <row r="1726" spans="1:15">
      <c r="A1726" s="87"/>
      <c r="B1726" s="87"/>
      <c r="C1726" s="87"/>
      <c r="D1726" s="87"/>
      <c r="E1726" s="87"/>
      <c r="F1726" s="87"/>
      <c r="G1726" s="87"/>
      <c r="H1726" s="87"/>
      <c r="I1726" s="87"/>
      <c r="J1726" s="87"/>
      <c r="K1726" s="87"/>
      <c r="L1726" s="87"/>
      <c r="M1726" s="87"/>
      <c r="N1726" s="100"/>
      <c r="O1726" s="100"/>
    </row>
    <row r="1727" spans="1:15">
      <c r="A1727" s="87"/>
      <c r="B1727" s="87"/>
      <c r="C1727" s="87"/>
      <c r="D1727" s="87"/>
      <c r="E1727" s="87"/>
      <c r="F1727" s="87"/>
      <c r="G1727" s="87"/>
      <c r="H1727" s="87"/>
      <c r="I1727" s="87"/>
      <c r="J1727" s="87"/>
      <c r="K1727" s="87"/>
      <c r="L1727" s="87"/>
      <c r="M1727" s="87"/>
      <c r="N1727" s="100"/>
      <c r="O1727" s="100"/>
    </row>
    <row r="1728" spans="1:15">
      <c r="A1728" s="87"/>
      <c r="B1728" s="87"/>
      <c r="C1728" s="87"/>
      <c r="D1728" s="87"/>
      <c r="E1728" s="87"/>
      <c r="F1728" s="87"/>
      <c r="G1728" s="87"/>
      <c r="H1728" s="87"/>
      <c r="I1728" s="87"/>
      <c r="J1728" s="87"/>
      <c r="K1728" s="87"/>
      <c r="L1728" s="87"/>
      <c r="M1728" s="87"/>
      <c r="N1728" s="100"/>
      <c r="O1728" s="100"/>
    </row>
    <row r="1729" spans="1:15">
      <c r="A1729" s="87"/>
      <c r="B1729" s="87"/>
      <c r="C1729" s="87"/>
      <c r="D1729" s="87"/>
      <c r="E1729" s="87"/>
      <c r="F1729" s="87"/>
      <c r="G1729" s="87"/>
      <c r="H1729" s="87"/>
      <c r="I1729" s="87"/>
      <c r="J1729" s="87"/>
      <c r="K1729" s="87"/>
      <c r="L1729" s="87"/>
      <c r="M1729" s="87"/>
      <c r="N1729" s="100"/>
      <c r="O1729" s="100"/>
    </row>
    <row r="1730" spans="1:15">
      <c r="A1730" s="87"/>
      <c r="B1730" s="87"/>
      <c r="C1730" s="87"/>
      <c r="D1730" s="87"/>
      <c r="E1730" s="87"/>
      <c r="F1730" s="87"/>
      <c r="G1730" s="87"/>
      <c r="H1730" s="87"/>
      <c r="I1730" s="87"/>
      <c r="J1730" s="87"/>
      <c r="K1730" s="87"/>
      <c r="L1730" s="87"/>
      <c r="M1730" s="87"/>
      <c r="N1730" s="100"/>
      <c r="O1730" s="100"/>
    </row>
    <row r="1731" spans="1:15">
      <c r="A1731" s="87"/>
      <c r="B1731" s="87"/>
      <c r="C1731" s="87"/>
      <c r="D1731" s="87"/>
      <c r="E1731" s="87"/>
      <c r="F1731" s="87"/>
      <c r="G1731" s="87"/>
      <c r="H1731" s="87"/>
      <c r="I1731" s="87"/>
      <c r="J1731" s="87"/>
      <c r="K1731" s="87"/>
      <c r="L1731" s="87"/>
      <c r="M1731" s="87"/>
      <c r="N1731" s="100"/>
      <c r="O1731" s="100"/>
    </row>
    <row r="1732" spans="1:15">
      <c r="A1732" s="87"/>
      <c r="B1732" s="87"/>
      <c r="C1732" s="87"/>
      <c r="D1732" s="87"/>
      <c r="E1732" s="87"/>
      <c r="F1732" s="87"/>
      <c r="G1732" s="87"/>
      <c r="H1732" s="87"/>
      <c r="I1732" s="87"/>
      <c r="J1732" s="87"/>
      <c r="K1732" s="87"/>
      <c r="L1732" s="87"/>
      <c r="M1732" s="87"/>
      <c r="N1732" s="100"/>
      <c r="O1732" s="100"/>
    </row>
    <row r="1733" spans="1:15">
      <c r="A1733" s="87"/>
      <c r="B1733" s="87"/>
      <c r="C1733" s="87"/>
      <c r="D1733" s="87"/>
      <c r="E1733" s="87"/>
      <c r="F1733" s="87"/>
      <c r="G1733" s="87"/>
      <c r="H1733" s="87"/>
      <c r="I1733" s="87"/>
      <c r="J1733" s="87"/>
      <c r="K1733" s="87"/>
      <c r="L1733" s="87"/>
      <c r="M1733" s="87"/>
      <c r="N1733" s="100"/>
      <c r="O1733" s="100"/>
    </row>
    <row r="1734" spans="1:15">
      <c r="A1734" s="87"/>
      <c r="B1734" s="87"/>
      <c r="C1734" s="87"/>
      <c r="D1734" s="87"/>
      <c r="E1734" s="87"/>
      <c r="F1734" s="87"/>
      <c r="G1734" s="87"/>
      <c r="H1734" s="87"/>
      <c r="I1734" s="87"/>
      <c r="J1734" s="87"/>
      <c r="K1734" s="87"/>
      <c r="L1734" s="87"/>
      <c r="M1734" s="87"/>
      <c r="N1734" s="100"/>
      <c r="O1734" s="100"/>
    </row>
    <row r="1735" spans="1:15">
      <c r="A1735" s="87"/>
      <c r="B1735" s="87"/>
      <c r="C1735" s="87"/>
      <c r="D1735" s="87"/>
      <c r="E1735" s="87"/>
      <c r="F1735" s="87"/>
      <c r="G1735" s="87"/>
      <c r="H1735" s="87"/>
      <c r="I1735" s="87"/>
      <c r="J1735" s="87"/>
      <c r="K1735" s="87"/>
      <c r="L1735" s="87"/>
      <c r="M1735" s="87"/>
      <c r="N1735" s="100"/>
      <c r="O1735" s="100"/>
    </row>
    <row r="1736" spans="1:15">
      <c r="A1736" s="87"/>
      <c r="B1736" s="87"/>
      <c r="C1736" s="87"/>
      <c r="D1736" s="87"/>
      <c r="E1736" s="87"/>
      <c r="F1736" s="87"/>
      <c r="G1736" s="87"/>
      <c r="H1736" s="87"/>
      <c r="I1736" s="87"/>
      <c r="J1736" s="87"/>
      <c r="K1736" s="87"/>
      <c r="L1736" s="87"/>
      <c r="M1736" s="87"/>
      <c r="N1736" s="100"/>
      <c r="O1736" s="100"/>
    </row>
    <row r="1737" spans="1:15">
      <c r="A1737" s="87"/>
      <c r="B1737" s="87"/>
      <c r="C1737" s="87"/>
      <c r="D1737" s="87"/>
      <c r="E1737" s="87"/>
      <c r="F1737" s="87"/>
      <c r="G1737" s="87"/>
      <c r="H1737" s="87"/>
      <c r="I1737" s="87"/>
      <c r="J1737" s="87"/>
      <c r="K1737" s="87"/>
      <c r="L1737" s="87"/>
      <c r="M1737" s="87"/>
      <c r="N1737" s="100"/>
      <c r="O1737" s="100"/>
    </row>
    <row r="1738" spans="1:15">
      <c r="A1738" s="87"/>
      <c r="B1738" s="87"/>
      <c r="C1738" s="87"/>
      <c r="D1738" s="87"/>
      <c r="E1738" s="87"/>
      <c r="F1738" s="87"/>
      <c r="G1738" s="87"/>
      <c r="H1738" s="87"/>
      <c r="I1738" s="87"/>
      <c r="J1738" s="87"/>
      <c r="K1738" s="87"/>
      <c r="L1738" s="87"/>
      <c r="M1738" s="87"/>
      <c r="N1738" s="100"/>
      <c r="O1738" s="100"/>
    </row>
    <row r="1739" spans="1:15">
      <c r="A1739" s="87"/>
      <c r="B1739" s="87"/>
      <c r="C1739" s="87"/>
      <c r="D1739" s="87"/>
      <c r="E1739" s="87"/>
      <c r="F1739" s="87"/>
      <c r="G1739" s="87"/>
      <c r="H1739" s="87"/>
      <c r="I1739" s="87"/>
      <c r="J1739" s="87"/>
      <c r="K1739" s="87"/>
      <c r="L1739" s="87"/>
      <c r="M1739" s="87"/>
      <c r="N1739" s="100"/>
      <c r="O1739" s="100"/>
    </row>
    <row r="1740" spans="1:15">
      <c r="A1740" s="87"/>
      <c r="B1740" s="87"/>
      <c r="C1740" s="87"/>
      <c r="D1740" s="87"/>
      <c r="E1740" s="87"/>
      <c r="F1740" s="87"/>
      <c r="G1740" s="87"/>
      <c r="H1740" s="87"/>
      <c r="I1740" s="87"/>
      <c r="J1740" s="87"/>
      <c r="K1740" s="87"/>
      <c r="L1740" s="87"/>
      <c r="M1740" s="87"/>
      <c r="N1740" s="100"/>
      <c r="O1740" s="100"/>
    </row>
    <row r="1741" spans="1:15">
      <c r="A1741" s="87"/>
      <c r="B1741" s="87"/>
      <c r="C1741" s="87"/>
      <c r="D1741" s="87"/>
      <c r="E1741" s="87"/>
      <c r="F1741" s="87"/>
      <c r="G1741" s="87"/>
      <c r="H1741" s="87"/>
      <c r="I1741" s="87"/>
      <c r="J1741" s="87"/>
      <c r="K1741" s="87"/>
      <c r="L1741" s="87"/>
      <c r="M1741" s="87"/>
      <c r="N1741" s="100"/>
      <c r="O1741" s="100"/>
    </row>
    <row r="1742" spans="1:15">
      <c r="A1742" s="87"/>
      <c r="B1742" s="87"/>
      <c r="C1742" s="87"/>
      <c r="D1742" s="87"/>
      <c r="E1742" s="87"/>
      <c r="F1742" s="87"/>
      <c r="G1742" s="87"/>
      <c r="H1742" s="87"/>
      <c r="I1742" s="87"/>
      <c r="J1742" s="87"/>
      <c r="K1742" s="87"/>
      <c r="L1742" s="87"/>
      <c r="M1742" s="87"/>
      <c r="N1742" s="100"/>
      <c r="O1742" s="100"/>
    </row>
    <row r="1743" spans="1:15">
      <c r="A1743" s="87"/>
      <c r="B1743" s="87"/>
      <c r="C1743" s="87"/>
      <c r="D1743" s="87"/>
      <c r="E1743" s="87"/>
      <c r="F1743" s="87"/>
      <c r="G1743" s="87"/>
      <c r="H1743" s="87"/>
      <c r="I1743" s="87"/>
      <c r="J1743" s="87"/>
      <c r="K1743" s="87"/>
      <c r="L1743" s="87"/>
      <c r="M1743" s="87"/>
      <c r="N1743" s="100"/>
      <c r="O1743" s="100"/>
    </row>
    <row r="1744" spans="1:15">
      <c r="A1744" s="87"/>
      <c r="B1744" s="87"/>
      <c r="C1744" s="87"/>
      <c r="D1744" s="87"/>
      <c r="E1744" s="87"/>
      <c r="F1744" s="87"/>
      <c r="G1744" s="87"/>
      <c r="H1744" s="87"/>
      <c r="I1744" s="87"/>
      <c r="J1744" s="87"/>
      <c r="K1744" s="87"/>
      <c r="L1744" s="87"/>
      <c r="M1744" s="87"/>
      <c r="N1744" s="100"/>
      <c r="O1744" s="100"/>
    </row>
    <row r="1745" spans="1:15">
      <c r="A1745" s="87"/>
      <c r="B1745" s="87"/>
      <c r="C1745" s="87"/>
      <c r="D1745" s="87"/>
      <c r="E1745" s="87"/>
      <c r="F1745" s="87"/>
      <c r="G1745" s="87"/>
      <c r="H1745" s="87"/>
      <c r="I1745" s="87"/>
      <c r="J1745" s="87"/>
      <c r="K1745" s="87"/>
      <c r="L1745" s="87"/>
      <c r="M1745" s="87"/>
      <c r="N1745" s="100"/>
      <c r="O1745" s="100"/>
    </row>
    <row r="1746" spans="1:15">
      <c r="A1746" s="87"/>
      <c r="B1746" s="87"/>
      <c r="C1746" s="87"/>
      <c r="D1746" s="87"/>
      <c r="E1746" s="87"/>
      <c r="F1746" s="87"/>
      <c r="G1746" s="87"/>
      <c r="H1746" s="87"/>
      <c r="I1746" s="87"/>
      <c r="J1746" s="87"/>
      <c r="K1746" s="87"/>
      <c r="L1746" s="87"/>
      <c r="M1746" s="87"/>
      <c r="N1746" s="100"/>
      <c r="O1746" s="100"/>
    </row>
    <row r="1747" spans="1:15">
      <c r="A1747" s="87"/>
      <c r="B1747" s="87"/>
      <c r="C1747" s="87"/>
      <c r="D1747" s="87"/>
      <c r="E1747" s="87"/>
      <c r="F1747" s="87"/>
      <c r="G1747" s="87"/>
      <c r="H1747" s="87"/>
      <c r="I1747" s="87"/>
      <c r="J1747" s="87"/>
      <c r="K1747" s="87"/>
      <c r="L1747" s="87"/>
      <c r="M1747" s="87"/>
      <c r="N1747" s="100"/>
      <c r="O1747" s="100"/>
    </row>
    <row r="1748" spans="1:15">
      <c r="A1748" s="87"/>
      <c r="B1748" s="87"/>
      <c r="C1748" s="87"/>
      <c r="D1748" s="87"/>
      <c r="E1748" s="87"/>
      <c r="F1748" s="87"/>
      <c r="G1748" s="87"/>
      <c r="H1748" s="87"/>
      <c r="I1748" s="87"/>
      <c r="J1748" s="87"/>
      <c r="K1748" s="87"/>
      <c r="L1748" s="87"/>
      <c r="M1748" s="87"/>
      <c r="N1748" s="100"/>
      <c r="O1748" s="100"/>
    </row>
    <row r="1749" spans="1:15">
      <c r="A1749" s="87"/>
      <c r="B1749" s="87"/>
      <c r="C1749" s="87"/>
      <c r="D1749" s="87"/>
      <c r="E1749" s="87"/>
      <c r="F1749" s="87"/>
      <c r="G1749" s="87"/>
      <c r="H1749" s="87"/>
      <c r="I1749" s="87"/>
      <c r="J1749" s="87"/>
      <c r="K1749" s="87"/>
      <c r="L1749" s="87"/>
      <c r="M1749" s="87"/>
      <c r="N1749" s="100"/>
      <c r="O1749" s="100"/>
    </row>
    <row r="1750" spans="1:15">
      <c r="A1750" s="87"/>
      <c r="B1750" s="87"/>
      <c r="C1750" s="87"/>
      <c r="D1750" s="87"/>
      <c r="E1750" s="87"/>
      <c r="F1750" s="87"/>
      <c r="G1750" s="87"/>
      <c r="H1750" s="87"/>
      <c r="I1750" s="87"/>
      <c r="J1750" s="87"/>
      <c r="K1750" s="87"/>
      <c r="L1750" s="87"/>
      <c r="M1750" s="87"/>
      <c r="N1750" s="100"/>
      <c r="O1750" s="100"/>
    </row>
    <row r="1751" spans="1:15">
      <c r="A1751" s="87"/>
      <c r="B1751" s="87"/>
      <c r="C1751" s="87"/>
      <c r="D1751" s="87"/>
      <c r="E1751" s="87"/>
      <c r="F1751" s="87"/>
      <c r="G1751" s="87"/>
      <c r="H1751" s="87"/>
      <c r="I1751" s="87"/>
      <c r="J1751" s="87"/>
      <c r="K1751" s="87"/>
      <c r="L1751" s="87"/>
      <c r="M1751" s="87"/>
      <c r="N1751" s="100"/>
      <c r="O1751" s="100"/>
    </row>
    <row r="1752" spans="1:15">
      <c r="A1752" s="87"/>
      <c r="B1752" s="87"/>
      <c r="C1752" s="87"/>
      <c r="D1752" s="87"/>
      <c r="E1752" s="87"/>
      <c r="F1752" s="87"/>
      <c r="G1752" s="87"/>
      <c r="H1752" s="87"/>
      <c r="I1752" s="87"/>
      <c r="J1752" s="87"/>
      <c r="K1752" s="87"/>
      <c r="L1752" s="87"/>
      <c r="M1752" s="87"/>
      <c r="N1752" s="100"/>
      <c r="O1752" s="100"/>
    </row>
    <row r="1753" spans="1:15">
      <c r="A1753" s="87"/>
      <c r="B1753" s="87"/>
      <c r="C1753" s="87"/>
      <c r="D1753" s="87"/>
      <c r="E1753" s="87"/>
      <c r="F1753" s="87"/>
      <c r="G1753" s="87"/>
      <c r="H1753" s="87"/>
      <c r="I1753" s="87"/>
      <c r="J1753" s="87"/>
      <c r="K1753" s="87"/>
      <c r="L1753" s="87"/>
      <c r="M1753" s="87"/>
      <c r="N1753" s="100"/>
      <c r="O1753" s="100"/>
    </row>
    <row r="1754" spans="1:15">
      <c r="A1754" s="87"/>
      <c r="B1754" s="87"/>
      <c r="C1754" s="87"/>
      <c r="D1754" s="87"/>
      <c r="E1754" s="87"/>
      <c r="F1754" s="87"/>
      <c r="G1754" s="87"/>
      <c r="H1754" s="87"/>
      <c r="I1754" s="87"/>
      <c r="J1754" s="87"/>
      <c r="K1754" s="87"/>
      <c r="L1754" s="87"/>
      <c r="M1754" s="87"/>
      <c r="N1754" s="100"/>
      <c r="O1754" s="100"/>
    </row>
    <row r="1755" spans="1:15">
      <c r="A1755" s="87"/>
      <c r="B1755" s="87"/>
      <c r="C1755" s="87"/>
      <c r="D1755" s="87"/>
      <c r="E1755" s="87"/>
      <c r="F1755" s="87"/>
      <c r="G1755" s="87"/>
      <c r="H1755" s="87"/>
      <c r="I1755" s="87"/>
      <c r="J1755" s="87"/>
      <c r="K1755" s="87"/>
      <c r="L1755" s="87"/>
      <c r="M1755" s="87"/>
      <c r="N1755" s="100"/>
      <c r="O1755" s="100"/>
    </row>
    <row r="1756" spans="1:15">
      <c r="A1756" s="87"/>
      <c r="B1756" s="87"/>
      <c r="C1756" s="87"/>
      <c r="D1756" s="87"/>
      <c r="E1756" s="87"/>
      <c r="F1756" s="87"/>
      <c r="G1756" s="87"/>
      <c r="H1756" s="87"/>
      <c r="I1756" s="87"/>
      <c r="J1756" s="87"/>
      <c r="K1756" s="87"/>
      <c r="L1756" s="87"/>
      <c r="M1756" s="87"/>
      <c r="N1756" s="100"/>
      <c r="O1756" s="100"/>
    </row>
    <row r="1757" spans="1:15">
      <c r="A1757" s="87"/>
      <c r="B1757" s="87"/>
      <c r="C1757" s="87"/>
      <c r="D1757" s="87"/>
      <c r="E1757" s="87"/>
      <c r="F1757" s="87"/>
      <c r="G1757" s="87"/>
      <c r="H1757" s="87"/>
      <c r="I1757" s="87"/>
      <c r="J1757" s="87"/>
      <c r="K1757" s="87"/>
      <c r="L1757" s="87"/>
      <c r="M1757" s="87"/>
      <c r="N1757" s="100"/>
      <c r="O1757" s="100"/>
    </row>
    <row r="1758" spans="1:15">
      <c r="A1758" s="87"/>
      <c r="B1758" s="87"/>
      <c r="C1758" s="87"/>
      <c r="D1758" s="87"/>
      <c r="E1758" s="87"/>
      <c r="F1758" s="87"/>
      <c r="G1758" s="87"/>
      <c r="H1758" s="87"/>
      <c r="I1758" s="87"/>
      <c r="J1758" s="87"/>
      <c r="K1758" s="87"/>
      <c r="L1758" s="87"/>
      <c r="M1758" s="87"/>
      <c r="N1758" s="100"/>
      <c r="O1758" s="100"/>
    </row>
    <row r="1759" spans="1:15">
      <c r="A1759" s="87"/>
      <c r="B1759" s="87"/>
      <c r="C1759" s="87"/>
      <c r="D1759" s="87"/>
      <c r="E1759" s="87"/>
      <c r="F1759" s="87"/>
      <c r="G1759" s="87"/>
      <c r="H1759" s="87"/>
      <c r="I1759" s="87"/>
      <c r="J1759" s="87"/>
      <c r="K1759" s="87"/>
      <c r="L1759" s="87"/>
      <c r="M1759" s="87"/>
      <c r="N1759" s="100"/>
      <c r="O1759" s="100"/>
    </row>
    <row r="1760" spans="1:15">
      <c r="A1760" s="87"/>
      <c r="B1760" s="87"/>
      <c r="C1760" s="87"/>
      <c r="D1760" s="87"/>
      <c r="E1760" s="87"/>
      <c r="F1760" s="87"/>
      <c r="G1760" s="87"/>
      <c r="H1760" s="87"/>
      <c r="I1760" s="87"/>
      <c r="J1760" s="87"/>
      <c r="K1760" s="87"/>
      <c r="L1760" s="87"/>
      <c r="M1760" s="87"/>
      <c r="N1760" s="100"/>
      <c r="O1760" s="100"/>
    </row>
    <row r="1761" spans="1:15">
      <c r="A1761" s="87"/>
      <c r="B1761" s="87"/>
      <c r="C1761" s="87"/>
      <c r="D1761" s="87"/>
      <c r="E1761" s="87"/>
      <c r="F1761" s="87"/>
      <c r="G1761" s="87"/>
      <c r="H1761" s="87"/>
      <c r="I1761" s="87"/>
      <c r="J1761" s="87"/>
      <c r="K1761" s="87"/>
      <c r="L1761" s="87"/>
      <c r="M1761" s="87"/>
      <c r="N1761" s="100"/>
      <c r="O1761" s="100"/>
    </row>
    <row r="1762" spans="1:15">
      <c r="A1762" s="87"/>
      <c r="B1762" s="87"/>
      <c r="C1762" s="87"/>
      <c r="D1762" s="87"/>
      <c r="E1762" s="87"/>
      <c r="F1762" s="87"/>
      <c r="G1762" s="87"/>
      <c r="H1762" s="87"/>
      <c r="I1762" s="87"/>
      <c r="J1762" s="87"/>
      <c r="K1762" s="87"/>
      <c r="L1762" s="87"/>
      <c r="M1762" s="87"/>
      <c r="N1762" s="100"/>
      <c r="O1762" s="100"/>
    </row>
    <row r="1763" spans="1:15">
      <c r="A1763" s="87"/>
      <c r="B1763" s="87"/>
      <c r="C1763" s="87"/>
      <c r="D1763" s="87"/>
      <c r="E1763" s="87"/>
      <c r="F1763" s="87"/>
      <c r="G1763" s="87"/>
      <c r="H1763" s="87"/>
      <c r="I1763" s="87"/>
      <c r="J1763" s="87"/>
      <c r="K1763" s="87"/>
      <c r="L1763" s="87"/>
      <c r="M1763" s="87"/>
      <c r="N1763" s="100"/>
      <c r="O1763" s="100"/>
    </row>
    <row r="1764" spans="1:15">
      <c r="A1764" s="87"/>
      <c r="B1764" s="87"/>
      <c r="C1764" s="87"/>
      <c r="D1764" s="87"/>
      <c r="E1764" s="87"/>
      <c r="F1764" s="87"/>
      <c r="G1764" s="87"/>
      <c r="H1764" s="87"/>
      <c r="I1764" s="87"/>
      <c r="J1764" s="87"/>
      <c r="K1764" s="87"/>
      <c r="L1764" s="87"/>
      <c r="M1764" s="87"/>
      <c r="N1764" s="100"/>
      <c r="O1764" s="100"/>
    </row>
    <row r="1765" spans="1:15">
      <c r="A1765" s="87"/>
      <c r="B1765" s="87"/>
      <c r="C1765" s="87"/>
      <c r="D1765" s="87"/>
      <c r="E1765" s="87"/>
      <c r="F1765" s="87"/>
      <c r="G1765" s="87"/>
      <c r="H1765" s="87"/>
      <c r="I1765" s="87"/>
      <c r="J1765" s="87"/>
      <c r="K1765" s="87"/>
      <c r="L1765" s="87"/>
      <c r="M1765" s="87"/>
      <c r="N1765" s="100"/>
      <c r="O1765" s="100"/>
    </row>
    <row r="1766" spans="1:15">
      <c r="A1766" s="87"/>
      <c r="B1766" s="87"/>
      <c r="C1766" s="87"/>
      <c r="D1766" s="87"/>
      <c r="E1766" s="87"/>
      <c r="F1766" s="87"/>
      <c r="G1766" s="87"/>
      <c r="H1766" s="87"/>
      <c r="I1766" s="87"/>
      <c r="J1766" s="87"/>
      <c r="K1766" s="87"/>
      <c r="L1766" s="87"/>
      <c r="M1766" s="87"/>
      <c r="N1766" s="100"/>
      <c r="O1766" s="100"/>
    </row>
    <row r="1767" spans="1:15">
      <c r="A1767" s="87"/>
      <c r="B1767" s="87"/>
      <c r="C1767" s="87"/>
      <c r="D1767" s="87"/>
      <c r="E1767" s="87"/>
      <c r="F1767" s="87"/>
      <c r="G1767" s="87"/>
      <c r="H1767" s="87"/>
      <c r="I1767" s="87"/>
      <c r="J1767" s="87"/>
      <c r="K1767" s="87"/>
      <c r="L1767" s="87"/>
      <c r="M1767" s="87"/>
      <c r="N1767" s="100"/>
      <c r="O1767" s="100"/>
    </row>
    <row r="1768" spans="1:15">
      <c r="A1768" s="87"/>
      <c r="B1768" s="87"/>
      <c r="C1768" s="87"/>
      <c r="D1768" s="87"/>
      <c r="E1768" s="87"/>
      <c r="F1768" s="87"/>
      <c r="G1768" s="87"/>
      <c r="H1768" s="87"/>
      <c r="I1768" s="87"/>
      <c r="J1768" s="87"/>
      <c r="K1768" s="87"/>
      <c r="L1768" s="87"/>
      <c r="M1768" s="87"/>
      <c r="N1768" s="100"/>
      <c r="O1768" s="100"/>
    </row>
    <row r="1769" spans="1:15">
      <c r="A1769" s="87"/>
      <c r="B1769" s="87"/>
      <c r="C1769" s="87"/>
      <c r="D1769" s="87"/>
      <c r="E1769" s="87"/>
      <c r="F1769" s="87"/>
      <c r="G1769" s="87"/>
      <c r="H1769" s="87"/>
      <c r="I1769" s="87"/>
      <c r="J1769" s="87"/>
      <c r="K1769" s="87"/>
      <c r="L1769" s="87"/>
      <c r="M1769" s="87"/>
      <c r="N1769" s="100"/>
      <c r="O1769" s="100"/>
    </row>
    <row r="1770" spans="1:15">
      <c r="A1770" s="87"/>
      <c r="B1770" s="87"/>
      <c r="C1770" s="87"/>
      <c r="D1770" s="87"/>
      <c r="E1770" s="87"/>
      <c r="F1770" s="87"/>
      <c r="G1770" s="87"/>
      <c r="H1770" s="87"/>
      <c r="I1770" s="87"/>
      <c r="J1770" s="87"/>
      <c r="K1770" s="87"/>
      <c r="L1770" s="87"/>
      <c r="M1770" s="87"/>
      <c r="N1770" s="100"/>
      <c r="O1770" s="100"/>
    </row>
    <row r="1771" spans="1:15">
      <c r="A1771" s="87"/>
      <c r="B1771" s="87"/>
      <c r="C1771" s="87"/>
      <c r="D1771" s="87"/>
      <c r="E1771" s="87"/>
      <c r="F1771" s="87"/>
      <c r="G1771" s="87"/>
      <c r="H1771" s="87"/>
      <c r="I1771" s="87"/>
      <c r="J1771" s="87"/>
      <c r="K1771" s="87"/>
      <c r="L1771" s="87"/>
      <c r="M1771" s="87"/>
      <c r="N1771" s="100"/>
      <c r="O1771" s="100"/>
    </row>
    <row r="1772" spans="1:15">
      <c r="A1772" s="87"/>
      <c r="B1772" s="87"/>
      <c r="C1772" s="87"/>
      <c r="D1772" s="87"/>
      <c r="E1772" s="87"/>
      <c r="F1772" s="87"/>
      <c r="G1772" s="87"/>
      <c r="H1772" s="87"/>
      <c r="I1772" s="87"/>
      <c r="J1772" s="87"/>
      <c r="K1772" s="87"/>
      <c r="L1772" s="87"/>
      <c r="M1772" s="87"/>
      <c r="N1772" s="100"/>
      <c r="O1772" s="100"/>
    </row>
    <row r="1773" spans="1:15">
      <c r="A1773" s="87"/>
      <c r="B1773" s="87"/>
      <c r="C1773" s="87"/>
      <c r="D1773" s="87"/>
      <c r="E1773" s="87"/>
      <c r="F1773" s="87"/>
      <c r="G1773" s="87"/>
      <c r="H1773" s="87"/>
      <c r="I1773" s="87"/>
      <c r="J1773" s="87"/>
      <c r="K1773" s="87"/>
      <c r="L1773" s="87"/>
      <c r="M1773" s="87"/>
      <c r="N1773" s="100"/>
      <c r="O1773" s="100"/>
    </row>
    <row r="1774" spans="1:15">
      <c r="A1774" s="87"/>
      <c r="B1774" s="87"/>
      <c r="C1774" s="87"/>
      <c r="D1774" s="87"/>
      <c r="E1774" s="87"/>
      <c r="F1774" s="87"/>
      <c r="G1774" s="87"/>
      <c r="H1774" s="87"/>
      <c r="I1774" s="87"/>
      <c r="J1774" s="87"/>
      <c r="K1774" s="87"/>
      <c r="L1774" s="87"/>
      <c r="M1774" s="87"/>
      <c r="N1774" s="100"/>
      <c r="O1774" s="100"/>
    </row>
    <row r="1775" spans="1:15">
      <c r="A1775" s="87"/>
      <c r="B1775" s="87"/>
      <c r="C1775" s="87"/>
      <c r="D1775" s="87"/>
      <c r="E1775" s="87"/>
      <c r="F1775" s="87"/>
      <c r="G1775" s="87"/>
      <c r="H1775" s="87"/>
      <c r="I1775" s="87"/>
      <c r="J1775" s="87"/>
      <c r="K1775" s="87"/>
      <c r="L1775" s="87"/>
      <c r="M1775" s="87"/>
      <c r="N1775" s="100"/>
      <c r="O1775" s="100"/>
    </row>
    <row r="1776" spans="1:15">
      <c r="A1776" s="87"/>
      <c r="B1776" s="87"/>
      <c r="C1776" s="87"/>
      <c r="D1776" s="87"/>
      <c r="E1776" s="87"/>
      <c r="F1776" s="87"/>
      <c r="G1776" s="87"/>
      <c r="H1776" s="87"/>
      <c r="I1776" s="87"/>
      <c r="J1776" s="87"/>
      <c r="K1776" s="87"/>
      <c r="L1776" s="87"/>
      <c r="M1776" s="87"/>
      <c r="N1776" s="100"/>
      <c r="O1776" s="100"/>
    </row>
    <row r="1777" spans="1:15">
      <c r="A1777" s="87"/>
      <c r="B1777" s="87"/>
      <c r="C1777" s="87"/>
      <c r="D1777" s="87"/>
      <c r="E1777" s="87"/>
      <c r="F1777" s="87"/>
      <c r="G1777" s="87"/>
      <c r="H1777" s="87"/>
      <c r="I1777" s="87"/>
      <c r="J1777" s="87"/>
      <c r="K1777" s="87"/>
      <c r="L1777" s="87"/>
      <c r="M1777" s="87"/>
      <c r="N1777" s="100"/>
      <c r="O1777" s="100"/>
    </row>
    <row r="1778" spans="1:15">
      <c r="A1778" s="87"/>
      <c r="B1778" s="87"/>
      <c r="C1778" s="87"/>
      <c r="D1778" s="87"/>
      <c r="E1778" s="87"/>
      <c r="F1778" s="87"/>
      <c r="G1778" s="87"/>
      <c r="H1778" s="87"/>
      <c r="I1778" s="87"/>
      <c r="J1778" s="87"/>
      <c r="K1778" s="87"/>
      <c r="L1778" s="87"/>
      <c r="M1778" s="87"/>
      <c r="N1778" s="100"/>
      <c r="O1778" s="100"/>
    </row>
    <row r="1779" spans="1:15">
      <c r="A1779" s="87"/>
      <c r="B1779" s="87"/>
      <c r="C1779" s="87"/>
      <c r="D1779" s="87"/>
      <c r="E1779" s="87"/>
      <c r="F1779" s="87"/>
      <c r="G1779" s="87"/>
      <c r="H1779" s="87"/>
      <c r="I1779" s="87"/>
      <c r="J1779" s="87"/>
      <c r="K1779" s="87"/>
      <c r="L1779" s="87"/>
      <c r="M1779" s="87"/>
      <c r="N1779" s="100"/>
      <c r="O1779" s="100"/>
    </row>
    <row r="1780" spans="1:15">
      <c r="A1780" s="87"/>
      <c r="B1780" s="87"/>
      <c r="C1780" s="87"/>
      <c r="D1780" s="87"/>
      <c r="E1780" s="87"/>
      <c r="F1780" s="87"/>
      <c r="G1780" s="87"/>
      <c r="H1780" s="87"/>
      <c r="I1780" s="87"/>
      <c r="J1780" s="87"/>
      <c r="K1780" s="87"/>
      <c r="L1780" s="87"/>
      <c r="M1780" s="87"/>
      <c r="N1780" s="100"/>
      <c r="O1780" s="100"/>
    </row>
    <row r="1781" spans="1:15">
      <c r="A1781" s="87"/>
      <c r="B1781" s="87"/>
      <c r="C1781" s="87"/>
      <c r="D1781" s="87"/>
      <c r="E1781" s="87"/>
      <c r="F1781" s="87"/>
      <c r="G1781" s="87"/>
      <c r="H1781" s="87"/>
      <c r="I1781" s="87"/>
      <c r="J1781" s="87"/>
      <c r="K1781" s="87"/>
      <c r="L1781" s="87"/>
      <c r="M1781" s="87"/>
      <c r="N1781" s="100"/>
      <c r="O1781" s="100"/>
    </row>
    <row r="1782" spans="1:15">
      <c r="A1782" s="87"/>
      <c r="B1782" s="87"/>
      <c r="C1782" s="87"/>
      <c r="D1782" s="87"/>
      <c r="E1782" s="87"/>
      <c r="F1782" s="87"/>
      <c r="G1782" s="87"/>
      <c r="H1782" s="87"/>
      <c r="I1782" s="87"/>
      <c r="J1782" s="87"/>
      <c r="K1782" s="87"/>
      <c r="L1782" s="87"/>
      <c r="M1782" s="87"/>
      <c r="N1782" s="100"/>
      <c r="O1782" s="100"/>
    </row>
    <row r="1783" spans="1:15">
      <c r="A1783" s="87"/>
      <c r="B1783" s="87"/>
      <c r="C1783" s="87"/>
      <c r="D1783" s="87"/>
      <c r="E1783" s="87"/>
      <c r="F1783" s="87"/>
      <c r="G1783" s="87"/>
      <c r="H1783" s="87"/>
      <c r="I1783" s="87"/>
      <c r="J1783" s="87"/>
      <c r="K1783" s="87"/>
      <c r="L1783" s="87"/>
      <c r="M1783" s="87"/>
      <c r="N1783" s="100"/>
      <c r="O1783" s="100"/>
    </row>
    <row r="1784" spans="1:15">
      <c r="A1784" s="87"/>
      <c r="B1784" s="87"/>
      <c r="C1784" s="87"/>
      <c r="D1784" s="87"/>
      <c r="E1784" s="87"/>
      <c r="F1784" s="87"/>
      <c r="G1784" s="87"/>
      <c r="H1784" s="87"/>
      <c r="I1784" s="87"/>
      <c r="J1784" s="87"/>
      <c r="K1784" s="87"/>
      <c r="L1784" s="87"/>
      <c r="M1784" s="87"/>
      <c r="N1784" s="100"/>
      <c r="O1784" s="100"/>
    </row>
    <row r="1785" spans="1:15">
      <c r="A1785" s="87"/>
      <c r="B1785" s="87"/>
      <c r="C1785" s="87"/>
      <c r="D1785" s="87"/>
      <c r="E1785" s="87"/>
      <c r="F1785" s="87"/>
      <c r="G1785" s="87"/>
      <c r="H1785" s="87"/>
      <c r="I1785" s="87"/>
      <c r="J1785" s="87"/>
      <c r="K1785" s="87"/>
      <c r="L1785" s="87"/>
      <c r="M1785" s="87"/>
      <c r="N1785" s="100"/>
      <c r="O1785" s="100"/>
    </row>
    <row r="1786" spans="1:15">
      <c r="A1786" s="87"/>
      <c r="B1786" s="87"/>
      <c r="C1786" s="87"/>
      <c r="D1786" s="87"/>
      <c r="E1786" s="87"/>
      <c r="F1786" s="87"/>
      <c r="G1786" s="87"/>
      <c r="H1786" s="87"/>
      <c r="I1786" s="87"/>
      <c r="J1786" s="87"/>
      <c r="K1786" s="87"/>
      <c r="L1786" s="87"/>
      <c r="M1786" s="87"/>
      <c r="N1786" s="100"/>
      <c r="O1786" s="100"/>
    </row>
    <row r="1787" spans="1:15">
      <c r="A1787" s="87"/>
      <c r="B1787" s="87"/>
      <c r="C1787" s="87"/>
      <c r="D1787" s="87"/>
      <c r="E1787" s="87"/>
      <c r="F1787" s="87"/>
      <c r="G1787" s="87"/>
      <c r="H1787" s="87"/>
      <c r="I1787" s="87"/>
      <c r="J1787" s="87"/>
      <c r="K1787" s="87"/>
      <c r="L1787" s="87"/>
      <c r="M1787" s="87"/>
      <c r="N1787" s="100"/>
      <c r="O1787" s="100"/>
    </row>
    <row r="1788" spans="1:15">
      <c r="A1788" s="87"/>
      <c r="B1788" s="87"/>
      <c r="C1788" s="87"/>
      <c r="D1788" s="87"/>
      <c r="E1788" s="87"/>
      <c r="F1788" s="87"/>
      <c r="G1788" s="87"/>
      <c r="H1788" s="87"/>
      <c r="I1788" s="87"/>
      <c r="J1788" s="87"/>
      <c r="K1788" s="87"/>
      <c r="L1788" s="87"/>
      <c r="M1788" s="87"/>
      <c r="N1788" s="100"/>
      <c r="O1788" s="100"/>
    </row>
    <row r="1789" spans="1:15">
      <c r="A1789" s="87"/>
      <c r="B1789" s="87"/>
      <c r="C1789" s="87"/>
      <c r="D1789" s="87"/>
      <c r="E1789" s="87"/>
      <c r="F1789" s="87"/>
      <c r="G1789" s="87"/>
      <c r="H1789" s="87"/>
      <c r="I1789" s="87"/>
      <c r="J1789" s="87"/>
      <c r="K1789" s="87"/>
      <c r="L1789" s="87"/>
      <c r="M1789" s="87"/>
      <c r="N1789" s="100"/>
      <c r="O1789" s="100"/>
    </row>
    <row r="1790" spans="1:15">
      <c r="A1790" s="87"/>
      <c r="B1790" s="87"/>
      <c r="C1790" s="87"/>
      <c r="D1790" s="87"/>
      <c r="E1790" s="87"/>
      <c r="F1790" s="87"/>
      <c r="G1790" s="87"/>
      <c r="H1790" s="87"/>
      <c r="I1790" s="87"/>
      <c r="J1790" s="87"/>
      <c r="K1790" s="87"/>
      <c r="L1790" s="87"/>
      <c r="M1790" s="87"/>
      <c r="N1790" s="100"/>
      <c r="O1790" s="100"/>
    </row>
    <row r="1791" spans="1:15">
      <c r="A1791" s="87"/>
      <c r="B1791" s="87"/>
      <c r="C1791" s="87"/>
      <c r="D1791" s="87"/>
      <c r="E1791" s="87"/>
      <c r="F1791" s="87"/>
      <c r="G1791" s="87"/>
      <c r="H1791" s="87"/>
      <c r="I1791" s="87"/>
      <c r="J1791" s="87"/>
      <c r="K1791" s="87"/>
      <c r="L1791" s="87"/>
      <c r="M1791" s="87"/>
      <c r="N1791" s="100"/>
      <c r="O1791" s="100"/>
    </row>
    <row r="1792" spans="1:15">
      <c r="A1792" s="87"/>
      <c r="B1792" s="87"/>
      <c r="C1792" s="87"/>
      <c r="D1792" s="87"/>
      <c r="E1792" s="87"/>
      <c r="F1792" s="87"/>
      <c r="G1792" s="87"/>
      <c r="H1792" s="87"/>
      <c r="I1792" s="87"/>
      <c r="J1792" s="87"/>
      <c r="K1792" s="87"/>
      <c r="L1792" s="87"/>
      <c r="M1792" s="87"/>
      <c r="N1792" s="100"/>
      <c r="O1792" s="100"/>
    </row>
    <row r="1793" spans="1:15">
      <c r="A1793" s="87"/>
      <c r="B1793" s="87"/>
      <c r="C1793" s="87"/>
      <c r="D1793" s="87"/>
      <c r="E1793" s="87"/>
      <c r="F1793" s="87"/>
      <c r="G1793" s="87"/>
      <c r="H1793" s="87"/>
      <c r="I1793" s="87"/>
      <c r="J1793" s="87"/>
      <c r="K1793" s="87"/>
      <c r="L1793" s="87"/>
      <c r="M1793" s="87"/>
      <c r="N1793" s="100"/>
      <c r="O1793" s="100"/>
    </row>
    <row r="1794" spans="1:15">
      <c r="A1794" s="87"/>
      <c r="B1794" s="87"/>
      <c r="C1794" s="87"/>
      <c r="D1794" s="87"/>
      <c r="E1794" s="87"/>
      <c r="F1794" s="87"/>
      <c r="G1794" s="87"/>
      <c r="H1794" s="87"/>
      <c r="I1794" s="87"/>
      <c r="J1794" s="87"/>
      <c r="K1794" s="87"/>
      <c r="L1794" s="87"/>
      <c r="M1794" s="87"/>
      <c r="N1794" s="100"/>
      <c r="O1794" s="100"/>
    </row>
    <row r="1795" spans="1:15">
      <c r="A1795" s="87"/>
      <c r="B1795" s="87"/>
      <c r="C1795" s="87"/>
      <c r="D1795" s="87"/>
      <c r="E1795" s="87"/>
      <c r="F1795" s="87"/>
      <c r="G1795" s="87"/>
      <c r="H1795" s="87"/>
      <c r="I1795" s="87"/>
      <c r="J1795" s="87"/>
      <c r="K1795" s="87"/>
      <c r="L1795" s="87"/>
      <c r="M1795" s="87"/>
      <c r="N1795" s="100"/>
      <c r="O1795" s="100"/>
    </row>
    <row r="1796" spans="1:15">
      <c r="A1796" s="87"/>
      <c r="B1796" s="87"/>
      <c r="C1796" s="87"/>
      <c r="D1796" s="87"/>
      <c r="E1796" s="87"/>
      <c r="F1796" s="87"/>
      <c r="G1796" s="87"/>
      <c r="H1796" s="87"/>
      <c r="I1796" s="87"/>
      <c r="J1796" s="87"/>
      <c r="K1796" s="87"/>
      <c r="L1796" s="87"/>
      <c r="M1796" s="87"/>
      <c r="N1796" s="100"/>
      <c r="O1796" s="100"/>
    </row>
    <row r="1797" spans="1:15">
      <c r="A1797" s="87"/>
      <c r="B1797" s="87"/>
      <c r="C1797" s="87"/>
      <c r="D1797" s="87"/>
      <c r="E1797" s="87"/>
      <c r="F1797" s="87"/>
      <c r="G1797" s="87"/>
      <c r="H1797" s="87"/>
      <c r="I1797" s="87"/>
      <c r="J1797" s="87"/>
      <c r="K1797" s="87"/>
      <c r="L1797" s="87"/>
      <c r="M1797" s="87"/>
      <c r="N1797" s="100"/>
      <c r="O1797" s="100"/>
    </row>
    <row r="1798" spans="1:15">
      <c r="A1798" s="87"/>
      <c r="B1798" s="87"/>
      <c r="C1798" s="87"/>
      <c r="D1798" s="87"/>
      <c r="E1798" s="87"/>
      <c r="F1798" s="87"/>
      <c r="G1798" s="87"/>
      <c r="H1798" s="87"/>
      <c r="I1798" s="87"/>
      <c r="J1798" s="87"/>
      <c r="K1798" s="87"/>
      <c r="L1798" s="87"/>
      <c r="M1798" s="87"/>
      <c r="N1798" s="100"/>
      <c r="O1798" s="100"/>
    </row>
    <row r="1799" spans="1:15">
      <c r="A1799" s="87"/>
      <c r="B1799" s="87"/>
      <c r="C1799" s="87"/>
      <c r="D1799" s="87"/>
      <c r="E1799" s="87"/>
      <c r="F1799" s="87"/>
      <c r="G1799" s="87"/>
      <c r="H1799" s="87"/>
      <c r="I1799" s="87"/>
      <c r="J1799" s="87"/>
      <c r="K1799" s="87"/>
      <c r="L1799" s="87"/>
      <c r="M1799" s="87"/>
      <c r="N1799" s="100"/>
      <c r="O1799" s="100"/>
    </row>
    <row r="1800" spans="1:15">
      <c r="A1800" s="87"/>
      <c r="B1800" s="87"/>
      <c r="C1800" s="87"/>
      <c r="D1800" s="87"/>
      <c r="E1800" s="87"/>
      <c r="F1800" s="87"/>
      <c r="G1800" s="87"/>
      <c r="H1800" s="87"/>
      <c r="I1800" s="87"/>
      <c r="J1800" s="87"/>
      <c r="K1800" s="87"/>
      <c r="L1800" s="87"/>
      <c r="M1800" s="87"/>
      <c r="N1800" s="100"/>
      <c r="O1800" s="100"/>
    </row>
    <row r="1801" spans="1:15">
      <c r="A1801" s="87"/>
      <c r="B1801" s="87"/>
      <c r="C1801" s="87"/>
      <c r="D1801" s="87"/>
      <c r="E1801" s="87"/>
      <c r="F1801" s="87"/>
      <c r="G1801" s="87"/>
      <c r="H1801" s="87"/>
      <c r="I1801" s="87"/>
      <c r="J1801" s="87"/>
      <c r="K1801" s="87"/>
      <c r="L1801" s="87"/>
      <c r="M1801" s="87"/>
      <c r="N1801" s="100"/>
      <c r="O1801" s="100"/>
    </row>
    <row r="1802" spans="1:15">
      <c r="A1802" s="87"/>
      <c r="B1802" s="87"/>
      <c r="C1802" s="87"/>
      <c r="D1802" s="87"/>
      <c r="E1802" s="87"/>
      <c r="F1802" s="87"/>
      <c r="G1802" s="87"/>
      <c r="H1802" s="87"/>
      <c r="I1802" s="87"/>
      <c r="J1802" s="87"/>
      <c r="K1802" s="87"/>
      <c r="L1802" s="87"/>
      <c r="M1802" s="87"/>
      <c r="N1802" s="100"/>
      <c r="O1802" s="100"/>
    </row>
    <row r="1803" spans="1:15">
      <c r="A1803" s="87"/>
      <c r="B1803" s="87"/>
      <c r="C1803" s="87"/>
      <c r="D1803" s="87"/>
      <c r="E1803" s="87"/>
      <c r="F1803" s="87"/>
      <c r="G1803" s="87"/>
      <c r="H1803" s="87"/>
      <c r="I1803" s="87"/>
      <c r="J1803" s="87"/>
      <c r="K1803" s="87"/>
      <c r="L1803" s="87"/>
      <c r="M1803" s="87"/>
      <c r="N1803" s="100"/>
      <c r="O1803" s="100"/>
    </row>
    <row r="1804" spans="1:15">
      <c r="A1804" s="87"/>
      <c r="B1804" s="87"/>
      <c r="C1804" s="87"/>
      <c r="D1804" s="87"/>
      <c r="E1804" s="87"/>
      <c r="F1804" s="87"/>
      <c r="G1804" s="87"/>
      <c r="H1804" s="87"/>
      <c r="I1804" s="87"/>
      <c r="J1804" s="87"/>
      <c r="K1804" s="87"/>
      <c r="L1804" s="87"/>
      <c r="M1804" s="87"/>
      <c r="N1804" s="100"/>
      <c r="O1804" s="100"/>
    </row>
    <row r="1805" spans="1:15">
      <c r="A1805" s="87"/>
      <c r="B1805" s="87"/>
      <c r="C1805" s="87"/>
      <c r="D1805" s="87"/>
      <c r="E1805" s="87"/>
      <c r="F1805" s="87"/>
      <c r="G1805" s="87"/>
      <c r="H1805" s="87"/>
      <c r="I1805" s="87"/>
      <c r="J1805" s="87"/>
      <c r="K1805" s="87"/>
      <c r="L1805" s="87"/>
      <c r="M1805" s="87"/>
      <c r="N1805" s="100"/>
      <c r="O1805" s="100"/>
    </row>
    <row r="1806" spans="1:15">
      <c r="A1806" s="87"/>
      <c r="B1806" s="87"/>
      <c r="C1806" s="87"/>
      <c r="D1806" s="87"/>
      <c r="E1806" s="87"/>
      <c r="F1806" s="87"/>
      <c r="G1806" s="87"/>
      <c r="H1806" s="87"/>
      <c r="I1806" s="87"/>
      <c r="J1806" s="87"/>
      <c r="K1806" s="87"/>
      <c r="L1806" s="87"/>
      <c r="M1806" s="87"/>
      <c r="N1806" s="100"/>
      <c r="O1806" s="100"/>
    </row>
    <row r="1807" spans="1:15">
      <c r="A1807" s="87"/>
      <c r="B1807" s="87"/>
      <c r="C1807" s="87"/>
      <c r="D1807" s="87"/>
      <c r="E1807" s="87"/>
      <c r="F1807" s="87"/>
      <c r="G1807" s="87"/>
      <c r="H1807" s="87"/>
      <c r="I1807" s="87"/>
      <c r="J1807" s="87"/>
      <c r="K1807" s="87"/>
      <c r="L1807" s="87"/>
      <c r="M1807" s="87"/>
      <c r="N1807" s="100"/>
      <c r="O1807" s="100"/>
    </row>
    <row r="1808" spans="1:15">
      <c r="A1808" s="87"/>
      <c r="B1808" s="87"/>
      <c r="C1808" s="87"/>
      <c r="D1808" s="87"/>
      <c r="E1808" s="87"/>
      <c r="F1808" s="87"/>
      <c r="G1808" s="87"/>
      <c r="H1808" s="87"/>
      <c r="I1808" s="87"/>
      <c r="J1808" s="87"/>
      <c r="K1808" s="87"/>
      <c r="L1808" s="87"/>
      <c r="M1808" s="87"/>
      <c r="N1808" s="100"/>
      <c r="O1808" s="100"/>
    </row>
    <row r="1809" spans="1:15">
      <c r="A1809" s="87"/>
      <c r="B1809" s="87"/>
      <c r="C1809" s="87"/>
      <c r="D1809" s="87"/>
      <c r="E1809" s="87"/>
      <c r="F1809" s="87"/>
      <c r="G1809" s="87"/>
      <c r="H1809" s="87"/>
      <c r="I1809" s="87"/>
      <c r="J1809" s="87"/>
      <c r="K1809" s="87"/>
      <c r="L1809" s="87"/>
      <c r="M1809" s="87"/>
      <c r="N1809" s="100"/>
      <c r="O1809" s="100"/>
    </row>
    <row r="1810" spans="1:15">
      <c r="A1810" s="87"/>
      <c r="B1810" s="87"/>
      <c r="C1810" s="87"/>
      <c r="D1810" s="87"/>
      <c r="E1810" s="87"/>
      <c r="F1810" s="87"/>
      <c r="G1810" s="87"/>
      <c r="H1810" s="87"/>
      <c r="I1810" s="87"/>
      <c r="J1810" s="87"/>
      <c r="K1810" s="87"/>
      <c r="L1810" s="87"/>
      <c r="M1810" s="87"/>
      <c r="N1810" s="100"/>
      <c r="O1810" s="100"/>
    </row>
    <row r="1811" spans="1:15">
      <c r="A1811" s="87"/>
      <c r="B1811" s="87"/>
      <c r="C1811" s="87"/>
      <c r="D1811" s="87"/>
      <c r="E1811" s="87"/>
      <c r="F1811" s="87"/>
      <c r="G1811" s="87"/>
      <c r="H1811" s="87"/>
      <c r="I1811" s="87"/>
      <c r="J1811" s="87"/>
      <c r="K1811" s="87"/>
      <c r="L1811" s="87"/>
      <c r="M1811" s="87"/>
      <c r="N1811" s="100"/>
      <c r="O1811" s="100"/>
    </row>
    <row r="1812" spans="1:15">
      <c r="A1812" s="87"/>
      <c r="B1812" s="87"/>
      <c r="C1812" s="87"/>
      <c r="D1812" s="87"/>
      <c r="E1812" s="87"/>
      <c r="F1812" s="87"/>
      <c r="G1812" s="87"/>
      <c r="H1812" s="87"/>
      <c r="I1812" s="87"/>
      <c r="J1812" s="87"/>
      <c r="K1812" s="87"/>
      <c r="L1812" s="87"/>
      <c r="M1812" s="87"/>
      <c r="N1812" s="100"/>
      <c r="O1812" s="100"/>
    </row>
    <row r="1813" spans="1:15">
      <c r="A1813" s="87"/>
      <c r="B1813" s="87"/>
      <c r="C1813" s="87"/>
      <c r="D1813" s="87"/>
      <c r="E1813" s="87"/>
      <c r="F1813" s="87"/>
      <c r="G1813" s="87"/>
      <c r="H1813" s="87"/>
      <c r="I1813" s="87"/>
      <c r="J1813" s="87"/>
      <c r="K1813" s="87"/>
      <c r="L1813" s="87"/>
      <c r="M1813" s="87"/>
      <c r="N1813" s="100"/>
      <c r="O1813" s="100"/>
    </row>
    <row r="1814" spans="1:15">
      <c r="A1814" s="87"/>
      <c r="B1814" s="87"/>
      <c r="C1814" s="87"/>
      <c r="D1814" s="87"/>
      <c r="E1814" s="87"/>
      <c r="F1814" s="87"/>
      <c r="G1814" s="87"/>
      <c r="H1814" s="87"/>
      <c r="I1814" s="87"/>
      <c r="J1814" s="87"/>
      <c r="K1814" s="87"/>
      <c r="L1814" s="87"/>
      <c r="M1814" s="87"/>
      <c r="N1814" s="100"/>
      <c r="O1814" s="100"/>
    </row>
    <row r="1815" spans="1:15">
      <c r="A1815" s="87"/>
      <c r="B1815" s="87"/>
      <c r="C1815" s="87"/>
      <c r="D1815" s="87"/>
      <c r="E1815" s="87"/>
      <c r="F1815" s="87"/>
      <c r="G1815" s="87"/>
      <c r="H1815" s="87"/>
      <c r="I1815" s="87"/>
      <c r="J1815" s="87"/>
      <c r="K1815" s="87"/>
      <c r="L1815" s="87"/>
      <c r="M1815" s="87"/>
      <c r="N1815" s="100"/>
      <c r="O1815" s="100"/>
    </row>
    <row r="1816" spans="1:15">
      <c r="A1816" s="87"/>
      <c r="B1816" s="87"/>
      <c r="C1816" s="87"/>
      <c r="D1816" s="87"/>
      <c r="E1816" s="87"/>
      <c r="F1816" s="87"/>
      <c r="G1816" s="87"/>
      <c r="H1816" s="87"/>
      <c r="I1816" s="87"/>
      <c r="J1816" s="87"/>
      <c r="K1816" s="87"/>
      <c r="L1816" s="87"/>
      <c r="M1816" s="87"/>
      <c r="N1816" s="100"/>
      <c r="O1816" s="100"/>
    </row>
    <row r="1817" spans="1:15">
      <c r="A1817" s="87"/>
      <c r="B1817" s="87"/>
      <c r="C1817" s="87"/>
      <c r="D1817" s="87"/>
      <c r="E1817" s="87"/>
      <c r="F1817" s="87"/>
      <c r="G1817" s="87"/>
      <c r="H1817" s="87"/>
      <c r="I1817" s="87"/>
      <c r="J1817" s="87"/>
      <c r="K1817" s="87"/>
      <c r="L1817" s="87"/>
      <c r="M1817" s="87"/>
      <c r="N1817" s="100"/>
      <c r="O1817" s="100"/>
    </row>
    <row r="1818" spans="1:15">
      <c r="A1818" s="87"/>
      <c r="B1818" s="87"/>
      <c r="C1818" s="87"/>
      <c r="D1818" s="87"/>
      <c r="E1818" s="87"/>
      <c r="F1818" s="87"/>
      <c r="G1818" s="87"/>
      <c r="H1818" s="87"/>
      <c r="I1818" s="87"/>
      <c r="J1818" s="87"/>
      <c r="K1818" s="87"/>
      <c r="L1818" s="87"/>
      <c r="M1818" s="87"/>
      <c r="N1818" s="100"/>
      <c r="O1818" s="100"/>
    </row>
    <row r="1819" spans="1:15">
      <c r="A1819" s="87"/>
      <c r="B1819" s="87"/>
      <c r="C1819" s="87"/>
      <c r="D1819" s="87"/>
      <c r="E1819" s="87"/>
      <c r="F1819" s="87"/>
      <c r="G1819" s="87"/>
      <c r="H1819" s="87"/>
      <c r="I1819" s="87"/>
      <c r="J1819" s="87"/>
      <c r="K1819" s="87"/>
      <c r="L1819" s="87"/>
      <c r="M1819" s="87"/>
      <c r="N1819" s="100"/>
      <c r="O1819" s="100"/>
    </row>
    <row r="1820" spans="1:15">
      <c r="A1820" s="87"/>
      <c r="B1820" s="87"/>
      <c r="C1820" s="87"/>
      <c r="D1820" s="87"/>
      <c r="E1820" s="87"/>
      <c r="F1820" s="87"/>
      <c r="G1820" s="87"/>
      <c r="H1820" s="87"/>
      <c r="I1820" s="87"/>
      <c r="J1820" s="87"/>
      <c r="K1820" s="87"/>
      <c r="L1820" s="87"/>
      <c r="M1820" s="87"/>
      <c r="N1820" s="100"/>
      <c r="O1820" s="100"/>
    </row>
    <row r="1821" spans="1:15">
      <c r="A1821" s="87"/>
      <c r="B1821" s="87"/>
      <c r="C1821" s="87"/>
      <c r="D1821" s="87"/>
      <c r="E1821" s="87"/>
      <c r="F1821" s="87"/>
      <c r="G1821" s="87"/>
      <c r="H1821" s="87"/>
      <c r="I1821" s="87"/>
      <c r="J1821" s="87"/>
      <c r="K1821" s="87"/>
      <c r="L1821" s="87"/>
      <c r="M1821" s="87"/>
      <c r="N1821" s="100"/>
      <c r="O1821" s="100"/>
    </row>
    <row r="1822" spans="1:15">
      <c r="A1822" s="87"/>
      <c r="B1822" s="87"/>
      <c r="C1822" s="87"/>
      <c r="D1822" s="87"/>
      <c r="E1822" s="87"/>
      <c r="F1822" s="87"/>
      <c r="G1822" s="87"/>
      <c r="H1822" s="87"/>
      <c r="I1822" s="87"/>
      <c r="J1822" s="87"/>
      <c r="K1822" s="87"/>
      <c r="L1822" s="87"/>
      <c r="M1822" s="87"/>
      <c r="N1822" s="100"/>
      <c r="O1822" s="100"/>
    </row>
    <row r="1823" spans="1:15">
      <c r="A1823" s="87"/>
      <c r="B1823" s="87"/>
      <c r="C1823" s="87"/>
      <c r="D1823" s="87"/>
      <c r="E1823" s="87"/>
      <c r="F1823" s="87"/>
      <c r="G1823" s="87"/>
      <c r="H1823" s="87"/>
      <c r="I1823" s="87"/>
      <c r="J1823" s="87"/>
      <c r="K1823" s="87"/>
      <c r="L1823" s="87"/>
      <c r="M1823" s="87"/>
      <c r="N1823" s="100"/>
      <c r="O1823" s="100"/>
    </row>
    <row r="1824" spans="1:15">
      <c r="A1824" s="87"/>
      <c r="B1824" s="87"/>
      <c r="C1824" s="87"/>
      <c r="D1824" s="87"/>
      <c r="E1824" s="87"/>
      <c r="F1824" s="87"/>
      <c r="G1824" s="87"/>
      <c r="H1824" s="87"/>
      <c r="I1824" s="87"/>
      <c r="J1824" s="87"/>
      <c r="K1824" s="87"/>
      <c r="L1824" s="87"/>
      <c r="M1824" s="87"/>
      <c r="N1824" s="100"/>
      <c r="O1824" s="100"/>
    </row>
    <row r="1825" spans="1:15">
      <c r="A1825" s="87"/>
      <c r="B1825" s="87"/>
      <c r="C1825" s="87"/>
      <c r="D1825" s="87"/>
      <c r="E1825" s="87"/>
      <c r="F1825" s="87"/>
      <c r="G1825" s="87"/>
      <c r="H1825" s="87"/>
      <c r="I1825" s="87"/>
      <c r="J1825" s="87"/>
      <c r="K1825" s="87"/>
      <c r="L1825" s="87"/>
      <c r="M1825" s="87"/>
      <c r="N1825" s="100"/>
      <c r="O1825" s="100"/>
    </row>
    <row r="1826" spans="1:15">
      <c r="A1826" s="87"/>
      <c r="B1826" s="87"/>
      <c r="C1826" s="87"/>
      <c r="D1826" s="87"/>
      <c r="E1826" s="87"/>
      <c r="F1826" s="87"/>
      <c r="G1826" s="87"/>
      <c r="H1826" s="87"/>
      <c r="I1826" s="87"/>
      <c r="J1826" s="87"/>
      <c r="K1826" s="87"/>
      <c r="L1826" s="87"/>
      <c r="M1826" s="87"/>
      <c r="N1826" s="100"/>
      <c r="O1826" s="100"/>
    </row>
    <row r="1827" spans="1:15">
      <c r="A1827" s="87"/>
      <c r="B1827" s="87"/>
      <c r="C1827" s="87"/>
      <c r="D1827" s="87"/>
      <c r="E1827" s="87"/>
      <c r="F1827" s="87"/>
      <c r="G1827" s="87"/>
      <c r="H1827" s="87"/>
      <c r="I1827" s="87"/>
      <c r="J1827" s="87"/>
      <c r="K1827" s="87"/>
      <c r="L1827" s="87"/>
      <c r="M1827" s="87"/>
      <c r="N1827" s="100"/>
      <c r="O1827" s="100"/>
    </row>
    <row r="1828" spans="1:15">
      <c r="A1828" s="87"/>
      <c r="B1828" s="87"/>
      <c r="C1828" s="87"/>
      <c r="D1828" s="87"/>
      <c r="E1828" s="87"/>
      <c r="F1828" s="87"/>
      <c r="G1828" s="87"/>
      <c r="H1828" s="87"/>
      <c r="I1828" s="87"/>
      <c r="J1828" s="87"/>
      <c r="K1828" s="87"/>
      <c r="L1828" s="87"/>
      <c r="M1828" s="87"/>
      <c r="N1828" s="100"/>
      <c r="O1828" s="100"/>
    </row>
    <row r="1829" spans="1:15">
      <c r="A1829" s="87"/>
      <c r="B1829" s="87"/>
      <c r="C1829" s="87"/>
      <c r="D1829" s="87"/>
      <c r="E1829" s="87"/>
      <c r="F1829" s="87"/>
      <c r="G1829" s="87"/>
      <c r="H1829" s="87"/>
      <c r="I1829" s="87"/>
      <c r="J1829" s="87"/>
      <c r="K1829" s="87"/>
      <c r="L1829" s="87"/>
      <c r="M1829" s="87"/>
      <c r="N1829" s="100"/>
      <c r="O1829" s="100"/>
    </row>
    <row r="1830" spans="1:15">
      <c r="A1830" s="87"/>
      <c r="B1830" s="87"/>
      <c r="C1830" s="87"/>
      <c r="D1830" s="87"/>
      <c r="E1830" s="87"/>
      <c r="F1830" s="87"/>
      <c r="G1830" s="87"/>
      <c r="H1830" s="87"/>
      <c r="I1830" s="87"/>
      <c r="J1830" s="87"/>
      <c r="K1830" s="87"/>
      <c r="L1830" s="87"/>
      <c r="M1830" s="87"/>
      <c r="N1830" s="100"/>
      <c r="O1830" s="100"/>
    </row>
    <row r="1831" spans="1:15">
      <c r="A1831" s="87"/>
      <c r="B1831" s="87"/>
      <c r="C1831" s="87"/>
      <c r="D1831" s="87"/>
      <c r="E1831" s="87"/>
      <c r="F1831" s="87"/>
      <c r="G1831" s="87"/>
      <c r="H1831" s="87"/>
      <c r="I1831" s="87"/>
      <c r="J1831" s="87"/>
      <c r="K1831" s="87"/>
      <c r="L1831" s="87"/>
      <c r="M1831" s="87"/>
      <c r="N1831" s="100"/>
      <c r="O1831" s="100"/>
    </row>
    <row r="1832" spans="1:15">
      <c r="A1832" s="87"/>
      <c r="B1832" s="87"/>
      <c r="C1832" s="87"/>
      <c r="D1832" s="87"/>
      <c r="E1832" s="87"/>
      <c r="F1832" s="87"/>
      <c r="G1832" s="87"/>
      <c r="H1832" s="87"/>
      <c r="I1832" s="87"/>
      <c r="J1832" s="87"/>
      <c r="K1832" s="87"/>
      <c r="L1832" s="87"/>
      <c r="M1832" s="87"/>
      <c r="N1832" s="100"/>
      <c r="O1832" s="100"/>
    </row>
    <row r="1833" spans="1:15">
      <c r="A1833" s="87"/>
      <c r="B1833" s="87"/>
      <c r="C1833" s="87"/>
      <c r="D1833" s="87"/>
      <c r="E1833" s="87"/>
      <c r="F1833" s="87"/>
      <c r="G1833" s="87"/>
      <c r="H1833" s="87"/>
      <c r="I1833" s="87"/>
      <c r="J1833" s="87"/>
      <c r="K1833" s="87"/>
      <c r="L1833" s="87"/>
      <c r="M1833" s="87"/>
      <c r="N1833" s="100"/>
      <c r="O1833" s="100"/>
    </row>
    <row r="1834" spans="1:15">
      <c r="A1834" s="87"/>
      <c r="B1834" s="87"/>
      <c r="C1834" s="87"/>
      <c r="D1834" s="87"/>
      <c r="E1834" s="87"/>
      <c r="F1834" s="87"/>
      <c r="G1834" s="87"/>
      <c r="H1834" s="87"/>
      <c r="I1834" s="87"/>
      <c r="J1834" s="87"/>
      <c r="K1834" s="87"/>
      <c r="L1834" s="87"/>
      <c r="M1834" s="87"/>
      <c r="N1834" s="100"/>
      <c r="O1834" s="100"/>
    </row>
    <row r="1835" spans="1:15">
      <c r="A1835" s="87"/>
      <c r="B1835" s="87"/>
      <c r="C1835" s="87"/>
      <c r="D1835" s="87"/>
      <c r="E1835" s="87"/>
      <c r="F1835" s="87"/>
      <c r="G1835" s="87"/>
      <c r="H1835" s="87"/>
      <c r="I1835" s="87"/>
      <c r="J1835" s="87"/>
      <c r="K1835" s="87"/>
      <c r="L1835" s="87"/>
      <c r="M1835" s="87"/>
      <c r="N1835" s="100"/>
      <c r="O1835" s="100"/>
    </row>
    <row r="1836" spans="1:15">
      <c r="A1836" s="87"/>
      <c r="B1836" s="87"/>
      <c r="C1836" s="87"/>
      <c r="D1836" s="87"/>
      <c r="E1836" s="87"/>
      <c r="F1836" s="87"/>
      <c r="G1836" s="87"/>
      <c r="H1836" s="87"/>
      <c r="I1836" s="87"/>
      <c r="J1836" s="87"/>
      <c r="K1836" s="87"/>
      <c r="L1836" s="87"/>
      <c r="M1836" s="87"/>
      <c r="N1836" s="100"/>
      <c r="O1836" s="100"/>
    </row>
    <row r="1837" spans="1:15">
      <c r="A1837" s="87"/>
      <c r="B1837" s="87"/>
      <c r="C1837" s="87"/>
      <c r="D1837" s="87"/>
      <c r="E1837" s="87"/>
      <c r="F1837" s="87"/>
      <c r="G1837" s="87"/>
      <c r="H1837" s="87"/>
      <c r="I1837" s="87"/>
      <c r="J1837" s="87"/>
      <c r="K1837" s="87"/>
      <c r="L1837" s="87"/>
      <c r="M1837" s="87"/>
      <c r="N1837" s="100"/>
      <c r="O1837" s="100"/>
    </row>
    <row r="1838" spans="1:15">
      <c r="A1838" s="87"/>
      <c r="B1838" s="87"/>
      <c r="C1838" s="87"/>
      <c r="D1838" s="87"/>
      <c r="E1838" s="87"/>
      <c r="F1838" s="87"/>
      <c r="G1838" s="87"/>
      <c r="H1838" s="87"/>
      <c r="I1838" s="87"/>
      <c r="J1838" s="87"/>
      <c r="K1838" s="87"/>
      <c r="L1838" s="87"/>
      <c r="M1838" s="87"/>
      <c r="N1838" s="100"/>
      <c r="O1838" s="100"/>
    </row>
    <row r="1839" spans="1:15">
      <c r="A1839" s="87"/>
      <c r="B1839" s="87"/>
      <c r="C1839" s="87"/>
      <c r="D1839" s="87"/>
      <c r="E1839" s="87"/>
      <c r="F1839" s="87"/>
      <c r="G1839" s="87"/>
      <c r="H1839" s="87"/>
      <c r="I1839" s="87"/>
      <c r="J1839" s="87"/>
      <c r="K1839" s="87"/>
      <c r="L1839" s="87"/>
      <c r="M1839" s="87"/>
      <c r="N1839" s="100"/>
      <c r="O1839" s="100"/>
    </row>
    <row r="1840" spans="1:15">
      <c r="A1840" s="87"/>
      <c r="B1840" s="87"/>
      <c r="C1840" s="87"/>
      <c r="D1840" s="87"/>
      <c r="E1840" s="87"/>
      <c r="F1840" s="87"/>
      <c r="G1840" s="87"/>
      <c r="H1840" s="87"/>
      <c r="I1840" s="87"/>
      <c r="J1840" s="87"/>
      <c r="K1840" s="87"/>
      <c r="L1840" s="87"/>
      <c r="M1840" s="87"/>
      <c r="N1840" s="100"/>
      <c r="O1840" s="100"/>
    </row>
    <row r="1841" spans="1:15">
      <c r="A1841" s="87"/>
      <c r="B1841" s="87"/>
      <c r="C1841" s="87"/>
      <c r="D1841" s="87"/>
      <c r="E1841" s="87"/>
      <c r="F1841" s="87"/>
      <c r="G1841" s="87"/>
      <c r="H1841" s="87"/>
      <c r="I1841" s="87"/>
      <c r="J1841" s="87"/>
      <c r="K1841" s="87"/>
      <c r="L1841" s="87"/>
      <c r="M1841" s="87"/>
      <c r="N1841" s="100"/>
      <c r="O1841" s="100"/>
    </row>
    <row r="1842" spans="1:15">
      <c r="A1842" s="87"/>
      <c r="B1842" s="87"/>
      <c r="C1842" s="87"/>
      <c r="D1842" s="87"/>
      <c r="E1842" s="87"/>
      <c r="F1842" s="87"/>
      <c r="G1842" s="87"/>
      <c r="H1842" s="87"/>
      <c r="I1842" s="87"/>
      <c r="J1842" s="87"/>
      <c r="K1842" s="87"/>
      <c r="L1842" s="87"/>
      <c r="M1842" s="87"/>
      <c r="N1842" s="100"/>
      <c r="O1842" s="100"/>
    </row>
    <row r="1843" spans="1:15">
      <c r="A1843" s="87"/>
      <c r="B1843" s="87"/>
      <c r="C1843" s="87"/>
      <c r="D1843" s="87"/>
      <c r="E1843" s="87"/>
      <c r="F1843" s="87"/>
      <c r="G1843" s="87"/>
      <c r="H1843" s="87"/>
      <c r="I1843" s="87"/>
      <c r="J1843" s="87"/>
      <c r="K1843" s="87"/>
      <c r="L1843" s="87"/>
      <c r="M1843" s="87"/>
      <c r="N1843" s="100"/>
      <c r="O1843" s="100"/>
    </row>
    <row r="1844" spans="1:15">
      <c r="A1844" s="87"/>
      <c r="B1844" s="87"/>
      <c r="C1844" s="87"/>
      <c r="D1844" s="87"/>
      <c r="E1844" s="87"/>
      <c r="F1844" s="87"/>
      <c r="G1844" s="87"/>
      <c r="H1844" s="87"/>
      <c r="I1844" s="87"/>
      <c r="J1844" s="87"/>
      <c r="K1844" s="87"/>
      <c r="L1844" s="87"/>
      <c r="M1844" s="87"/>
      <c r="N1844" s="100"/>
      <c r="O1844" s="100"/>
    </row>
    <row r="1845" spans="1:15">
      <c r="A1845" s="87"/>
      <c r="B1845" s="87"/>
      <c r="C1845" s="87"/>
      <c r="D1845" s="87"/>
      <c r="E1845" s="87"/>
      <c r="F1845" s="87"/>
      <c r="G1845" s="87"/>
      <c r="H1845" s="87"/>
      <c r="I1845" s="87"/>
      <c r="J1845" s="87"/>
      <c r="K1845" s="87"/>
      <c r="L1845" s="87"/>
      <c r="M1845" s="87"/>
      <c r="N1845" s="100"/>
      <c r="O1845" s="100"/>
    </row>
    <row r="1846" spans="1:15">
      <c r="A1846" s="87"/>
      <c r="B1846" s="87"/>
      <c r="C1846" s="87"/>
      <c r="D1846" s="87"/>
      <c r="E1846" s="87"/>
      <c r="F1846" s="87"/>
      <c r="G1846" s="87"/>
      <c r="H1846" s="87"/>
      <c r="I1846" s="87"/>
      <c r="J1846" s="87"/>
      <c r="K1846" s="87"/>
      <c r="L1846" s="87"/>
      <c r="M1846" s="87"/>
      <c r="N1846" s="100"/>
      <c r="O1846" s="100"/>
    </row>
    <row r="1847" spans="1:15">
      <c r="A1847" s="87"/>
      <c r="B1847" s="87"/>
      <c r="C1847" s="87"/>
      <c r="D1847" s="87"/>
      <c r="E1847" s="87"/>
      <c r="F1847" s="87"/>
      <c r="G1847" s="87"/>
      <c r="H1847" s="87"/>
      <c r="I1847" s="87"/>
      <c r="J1847" s="87"/>
      <c r="K1847" s="87"/>
      <c r="L1847" s="87"/>
      <c r="M1847" s="87"/>
      <c r="N1847" s="100"/>
      <c r="O1847" s="100"/>
    </row>
    <row r="1848" spans="1:15">
      <c r="A1848" s="87"/>
      <c r="B1848" s="87"/>
      <c r="C1848" s="87"/>
      <c r="D1848" s="87"/>
      <c r="E1848" s="87"/>
      <c r="F1848" s="87"/>
      <c r="G1848" s="87"/>
      <c r="H1848" s="87"/>
      <c r="I1848" s="87"/>
      <c r="J1848" s="87"/>
      <c r="K1848" s="87"/>
      <c r="L1848" s="87"/>
      <c r="M1848" s="87"/>
      <c r="N1848" s="100"/>
      <c r="O1848" s="100"/>
    </row>
    <row r="1849" spans="1:15">
      <c r="A1849" s="87"/>
      <c r="B1849" s="87"/>
      <c r="C1849" s="87"/>
      <c r="D1849" s="87"/>
      <c r="E1849" s="87"/>
      <c r="F1849" s="87"/>
      <c r="G1849" s="87"/>
      <c r="H1849" s="87"/>
      <c r="I1849" s="87"/>
      <c r="J1849" s="87"/>
      <c r="K1849" s="87"/>
      <c r="L1849" s="87"/>
      <c r="M1849" s="87"/>
      <c r="N1849" s="100"/>
      <c r="O1849" s="100"/>
    </row>
    <row r="1850" spans="1:15">
      <c r="A1850" s="87"/>
      <c r="B1850" s="87"/>
      <c r="C1850" s="87"/>
      <c r="D1850" s="87"/>
      <c r="E1850" s="87"/>
      <c r="F1850" s="87"/>
      <c r="G1850" s="87"/>
      <c r="H1850" s="87"/>
      <c r="I1850" s="87"/>
      <c r="J1850" s="87"/>
      <c r="K1850" s="87"/>
      <c r="L1850" s="87"/>
      <c r="M1850" s="87"/>
      <c r="N1850" s="100"/>
      <c r="O1850" s="100"/>
    </row>
    <row r="1851" spans="1:15">
      <c r="A1851" s="87"/>
      <c r="B1851" s="87"/>
      <c r="C1851" s="87"/>
      <c r="D1851" s="87"/>
      <c r="E1851" s="87"/>
      <c r="F1851" s="87"/>
      <c r="G1851" s="87"/>
      <c r="H1851" s="87"/>
      <c r="I1851" s="87"/>
      <c r="J1851" s="87"/>
      <c r="K1851" s="87"/>
      <c r="L1851" s="87"/>
      <c r="M1851" s="87"/>
      <c r="N1851" s="100"/>
      <c r="O1851" s="100"/>
    </row>
    <row r="1852" spans="1:15">
      <c r="A1852" s="87"/>
      <c r="B1852" s="87"/>
      <c r="C1852" s="87"/>
      <c r="D1852" s="87"/>
      <c r="E1852" s="87"/>
      <c r="F1852" s="87"/>
      <c r="G1852" s="87"/>
      <c r="H1852" s="87"/>
      <c r="I1852" s="87"/>
      <c r="J1852" s="87"/>
      <c r="K1852" s="87"/>
      <c r="L1852" s="87"/>
      <c r="M1852" s="87"/>
      <c r="N1852" s="100"/>
      <c r="O1852" s="100"/>
    </row>
    <row r="1853" spans="1:15">
      <c r="A1853" s="87"/>
      <c r="B1853" s="87"/>
      <c r="C1853" s="87"/>
      <c r="D1853" s="87"/>
      <c r="E1853" s="87"/>
      <c r="F1853" s="87"/>
      <c r="G1853" s="87"/>
      <c r="H1853" s="87"/>
      <c r="I1853" s="87"/>
      <c r="J1853" s="87"/>
      <c r="K1853" s="87"/>
      <c r="L1853" s="87"/>
      <c r="M1853" s="87"/>
      <c r="N1853" s="100"/>
      <c r="O1853" s="100"/>
    </row>
    <row r="1854" spans="1:15">
      <c r="A1854" s="87"/>
      <c r="B1854" s="87"/>
      <c r="C1854" s="87"/>
      <c r="D1854" s="87"/>
      <c r="E1854" s="87"/>
      <c r="F1854" s="87"/>
      <c r="G1854" s="87"/>
      <c r="H1854" s="87"/>
      <c r="I1854" s="87"/>
      <c r="J1854" s="87"/>
      <c r="K1854" s="87"/>
      <c r="L1854" s="87"/>
      <c r="M1854" s="87"/>
      <c r="N1854" s="100"/>
      <c r="O1854" s="100"/>
    </row>
    <row r="1855" spans="1:15">
      <c r="A1855" s="87"/>
      <c r="B1855" s="87"/>
      <c r="C1855" s="87"/>
      <c r="D1855" s="87"/>
      <c r="E1855" s="87"/>
      <c r="F1855" s="87"/>
      <c r="G1855" s="87"/>
      <c r="H1855" s="87"/>
      <c r="I1855" s="87"/>
      <c r="J1855" s="87"/>
      <c r="K1855" s="87"/>
      <c r="L1855" s="87"/>
      <c r="M1855" s="87"/>
      <c r="N1855" s="100"/>
      <c r="O1855" s="100"/>
    </row>
    <row r="1856" spans="1:15">
      <c r="A1856" s="87"/>
      <c r="B1856" s="87"/>
      <c r="C1856" s="87"/>
      <c r="D1856" s="87"/>
      <c r="E1856" s="87"/>
      <c r="F1856" s="87"/>
      <c r="G1856" s="87"/>
      <c r="H1856" s="87"/>
      <c r="I1856" s="87"/>
      <c r="J1856" s="87"/>
      <c r="K1856" s="87"/>
      <c r="L1856" s="87"/>
      <c r="M1856" s="87"/>
      <c r="N1856" s="100"/>
      <c r="O1856" s="100"/>
    </row>
    <row r="1857" spans="1:15">
      <c r="A1857" s="87"/>
      <c r="B1857" s="87"/>
      <c r="C1857" s="87"/>
      <c r="D1857" s="87"/>
      <c r="E1857" s="87"/>
      <c r="F1857" s="87"/>
      <c r="G1857" s="87"/>
      <c r="H1857" s="87"/>
      <c r="I1857" s="87"/>
      <c r="J1857" s="87"/>
      <c r="K1857" s="87"/>
      <c r="L1857" s="87"/>
      <c r="M1857" s="87"/>
      <c r="N1857" s="100"/>
      <c r="O1857" s="100"/>
    </row>
    <row r="1858" spans="1:15">
      <c r="A1858" s="87"/>
      <c r="B1858" s="87"/>
      <c r="C1858" s="87"/>
      <c r="D1858" s="87"/>
      <c r="E1858" s="87"/>
      <c r="F1858" s="87"/>
      <c r="G1858" s="87"/>
      <c r="H1858" s="87"/>
      <c r="I1858" s="87"/>
      <c r="J1858" s="87"/>
      <c r="K1858" s="87"/>
      <c r="L1858" s="87"/>
      <c r="M1858" s="87"/>
      <c r="N1858" s="100"/>
      <c r="O1858" s="100"/>
    </row>
    <row r="1859" spans="1:15">
      <c r="A1859" s="87"/>
      <c r="B1859" s="87"/>
      <c r="C1859" s="87"/>
      <c r="D1859" s="87"/>
      <c r="E1859" s="87"/>
      <c r="F1859" s="87"/>
      <c r="G1859" s="87"/>
      <c r="H1859" s="87"/>
      <c r="I1859" s="87"/>
      <c r="J1859" s="87"/>
      <c r="K1859" s="87"/>
      <c r="L1859" s="87"/>
      <c r="M1859" s="87"/>
      <c r="N1859" s="100"/>
      <c r="O1859" s="100"/>
    </row>
    <row r="1860" spans="1:15">
      <c r="A1860" s="87"/>
      <c r="B1860" s="87"/>
      <c r="C1860" s="87"/>
      <c r="D1860" s="87"/>
      <c r="E1860" s="87"/>
      <c r="F1860" s="87"/>
      <c r="G1860" s="87"/>
      <c r="H1860" s="87"/>
      <c r="I1860" s="87"/>
      <c r="J1860" s="87"/>
      <c r="K1860" s="87"/>
      <c r="L1860" s="87"/>
      <c r="M1860" s="87"/>
      <c r="N1860" s="100"/>
      <c r="O1860" s="100"/>
    </row>
    <row r="1861" spans="1:15">
      <c r="A1861" s="87"/>
      <c r="B1861" s="87"/>
      <c r="C1861" s="87"/>
      <c r="D1861" s="87"/>
      <c r="E1861" s="87"/>
      <c r="F1861" s="87"/>
      <c r="G1861" s="87"/>
      <c r="H1861" s="87"/>
      <c r="I1861" s="87"/>
      <c r="J1861" s="87"/>
      <c r="K1861" s="87"/>
      <c r="L1861" s="87"/>
      <c r="M1861" s="87"/>
      <c r="N1861" s="100"/>
      <c r="O1861" s="100"/>
    </row>
    <row r="1862" spans="1:15">
      <c r="A1862" s="87"/>
      <c r="B1862" s="87"/>
      <c r="C1862" s="87"/>
      <c r="D1862" s="87"/>
      <c r="E1862" s="87"/>
      <c r="F1862" s="87"/>
      <c r="G1862" s="87"/>
      <c r="H1862" s="87"/>
      <c r="I1862" s="87"/>
      <c r="J1862" s="87"/>
      <c r="K1862" s="87"/>
      <c r="L1862" s="87"/>
      <c r="M1862" s="87"/>
      <c r="N1862" s="100"/>
      <c r="O1862" s="100"/>
    </row>
    <row r="1863" spans="1:15">
      <c r="A1863" s="87"/>
      <c r="B1863" s="87"/>
      <c r="C1863" s="87"/>
      <c r="D1863" s="87"/>
      <c r="E1863" s="87"/>
      <c r="F1863" s="87"/>
      <c r="G1863" s="87"/>
      <c r="H1863" s="87"/>
      <c r="I1863" s="87"/>
      <c r="J1863" s="87"/>
      <c r="K1863" s="87"/>
      <c r="L1863" s="87"/>
      <c r="M1863" s="87"/>
      <c r="N1863" s="100"/>
      <c r="O1863" s="100"/>
    </row>
    <row r="1864" spans="1:15">
      <c r="A1864" s="87"/>
      <c r="B1864" s="87"/>
      <c r="C1864" s="87"/>
      <c r="D1864" s="87"/>
      <c r="E1864" s="87"/>
      <c r="F1864" s="87"/>
      <c r="G1864" s="87"/>
      <c r="H1864" s="87"/>
      <c r="I1864" s="87"/>
      <c r="J1864" s="87"/>
      <c r="K1864" s="87"/>
      <c r="L1864" s="87"/>
      <c r="M1864" s="87"/>
      <c r="N1864" s="100"/>
      <c r="O1864" s="100"/>
    </row>
    <row r="1865" spans="1:15">
      <c r="A1865" s="87"/>
      <c r="B1865" s="87"/>
      <c r="C1865" s="87"/>
      <c r="D1865" s="87"/>
      <c r="E1865" s="87"/>
      <c r="F1865" s="87"/>
      <c r="G1865" s="87"/>
      <c r="H1865" s="87"/>
      <c r="I1865" s="87"/>
      <c r="J1865" s="87"/>
      <c r="K1865" s="87"/>
      <c r="L1865" s="87"/>
      <c r="M1865" s="87"/>
      <c r="N1865" s="100"/>
      <c r="O1865" s="100"/>
    </row>
    <row r="1866" spans="1:15">
      <c r="A1866" s="87"/>
      <c r="B1866" s="87"/>
      <c r="C1866" s="87"/>
      <c r="D1866" s="87"/>
      <c r="E1866" s="87"/>
      <c r="F1866" s="87"/>
      <c r="G1866" s="87"/>
      <c r="H1866" s="87"/>
      <c r="I1866" s="87"/>
      <c r="J1866" s="87"/>
      <c r="K1866" s="87"/>
      <c r="L1866" s="87"/>
      <c r="M1866" s="87"/>
      <c r="N1866" s="100"/>
      <c r="O1866" s="100"/>
    </row>
    <row r="1867" spans="1:15">
      <c r="A1867" s="87"/>
      <c r="B1867" s="87"/>
      <c r="C1867" s="87"/>
      <c r="D1867" s="87"/>
      <c r="E1867" s="87"/>
      <c r="F1867" s="87"/>
      <c r="G1867" s="87"/>
      <c r="H1867" s="87"/>
      <c r="I1867" s="87"/>
      <c r="J1867" s="87"/>
      <c r="K1867" s="87"/>
      <c r="L1867" s="87"/>
      <c r="M1867" s="87"/>
      <c r="N1867" s="100"/>
      <c r="O1867" s="100"/>
    </row>
    <row r="1868" spans="1:15">
      <c r="A1868" s="87"/>
      <c r="B1868" s="87"/>
      <c r="C1868" s="87"/>
      <c r="D1868" s="87"/>
      <c r="E1868" s="87"/>
      <c r="F1868" s="87"/>
      <c r="G1868" s="87"/>
      <c r="H1868" s="87"/>
      <c r="I1868" s="87"/>
      <c r="J1868" s="87"/>
      <c r="K1868" s="87"/>
      <c r="L1868" s="87"/>
      <c r="M1868" s="87"/>
      <c r="N1868" s="100"/>
      <c r="O1868" s="100"/>
    </row>
    <row r="1869" spans="1:15">
      <c r="A1869" s="87"/>
      <c r="B1869" s="87"/>
      <c r="C1869" s="87"/>
      <c r="D1869" s="87"/>
      <c r="E1869" s="87"/>
      <c r="F1869" s="87"/>
      <c r="G1869" s="87"/>
      <c r="H1869" s="87"/>
      <c r="I1869" s="87"/>
      <c r="J1869" s="87"/>
      <c r="K1869" s="87"/>
      <c r="L1869" s="87"/>
      <c r="M1869" s="87"/>
      <c r="N1869" s="100"/>
      <c r="O1869" s="100"/>
    </row>
    <row r="1870" spans="1:15">
      <c r="A1870" s="87"/>
      <c r="B1870" s="87"/>
      <c r="C1870" s="87"/>
      <c r="D1870" s="87"/>
      <c r="E1870" s="87"/>
      <c r="F1870" s="87"/>
      <c r="G1870" s="87"/>
      <c r="H1870" s="87"/>
      <c r="I1870" s="87"/>
      <c r="J1870" s="87"/>
      <c r="K1870" s="87"/>
      <c r="L1870" s="87"/>
      <c r="M1870" s="87"/>
      <c r="N1870" s="100"/>
      <c r="O1870" s="100"/>
    </row>
    <row r="1871" spans="1:15">
      <c r="A1871" s="87"/>
      <c r="B1871" s="87"/>
      <c r="C1871" s="87"/>
      <c r="D1871" s="87"/>
      <c r="E1871" s="87"/>
      <c r="F1871" s="87"/>
      <c r="G1871" s="87"/>
      <c r="H1871" s="87"/>
      <c r="I1871" s="87"/>
      <c r="J1871" s="87"/>
      <c r="K1871" s="87"/>
      <c r="L1871" s="87"/>
      <c r="M1871" s="87"/>
      <c r="N1871" s="100"/>
      <c r="O1871" s="100"/>
    </row>
    <row r="1872" spans="1:15">
      <c r="A1872" s="87"/>
      <c r="B1872" s="87"/>
      <c r="C1872" s="87"/>
      <c r="D1872" s="87"/>
      <c r="E1872" s="87"/>
      <c r="F1872" s="87"/>
      <c r="G1872" s="87"/>
      <c r="H1872" s="87"/>
      <c r="I1872" s="87"/>
      <c r="J1872" s="87"/>
      <c r="K1872" s="87"/>
      <c r="L1872" s="87"/>
      <c r="M1872" s="87"/>
      <c r="N1872" s="100"/>
      <c r="O1872" s="100"/>
    </row>
    <row r="1873" spans="1:15">
      <c r="A1873" s="87"/>
      <c r="B1873" s="87"/>
      <c r="C1873" s="87"/>
      <c r="D1873" s="87"/>
      <c r="E1873" s="87"/>
      <c r="F1873" s="87"/>
      <c r="G1873" s="87"/>
      <c r="H1873" s="87"/>
      <c r="I1873" s="87"/>
      <c r="J1873" s="87"/>
      <c r="K1873" s="87"/>
      <c r="L1873" s="87"/>
      <c r="M1873" s="87"/>
      <c r="N1873" s="100"/>
      <c r="O1873" s="100"/>
    </row>
    <row r="1874" spans="1:15">
      <c r="A1874" s="87"/>
      <c r="B1874" s="87"/>
      <c r="C1874" s="87"/>
      <c r="D1874" s="87"/>
      <c r="E1874" s="87"/>
      <c r="F1874" s="87"/>
      <c r="G1874" s="87"/>
      <c r="H1874" s="87"/>
      <c r="I1874" s="87"/>
      <c r="J1874" s="87"/>
      <c r="K1874" s="87"/>
      <c r="L1874" s="87"/>
      <c r="M1874" s="87"/>
      <c r="N1874" s="100"/>
      <c r="O1874" s="100"/>
    </row>
    <row r="1875" spans="1:15">
      <c r="A1875" s="87"/>
      <c r="B1875" s="87"/>
      <c r="C1875" s="87"/>
      <c r="D1875" s="87"/>
      <c r="E1875" s="87"/>
      <c r="F1875" s="87"/>
      <c r="G1875" s="87"/>
      <c r="H1875" s="87"/>
      <c r="I1875" s="87"/>
      <c r="J1875" s="87"/>
      <c r="K1875" s="87"/>
      <c r="L1875" s="87"/>
      <c r="M1875" s="87"/>
      <c r="N1875" s="100"/>
      <c r="O1875" s="100"/>
    </row>
    <row r="1876" spans="1:15">
      <c r="A1876" s="87"/>
      <c r="B1876" s="87"/>
      <c r="C1876" s="87"/>
      <c r="D1876" s="87"/>
      <c r="E1876" s="87"/>
      <c r="F1876" s="87"/>
      <c r="G1876" s="87"/>
      <c r="H1876" s="87"/>
      <c r="I1876" s="87"/>
      <c r="J1876" s="87"/>
      <c r="K1876" s="87"/>
      <c r="L1876" s="87"/>
      <c r="M1876" s="87"/>
      <c r="N1876" s="100"/>
      <c r="O1876" s="100"/>
    </row>
    <row r="1877" spans="1:15">
      <c r="A1877" s="87"/>
      <c r="B1877" s="87"/>
      <c r="C1877" s="87"/>
      <c r="D1877" s="87"/>
      <c r="E1877" s="87"/>
      <c r="F1877" s="87"/>
      <c r="G1877" s="87"/>
      <c r="H1877" s="87"/>
      <c r="I1877" s="87"/>
      <c r="J1877" s="87"/>
      <c r="K1877" s="87"/>
      <c r="L1877" s="87"/>
      <c r="M1877" s="87"/>
      <c r="N1877" s="100"/>
      <c r="O1877" s="100"/>
    </row>
    <row r="1878" spans="1:15">
      <c r="A1878" s="87"/>
      <c r="B1878" s="87"/>
      <c r="C1878" s="87"/>
      <c r="D1878" s="87"/>
      <c r="E1878" s="87"/>
      <c r="F1878" s="87"/>
      <c r="G1878" s="87"/>
      <c r="H1878" s="87"/>
      <c r="I1878" s="87"/>
      <c r="J1878" s="87"/>
      <c r="K1878" s="87"/>
      <c r="L1878" s="87"/>
      <c r="M1878" s="87"/>
      <c r="N1878" s="100"/>
      <c r="O1878" s="100"/>
    </row>
    <row r="1879" spans="1:15">
      <c r="A1879" s="87"/>
      <c r="B1879" s="87"/>
      <c r="C1879" s="87"/>
      <c r="D1879" s="87"/>
      <c r="E1879" s="87"/>
      <c r="F1879" s="87"/>
      <c r="G1879" s="87"/>
      <c r="H1879" s="87"/>
      <c r="I1879" s="87"/>
      <c r="J1879" s="87"/>
      <c r="K1879" s="87"/>
      <c r="L1879" s="87"/>
      <c r="M1879" s="87"/>
      <c r="N1879" s="100"/>
      <c r="O1879" s="100"/>
    </row>
    <row r="1880" spans="1:15">
      <c r="A1880" s="87"/>
      <c r="B1880" s="87"/>
      <c r="C1880" s="87"/>
      <c r="D1880" s="87"/>
      <c r="E1880" s="87"/>
      <c r="F1880" s="87"/>
      <c r="G1880" s="87"/>
      <c r="H1880" s="87"/>
      <c r="I1880" s="87"/>
      <c r="J1880" s="87"/>
      <c r="K1880" s="87"/>
      <c r="L1880" s="87"/>
      <c r="M1880" s="87"/>
      <c r="N1880" s="100"/>
      <c r="O1880" s="100"/>
    </row>
    <row r="1881" spans="1:15">
      <c r="A1881" s="87"/>
      <c r="B1881" s="87"/>
      <c r="C1881" s="87"/>
      <c r="D1881" s="87"/>
      <c r="E1881" s="87"/>
      <c r="F1881" s="87"/>
      <c r="G1881" s="87"/>
      <c r="H1881" s="87"/>
      <c r="I1881" s="87"/>
      <c r="J1881" s="87"/>
      <c r="K1881" s="87"/>
      <c r="L1881" s="87"/>
      <c r="M1881" s="87"/>
      <c r="N1881" s="100"/>
      <c r="O1881" s="100"/>
    </row>
    <row r="1882" spans="1:15">
      <c r="A1882" s="87"/>
      <c r="B1882" s="87"/>
      <c r="C1882" s="87"/>
      <c r="D1882" s="87"/>
      <c r="E1882" s="87"/>
      <c r="F1882" s="87"/>
      <c r="G1882" s="87"/>
      <c r="H1882" s="87"/>
      <c r="I1882" s="87"/>
      <c r="J1882" s="87"/>
      <c r="K1882" s="87"/>
      <c r="L1882" s="87"/>
      <c r="M1882" s="87"/>
      <c r="N1882" s="100"/>
      <c r="O1882" s="100"/>
    </row>
    <row r="1883" spans="1:15">
      <c r="A1883" s="87"/>
      <c r="B1883" s="87"/>
      <c r="C1883" s="87"/>
      <c r="D1883" s="87"/>
      <c r="E1883" s="87"/>
      <c r="F1883" s="87"/>
      <c r="G1883" s="87"/>
      <c r="H1883" s="87"/>
      <c r="I1883" s="87"/>
      <c r="J1883" s="87"/>
      <c r="K1883" s="87"/>
      <c r="L1883" s="87"/>
      <c r="M1883" s="87"/>
      <c r="N1883" s="100"/>
      <c r="O1883" s="100"/>
    </row>
    <row r="1884" spans="1:15">
      <c r="A1884" s="87"/>
      <c r="B1884" s="87"/>
      <c r="C1884" s="87"/>
      <c r="D1884" s="87"/>
      <c r="E1884" s="87"/>
      <c r="F1884" s="87"/>
      <c r="G1884" s="87"/>
      <c r="H1884" s="87"/>
      <c r="I1884" s="87"/>
      <c r="J1884" s="87"/>
      <c r="K1884" s="87"/>
      <c r="L1884" s="87"/>
      <c r="M1884" s="87"/>
      <c r="N1884" s="100"/>
      <c r="O1884" s="100"/>
    </row>
    <row r="1885" spans="1:15">
      <c r="A1885" s="87"/>
      <c r="B1885" s="87"/>
      <c r="C1885" s="87"/>
      <c r="D1885" s="87"/>
      <c r="E1885" s="87"/>
      <c r="F1885" s="87"/>
      <c r="G1885" s="87"/>
      <c r="H1885" s="87"/>
      <c r="I1885" s="87"/>
      <c r="J1885" s="87"/>
      <c r="K1885" s="87"/>
      <c r="L1885" s="87"/>
      <c r="M1885" s="87"/>
      <c r="N1885" s="100"/>
      <c r="O1885" s="100"/>
    </row>
    <row r="1886" spans="1:15">
      <c r="A1886" s="87"/>
      <c r="B1886" s="87"/>
      <c r="C1886" s="87"/>
      <c r="D1886" s="87"/>
      <c r="E1886" s="87"/>
      <c r="F1886" s="87"/>
      <c r="G1886" s="87"/>
      <c r="H1886" s="87"/>
      <c r="I1886" s="87"/>
      <c r="J1886" s="87"/>
      <c r="K1886" s="87"/>
      <c r="L1886" s="87"/>
      <c r="M1886" s="87"/>
      <c r="N1886" s="100"/>
      <c r="O1886" s="100"/>
    </row>
    <row r="1887" spans="1:15">
      <c r="A1887" s="87"/>
      <c r="B1887" s="87"/>
      <c r="C1887" s="87"/>
      <c r="D1887" s="87"/>
      <c r="E1887" s="87"/>
      <c r="F1887" s="87"/>
      <c r="G1887" s="87"/>
      <c r="H1887" s="87"/>
      <c r="I1887" s="87"/>
      <c r="J1887" s="87"/>
      <c r="K1887" s="87"/>
      <c r="L1887" s="87"/>
      <c r="M1887" s="87"/>
      <c r="N1887" s="100"/>
      <c r="O1887" s="100"/>
    </row>
    <row r="1888" spans="1:15">
      <c r="A1888" s="87"/>
      <c r="B1888" s="87"/>
      <c r="C1888" s="87"/>
      <c r="D1888" s="87"/>
      <c r="E1888" s="87"/>
      <c r="F1888" s="87"/>
      <c r="G1888" s="87"/>
      <c r="H1888" s="87"/>
      <c r="I1888" s="87"/>
      <c r="J1888" s="87"/>
      <c r="K1888" s="87"/>
      <c r="L1888" s="87"/>
      <c r="M1888" s="87"/>
      <c r="N1888" s="100"/>
      <c r="O1888" s="100"/>
    </row>
    <row r="1889" spans="1:15">
      <c r="A1889" s="87"/>
      <c r="B1889" s="87"/>
      <c r="C1889" s="87"/>
      <c r="D1889" s="87"/>
      <c r="E1889" s="87"/>
      <c r="F1889" s="87"/>
      <c r="G1889" s="87"/>
      <c r="H1889" s="87"/>
      <c r="I1889" s="87"/>
      <c r="J1889" s="87"/>
      <c r="K1889" s="87"/>
      <c r="L1889" s="87"/>
      <c r="M1889" s="87"/>
      <c r="N1889" s="100"/>
      <c r="O1889" s="100"/>
    </row>
    <row r="1890" spans="1:15">
      <c r="A1890" s="87"/>
      <c r="B1890" s="87"/>
      <c r="C1890" s="87"/>
      <c r="D1890" s="87"/>
      <c r="E1890" s="87"/>
      <c r="F1890" s="87"/>
      <c r="G1890" s="87"/>
      <c r="H1890" s="87"/>
      <c r="I1890" s="87"/>
      <c r="J1890" s="87"/>
      <c r="K1890" s="87"/>
      <c r="L1890" s="87"/>
      <c r="M1890" s="87"/>
      <c r="N1890" s="100"/>
      <c r="O1890" s="100"/>
    </row>
    <row r="1891" spans="1:15">
      <c r="A1891" s="87"/>
      <c r="B1891" s="87"/>
      <c r="C1891" s="87"/>
      <c r="D1891" s="87"/>
      <c r="E1891" s="87"/>
      <c r="F1891" s="87"/>
      <c r="G1891" s="87"/>
      <c r="H1891" s="87"/>
      <c r="I1891" s="87"/>
      <c r="J1891" s="87"/>
      <c r="K1891" s="87"/>
      <c r="L1891" s="87"/>
      <c r="M1891" s="87"/>
      <c r="N1891" s="100"/>
      <c r="O1891" s="100"/>
    </row>
    <row r="1892" spans="1:15">
      <c r="A1892" s="87"/>
      <c r="B1892" s="87"/>
      <c r="C1892" s="87"/>
      <c r="D1892" s="87"/>
      <c r="E1892" s="87"/>
      <c r="F1892" s="87"/>
      <c r="G1892" s="87"/>
      <c r="H1892" s="87"/>
      <c r="I1892" s="87"/>
      <c r="J1892" s="87"/>
      <c r="K1892" s="87"/>
      <c r="L1892" s="87"/>
      <c r="M1892" s="87"/>
      <c r="N1892" s="100"/>
      <c r="O1892" s="100"/>
    </row>
    <row r="1893" spans="1:15">
      <c r="A1893" s="87"/>
      <c r="B1893" s="87"/>
      <c r="C1893" s="87"/>
      <c r="D1893" s="87"/>
      <c r="E1893" s="87"/>
      <c r="F1893" s="87"/>
      <c r="G1893" s="87"/>
      <c r="H1893" s="87"/>
      <c r="I1893" s="87"/>
      <c r="J1893" s="87"/>
      <c r="K1893" s="87"/>
      <c r="L1893" s="87"/>
      <c r="M1893" s="87"/>
      <c r="N1893" s="100"/>
      <c r="O1893" s="100"/>
    </row>
    <row r="1894" spans="1:15">
      <c r="A1894" s="87"/>
      <c r="B1894" s="87"/>
      <c r="C1894" s="87"/>
      <c r="D1894" s="87"/>
      <c r="E1894" s="87"/>
      <c r="F1894" s="87"/>
      <c r="G1894" s="87"/>
      <c r="H1894" s="87"/>
      <c r="I1894" s="87"/>
      <c r="J1894" s="87"/>
      <c r="K1894" s="87"/>
      <c r="L1894" s="87"/>
      <c r="M1894" s="87"/>
      <c r="N1894" s="100"/>
      <c r="O1894" s="100"/>
    </row>
    <row r="1895" spans="1:15">
      <c r="A1895" s="87"/>
      <c r="B1895" s="87"/>
      <c r="C1895" s="87"/>
      <c r="D1895" s="87"/>
      <c r="E1895" s="87"/>
      <c r="F1895" s="87"/>
      <c r="G1895" s="87"/>
      <c r="H1895" s="87"/>
      <c r="I1895" s="87"/>
      <c r="J1895" s="87"/>
      <c r="K1895" s="87"/>
      <c r="L1895" s="87"/>
      <c r="M1895" s="87"/>
      <c r="N1895" s="100"/>
      <c r="O1895" s="100"/>
    </row>
    <row r="1896" spans="1:15">
      <c r="A1896" s="87"/>
      <c r="B1896" s="87"/>
      <c r="C1896" s="87"/>
      <c r="D1896" s="87"/>
      <c r="E1896" s="87"/>
      <c r="F1896" s="87"/>
      <c r="G1896" s="87"/>
      <c r="H1896" s="87"/>
      <c r="I1896" s="87"/>
      <c r="J1896" s="87"/>
      <c r="K1896" s="87"/>
      <c r="L1896" s="87"/>
      <c r="M1896" s="87"/>
      <c r="N1896" s="100"/>
      <c r="O1896" s="100"/>
    </row>
    <row r="1897" spans="1:15">
      <c r="A1897" s="87"/>
      <c r="B1897" s="87"/>
      <c r="C1897" s="87"/>
      <c r="D1897" s="87"/>
      <c r="E1897" s="87"/>
      <c r="F1897" s="87"/>
      <c r="G1897" s="87"/>
      <c r="H1897" s="87"/>
      <c r="I1897" s="87"/>
      <c r="J1897" s="87"/>
      <c r="K1897" s="87"/>
      <c r="L1897" s="87"/>
      <c r="M1897" s="87"/>
      <c r="N1897" s="100"/>
      <c r="O1897" s="100"/>
    </row>
    <row r="1898" spans="1:15">
      <c r="A1898" s="87"/>
      <c r="B1898" s="87"/>
      <c r="C1898" s="87"/>
      <c r="D1898" s="87"/>
      <c r="E1898" s="87"/>
      <c r="F1898" s="87"/>
      <c r="G1898" s="87"/>
      <c r="H1898" s="87"/>
      <c r="I1898" s="87"/>
      <c r="J1898" s="87"/>
      <c r="K1898" s="87"/>
      <c r="L1898" s="87"/>
      <c r="M1898" s="87"/>
      <c r="N1898" s="100"/>
      <c r="O1898" s="100"/>
    </row>
    <row r="1899" spans="1:15">
      <c r="A1899" s="87"/>
      <c r="B1899" s="87"/>
      <c r="C1899" s="87"/>
      <c r="D1899" s="87"/>
      <c r="E1899" s="87"/>
      <c r="F1899" s="87"/>
      <c r="G1899" s="87"/>
      <c r="H1899" s="87"/>
      <c r="I1899" s="87"/>
      <c r="J1899" s="87"/>
      <c r="K1899" s="87"/>
      <c r="L1899" s="87"/>
      <c r="M1899" s="87"/>
      <c r="N1899" s="100"/>
      <c r="O1899" s="100"/>
    </row>
    <row r="1900" spans="1:15">
      <c r="A1900" s="87"/>
      <c r="B1900" s="87"/>
      <c r="C1900" s="87"/>
      <c r="D1900" s="87"/>
      <c r="E1900" s="87"/>
      <c r="F1900" s="87"/>
      <c r="G1900" s="87"/>
      <c r="H1900" s="87"/>
      <c r="I1900" s="87"/>
      <c r="J1900" s="87"/>
      <c r="K1900" s="87"/>
      <c r="L1900" s="87"/>
      <c r="M1900" s="87"/>
      <c r="N1900" s="100"/>
      <c r="O1900" s="100"/>
    </row>
    <row r="1901" spans="1:15">
      <c r="A1901" s="87"/>
      <c r="B1901" s="87"/>
      <c r="C1901" s="87"/>
      <c r="D1901" s="87"/>
      <c r="E1901" s="87"/>
      <c r="F1901" s="87"/>
      <c r="G1901" s="87"/>
      <c r="H1901" s="87"/>
      <c r="I1901" s="87"/>
      <c r="J1901" s="87"/>
      <c r="K1901" s="87"/>
      <c r="L1901" s="87"/>
      <c r="M1901" s="87"/>
      <c r="N1901" s="100"/>
      <c r="O1901" s="100"/>
    </row>
    <row r="1902" spans="1:15">
      <c r="A1902" s="87"/>
      <c r="B1902" s="87"/>
      <c r="C1902" s="87"/>
      <c r="D1902" s="87"/>
      <c r="E1902" s="87"/>
      <c r="F1902" s="87"/>
      <c r="G1902" s="87"/>
      <c r="H1902" s="87"/>
      <c r="I1902" s="87"/>
      <c r="J1902" s="87"/>
      <c r="K1902" s="87"/>
      <c r="L1902" s="87"/>
      <c r="M1902" s="87"/>
      <c r="N1902" s="100"/>
      <c r="O1902" s="100"/>
    </row>
    <row r="1903" spans="1:15">
      <c r="A1903" s="87"/>
      <c r="B1903" s="87"/>
      <c r="C1903" s="87"/>
      <c r="D1903" s="87"/>
      <c r="E1903" s="87"/>
      <c r="F1903" s="87"/>
      <c r="G1903" s="87"/>
      <c r="H1903" s="87"/>
      <c r="I1903" s="87"/>
      <c r="J1903" s="87"/>
      <c r="K1903" s="87"/>
      <c r="L1903" s="87"/>
      <c r="M1903" s="87"/>
      <c r="N1903" s="100"/>
      <c r="O1903" s="100"/>
    </row>
    <row r="1904" spans="1:15">
      <c r="A1904" s="87"/>
      <c r="B1904" s="87"/>
      <c r="C1904" s="87"/>
      <c r="D1904" s="87"/>
      <c r="E1904" s="87"/>
      <c r="F1904" s="87"/>
      <c r="G1904" s="87"/>
      <c r="H1904" s="87"/>
      <c r="I1904" s="87"/>
      <c r="J1904" s="87"/>
      <c r="K1904" s="87"/>
      <c r="L1904" s="87"/>
      <c r="M1904" s="87"/>
      <c r="N1904" s="100"/>
      <c r="O1904" s="100"/>
    </row>
    <row r="1905" spans="1:15">
      <c r="A1905" s="87"/>
      <c r="B1905" s="87"/>
      <c r="C1905" s="87"/>
      <c r="D1905" s="87"/>
      <c r="E1905" s="87"/>
      <c r="F1905" s="87"/>
      <c r="G1905" s="87"/>
      <c r="H1905" s="87"/>
      <c r="I1905" s="87"/>
      <c r="J1905" s="87"/>
      <c r="K1905" s="87"/>
      <c r="L1905" s="87"/>
      <c r="M1905" s="87"/>
      <c r="N1905" s="100"/>
      <c r="O1905" s="100"/>
    </row>
    <row r="1906" spans="1:15">
      <c r="A1906" s="87"/>
      <c r="B1906" s="87"/>
      <c r="C1906" s="87"/>
      <c r="D1906" s="87"/>
      <c r="E1906" s="87"/>
      <c r="F1906" s="87"/>
      <c r="G1906" s="87"/>
      <c r="H1906" s="87"/>
      <c r="I1906" s="87"/>
      <c r="J1906" s="87"/>
      <c r="K1906" s="87"/>
      <c r="L1906" s="87"/>
      <c r="M1906" s="87"/>
      <c r="N1906" s="100"/>
      <c r="O1906" s="100"/>
    </row>
    <row r="1907" spans="1:15">
      <c r="A1907" s="87"/>
      <c r="B1907" s="87"/>
      <c r="C1907" s="87"/>
      <c r="D1907" s="87"/>
      <c r="E1907" s="87"/>
      <c r="F1907" s="87"/>
      <c r="G1907" s="87"/>
      <c r="H1907" s="87"/>
      <c r="I1907" s="87"/>
      <c r="J1907" s="87"/>
      <c r="K1907" s="87"/>
      <c r="L1907" s="87"/>
      <c r="M1907" s="87"/>
      <c r="N1907" s="100"/>
      <c r="O1907" s="100"/>
    </row>
    <row r="1908" spans="1:15">
      <c r="A1908" s="87"/>
      <c r="B1908" s="87"/>
      <c r="C1908" s="87"/>
      <c r="D1908" s="87"/>
      <c r="E1908" s="87"/>
      <c r="F1908" s="87"/>
      <c r="G1908" s="87"/>
      <c r="H1908" s="87"/>
      <c r="I1908" s="87"/>
      <c r="J1908" s="87"/>
      <c r="K1908" s="87"/>
      <c r="L1908" s="87"/>
      <c r="M1908" s="87"/>
      <c r="N1908" s="100"/>
      <c r="O1908" s="100"/>
    </row>
    <row r="1909" spans="1:15">
      <c r="A1909" s="87"/>
      <c r="B1909" s="87"/>
      <c r="C1909" s="87"/>
      <c r="D1909" s="87"/>
      <c r="E1909" s="87"/>
      <c r="F1909" s="87"/>
      <c r="G1909" s="87"/>
      <c r="H1909" s="87"/>
      <c r="I1909" s="87"/>
      <c r="J1909" s="87"/>
      <c r="K1909" s="87"/>
      <c r="L1909" s="87"/>
      <c r="M1909" s="87"/>
      <c r="N1909" s="100"/>
      <c r="O1909" s="100"/>
    </row>
    <row r="1910" spans="1:15">
      <c r="A1910" s="87"/>
      <c r="B1910" s="87"/>
      <c r="C1910" s="87"/>
      <c r="D1910" s="87"/>
      <c r="E1910" s="87"/>
      <c r="F1910" s="87"/>
      <c r="G1910" s="87"/>
      <c r="H1910" s="87"/>
      <c r="I1910" s="87"/>
      <c r="J1910" s="87"/>
      <c r="K1910" s="87"/>
      <c r="L1910" s="87"/>
      <c r="M1910" s="87"/>
      <c r="N1910" s="100"/>
      <c r="O1910" s="100"/>
    </row>
    <row r="1911" spans="1:15">
      <c r="A1911" s="87"/>
      <c r="B1911" s="87"/>
      <c r="C1911" s="87"/>
      <c r="D1911" s="87"/>
      <c r="E1911" s="87"/>
      <c r="F1911" s="87"/>
      <c r="G1911" s="87"/>
      <c r="H1911" s="87"/>
      <c r="I1911" s="87"/>
      <c r="J1911" s="87"/>
      <c r="K1911" s="87"/>
      <c r="L1911" s="87"/>
      <c r="M1911" s="87"/>
      <c r="N1911" s="100"/>
      <c r="O1911" s="100"/>
    </row>
    <row r="1912" spans="1:15">
      <c r="A1912" s="87"/>
      <c r="B1912" s="87"/>
      <c r="C1912" s="87"/>
      <c r="D1912" s="87"/>
      <c r="E1912" s="87"/>
      <c r="F1912" s="87"/>
      <c r="G1912" s="87"/>
      <c r="H1912" s="87"/>
      <c r="I1912" s="87"/>
      <c r="J1912" s="87"/>
      <c r="K1912" s="87"/>
      <c r="L1912" s="87"/>
      <c r="M1912" s="87"/>
      <c r="N1912" s="100"/>
      <c r="O1912" s="100"/>
    </row>
    <row r="1913" spans="1:15">
      <c r="A1913" s="87"/>
      <c r="B1913" s="87"/>
      <c r="C1913" s="87"/>
      <c r="D1913" s="87"/>
      <c r="E1913" s="87"/>
      <c r="F1913" s="87"/>
      <c r="G1913" s="87"/>
      <c r="H1913" s="87"/>
      <c r="I1913" s="87"/>
      <c r="J1913" s="87"/>
      <c r="K1913" s="87"/>
      <c r="L1913" s="87"/>
      <c r="M1913" s="87"/>
      <c r="N1913" s="100"/>
      <c r="O1913" s="100"/>
    </row>
    <row r="1914" spans="1:15">
      <c r="A1914" s="87"/>
      <c r="B1914" s="87"/>
      <c r="C1914" s="87"/>
      <c r="D1914" s="87"/>
      <c r="E1914" s="87"/>
      <c r="F1914" s="87"/>
      <c r="G1914" s="87"/>
      <c r="H1914" s="87"/>
      <c r="I1914" s="87"/>
      <c r="J1914" s="87"/>
      <c r="K1914" s="87"/>
      <c r="L1914" s="87"/>
      <c r="M1914" s="87"/>
      <c r="N1914" s="100"/>
      <c r="O1914" s="100"/>
    </row>
    <row r="1915" spans="1:15">
      <c r="A1915" s="87"/>
      <c r="B1915" s="87"/>
      <c r="C1915" s="87"/>
      <c r="D1915" s="87"/>
      <c r="E1915" s="87"/>
      <c r="F1915" s="87"/>
      <c r="G1915" s="87"/>
      <c r="H1915" s="87"/>
      <c r="I1915" s="87"/>
      <c r="J1915" s="87"/>
      <c r="K1915" s="87"/>
      <c r="L1915" s="87"/>
      <c r="M1915" s="87"/>
      <c r="N1915" s="100"/>
      <c r="O1915" s="100"/>
    </row>
    <row r="1916" spans="1:15">
      <c r="A1916" s="87"/>
      <c r="B1916" s="87"/>
      <c r="C1916" s="87"/>
      <c r="D1916" s="87"/>
      <c r="E1916" s="87"/>
      <c r="F1916" s="87"/>
      <c r="G1916" s="87"/>
      <c r="H1916" s="87"/>
      <c r="I1916" s="87"/>
      <c r="J1916" s="87"/>
      <c r="K1916" s="87"/>
      <c r="L1916" s="87"/>
      <c r="M1916" s="87"/>
      <c r="N1916" s="100"/>
      <c r="O1916" s="100"/>
    </row>
    <row r="1917" spans="1:15">
      <c r="A1917" s="87"/>
      <c r="B1917" s="87"/>
      <c r="C1917" s="87"/>
      <c r="D1917" s="87"/>
      <c r="E1917" s="87"/>
      <c r="F1917" s="87"/>
      <c r="G1917" s="87"/>
      <c r="H1917" s="87"/>
      <c r="I1917" s="87"/>
      <c r="J1917" s="87"/>
      <c r="K1917" s="87"/>
      <c r="L1917" s="87"/>
      <c r="M1917" s="87"/>
      <c r="N1917" s="100"/>
      <c r="O1917" s="100"/>
    </row>
    <row r="1918" spans="1:15">
      <c r="A1918" s="87"/>
      <c r="B1918" s="87"/>
      <c r="C1918" s="87"/>
      <c r="D1918" s="87"/>
      <c r="E1918" s="87"/>
      <c r="F1918" s="87"/>
      <c r="G1918" s="87"/>
      <c r="H1918" s="87"/>
      <c r="I1918" s="87"/>
      <c r="J1918" s="87"/>
      <c r="K1918" s="87"/>
      <c r="L1918" s="87"/>
      <c r="M1918" s="87"/>
      <c r="N1918" s="100"/>
      <c r="O1918" s="100"/>
    </row>
    <row r="1919" spans="1:15">
      <c r="A1919" s="87"/>
      <c r="B1919" s="87"/>
      <c r="C1919" s="87"/>
      <c r="D1919" s="87"/>
      <c r="E1919" s="87"/>
      <c r="F1919" s="87"/>
      <c r="G1919" s="87"/>
      <c r="H1919" s="87"/>
      <c r="I1919" s="87"/>
      <c r="J1919" s="87"/>
      <c r="K1919" s="87"/>
      <c r="L1919" s="87"/>
      <c r="M1919" s="87"/>
      <c r="N1919" s="100"/>
      <c r="O1919" s="100"/>
    </row>
    <row r="1920" spans="1:15">
      <c r="A1920" s="87"/>
      <c r="B1920" s="87"/>
      <c r="C1920" s="87"/>
      <c r="D1920" s="87"/>
      <c r="E1920" s="87"/>
      <c r="F1920" s="87"/>
      <c r="G1920" s="87"/>
      <c r="H1920" s="87"/>
      <c r="I1920" s="87"/>
      <c r="J1920" s="87"/>
      <c r="K1920" s="87"/>
      <c r="L1920" s="87"/>
      <c r="M1920" s="87"/>
      <c r="N1920" s="100"/>
      <c r="O1920" s="100"/>
    </row>
    <row r="1921" spans="1:15">
      <c r="A1921" s="87"/>
      <c r="B1921" s="87"/>
      <c r="C1921" s="87"/>
      <c r="D1921" s="87"/>
      <c r="E1921" s="87"/>
      <c r="F1921" s="87"/>
      <c r="G1921" s="87"/>
      <c r="H1921" s="87"/>
      <c r="I1921" s="87"/>
      <c r="J1921" s="87"/>
      <c r="K1921" s="87"/>
      <c r="L1921" s="87"/>
      <c r="M1921" s="87"/>
      <c r="N1921" s="100"/>
      <c r="O1921" s="100"/>
    </row>
    <row r="1922" spans="1:15">
      <c r="A1922" s="87"/>
      <c r="B1922" s="87"/>
      <c r="C1922" s="87"/>
      <c r="D1922" s="87"/>
      <c r="E1922" s="87"/>
      <c r="F1922" s="87"/>
      <c r="G1922" s="87"/>
      <c r="H1922" s="87"/>
      <c r="I1922" s="87"/>
      <c r="J1922" s="87"/>
      <c r="K1922" s="87"/>
      <c r="L1922" s="87"/>
      <c r="M1922" s="87"/>
      <c r="N1922" s="100"/>
      <c r="O1922" s="100"/>
    </row>
    <row r="1923" spans="1:15">
      <c r="A1923" s="87"/>
      <c r="B1923" s="87"/>
      <c r="C1923" s="87"/>
      <c r="D1923" s="87"/>
      <c r="E1923" s="87"/>
      <c r="F1923" s="87"/>
      <c r="G1923" s="87"/>
      <c r="H1923" s="87"/>
      <c r="I1923" s="87"/>
      <c r="J1923" s="87"/>
      <c r="K1923" s="87"/>
      <c r="L1923" s="87"/>
      <c r="M1923" s="87"/>
      <c r="N1923" s="100"/>
      <c r="O1923" s="100"/>
    </row>
    <row r="1924" spans="1:15">
      <c r="A1924" s="87"/>
      <c r="B1924" s="87"/>
      <c r="C1924" s="87"/>
      <c r="D1924" s="87"/>
      <c r="E1924" s="87"/>
      <c r="F1924" s="87"/>
      <c r="G1924" s="87"/>
      <c r="H1924" s="87"/>
      <c r="I1924" s="87"/>
      <c r="J1924" s="87"/>
      <c r="K1924" s="87"/>
      <c r="L1924" s="87"/>
      <c r="M1924" s="87"/>
      <c r="N1924" s="100"/>
      <c r="O1924" s="100"/>
    </row>
    <row r="1925" spans="1:15">
      <c r="A1925" s="87"/>
      <c r="B1925" s="87"/>
      <c r="C1925" s="87"/>
      <c r="D1925" s="87"/>
      <c r="E1925" s="87"/>
      <c r="F1925" s="87"/>
      <c r="G1925" s="87"/>
      <c r="H1925" s="87"/>
      <c r="I1925" s="87"/>
      <c r="J1925" s="87"/>
      <c r="K1925" s="87"/>
      <c r="L1925" s="87"/>
      <c r="M1925" s="87"/>
      <c r="N1925" s="100"/>
      <c r="O1925" s="100"/>
    </row>
    <row r="1926" spans="1:15">
      <c r="A1926" s="87"/>
      <c r="B1926" s="87"/>
      <c r="C1926" s="87"/>
      <c r="D1926" s="87"/>
      <c r="E1926" s="87"/>
      <c r="F1926" s="87"/>
      <c r="G1926" s="87"/>
      <c r="H1926" s="87"/>
      <c r="I1926" s="87"/>
      <c r="J1926" s="87"/>
      <c r="K1926" s="87"/>
      <c r="L1926" s="87"/>
      <c r="M1926" s="87"/>
      <c r="N1926" s="100"/>
      <c r="O1926" s="100"/>
    </row>
    <row r="1927" spans="1:15">
      <c r="A1927" s="87"/>
      <c r="B1927" s="87"/>
      <c r="C1927" s="87"/>
      <c r="D1927" s="87"/>
      <c r="E1927" s="87"/>
      <c r="F1927" s="87"/>
      <c r="G1927" s="87"/>
      <c r="H1927" s="87"/>
      <c r="I1927" s="87"/>
      <c r="J1927" s="87"/>
      <c r="K1927" s="87"/>
      <c r="L1927" s="87"/>
      <c r="M1927" s="87"/>
      <c r="N1927" s="100"/>
      <c r="O1927" s="100"/>
    </row>
    <row r="1928" spans="1:15">
      <c r="A1928" s="87"/>
      <c r="B1928" s="87"/>
      <c r="C1928" s="87"/>
      <c r="D1928" s="87"/>
      <c r="E1928" s="87"/>
      <c r="F1928" s="87"/>
      <c r="G1928" s="87"/>
      <c r="H1928" s="87"/>
      <c r="I1928" s="87"/>
      <c r="J1928" s="87"/>
      <c r="K1928" s="87"/>
      <c r="L1928" s="87"/>
      <c r="M1928" s="87"/>
      <c r="N1928" s="100"/>
      <c r="O1928" s="100"/>
    </row>
    <row r="1929" spans="1:15">
      <c r="A1929" s="87"/>
      <c r="B1929" s="87"/>
      <c r="C1929" s="87"/>
      <c r="D1929" s="87"/>
      <c r="E1929" s="87"/>
      <c r="F1929" s="87"/>
      <c r="G1929" s="87"/>
      <c r="H1929" s="87"/>
      <c r="I1929" s="87"/>
      <c r="J1929" s="87"/>
      <c r="K1929" s="87"/>
      <c r="L1929" s="87"/>
      <c r="M1929" s="87"/>
      <c r="N1929" s="100"/>
      <c r="O1929" s="100"/>
    </row>
    <row r="1930" spans="1:15">
      <c r="A1930" s="87"/>
      <c r="B1930" s="87"/>
      <c r="C1930" s="87"/>
      <c r="D1930" s="87"/>
      <c r="E1930" s="87"/>
      <c r="F1930" s="87"/>
      <c r="G1930" s="87"/>
      <c r="H1930" s="87"/>
      <c r="I1930" s="87"/>
      <c r="J1930" s="87"/>
      <c r="K1930" s="87"/>
      <c r="L1930" s="87"/>
      <c r="M1930" s="87"/>
      <c r="N1930" s="100"/>
      <c r="O1930" s="100"/>
    </row>
    <row r="1931" spans="1:15">
      <c r="A1931" s="87"/>
      <c r="B1931" s="87"/>
      <c r="C1931" s="87"/>
      <c r="D1931" s="87"/>
      <c r="E1931" s="87"/>
      <c r="F1931" s="87"/>
      <c r="G1931" s="87"/>
      <c r="H1931" s="87"/>
      <c r="I1931" s="87"/>
      <c r="J1931" s="87"/>
      <c r="K1931" s="87"/>
      <c r="L1931" s="87"/>
      <c r="M1931" s="87"/>
      <c r="N1931" s="100"/>
      <c r="O1931" s="100"/>
    </row>
    <row r="1932" spans="1:15">
      <c r="A1932" s="87"/>
      <c r="B1932" s="87"/>
      <c r="C1932" s="87"/>
      <c r="D1932" s="87"/>
      <c r="E1932" s="87"/>
      <c r="F1932" s="87"/>
      <c r="G1932" s="87"/>
      <c r="H1932" s="87"/>
      <c r="I1932" s="87"/>
      <c r="J1932" s="87"/>
      <c r="K1932" s="87"/>
      <c r="L1932" s="87"/>
      <c r="M1932" s="87"/>
      <c r="N1932" s="100"/>
      <c r="O1932" s="100"/>
    </row>
    <row r="1933" spans="1:15">
      <c r="A1933" s="87"/>
      <c r="B1933" s="87"/>
      <c r="C1933" s="87"/>
      <c r="D1933" s="87"/>
      <c r="E1933" s="87"/>
      <c r="F1933" s="87"/>
      <c r="G1933" s="87"/>
      <c r="H1933" s="87"/>
      <c r="I1933" s="87"/>
      <c r="J1933" s="87"/>
      <c r="K1933" s="87"/>
      <c r="L1933" s="87"/>
      <c r="M1933" s="87"/>
      <c r="N1933" s="100"/>
      <c r="O1933" s="100"/>
    </row>
    <row r="1934" spans="1:15">
      <c r="A1934" s="87"/>
      <c r="B1934" s="87"/>
      <c r="C1934" s="87"/>
      <c r="D1934" s="87"/>
      <c r="E1934" s="87"/>
      <c r="F1934" s="87"/>
      <c r="G1934" s="87"/>
      <c r="H1934" s="87"/>
      <c r="I1934" s="87"/>
      <c r="J1934" s="87"/>
      <c r="K1934" s="87"/>
      <c r="L1934" s="87"/>
      <c r="M1934" s="87"/>
      <c r="N1934" s="100"/>
      <c r="O1934" s="100"/>
    </row>
    <row r="1935" spans="1:15">
      <c r="A1935" s="87"/>
      <c r="B1935" s="87"/>
      <c r="C1935" s="87"/>
      <c r="D1935" s="87"/>
      <c r="E1935" s="87"/>
      <c r="F1935" s="87"/>
      <c r="G1935" s="87"/>
      <c r="H1935" s="87"/>
      <c r="I1935" s="87"/>
      <c r="J1935" s="87"/>
      <c r="K1935" s="87"/>
      <c r="L1935" s="87"/>
      <c r="M1935" s="87"/>
      <c r="N1935" s="100"/>
      <c r="O1935" s="100"/>
    </row>
    <row r="1936" spans="1:15">
      <c r="A1936" s="87"/>
      <c r="B1936" s="87"/>
      <c r="C1936" s="87"/>
      <c r="D1936" s="87"/>
      <c r="E1936" s="87"/>
      <c r="F1936" s="87"/>
      <c r="G1936" s="87"/>
      <c r="H1936" s="87"/>
      <c r="I1936" s="87"/>
      <c r="J1936" s="87"/>
      <c r="K1936" s="87"/>
      <c r="L1936" s="87"/>
      <c r="M1936" s="87"/>
      <c r="N1936" s="100"/>
      <c r="O1936" s="100"/>
    </row>
    <row r="1937" spans="1:15">
      <c r="A1937" s="87"/>
      <c r="B1937" s="87"/>
      <c r="C1937" s="87"/>
      <c r="D1937" s="87"/>
      <c r="E1937" s="87"/>
      <c r="F1937" s="87"/>
      <c r="G1937" s="87"/>
      <c r="H1937" s="87"/>
      <c r="I1937" s="87"/>
      <c r="J1937" s="87"/>
      <c r="K1937" s="87"/>
      <c r="L1937" s="87"/>
      <c r="M1937" s="87"/>
      <c r="N1937" s="100"/>
      <c r="O1937" s="100"/>
    </row>
    <row r="1938" spans="1:15">
      <c r="A1938" s="87"/>
      <c r="B1938" s="87"/>
      <c r="C1938" s="87"/>
      <c r="D1938" s="87"/>
      <c r="E1938" s="87"/>
      <c r="F1938" s="87"/>
      <c r="G1938" s="87"/>
      <c r="H1938" s="87"/>
      <c r="I1938" s="87"/>
      <c r="J1938" s="87"/>
      <c r="K1938" s="87"/>
      <c r="L1938" s="87"/>
      <c r="M1938" s="87"/>
      <c r="N1938" s="100"/>
      <c r="O1938" s="100"/>
    </row>
    <row r="1939" spans="1:15">
      <c r="A1939" s="87"/>
      <c r="B1939" s="87"/>
      <c r="C1939" s="87"/>
      <c r="D1939" s="87"/>
      <c r="E1939" s="87"/>
      <c r="F1939" s="87"/>
      <c r="G1939" s="87"/>
      <c r="H1939" s="87"/>
      <c r="I1939" s="87"/>
      <c r="J1939" s="87"/>
      <c r="K1939" s="87"/>
      <c r="L1939" s="87"/>
      <c r="M1939" s="87"/>
      <c r="N1939" s="100"/>
      <c r="O1939" s="100"/>
    </row>
    <row r="1940" spans="1:15">
      <c r="A1940" s="87"/>
      <c r="B1940" s="87"/>
      <c r="C1940" s="87"/>
      <c r="D1940" s="87"/>
      <c r="E1940" s="87"/>
      <c r="F1940" s="87"/>
      <c r="G1940" s="87"/>
      <c r="H1940" s="87"/>
      <c r="I1940" s="87"/>
      <c r="J1940" s="87"/>
      <c r="K1940" s="87"/>
      <c r="L1940" s="87"/>
      <c r="M1940" s="87"/>
      <c r="N1940" s="100"/>
      <c r="O1940" s="100"/>
    </row>
    <row r="1941" spans="1:15">
      <c r="A1941" s="87"/>
      <c r="B1941" s="87"/>
      <c r="C1941" s="87"/>
      <c r="D1941" s="87"/>
      <c r="E1941" s="87"/>
      <c r="F1941" s="87"/>
      <c r="G1941" s="87"/>
      <c r="H1941" s="87"/>
      <c r="I1941" s="87"/>
      <c r="J1941" s="87"/>
      <c r="K1941" s="87"/>
      <c r="L1941" s="87"/>
      <c r="M1941" s="87"/>
      <c r="N1941" s="100"/>
      <c r="O1941" s="100"/>
    </row>
    <row r="1942" spans="1:15">
      <c r="A1942" s="87"/>
      <c r="B1942" s="87"/>
      <c r="C1942" s="87"/>
      <c r="D1942" s="87"/>
      <c r="E1942" s="87"/>
      <c r="F1942" s="87"/>
      <c r="G1942" s="87"/>
      <c r="H1942" s="87"/>
      <c r="I1942" s="87"/>
      <c r="J1942" s="87"/>
      <c r="K1942" s="87"/>
      <c r="L1942" s="87"/>
      <c r="M1942" s="87"/>
      <c r="N1942" s="100"/>
      <c r="O1942" s="100"/>
    </row>
    <row r="1943" spans="1:15">
      <c r="A1943" s="87"/>
      <c r="B1943" s="87"/>
      <c r="C1943" s="87"/>
      <c r="D1943" s="87"/>
      <c r="E1943" s="87"/>
      <c r="F1943" s="87"/>
      <c r="G1943" s="87"/>
      <c r="H1943" s="87"/>
      <c r="I1943" s="87"/>
      <c r="J1943" s="87"/>
      <c r="K1943" s="87"/>
      <c r="L1943" s="87"/>
      <c r="M1943" s="87"/>
      <c r="N1943" s="100"/>
      <c r="O1943" s="100"/>
    </row>
    <row r="1944" spans="1:15">
      <c r="A1944" s="87"/>
      <c r="B1944" s="87"/>
      <c r="C1944" s="87"/>
      <c r="D1944" s="87"/>
      <c r="E1944" s="87"/>
      <c r="F1944" s="87"/>
      <c r="G1944" s="87"/>
      <c r="H1944" s="87"/>
      <c r="I1944" s="87"/>
      <c r="J1944" s="87"/>
      <c r="K1944" s="87"/>
      <c r="L1944" s="87"/>
      <c r="M1944" s="87"/>
      <c r="N1944" s="100"/>
      <c r="O1944" s="100"/>
    </row>
    <row r="1945" spans="1:15">
      <c r="A1945" s="87"/>
      <c r="B1945" s="87"/>
      <c r="C1945" s="87"/>
      <c r="D1945" s="87"/>
      <c r="E1945" s="87"/>
      <c r="F1945" s="87"/>
      <c r="G1945" s="87"/>
      <c r="H1945" s="87"/>
      <c r="I1945" s="87"/>
      <c r="J1945" s="87"/>
      <c r="K1945" s="87"/>
      <c r="L1945" s="87"/>
      <c r="M1945" s="87"/>
      <c r="N1945" s="100"/>
      <c r="O1945" s="100"/>
    </row>
    <row r="1946" spans="1:15">
      <c r="A1946" s="87"/>
      <c r="B1946" s="87"/>
      <c r="C1946" s="87"/>
      <c r="D1946" s="87"/>
      <c r="E1946" s="87"/>
      <c r="F1946" s="87"/>
      <c r="G1946" s="87"/>
      <c r="H1946" s="87"/>
      <c r="I1946" s="87"/>
      <c r="J1946" s="87"/>
      <c r="K1946" s="87"/>
      <c r="L1946" s="87"/>
      <c r="M1946" s="87"/>
      <c r="N1946" s="100"/>
      <c r="O1946" s="100"/>
    </row>
    <row r="1947" spans="1:15">
      <c r="A1947" s="87"/>
      <c r="B1947" s="87"/>
      <c r="C1947" s="87"/>
      <c r="D1947" s="87"/>
      <c r="E1947" s="87"/>
      <c r="F1947" s="87"/>
      <c r="G1947" s="87"/>
      <c r="H1947" s="87"/>
      <c r="I1947" s="87"/>
      <c r="J1947" s="87"/>
      <c r="K1947" s="87"/>
      <c r="L1947" s="87"/>
      <c r="M1947" s="87"/>
      <c r="N1947" s="100"/>
      <c r="O1947" s="100"/>
    </row>
    <row r="1948" spans="1:15">
      <c r="A1948" s="87"/>
      <c r="B1948" s="87"/>
      <c r="C1948" s="87"/>
      <c r="D1948" s="87"/>
      <c r="E1948" s="87"/>
      <c r="F1948" s="87"/>
      <c r="G1948" s="87"/>
      <c r="H1948" s="87"/>
      <c r="I1948" s="87"/>
      <c r="J1948" s="87"/>
      <c r="K1948" s="87"/>
      <c r="L1948" s="87"/>
      <c r="M1948" s="87"/>
      <c r="N1948" s="100"/>
      <c r="O1948" s="100"/>
    </row>
    <row r="1949" spans="1:15">
      <c r="A1949" s="87"/>
      <c r="B1949" s="87"/>
      <c r="C1949" s="87"/>
      <c r="D1949" s="87"/>
      <c r="E1949" s="87"/>
      <c r="F1949" s="87"/>
      <c r="G1949" s="87"/>
      <c r="H1949" s="87"/>
      <c r="I1949" s="87"/>
      <c r="J1949" s="87"/>
      <c r="K1949" s="87"/>
      <c r="L1949" s="87"/>
      <c r="M1949" s="87"/>
      <c r="N1949" s="100"/>
      <c r="O1949" s="100"/>
    </row>
    <row r="1950" spans="1:15">
      <c r="A1950" s="87"/>
      <c r="B1950" s="87"/>
      <c r="C1950" s="87"/>
      <c r="D1950" s="87"/>
      <c r="E1950" s="87"/>
      <c r="F1950" s="87"/>
      <c r="G1950" s="87"/>
      <c r="H1950" s="87"/>
      <c r="I1950" s="87"/>
      <c r="J1950" s="87"/>
      <c r="K1950" s="87"/>
      <c r="L1950" s="87"/>
      <c r="M1950" s="87"/>
      <c r="N1950" s="100"/>
      <c r="O1950" s="100"/>
    </row>
    <row r="1951" spans="1:15">
      <c r="A1951" s="87"/>
      <c r="B1951" s="87"/>
      <c r="C1951" s="87"/>
      <c r="D1951" s="87"/>
      <c r="E1951" s="87"/>
      <c r="F1951" s="87"/>
      <c r="G1951" s="87"/>
      <c r="H1951" s="87"/>
      <c r="I1951" s="87"/>
      <c r="J1951" s="87"/>
      <c r="K1951" s="87"/>
      <c r="L1951" s="87"/>
      <c r="M1951" s="87"/>
      <c r="N1951" s="100"/>
      <c r="O1951" s="100"/>
    </row>
    <row r="1952" spans="1:15">
      <c r="A1952" s="87"/>
      <c r="B1952" s="87"/>
      <c r="C1952" s="87"/>
      <c r="D1952" s="87"/>
      <c r="E1952" s="87"/>
      <c r="F1952" s="87"/>
      <c r="G1952" s="87"/>
      <c r="H1952" s="87"/>
      <c r="I1952" s="87"/>
      <c r="J1952" s="87"/>
      <c r="K1952" s="87"/>
      <c r="L1952" s="87"/>
      <c r="M1952" s="87"/>
      <c r="N1952" s="100"/>
      <c r="O1952" s="100"/>
    </row>
    <row r="1953" spans="1:15">
      <c r="A1953" s="87"/>
      <c r="B1953" s="87"/>
      <c r="C1953" s="87"/>
      <c r="D1953" s="87"/>
      <c r="E1953" s="87"/>
      <c r="F1953" s="87"/>
      <c r="G1953" s="87"/>
      <c r="H1953" s="87"/>
      <c r="I1953" s="87"/>
      <c r="J1953" s="87"/>
      <c r="K1953" s="87"/>
      <c r="L1953" s="87"/>
      <c r="M1953" s="87"/>
      <c r="N1953" s="100"/>
      <c r="O1953" s="100"/>
    </row>
    <row r="1954" spans="1:15">
      <c r="A1954" s="87"/>
      <c r="B1954" s="87"/>
      <c r="C1954" s="87"/>
      <c r="D1954" s="87"/>
      <c r="E1954" s="87"/>
      <c r="F1954" s="87"/>
      <c r="G1954" s="87"/>
      <c r="H1954" s="87"/>
      <c r="I1954" s="87"/>
      <c r="J1954" s="87"/>
      <c r="K1954" s="87"/>
      <c r="L1954" s="87"/>
      <c r="M1954" s="87"/>
      <c r="N1954" s="100"/>
      <c r="O1954" s="100"/>
    </row>
    <row r="1955" spans="1:15">
      <c r="A1955" s="87"/>
      <c r="B1955" s="87"/>
      <c r="C1955" s="87"/>
      <c r="D1955" s="87"/>
      <c r="E1955" s="87"/>
      <c r="F1955" s="87"/>
      <c r="G1955" s="87"/>
      <c r="H1955" s="87"/>
      <c r="I1955" s="87"/>
      <c r="J1955" s="87"/>
      <c r="K1955" s="87"/>
      <c r="L1955" s="87"/>
      <c r="M1955" s="87"/>
      <c r="N1955" s="100"/>
      <c r="O1955" s="100"/>
    </row>
    <row r="1956" spans="1:15">
      <c r="A1956" s="87"/>
      <c r="B1956" s="87"/>
      <c r="C1956" s="87"/>
      <c r="D1956" s="87"/>
      <c r="E1956" s="87"/>
      <c r="F1956" s="87"/>
      <c r="G1956" s="87"/>
      <c r="H1956" s="87"/>
      <c r="I1956" s="87"/>
      <c r="J1956" s="87"/>
      <c r="K1956" s="87"/>
      <c r="L1956" s="87"/>
      <c r="M1956" s="87"/>
      <c r="N1956" s="100"/>
      <c r="O1956" s="100"/>
    </row>
    <row r="1957" spans="1:15">
      <c r="A1957" s="87"/>
      <c r="B1957" s="87"/>
      <c r="C1957" s="87"/>
      <c r="D1957" s="87"/>
      <c r="E1957" s="87"/>
      <c r="F1957" s="87"/>
      <c r="G1957" s="87"/>
      <c r="H1957" s="87"/>
      <c r="I1957" s="87"/>
      <c r="J1957" s="87"/>
      <c r="K1957" s="87"/>
      <c r="L1957" s="87"/>
      <c r="M1957" s="87"/>
      <c r="N1957" s="100"/>
      <c r="O1957" s="100"/>
    </row>
    <row r="1958" spans="1:15">
      <c r="A1958" s="87"/>
      <c r="B1958" s="87"/>
      <c r="C1958" s="87"/>
      <c r="D1958" s="87"/>
      <c r="E1958" s="87"/>
      <c r="F1958" s="87"/>
      <c r="G1958" s="87"/>
      <c r="H1958" s="87"/>
      <c r="I1958" s="87"/>
      <c r="J1958" s="87"/>
      <c r="K1958" s="87"/>
      <c r="L1958" s="87"/>
      <c r="M1958" s="87"/>
      <c r="N1958" s="100"/>
      <c r="O1958" s="100"/>
    </row>
    <row r="1959" spans="1:15">
      <c r="A1959" s="87"/>
      <c r="B1959" s="87"/>
      <c r="C1959" s="87"/>
      <c r="D1959" s="87"/>
      <c r="E1959" s="87"/>
      <c r="F1959" s="87"/>
      <c r="G1959" s="87"/>
      <c r="H1959" s="87"/>
      <c r="I1959" s="87"/>
      <c r="J1959" s="87"/>
      <c r="K1959" s="87"/>
      <c r="L1959" s="87"/>
      <c r="M1959" s="87"/>
      <c r="N1959" s="100"/>
      <c r="O1959" s="100"/>
    </row>
    <row r="1960" spans="1:15">
      <c r="A1960" s="87"/>
      <c r="B1960" s="87"/>
      <c r="C1960" s="87"/>
      <c r="D1960" s="87"/>
      <c r="E1960" s="87"/>
      <c r="F1960" s="87"/>
      <c r="G1960" s="87"/>
      <c r="H1960" s="87"/>
      <c r="I1960" s="87"/>
      <c r="J1960" s="87"/>
      <c r="K1960" s="87"/>
      <c r="L1960" s="87"/>
      <c r="M1960" s="87"/>
      <c r="N1960" s="100"/>
      <c r="O1960" s="100"/>
    </row>
    <row r="1961" spans="1:15">
      <c r="A1961" s="87"/>
      <c r="B1961" s="87"/>
      <c r="C1961" s="87"/>
      <c r="D1961" s="87"/>
      <c r="E1961" s="87"/>
      <c r="F1961" s="87"/>
      <c r="G1961" s="87"/>
      <c r="H1961" s="87"/>
      <c r="I1961" s="87"/>
      <c r="J1961" s="87"/>
      <c r="K1961" s="87"/>
      <c r="L1961" s="87"/>
      <c r="M1961" s="87"/>
      <c r="N1961" s="100"/>
      <c r="O1961" s="100"/>
    </row>
    <row r="1962" spans="1:15">
      <c r="A1962" s="87"/>
      <c r="B1962" s="87"/>
      <c r="C1962" s="87"/>
      <c r="D1962" s="87"/>
      <c r="E1962" s="87"/>
      <c r="F1962" s="87"/>
      <c r="G1962" s="87"/>
      <c r="H1962" s="87"/>
      <c r="I1962" s="87"/>
      <c r="J1962" s="87"/>
      <c r="K1962" s="87"/>
      <c r="L1962" s="87"/>
      <c r="M1962" s="87"/>
      <c r="N1962" s="100"/>
      <c r="O1962" s="100"/>
    </row>
    <row r="1963" spans="1:15">
      <c r="A1963" s="87"/>
      <c r="B1963" s="87"/>
      <c r="C1963" s="87"/>
      <c r="D1963" s="87"/>
      <c r="E1963" s="87"/>
      <c r="F1963" s="87"/>
      <c r="G1963" s="87"/>
      <c r="H1963" s="87"/>
      <c r="I1963" s="87"/>
      <c r="J1963" s="87"/>
      <c r="K1963" s="87"/>
      <c r="L1963" s="87"/>
      <c r="M1963" s="87"/>
      <c r="N1963" s="100"/>
      <c r="O1963" s="100"/>
    </row>
    <row r="1964" spans="1:15">
      <c r="A1964" s="87"/>
      <c r="B1964" s="87"/>
      <c r="C1964" s="87"/>
      <c r="D1964" s="87"/>
      <c r="E1964" s="87"/>
      <c r="F1964" s="87"/>
      <c r="G1964" s="87"/>
      <c r="H1964" s="87"/>
      <c r="I1964" s="87"/>
      <c r="J1964" s="87"/>
      <c r="K1964" s="87"/>
      <c r="L1964" s="87"/>
      <c r="M1964" s="87"/>
      <c r="N1964" s="100"/>
      <c r="O1964" s="100"/>
    </row>
    <row r="1965" spans="1:15">
      <c r="A1965" s="87"/>
      <c r="B1965" s="87"/>
      <c r="C1965" s="87"/>
      <c r="D1965" s="87"/>
      <c r="E1965" s="87"/>
      <c r="F1965" s="87"/>
      <c r="G1965" s="87"/>
      <c r="H1965" s="87"/>
      <c r="I1965" s="87"/>
      <c r="J1965" s="87"/>
      <c r="K1965" s="87"/>
      <c r="L1965" s="87"/>
      <c r="M1965" s="87"/>
      <c r="N1965" s="100"/>
      <c r="O1965" s="100"/>
    </row>
    <row r="1966" spans="1:15">
      <c r="A1966" s="87"/>
      <c r="B1966" s="87"/>
      <c r="C1966" s="87"/>
      <c r="D1966" s="87"/>
      <c r="E1966" s="87"/>
      <c r="F1966" s="87"/>
      <c r="G1966" s="87"/>
      <c r="H1966" s="87"/>
      <c r="I1966" s="87"/>
      <c r="J1966" s="87"/>
      <c r="K1966" s="87"/>
      <c r="L1966" s="87"/>
      <c r="M1966" s="87"/>
      <c r="N1966" s="100"/>
      <c r="O1966" s="100"/>
    </row>
    <row r="1967" spans="1:15">
      <c r="A1967" s="87"/>
      <c r="B1967" s="87"/>
      <c r="C1967" s="87"/>
      <c r="D1967" s="87"/>
      <c r="E1967" s="87"/>
      <c r="F1967" s="87"/>
      <c r="G1967" s="87"/>
      <c r="H1967" s="87"/>
      <c r="I1967" s="87"/>
      <c r="J1967" s="87"/>
      <c r="K1967" s="87"/>
      <c r="L1967" s="87"/>
      <c r="M1967" s="87"/>
      <c r="N1967" s="100"/>
      <c r="O1967" s="100"/>
    </row>
  </sheetData>
  <phoneticPr fontId="15" type="noConversion"/>
  <conditionalFormatting sqref="C594:E1643 C5:E11 F6:H11 C170:H593 C147:H168 C124:H144 C101:H120 C78:H96 C55:H72 C33:H48 H28 C13:E15">
    <cfRule type="cellIs" dxfId="603" priority="27" operator="greaterThan">
      <formula>0.03</formula>
    </cfRule>
    <cfRule type="cellIs" dxfId="602" priority="28" stopIfTrue="1" operator="lessThan">
      <formula>-0.03</formula>
    </cfRule>
  </conditionalFormatting>
  <conditionalFormatting sqref="F5:H5 G7 G9 G11">
    <cfRule type="cellIs" dxfId="601" priority="25" operator="greaterThan">
      <formula>0.03</formula>
    </cfRule>
    <cfRule type="cellIs" dxfId="600" priority="26" stopIfTrue="1" operator="lessThan">
      <formula>-0.03</formula>
    </cfRule>
  </conditionalFormatting>
  <conditionalFormatting sqref="F13:H13">
    <cfRule type="cellIs" dxfId="599" priority="23" operator="greaterThan">
      <formula>0.03</formula>
    </cfRule>
    <cfRule type="cellIs" dxfId="598" priority="24" stopIfTrue="1" operator="lessThan">
      <formula>-0.03</formula>
    </cfRule>
  </conditionalFormatting>
  <conditionalFormatting sqref="F14:H15">
    <cfRule type="cellIs" dxfId="597" priority="21" operator="greaterThan">
      <formula>0.03</formula>
    </cfRule>
    <cfRule type="cellIs" dxfId="596" priority="22" stopIfTrue="1" operator="lessThan">
      <formula>-0.03</formula>
    </cfRule>
  </conditionalFormatting>
  <conditionalFormatting sqref="C21:D27 E22:G27">
    <cfRule type="cellIs" dxfId="595" priority="19" operator="greaterThan">
      <formula>0.03</formula>
    </cfRule>
    <cfRule type="cellIs" dxfId="594" priority="20" stopIfTrue="1" operator="lessThan">
      <formula>-0.03</formula>
    </cfRule>
  </conditionalFormatting>
  <conditionalFormatting sqref="E21:G21">
    <cfRule type="cellIs" dxfId="593" priority="17" operator="greaterThan">
      <formula>0.03</formula>
    </cfRule>
    <cfRule type="cellIs" dxfId="592" priority="18" stopIfTrue="1" operator="lessThan">
      <formula>-0.03</formula>
    </cfRule>
  </conditionalFormatting>
  <conditionalFormatting sqref="E29:G29">
    <cfRule type="cellIs" dxfId="591" priority="13" operator="greaterThan">
      <formula>0.03</formula>
    </cfRule>
    <cfRule type="cellIs" dxfId="590" priority="14" stopIfTrue="1" operator="lessThan">
      <formula>-0.03</formula>
    </cfRule>
  </conditionalFormatting>
  <conditionalFormatting sqref="E30:G31">
    <cfRule type="cellIs" dxfId="589" priority="11" operator="greaterThan">
      <formula>0.03</formula>
    </cfRule>
    <cfRule type="cellIs" dxfId="588" priority="12" stopIfTrue="1" operator="lessThan">
      <formula>-0.03</formula>
    </cfRule>
  </conditionalFormatting>
  <conditionalFormatting sqref="C29:D31">
    <cfRule type="cellIs" dxfId="587" priority="15" operator="greaterThan">
      <formula>0.03</formula>
    </cfRule>
    <cfRule type="cellIs" dxfId="586" priority="16" stopIfTrue="1" operator="lessThan">
      <formula>-0.03</formula>
    </cfRule>
  </conditionalFormatting>
  <conditionalFormatting sqref="H22:J27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H21:J21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C12:H12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G12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C28:G28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818"/>
  <sheetViews>
    <sheetView zoomScale="70" zoomScaleNormal="70" workbookViewId="0">
      <selection activeCell="E3" sqref="E3:K418"/>
    </sheetView>
  </sheetViews>
  <sheetFormatPr defaultColWidth="9" defaultRowHeight="12"/>
  <cols>
    <col min="1" max="1" width="8.5" style="20" customWidth="1"/>
    <col min="2" max="2" width="12.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27" ht="16.5" customHeight="1" thickBot="1">
      <c r="A1" s="14"/>
      <c r="B1" s="13"/>
      <c r="C1" s="11"/>
      <c r="D1" s="29"/>
      <c r="E1" s="150" t="s">
        <v>2</v>
      </c>
      <c r="F1" s="150"/>
      <c r="G1" s="150"/>
      <c r="H1" s="150"/>
      <c r="I1" s="150"/>
      <c r="J1" s="150"/>
      <c r="K1" s="151"/>
      <c r="L1" s="11"/>
      <c r="M1" s="152" t="s">
        <v>3</v>
      </c>
      <c r="N1" s="150"/>
      <c r="O1" s="150"/>
      <c r="P1" s="150"/>
      <c r="Q1" s="150"/>
      <c r="R1" s="150"/>
      <c r="S1" s="151"/>
      <c r="T1" s="34"/>
      <c r="U1" s="152" t="s">
        <v>10</v>
      </c>
      <c r="V1" s="150"/>
      <c r="W1" s="151"/>
      <c r="X1" s="29"/>
      <c r="Y1" s="148" t="s">
        <v>1</v>
      </c>
      <c r="Z1" s="148"/>
      <c r="AA1" s="149"/>
    </row>
    <row r="2" spans="1:27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3" t="s">
        <v>23</v>
      </c>
      <c r="Z2" s="73" t="s">
        <v>24</v>
      </c>
      <c r="AA2" s="74" t="s">
        <v>32</v>
      </c>
    </row>
    <row r="3" spans="1:27" ht="12.75">
      <c r="A3" s="26" t="s">
        <v>18</v>
      </c>
      <c r="B3" s="35" t="s">
        <v>11</v>
      </c>
      <c r="C3" s="28" t="s">
        <v>26</v>
      </c>
      <c r="D3" s="31">
        <v>25</v>
      </c>
      <c r="E3" s="130">
        <v>878.05759999999998</v>
      </c>
      <c r="F3" s="130">
        <v>43.095300000000002</v>
      </c>
      <c r="G3" s="130">
        <v>43.405999999999999</v>
      </c>
      <c r="H3" s="130">
        <v>43.974600000000002</v>
      </c>
      <c r="I3" s="130"/>
      <c r="J3" s="131"/>
      <c r="K3" s="132"/>
      <c r="L3" s="29"/>
      <c r="M3" s="139">
        <v>878.03920000000005</v>
      </c>
      <c r="N3" s="139">
        <v>43.095300000000002</v>
      </c>
      <c r="O3" s="139">
        <v>43.405999999999999</v>
      </c>
      <c r="P3" s="139">
        <v>43.974600000000002</v>
      </c>
      <c r="Q3" s="139"/>
      <c r="R3" s="140"/>
      <c r="S3" s="141"/>
      <c r="U3" s="8">
        <f>bdrate($E3:$E6,F3:F6,$M3:$M6,N3:N6)</f>
        <v>-5.8787786441638623E-5</v>
      </c>
      <c r="V3" s="9">
        <f>bdrate($E3:$E6,G3:G6,$M3:$M6,O3:O6)</f>
        <v>-5.3592458903684026E-5</v>
      </c>
      <c r="W3" s="10">
        <f>bdrate($E3:$E6,H3:H6,$M3:$M6,P3:P6)</f>
        <v>-5.2926043548784385E-5</v>
      </c>
      <c r="X3" s="29"/>
      <c r="Y3" s="22"/>
      <c r="Z3" s="22"/>
      <c r="AA3" s="26"/>
    </row>
    <row r="4" spans="1:27" ht="12.75">
      <c r="A4" s="27"/>
      <c r="B4" s="36"/>
      <c r="C4" s="29"/>
      <c r="D4" s="32">
        <v>30</v>
      </c>
      <c r="E4" s="133">
        <v>481.55200000000002</v>
      </c>
      <c r="F4" s="133">
        <v>41.046100000000003</v>
      </c>
      <c r="G4" s="133">
        <v>42.135899999999999</v>
      </c>
      <c r="H4" s="133">
        <v>42.337499999999999</v>
      </c>
      <c r="I4" s="133"/>
      <c r="J4" s="134"/>
      <c r="K4" s="135"/>
      <c r="L4" s="29"/>
      <c r="M4" s="142">
        <v>481.53359999999998</v>
      </c>
      <c r="N4" s="142">
        <v>41.046100000000003</v>
      </c>
      <c r="O4" s="142">
        <v>42.135899999999999</v>
      </c>
      <c r="P4" s="142">
        <v>42.337499999999999</v>
      </c>
      <c r="Q4" s="142"/>
      <c r="R4" s="143"/>
      <c r="S4" s="144"/>
      <c r="U4" s="41"/>
      <c r="V4" s="42"/>
      <c r="W4" s="43"/>
      <c r="X4" s="29"/>
      <c r="Y4" s="24"/>
      <c r="Z4" s="24"/>
      <c r="AA4" s="27"/>
    </row>
    <row r="5" spans="1:27" ht="12.75">
      <c r="A5" s="27"/>
      <c r="B5" s="36"/>
      <c r="C5" s="29"/>
      <c r="D5" s="32">
        <v>35</v>
      </c>
      <c r="E5" s="133">
        <v>277.3152</v>
      </c>
      <c r="F5" s="133">
        <v>38.459400000000002</v>
      </c>
      <c r="G5" s="133">
        <v>40.651200000000003</v>
      </c>
      <c r="H5" s="133">
        <v>40.526899999999998</v>
      </c>
      <c r="I5" s="133"/>
      <c r="J5" s="134"/>
      <c r="K5" s="135"/>
      <c r="L5" s="29"/>
      <c r="M5" s="142">
        <v>277.29680000000002</v>
      </c>
      <c r="N5" s="142">
        <v>38.459400000000002</v>
      </c>
      <c r="O5" s="142">
        <v>40.651200000000003</v>
      </c>
      <c r="P5" s="142">
        <v>40.526899999999998</v>
      </c>
      <c r="Q5" s="142"/>
      <c r="R5" s="143"/>
      <c r="S5" s="144"/>
      <c r="U5" s="41"/>
      <c r="V5" s="42"/>
      <c r="W5" s="43"/>
      <c r="X5" s="29"/>
      <c r="Y5" s="24"/>
      <c r="Z5" s="24"/>
      <c r="AA5" s="27"/>
    </row>
    <row r="6" spans="1:27" ht="13.5" thickBot="1">
      <c r="A6" s="27"/>
      <c r="B6" s="36"/>
      <c r="C6" s="29"/>
      <c r="D6" s="32">
        <v>40</v>
      </c>
      <c r="E6" s="136">
        <v>167.92080000000001</v>
      </c>
      <c r="F6" s="136">
        <v>35.64</v>
      </c>
      <c r="G6" s="136">
        <v>39.566600000000001</v>
      </c>
      <c r="H6" s="136">
        <v>39.223599999999998</v>
      </c>
      <c r="I6" s="136"/>
      <c r="J6" s="137"/>
      <c r="K6" s="138"/>
      <c r="L6" s="29"/>
      <c r="M6" s="145">
        <v>167.9024</v>
      </c>
      <c r="N6" s="145">
        <v>35.64</v>
      </c>
      <c r="O6" s="145">
        <v>39.566600000000001</v>
      </c>
      <c r="P6" s="145">
        <v>39.223599999999998</v>
      </c>
      <c r="Q6" s="145"/>
      <c r="R6" s="146"/>
      <c r="S6" s="147"/>
      <c r="U6" s="41"/>
      <c r="V6" s="42"/>
      <c r="W6" s="43"/>
      <c r="X6" s="29"/>
      <c r="Y6" s="24"/>
      <c r="Z6" s="24"/>
      <c r="AA6" s="27"/>
    </row>
    <row r="7" spans="1:27" ht="12.75">
      <c r="A7" s="27"/>
      <c r="B7" s="36"/>
      <c r="C7" s="28" t="s">
        <v>27</v>
      </c>
      <c r="D7" s="31">
        <v>25</v>
      </c>
      <c r="E7" s="133">
        <v>268.25040000000001</v>
      </c>
      <c r="F7" s="133">
        <v>42.221899999999998</v>
      </c>
      <c r="G7" s="133">
        <v>43.103400000000001</v>
      </c>
      <c r="H7" s="133">
        <v>43.126800000000003</v>
      </c>
      <c r="I7" s="133"/>
      <c r="J7" s="134"/>
      <c r="K7" s="135"/>
      <c r="L7" s="29"/>
      <c r="M7" s="142">
        <v>268.23200000000003</v>
      </c>
      <c r="N7" s="142">
        <v>42.221899999999998</v>
      </c>
      <c r="O7" s="142">
        <v>43.103400000000001</v>
      </c>
      <c r="P7" s="142">
        <v>43.126800000000003</v>
      </c>
      <c r="Q7" s="142"/>
      <c r="R7" s="143"/>
      <c r="S7" s="144"/>
      <c r="U7" s="8">
        <f>bdrate($E7:$E10,F7:F10,$M7:$M10,N7:N10)</f>
        <v>-2.5062189400582024E-4</v>
      </c>
      <c r="V7" s="9">
        <f>bdrate($E7:$E10,G7:G10,$M7:$M10,O7:O10)</f>
        <v>-2.323238940283856E-4</v>
      </c>
      <c r="W7" s="10">
        <f>bdrate($E7:$E10,H7:H10,$M7:$M10,P7:P10)</f>
        <v>-2.2709899923711863E-4</v>
      </c>
      <c r="X7" s="29"/>
      <c r="Y7" s="24"/>
      <c r="Z7" s="24"/>
      <c r="AA7" s="27"/>
    </row>
    <row r="8" spans="1:27" ht="12.75">
      <c r="A8" s="27"/>
      <c r="B8" s="36"/>
      <c r="C8" s="29"/>
      <c r="D8" s="32">
        <v>30</v>
      </c>
      <c r="E8" s="133">
        <v>122.2368</v>
      </c>
      <c r="F8" s="133">
        <v>39.906599999999997</v>
      </c>
      <c r="G8" s="133">
        <v>41.8245</v>
      </c>
      <c r="H8" s="133">
        <v>41.539299999999997</v>
      </c>
      <c r="I8" s="133"/>
      <c r="J8" s="134"/>
      <c r="K8" s="135"/>
      <c r="L8" s="29"/>
      <c r="M8" s="142">
        <v>122.2184</v>
      </c>
      <c r="N8" s="142">
        <v>39.906599999999997</v>
      </c>
      <c r="O8" s="142">
        <v>41.8245</v>
      </c>
      <c r="P8" s="142">
        <v>41.539299999999997</v>
      </c>
      <c r="Q8" s="142"/>
      <c r="R8" s="143"/>
      <c r="S8" s="144"/>
      <c r="U8" s="17"/>
      <c r="V8" s="18"/>
      <c r="W8" s="19"/>
      <c r="X8" s="29"/>
      <c r="Y8" s="24"/>
      <c r="Z8" s="24"/>
      <c r="AA8" s="27"/>
    </row>
    <row r="9" spans="1:27" ht="12.75">
      <c r="A9" s="27"/>
      <c r="B9" s="36"/>
      <c r="C9" s="29"/>
      <c r="D9" s="32">
        <v>35</v>
      </c>
      <c r="E9" s="133">
        <v>63.795999999999999</v>
      </c>
      <c r="F9" s="133">
        <v>37.3125</v>
      </c>
      <c r="G9" s="133">
        <v>40.564799999999998</v>
      </c>
      <c r="H9" s="133">
        <v>40.048499999999997</v>
      </c>
      <c r="I9" s="133"/>
      <c r="J9" s="134"/>
      <c r="K9" s="135"/>
      <c r="L9" s="29"/>
      <c r="M9" s="142">
        <v>63.7776</v>
      </c>
      <c r="N9" s="142">
        <v>37.3125</v>
      </c>
      <c r="O9" s="142">
        <v>40.564799999999998</v>
      </c>
      <c r="P9" s="142">
        <v>40.048499999999997</v>
      </c>
      <c r="Q9" s="142"/>
      <c r="R9" s="143"/>
      <c r="S9" s="144"/>
      <c r="U9" s="41"/>
      <c r="V9" s="44"/>
      <c r="W9" s="43"/>
      <c r="X9" s="29"/>
      <c r="Y9" s="24"/>
      <c r="Z9" s="24"/>
      <c r="AA9" s="27"/>
    </row>
    <row r="10" spans="1:27" ht="13.5" thickBot="1">
      <c r="A10" s="27"/>
      <c r="B10" s="36"/>
      <c r="C10" s="29"/>
      <c r="D10" s="32">
        <v>40</v>
      </c>
      <c r="E10" s="133">
        <v>33.463999999999999</v>
      </c>
      <c r="F10" s="133">
        <v>34.592199999999998</v>
      </c>
      <c r="G10" s="133">
        <v>39.476799999999997</v>
      </c>
      <c r="H10" s="133">
        <v>38.8217</v>
      </c>
      <c r="I10" s="133"/>
      <c r="J10" s="134"/>
      <c r="K10" s="135"/>
      <c r="L10" s="29"/>
      <c r="M10" s="142">
        <v>33.445599999999999</v>
      </c>
      <c r="N10" s="142">
        <v>34.592199999999998</v>
      </c>
      <c r="O10" s="142">
        <v>39.476799999999997</v>
      </c>
      <c r="P10" s="142">
        <v>38.8217</v>
      </c>
      <c r="Q10" s="142"/>
      <c r="R10" s="143"/>
      <c r="S10" s="144"/>
      <c r="U10" s="41"/>
      <c r="V10" s="42"/>
      <c r="W10" s="43"/>
      <c r="X10" s="29"/>
      <c r="Y10" s="24"/>
      <c r="Z10" s="24"/>
      <c r="AA10" s="27"/>
    </row>
    <row r="11" spans="1:27" ht="12.75">
      <c r="A11" s="27"/>
      <c r="B11" s="36"/>
      <c r="C11" s="28" t="s">
        <v>28</v>
      </c>
      <c r="D11" s="31">
        <v>25</v>
      </c>
      <c r="E11" s="130">
        <v>297.48880000000003</v>
      </c>
      <c r="F11" s="130">
        <v>41.895499999999998</v>
      </c>
      <c r="G11" s="130">
        <v>42.5441</v>
      </c>
      <c r="H11" s="130">
        <v>42.863799999999998</v>
      </c>
      <c r="I11" s="130"/>
      <c r="J11" s="131"/>
      <c r="K11" s="132"/>
      <c r="L11" s="29"/>
      <c r="M11" s="139">
        <v>297.47120000000001</v>
      </c>
      <c r="N11" s="139">
        <v>41.895499999999998</v>
      </c>
      <c r="O11" s="139">
        <v>42.5441</v>
      </c>
      <c r="P11" s="139">
        <v>42.863799999999998</v>
      </c>
      <c r="Q11" s="139"/>
      <c r="R11" s="140"/>
      <c r="S11" s="141"/>
      <c r="U11" s="8">
        <f>bdrate($E11:$E14,F11:F14,$M11:$M14,N11:N14)</f>
        <v>-2.1767507703407407E-4</v>
      </c>
      <c r="V11" s="9">
        <f>bdrate($E11:$E14,G11:G14,$M11:$M14,O11:O14)</f>
        <v>-1.9760773125065967E-4</v>
      </c>
      <c r="W11" s="10">
        <f>bdrate($E11:$E14,H11:H14,$M11:$M14,P11:P14)</f>
        <v>-1.984622887523102E-4</v>
      </c>
      <c r="X11" s="29"/>
      <c r="Y11" s="24"/>
      <c r="Z11" s="24"/>
      <c r="AA11" s="27"/>
    </row>
    <row r="12" spans="1:27" ht="12.75">
      <c r="A12" s="27"/>
      <c r="B12" s="36"/>
      <c r="C12" s="29"/>
      <c r="D12" s="32">
        <v>30</v>
      </c>
      <c r="E12" s="133">
        <v>134.9632</v>
      </c>
      <c r="F12" s="133">
        <v>39.661799999999999</v>
      </c>
      <c r="G12" s="133">
        <v>41.218000000000004</v>
      </c>
      <c r="H12" s="133">
        <v>41.310699999999997</v>
      </c>
      <c r="I12" s="133"/>
      <c r="J12" s="134"/>
      <c r="K12" s="135"/>
      <c r="L12" s="29"/>
      <c r="M12" s="142">
        <v>134.94560000000001</v>
      </c>
      <c r="N12" s="142">
        <v>39.661799999999999</v>
      </c>
      <c r="O12" s="142">
        <v>41.218000000000004</v>
      </c>
      <c r="P12" s="142">
        <v>41.310699999999997</v>
      </c>
      <c r="Q12" s="142"/>
      <c r="R12" s="143"/>
      <c r="S12" s="144"/>
      <c r="U12" s="41"/>
      <c r="V12" s="42"/>
      <c r="W12" s="43"/>
      <c r="X12" s="29"/>
      <c r="Y12" s="24"/>
      <c r="Z12" s="24"/>
      <c r="AA12" s="27"/>
    </row>
    <row r="13" spans="1:27" ht="12.75">
      <c r="A13" s="27"/>
      <c r="B13" s="36"/>
      <c r="C13" s="29"/>
      <c r="D13" s="32">
        <v>35</v>
      </c>
      <c r="E13" s="133">
        <v>70.525599999999997</v>
      </c>
      <c r="F13" s="133">
        <v>37.1038</v>
      </c>
      <c r="G13" s="133">
        <v>40.0627</v>
      </c>
      <c r="H13" s="133">
        <v>39.874899999999997</v>
      </c>
      <c r="I13" s="133"/>
      <c r="J13" s="134"/>
      <c r="K13" s="135"/>
      <c r="L13" s="29"/>
      <c r="M13" s="142">
        <v>70.507999999999996</v>
      </c>
      <c r="N13" s="142">
        <v>37.1038</v>
      </c>
      <c r="O13" s="142">
        <v>40.0627</v>
      </c>
      <c r="P13" s="142">
        <v>39.874899999999997</v>
      </c>
      <c r="Q13" s="142"/>
      <c r="R13" s="143"/>
      <c r="S13" s="144"/>
      <c r="U13" s="17"/>
      <c r="V13" s="18"/>
      <c r="W13" s="19"/>
      <c r="X13" s="29"/>
      <c r="Y13" s="24"/>
      <c r="Z13" s="24"/>
      <c r="AA13" s="27"/>
    </row>
    <row r="14" spans="1:27" ht="13.5" thickBot="1">
      <c r="A14" s="27"/>
      <c r="B14" s="36"/>
      <c r="C14" s="51"/>
      <c r="D14" s="69">
        <v>40</v>
      </c>
      <c r="E14" s="136">
        <v>37.292000000000002</v>
      </c>
      <c r="F14" s="136">
        <v>34.402700000000003</v>
      </c>
      <c r="G14" s="136">
        <v>39.013399999999997</v>
      </c>
      <c r="H14" s="136">
        <v>38.618400000000001</v>
      </c>
      <c r="I14" s="136"/>
      <c r="J14" s="137"/>
      <c r="K14" s="138"/>
      <c r="L14" s="29"/>
      <c r="M14" s="145">
        <v>37.2744</v>
      </c>
      <c r="N14" s="145">
        <v>34.402700000000003</v>
      </c>
      <c r="O14" s="145">
        <v>39.013399999999997</v>
      </c>
      <c r="P14" s="145">
        <v>38.618400000000001</v>
      </c>
      <c r="Q14" s="145"/>
      <c r="R14" s="146"/>
      <c r="S14" s="147"/>
      <c r="U14" s="41"/>
      <c r="V14" s="42"/>
      <c r="W14" s="43"/>
      <c r="X14" s="29"/>
      <c r="Y14" s="24"/>
      <c r="Z14" s="24"/>
      <c r="AA14" s="27"/>
    </row>
    <row r="15" spans="1:27" ht="12.75">
      <c r="A15" s="27"/>
      <c r="B15" s="36"/>
      <c r="C15" s="28" t="s">
        <v>29</v>
      </c>
      <c r="D15" s="31">
        <v>34</v>
      </c>
      <c r="E15" s="130">
        <v>117.1728</v>
      </c>
      <c r="F15" s="130">
        <v>39.561700000000002</v>
      </c>
      <c r="G15" s="130"/>
      <c r="H15" s="130"/>
      <c r="I15" s="130"/>
      <c r="J15" s="131"/>
      <c r="K15" s="132"/>
      <c r="L15" s="29"/>
      <c r="M15" s="139">
        <v>117.1728</v>
      </c>
      <c r="N15" s="139">
        <v>39.561700000000002</v>
      </c>
      <c r="O15" s="139"/>
      <c r="P15" s="139"/>
      <c r="Q15" s="139"/>
      <c r="R15" s="140"/>
      <c r="S15" s="141"/>
      <c r="U15" s="8">
        <f>bdrate($E15:$E18,F15:F18,$M15:$M18,N15:N18)</f>
        <v>0</v>
      </c>
      <c r="V15" s="9"/>
      <c r="W15" s="10"/>
      <c r="X15" s="29"/>
      <c r="Y15" s="24"/>
      <c r="Z15" s="24"/>
      <c r="AA15" s="27"/>
    </row>
    <row r="16" spans="1:27" ht="12.75">
      <c r="A16" s="27"/>
      <c r="B16" s="36"/>
      <c r="C16" s="29"/>
      <c r="D16" s="32">
        <v>39</v>
      </c>
      <c r="E16" s="133">
        <v>39.053600000000003</v>
      </c>
      <c r="F16" s="133">
        <v>36.4148</v>
      </c>
      <c r="G16" s="133"/>
      <c r="H16" s="133"/>
      <c r="I16" s="133"/>
      <c r="J16" s="134"/>
      <c r="K16" s="135"/>
      <c r="L16" s="29"/>
      <c r="M16" s="142">
        <v>39.053600000000003</v>
      </c>
      <c r="N16" s="142">
        <v>36.4148</v>
      </c>
      <c r="O16" s="142"/>
      <c r="P16" s="142"/>
      <c r="Q16" s="142"/>
      <c r="R16" s="143"/>
      <c r="S16" s="144"/>
      <c r="U16" s="41"/>
      <c r="V16" s="42"/>
      <c r="W16" s="43"/>
      <c r="X16" s="29"/>
      <c r="Y16" s="24"/>
      <c r="Z16" s="24"/>
      <c r="AA16" s="27"/>
    </row>
    <row r="17" spans="1:27" ht="12.75">
      <c r="A17" s="27"/>
      <c r="B17" s="36"/>
      <c r="C17" s="29"/>
      <c r="D17" s="32">
        <v>42</v>
      </c>
      <c r="E17" s="133">
        <v>16.968800000000002</v>
      </c>
      <c r="F17" s="133">
        <v>33.936</v>
      </c>
      <c r="G17" s="133"/>
      <c r="H17" s="133"/>
      <c r="I17" s="133"/>
      <c r="J17" s="134"/>
      <c r="K17" s="135"/>
      <c r="L17" s="29"/>
      <c r="M17" s="142">
        <v>16.968800000000002</v>
      </c>
      <c r="N17" s="142">
        <v>33.936</v>
      </c>
      <c r="O17" s="142"/>
      <c r="P17" s="142"/>
      <c r="Q17" s="142"/>
      <c r="R17" s="143"/>
      <c r="S17" s="144"/>
      <c r="U17" s="41"/>
      <c r="V17" s="42"/>
      <c r="W17" s="43"/>
      <c r="X17" s="29"/>
      <c r="Y17" s="24"/>
      <c r="Z17" s="24"/>
      <c r="AA17" s="27"/>
    </row>
    <row r="18" spans="1:27" ht="13.5" thickBot="1">
      <c r="A18" s="27"/>
      <c r="B18" s="36"/>
      <c r="C18" s="29"/>
      <c r="D18" s="32">
        <v>45</v>
      </c>
      <c r="E18" s="136">
        <v>8.5815999999999999</v>
      </c>
      <c r="F18" s="136">
        <v>31.384399999999999</v>
      </c>
      <c r="G18" s="136"/>
      <c r="H18" s="136"/>
      <c r="I18" s="136"/>
      <c r="J18" s="137"/>
      <c r="K18" s="138"/>
      <c r="L18" s="29"/>
      <c r="M18" s="145">
        <v>8.5815999999999999</v>
      </c>
      <c r="N18" s="145">
        <v>31.384399999999999</v>
      </c>
      <c r="O18" s="145"/>
      <c r="P18" s="145"/>
      <c r="Q18" s="145"/>
      <c r="R18" s="146"/>
      <c r="S18" s="147"/>
      <c r="U18" s="17"/>
      <c r="V18" s="18"/>
      <c r="W18" s="19"/>
      <c r="X18" s="29"/>
      <c r="Y18" s="59"/>
      <c r="Z18" s="59"/>
      <c r="AA18" s="55"/>
    </row>
    <row r="19" spans="1:27" ht="12.75">
      <c r="A19" s="27"/>
      <c r="B19" s="36"/>
      <c r="C19" s="28" t="s">
        <v>30</v>
      </c>
      <c r="D19" s="31">
        <v>34</v>
      </c>
      <c r="E19" s="130">
        <v>86.556799999999996</v>
      </c>
      <c r="F19" s="130">
        <v>37.4711</v>
      </c>
      <c r="G19" s="130"/>
      <c r="H19" s="130"/>
      <c r="I19" s="130"/>
      <c r="J19" s="131"/>
      <c r="K19" s="132"/>
      <c r="L19" s="29"/>
      <c r="M19" s="139">
        <v>86.556799999999996</v>
      </c>
      <c r="N19" s="139">
        <v>37.4711</v>
      </c>
      <c r="O19" s="139"/>
      <c r="P19" s="139"/>
      <c r="Q19" s="139"/>
      <c r="R19" s="140"/>
      <c r="S19" s="141"/>
      <c r="U19" s="8">
        <f>bdrate($E19:$E22,F19:F22,$M19:$M22,N19:N22)</f>
        <v>0</v>
      </c>
      <c r="V19" s="9"/>
      <c r="W19" s="10"/>
      <c r="X19" s="29"/>
      <c r="Y19" s="24"/>
      <c r="Z19" s="24"/>
      <c r="AA19" s="27"/>
    </row>
    <row r="20" spans="1:27" ht="12.75">
      <c r="A20" s="27"/>
      <c r="B20" s="36"/>
      <c r="C20" s="29"/>
      <c r="D20" s="32">
        <v>39</v>
      </c>
      <c r="E20" s="133">
        <v>27.9224</v>
      </c>
      <c r="F20" s="133">
        <v>34.454599999999999</v>
      </c>
      <c r="G20" s="133"/>
      <c r="H20" s="133"/>
      <c r="I20" s="133"/>
      <c r="J20" s="134"/>
      <c r="K20" s="135"/>
      <c r="L20" s="29"/>
      <c r="M20" s="142">
        <v>27.9224</v>
      </c>
      <c r="N20" s="142">
        <v>34.454599999999999</v>
      </c>
      <c r="O20" s="142"/>
      <c r="P20" s="142"/>
      <c r="Q20" s="142"/>
      <c r="R20" s="143"/>
      <c r="S20" s="144"/>
      <c r="U20" s="12"/>
      <c r="V20" s="13"/>
      <c r="W20" s="14"/>
      <c r="X20" s="29"/>
      <c r="Y20" s="24"/>
      <c r="Z20" s="24"/>
      <c r="AA20" s="27"/>
    </row>
    <row r="21" spans="1:27" ht="12.75">
      <c r="A21" s="27"/>
      <c r="B21" s="36"/>
      <c r="C21" s="29"/>
      <c r="D21" s="32">
        <v>42</v>
      </c>
      <c r="E21" s="133">
        <v>12.004799999999999</v>
      </c>
      <c r="F21" s="133">
        <v>31.936900000000001</v>
      </c>
      <c r="G21" s="133"/>
      <c r="H21" s="133"/>
      <c r="I21" s="133"/>
      <c r="J21" s="134"/>
      <c r="K21" s="135"/>
      <c r="L21" s="29"/>
      <c r="M21" s="142">
        <v>12.004799999999999</v>
      </c>
      <c r="N21" s="142">
        <v>31.936900000000001</v>
      </c>
      <c r="O21" s="142"/>
      <c r="P21" s="142"/>
      <c r="Q21" s="142"/>
      <c r="R21" s="143"/>
      <c r="S21" s="144"/>
      <c r="U21" s="12"/>
      <c r="V21" s="13"/>
      <c r="W21" s="14"/>
      <c r="X21" s="29"/>
      <c r="Y21" s="24"/>
      <c r="Z21" s="24"/>
      <c r="AA21" s="27"/>
    </row>
    <row r="22" spans="1:27" ht="13.5" thickBot="1">
      <c r="A22" s="27"/>
      <c r="B22" s="36"/>
      <c r="C22" s="29"/>
      <c r="D22" s="32">
        <v>45</v>
      </c>
      <c r="E22" s="136">
        <v>5.7439999999999998</v>
      </c>
      <c r="F22" s="136">
        <v>29.2</v>
      </c>
      <c r="G22" s="136"/>
      <c r="H22" s="136"/>
      <c r="I22" s="136"/>
      <c r="J22" s="137"/>
      <c r="K22" s="138"/>
      <c r="L22" s="29"/>
      <c r="M22" s="145">
        <v>5.7439999999999998</v>
      </c>
      <c r="N22" s="145">
        <v>29.2</v>
      </c>
      <c r="O22" s="145"/>
      <c r="P22" s="145"/>
      <c r="Q22" s="145"/>
      <c r="R22" s="146"/>
      <c r="S22" s="147"/>
      <c r="U22" s="12"/>
      <c r="V22" s="13"/>
      <c r="W22" s="14"/>
      <c r="X22" s="29"/>
      <c r="Y22" s="24"/>
      <c r="Z22" s="24"/>
      <c r="AA22" s="27"/>
    </row>
    <row r="23" spans="1:27" ht="12.75">
      <c r="A23" s="27"/>
      <c r="B23" s="36"/>
      <c r="C23" s="28" t="s">
        <v>31</v>
      </c>
      <c r="D23" s="31">
        <v>34</v>
      </c>
      <c r="E23" s="130">
        <v>96.110399999999998</v>
      </c>
      <c r="F23" s="130">
        <v>36.777999999999999</v>
      </c>
      <c r="G23" s="130"/>
      <c r="H23" s="130"/>
      <c r="I23" s="130"/>
      <c r="J23" s="131"/>
      <c r="K23" s="132"/>
      <c r="L23" s="29"/>
      <c r="M23" s="139">
        <v>96.110399999999998</v>
      </c>
      <c r="N23" s="139">
        <v>36.777999999999999</v>
      </c>
      <c r="O23" s="139"/>
      <c r="P23" s="139"/>
      <c r="Q23" s="139"/>
      <c r="R23" s="140"/>
      <c r="S23" s="141"/>
      <c r="U23" s="8">
        <f>bdrate($E23:$E26,F23:F26,$M23:$M26,N23:N26)</f>
        <v>0</v>
      </c>
      <c r="V23" s="9"/>
      <c r="W23" s="10"/>
      <c r="X23" s="29"/>
      <c r="Y23" s="24"/>
      <c r="Z23" s="24"/>
      <c r="AA23" s="27"/>
    </row>
    <row r="24" spans="1:27" ht="12.75">
      <c r="A24" s="27"/>
      <c r="B24" s="36"/>
      <c r="C24" s="29"/>
      <c r="D24" s="32">
        <v>39</v>
      </c>
      <c r="E24" s="133">
        <v>30.8</v>
      </c>
      <c r="F24" s="133">
        <v>33.572400000000002</v>
      </c>
      <c r="G24" s="133"/>
      <c r="H24" s="133"/>
      <c r="I24" s="133"/>
      <c r="J24" s="134"/>
      <c r="K24" s="135"/>
      <c r="L24" s="29"/>
      <c r="M24" s="142">
        <v>30.8</v>
      </c>
      <c r="N24" s="142">
        <v>33.572400000000002</v>
      </c>
      <c r="O24" s="142"/>
      <c r="P24" s="142"/>
      <c r="Q24" s="142"/>
      <c r="R24" s="143"/>
      <c r="S24" s="144"/>
      <c r="U24" s="41"/>
      <c r="V24" s="42"/>
      <c r="W24" s="43"/>
      <c r="X24" s="29"/>
      <c r="Y24" s="24"/>
      <c r="Z24" s="24"/>
      <c r="AA24" s="27"/>
    </row>
    <row r="25" spans="1:27" ht="12.75">
      <c r="A25" s="27"/>
      <c r="B25" s="36"/>
      <c r="C25" s="29"/>
      <c r="D25" s="32">
        <v>42</v>
      </c>
      <c r="E25" s="133">
        <v>13.343999999999999</v>
      </c>
      <c r="F25" s="133">
        <v>31.040700000000001</v>
      </c>
      <c r="G25" s="133"/>
      <c r="H25" s="133"/>
      <c r="I25" s="133"/>
      <c r="J25" s="134"/>
      <c r="K25" s="135"/>
      <c r="L25" s="29"/>
      <c r="M25" s="142">
        <v>13.343999999999999</v>
      </c>
      <c r="N25" s="142">
        <v>31.040700000000001</v>
      </c>
      <c r="O25" s="142"/>
      <c r="P25" s="142"/>
      <c r="Q25" s="142"/>
      <c r="R25" s="143"/>
      <c r="S25" s="144"/>
      <c r="U25" s="41"/>
      <c r="V25" s="42"/>
      <c r="W25" s="43"/>
      <c r="X25" s="29"/>
      <c r="Y25" s="24"/>
      <c r="Z25" s="24"/>
      <c r="AA25" s="27"/>
    </row>
    <row r="26" spans="1:27" ht="13.5" thickBot="1">
      <c r="A26" s="27"/>
      <c r="B26" s="36"/>
      <c r="C26" s="29"/>
      <c r="D26" s="32">
        <v>45</v>
      </c>
      <c r="E26" s="136">
        <v>6.2839999999999998</v>
      </c>
      <c r="F26" s="136">
        <v>28.098199999999999</v>
      </c>
      <c r="G26" s="136"/>
      <c r="H26" s="136"/>
      <c r="I26" s="136"/>
      <c r="J26" s="137"/>
      <c r="K26" s="138"/>
      <c r="L26" s="29"/>
      <c r="M26" s="145">
        <v>6.2839999999999998</v>
      </c>
      <c r="N26" s="145">
        <v>28.098199999999999</v>
      </c>
      <c r="O26" s="145"/>
      <c r="P26" s="145"/>
      <c r="Q26" s="145"/>
      <c r="R26" s="146"/>
      <c r="S26" s="147"/>
      <c r="U26" s="41"/>
      <c r="V26" s="42"/>
      <c r="W26" s="43"/>
      <c r="X26" s="29"/>
      <c r="Y26" s="24"/>
      <c r="Z26" s="24"/>
      <c r="AA26" s="27"/>
    </row>
    <row r="27" spans="1:27" ht="12.75">
      <c r="A27" s="27"/>
      <c r="B27" s="36"/>
      <c r="C27" s="28" t="s">
        <v>47</v>
      </c>
      <c r="D27" s="31">
        <v>25</v>
      </c>
      <c r="E27" s="130" t="s">
        <v>62</v>
      </c>
      <c r="F27" s="130">
        <v>42.323099999999997</v>
      </c>
      <c r="G27" s="130">
        <v>45.359900000000003</v>
      </c>
      <c r="H27" s="130">
        <v>45.085999999999999</v>
      </c>
      <c r="I27" s="130"/>
      <c r="J27" s="131"/>
      <c r="K27" s="132"/>
      <c r="L27" s="29"/>
      <c r="M27" s="139" t="s">
        <v>62</v>
      </c>
      <c r="N27" s="139">
        <v>42.323099999999997</v>
      </c>
      <c r="O27" s="139">
        <v>45.359900000000003</v>
      </c>
      <c r="P27" s="139">
        <v>45.085999999999999</v>
      </c>
      <c r="Q27" s="139"/>
      <c r="R27" s="140"/>
      <c r="S27" s="141"/>
      <c r="U27" s="8"/>
      <c r="V27" s="9"/>
      <c r="W27" s="10"/>
      <c r="X27" s="29"/>
      <c r="Y27" s="24"/>
      <c r="Z27" s="24"/>
      <c r="AA27" s="27"/>
    </row>
    <row r="28" spans="1:27" ht="12.75">
      <c r="A28" s="27"/>
      <c r="B28" s="36"/>
      <c r="C28" s="29"/>
      <c r="D28" s="32">
        <v>30</v>
      </c>
      <c r="E28" s="133" t="s">
        <v>62</v>
      </c>
      <c r="F28" s="133">
        <v>40.1143</v>
      </c>
      <c r="G28" s="133">
        <v>43.716799999999999</v>
      </c>
      <c r="H28" s="133">
        <v>43.135800000000003</v>
      </c>
      <c r="I28" s="133"/>
      <c r="J28" s="134"/>
      <c r="K28" s="135"/>
      <c r="L28" s="29"/>
      <c r="M28" s="142" t="s">
        <v>62</v>
      </c>
      <c r="N28" s="142">
        <v>40.1143</v>
      </c>
      <c r="O28" s="142">
        <v>43.716799999999999</v>
      </c>
      <c r="P28" s="142">
        <v>43.135800000000003</v>
      </c>
      <c r="Q28" s="142"/>
      <c r="R28" s="143"/>
      <c r="S28" s="144"/>
      <c r="U28" s="17"/>
      <c r="V28" s="18"/>
      <c r="W28" s="19"/>
      <c r="X28" s="29"/>
      <c r="Y28" s="24"/>
      <c r="Z28" s="24"/>
      <c r="AA28" s="27"/>
    </row>
    <row r="29" spans="1:27" ht="12.75">
      <c r="A29" s="27"/>
      <c r="B29" s="36"/>
      <c r="C29" s="29"/>
      <c r="D29" s="32">
        <v>35</v>
      </c>
      <c r="E29" s="133" t="s">
        <v>62</v>
      </c>
      <c r="F29" s="133">
        <v>37.623199999999997</v>
      </c>
      <c r="G29" s="133">
        <v>42.062899999999999</v>
      </c>
      <c r="H29" s="133">
        <v>41.292700000000004</v>
      </c>
      <c r="I29" s="133"/>
      <c r="J29" s="134"/>
      <c r="K29" s="135"/>
      <c r="L29" s="29"/>
      <c r="M29" s="142" t="s">
        <v>62</v>
      </c>
      <c r="N29" s="142">
        <v>37.623199999999997</v>
      </c>
      <c r="O29" s="142">
        <v>42.062899999999999</v>
      </c>
      <c r="P29" s="142">
        <v>41.292700000000004</v>
      </c>
      <c r="Q29" s="142"/>
      <c r="R29" s="143"/>
      <c r="S29" s="144"/>
      <c r="U29" s="41"/>
      <c r="V29" s="44"/>
      <c r="W29" s="43"/>
      <c r="X29" s="29"/>
      <c r="Y29" s="24"/>
      <c r="Z29" s="24"/>
      <c r="AA29" s="27"/>
    </row>
    <row r="30" spans="1:27" ht="13.5" thickBot="1">
      <c r="A30" s="27"/>
      <c r="B30" s="36"/>
      <c r="C30" s="51"/>
      <c r="D30" s="69">
        <v>40</v>
      </c>
      <c r="E30" s="136" t="s">
        <v>62</v>
      </c>
      <c r="F30" s="136">
        <v>34.930599999999998</v>
      </c>
      <c r="G30" s="136">
        <v>40.719000000000001</v>
      </c>
      <c r="H30" s="136">
        <v>39.857999999999997</v>
      </c>
      <c r="I30" s="136"/>
      <c r="J30" s="137"/>
      <c r="K30" s="138"/>
      <c r="L30" s="29"/>
      <c r="M30" s="145" t="s">
        <v>62</v>
      </c>
      <c r="N30" s="145">
        <v>34.930599999999998</v>
      </c>
      <c r="O30" s="145">
        <v>40.719000000000001</v>
      </c>
      <c r="P30" s="145">
        <v>39.857999999999997</v>
      </c>
      <c r="Q30" s="145"/>
      <c r="R30" s="146"/>
      <c r="S30" s="147"/>
      <c r="U30" s="41"/>
      <c r="V30" s="42"/>
      <c r="W30" s="43"/>
      <c r="X30" s="29"/>
      <c r="Y30" s="24"/>
      <c r="Z30" s="24"/>
      <c r="AA30" s="27"/>
    </row>
    <row r="31" spans="1:27" ht="12.75">
      <c r="A31" s="27"/>
      <c r="B31" s="36"/>
      <c r="C31" s="29" t="s">
        <v>48</v>
      </c>
      <c r="D31" s="32">
        <v>25</v>
      </c>
      <c r="E31" s="130" t="s">
        <v>62</v>
      </c>
      <c r="F31" s="130">
        <v>42.938699999999997</v>
      </c>
      <c r="G31" s="130">
        <v>45.96</v>
      </c>
      <c r="H31" s="130">
        <v>45.771799999999999</v>
      </c>
      <c r="I31" s="130"/>
      <c r="J31" s="131"/>
      <c r="K31" s="132"/>
      <c r="L31" s="29"/>
      <c r="M31" s="139" t="s">
        <v>62</v>
      </c>
      <c r="N31" s="139">
        <v>42.938699999999997</v>
      </c>
      <c r="O31" s="139">
        <v>45.96</v>
      </c>
      <c r="P31" s="139">
        <v>45.771799999999999</v>
      </c>
      <c r="Q31" s="139"/>
      <c r="R31" s="140"/>
      <c r="S31" s="141"/>
      <c r="U31" s="8"/>
      <c r="V31" s="9"/>
      <c r="W31" s="10"/>
      <c r="X31" s="29"/>
      <c r="Y31" s="24"/>
      <c r="Z31" s="24"/>
      <c r="AA31" s="27"/>
    </row>
    <row r="32" spans="1:27" ht="12.75">
      <c r="A32" s="27"/>
      <c r="B32" s="36"/>
      <c r="C32" s="29"/>
      <c r="D32" s="32">
        <v>30</v>
      </c>
      <c r="E32" s="133" t="s">
        <v>62</v>
      </c>
      <c r="F32" s="133">
        <v>40.631900000000002</v>
      </c>
      <c r="G32" s="133">
        <v>44.202199999999998</v>
      </c>
      <c r="H32" s="133">
        <v>43.690899999999999</v>
      </c>
      <c r="I32" s="133"/>
      <c r="J32" s="134"/>
      <c r="K32" s="135"/>
      <c r="L32" s="29"/>
      <c r="M32" s="142" t="s">
        <v>62</v>
      </c>
      <c r="N32" s="142">
        <v>40.631900000000002</v>
      </c>
      <c r="O32" s="142">
        <v>44.202199999999998</v>
      </c>
      <c r="P32" s="142">
        <v>43.690899999999999</v>
      </c>
      <c r="Q32" s="142"/>
      <c r="R32" s="143"/>
      <c r="S32" s="144"/>
      <c r="U32" s="41"/>
      <c r="V32" s="42"/>
      <c r="W32" s="43"/>
      <c r="X32" s="29"/>
      <c r="Y32" s="24"/>
      <c r="Z32" s="24"/>
      <c r="AA32" s="27"/>
    </row>
    <row r="33" spans="1:27" ht="12.75">
      <c r="A33" s="27"/>
      <c r="B33" s="36"/>
      <c r="C33" s="29"/>
      <c r="D33" s="32">
        <v>35</v>
      </c>
      <c r="E33" s="133" t="s">
        <v>62</v>
      </c>
      <c r="F33" s="133">
        <v>38.045699999999997</v>
      </c>
      <c r="G33" s="133">
        <v>42.3598</v>
      </c>
      <c r="H33" s="133">
        <v>41.644100000000002</v>
      </c>
      <c r="I33" s="133"/>
      <c r="J33" s="134"/>
      <c r="K33" s="135"/>
      <c r="L33" s="29"/>
      <c r="M33" s="142" t="s">
        <v>62</v>
      </c>
      <c r="N33" s="142">
        <v>38.045699999999997</v>
      </c>
      <c r="O33" s="142">
        <v>42.3598</v>
      </c>
      <c r="P33" s="142">
        <v>41.644100000000002</v>
      </c>
      <c r="Q33" s="142"/>
      <c r="R33" s="143"/>
      <c r="S33" s="144"/>
      <c r="U33" s="17"/>
      <c r="V33" s="18"/>
      <c r="W33" s="19"/>
      <c r="X33" s="29"/>
      <c r="Y33" s="24"/>
      <c r="Z33" s="24"/>
      <c r="AA33" s="27"/>
    </row>
    <row r="34" spans="1:27" ht="13.5" thickBot="1">
      <c r="A34" s="27"/>
      <c r="B34" s="36"/>
      <c r="C34" s="51"/>
      <c r="D34" s="69">
        <v>40</v>
      </c>
      <c r="E34" s="136" t="s">
        <v>62</v>
      </c>
      <c r="F34" s="136">
        <v>35.275300000000001</v>
      </c>
      <c r="G34" s="136">
        <v>40.9452</v>
      </c>
      <c r="H34" s="136">
        <v>40.122500000000002</v>
      </c>
      <c r="I34" s="136"/>
      <c r="J34" s="137"/>
      <c r="K34" s="138"/>
      <c r="L34" s="29"/>
      <c r="M34" s="145" t="s">
        <v>62</v>
      </c>
      <c r="N34" s="145">
        <v>35.275300000000001</v>
      </c>
      <c r="O34" s="145">
        <v>40.9452</v>
      </c>
      <c r="P34" s="145">
        <v>40.122500000000002</v>
      </c>
      <c r="Q34" s="145"/>
      <c r="R34" s="146"/>
      <c r="S34" s="147"/>
      <c r="U34" s="41"/>
      <c r="V34" s="42"/>
      <c r="W34" s="43"/>
      <c r="X34" s="29"/>
      <c r="Y34" s="24"/>
      <c r="Z34" s="24"/>
      <c r="AA34" s="27"/>
    </row>
    <row r="35" spans="1:27" ht="12.75">
      <c r="A35" s="27"/>
      <c r="B35" s="36"/>
      <c r="C35" s="29" t="s">
        <v>49</v>
      </c>
      <c r="D35" s="32">
        <v>25</v>
      </c>
      <c r="E35" s="130" t="s">
        <v>62</v>
      </c>
      <c r="F35" s="130">
        <v>43.066499999999998</v>
      </c>
      <c r="G35" s="130">
        <v>45.579500000000003</v>
      </c>
      <c r="H35" s="130">
        <v>45.695099999999996</v>
      </c>
      <c r="I35" s="130"/>
      <c r="J35" s="131"/>
      <c r="K35" s="132"/>
      <c r="L35" s="29"/>
      <c r="M35" s="139" t="s">
        <v>62</v>
      </c>
      <c r="N35" s="139">
        <v>43.066499999999998</v>
      </c>
      <c r="O35" s="139">
        <v>45.579500000000003</v>
      </c>
      <c r="P35" s="139">
        <v>45.695099999999996</v>
      </c>
      <c r="Q35" s="139"/>
      <c r="R35" s="140"/>
      <c r="S35" s="141"/>
      <c r="U35" s="8"/>
      <c r="V35" s="9"/>
      <c r="W35" s="10"/>
      <c r="X35" s="29"/>
      <c r="Y35" s="24"/>
      <c r="Z35" s="24"/>
      <c r="AA35" s="27"/>
    </row>
    <row r="36" spans="1:27" ht="12.75">
      <c r="A36" s="27"/>
      <c r="B36" s="36"/>
      <c r="C36" s="29"/>
      <c r="D36" s="32">
        <v>30</v>
      </c>
      <c r="E36" s="133" t="s">
        <v>62</v>
      </c>
      <c r="F36" s="133">
        <v>40.900500000000001</v>
      </c>
      <c r="G36" s="133">
        <v>43.951599999999999</v>
      </c>
      <c r="H36" s="133">
        <v>43.711300000000001</v>
      </c>
      <c r="I36" s="133"/>
      <c r="J36" s="134"/>
      <c r="K36" s="135"/>
      <c r="L36" s="29"/>
      <c r="M36" s="142" t="s">
        <v>62</v>
      </c>
      <c r="N36" s="142">
        <v>40.900500000000001</v>
      </c>
      <c r="O36" s="142">
        <v>43.951599999999999</v>
      </c>
      <c r="P36" s="142">
        <v>43.711300000000001</v>
      </c>
      <c r="Q36" s="142"/>
      <c r="R36" s="143"/>
      <c r="S36" s="144"/>
      <c r="U36" s="41"/>
      <c r="V36" s="42"/>
      <c r="W36" s="43"/>
      <c r="X36" s="29"/>
      <c r="Y36" s="24"/>
      <c r="Z36" s="24"/>
      <c r="AA36" s="27"/>
    </row>
    <row r="37" spans="1:27" ht="12.75">
      <c r="A37" s="27"/>
      <c r="B37" s="36"/>
      <c r="C37" s="29"/>
      <c r="D37" s="32">
        <v>35</v>
      </c>
      <c r="E37" s="133" t="s">
        <v>62</v>
      </c>
      <c r="F37" s="133">
        <v>38.337699999999998</v>
      </c>
      <c r="G37" s="133">
        <v>42.120699999999999</v>
      </c>
      <c r="H37" s="133">
        <v>41.631300000000003</v>
      </c>
      <c r="I37" s="133"/>
      <c r="J37" s="134"/>
      <c r="K37" s="135"/>
      <c r="L37" s="29"/>
      <c r="M37" s="142" t="s">
        <v>62</v>
      </c>
      <c r="N37" s="142">
        <v>38.337699999999998</v>
      </c>
      <c r="O37" s="142">
        <v>42.120699999999999</v>
      </c>
      <c r="P37" s="142">
        <v>41.631300000000003</v>
      </c>
      <c r="Q37" s="142"/>
      <c r="R37" s="143"/>
      <c r="S37" s="144"/>
      <c r="U37" s="41"/>
      <c r="V37" s="42"/>
      <c r="W37" s="43"/>
      <c r="X37" s="29"/>
      <c r="Y37" s="24"/>
      <c r="Z37" s="24"/>
      <c r="AA37" s="27"/>
    </row>
    <row r="38" spans="1:27" ht="13.5" thickBot="1">
      <c r="A38" s="27"/>
      <c r="B38" s="36"/>
      <c r="C38" s="51"/>
      <c r="D38" s="69">
        <v>40</v>
      </c>
      <c r="E38" s="136" t="s">
        <v>62</v>
      </c>
      <c r="F38" s="136">
        <v>35.549999999999997</v>
      </c>
      <c r="G38" s="136">
        <v>40.807200000000002</v>
      </c>
      <c r="H38" s="136">
        <v>40.121000000000002</v>
      </c>
      <c r="I38" s="136"/>
      <c r="J38" s="137"/>
      <c r="K38" s="138"/>
      <c r="L38" s="29"/>
      <c r="M38" s="145" t="s">
        <v>62</v>
      </c>
      <c r="N38" s="145">
        <v>35.549999999999997</v>
      </c>
      <c r="O38" s="145">
        <v>40.807200000000002</v>
      </c>
      <c r="P38" s="145">
        <v>40.121000000000002</v>
      </c>
      <c r="Q38" s="145"/>
      <c r="R38" s="146"/>
      <c r="S38" s="147"/>
      <c r="U38" s="17"/>
      <c r="V38" s="18"/>
      <c r="W38" s="19"/>
      <c r="X38" s="29"/>
      <c r="Z38" s="59"/>
      <c r="AA38" s="55"/>
    </row>
    <row r="39" spans="1:27" ht="12.75">
      <c r="A39" s="27"/>
      <c r="B39" s="36"/>
      <c r="C39" s="29" t="s">
        <v>50</v>
      </c>
      <c r="D39" s="32">
        <v>25</v>
      </c>
      <c r="E39" s="130" t="s">
        <v>62</v>
      </c>
      <c r="F39" s="130">
        <v>42.958300000000001</v>
      </c>
      <c r="G39" s="130">
        <v>45.586100000000002</v>
      </c>
      <c r="H39" s="130">
        <v>45.670900000000003</v>
      </c>
      <c r="I39" s="130"/>
      <c r="J39" s="131"/>
      <c r="K39" s="132"/>
      <c r="L39" s="29"/>
      <c r="M39" s="139" t="s">
        <v>62</v>
      </c>
      <c r="N39" s="139">
        <v>42.958300000000001</v>
      </c>
      <c r="O39" s="139">
        <v>45.586100000000002</v>
      </c>
      <c r="P39" s="139">
        <v>45.670900000000003</v>
      </c>
      <c r="Q39" s="139"/>
      <c r="R39" s="140"/>
      <c r="S39" s="141"/>
      <c r="U39" s="8"/>
      <c r="V39" s="9"/>
      <c r="W39" s="10"/>
      <c r="X39" s="29"/>
      <c r="Y39" s="24"/>
      <c r="Z39" s="24"/>
      <c r="AA39" s="27"/>
    </row>
    <row r="40" spans="1:27" ht="12.75">
      <c r="A40" s="27"/>
      <c r="B40" s="36"/>
      <c r="C40" s="29"/>
      <c r="D40" s="32">
        <v>30</v>
      </c>
      <c r="E40" s="133" t="s">
        <v>62</v>
      </c>
      <c r="F40" s="133">
        <v>40.799999999999997</v>
      </c>
      <c r="G40" s="133">
        <v>43.957700000000003</v>
      </c>
      <c r="H40" s="133">
        <v>43.697600000000001</v>
      </c>
      <c r="I40" s="133"/>
      <c r="J40" s="134"/>
      <c r="K40" s="135"/>
      <c r="L40" s="29"/>
      <c r="M40" s="142" t="s">
        <v>62</v>
      </c>
      <c r="N40" s="142">
        <v>40.799999999999997</v>
      </c>
      <c r="O40" s="142">
        <v>43.957700000000003</v>
      </c>
      <c r="P40" s="142">
        <v>43.697600000000001</v>
      </c>
      <c r="Q40" s="142"/>
      <c r="R40" s="143"/>
      <c r="S40" s="144"/>
      <c r="U40" s="12"/>
      <c r="V40" s="13"/>
      <c r="W40" s="14"/>
      <c r="X40" s="29"/>
      <c r="Y40" s="24"/>
      <c r="Z40" s="24"/>
      <c r="AA40" s="27"/>
    </row>
    <row r="41" spans="1:27" ht="12.75">
      <c r="A41" s="27"/>
      <c r="B41" s="36"/>
      <c r="C41" s="29"/>
      <c r="D41" s="32">
        <v>35</v>
      </c>
      <c r="E41" s="133" t="s">
        <v>62</v>
      </c>
      <c r="F41" s="133">
        <v>38.249600000000001</v>
      </c>
      <c r="G41" s="133">
        <v>42.133899999999997</v>
      </c>
      <c r="H41" s="133">
        <v>41.619599999999998</v>
      </c>
      <c r="I41" s="133"/>
      <c r="J41" s="134"/>
      <c r="K41" s="135"/>
      <c r="L41" s="29"/>
      <c r="M41" s="142" t="s">
        <v>62</v>
      </c>
      <c r="N41" s="142">
        <v>38.249600000000001</v>
      </c>
      <c r="O41" s="142">
        <v>42.133899999999997</v>
      </c>
      <c r="P41" s="142">
        <v>41.619599999999998</v>
      </c>
      <c r="Q41" s="142"/>
      <c r="R41" s="143"/>
      <c r="S41" s="144"/>
      <c r="U41" s="12"/>
      <c r="V41" s="13"/>
      <c r="W41" s="14"/>
      <c r="X41" s="29"/>
      <c r="Y41" s="24"/>
      <c r="Z41" s="24"/>
      <c r="AA41" s="27"/>
    </row>
    <row r="42" spans="1:27" ht="13.5" thickBot="1">
      <c r="A42" s="27"/>
      <c r="B42" s="36"/>
      <c r="C42" s="51"/>
      <c r="D42" s="69">
        <v>40</v>
      </c>
      <c r="E42" s="136" t="s">
        <v>62</v>
      </c>
      <c r="F42" s="136">
        <v>35.461799999999997</v>
      </c>
      <c r="G42" s="136">
        <v>40.807299999999998</v>
      </c>
      <c r="H42" s="136">
        <v>40.082700000000003</v>
      </c>
      <c r="I42" s="136"/>
      <c r="J42" s="137"/>
      <c r="K42" s="138"/>
      <c r="L42" s="29"/>
      <c r="M42" s="145" t="s">
        <v>62</v>
      </c>
      <c r="N42" s="145">
        <v>35.461799999999997</v>
      </c>
      <c r="O42" s="145">
        <v>40.807299999999998</v>
      </c>
      <c r="P42" s="145">
        <v>40.082700000000003</v>
      </c>
      <c r="Q42" s="145"/>
      <c r="R42" s="146"/>
      <c r="S42" s="147"/>
      <c r="U42" s="12"/>
      <c r="V42" s="13"/>
      <c r="W42" s="14"/>
      <c r="X42" s="29"/>
      <c r="Y42" s="24"/>
      <c r="Z42" s="24"/>
      <c r="AA42" s="27"/>
    </row>
    <row r="43" spans="1:27" ht="12.75">
      <c r="A43" s="27"/>
      <c r="B43" s="36"/>
      <c r="C43" s="29" t="s">
        <v>51</v>
      </c>
      <c r="D43" s="32">
        <v>25</v>
      </c>
      <c r="E43" s="131" t="s">
        <v>62</v>
      </c>
      <c r="F43" s="131">
        <v>42.770299999999999</v>
      </c>
      <c r="G43" s="131">
        <v>45.882100000000001</v>
      </c>
      <c r="H43" s="131">
        <v>45.657299999999999</v>
      </c>
      <c r="I43" s="131"/>
      <c r="J43" s="131"/>
      <c r="K43" s="132"/>
      <c r="L43" s="29"/>
      <c r="M43" s="140" t="s">
        <v>62</v>
      </c>
      <c r="N43" s="140">
        <v>42.770299999999999</v>
      </c>
      <c r="O43" s="140">
        <v>45.882100000000001</v>
      </c>
      <c r="P43" s="140">
        <v>45.657299999999999</v>
      </c>
      <c r="Q43" s="140"/>
      <c r="R43" s="140"/>
      <c r="S43" s="141"/>
      <c r="U43" s="8"/>
      <c r="V43" s="9"/>
      <c r="W43" s="10"/>
      <c r="X43" s="29"/>
      <c r="Y43" s="24"/>
      <c r="Z43" s="24"/>
      <c r="AA43" s="27"/>
    </row>
    <row r="44" spans="1:27" ht="12.75">
      <c r="A44" s="27"/>
      <c r="B44" s="36"/>
      <c r="C44" s="29"/>
      <c r="D44" s="32">
        <v>30</v>
      </c>
      <c r="E44" s="134" t="s">
        <v>62</v>
      </c>
      <c r="F44" s="134">
        <v>40.503500000000003</v>
      </c>
      <c r="G44" s="134">
        <v>44.125700000000002</v>
      </c>
      <c r="H44" s="134">
        <v>43.594700000000003</v>
      </c>
      <c r="I44" s="134"/>
      <c r="J44" s="134"/>
      <c r="K44" s="135"/>
      <c r="L44" s="29"/>
      <c r="M44" s="143" t="s">
        <v>62</v>
      </c>
      <c r="N44" s="143">
        <v>40.503500000000003</v>
      </c>
      <c r="O44" s="143">
        <v>44.125700000000002</v>
      </c>
      <c r="P44" s="143">
        <v>43.594700000000003</v>
      </c>
      <c r="Q44" s="143"/>
      <c r="R44" s="143"/>
      <c r="S44" s="144"/>
      <c r="U44" s="41"/>
      <c r="V44" s="42"/>
      <c r="W44" s="43"/>
      <c r="X44" s="29"/>
      <c r="Y44" s="24"/>
      <c r="Z44" s="24"/>
      <c r="AA44" s="27"/>
    </row>
    <row r="45" spans="1:27" ht="12.75">
      <c r="A45" s="27"/>
      <c r="B45" s="36"/>
      <c r="C45" s="29"/>
      <c r="D45" s="32">
        <v>35</v>
      </c>
      <c r="E45" s="134" t="s">
        <v>62</v>
      </c>
      <c r="F45" s="134">
        <v>37.947499999999998</v>
      </c>
      <c r="G45" s="134">
        <v>42.298400000000001</v>
      </c>
      <c r="H45" s="134">
        <v>41.558199999999999</v>
      </c>
      <c r="I45" s="134"/>
      <c r="J45" s="134"/>
      <c r="K45" s="135"/>
      <c r="L45" s="29"/>
      <c r="M45" s="143" t="s">
        <v>62</v>
      </c>
      <c r="N45" s="143">
        <v>37.947499999999998</v>
      </c>
      <c r="O45" s="143">
        <v>42.298400000000001</v>
      </c>
      <c r="P45" s="143">
        <v>41.558199999999999</v>
      </c>
      <c r="Q45" s="143"/>
      <c r="R45" s="143"/>
      <c r="S45" s="144"/>
      <c r="U45" s="41"/>
      <c r="V45" s="42"/>
      <c r="W45" s="43"/>
      <c r="X45" s="29"/>
      <c r="Y45" s="24"/>
      <c r="Z45" s="24"/>
      <c r="AA45" s="27"/>
    </row>
    <row r="46" spans="1:27" ht="13.5" thickBot="1">
      <c r="A46" s="27"/>
      <c r="B46" s="36"/>
      <c r="C46" s="51"/>
      <c r="D46" s="69">
        <v>40</v>
      </c>
      <c r="E46" s="137" t="s">
        <v>62</v>
      </c>
      <c r="F46" s="137">
        <v>35.187899999999999</v>
      </c>
      <c r="G46" s="137">
        <v>40.9345</v>
      </c>
      <c r="H46" s="137">
        <v>39.979700000000001</v>
      </c>
      <c r="I46" s="137"/>
      <c r="J46" s="137"/>
      <c r="K46" s="138"/>
      <c r="L46" s="29"/>
      <c r="M46" s="146" t="s">
        <v>62</v>
      </c>
      <c r="N46" s="146">
        <v>35.187899999999999</v>
      </c>
      <c r="O46" s="146">
        <v>40.9345</v>
      </c>
      <c r="P46" s="146">
        <v>39.979700000000001</v>
      </c>
      <c r="Q46" s="146"/>
      <c r="R46" s="146"/>
      <c r="S46" s="147"/>
      <c r="U46" s="41"/>
      <c r="V46" s="42"/>
      <c r="W46" s="43"/>
      <c r="X46" s="29"/>
      <c r="Y46" s="24"/>
      <c r="Z46" s="24"/>
      <c r="AA46" s="27"/>
    </row>
    <row r="47" spans="1:27" ht="12.75">
      <c r="A47" s="27"/>
      <c r="B47" s="36"/>
      <c r="C47" s="29" t="s">
        <v>52</v>
      </c>
      <c r="D47" s="32">
        <v>25</v>
      </c>
      <c r="E47" s="131" t="s">
        <v>62</v>
      </c>
      <c r="F47" s="131">
        <v>42.100900000000003</v>
      </c>
      <c r="G47" s="131">
        <v>45.145499999999998</v>
      </c>
      <c r="H47" s="131">
        <v>44.897500000000001</v>
      </c>
      <c r="I47" s="131"/>
      <c r="J47" s="131"/>
      <c r="K47" s="132"/>
      <c r="L47" s="29"/>
      <c r="M47" s="140" t="s">
        <v>62</v>
      </c>
      <c r="N47" s="140">
        <v>42.100900000000003</v>
      </c>
      <c r="O47" s="140">
        <v>45.145499999999998</v>
      </c>
      <c r="P47" s="140">
        <v>44.897500000000001</v>
      </c>
      <c r="Q47" s="140"/>
      <c r="R47" s="140"/>
      <c r="S47" s="141"/>
      <c r="U47" s="8"/>
      <c r="V47" s="9"/>
      <c r="W47" s="10"/>
      <c r="X47" s="29"/>
      <c r="Y47" s="24"/>
      <c r="Z47" s="24"/>
      <c r="AA47" s="27"/>
    </row>
    <row r="48" spans="1:27" ht="12.75">
      <c r="A48" s="27"/>
      <c r="B48" s="36"/>
      <c r="C48" s="29"/>
      <c r="D48" s="32">
        <v>30</v>
      </c>
      <c r="E48" s="134" t="s">
        <v>62</v>
      </c>
      <c r="F48" s="134">
        <v>39.950400000000002</v>
      </c>
      <c r="G48" s="134">
        <v>43.4589</v>
      </c>
      <c r="H48" s="134">
        <v>42.969000000000001</v>
      </c>
      <c r="I48" s="134"/>
      <c r="J48" s="134"/>
      <c r="K48" s="135"/>
      <c r="L48" s="29"/>
      <c r="M48" s="143" t="s">
        <v>62</v>
      </c>
      <c r="N48" s="143">
        <v>39.950400000000002</v>
      </c>
      <c r="O48" s="143">
        <v>43.4589</v>
      </c>
      <c r="P48" s="143">
        <v>42.969000000000001</v>
      </c>
      <c r="Q48" s="143"/>
      <c r="R48" s="143"/>
      <c r="S48" s="144"/>
      <c r="U48" s="17"/>
      <c r="V48" s="18"/>
      <c r="W48" s="19"/>
      <c r="X48" s="29"/>
      <c r="Y48" s="24"/>
      <c r="Z48" s="24"/>
      <c r="AA48" s="27"/>
    </row>
    <row r="49" spans="1:27" ht="12.75">
      <c r="A49" s="27"/>
      <c r="B49" s="36"/>
      <c r="C49" s="29"/>
      <c r="D49" s="32">
        <v>35</v>
      </c>
      <c r="E49" s="134" t="s">
        <v>62</v>
      </c>
      <c r="F49" s="134">
        <v>37.4833</v>
      </c>
      <c r="G49" s="134">
        <v>41.8566</v>
      </c>
      <c r="H49" s="134">
        <v>41.1477</v>
      </c>
      <c r="I49" s="134"/>
      <c r="J49" s="134"/>
      <c r="K49" s="135"/>
      <c r="L49" s="29"/>
      <c r="M49" s="143" t="s">
        <v>62</v>
      </c>
      <c r="N49" s="143">
        <v>37.4833</v>
      </c>
      <c r="O49" s="143">
        <v>41.8566</v>
      </c>
      <c r="P49" s="143">
        <v>41.1477</v>
      </c>
      <c r="Q49" s="143"/>
      <c r="R49" s="143"/>
      <c r="S49" s="144"/>
      <c r="U49" s="41"/>
      <c r="V49" s="44"/>
      <c r="W49" s="43"/>
      <c r="X49" s="29"/>
      <c r="Y49" s="24"/>
      <c r="Z49" s="24"/>
      <c r="AA49" s="27"/>
    </row>
    <row r="50" spans="1:27" ht="13.5" thickBot="1">
      <c r="A50" s="27"/>
      <c r="B50" s="36"/>
      <c r="C50" s="51"/>
      <c r="D50" s="69">
        <v>40</v>
      </c>
      <c r="E50" s="137" t="s">
        <v>62</v>
      </c>
      <c r="F50" s="137">
        <v>34.810299999999998</v>
      </c>
      <c r="G50" s="137">
        <v>40.596800000000002</v>
      </c>
      <c r="H50" s="137">
        <v>39.664099999999998</v>
      </c>
      <c r="I50" s="137"/>
      <c r="J50" s="137"/>
      <c r="K50" s="138"/>
      <c r="L50" s="29"/>
      <c r="M50" s="146" t="s">
        <v>62</v>
      </c>
      <c r="N50" s="146">
        <v>34.810299999999998</v>
      </c>
      <c r="O50" s="146">
        <v>40.596800000000002</v>
      </c>
      <c r="P50" s="146">
        <v>39.664099999999998</v>
      </c>
      <c r="Q50" s="146"/>
      <c r="R50" s="146"/>
      <c r="S50" s="147"/>
      <c r="U50" s="41"/>
      <c r="V50" s="42"/>
      <c r="W50" s="43"/>
      <c r="X50" s="29"/>
      <c r="Y50" s="24"/>
      <c r="Z50" s="24"/>
      <c r="AA50" s="27"/>
    </row>
    <row r="51" spans="1:27" ht="12.75">
      <c r="A51" s="27"/>
      <c r="B51" s="36"/>
      <c r="C51" s="29" t="s">
        <v>12</v>
      </c>
      <c r="D51" s="32">
        <v>25</v>
      </c>
      <c r="E51" s="134">
        <v>1749.4272000000001</v>
      </c>
      <c r="F51" s="134" t="s">
        <v>62</v>
      </c>
      <c r="G51" s="134" t="s">
        <v>62</v>
      </c>
      <c r="H51" s="134" t="s">
        <v>62</v>
      </c>
      <c r="I51" s="134">
        <v>30404.11</v>
      </c>
      <c r="J51" s="134">
        <v>61.51</v>
      </c>
      <c r="K51" s="135">
        <v>393.81</v>
      </c>
      <c r="L51" s="29"/>
      <c r="M51" s="143">
        <v>1749.3728000000001</v>
      </c>
      <c r="N51" s="143" t="s">
        <v>62</v>
      </c>
      <c r="O51" s="143" t="s">
        <v>62</v>
      </c>
      <c r="P51" s="143" t="s">
        <v>62</v>
      </c>
      <c r="Q51" s="143">
        <v>30807.78</v>
      </c>
      <c r="R51" s="143">
        <v>55.46</v>
      </c>
      <c r="S51" s="144">
        <v>393.29</v>
      </c>
      <c r="U51" s="8"/>
      <c r="V51" s="9"/>
      <c r="W51" s="10"/>
      <c r="X51" s="29"/>
      <c r="Y51" s="59">
        <f>GEOMEAN(Q51:Q54)/GEOMEAN(I51:I54)</f>
        <v>1.0401320238903555</v>
      </c>
      <c r="Z51" s="59">
        <f>GEOMEAN(R51:R54)/GEOMEAN(J51:J54)</f>
        <v>1.1777549255073367</v>
      </c>
      <c r="AA51" s="55">
        <f>GEOMEAN(S51:S54)/GEOMEAN(K51:K54)</f>
        <v>1.0286611239927654</v>
      </c>
    </row>
    <row r="52" spans="1:27" ht="12.75">
      <c r="A52" s="27"/>
      <c r="B52" s="36"/>
      <c r="C52" s="29"/>
      <c r="D52" s="32">
        <v>30</v>
      </c>
      <c r="E52" s="134">
        <v>842.3184</v>
      </c>
      <c r="F52" s="134" t="s">
        <v>62</v>
      </c>
      <c r="G52" s="134" t="s">
        <v>62</v>
      </c>
      <c r="H52" s="134" t="s">
        <v>62</v>
      </c>
      <c r="I52" s="134">
        <v>23305.82</v>
      </c>
      <c r="J52" s="134">
        <v>51.94</v>
      </c>
      <c r="K52" s="135">
        <v>364.83</v>
      </c>
      <c r="L52" s="29"/>
      <c r="M52" s="143">
        <v>842.26400000000001</v>
      </c>
      <c r="N52" s="143" t="s">
        <v>62</v>
      </c>
      <c r="O52" s="143" t="s">
        <v>62</v>
      </c>
      <c r="P52" s="143" t="s">
        <v>62</v>
      </c>
      <c r="Q52" s="143">
        <v>24387.29</v>
      </c>
      <c r="R52" s="143">
        <v>64.06</v>
      </c>
      <c r="S52" s="144">
        <v>358.47</v>
      </c>
      <c r="U52" s="41"/>
      <c r="V52" s="42"/>
      <c r="W52" s="43"/>
      <c r="X52" s="29"/>
      <c r="Y52" s="24"/>
      <c r="Z52" s="24"/>
      <c r="AA52" s="27"/>
    </row>
    <row r="53" spans="1:27" ht="12.75">
      <c r="A53" s="27"/>
      <c r="B53" s="36"/>
      <c r="C53" s="29"/>
      <c r="D53" s="32">
        <v>35</v>
      </c>
      <c r="E53" s="134">
        <v>459.7448</v>
      </c>
      <c r="F53" s="134" t="s">
        <v>62</v>
      </c>
      <c r="G53" s="134" t="s">
        <v>62</v>
      </c>
      <c r="H53" s="134" t="s">
        <v>62</v>
      </c>
      <c r="I53" s="134">
        <v>20125.75</v>
      </c>
      <c r="J53" s="134">
        <v>47.73</v>
      </c>
      <c r="K53" s="135">
        <v>418.72</v>
      </c>
      <c r="L53" s="29"/>
      <c r="M53" s="143">
        <v>459.69040000000001</v>
      </c>
      <c r="N53" s="143" t="s">
        <v>62</v>
      </c>
      <c r="O53" s="143" t="s">
        <v>62</v>
      </c>
      <c r="P53" s="143" t="s">
        <v>62</v>
      </c>
      <c r="Q53" s="143">
        <v>20879.21</v>
      </c>
      <c r="R53" s="143">
        <v>57.75</v>
      </c>
      <c r="S53" s="144">
        <v>387.86</v>
      </c>
      <c r="U53" s="17"/>
      <c r="V53" s="18"/>
      <c r="W53" s="19"/>
      <c r="X53" s="29"/>
      <c r="Y53" s="24"/>
      <c r="Z53" s="24"/>
      <c r="AA53" s="27"/>
    </row>
    <row r="54" spans="1:27" ht="13.5" thickBot="1">
      <c r="A54" s="27"/>
      <c r="B54" s="50"/>
      <c r="C54" s="51"/>
      <c r="D54" s="69">
        <v>40</v>
      </c>
      <c r="E54" s="137">
        <v>265.07679999999999</v>
      </c>
      <c r="F54" s="137" t="s">
        <v>62</v>
      </c>
      <c r="G54" s="137" t="s">
        <v>62</v>
      </c>
      <c r="H54" s="137" t="s">
        <v>62</v>
      </c>
      <c r="I54" s="137">
        <v>17482.27</v>
      </c>
      <c r="J54" s="137">
        <v>45.58</v>
      </c>
      <c r="K54" s="138">
        <v>355.74</v>
      </c>
      <c r="L54" s="29"/>
      <c r="M54" s="146">
        <v>265.0224</v>
      </c>
      <c r="N54" s="146" t="s">
        <v>62</v>
      </c>
      <c r="O54" s="146" t="s">
        <v>62</v>
      </c>
      <c r="P54" s="146" t="s">
        <v>62</v>
      </c>
      <c r="Q54" s="146">
        <v>18602.12</v>
      </c>
      <c r="R54" s="146">
        <v>65.180000000000007</v>
      </c>
      <c r="S54" s="147">
        <v>438.21</v>
      </c>
      <c r="U54" s="82"/>
      <c r="V54" s="83"/>
      <c r="W54" s="84"/>
      <c r="X54" s="29"/>
      <c r="Y54" s="47"/>
      <c r="Z54" s="47"/>
      <c r="AA54" s="52"/>
    </row>
    <row r="55" spans="1:27" ht="12.75">
      <c r="A55" s="27" t="s">
        <v>18</v>
      </c>
      <c r="B55" s="35" t="s">
        <v>13</v>
      </c>
      <c r="C55" s="28" t="s">
        <v>26</v>
      </c>
      <c r="D55" s="31">
        <v>25</v>
      </c>
      <c r="E55" s="130">
        <v>846.29520000000002</v>
      </c>
      <c r="F55" s="130">
        <v>43.603400000000001</v>
      </c>
      <c r="G55" s="130">
        <v>44.9589</v>
      </c>
      <c r="H55" s="130">
        <v>44.931199999999997</v>
      </c>
      <c r="I55" s="130"/>
      <c r="J55" s="131"/>
      <c r="K55" s="132"/>
      <c r="L55" s="29"/>
      <c r="M55" s="139">
        <v>846.26160000000004</v>
      </c>
      <c r="N55" s="139">
        <v>43.603400000000001</v>
      </c>
      <c r="O55" s="139">
        <v>44.9589</v>
      </c>
      <c r="P55" s="139">
        <v>44.931199999999997</v>
      </c>
      <c r="Q55" s="139"/>
      <c r="R55" s="140"/>
      <c r="S55" s="141"/>
      <c r="U55" s="8">
        <f>bdrate($E55:$E58,F55:F58,$M55:$M58,N55:N58)</f>
        <v>-1.1335844406812345E-4</v>
      </c>
      <c r="V55" s="9">
        <f>bdrate($E55:$E58,G55:G58,$M55:$M58,O55:O58)</f>
        <v>-1.0750623089039735E-4</v>
      </c>
      <c r="W55" s="10">
        <f>bdrate($E55:$E58,H55:H58,$M55:$M58,P55:P58)</f>
        <v>-1.0667974799338786E-4</v>
      </c>
      <c r="X55" s="29"/>
      <c r="Y55" s="22"/>
      <c r="Z55" s="22"/>
      <c r="AA55" s="26"/>
    </row>
    <row r="56" spans="1:27" ht="12.75">
      <c r="A56" s="27"/>
      <c r="B56" s="36"/>
      <c r="C56" s="29"/>
      <c r="D56" s="32">
        <v>30</v>
      </c>
      <c r="E56" s="133">
        <v>450.75119999999998</v>
      </c>
      <c r="F56" s="133">
        <v>41.433599999999998</v>
      </c>
      <c r="G56" s="133">
        <v>44.113999999999997</v>
      </c>
      <c r="H56" s="133">
        <v>43.451300000000003</v>
      </c>
      <c r="I56" s="133"/>
      <c r="J56" s="134"/>
      <c r="K56" s="135"/>
      <c r="L56" s="29"/>
      <c r="M56" s="142">
        <v>450.7176</v>
      </c>
      <c r="N56" s="142">
        <v>41.433599999999998</v>
      </c>
      <c r="O56" s="142">
        <v>44.113999999999997</v>
      </c>
      <c r="P56" s="142">
        <v>43.451300000000003</v>
      </c>
      <c r="Q56" s="142"/>
      <c r="R56" s="143"/>
      <c r="S56" s="144"/>
      <c r="U56" s="41"/>
      <c r="V56" s="42"/>
      <c r="W56" s="43"/>
      <c r="X56" s="29"/>
      <c r="Y56" s="24"/>
      <c r="Z56" s="24"/>
      <c r="AA56" s="27"/>
    </row>
    <row r="57" spans="1:27" ht="12.75">
      <c r="A57" s="27"/>
      <c r="B57" s="36"/>
      <c r="C57" s="29"/>
      <c r="D57" s="32">
        <v>35</v>
      </c>
      <c r="E57" s="133">
        <v>255.928</v>
      </c>
      <c r="F57" s="133">
        <v>38.940899999999999</v>
      </c>
      <c r="G57" s="133">
        <v>43.061300000000003</v>
      </c>
      <c r="H57" s="133">
        <v>41.776499999999999</v>
      </c>
      <c r="I57" s="133"/>
      <c r="J57" s="134"/>
      <c r="K57" s="135"/>
      <c r="L57" s="29"/>
      <c r="M57" s="142">
        <v>255.89439999999999</v>
      </c>
      <c r="N57" s="142">
        <v>38.940899999999999</v>
      </c>
      <c r="O57" s="142">
        <v>43.061300000000003</v>
      </c>
      <c r="P57" s="142">
        <v>41.776499999999999</v>
      </c>
      <c r="Q57" s="142"/>
      <c r="R57" s="143"/>
      <c r="S57" s="144"/>
      <c r="U57" s="41"/>
      <c r="V57" s="42"/>
      <c r="W57" s="43"/>
      <c r="X57" s="29"/>
      <c r="Y57" s="24"/>
      <c r="Z57" s="24"/>
      <c r="AA57" s="27"/>
    </row>
    <row r="58" spans="1:27" ht="13.5" thickBot="1">
      <c r="A58" s="27"/>
      <c r="B58" s="36"/>
      <c r="C58" s="29"/>
      <c r="D58" s="32">
        <v>40</v>
      </c>
      <c r="E58" s="136">
        <v>153.756</v>
      </c>
      <c r="F58" s="136">
        <v>36.325200000000002</v>
      </c>
      <c r="G58" s="136">
        <v>42.263399999999997</v>
      </c>
      <c r="H58" s="136">
        <v>40.448300000000003</v>
      </c>
      <c r="I58" s="136"/>
      <c r="J58" s="137"/>
      <c r="K58" s="138"/>
      <c r="L58" s="29"/>
      <c r="M58" s="145">
        <v>153.72239999999999</v>
      </c>
      <c r="N58" s="145">
        <v>36.325200000000002</v>
      </c>
      <c r="O58" s="145">
        <v>42.263399999999997</v>
      </c>
      <c r="P58" s="145">
        <v>40.448300000000003</v>
      </c>
      <c r="Q58" s="145"/>
      <c r="R58" s="146"/>
      <c r="S58" s="147"/>
      <c r="U58" s="41"/>
      <c r="V58" s="42"/>
      <c r="W58" s="43"/>
      <c r="X58" s="29"/>
      <c r="Y58" s="24"/>
      <c r="Z58" s="24"/>
      <c r="AA58" s="27"/>
    </row>
    <row r="59" spans="1:27" ht="12.75">
      <c r="A59" s="27"/>
      <c r="B59" s="36"/>
      <c r="C59" s="28" t="s">
        <v>27</v>
      </c>
      <c r="D59" s="31">
        <v>25</v>
      </c>
      <c r="E59" s="133">
        <v>273.08479999999997</v>
      </c>
      <c r="F59" s="133">
        <v>42.688000000000002</v>
      </c>
      <c r="G59" s="133">
        <v>44.736699999999999</v>
      </c>
      <c r="H59" s="133">
        <v>44.158299999999997</v>
      </c>
      <c r="I59" s="133"/>
      <c r="J59" s="134"/>
      <c r="K59" s="135"/>
      <c r="L59" s="29"/>
      <c r="M59" s="142">
        <v>273.0496</v>
      </c>
      <c r="N59" s="142">
        <v>42.688000000000002</v>
      </c>
      <c r="O59" s="142">
        <v>44.736699999999999</v>
      </c>
      <c r="P59" s="142">
        <v>44.158299999999997</v>
      </c>
      <c r="Q59" s="142"/>
      <c r="R59" s="143"/>
      <c r="S59" s="144"/>
      <c r="U59" s="8">
        <f>bdrate($E59:$E62,F59:F62,$M59:$M62,N59:N62)</f>
        <v>-4.6866076160334558E-4</v>
      </c>
      <c r="V59" s="9">
        <f>bdrate($E59:$E62,G59:G62,$M59:$M62,O59:O62)</f>
        <v>-4.5719669740384994E-4</v>
      </c>
      <c r="W59" s="10">
        <f>bdrate($E59:$E62,H59:H62,$M59:$M62,P59:P62)</f>
        <v>-4.4360533468357222E-4</v>
      </c>
      <c r="X59" s="29"/>
      <c r="Y59" s="24"/>
      <c r="Z59" s="24"/>
      <c r="AA59" s="27"/>
    </row>
    <row r="60" spans="1:27" ht="12.75">
      <c r="A60" s="27"/>
      <c r="B60" s="36"/>
      <c r="C60" s="29"/>
      <c r="D60" s="32">
        <v>30</v>
      </c>
      <c r="E60" s="133">
        <v>121.952</v>
      </c>
      <c r="F60" s="133">
        <v>40.363799999999998</v>
      </c>
      <c r="G60" s="133">
        <v>43.810200000000002</v>
      </c>
      <c r="H60" s="133">
        <v>42.670699999999997</v>
      </c>
      <c r="I60" s="133"/>
      <c r="J60" s="134"/>
      <c r="K60" s="135"/>
      <c r="L60" s="29"/>
      <c r="M60" s="142">
        <v>121.91679999999999</v>
      </c>
      <c r="N60" s="142">
        <v>40.363799999999998</v>
      </c>
      <c r="O60" s="142">
        <v>43.810200000000002</v>
      </c>
      <c r="P60" s="142">
        <v>42.670699999999997</v>
      </c>
      <c r="Q60" s="142"/>
      <c r="R60" s="143"/>
      <c r="S60" s="144"/>
      <c r="U60" s="17"/>
      <c r="V60" s="18"/>
      <c r="W60" s="19"/>
      <c r="X60" s="29"/>
      <c r="Y60" s="24"/>
      <c r="Z60" s="24"/>
      <c r="AA60" s="27"/>
    </row>
    <row r="61" spans="1:27" ht="12.75">
      <c r="A61" s="27"/>
      <c r="B61" s="36"/>
      <c r="C61" s="29"/>
      <c r="D61" s="32">
        <v>35</v>
      </c>
      <c r="E61" s="133">
        <v>63.771999999999998</v>
      </c>
      <c r="F61" s="133">
        <v>37.911900000000003</v>
      </c>
      <c r="G61" s="133">
        <v>42.904899999999998</v>
      </c>
      <c r="H61" s="133">
        <v>41.304099999999998</v>
      </c>
      <c r="I61" s="133"/>
      <c r="J61" s="134"/>
      <c r="K61" s="135"/>
      <c r="L61" s="29"/>
      <c r="M61" s="142">
        <v>63.736800000000002</v>
      </c>
      <c r="N61" s="142">
        <v>37.911900000000003</v>
      </c>
      <c r="O61" s="142">
        <v>42.904899999999998</v>
      </c>
      <c r="P61" s="142">
        <v>41.304099999999998</v>
      </c>
      <c r="Q61" s="142"/>
      <c r="R61" s="143"/>
      <c r="S61" s="144"/>
      <c r="U61" s="41"/>
      <c r="V61" s="44"/>
      <c r="W61" s="43"/>
      <c r="X61" s="29"/>
      <c r="Y61" s="24"/>
      <c r="Z61" s="24"/>
      <c r="AA61" s="27"/>
    </row>
    <row r="62" spans="1:27" ht="13.5" thickBot="1">
      <c r="A62" s="27"/>
      <c r="B62" s="36"/>
      <c r="C62" s="29"/>
      <c r="D62" s="32">
        <v>40</v>
      </c>
      <c r="E62" s="133">
        <v>34.388800000000003</v>
      </c>
      <c r="F62" s="133">
        <v>35.371099999999998</v>
      </c>
      <c r="G62" s="133">
        <v>41.9985</v>
      </c>
      <c r="H62" s="133">
        <v>40.022199999999998</v>
      </c>
      <c r="I62" s="133"/>
      <c r="J62" s="134"/>
      <c r="K62" s="135"/>
      <c r="L62" s="29"/>
      <c r="M62" s="142">
        <v>34.3536</v>
      </c>
      <c r="N62" s="142">
        <v>35.371099999999998</v>
      </c>
      <c r="O62" s="142">
        <v>41.9985</v>
      </c>
      <c r="P62" s="142">
        <v>40.022199999999998</v>
      </c>
      <c r="Q62" s="142"/>
      <c r="R62" s="143"/>
      <c r="S62" s="144"/>
      <c r="U62" s="41"/>
      <c r="V62" s="42"/>
      <c r="W62" s="43"/>
      <c r="X62" s="29"/>
      <c r="Y62" s="24"/>
      <c r="Z62" s="24"/>
      <c r="AA62" s="27"/>
    </row>
    <row r="63" spans="1:27" ht="12.75">
      <c r="A63" s="27"/>
      <c r="B63" s="36"/>
      <c r="C63" s="28" t="s">
        <v>28</v>
      </c>
      <c r="D63" s="31">
        <v>25</v>
      </c>
      <c r="E63" s="130">
        <v>289.85599999999999</v>
      </c>
      <c r="F63" s="130">
        <v>42.325600000000001</v>
      </c>
      <c r="G63" s="130">
        <v>43.945500000000003</v>
      </c>
      <c r="H63" s="130">
        <v>43.8934</v>
      </c>
      <c r="I63" s="130"/>
      <c r="J63" s="131"/>
      <c r="K63" s="132"/>
      <c r="L63" s="29"/>
      <c r="M63" s="139">
        <v>289.82319999999999</v>
      </c>
      <c r="N63" s="139">
        <v>42.325600000000001</v>
      </c>
      <c r="O63" s="139">
        <v>43.945500000000003</v>
      </c>
      <c r="P63" s="139">
        <v>43.8934</v>
      </c>
      <c r="Q63" s="139"/>
      <c r="R63" s="140"/>
      <c r="S63" s="141"/>
      <c r="U63" s="8">
        <f>bdrate($E63:$E66,F63:F66,$M63:$M66,N63:N66)</f>
        <v>-4.2213589677686514E-4</v>
      </c>
      <c r="V63" s="9">
        <f>bdrate($E63:$E66,G63:G66,$M63:$M66,O63:O66)</f>
        <v>-3.8942028212918256E-4</v>
      </c>
      <c r="W63" s="10">
        <f>bdrate($E63:$E66,H63:H66,$M63:$M66,P63:P66)</f>
        <v>-3.9744940174413212E-4</v>
      </c>
      <c r="X63" s="29"/>
      <c r="Y63" s="24"/>
      <c r="Z63" s="24"/>
      <c r="AA63" s="27"/>
    </row>
    <row r="64" spans="1:27" ht="12.75">
      <c r="A64" s="27"/>
      <c r="B64" s="36"/>
      <c r="C64" s="29"/>
      <c r="D64" s="32">
        <v>30</v>
      </c>
      <c r="E64" s="133">
        <v>128.11920000000001</v>
      </c>
      <c r="F64" s="133">
        <v>40.102600000000002</v>
      </c>
      <c r="G64" s="133">
        <v>42.966299999999997</v>
      </c>
      <c r="H64" s="133">
        <v>42.462400000000002</v>
      </c>
      <c r="I64" s="133"/>
      <c r="J64" s="134"/>
      <c r="K64" s="135"/>
      <c r="L64" s="29"/>
      <c r="M64" s="142">
        <v>128.0864</v>
      </c>
      <c r="N64" s="142">
        <v>40.102600000000002</v>
      </c>
      <c r="O64" s="142">
        <v>42.966299999999997</v>
      </c>
      <c r="P64" s="142">
        <v>42.462400000000002</v>
      </c>
      <c r="Q64" s="142"/>
      <c r="R64" s="143"/>
      <c r="S64" s="144"/>
      <c r="U64" s="41"/>
      <c r="V64" s="42"/>
      <c r="W64" s="43"/>
      <c r="X64" s="29"/>
      <c r="Y64" s="24"/>
      <c r="Z64" s="24"/>
      <c r="AA64" s="27"/>
    </row>
    <row r="65" spans="1:27" ht="12.75">
      <c r="A65" s="27"/>
      <c r="B65" s="36"/>
      <c r="C65" s="29"/>
      <c r="D65" s="32">
        <v>35</v>
      </c>
      <c r="E65" s="133">
        <v>66.5184</v>
      </c>
      <c r="F65" s="133">
        <v>37.729700000000001</v>
      </c>
      <c r="G65" s="133">
        <v>42.195599999999999</v>
      </c>
      <c r="H65" s="133">
        <v>41.211100000000002</v>
      </c>
      <c r="I65" s="133"/>
      <c r="J65" s="134"/>
      <c r="K65" s="135"/>
      <c r="L65" s="29"/>
      <c r="M65" s="142">
        <v>66.485600000000005</v>
      </c>
      <c r="N65" s="142">
        <v>37.729700000000001</v>
      </c>
      <c r="O65" s="142">
        <v>42.195599999999999</v>
      </c>
      <c r="P65" s="142">
        <v>41.211100000000002</v>
      </c>
      <c r="Q65" s="142"/>
      <c r="R65" s="143"/>
      <c r="S65" s="144"/>
      <c r="U65" s="17"/>
      <c r="V65" s="18"/>
      <c r="W65" s="19"/>
      <c r="X65" s="29"/>
      <c r="Y65" s="24"/>
      <c r="Z65" s="24"/>
      <c r="AA65" s="27"/>
    </row>
    <row r="66" spans="1:27" ht="13.5" thickBot="1">
      <c r="A66" s="27"/>
      <c r="B66" s="36"/>
      <c r="C66" s="51"/>
      <c r="D66" s="69">
        <v>40</v>
      </c>
      <c r="E66" s="136">
        <v>35.427199999999999</v>
      </c>
      <c r="F66" s="136">
        <v>35.228099999999998</v>
      </c>
      <c r="G66" s="136">
        <v>41.4193</v>
      </c>
      <c r="H66" s="136">
        <v>39.974400000000003</v>
      </c>
      <c r="I66" s="136"/>
      <c r="J66" s="137"/>
      <c r="K66" s="138"/>
      <c r="L66" s="29"/>
      <c r="M66" s="145">
        <v>35.394399999999997</v>
      </c>
      <c r="N66" s="145">
        <v>35.228099999999998</v>
      </c>
      <c r="O66" s="145">
        <v>41.4193</v>
      </c>
      <c r="P66" s="145">
        <v>39.974400000000003</v>
      </c>
      <c r="Q66" s="145"/>
      <c r="R66" s="146"/>
      <c r="S66" s="147"/>
      <c r="U66" s="41"/>
      <c r="V66" s="42"/>
      <c r="W66" s="43"/>
      <c r="X66" s="29"/>
      <c r="Y66" s="24"/>
      <c r="Z66" s="24"/>
      <c r="AA66" s="27"/>
    </row>
    <row r="67" spans="1:27" ht="12.75">
      <c r="A67" s="27"/>
      <c r="B67" s="36"/>
      <c r="C67" s="28" t="s">
        <v>29</v>
      </c>
      <c r="D67" s="31">
        <v>34</v>
      </c>
      <c r="E67" s="130">
        <v>138.41919999999999</v>
      </c>
      <c r="F67" s="130">
        <v>39.141100000000002</v>
      </c>
      <c r="G67" s="130"/>
      <c r="H67" s="130"/>
      <c r="I67" s="130"/>
      <c r="J67" s="131"/>
      <c r="K67" s="132"/>
      <c r="L67" s="29"/>
      <c r="M67" s="139">
        <v>138.41919999999999</v>
      </c>
      <c r="N67" s="139">
        <v>39.141100000000002</v>
      </c>
      <c r="O67" s="139"/>
      <c r="P67" s="139"/>
      <c r="Q67" s="139"/>
      <c r="R67" s="140"/>
      <c r="S67" s="141"/>
      <c r="U67" s="8">
        <f>bdrate($E67:$E70,F67:F70,$M67:$M70,N67:N70)</f>
        <v>0</v>
      </c>
      <c r="V67" s="9"/>
      <c r="W67" s="10"/>
      <c r="X67" s="29"/>
      <c r="Y67" s="24"/>
      <c r="Z67" s="24"/>
      <c r="AA67" s="27"/>
    </row>
    <row r="68" spans="1:27" ht="12.75">
      <c r="A68" s="27"/>
      <c r="B68" s="36"/>
      <c r="C68" s="29"/>
      <c r="D68" s="32">
        <v>39</v>
      </c>
      <c r="E68" s="133">
        <v>48.512799999999999</v>
      </c>
      <c r="F68" s="133">
        <v>35.070500000000003</v>
      </c>
      <c r="G68" s="133"/>
      <c r="H68" s="133"/>
      <c r="I68" s="133"/>
      <c r="J68" s="134"/>
      <c r="K68" s="135"/>
      <c r="L68" s="29"/>
      <c r="M68" s="142">
        <v>48.512799999999999</v>
      </c>
      <c r="N68" s="142">
        <v>35.070500000000003</v>
      </c>
      <c r="O68" s="142"/>
      <c r="P68" s="142"/>
      <c r="Q68" s="142"/>
      <c r="R68" s="143"/>
      <c r="S68" s="144"/>
      <c r="U68" s="41"/>
      <c r="V68" s="42"/>
      <c r="W68" s="43"/>
      <c r="X68" s="29"/>
      <c r="Y68" s="24"/>
      <c r="Z68" s="24"/>
      <c r="AA68" s="27"/>
    </row>
    <row r="69" spans="1:27" ht="12.75">
      <c r="A69" s="27"/>
      <c r="B69" s="36"/>
      <c r="C69" s="29"/>
      <c r="D69" s="32">
        <v>42</v>
      </c>
      <c r="E69" s="133">
        <v>20.967199999999998</v>
      </c>
      <c r="F69" s="133">
        <v>31.992799999999999</v>
      </c>
      <c r="G69" s="133"/>
      <c r="H69" s="133"/>
      <c r="I69" s="133"/>
      <c r="J69" s="134"/>
      <c r="K69" s="135"/>
      <c r="L69" s="29"/>
      <c r="M69" s="142">
        <v>20.967199999999998</v>
      </c>
      <c r="N69" s="142">
        <v>31.992799999999999</v>
      </c>
      <c r="O69" s="142"/>
      <c r="P69" s="142"/>
      <c r="Q69" s="142"/>
      <c r="R69" s="143"/>
      <c r="S69" s="144"/>
      <c r="U69" s="41"/>
      <c r="V69" s="42"/>
      <c r="W69" s="43"/>
      <c r="X69" s="29"/>
      <c r="Y69" s="24"/>
      <c r="Z69" s="24"/>
      <c r="AA69" s="27"/>
    </row>
    <row r="70" spans="1:27" ht="13.5" thickBot="1">
      <c r="A70" s="27"/>
      <c r="B70" s="36"/>
      <c r="C70" s="29"/>
      <c r="D70" s="32">
        <v>45</v>
      </c>
      <c r="E70" s="136">
        <v>10.0184</v>
      </c>
      <c r="F70" s="136">
        <v>29.422499999999999</v>
      </c>
      <c r="G70" s="136"/>
      <c r="H70" s="136"/>
      <c r="I70" s="136"/>
      <c r="J70" s="137"/>
      <c r="K70" s="138"/>
      <c r="L70" s="29"/>
      <c r="M70" s="145">
        <v>10.0184</v>
      </c>
      <c r="N70" s="145">
        <v>29.422499999999999</v>
      </c>
      <c r="O70" s="145"/>
      <c r="P70" s="145"/>
      <c r="Q70" s="145"/>
      <c r="R70" s="146"/>
      <c r="S70" s="147"/>
      <c r="U70" s="17"/>
      <c r="V70" s="18"/>
      <c r="W70" s="19"/>
      <c r="X70" s="29"/>
      <c r="Y70" s="59"/>
      <c r="Z70" s="59"/>
      <c r="AA70" s="55"/>
    </row>
    <row r="71" spans="1:27" ht="12.75">
      <c r="A71" s="27"/>
      <c r="B71" s="36"/>
      <c r="C71" s="28" t="s">
        <v>30</v>
      </c>
      <c r="D71" s="31">
        <v>34</v>
      </c>
      <c r="E71" s="130">
        <v>108.0368</v>
      </c>
      <c r="F71" s="130">
        <v>36.120800000000003</v>
      </c>
      <c r="G71" s="130"/>
      <c r="H71" s="130"/>
      <c r="I71" s="130"/>
      <c r="J71" s="131"/>
      <c r="K71" s="132"/>
      <c r="L71" s="29"/>
      <c r="M71" s="139">
        <v>108.0368</v>
      </c>
      <c r="N71" s="139">
        <v>36.120800000000003</v>
      </c>
      <c r="O71" s="139"/>
      <c r="P71" s="139"/>
      <c r="Q71" s="139"/>
      <c r="R71" s="140"/>
      <c r="S71" s="141"/>
      <c r="U71" s="8">
        <f>bdrate($E71:$E74,F71:F74,$M71:$M74,N71:N74)</f>
        <v>0</v>
      </c>
      <c r="V71" s="9"/>
      <c r="W71" s="10"/>
      <c r="X71" s="29"/>
      <c r="Y71" s="24"/>
      <c r="Z71" s="24"/>
      <c r="AA71" s="27"/>
    </row>
    <row r="72" spans="1:27" ht="12.75">
      <c r="A72" s="27"/>
      <c r="B72" s="36"/>
      <c r="C72" s="29"/>
      <c r="D72" s="32">
        <v>39</v>
      </c>
      <c r="E72" s="133">
        <v>35.5304</v>
      </c>
      <c r="F72" s="133">
        <v>32.0792</v>
      </c>
      <c r="G72" s="133"/>
      <c r="H72" s="133"/>
      <c r="I72" s="133"/>
      <c r="J72" s="134"/>
      <c r="K72" s="135"/>
      <c r="L72" s="29"/>
      <c r="M72" s="142">
        <v>35.5304</v>
      </c>
      <c r="N72" s="142">
        <v>32.0792</v>
      </c>
      <c r="O72" s="142"/>
      <c r="P72" s="142"/>
      <c r="Q72" s="142"/>
      <c r="R72" s="143"/>
      <c r="S72" s="144"/>
      <c r="U72" s="12"/>
      <c r="V72" s="13"/>
      <c r="W72" s="14"/>
      <c r="X72" s="29"/>
      <c r="Y72" s="24"/>
      <c r="Z72" s="24"/>
      <c r="AA72" s="27"/>
    </row>
    <row r="73" spans="1:27" ht="12.75">
      <c r="A73" s="27"/>
      <c r="B73" s="36"/>
      <c r="C73" s="29"/>
      <c r="D73" s="32">
        <v>42</v>
      </c>
      <c r="E73" s="133">
        <v>15.6928</v>
      </c>
      <c r="F73" s="133">
        <v>29.412500000000001</v>
      </c>
      <c r="G73" s="133"/>
      <c r="H73" s="133"/>
      <c r="I73" s="133"/>
      <c r="J73" s="134"/>
      <c r="K73" s="135"/>
      <c r="L73" s="29"/>
      <c r="M73" s="142">
        <v>15.6928</v>
      </c>
      <c r="N73" s="142">
        <v>29.412500000000001</v>
      </c>
      <c r="O73" s="142"/>
      <c r="P73" s="142"/>
      <c r="Q73" s="142"/>
      <c r="R73" s="143"/>
      <c r="S73" s="144"/>
      <c r="U73" s="12"/>
      <c r="V73" s="13"/>
      <c r="W73" s="14"/>
      <c r="X73" s="29"/>
      <c r="Y73" s="24"/>
      <c r="Z73" s="24"/>
      <c r="AA73" s="27"/>
    </row>
    <row r="74" spans="1:27" ht="13.5" thickBot="1">
      <c r="A74" s="27"/>
      <c r="B74" s="36"/>
      <c r="C74" s="29"/>
      <c r="D74" s="32">
        <v>45</v>
      </c>
      <c r="E74" s="136">
        <v>7.46</v>
      </c>
      <c r="F74" s="136">
        <v>26.866199999999999</v>
      </c>
      <c r="G74" s="136"/>
      <c r="H74" s="136"/>
      <c r="I74" s="136"/>
      <c r="J74" s="137"/>
      <c r="K74" s="138"/>
      <c r="L74" s="29"/>
      <c r="M74" s="145">
        <v>7.46</v>
      </c>
      <c r="N74" s="145">
        <v>26.866199999999999</v>
      </c>
      <c r="O74" s="145"/>
      <c r="P74" s="145"/>
      <c r="Q74" s="145"/>
      <c r="R74" s="146"/>
      <c r="S74" s="147"/>
      <c r="U74" s="12"/>
      <c r="V74" s="13"/>
      <c r="W74" s="14"/>
      <c r="X74" s="29"/>
      <c r="Y74" s="24"/>
      <c r="Z74" s="24"/>
      <c r="AA74" s="27"/>
    </row>
    <row r="75" spans="1:27" ht="12.75">
      <c r="A75" s="27"/>
      <c r="B75" s="36"/>
      <c r="C75" s="28" t="s">
        <v>31</v>
      </c>
      <c r="D75" s="31">
        <v>34</v>
      </c>
      <c r="E75" s="130">
        <v>125.4696</v>
      </c>
      <c r="F75" s="130">
        <v>35.270800000000001</v>
      </c>
      <c r="G75" s="130"/>
      <c r="H75" s="130"/>
      <c r="I75" s="130"/>
      <c r="J75" s="131"/>
      <c r="K75" s="132"/>
      <c r="L75" s="29"/>
      <c r="M75" s="139">
        <v>125.4696</v>
      </c>
      <c r="N75" s="139">
        <v>35.270800000000001</v>
      </c>
      <c r="O75" s="139"/>
      <c r="P75" s="139"/>
      <c r="Q75" s="139"/>
      <c r="R75" s="140"/>
      <c r="S75" s="141"/>
      <c r="U75" s="8">
        <f>bdrate($E75:$E78,F75:F78,$M75:$M78,N75:N78)</f>
        <v>0</v>
      </c>
      <c r="V75" s="9"/>
      <c r="W75" s="10"/>
      <c r="X75" s="29"/>
      <c r="Y75" s="24"/>
      <c r="Z75" s="24"/>
      <c r="AA75" s="27"/>
    </row>
    <row r="76" spans="1:27" ht="12.75">
      <c r="A76" s="27"/>
      <c r="B76" s="36"/>
      <c r="C76" s="29"/>
      <c r="D76" s="32">
        <v>39</v>
      </c>
      <c r="E76" s="133">
        <v>40.871200000000002</v>
      </c>
      <c r="F76" s="133">
        <v>31.4375</v>
      </c>
      <c r="G76" s="133"/>
      <c r="H76" s="133"/>
      <c r="I76" s="133"/>
      <c r="J76" s="134"/>
      <c r="K76" s="135"/>
      <c r="L76" s="29"/>
      <c r="M76" s="142">
        <v>40.871200000000002</v>
      </c>
      <c r="N76" s="142">
        <v>31.4375</v>
      </c>
      <c r="O76" s="142"/>
      <c r="P76" s="142"/>
      <c r="Q76" s="142"/>
      <c r="R76" s="143"/>
      <c r="S76" s="144"/>
      <c r="U76" s="41"/>
      <c r="V76" s="42"/>
      <c r="W76" s="43"/>
      <c r="X76" s="29"/>
      <c r="Y76" s="24"/>
      <c r="Z76" s="24"/>
      <c r="AA76" s="27"/>
    </row>
    <row r="77" spans="1:27" ht="12.75">
      <c r="A77" s="27"/>
      <c r="B77" s="36"/>
      <c r="C77" s="29"/>
      <c r="D77" s="32">
        <v>42</v>
      </c>
      <c r="E77" s="133">
        <v>17.345600000000001</v>
      </c>
      <c r="F77" s="133">
        <v>28.695599999999999</v>
      </c>
      <c r="G77" s="133"/>
      <c r="H77" s="133"/>
      <c r="I77" s="133"/>
      <c r="J77" s="134"/>
      <c r="K77" s="135"/>
      <c r="L77" s="29"/>
      <c r="M77" s="142">
        <v>17.345600000000001</v>
      </c>
      <c r="N77" s="142">
        <v>28.695599999999999</v>
      </c>
      <c r="O77" s="142"/>
      <c r="P77" s="142"/>
      <c r="Q77" s="142"/>
      <c r="R77" s="143"/>
      <c r="S77" s="144"/>
      <c r="U77" s="41"/>
      <c r="V77" s="42"/>
      <c r="W77" s="43"/>
      <c r="X77" s="29"/>
      <c r="Y77" s="24"/>
      <c r="Z77" s="24"/>
      <c r="AA77" s="27"/>
    </row>
    <row r="78" spans="1:27" ht="13.5" thickBot="1">
      <c r="A78" s="27"/>
      <c r="B78" s="36"/>
      <c r="C78" s="29"/>
      <c r="D78" s="32">
        <v>45</v>
      </c>
      <c r="E78" s="136">
        <v>8.1920000000000002</v>
      </c>
      <c r="F78" s="136">
        <v>26.148700000000002</v>
      </c>
      <c r="G78" s="136"/>
      <c r="H78" s="136"/>
      <c r="I78" s="136"/>
      <c r="J78" s="137"/>
      <c r="K78" s="138"/>
      <c r="L78" s="29"/>
      <c r="M78" s="145">
        <v>8.1920000000000002</v>
      </c>
      <c r="N78" s="145">
        <v>26.148700000000002</v>
      </c>
      <c r="O78" s="145"/>
      <c r="P78" s="145"/>
      <c r="Q78" s="145"/>
      <c r="R78" s="146"/>
      <c r="S78" s="147"/>
      <c r="U78" s="41"/>
      <c r="V78" s="42"/>
      <c r="W78" s="43"/>
      <c r="X78" s="29"/>
      <c r="Y78" s="24"/>
      <c r="Z78" s="24"/>
      <c r="AA78" s="27"/>
    </row>
    <row r="79" spans="1:27" ht="12.75">
      <c r="A79" s="27"/>
      <c r="B79" s="36"/>
      <c r="C79" s="28" t="s">
        <v>47</v>
      </c>
      <c r="D79" s="31">
        <v>25</v>
      </c>
      <c r="E79" s="130" t="s">
        <v>62</v>
      </c>
      <c r="F79" s="130">
        <v>42.763300000000001</v>
      </c>
      <c r="G79" s="130">
        <v>47.006799999999998</v>
      </c>
      <c r="H79" s="130">
        <v>45.786499999999997</v>
      </c>
      <c r="I79" s="130"/>
      <c r="J79" s="131"/>
      <c r="K79" s="132"/>
      <c r="L79" s="29"/>
      <c r="M79" s="139" t="s">
        <v>62</v>
      </c>
      <c r="N79" s="139">
        <v>42.763300000000001</v>
      </c>
      <c r="O79" s="139">
        <v>47.006799999999998</v>
      </c>
      <c r="P79" s="139">
        <v>45.786499999999997</v>
      </c>
      <c r="Q79" s="139"/>
      <c r="R79" s="140"/>
      <c r="S79" s="141"/>
      <c r="U79" s="8"/>
      <c r="V79" s="9"/>
      <c r="W79" s="10"/>
      <c r="X79" s="29"/>
      <c r="Y79" s="24"/>
      <c r="Z79" s="24"/>
      <c r="AA79" s="27"/>
    </row>
    <row r="80" spans="1:27" ht="12.75">
      <c r="A80" s="27"/>
      <c r="B80" s="36"/>
      <c r="C80" s="29"/>
      <c r="D80" s="32">
        <v>30</v>
      </c>
      <c r="E80" s="133" t="s">
        <v>62</v>
      </c>
      <c r="F80" s="133">
        <v>40.526200000000003</v>
      </c>
      <c r="G80" s="133">
        <v>45.848500000000001</v>
      </c>
      <c r="H80" s="133">
        <v>44.052100000000003</v>
      </c>
      <c r="I80" s="133"/>
      <c r="J80" s="134"/>
      <c r="K80" s="135"/>
      <c r="L80" s="29"/>
      <c r="M80" s="142" t="s">
        <v>62</v>
      </c>
      <c r="N80" s="142">
        <v>40.526200000000003</v>
      </c>
      <c r="O80" s="142">
        <v>45.848500000000001</v>
      </c>
      <c r="P80" s="142">
        <v>44.052100000000003</v>
      </c>
      <c r="Q80" s="142"/>
      <c r="R80" s="143"/>
      <c r="S80" s="144"/>
      <c r="U80" s="17"/>
      <c r="V80" s="18"/>
      <c r="W80" s="19"/>
      <c r="X80" s="29"/>
      <c r="Y80" s="24"/>
      <c r="Z80" s="24"/>
      <c r="AA80" s="27"/>
    </row>
    <row r="81" spans="1:27" ht="12.75">
      <c r="A81" s="27"/>
      <c r="B81" s="36"/>
      <c r="C81" s="29"/>
      <c r="D81" s="32">
        <v>35</v>
      </c>
      <c r="E81" s="133" t="s">
        <v>62</v>
      </c>
      <c r="F81" s="133">
        <v>38.155900000000003</v>
      </c>
      <c r="G81" s="133">
        <v>44.670099999999998</v>
      </c>
      <c r="H81" s="133">
        <v>42.473100000000002</v>
      </c>
      <c r="I81" s="133"/>
      <c r="J81" s="134"/>
      <c r="K81" s="135"/>
      <c r="L81" s="29"/>
      <c r="M81" s="142" t="s">
        <v>62</v>
      </c>
      <c r="N81" s="142">
        <v>38.155900000000003</v>
      </c>
      <c r="O81" s="142">
        <v>44.670099999999998</v>
      </c>
      <c r="P81" s="142">
        <v>42.473100000000002</v>
      </c>
      <c r="Q81" s="142"/>
      <c r="R81" s="143"/>
      <c r="S81" s="144"/>
      <c r="U81" s="41"/>
      <c r="V81" s="44"/>
      <c r="W81" s="43"/>
      <c r="X81" s="29"/>
      <c r="Y81" s="24"/>
      <c r="Z81" s="24"/>
      <c r="AA81" s="27"/>
    </row>
    <row r="82" spans="1:27" ht="13.5" thickBot="1">
      <c r="A82" s="27"/>
      <c r="B82" s="36"/>
      <c r="C82" s="51"/>
      <c r="D82" s="69">
        <v>40</v>
      </c>
      <c r="E82" s="136" t="s">
        <v>62</v>
      </c>
      <c r="F82" s="136">
        <v>35.679400000000001</v>
      </c>
      <c r="G82" s="136">
        <v>43.631799999999998</v>
      </c>
      <c r="H82" s="136">
        <v>41.054900000000004</v>
      </c>
      <c r="I82" s="136"/>
      <c r="J82" s="137"/>
      <c r="K82" s="138"/>
      <c r="L82" s="29"/>
      <c r="M82" s="145" t="s">
        <v>62</v>
      </c>
      <c r="N82" s="145">
        <v>35.679400000000001</v>
      </c>
      <c r="O82" s="145">
        <v>43.631799999999998</v>
      </c>
      <c r="P82" s="145">
        <v>41.054900000000004</v>
      </c>
      <c r="Q82" s="145"/>
      <c r="R82" s="146"/>
      <c r="S82" s="147"/>
      <c r="U82" s="41"/>
      <c r="V82" s="42"/>
      <c r="W82" s="43"/>
      <c r="X82" s="29"/>
      <c r="Y82" s="24"/>
      <c r="Z82" s="24"/>
      <c r="AA82" s="27"/>
    </row>
    <row r="83" spans="1:27" ht="12.75">
      <c r="A83" s="27"/>
      <c r="B83" s="36"/>
      <c r="C83" s="29" t="s">
        <v>48</v>
      </c>
      <c r="D83" s="32">
        <v>25</v>
      </c>
      <c r="E83" s="130" t="s">
        <v>62</v>
      </c>
      <c r="F83" s="130">
        <v>43.461599999999997</v>
      </c>
      <c r="G83" s="130">
        <v>47.593699999999998</v>
      </c>
      <c r="H83" s="130">
        <v>46.601399999999998</v>
      </c>
      <c r="I83" s="130"/>
      <c r="J83" s="131"/>
      <c r="K83" s="132"/>
      <c r="L83" s="29"/>
      <c r="M83" s="139" t="s">
        <v>62</v>
      </c>
      <c r="N83" s="139">
        <v>43.461599999999997</v>
      </c>
      <c r="O83" s="139">
        <v>47.593699999999998</v>
      </c>
      <c r="P83" s="139">
        <v>46.601399999999998</v>
      </c>
      <c r="Q83" s="139"/>
      <c r="R83" s="140"/>
      <c r="S83" s="141"/>
      <c r="U83" s="8"/>
      <c r="V83" s="9"/>
      <c r="W83" s="10"/>
      <c r="X83" s="29"/>
      <c r="Y83" s="24"/>
      <c r="Z83" s="24"/>
      <c r="AA83" s="27"/>
    </row>
    <row r="84" spans="1:27" ht="12.75">
      <c r="A84" s="27"/>
      <c r="B84" s="36"/>
      <c r="C84" s="29"/>
      <c r="D84" s="32">
        <v>30</v>
      </c>
      <c r="E84" s="133" t="s">
        <v>62</v>
      </c>
      <c r="F84" s="133">
        <v>41.069499999999998</v>
      </c>
      <c r="G84" s="133">
        <v>46.346200000000003</v>
      </c>
      <c r="H84" s="133">
        <v>44.7746</v>
      </c>
      <c r="I84" s="133"/>
      <c r="J84" s="134"/>
      <c r="K84" s="135"/>
      <c r="L84" s="29"/>
      <c r="M84" s="142" t="s">
        <v>62</v>
      </c>
      <c r="N84" s="142">
        <v>41.069499999999998</v>
      </c>
      <c r="O84" s="142">
        <v>46.346200000000003</v>
      </c>
      <c r="P84" s="142">
        <v>44.7746</v>
      </c>
      <c r="Q84" s="142"/>
      <c r="R84" s="143"/>
      <c r="S84" s="144"/>
      <c r="U84" s="41"/>
      <c r="V84" s="42"/>
      <c r="W84" s="43"/>
      <c r="X84" s="29"/>
      <c r="Y84" s="24"/>
      <c r="Z84" s="24"/>
      <c r="AA84" s="27"/>
    </row>
    <row r="85" spans="1:27" ht="12.75">
      <c r="A85" s="27"/>
      <c r="B85" s="36"/>
      <c r="C85" s="29"/>
      <c r="D85" s="32">
        <v>35</v>
      </c>
      <c r="E85" s="133" t="s">
        <v>62</v>
      </c>
      <c r="F85" s="133">
        <v>38.572000000000003</v>
      </c>
      <c r="G85" s="133">
        <v>44.998899999999999</v>
      </c>
      <c r="H85" s="133">
        <v>42.968800000000002</v>
      </c>
      <c r="I85" s="133"/>
      <c r="J85" s="134"/>
      <c r="K85" s="135"/>
      <c r="L85" s="29"/>
      <c r="M85" s="142" t="s">
        <v>62</v>
      </c>
      <c r="N85" s="142">
        <v>38.572000000000003</v>
      </c>
      <c r="O85" s="142">
        <v>44.998899999999999</v>
      </c>
      <c r="P85" s="142">
        <v>42.968800000000002</v>
      </c>
      <c r="Q85" s="142"/>
      <c r="R85" s="143"/>
      <c r="S85" s="144"/>
      <c r="U85" s="17"/>
      <c r="V85" s="18"/>
      <c r="W85" s="19"/>
      <c r="X85" s="29"/>
      <c r="Y85" s="24"/>
      <c r="Z85" s="24"/>
      <c r="AA85" s="27"/>
    </row>
    <row r="86" spans="1:27" ht="13.5" thickBot="1">
      <c r="A86" s="27"/>
      <c r="B86" s="36"/>
      <c r="C86" s="51"/>
      <c r="D86" s="69">
        <v>40</v>
      </c>
      <c r="E86" s="136" t="s">
        <v>62</v>
      </c>
      <c r="F86" s="136">
        <v>36.0032</v>
      </c>
      <c r="G86" s="136">
        <v>43.898000000000003</v>
      </c>
      <c r="H86" s="136">
        <v>41.454599999999999</v>
      </c>
      <c r="I86" s="136"/>
      <c r="J86" s="137"/>
      <c r="K86" s="138"/>
      <c r="L86" s="29"/>
      <c r="M86" s="145" t="s">
        <v>62</v>
      </c>
      <c r="N86" s="145">
        <v>36.0032</v>
      </c>
      <c r="O86" s="145">
        <v>43.898000000000003</v>
      </c>
      <c r="P86" s="145">
        <v>41.454599999999999</v>
      </c>
      <c r="Q86" s="145"/>
      <c r="R86" s="146"/>
      <c r="S86" s="147"/>
      <c r="U86" s="41"/>
      <c r="V86" s="42"/>
      <c r="W86" s="43"/>
      <c r="X86" s="29"/>
      <c r="Y86" s="24"/>
      <c r="Z86" s="24"/>
      <c r="AA86" s="27"/>
    </row>
    <row r="87" spans="1:27" ht="12.75">
      <c r="A87" s="27"/>
      <c r="B87" s="36"/>
      <c r="C87" s="29" t="s">
        <v>49</v>
      </c>
      <c r="D87" s="32">
        <v>25</v>
      </c>
      <c r="E87" s="130" t="s">
        <v>62</v>
      </c>
      <c r="F87" s="130">
        <v>43.641800000000003</v>
      </c>
      <c r="G87" s="130">
        <v>47.043900000000001</v>
      </c>
      <c r="H87" s="130">
        <v>46.531300000000002</v>
      </c>
      <c r="I87" s="130"/>
      <c r="J87" s="131"/>
      <c r="K87" s="132"/>
      <c r="L87" s="29"/>
      <c r="M87" s="139" t="s">
        <v>62</v>
      </c>
      <c r="N87" s="139">
        <v>43.641800000000003</v>
      </c>
      <c r="O87" s="139">
        <v>47.043900000000001</v>
      </c>
      <c r="P87" s="139">
        <v>46.531300000000002</v>
      </c>
      <c r="Q87" s="139"/>
      <c r="R87" s="140"/>
      <c r="S87" s="141"/>
      <c r="U87" s="8"/>
      <c r="V87" s="9"/>
      <c r="W87" s="10"/>
      <c r="X87" s="29"/>
      <c r="Y87" s="24"/>
      <c r="Z87" s="24"/>
      <c r="AA87" s="27"/>
    </row>
    <row r="88" spans="1:27" ht="12.75">
      <c r="A88" s="27"/>
      <c r="B88" s="36"/>
      <c r="C88" s="29"/>
      <c r="D88" s="32">
        <v>30</v>
      </c>
      <c r="E88" s="133" t="s">
        <v>62</v>
      </c>
      <c r="F88" s="133">
        <v>41.346600000000002</v>
      </c>
      <c r="G88" s="133">
        <v>46.002499999999998</v>
      </c>
      <c r="H88" s="133">
        <v>44.804699999999997</v>
      </c>
      <c r="I88" s="133"/>
      <c r="J88" s="134"/>
      <c r="K88" s="135"/>
      <c r="L88" s="29"/>
      <c r="M88" s="142" t="s">
        <v>62</v>
      </c>
      <c r="N88" s="142">
        <v>41.346600000000002</v>
      </c>
      <c r="O88" s="142">
        <v>46.002499999999998</v>
      </c>
      <c r="P88" s="142">
        <v>44.804699999999997</v>
      </c>
      <c r="Q88" s="142"/>
      <c r="R88" s="143"/>
      <c r="S88" s="144"/>
      <c r="U88" s="41"/>
      <c r="V88" s="42"/>
      <c r="W88" s="43"/>
      <c r="X88" s="29"/>
      <c r="Y88" s="24"/>
      <c r="Z88" s="24"/>
      <c r="AA88" s="27"/>
    </row>
    <row r="89" spans="1:27" ht="12.75">
      <c r="A89" s="27"/>
      <c r="B89" s="36"/>
      <c r="C89" s="29"/>
      <c r="D89" s="32">
        <v>35</v>
      </c>
      <c r="E89" s="133" t="s">
        <v>62</v>
      </c>
      <c r="F89" s="133">
        <v>38.845999999999997</v>
      </c>
      <c r="G89" s="133">
        <v>44.715499999999999</v>
      </c>
      <c r="H89" s="133">
        <v>42.956499999999998</v>
      </c>
      <c r="I89" s="133"/>
      <c r="J89" s="134"/>
      <c r="K89" s="135"/>
      <c r="L89" s="29"/>
      <c r="M89" s="142" t="s">
        <v>62</v>
      </c>
      <c r="N89" s="142">
        <v>38.845999999999997</v>
      </c>
      <c r="O89" s="142">
        <v>44.715499999999999</v>
      </c>
      <c r="P89" s="142">
        <v>42.956499999999998</v>
      </c>
      <c r="Q89" s="142"/>
      <c r="R89" s="143"/>
      <c r="S89" s="144"/>
      <c r="U89" s="41"/>
      <c r="V89" s="42"/>
      <c r="W89" s="43"/>
      <c r="X89" s="29"/>
      <c r="Y89" s="24"/>
      <c r="Z89" s="24"/>
      <c r="AA89" s="27"/>
    </row>
    <row r="90" spans="1:27" ht="13.5" thickBot="1">
      <c r="A90" s="27"/>
      <c r="B90" s="36"/>
      <c r="C90" s="51"/>
      <c r="D90" s="69">
        <v>40</v>
      </c>
      <c r="E90" s="136" t="s">
        <v>62</v>
      </c>
      <c r="F90" s="136">
        <v>36.2425</v>
      </c>
      <c r="G90" s="136">
        <v>43.760199999999998</v>
      </c>
      <c r="H90" s="136">
        <v>41.455599999999997</v>
      </c>
      <c r="I90" s="136"/>
      <c r="J90" s="137"/>
      <c r="K90" s="138"/>
      <c r="L90" s="29"/>
      <c r="M90" s="145" t="s">
        <v>62</v>
      </c>
      <c r="N90" s="145">
        <v>36.2425</v>
      </c>
      <c r="O90" s="145">
        <v>43.760199999999998</v>
      </c>
      <c r="P90" s="145">
        <v>41.455599999999997</v>
      </c>
      <c r="Q90" s="145"/>
      <c r="R90" s="146"/>
      <c r="S90" s="147"/>
      <c r="U90" s="17"/>
      <c r="V90" s="18"/>
      <c r="W90" s="19"/>
      <c r="X90" s="29"/>
      <c r="Z90" s="59"/>
      <c r="AA90" s="55"/>
    </row>
    <row r="91" spans="1:27" ht="12.75">
      <c r="A91" s="27"/>
      <c r="B91" s="36"/>
      <c r="C91" s="29" t="s">
        <v>50</v>
      </c>
      <c r="D91" s="32">
        <v>25</v>
      </c>
      <c r="E91" s="130" t="s">
        <v>62</v>
      </c>
      <c r="F91" s="130">
        <v>43.477499999999999</v>
      </c>
      <c r="G91" s="130">
        <v>47.035299999999999</v>
      </c>
      <c r="H91" s="130">
        <v>46.584899999999998</v>
      </c>
      <c r="I91" s="130"/>
      <c r="J91" s="131"/>
      <c r="K91" s="132"/>
      <c r="L91" s="29"/>
      <c r="M91" s="139" t="s">
        <v>62</v>
      </c>
      <c r="N91" s="139">
        <v>43.477499999999999</v>
      </c>
      <c r="O91" s="139">
        <v>47.035299999999999</v>
      </c>
      <c r="P91" s="139">
        <v>46.584899999999998</v>
      </c>
      <c r="Q91" s="139"/>
      <c r="R91" s="140"/>
      <c r="S91" s="141"/>
      <c r="U91" s="8"/>
      <c r="V91" s="9"/>
      <c r="W91" s="10"/>
      <c r="X91" s="29"/>
      <c r="Y91" s="24"/>
      <c r="Z91" s="24"/>
      <c r="AA91" s="27"/>
    </row>
    <row r="92" spans="1:27" ht="12.75">
      <c r="A92" s="27"/>
      <c r="B92" s="36"/>
      <c r="C92" s="29"/>
      <c r="D92" s="32">
        <v>30</v>
      </c>
      <c r="E92" s="133" t="s">
        <v>62</v>
      </c>
      <c r="F92" s="133">
        <v>41.1905</v>
      </c>
      <c r="G92" s="133">
        <v>46.015999999999998</v>
      </c>
      <c r="H92" s="133">
        <v>44.851999999999997</v>
      </c>
      <c r="I92" s="133"/>
      <c r="J92" s="134"/>
      <c r="K92" s="135"/>
      <c r="L92" s="29"/>
      <c r="M92" s="142" t="s">
        <v>62</v>
      </c>
      <c r="N92" s="142">
        <v>41.1905</v>
      </c>
      <c r="O92" s="142">
        <v>46.015999999999998</v>
      </c>
      <c r="P92" s="142">
        <v>44.851999999999997</v>
      </c>
      <c r="Q92" s="142"/>
      <c r="R92" s="143"/>
      <c r="S92" s="144"/>
      <c r="U92" s="12"/>
      <c r="V92" s="13"/>
      <c r="W92" s="14"/>
      <c r="X92" s="29"/>
      <c r="Y92" s="24"/>
      <c r="Z92" s="24"/>
      <c r="AA92" s="27"/>
    </row>
    <row r="93" spans="1:27" ht="12.75">
      <c r="A93" s="27"/>
      <c r="B93" s="36"/>
      <c r="C93" s="29"/>
      <c r="D93" s="32">
        <v>35</v>
      </c>
      <c r="E93" s="133" t="s">
        <v>62</v>
      </c>
      <c r="F93" s="133">
        <v>38.698300000000003</v>
      </c>
      <c r="G93" s="133">
        <v>44.7577</v>
      </c>
      <c r="H93" s="133">
        <v>42.978700000000003</v>
      </c>
      <c r="I93" s="133"/>
      <c r="J93" s="134"/>
      <c r="K93" s="135"/>
      <c r="L93" s="29"/>
      <c r="M93" s="142" t="s">
        <v>62</v>
      </c>
      <c r="N93" s="142">
        <v>38.698300000000003</v>
      </c>
      <c r="O93" s="142">
        <v>44.7577</v>
      </c>
      <c r="P93" s="142">
        <v>42.978700000000003</v>
      </c>
      <c r="Q93" s="142"/>
      <c r="R93" s="143"/>
      <c r="S93" s="144"/>
      <c r="U93" s="12"/>
      <c r="V93" s="13"/>
      <c r="W93" s="14"/>
      <c r="X93" s="29"/>
      <c r="Y93" s="24"/>
      <c r="Z93" s="24"/>
      <c r="AA93" s="27"/>
    </row>
    <row r="94" spans="1:27" ht="13.5" thickBot="1">
      <c r="A94" s="27"/>
      <c r="B94" s="36"/>
      <c r="C94" s="51"/>
      <c r="D94" s="69">
        <v>40</v>
      </c>
      <c r="E94" s="136" t="s">
        <v>62</v>
      </c>
      <c r="F94" s="136">
        <v>36.093899999999998</v>
      </c>
      <c r="G94" s="136">
        <v>43.784100000000002</v>
      </c>
      <c r="H94" s="136">
        <v>41.444200000000002</v>
      </c>
      <c r="I94" s="136"/>
      <c r="J94" s="137"/>
      <c r="K94" s="138"/>
      <c r="L94" s="29"/>
      <c r="M94" s="145" t="s">
        <v>62</v>
      </c>
      <c r="N94" s="145">
        <v>36.093899999999998</v>
      </c>
      <c r="O94" s="145">
        <v>43.784100000000002</v>
      </c>
      <c r="P94" s="145">
        <v>41.444200000000002</v>
      </c>
      <c r="Q94" s="145"/>
      <c r="R94" s="146"/>
      <c r="S94" s="147"/>
      <c r="U94" s="12"/>
      <c r="V94" s="13"/>
      <c r="W94" s="14"/>
      <c r="X94" s="29"/>
      <c r="Y94" s="24"/>
      <c r="Z94" s="24"/>
      <c r="AA94" s="27"/>
    </row>
    <row r="95" spans="1:27" ht="12.75">
      <c r="A95" s="27"/>
      <c r="B95" s="36"/>
      <c r="C95" s="29" t="s">
        <v>51</v>
      </c>
      <c r="D95" s="32">
        <v>25</v>
      </c>
      <c r="E95" s="131" t="s">
        <v>62</v>
      </c>
      <c r="F95" s="131">
        <v>43.213500000000003</v>
      </c>
      <c r="G95" s="131">
        <v>47.29</v>
      </c>
      <c r="H95" s="131">
        <v>46.5824</v>
      </c>
      <c r="I95" s="131"/>
      <c r="J95" s="131"/>
      <c r="K95" s="132"/>
      <c r="L95" s="29"/>
      <c r="M95" s="140" t="s">
        <v>62</v>
      </c>
      <c r="N95" s="140">
        <v>43.213500000000003</v>
      </c>
      <c r="O95" s="140">
        <v>47.29</v>
      </c>
      <c r="P95" s="140">
        <v>46.5824</v>
      </c>
      <c r="Q95" s="140"/>
      <c r="R95" s="140"/>
      <c r="S95" s="141"/>
      <c r="U95" s="8"/>
      <c r="V95" s="9"/>
      <c r="W95" s="10"/>
      <c r="X95" s="29"/>
      <c r="Y95" s="24"/>
      <c r="Z95" s="24"/>
      <c r="AA95" s="27"/>
    </row>
    <row r="96" spans="1:27" ht="12.75">
      <c r="A96" s="27"/>
      <c r="B96" s="36"/>
      <c r="C96" s="29"/>
      <c r="D96" s="32">
        <v>30</v>
      </c>
      <c r="E96" s="134" t="s">
        <v>62</v>
      </c>
      <c r="F96" s="134">
        <v>40.841900000000003</v>
      </c>
      <c r="G96" s="134">
        <v>46.125900000000001</v>
      </c>
      <c r="H96" s="134">
        <v>44.757599999999996</v>
      </c>
      <c r="I96" s="134"/>
      <c r="J96" s="134"/>
      <c r="K96" s="135"/>
      <c r="L96" s="29"/>
      <c r="M96" s="143" t="s">
        <v>62</v>
      </c>
      <c r="N96" s="143">
        <v>40.841900000000003</v>
      </c>
      <c r="O96" s="143">
        <v>46.125900000000001</v>
      </c>
      <c r="P96" s="143">
        <v>44.757599999999996</v>
      </c>
      <c r="Q96" s="143"/>
      <c r="R96" s="143"/>
      <c r="S96" s="144"/>
      <c r="U96" s="41"/>
      <c r="V96" s="42"/>
      <c r="W96" s="43"/>
      <c r="X96" s="29"/>
      <c r="Y96" s="24"/>
      <c r="Z96" s="24"/>
      <c r="AA96" s="27"/>
    </row>
    <row r="97" spans="1:27" ht="12.75">
      <c r="A97" s="27"/>
      <c r="B97" s="36"/>
      <c r="C97" s="29"/>
      <c r="D97" s="32">
        <v>35</v>
      </c>
      <c r="E97" s="134" t="s">
        <v>62</v>
      </c>
      <c r="F97" s="134">
        <v>38.373399999999997</v>
      </c>
      <c r="G97" s="134">
        <v>44.931699999999999</v>
      </c>
      <c r="H97" s="134">
        <v>42.985399999999998</v>
      </c>
      <c r="I97" s="134"/>
      <c r="J97" s="134"/>
      <c r="K97" s="135"/>
      <c r="L97" s="29"/>
      <c r="M97" s="143" t="s">
        <v>62</v>
      </c>
      <c r="N97" s="143">
        <v>38.373399999999997</v>
      </c>
      <c r="O97" s="143">
        <v>44.931699999999999</v>
      </c>
      <c r="P97" s="143">
        <v>42.985399999999998</v>
      </c>
      <c r="Q97" s="143"/>
      <c r="R97" s="143"/>
      <c r="S97" s="144"/>
      <c r="U97" s="41"/>
      <c r="V97" s="42"/>
      <c r="W97" s="43"/>
      <c r="X97" s="29"/>
      <c r="Y97" s="24"/>
      <c r="Z97" s="24"/>
      <c r="AA97" s="27"/>
    </row>
    <row r="98" spans="1:27" ht="13.5" thickBot="1">
      <c r="A98" s="27"/>
      <c r="B98" s="36"/>
      <c r="C98" s="51"/>
      <c r="D98" s="69">
        <v>40</v>
      </c>
      <c r="E98" s="137" t="s">
        <v>62</v>
      </c>
      <c r="F98" s="137">
        <v>35.7943</v>
      </c>
      <c r="G98" s="137">
        <v>43.890599999999999</v>
      </c>
      <c r="H98" s="137">
        <v>41.413400000000003</v>
      </c>
      <c r="I98" s="137"/>
      <c r="J98" s="137"/>
      <c r="K98" s="138"/>
      <c r="L98" s="29"/>
      <c r="M98" s="146" t="s">
        <v>62</v>
      </c>
      <c r="N98" s="146">
        <v>35.7943</v>
      </c>
      <c r="O98" s="146">
        <v>43.890599999999999</v>
      </c>
      <c r="P98" s="146">
        <v>41.413400000000003</v>
      </c>
      <c r="Q98" s="146"/>
      <c r="R98" s="146"/>
      <c r="S98" s="147"/>
      <c r="U98" s="41"/>
      <c r="V98" s="42"/>
      <c r="W98" s="43"/>
      <c r="X98" s="29"/>
      <c r="Y98" s="24"/>
      <c r="Z98" s="24"/>
      <c r="AA98" s="27"/>
    </row>
    <row r="99" spans="1:27" ht="12.75">
      <c r="A99" s="27"/>
      <c r="B99" s="36"/>
      <c r="C99" s="29" t="s">
        <v>52</v>
      </c>
      <c r="D99" s="32">
        <v>25</v>
      </c>
      <c r="E99" s="131" t="s">
        <v>62</v>
      </c>
      <c r="F99" s="131">
        <v>42.458199999999998</v>
      </c>
      <c r="G99" s="131">
        <v>46.336599999999997</v>
      </c>
      <c r="H99" s="131">
        <v>45.741799999999998</v>
      </c>
      <c r="I99" s="131"/>
      <c r="J99" s="131"/>
      <c r="K99" s="132"/>
      <c r="L99" s="29"/>
      <c r="M99" s="140" t="s">
        <v>62</v>
      </c>
      <c r="N99" s="140">
        <v>42.458199999999998</v>
      </c>
      <c r="O99" s="140">
        <v>46.336599999999997</v>
      </c>
      <c r="P99" s="140">
        <v>45.741799999999998</v>
      </c>
      <c r="Q99" s="140"/>
      <c r="R99" s="140"/>
      <c r="S99" s="141"/>
      <c r="U99" s="8"/>
      <c r="V99" s="9"/>
      <c r="W99" s="10"/>
      <c r="X99" s="29"/>
      <c r="Y99" s="24"/>
      <c r="Z99" s="24"/>
      <c r="AA99" s="27"/>
    </row>
    <row r="100" spans="1:27" ht="12.75">
      <c r="A100" s="27"/>
      <c r="B100" s="36"/>
      <c r="C100" s="29"/>
      <c r="D100" s="32">
        <v>30</v>
      </c>
      <c r="E100" s="134" t="s">
        <v>62</v>
      </c>
      <c r="F100" s="134">
        <v>40.273600000000002</v>
      </c>
      <c r="G100" s="134">
        <v>45.1937</v>
      </c>
      <c r="H100" s="134">
        <v>44.028799999999997</v>
      </c>
      <c r="I100" s="134"/>
      <c r="J100" s="134"/>
      <c r="K100" s="135"/>
      <c r="L100" s="29"/>
      <c r="M100" s="143" t="s">
        <v>62</v>
      </c>
      <c r="N100" s="143">
        <v>40.273600000000002</v>
      </c>
      <c r="O100" s="143">
        <v>45.1937</v>
      </c>
      <c r="P100" s="143">
        <v>44.028799999999997</v>
      </c>
      <c r="Q100" s="143"/>
      <c r="R100" s="143"/>
      <c r="S100" s="144"/>
      <c r="U100" s="17"/>
      <c r="V100" s="18"/>
      <c r="W100" s="19"/>
      <c r="X100" s="29"/>
      <c r="Y100" s="24"/>
      <c r="Z100" s="24"/>
      <c r="AA100" s="27"/>
    </row>
    <row r="101" spans="1:27" ht="12.75">
      <c r="A101" s="27"/>
      <c r="B101" s="36"/>
      <c r="C101" s="29"/>
      <c r="D101" s="32">
        <v>35</v>
      </c>
      <c r="E101" s="134" t="s">
        <v>62</v>
      </c>
      <c r="F101" s="134">
        <v>37.924500000000002</v>
      </c>
      <c r="G101" s="134">
        <v>44.221499999999999</v>
      </c>
      <c r="H101" s="134">
        <v>42.487099999999998</v>
      </c>
      <c r="I101" s="134"/>
      <c r="J101" s="134"/>
      <c r="K101" s="135"/>
      <c r="L101" s="29"/>
      <c r="M101" s="143" t="s">
        <v>62</v>
      </c>
      <c r="N101" s="143">
        <v>37.924500000000002</v>
      </c>
      <c r="O101" s="143">
        <v>44.221499999999999</v>
      </c>
      <c r="P101" s="143">
        <v>42.487099999999998</v>
      </c>
      <c r="Q101" s="143"/>
      <c r="R101" s="143"/>
      <c r="S101" s="144"/>
      <c r="U101" s="41"/>
      <c r="V101" s="44"/>
      <c r="W101" s="43"/>
      <c r="X101" s="29"/>
      <c r="Y101" s="24"/>
      <c r="Z101" s="24"/>
      <c r="AA101" s="27"/>
    </row>
    <row r="102" spans="1:27" ht="13.5" thickBot="1">
      <c r="A102" s="27"/>
      <c r="B102" s="36"/>
      <c r="C102" s="51"/>
      <c r="D102" s="69">
        <v>40</v>
      </c>
      <c r="E102" s="137" t="s">
        <v>62</v>
      </c>
      <c r="F102" s="137">
        <v>35.443600000000004</v>
      </c>
      <c r="G102" s="137">
        <v>43.292099999999998</v>
      </c>
      <c r="H102" s="137">
        <v>41.031700000000001</v>
      </c>
      <c r="I102" s="137"/>
      <c r="J102" s="137"/>
      <c r="K102" s="138"/>
      <c r="L102" s="29"/>
      <c r="M102" s="146" t="s">
        <v>62</v>
      </c>
      <c r="N102" s="146">
        <v>35.443600000000004</v>
      </c>
      <c r="O102" s="146">
        <v>43.292099999999998</v>
      </c>
      <c r="P102" s="146">
        <v>41.031700000000001</v>
      </c>
      <c r="Q102" s="146"/>
      <c r="R102" s="146"/>
      <c r="S102" s="147"/>
      <c r="U102" s="41"/>
      <c r="V102" s="42"/>
      <c r="W102" s="43"/>
      <c r="X102" s="29"/>
      <c r="Y102" s="24"/>
      <c r="Z102" s="24"/>
      <c r="AA102" s="27"/>
    </row>
    <row r="103" spans="1:27" ht="12.75">
      <c r="A103" s="27"/>
      <c r="B103" s="36"/>
      <c r="C103" s="29" t="s">
        <v>12</v>
      </c>
      <c r="D103" s="32">
        <v>25</v>
      </c>
      <c r="E103" s="134">
        <v>1786.952</v>
      </c>
      <c r="F103" s="134" t="s">
        <v>62</v>
      </c>
      <c r="G103" s="134" t="s">
        <v>62</v>
      </c>
      <c r="H103" s="134" t="s">
        <v>62</v>
      </c>
      <c r="I103" s="134">
        <v>34968.76</v>
      </c>
      <c r="J103" s="134">
        <v>53.06</v>
      </c>
      <c r="K103" s="135">
        <v>398.31</v>
      </c>
      <c r="L103" s="29"/>
      <c r="M103" s="143">
        <v>1786.8504</v>
      </c>
      <c r="N103" s="143" t="s">
        <v>62</v>
      </c>
      <c r="O103" s="143" t="s">
        <v>62</v>
      </c>
      <c r="P103" s="143" t="s">
        <v>62</v>
      </c>
      <c r="Q103" s="143">
        <v>35224.120000000003</v>
      </c>
      <c r="R103" s="143">
        <v>52.51</v>
      </c>
      <c r="S103" s="144">
        <v>385.16</v>
      </c>
      <c r="U103" s="8"/>
      <c r="V103" s="9"/>
      <c r="W103" s="10"/>
      <c r="X103" s="29"/>
      <c r="Y103" s="59">
        <f>GEOMEAN(Q103:Q106)/GEOMEAN(I103:I106)</f>
        <v>1.0329737670252512</v>
      </c>
      <c r="Z103" s="59">
        <f>GEOMEAN(R103:R106)/GEOMEAN(J103:J106)</f>
        <v>1.0767939591697058</v>
      </c>
      <c r="AA103" s="55">
        <f>GEOMEAN(S103:S106)/GEOMEAN(K103:K106)</f>
        <v>1.0813068516621545</v>
      </c>
    </row>
    <row r="104" spans="1:27" ht="12.75">
      <c r="A104" s="27"/>
      <c r="B104" s="36"/>
      <c r="C104" s="29"/>
      <c r="D104" s="32">
        <v>30</v>
      </c>
      <c r="E104" s="134">
        <v>831.52719999999999</v>
      </c>
      <c r="F104" s="134" t="s">
        <v>62</v>
      </c>
      <c r="G104" s="134" t="s">
        <v>62</v>
      </c>
      <c r="H104" s="134" t="s">
        <v>62</v>
      </c>
      <c r="I104" s="134">
        <v>26800.95</v>
      </c>
      <c r="J104" s="134">
        <v>49.34</v>
      </c>
      <c r="K104" s="135">
        <v>359.33</v>
      </c>
      <c r="L104" s="29"/>
      <c r="M104" s="143">
        <v>831.42560000000003</v>
      </c>
      <c r="N104" s="143" t="s">
        <v>62</v>
      </c>
      <c r="O104" s="143" t="s">
        <v>62</v>
      </c>
      <c r="P104" s="143" t="s">
        <v>62</v>
      </c>
      <c r="Q104" s="143">
        <v>28218.49</v>
      </c>
      <c r="R104" s="143">
        <v>62.55</v>
      </c>
      <c r="S104" s="144">
        <v>401.59</v>
      </c>
      <c r="U104" s="41"/>
      <c r="V104" s="42"/>
      <c r="W104" s="43"/>
      <c r="X104" s="29"/>
      <c r="Y104" s="24"/>
      <c r="Z104" s="24"/>
      <c r="AA104" s="27"/>
    </row>
    <row r="105" spans="1:27" ht="12.75">
      <c r="A105" s="27"/>
      <c r="B105" s="36"/>
      <c r="C105" s="29"/>
      <c r="D105" s="32">
        <v>35</v>
      </c>
      <c r="E105" s="134">
        <v>446.01440000000002</v>
      </c>
      <c r="F105" s="134" t="s">
        <v>62</v>
      </c>
      <c r="G105" s="134" t="s">
        <v>62</v>
      </c>
      <c r="H105" s="134" t="s">
        <v>62</v>
      </c>
      <c r="I105" s="134">
        <v>22698.29</v>
      </c>
      <c r="J105" s="134">
        <v>45.7</v>
      </c>
      <c r="K105" s="135">
        <v>363.11</v>
      </c>
      <c r="L105" s="29"/>
      <c r="M105" s="143">
        <v>445.9128</v>
      </c>
      <c r="N105" s="143" t="s">
        <v>62</v>
      </c>
      <c r="O105" s="143" t="s">
        <v>62</v>
      </c>
      <c r="P105" s="143" t="s">
        <v>62</v>
      </c>
      <c r="Q105" s="143">
        <v>23745.39</v>
      </c>
      <c r="R105" s="143">
        <v>49.78</v>
      </c>
      <c r="S105" s="144">
        <v>438.07</v>
      </c>
      <c r="U105" s="17"/>
      <c r="V105" s="18"/>
      <c r="W105" s="19"/>
      <c r="X105" s="29"/>
      <c r="Y105" s="24"/>
      <c r="Z105" s="24"/>
      <c r="AA105" s="27"/>
    </row>
    <row r="106" spans="1:27" ht="13.5" thickBot="1">
      <c r="A106" s="27"/>
      <c r="B106" s="50"/>
      <c r="C106" s="51"/>
      <c r="D106" s="69">
        <v>40</v>
      </c>
      <c r="E106" s="137">
        <v>255.03280000000001</v>
      </c>
      <c r="F106" s="137" t="s">
        <v>62</v>
      </c>
      <c r="G106" s="137" t="s">
        <v>62</v>
      </c>
      <c r="H106" s="137" t="s">
        <v>62</v>
      </c>
      <c r="I106" s="137">
        <v>19946.66</v>
      </c>
      <c r="J106" s="137">
        <v>46.18</v>
      </c>
      <c r="K106" s="138">
        <v>387.59</v>
      </c>
      <c r="L106" s="29"/>
      <c r="M106" s="146">
        <v>254.93119999999999</v>
      </c>
      <c r="N106" s="146" t="s">
        <v>62</v>
      </c>
      <c r="O106" s="146" t="s">
        <v>62</v>
      </c>
      <c r="P106" s="146" t="s">
        <v>62</v>
      </c>
      <c r="Q106" s="146">
        <v>20469.05</v>
      </c>
      <c r="R106" s="146">
        <v>45.43</v>
      </c>
      <c r="S106" s="147">
        <v>406.4</v>
      </c>
      <c r="U106" s="82"/>
      <c r="V106" s="83"/>
      <c r="W106" s="84"/>
      <c r="X106" s="29"/>
      <c r="Y106" s="47"/>
      <c r="Z106" s="47"/>
      <c r="AA106" s="52"/>
    </row>
    <row r="107" spans="1:27" ht="12.75">
      <c r="A107" s="27" t="s">
        <v>18</v>
      </c>
      <c r="B107" s="35" t="s">
        <v>57</v>
      </c>
      <c r="C107" s="28" t="s">
        <v>26</v>
      </c>
      <c r="D107" s="31">
        <v>25</v>
      </c>
      <c r="E107" s="130">
        <v>949.1848</v>
      </c>
      <c r="F107" s="130">
        <v>41.356299999999997</v>
      </c>
      <c r="G107" s="130">
        <v>44.151299999999999</v>
      </c>
      <c r="H107" s="130">
        <v>44.212400000000002</v>
      </c>
      <c r="I107" s="130"/>
      <c r="J107" s="131"/>
      <c r="K107" s="132"/>
      <c r="L107" s="29"/>
      <c r="M107" s="139">
        <v>949.17039999999997</v>
      </c>
      <c r="N107" s="139">
        <v>41.356299999999997</v>
      </c>
      <c r="O107" s="139">
        <v>44.151299999999999</v>
      </c>
      <c r="P107" s="139">
        <v>44.212400000000002</v>
      </c>
      <c r="Q107" s="139"/>
      <c r="R107" s="140"/>
      <c r="S107" s="141"/>
      <c r="U107" s="8">
        <f>bdrate($E107:$E110,F107:F110,$M107:$M110,N107:N110)</f>
        <v>-4.4352539720682316E-5</v>
      </c>
      <c r="V107" s="9">
        <f>bdrate($E107:$E110,G107:G110,$M107:$M110,O107:O110)</f>
        <v>-4.1003965292496503E-5</v>
      </c>
      <c r="W107" s="10">
        <f>bdrate($E107:$E110,H107:H110,$M107:$M110,P107:P110)</f>
        <v>-4.1163623889062251E-5</v>
      </c>
      <c r="X107" s="29"/>
      <c r="Y107" s="22"/>
      <c r="Z107" s="22"/>
      <c r="AA107" s="26"/>
    </row>
    <row r="108" spans="1:27" ht="12.75">
      <c r="A108" s="27"/>
      <c r="B108" s="36"/>
      <c r="C108" s="29"/>
      <c r="D108" s="32">
        <v>30</v>
      </c>
      <c r="E108" s="133">
        <v>499.90800000000002</v>
      </c>
      <c r="F108" s="133">
        <v>38.991500000000002</v>
      </c>
      <c r="G108" s="133">
        <v>42.521900000000002</v>
      </c>
      <c r="H108" s="133">
        <v>42.534399999999998</v>
      </c>
      <c r="I108" s="133"/>
      <c r="J108" s="134"/>
      <c r="K108" s="135"/>
      <c r="L108" s="29"/>
      <c r="M108" s="142">
        <v>499.89359999999999</v>
      </c>
      <c r="N108" s="142">
        <v>38.991500000000002</v>
      </c>
      <c r="O108" s="142">
        <v>42.521900000000002</v>
      </c>
      <c r="P108" s="142">
        <v>42.534399999999998</v>
      </c>
      <c r="Q108" s="142"/>
      <c r="R108" s="143"/>
      <c r="S108" s="144"/>
      <c r="U108" s="41"/>
      <c r="V108" s="42"/>
      <c r="W108" s="43"/>
      <c r="X108" s="29"/>
      <c r="Y108" s="24"/>
      <c r="Z108" s="24"/>
      <c r="AA108" s="27"/>
    </row>
    <row r="109" spans="1:27" ht="12.75">
      <c r="A109" s="27"/>
      <c r="B109" s="36"/>
      <c r="C109" s="29"/>
      <c r="D109" s="32">
        <v>35</v>
      </c>
      <c r="E109" s="133">
        <v>275.40719999999999</v>
      </c>
      <c r="F109" s="133">
        <v>36.451599999999999</v>
      </c>
      <c r="G109" s="133">
        <v>40.753500000000003</v>
      </c>
      <c r="H109" s="133">
        <v>40.705300000000001</v>
      </c>
      <c r="I109" s="133"/>
      <c r="J109" s="134"/>
      <c r="K109" s="135"/>
      <c r="L109" s="29"/>
      <c r="M109" s="142">
        <v>275.39280000000002</v>
      </c>
      <c r="N109" s="142">
        <v>36.451599999999999</v>
      </c>
      <c r="O109" s="142">
        <v>40.753500000000003</v>
      </c>
      <c r="P109" s="142">
        <v>40.705300000000001</v>
      </c>
      <c r="Q109" s="142"/>
      <c r="R109" s="143"/>
      <c r="S109" s="144"/>
      <c r="U109" s="41"/>
      <c r="V109" s="42"/>
      <c r="W109" s="43"/>
      <c r="X109" s="29"/>
      <c r="Y109" s="24"/>
      <c r="Z109" s="24"/>
      <c r="AA109" s="27"/>
    </row>
    <row r="110" spans="1:27" ht="13.5" thickBot="1">
      <c r="A110" s="27"/>
      <c r="B110" s="36"/>
      <c r="C110" s="29"/>
      <c r="D110" s="32">
        <v>40</v>
      </c>
      <c r="E110" s="136">
        <v>159.29040000000001</v>
      </c>
      <c r="F110" s="136">
        <v>33.872100000000003</v>
      </c>
      <c r="G110" s="136">
        <v>39.514000000000003</v>
      </c>
      <c r="H110" s="136">
        <v>39.404200000000003</v>
      </c>
      <c r="I110" s="136"/>
      <c r="J110" s="137"/>
      <c r="K110" s="138"/>
      <c r="L110" s="29"/>
      <c r="M110" s="145">
        <v>159.27600000000001</v>
      </c>
      <c r="N110" s="145">
        <v>33.872100000000003</v>
      </c>
      <c r="O110" s="145">
        <v>39.514000000000003</v>
      </c>
      <c r="P110" s="145">
        <v>39.404200000000003</v>
      </c>
      <c r="Q110" s="145"/>
      <c r="R110" s="146"/>
      <c r="S110" s="147"/>
      <c r="U110" s="41"/>
      <c r="V110" s="42"/>
      <c r="W110" s="43"/>
      <c r="X110" s="29"/>
      <c r="Y110" s="24"/>
      <c r="Z110" s="24"/>
      <c r="AA110" s="27"/>
    </row>
    <row r="111" spans="1:27" ht="12.75">
      <c r="A111" s="27"/>
      <c r="B111" s="36"/>
      <c r="C111" s="28" t="s">
        <v>27</v>
      </c>
      <c r="D111" s="31">
        <v>25</v>
      </c>
      <c r="E111" s="133">
        <v>304.22239999999999</v>
      </c>
      <c r="F111" s="133">
        <v>40.3018</v>
      </c>
      <c r="G111" s="133">
        <v>42.944600000000001</v>
      </c>
      <c r="H111" s="133">
        <v>43.064999999999998</v>
      </c>
      <c r="I111" s="133"/>
      <c r="J111" s="134"/>
      <c r="K111" s="135"/>
      <c r="L111" s="29"/>
      <c r="M111" s="142">
        <v>304.20800000000003</v>
      </c>
      <c r="N111" s="142">
        <v>40.3018</v>
      </c>
      <c r="O111" s="142">
        <v>42.944600000000001</v>
      </c>
      <c r="P111" s="142">
        <v>43.064999999999998</v>
      </c>
      <c r="Q111" s="142"/>
      <c r="R111" s="143"/>
      <c r="S111" s="144"/>
      <c r="U111" s="8">
        <f>bdrate($E111:$E114,F111:F114,$M111:$M114,N111:N114)</f>
        <v>-1.8567844075256801E-4</v>
      </c>
      <c r="V111" s="9">
        <f>bdrate($E111:$E114,G111:G114,$M111:$M114,O111:O114)</f>
        <v>-1.6406712327388107E-4</v>
      </c>
      <c r="W111" s="10">
        <f>bdrate($E111:$E114,H111:H114,$M111:$M114,P111:P114)</f>
        <v>-1.6741719978474734E-4</v>
      </c>
      <c r="X111" s="29"/>
      <c r="Y111" s="24"/>
      <c r="Z111" s="24"/>
      <c r="AA111" s="27"/>
    </row>
    <row r="112" spans="1:27" ht="12.75">
      <c r="A112" s="27"/>
      <c r="B112" s="36"/>
      <c r="C112" s="29"/>
      <c r="D112" s="32">
        <v>30</v>
      </c>
      <c r="E112" s="133">
        <v>128.9992</v>
      </c>
      <c r="F112" s="133">
        <v>37.962000000000003</v>
      </c>
      <c r="G112" s="133">
        <v>41.290199999999999</v>
      </c>
      <c r="H112" s="133">
        <v>41.433599999999998</v>
      </c>
      <c r="I112" s="133"/>
      <c r="J112" s="134"/>
      <c r="K112" s="135"/>
      <c r="L112" s="29"/>
      <c r="M112" s="142">
        <v>128.98480000000001</v>
      </c>
      <c r="N112" s="142">
        <v>37.962000000000003</v>
      </c>
      <c r="O112" s="142">
        <v>41.290199999999999</v>
      </c>
      <c r="P112" s="142">
        <v>41.433599999999998</v>
      </c>
      <c r="Q112" s="142"/>
      <c r="R112" s="143"/>
      <c r="S112" s="144"/>
      <c r="U112" s="17"/>
      <c r="V112" s="18"/>
      <c r="W112" s="19"/>
      <c r="X112" s="29"/>
      <c r="Y112" s="24"/>
      <c r="Z112" s="24"/>
      <c r="AA112" s="27"/>
    </row>
    <row r="113" spans="1:27" ht="12.75">
      <c r="A113" s="27"/>
      <c r="B113" s="36"/>
      <c r="C113" s="29"/>
      <c r="D113" s="32">
        <v>35</v>
      </c>
      <c r="E113" s="133">
        <v>63.934399999999997</v>
      </c>
      <c r="F113" s="133">
        <v>35.529899999999998</v>
      </c>
      <c r="G113" s="133">
        <v>40.016599999999997</v>
      </c>
      <c r="H113" s="133">
        <v>40.058900000000001</v>
      </c>
      <c r="I113" s="133"/>
      <c r="J113" s="134"/>
      <c r="K113" s="135"/>
      <c r="L113" s="29"/>
      <c r="M113" s="142">
        <v>63.92</v>
      </c>
      <c r="N113" s="142">
        <v>35.529899999999998</v>
      </c>
      <c r="O113" s="142">
        <v>40.016599999999997</v>
      </c>
      <c r="P113" s="142">
        <v>40.058900000000001</v>
      </c>
      <c r="Q113" s="142"/>
      <c r="R113" s="143"/>
      <c r="S113" s="144"/>
      <c r="U113" s="41"/>
      <c r="V113" s="44"/>
      <c r="W113" s="43"/>
      <c r="X113" s="29"/>
      <c r="Y113" s="24"/>
      <c r="Z113" s="24"/>
      <c r="AA113" s="27"/>
    </row>
    <row r="114" spans="1:27" ht="13.5" thickBot="1">
      <c r="A114" s="27"/>
      <c r="B114" s="36"/>
      <c r="C114" s="29"/>
      <c r="D114" s="32">
        <v>40</v>
      </c>
      <c r="E114" s="133">
        <v>34.448</v>
      </c>
      <c r="F114" s="133">
        <v>33.1173</v>
      </c>
      <c r="G114" s="133">
        <v>38.972099999999998</v>
      </c>
      <c r="H114" s="133">
        <v>38.947299999999998</v>
      </c>
      <c r="I114" s="133"/>
      <c r="J114" s="134"/>
      <c r="K114" s="135"/>
      <c r="L114" s="29"/>
      <c r="M114" s="142">
        <v>34.433599999999998</v>
      </c>
      <c r="N114" s="142">
        <v>33.1173</v>
      </c>
      <c r="O114" s="142">
        <v>38.972099999999998</v>
      </c>
      <c r="P114" s="142">
        <v>38.947299999999998</v>
      </c>
      <c r="Q114" s="142"/>
      <c r="R114" s="143"/>
      <c r="S114" s="144"/>
      <c r="U114" s="41"/>
      <c r="V114" s="42"/>
      <c r="W114" s="43"/>
      <c r="X114" s="29"/>
      <c r="Y114" s="24"/>
      <c r="Z114" s="24"/>
      <c r="AA114" s="27"/>
    </row>
    <row r="115" spans="1:27" ht="12.75">
      <c r="A115" s="27"/>
      <c r="B115" s="36"/>
      <c r="C115" s="28" t="s">
        <v>28</v>
      </c>
      <c r="D115" s="31">
        <v>25</v>
      </c>
      <c r="E115" s="130">
        <v>347.2192</v>
      </c>
      <c r="F115" s="130">
        <v>39.901800000000001</v>
      </c>
      <c r="G115" s="130">
        <v>42.8523</v>
      </c>
      <c r="H115" s="130">
        <v>42.747799999999998</v>
      </c>
      <c r="I115" s="130"/>
      <c r="J115" s="131"/>
      <c r="K115" s="132"/>
      <c r="L115" s="29"/>
      <c r="M115" s="139">
        <v>347.2056</v>
      </c>
      <c r="N115" s="139">
        <v>39.901800000000001</v>
      </c>
      <c r="O115" s="139">
        <v>42.8523</v>
      </c>
      <c r="P115" s="139">
        <v>42.747799999999998</v>
      </c>
      <c r="Q115" s="139"/>
      <c r="R115" s="140"/>
      <c r="S115" s="141"/>
      <c r="U115" s="8">
        <f>bdrate($E115:$E118,F115:F118,$M115:$M118,N115:N118)</f>
        <v>-1.5143735932710012E-4</v>
      </c>
      <c r="V115" s="9">
        <f>bdrate($E115:$E118,G115:G118,$M115:$M118,O115:O118)</f>
        <v>-1.3526317972012425E-4</v>
      </c>
      <c r="W115" s="10">
        <f>bdrate($E115:$E118,H115:H118,$M115:$M118,P115:P118)</f>
        <v>-1.3441248799439531E-4</v>
      </c>
      <c r="X115" s="29"/>
      <c r="Y115" s="24"/>
      <c r="Z115" s="24"/>
      <c r="AA115" s="27"/>
    </row>
    <row r="116" spans="1:27" ht="12.75">
      <c r="A116" s="27"/>
      <c r="B116" s="36"/>
      <c r="C116" s="29"/>
      <c r="D116" s="32">
        <v>30</v>
      </c>
      <c r="E116" s="133">
        <v>150.0496</v>
      </c>
      <c r="F116" s="133">
        <v>37.520800000000001</v>
      </c>
      <c r="G116" s="133">
        <v>41.3658</v>
      </c>
      <c r="H116" s="133">
        <v>41.102800000000002</v>
      </c>
      <c r="I116" s="133"/>
      <c r="J116" s="134"/>
      <c r="K116" s="135"/>
      <c r="L116" s="29"/>
      <c r="M116" s="142">
        <v>150.036</v>
      </c>
      <c r="N116" s="142">
        <v>37.520800000000001</v>
      </c>
      <c r="O116" s="142">
        <v>41.3658</v>
      </c>
      <c r="P116" s="142">
        <v>41.102800000000002</v>
      </c>
      <c r="Q116" s="142"/>
      <c r="R116" s="143"/>
      <c r="S116" s="144"/>
      <c r="U116" s="41"/>
      <c r="V116" s="42"/>
      <c r="W116" s="43"/>
      <c r="X116" s="29"/>
      <c r="Y116" s="24"/>
      <c r="Z116" s="24"/>
      <c r="AA116" s="27"/>
    </row>
    <row r="117" spans="1:27" ht="12.75">
      <c r="A117" s="27"/>
      <c r="B117" s="36"/>
      <c r="C117" s="29"/>
      <c r="D117" s="32">
        <v>35</v>
      </c>
      <c r="E117" s="133">
        <v>74.968800000000002</v>
      </c>
      <c r="F117" s="133">
        <v>35.065600000000003</v>
      </c>
      <c r="G117" s="133">
        <v>40.0779</v>
      </c>
      <c r="H117" s="133">
        <v>39.674700000000001</v>
      </c>
      <c r="I117" s="133"/>
      <c r="J117" s="134"/>
      <c r="K117" s="135"/>
      <c r="L117" s="29"/>
      <c r="M117" s="142">
        <v>74.955200000000005</v>
      </c>
      <c r="N117" s="142">
        <v>35.065600000000003</v>
      </c>
      <c r="O117" s="142">
        <v>40.0779</v>
      </c>
      <c r="P117" s="142">
        <v>39.674700000000001</v>
      </c>
      <c r="Q117" s="142"/>
      <c r="R117" s="143"/>
      <c r="S117" s="144"/>
      <c r="U117" s="17"/>
      <c r="V117" s="18"/>
      <c r="W117" s="19"/>
      <c r="X117" s="29"/>
      <c r="Y117" s="24"/>
      <c r="Z117" s="24"/>
      <c r="AA117" s="27"/>
    </row>
    <row r="118" spans="1:27" ht="13.5" thickBot="1">
      <c r="A118" s="27"/>
      <c r="B118" s="36"/>
      <c r="C118" s="51"/>
      <c r="D118" s="69">
        <v>40</v>
      </c>
      <c r="E118" s="136">
        <v>39.950400000000002</v>
      </c>
      <c r="F118" s="136">
        <v>32.550699999999999</v>
      </c>
      <c r="G118" s="136">
        <v>39.076999999999998</v>
      </c>
      <c r="H118" s="136">
        <v>38.594099999999997</v>
      </c>
      <c r="I118" s="136"/>
      <c r="J118" s="137"/>
      <c r="K118" s="138"/>
      <c r="L118" s="29"/>
      <c r="M118" s="145">
        <v>39.936799999999998</v>
      </c>
      <c r="N118" s="145">
        <v>32.550699999999999</v>
      </c>
      <c r="O118" s="145">
        <v>39.076999999999998</v>
      </c>
      <c r="P118" s="145">
        <v>38.594099999999997</v>
      </c>
      <c r="Q118" s="145"/>
      <c r="R118" s="146"/>
      <c r="S118" s="147"/>
      <c r="U118" s="41"/>
      <c r="V118" s="42"/>
      <c r="W118" s="43"/>
      <c r="X118" s="29"/>
      <c r="Y118" s="24"/>
      <c r="Z118" s="24"/>
      <c r="AA118" s="27"/>
    </row>
    <row r="119" spans="1:27" ht="12.75">
      <c r="A119" s="27"/>
      <c r="B119" s="36"/>
      <c r="C119" s="28" t="s">
        <v>29</v>
      </c>
      <c r="D119" s="31">
        <v>34</v>
      </c>
      <c r="E119" s="130">
        <v>190.8168</v>
      </c>
      <c r="F119" s="130">
        <v>38.383099999999999</v>
      </c>
      <c r="G119" s="130"/>
      <c r="H119" s="130"/>
      <c r="I119" s="130"/>
      <c r="J119" s="131"/>
      <c r="K119" s="132"/>
      <c r="L119" s="29"/>
      <c r="M119" s="139">
        <v>190.8168</v>
      </c>
      <c r="N119" s="139">
        <v>38.383099999999999</v>
      </c>
      <c r="O119" s="139"/>
      <c r="P119" s="139"/>
      <c r="Q119" s="139"/>
      <c r="R119" s="140"/>
      <c r="S119" s="141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</row>
    <row r="120" spans="1:27" ht="12.75">
      <c r="A120" s="27"/>
      <c r="B120" s="36"/>
      <c r="C120" s="29"/>
      <c r="D120" s="32">
        <v>39</v>
      </c>
      <c r="E120" s="133">
        <v>64.175200000000004</v>
      </c>
      <c r="F120" s="133">
        <v>35.113399999999999</v>
      </c>
      <c r="G120" s="133"/>
      <c r="H120" s="133"/>
      <c r="I120" s="133"/>
      <c r="J120" s="134"/>
      <c r="K120" s="135"/>
      <c r="L120" s="29"/>
      <c r="M120" s="142">
        <v>64.175200000000004</v>
      </c>
      <c r="N120" s="142">
        <v>35.113399999999999</v>
      </c>
      <c r="O120" s="142"/>
      <c r="P120" s="142"/>
      <c r="Q120" s="142"/>
      <c r="R120" s="143"/>
      <c r="S120" s="144"/>
      <c r="U120" s="41"/>
      <c r="V120" s="42"/>
      <c r="W120" s="43"/>
      <c r="X120" s="29"/>
      <c r="Y120" s="24"/>
      <c r="Z120" s="24"/>
      <c r="AA120" s="27"/>
    </row>
    <row r="121" spans="1:27" ht="12.75">
      <c r="A121" s="27"/>
      <c r="B121" s="36"/>
      <c r="C121" s="29"/>
      <c r="D121" s="32">
        <v>42</v>
      </c>
      <c r="E121" s="133">
        <v>26.3584</v>
      </c>
      <c r="F121" s="133">
        <v>32.460500000000003</v>
      </c>
      <c r="G121" s="133"/>
      <c r="H121" s="133"/>
      <c r="I121" s="133"/>
      <c r="J121" s="134"/>
      <c r="K121" s="135"/>
      <c r="L121" s="29"/>
      <c r="M121" s="142">
        <v>26.3584</v>
      </c>
      <c r="N121" s="142">
        <v>32.460500000000003</v>
      </c>
      <c r="O121" s="142"/>
      <c r="P121" s="142"/>
      <c r="Q121" s="142"/>
      <c r="R121" s="143"/>
      <c r="S121" s="144"/>
      <c r="U121" s="41"/>
      <c r="V121" s="42"/>
      <c r="W121" s="43"/>
      <c r="X121" s="29"/>
      <c r="Y121" s="24"/>
      <c r="Z121" s="24"/>
      <c r="AA121" s="27"/>
    </row>
    <row r="122" spans="1:27" ht="13.5" thickBot="1">
      <c r="A122" s="27"/>
      <c r="B122" s="36"/>
      <c r="C122" s="29"/>
      <c r="D122" s="32">
        <v>45</v>
      </c>
      <c r="E122" s="136">
        <v>11.9392</v>
      </c>
      <c r="F122" s="136">
        <v>29.527000000000001</v>
      </c>
      <c r="G122" s="136"/>
      <c r="H122" s="136"/>
      <c r="I122" s="136"/>
      <c r="J122" s="137"/>
      <c r="K122" s="138"/>
      <c r="L122" s="29"/>
      <c r="M122" s="145">
        <v>11.9392</v>
      </c>
      <c r="N122" s="145">
        <v>29.527000000000001</v>
      </c>
      <c r="O122" s="145"/>
      <c r="P122" s="145"/>
      <c r="Q122" s="145"/>
      <c r="R122" s="146"/>
      <c r="S122" s="147"/>
      <c r="U122" s="17"/>
      <c r="V122" s="18"/>
      <c r="W122" s="19"/>
      <c r="X122" s="29"/>
      <c r="Y122" s="59"/>
      <c r="Z122" s="59"/>
      <c r="AA122" s="55"/>
    </row>
    <row r="123" spans="1:27" ht="12.75">
      <c r="A123" s="27"/>
      <c r="B123" s="36"/>
      <c r="C123" s="28" t="s">
        <v>30</v>
      </c>
      <c r="D123" s="31">
        <v>34</v>
      </c>
      <c r="E123" s="130">
        <v>124.30159999999999</v>
      </c>
      <c r="F123" s="130">
        <v>37.282200000000003</v>
      </c>
      <c r="G123" s="130"/>
      <c r="H123" s="130"/>
      <c r="I123" s="130"/>
      <c r="J123" s="131"/>
      <c r="K123" s="132"/>
      <c r="L123" s="29"/>
      <c r="M123" s="139">
        <v>124.30159999999999</v>
      </c>
      <c r="N123" s="139">
        <v>37.282200000000003</v>
      </c>
      <c r="O123" s="139"/>
      <c r="P123" s="139"/>
      <c r="Q123" s="139"/>
      <c r="R123" s="140"/>
      <c r="S123" s="141"/>
      <c r="U123" s="8">
        <f>bdrate($E123:$E126,F123:F126,$M123:$M126,N123:N126)</f>
        <v>0</v>
      </c>
      <c r="V123" s="9"/>
      <c r="W123" s="10"/>
      <c r="X123" s="29"/>
      <c r="Y123" s="24"/>
      <c r="Z123" s="24"/>
      <c r="AA123" s="27"/>
    </row>
    <row r="124" spans="1:27" ht="12.75">
      <c r="A124" s="27"/>
      <c r="B124" s="36"/>
      <c r="C124" s="29"/>
      <c r="D124" s="32">
        <v>39</v>
      </c>
      <c r="E124" s="133">
        <v>43.760800000000003</v>
      </c>
      <c r="F124" s="133">
        <v>34.193800000000003</v>
      </c>
      <c r="G124" s="133"/>
      <c r="H124" s="133"/>
      <c r="I124" s="133"/>
      <c r="J124" s="134"/>
      <c r="K124" s="135"/>
      <c r="L124" s="29"/>
      <c r="M124" s="142">
        <v>43.760800000000003</v>
      </c>
      <c r="N124" s="142">
        <v>34.193800000000003</v>
      </c>
      <c r="O124" s="142"/>
      <c r="P124" s="142"/>
      <c r="Q124" s="142"/>
      <c r="R124" s="143"/>
      <c r="S124" s="144"/>
      <c r="U124" s="12"/>
      <c r="V124" s="13"/>
      <c r="W124" s="14"/>
      <c r="X124" s="29"/>
      <c r="Y124" s="24"/>
      <c r="Z124" s="24"/>
      <c r="AA124" s="27"/>
    </row>
    <row r="125" spans="1:27" ht="12.75">
      <c r="A125" s="27"/>
      <c r="B125" s="36"/>
      <c r="C125" s="29"/>
      <c r="D125" s="32">
        <v>42</v>
      </c>
      <c r="E125" s="133">
        <v>18.872800000000002</v>
      </c>
      <c r="F125" s="133">
        <v>31.579000000000001</v>
      </c>
      <c r="G125" s="133"/>
      <c r="H125" s="133"/>
      <c r="I125" s="133"/>
      <c r="J125" s="134"/>
      <c r="K125" s="135"/>
      <c r="L125" s="29"/>
      <c r="M125" s="142">
        <v>18.872800000000002</v>
      </c>
      <c r="N125" s="142">
        <v>31.579000000000001</v>
      </c>
      <c r="O125" s="142"/>
      <c r="P125" s="142"/>
      <c r="Q125" s="142"/>
      <c r="R125" s="143"/>
      <c r="S125" s="144"/>
      <c r="U125" s="12"/>
      <c r="V125" s="13"/>
      <c r="W125" s="14"/>
      <c r="X125" s="29"/>
      <c r="Y125" s="24"/>
      <c r="Z125" s="24"/>
      <c r="AA125" s="27"/>
    </row>
    <row r="126" spans="1:27" ht="13.5" thickBot="1">
      <c r="A126" s="27"/>
      <c r="B126" s="36"/>
      <c r="C126" s="29"/>
      <c r="D126" s="32">
        <v>45</v>
      </c>
      <c r="E126" s="136">
        <v>8.4816000000000003</v>
      </c>
      <c r="F126" s="136">
        <v>28.3902</v>
      </c>
      <c r="G126" s="136"/>
      <c r="H126" s="136"/>
      <c r="I126" s="136"/>
      <c r="J126" s="137"/>
      <c r="K126" s="138"/>
      <c r="L126" s="29"/>
      <c r="M126" s="145">
        <v>8.4816000000000003</v>
      </c>
      <c r="N126" s="145">
        <v>28.3902</v>
      </c>
      <c r="O126" s="145"/>
      <c r="P126" s="145"/>
      <c r="Q126" s="145"/>
      <c r="R126" s="146"/>
      <c r="S126" s="147"/>
      <c r="U126" s="12"/>
      <c r="V126" s="13"/>
      <c r="W126" s="14"/>
      <c r="X126" s="29"/>
      <c r="Y126" s="24"/>
      <c r="Z126" s="24"/>
      <c r="AA126" s="27"/>
    </row>
    <row r="127" spans="1:27" ht="12.75">
      <c r="A127" s="27"/>
      <c r="B127" s="36"/>
      <c r="C127" s="28" t="s">
        <v>31</v>
      </c>
      <c r="D127" s="31">
        <v>34</v>
      </c>
      <c r="E127" s="130">
        <v>112.52079999999999</v>
      </c>
      <c r="F127" s="130">
        <v>37.2346</v>
      </c>
      <c r="G127" s="130"/>
      <c r="H127" s="130"/>
      <c r="I127" s="130"/>
      <c r="J127" s="131"/>
      <c r="K127" s="132"/>
      <c r="L127" s="29"/>
      <c r="M127" s="139">
        <v>112.52079999999999</v>
      </c>
      <c r="N127" s="139">
        <v>37.2346</v>
      </c>
      <c r="O127" s="139"/>
      <c r="P127" s="139"/>
      <c r="Q127" s="139"/>
      <c r="R127" s="140"/>
      <c r="S127" s="141"/>
      <c r="U127" s="8">
        <f>bdrate($E127:$E130,F127:F130,$M127:$M130,N127:N130)</f>
        <v>0</v>
      </c>
      <c r="V127" s="9"/>
      <c r="W127" s="10"/>
      <c r="X127" s="29"/>
      <c r="Y127" s="24"/>
      <c r="Z127" s="24"/>
      <c r="AA127" s="27"/>
    </row>
    <row r="128" spans="1:27" ht="12.75">
      <c r="A128" s="27"/>
      <c r="B128" s="36"/>
      <c r="C128" s="29"/>
      <c r="D128" s="32">
        <v>39</v>
      </c>
      <c r="E128" s="133">
        <v>36.757599999999996</v>
      </c>
      <c r="F128" s="133">
        <v>34.192599999999999</v>
      </c>
      <c r="G128" s="133"/>
      <c r="H128" s="133"/>
      <c r="I128" s="133"/>
      <c r="J128" s="134"/>
      <c r="K128" s="135"/>
      <c r="L128" s="29"/>
      <c r="M128" s="142">
        <v>36.757599999999996</v>
      </c>
      <c r="N128" s="142">
        <v>34.192599999999999</v>
      </c>
      <c r="O128" s="142"/>
      <c r="P128" s="142"/>
      <c r="Q128" s="142"/>
      <c r="R128" s="143"/>
      <c r="S128" s="144"/>
      <c r="U128" s="41"/>
      <c r="V128" s="42"/>
      <c r="W128" s="43"/>
      <c r="X128" s="29"/>
      <c r="Y128" s="24"/>
      <c r="Z128" s="24"/>
      <c r="AA128" s="27"/>
    </row>
    <row r="129" spans="1:27" ht="12.75">
      <c r="A129" s="27"/>
      <c r="B129" s="36"/>
      <c r="C129" s="29"/>
      <c r="D129" s="32">
        <v>42</v>
      </c>
      <c r="E129" s="133">
        <v>15.5648</v>
      </c>
      <c r="F129" s="133">
        <v>31.6373</v>
      </c>
      <c r="G129" s="133"/>
      <c r="H129" s="133"/>
      <c r="I129" s="133"/>
      <c r="J129" s="134"/>
      <c r="K129" s="135"/>
      <c r="L129" s="29"/>
      <c r="M129" s="142">
        <v>15.5648</v>
      </c>
      <c r="N129" s="142">
        <v>31.6373</v>
      </c>
      <c r="O129" s="142"/>
      <c r="P129" s="142"/>
      <c r="Q129" s="142"/>
      <c r="R129" s="143"/>
      <c r="S129" s="144"/>
      <c r="U129" s="41"/>
      <c r="V129" s="42"/>
      <c r="W129" s="43"/>
      <c r="X129" s="29"/>
      <c r="Y129" s="24"/>
      <c r="Z129" s="24"/>
      <c r="AA129" s="27"/>
    </row>
    <row r="130" spans="1:27" ht="13.5" thickBot="1">
      <c r="A130" s="27"/>
      <c r="B130" s="36"/>
      <c r="C130" s="29"/>
      <c r="D130" s="32">
        <v>45</v>
      </c>
      <c r="E130" s="136">
        <v>7.6063999999999998</v>
      </c>
      <c r="F130" s="136">
        <v>28.918399999999998</v>
      </c>
      <c r="G130" s="136"/>
      <c r="H130" s="136"/>
      <c r="I130" s="136"/>
      <c r="J130" s="137"/>
      <c r="K130" s="138"/>
      <c r="L130" s="29"/>
      <c r="M130" s="145">
        <v>7.6063999999999998</v>
      </c>
      <c r="N130" s="145">
        <v>28.918399999999998</v>
      </c>
      <c r="O130" s="145"/>
      <c r="P130" s="145"/>
      <c r="Q130" s="145"/>
      <c r="R130" s="146"/>
      <c r="S130" s="147"/>
      <c r="U130" s="41"/>
      <c r="V130" s="42"/>
      <c r="W130" s="43"/>
      <c r="X130" s="29"/>
      <c r="Y130" s="24"/>
      <c r="Z130" s="24"/>
      <c r="AA130" s="27"/>
    </row>
    <row r="131" spans="1:27" ht="12.75">
      <c r="A131" s="27"/>
      <c r="B131" s="36"/>
      <c r="C131" s="28" t="s">
        <v>47</v>
      </c>
      <c r="D131" s="31">
        <v>25</v>
      </c>
      <c r="E131" s="130" t="s">
        <v>62</v>
      </c>
      <c r="F131" s="130">
        <v>39.927399999999999</v>
      </c>
      <c r="G131" s="130">
        <v>45.249299999999998</v>
      </c>
      <c r="H131" s="130">
        <v>45.433300000000003</v>
      </c>
      <c r="I131" s="130"/>
      <c r="J131" s="131"/>
      <c r="K131" s="132"/>
      <c r="L131" s="29"/>
      <c r="M131" s="139" t="s">
        <v>62</v>
      </c>
      <c r="N131" s="139">
        <v>39.927399999999999</v>
      </c>
      <c r="O131" s="139">
        <v>45.249299999999998</v>
      </c>
      <c r="P131" s="139">
        <v>45.433300000000003</v>
      </c>
      <c r="Q131" s="139"/>
      <c r="R131" s="140"/>
      <c r="S131" s="141"/>
      <c r="U131" s="8"/>
      <c r="V131" s="9"/>
      <c r="W131" s="10"/>
      <c r="X131" s="29"/>
      <c r="Y131" s="24"/>
      <c r="Z131" s="24"/>
      <c r="AA131" s="27"/>
    </row>
    <row r="132" spans="1:27" ht="12.75">
      <c r="A132" s="27"/>
      <c r="B132" s="36"/>
      <c r="C132" s="29"/>
      <c r="D132" s="32">
        <v>30</v>
      </c>
      <c r="E132" s="133" t="s">
        <v>62</v>
      </c>
      <c r="F132" s="133">
        <v>37.792900000000003</v>
      </c>
      <c r="G132" s="133">
        <v>43.454099999999997</v>
      </c>
      <c r="H132" s="133">
        <v>43.615600000000001</v>
      </c>
      <c r="I132" s="133"/>
      <c r="J132" s="134"/>
      <c r="K132" s="135"/>
      <c r="L132" s="29"/>
      <c r="M132" s="142" t="s">
        <v>62</v>
      </c>
      <c r="N132" s="142">
        <v>37.792900000000003</v>
      </c>
      <c r="O132" s="142">
        <v>43.454099999999997</v>
      </c>
      <c r="P132" s="142">
        <v>43.615600000000001</v>
      </c>
      <c r="Q132" s="142"/>
      <c r="R132" s="143"/>
      <c r="S132" s="144"/>
      <c r="U132" s="17"/>
      <c r="V132" s="18"/>
      <c r="W132" s="19"/>
      <c r="X132" s="29"/>
      <c r="Y132" s="24"/>
      <c r="Z132" s="24"/>
      <c r="AA132" s="27"/>
    </row>
    <row r="133" spans="1:27" ht="12.75">
      <c r="A133" s="27"/>
      <c r="B133" s="36"/>
      <c r="C133" s="29"/>
      <c r="D133" s="32">
        <v>35</v>
      </c>
      <c r="E133" s="133" t="s">
        <v>62</v>
      </c>
      <c r="F133" s="133">
        <v>35.497500000000002</v>
      </c>
      <c r="G133" s="133">
        <v>41.871099999999998</v>
      </c>
      <c r="H133" s="133">
        <v>41.907299999999999</v>
      </c>
      <c r="I133" s="133"/>
      <c r="J133" s="134"/>
      <c r="K133" s="135"/>
      <c r="L133" s="29"/>
      <c r="M133" s="142" t="s">
        <v>62</v>
      </c>
      <c r="N133" s="142">
        <v>35.497500000000002</v>
      </c>
      <c r="O133" s="142">
        <v>41.871099999999998</v>
      </c>
      <c r="P133" s="142">
        <v>41.907299999999999</v>
      </c>
      <c r="Q133" s="142"/>
      <c r="R133" s="143"/>
      <c r="S133" s="144"/>
      <c r="U133" s="41"/>
      <c r="V133" s="44"/>
      <c r="W133" s="43"/>
      <c r="X133" s="29"/>
      <c r="Y133" s="24"/>
      <c r="Z133" s="24"/>
      <c r="AA133" s="27"/>
    </row>
    <row r="134" spans="1:27" ht="13.5" thickBot="1">
      <c r="A134" s="27"/>
      <c r="B134" s="36"/>
      <c r="C134" s="51"/>
      <c r="D134" s="69">
        <v>40</v>
      </c>
      <c r="E134" s="136" t="s">
        <v>62</v>
      </c>
      <c r="F134" s="136">
        <v>33.122999999999998</v>
      </c>
      <c r="G134" s="136">
        <v>40.541800000000002</v>
      </c>
      <c r="H134" s="136">
        <v>40.531199999999998</v>
      </c>
      <c r="I134" s="136"/>
      <c r="J134" s="137"/>
      <c r="K134" s="138"/>
      <c r="L134" s="29"/>
      <c r="M134" s="145" t="s">
        <v>62</v>
      </c>
      <c r="N134" s="145">
        <v>33.122999999999998</v>
      </c>
      <c r="O134" s="145">
        <v>40.541800000000002</v>
      </c>
      <c r="P134" s="145">
        <v>40.531199999999998</v>
      </c>
      <c r="Q134" s="145"/>
      <c r="R134" s="146"/>
      <c r="S134" s="147"/>
      <c r="U134" s="41"/>
      <c r="V134" s="42"/>
      <c r="W134" s="43"/>
      <c r="X134" s="29"/>
      <c r="Y134" s="24"/>
      <c r="Z134" s="24"/>
      <c r="AA134" s="27"/>
    </row>
    <row r="135" spans="1:27" ht="12.75">
      <c r="A135" s="27"/>
      <c r="B135" s="36"/>
      <c r="C135" s="29" t="s">
        <v>48</v>
      </c>
      <c r="D135" s="32">
        <v>25</v>
      </c>
      <c r="E135" s="130" t="s">
        <v>62</v>
      </c>
      <c r="F135" s="130">
        <v>40.461399999999998</v>
      </c>
      <c r="G135" s="130">
        <v>46.113100000000003</v>
      </c>
      <c r="H135" s="130">
        <v>46.155999999999999</v>
      </c>
      <c r="I135" s="130"/>
      <c r="J135" s="131"/>
      <c r="K135" s="132"/>
      <c r="L135" s="29"/>
      <c r="M135" s="139" t="s">
        <v>62</v>
      </c>
      <c r="N135" s="139">
        <v>40.461399999999998</v>
      </c>
      <c r="O135" s="139">
        <v>46.113100000000003</v>
      </c>
      <c r="P135" s="139">
        <v>46.155999999999999</v>
      </c>
      <c r="Q135" s="139"/>
      <c r="R135" s="140"/>
      <c r="S135" s="141"/>
      <c r="U135" s="8"/>
      <c r="V135" s="9"/>
      <c r="W135" s="10"/>
      <c r="X135" s="29"/>
      <c r="Y135" s="24"/>
      <c r="Z135" s="24"/>
      <c r="AA135" s="27"/>
    </row>
    <row r="136" spans="1:27" ht="12.75">
      <c r="A136" s="27"/>
      <c r="B136" s="36"/>
      <c r="C136" s="29"/>
      <c r="D136" s="32">
        <v>30</v>
      </c>
      <c r="E136" s="133" t="s">
        <v>62</v>
      </c>
      <c r="F136" s="133">
        <v>38.189900000000002</v>
      </c>
      <c r="G136" s="133">
        <v>44.228200000000001</v>
      </c>
      <c r="H136" s="133">
        <v>44.2348</v>
      </c>
      <c r="I136" s="133"/>
      <c r="J136" s="134"/>
      <c r="K136" s="135"/>
      <c r="L136" s="29"/>
      <c r="M136" s="142" t="s">
        <v>62</v>
      </c>
      <c r="N136" s="142">
        <v>38.189900000000002</v>
      </c>
      <c r="O136" s="142">
        <v>44.228200000000001</v>
      </c>
      <c r="P136" s="142">
        <v>44.2348</v>
      </c>
      <c r="Q136" s="142"/>
      <c r="R136" s="143"/>
      <c r="S136" s="144"/>
      <c r="U136" s="41"/>
      <c r="V136" s="42"/>
      <c r="W136" s="43"/>
      <c r="X136" s="29"/>
      <c r="Y136" s="24"/>
      <c r="Z136" s="24"/>
      <c r="AA136" s="27"/>
    </row>
    <row r="137" spans="1:27" ht="12.75">
      <c r="A137" s="27"/>
      <c r="B137" s="36"/>
      <c r="C137" s="29"/>
      <c r="D137" s="32">
        <v>35</v>
      </c>
      <c r="E137" s="133" t="s">
        <v>62</v>
      </c>
      <c r="F137" s="133">
        <v>35.793199999999999</v>
      </c>
      <c r="G137" s="133">
        <v>42.384099999999997</v>
      </c>
      <c r="H137" s="133">
        <v>42.270200000000003</v>
      </c>
      <c r="I137" s="133"/>
      <c r="J137" s="134"/>
      <c r="K137" s="135"/>
      <c r="L137" s="29"/>
      <c r="M137" s="142" t="s">
        <v>62</v>
      </c>
      <c r="N137" s="142">
        <v>35.793199999999999</v>
      </c>
      <c r="O137" s="142">
        <v>42.384099999999997</v>
      </c>
      <c r="P137" s="142">
        <v>42.270200000000003</v>
      </c>
      <c r="Q137" s="142"/>
      <c r="R137" s="143"/>
      <c r="S137" s="144"/>
      <c r="U137" s="17"/>
      <c r="V137" s="18"/>
      <c r="W137" s="19"/>
      <c r="X137" s="29"/>
      <c r="Y137" s="24"/>
      <c r="Z137" s="24"/>
      <c r="AA137" s="27"/>
    </row>
    <row r="138" spans="1:27" ht="13.5" thickBot="1">
      <c r="A138" s="27"/>
      <c r="B138" s="36"/>
      <c r="C138" s="51"/>
      <c r="D138" s="69">
        <v>40</v>
      </c>
      <c r="E138" s="136" t="s">
        <v>62</v>
      </c>
      <c r="F138" s="136">
        <v>33.326700000000002</v>
      </c>
      <c r="G138" s="136">
        <v>40.906500000000001</v>
      </c>
      <c r="H138" s="136">
        <v>40.764699999999998</v>
      </c>
      <c r="I138" s="136"/>
      <c r="J138" s="137"/>
      <c r="K138" s="138"/>
      <c r="L138" s="29"/>
      <c r="M138" s="145" t="s">
        <v>62</v>
      </c>
      <c r="N138" s="145">
        <v>33.326700000000002</v>
      </c>
      <c r="O138" s="145">
        <v>40.906500000000001</v>
      </c>
      <c r="P138" s="145">
        <v>40.764699999999998</v>
      </c>
      <c r="Q138" s="145"/>
      <c r="R138" s="146"/>
      <c r="S138" s="147"/>
      <c r="U138" s="41"/>
      <c r="V138" s="42"/>
      <c r="W138" s="43"/>
      <c r="X138" s="29"/>
      <c r="Y138" s="24"/>
      <c r="Z138" s="24"/>
      <c r="AA138" s="27"/>
    </row>
    <row r="139" spans="1:27" ht="12.75">
      <c r="A139" s="27"/>
      <c r="B139" s="36"/>
      <c r="C139" s="29" t="s">
        <v>49</v>
      </c>
      <c r="D139" s="32">
        <v>25</v>
      </c>
      <c r="E139" s="130" t="s">
        <v>62</v>
      </c>
      <c r="F139" s="130">
        <v>40.936500000000002</v>
      </c>
      <c r="G139" s="130">
        <v>46.021599999999999</v>
      </c>
      <c r="H139" s="130">
        <v>46.088500000000003</v>
      </c>
      <c r="I139" s="130"/>
      <c r="J139" s="131"/>
      <c r="K139" s="132"/>
      <c r="L139" s="29"/>
      <c r="M139" s="139" t="s">
        <v>62</v>
      </c>
      <c r="N139" s="139">
        <v>40.936500000000002</v>
      </c>
      <c r="O139" s="139">
        <v>46.021599999999999</v>
      </c>
      <c r="P139" s="139">
        <v>46.088500000000003</v>
      </c>
      <c r="Q139" s="139"/>
      <c r="R139" s="140"/>
      <c r="S139" s="141"/>
      <c r="U139" s="8"/>
      <c r="V139" s="9"/>
      <c r="W139" s="10"/>
      <c r="X139" s="29"/>
      <c r="Y139" s="24"/>
      <c r="Z139" s="24"/>
      <c r="AA139" s="27"/>
    </row>
    <row r="140" spans="1:27" ht="12.75">
      <c r="A140" s="27"/>
      <c r="B140" s="36"/>
      <c r="C140" s="29"/>
      <c r="D140" s="32">
        <v>30</v>
      </c>
      <c r="E140" s="133" t="s">
        <v>62</v>
      </c>
      <c r="F140" s="133">
        <v>38.640799999999999</v>
      </c>
      <c r="G140" s="133">
        <v>44.2517</v>
      </c>
      <c r="H140" s="133">
        <v>44.226799999999997</v>
      </c>
      <c r="I140" s="133"/>
      <c r="J140" s="134"/>
      <c r="K140" s="135"/>
      <c r="L140" s="29"/>
      <c r="M140" s="142" t="s">
        <v>62</v>
      </c>
      <c r="N140" s="142">
        <v>38.640799999999999</v>
      </c>
      <c r="O140" s="142">
        <v>44.2517</v>
      </c>
      <c r="P140" s="142">
        <v>44.226799999999997</v>
      </c>
      <c r="Q140" s="142"/>
      <c r="R140" s="143"/>
      <c r="S140" s="144"/>
      <c r="U140" s="41"/>
      <c r="V140" s="42"/>
      <c r="W140" s="43"/>
      <c r="X140" s="29"/>
      <c r="Y140" s="24"/>
      <c r="Z140" s="24"/>
      <c r="AA140" s="27"/>
    </row>
    <row r="141" spans="1:27" ht="12.75">
      <c r="A141" s="27"/>
      <c r="B141" s="36"/>
      <c r="C141" s="29"/>
      <c r="D141" s="32">
        <v>35</v>
      </c>
      <c r="E141" s="133" t="s">
        <v>62</v>
      </c>
      <c r="F141" s="133">
        <v>36.1997</v>
      </c>
      <c r="G141" s="133">
        <v>42.317399999999999</v>
      </c>
      <c r="H141" s="133">
        <v>42.198099999999997</v>
      </c>
      <c r="I141" s="133"/>
      <c r="J141" s="134"/>
      <c r="K141" s="135"/>
      <c r="L141" s="29"/>
      <c r="M141" s="142" t="s">
        <v>62</v>
      </c>
      <c r="N141" s="142">
        <v>36.1997</v>
      </c>
      <c r="O141" s="142">
        <v>42.317399999999999</v>
      </c>
      <c r="P141" s="142">
        <v>42.198099999999997</v>
      </c>
      <c r="Q141" s="142"/>
      <c r="R141" s="143"/>
      <c r="S141" s="144"/>
      <c r="U141" s="41"/>
      <c r="V141" s="42"/>
      <c r="W141" s="43"/>
      <c r="X141" s="29"/>
      <c r="Y141" s="24"/>
      <c r="Z141" s="24"/>
      <c r="AA141" s="27"/>
    </row>
    <row r="142" spans="1:27" ht="13.5" thickBot="1">
      <c r="A142" s="27"/>
      <c r="B142" s="36"/>
      <c r="C142" s="51"/>
      <c r="D142" s="69">
        <v>40</v>
      </c>
      <c r="E142" s="136" t="s">
        <v>62</v>
      </c>
      <c r="F142" s="136">
        <v>33.677500000000002</v>
      </c>
      <c r="G142" s="136">
        <v>40.854399999999998</v>
      </c>
      <c r="H142" s="136">
        <v>40.6995</v>
      </c>
      <c r="I142" s="136"/>
      <c r="J142" s="137"/>
      <c r="K142" s="138"/>
      <c r="L142" s="29"/>
      <c r="M142" s="145" t="s">
        <v>62</v>
      </c>
      <c r="N142" s="145">
        <v>33.677500000000002</v>
      </c>
      <c r="O142" s="145">
        <v>40.854399999999998</v>
      </c>
      <c r="P142" s="145">
        <v>40.6995</v>
      </c>
      <c r="Q142" s="145"/>
      <c r="R142" s="146"/>
      <c r="S142" s="147"/>
      <c r="U142" s="17"/>
      <c r="V142" s="18"/>
      <c r="W142" s="19"/>
      <c r="X142" s="29"/>
      <c r="Z142" s="59"/>
      <c r="AA142" s="55"/>
    </row>
    <row r="143" spans="1:27" ht="12.75">
      <c r="A143" s="27"/>
      <c r="B143" s="36"/>
      <c r="C143" s="29" t="s">
        <v>50</v>
      </c>
      <c r="D143" s="32">
        <v>25</v>
      </c>
      <c r="E143" s="130" t="s">
        <v>62</v>
      </c>
      <c r="F143" s="130">
        <v>40.9253</v>
      </c>
      <c r="G143" s="130">
        <v>45.866300000000003</v>
      </c>
      <c r="H143" s="130">
        <v>45.940199999999997</v>
      </c>
      <c r="I143" s="130"/>
      <c r="J143" s="131"/>
      <c r="K143" s="132"/>
      <c r="L143" s="29"/>
      <c r="M143" s="139" t="s">
        <v>62</v>
      </c>
      <c r="N143" s="139">
        <v>40.9253</v>
      </c>
      <c r="O143" s="139">
        <v>45.866300000000003</v>
      </c>
      <c r="P143" s="139">
        <v>45.940199999999997</v>
      </c>
      <c r="Q143" s="139"/>
      <c r="R143" s="140"/>
      <c r="S143" s="141"/>
      <c r="T143" s="24"/>
      <c r="U143" s="8"/>
      <c r="V143" s="9"/>
      <c r="W143" s="10"/>
      <c r="X143" s="29"/>
      <c r="Y143" s="24"/>
      <c r="Z143" s="24"/>
      <c r="AA143" s="27"/>
    </row>
    <row r="144" spans="1:27" ht="12.75">
      <c r="B144" s="36"/>
      <c r="C144" s="29"/>
      <c r="D144" s="32">
        <v>30</v>
      </c>
      <c r="E144" s="133" t="s">
        <v>62</v>
      </c>
      <c r="F144" s="133">
        <v>38.597499999999997</v>
      </c>
      <c r="G144" s="133">
        <v>44.066800000000001</v>
      </c>
      <c r="H144" s="133">
        <v>44.039499999999997</v>
      </c>
      <c r="I144" s="133"/>
      <c r="J144" s="134"/>
      <c r="K144" s="135"/>
      <c r="L144" s="29"/>
      <c r="M144" s="142" t="s">
        <v>62</v>
      </c>
      <c r="N144" s="142">
        <v>38.597499999999997</v>
      </c>
      <c r="O144" s="142">
        <v>44.066800000000001</v>
      </c>
      <c r="P144" s="142">
        <v>44.039499999999997</v>
      </c>
      <c r="Q144" s="142"/>
      <c r="R144" s="143"/>
      <c r="S144" s="144"/>
      <c r="U144" s="12"/>
      <c r="V144" s="13"/>
      <c r="W144" s="14"/>
      <c r="X144" s="29"/>
      <c r="Y144" s="24"/>
      <c r="Z144" s="24"/>
      <c r="AA144" s="27"/>
    </row>
    <row r="145" spans="1:28" ht="12.75">
      <c r="B145" s="36"/>
      <c r="C145" s="29"/>
      <c r="D145" s="32">
        <v>35</v>
      </c>
      <c r="E145" s="133" t="s">
        <v>62</v>
      </c>
      <c r="F145" s="133">
        <v>36.126600000000003</v>
      </c>
      <c r="G145" s="133">
        <v>42.139000000000003</v>
      </c>
      <c r="H145" s="133">
        <v>41.973700000000001</v>
      </c>
      <c r="I145" s="133"/>
      <c r="J145" s="134"/>
      <c r="K145" s="135"/>
      <c r="L145" s="29"/>
      <c r="M145" s="142" t="s">
        <v>62</v>
      </c>
      <c r="N145" s="142">
        <v>36.126600000000003</v>
      </c>
      <c r="O145" s="142">
        <v>42.139000000000003</v>
      </c>
      <c r="P145" s="142">
        <v>41.973700000000001</v>
      </c>
      <c r="Q145" s="142"/>
      <c r="R145" s="143"/>
      <c r="S145" s="144"/>
      <c r="U145" s="12"/>
      <c r="V145" s="13"/>
      <c r="W145" s="14"/>
      <c r="X145" s="29"/>
      <c r="Y145" s="24"/>
      <c r="Z145" s="24"/>
      <c r="AA145" s="27"/>
    </row>
    <row r="146" spans="1:28" ht="13.5" thickBot="1">
      <c r="B146" s="36"/>
      <c r="C146" s="51"/>
      <c r="D146" s="69">
        <v>40</v>
      </c>
      <c r="E146" s="136" t="s">
        <v>62</v>
      </c>
      <c r="F146" s="136">
        <v>33.603099999999998</v>
      </c>
      <c r="G146" s="136">
        <v>40.717599999999997</v>
      </c>
      <c r="H146" s="136">
        <v>40.491900000000001</v>
      </c>
      <c r="I146" s="136"/>
      <c r="J146" s="137"/>
      <c r="K146" s="138"/>
      <c r="L146" s="29"/>
      <c r="M146" s="145" t="s">
        <v>62</v>
      </c>
      <c r="N146" s="145">
        <v>33.603099999999998</v>
      </c>
      <c r="O146" s="145">
        <v>40.717599999999997</v>
      </c>
      <c r="P146" s="145">
        <v>40.491900000000001</v>
      </c>
      <c r="Q146" s="145"/>
      <c r="R146" s="146"/>
      <c r="S146" s="147"/>
      <c r="U146" s="12"/>
      <c r="V146" s="13"/>
      <c r="W146" s="14"/>
      <c r="X146" s="29"/>
      <c r="Y146" s="24"/>
      <c r="Z146" s="24"/>
      <c r="AA146" s="27"/>
    </row>
    <row r="147" spans="1:28" ht="12.75">
      <c r="B147" s="36"/>
      <c r="C147" s="29" t="s">
        <v>51</v>
      </c>
      <c r="D147" s="32">
        <v>25</v>
      </c>
      <c r="E147" s="131" t="s">
        <v>62</v>
      </c>
      <c r="F147" s="131">
        <v>40.282899999999998</v>
      </c>
      <c r="G147" s="131">
        <v>45.890900000000002</v>
      </c>
      <c r="H147" s="131">
        <v>45.872100000000003</v>
      </c>
      <c r="I147" s="131"/>
      <c r="J147" s="131"/>
      <c r="K147" s="132"/>
      <c r="L147" s="29"/>
      <c r="M147" s="140" t="s">
        <v>62</v>
      </c>
      <c r="N147" s="140">
        <v>40.282899999999998</v>
      </c>
      <c r="O147" s="140">
        <v>45.890900000000002</v>
      </c>
      <c r="P147" s="140">
        <v>45.872100000000003</v>
      </c>
      <c r="Q147" s="140"/>
      <c r="R147" s="140"/>
      <c r="S147" s="141"/>
      <c r="U147" s="8"/>
      <c r="V147" s="9"/>
      <c r="W147" s="10"/>
      <c r="X147" s="29"/>
      <c r="Y147" s="24"/>
      <c r="Z147" s="24"/>
      <c r="AA147" s="27"/>
    </row>
    <row r="148" spans="1:28" ht="12.75">
      <c r="B148" s="36"/>
      <c r="C148" s="29"/>
      <c r="D148" s="32">
        <v>30</v>
      </c>
      <c r="E148" s="134" t="s">
        <v>62</v>
      </c>
      <c r="F148" s="134">
        <v>37.984999999999999</v>
      </c>
      <c r="G148" s="134">
        <v>44.047800000000002</v>
      </c>
      <c r="H148" s="134">
        <v>43.855899999999998</v>
      </c>
      <c r="I148" s="134"/>
      <c r="J148" s="134"/>
      <c r="K148" s="135"/>
      <c r="L148" s="29"/>
      <c r="M148" s="143" t="s">
        <v>62</v>
      </c>
      <c r="N148" s="143">
        <v>37.984999999999999</v>
      </c>
      <c r="O148" s="143">
        <v>44.047800000000002</v>
      </c>
      <c r="P148" s="143">
        <v>43.855899999999998</v>
      </c>
      <c r="Q148" s="143"/>
      <c r="R148" s="143"/>
      <c r="S148" s="144"/>
      <c r="U148" s="41"/>
      <c r="V148" s="42"/>
      <c r="W148" s="43"/>
      <c r="X148" s="29"/>
      <c r="Y148" s="24"/>
      <c r="Z148" s="24"/>
      <c r="AA148" s="27"/>
    </row>
    <row r="149" spans="1:28" ht="12.75">
      <c r="B149" s="36"/>
      <c r="C149" s="29"/>
      <c r="D149" s="32">
        <v>35</v>
      </c>
      <c r="E149" s="134" t="s">
        <v>62</v>
      </c>
      <c r="F149" s="134">
        <v>35.564500000000002</v>
      </c>
      <c r="G149" s="134">
        <v>42.204000000000001</v>
      </c>
      <c r="H149" s="134">
        <v>41.853400000000001</v>
      </c>
      <c r="I149" s="134"/>
      <c r="J149" s="134"/>
      <c r="K149" s="135"/>
      <c r="L149" s="29"/>
      <c r="M149" s="143" t="s">
        <v>62</v>
      </c>
      <c r="N149" s="143">
        <v>35.564500000000002</v>
      </c>
      <c r="O149" s="143">
        <v>42.204000000000001</v>
      </c>
      <c r="P149" s="143">
        <v>41.853400000000001</v>
      </c>
      <c r="Q149" s="143"/>
      <c r="R149" s="143"/>
      <c r="S149" s="144"/>
      <c r="U149" s="41"/>
      <c r="V149" s="42"/>
      <c r="W149" s="43"/>
      <c r="X149" s="29"/>
      <c r="Y149" s="24"/>
      <c r="Z149" s="24"/>
      <c r="AA149" s="27"/>
    </row>
    <row r="150" spans="1:28" ht="13.5" thickBot="1">
      <c r="B150" s="36"/>
      <c r="C150" s="51"/>
      <c r="D150" s="69">
        <v>40</v>
      </c>
      <c r="E150" s="137" t="s">
        <v>62</v>
      </c>
      <c r="F150" s="137">
        <v>33.0807</v>
      </c>
      <c r="G150" s="137">
        <v>40.788699999999999</v>
      </c>
      <c r="H150" s="137">
        <v>40.3765</v>
      </c>
      <c r="I150" s="137"/>
      <c r="J150" s="137"/>
      <c r="K150" s="138"/>
      <c r="L150" s="29"/>
      <c r="M150" s="146" t="s">
        <v>62</v>
      </c>
      <c r="N150" s="146">
        <v>33.0807</v>
      </c>
      <c r="O150" s="146">
        <v>40.788699999999999</v>
      </c>
      <c r="P150" s="146">
        <v>40.3765</v>
      </c>
      <c r="Q150" s="146"/>
      <c r="R150" s="146"/>
      <c r="S150" s="147"/>
      <c r="T150" s="24"/>
      <c r="U150" s="41"/>
      <c r="V150" s="42"/>
      <c r="W150" s="43"/>
      <c r="X150" s="29"/>
      <c r="Y150" s="24"/>
      <c r="Z150" s="24"/>
      <c r="AA150" s="27"/>
    </row>
    <row r="151" spans="1:28" ht="12.75">
      <c r="B151" s="36"/>
      <c r="C151" s="29" t="s">
        <v>52</v>
      </c>
      <c r="D151" s="32">
        <v>25</v>
      </c>
      <c r="E151" s="131" t="s">
        <v>62</v>
      </c>
      <c r="F151" s="131">
        <v>39.936900000000001</v>
      </c>
      <c r="G151" s="131">
        <v>45.077500000000001</v>
      </c>
      <c r="H151" s="131">
        <v>45.043500000000002</v>
      </c>
      <c r="I151" s="131"/>
      <c r="J151" s="131"/>
      <c r="K151" s="132"/>
      <c r="L151" s="29"/>
      <c r="M151" s="140" t="s">
        <v>62</v>
      </c>
      <c r="N151" s="140">
        <v>39.936900000000001</v>
      </c>
      <c r="O151" s="140">
        <v>45.077500000000001</v>
      </c>
      <c r="P151" s="140">
        <v>45.043500000000002</v>
      </c>
      <c r="Q151" s="140"/>
      <c r="R151" s="140"/>
      <c r="S151" s="141"/>
      <c r="T151" s="24"/>
      <c r="U151" s="8"/>
      <c r="V151" s="9"/>
      <c r="W151" s="10"/>
      <c r="X151" s="29"/>
      <c r="Y151" s="24"/>
      <c r="Z151" s="24"/>
      <c r="AA151" s="27"/>
      <c r="AB151" s="24"/>
    </row>
    <row r="152" spans="1:28" ht="12.75">
      <c r="B152" s="36"/>
      <c r="C152" s="29"/>
      <c r="D152" s="32">
        <v>30</v>
      </c>
      <c r="E152" s="134" t="s">
        <v>62</v>
      </c>
      <c r="F152" s="134">
        <v>37.6126</v>
      </c>
      <c r="G152" s="134">
        <v>43.360999999999997</v>
      </c>
      <c r="H152" s="134">
        <v>43.114199999999997</v>
      </c>
      <c r="I152" s="134"/>
      <c r="J152" s="134"/>
      <c r="K152" s="135"/>
      <c r="L152" s="29"/>
      <c r="M152" s="143" t="s">
        <v>62</v>
      </c>
      <c r="N152" s="143">
        <v>37.6126</v>
      </c>
      <c r="O152" s="143">
        <v>43.360999999999997</v>
      </c>
      <c r="P152" s="143">
        <v>43.114199999999997</v>
      </c>
      <c r="Q152" s="143"/>
      <c r="R152" s="143"/>
      <c r="S152" s="144"/>
      <c r="T152" s="63"/>
      <c r="U152" s="17"/>
      <c r="V152" s="18"/>
      <c r="W152" s="19"/>
      <c r="X152" s="29"/>
      <c r="Y152" s="24"/>
      <c r="Z152" s="24"/>
      <c r="AA152" s="27"/>
      <c r="AB152" s="24"/>
    </row>
    <row r="153" spans="1:28" ht="12.75">
      <c r="B153" s="36"/>
      <c r="C153" s="29"/>
      <c r="D153" s="32">
        <v>35</v>
      </c>
      <c r="E153" s="134" t="s">
        <v>62</v>
      </c>
      <c r="F153" s="134">
        <v>35.1995</v>
      </c>
      <c r="G153" s="134">
        <v>41.759099999999997</v>
      </c>
      <c r="H153" s="134">
        <v>41.334899999999998</v>
      </c>
      <c r="I153" s="134"/>
      <c r="J153" s="134"/>
      <c r="K153" s="135"/>
      <c r="L153" s="29"/>
      <c r="M153" s="143" t="s">
        <v>62</v>
      </c>
      <c r="N153" s="143">
        <v>35.1995</v>
      </c>
      <c r="O153" s="143">
        <v>41.759099999999997</v>
      </c>
      <c r="P153" s="143">
        <v>41.334899999999998</v>
      </c>
      <c r="Q153" s="143"/>
      <c r="R153" s="143"/>
      <c r="S153" s="144"/>
      <c r="T153" s="24"/>
      <c r="U153" s="41"/>
      <c r="V153" s="44"/>
      <c r="W153" s="43"/>
      <c r="X153" s="29"/>
      <c r="Y153" s="24"/>
      <c r="Z153" s="24"/>
      <c r="AA153" s="27"/>
      <c r="AB153" s="24"/>
    </row>
    <row r="154" spans="1:28" ht="13.5" thickBot="1">
      <c r="B154" s="36"/>
      <c r="C154" s="51"/>
      <c r="D154" s="69">
        <v>40</v>
      </c>
      <c r="E154" s="137" t="s">
        <v>62</v>
      </c>
      <c r="F154" s="137">
        <v>32.704799999999999</v>
      </c>
      <c r="G154" s="137">
        <v>40.497</v>
      </c>
      <c r="H154" s="137">
        <v>39.972900000000003</v>
      </c>
      <c r="I154" s="137"/>
      <c r="J154" s="137"/>
      <c r="K154" s="138"/>
      <c r="L154" s="29"/>
      <c r="M154" s="146" t="s">
        <v>62</v>
      </c>
      <c r="N154" s="146">
        <v>32.704799999999999</v>
      </c>
      <c r="O154" s="146">
        <v>40.497</v>
      </c>
      <c r="P154" s="146">
        <v>39.972900000000003</v>
      </c>
      <c r="Q154" s="146"/>
      <c r="R154" s="146"/>
      <c r="S154" s="147"/>
      <c r="T154" s="24"/>
      <c r="U154" s="41"/>
      <c r="V154" s="42"/>
      <c r="W154" s="43"/>
      <c r="X154" s="29"/>
      <c r="Y154" s="24"/>
      <c r="Z154" s="24"/>
      <c r="AA154" s="27"/>
      <c r="AB154" s="24"/>
    </row>
    <row r="155" spans="1:28" ht="12.75">
      <c r="B155" s="36"/>
      <c r="C155" s="29" t="s">
        <v>12</v>
      </c>
      <c r="D155" s="32">
        <v>25</v>
      </c>
      <c r="E155" s="134">
        <v>2034.056</v>
      </c>
      <c r="F155" s="134" t="s">
        <v>62</v>
      </c>
      <c r="G155" s="134" t="s">
        <v>62</v>
      </c>
      <c r="H155" s="134" t="s">
        <v>62</v>
      </c>
      <c r="I155" s="134">
        <v>28459.4</v>
      </c>
      <c r="J155" s="134">
        <v>51.81</v>
      </c>
      <c r="K155" s="135">
        <v>382.62</v>
      </c>
      <c r="L155" s="29"/>
      <c r="M155" s="143">
        <v>2034.0136</v>
      </c>
      <c r="N155" s="143" t="s">
        <v>62</v>
      </c>
      <c r="O155" s="143" t="s">
        <v>62</v>
      </c>
      <c r="P155" s="143" t="s">
        <v>62</v>
      </c>
      <c r="Q155" s="143">
        <v>29597.85</v>
      </c>
      <c r="R155" s="143">
        <v>53.35</v>
      </c>
      <c r="S155" s="144">
        <v>396.99</v>
      </c>
      <c r="T155" s="24"/>
      <c r="U155" s="8"/>
      <c r="V155" s="9"/>
      <c r="W155" s="10"/>
      <c r="X155" s="29"/>
      <c r="Y155" s="59">
        <f>GEOMEAN(Q155:Q158)/GEOMEAN(I155:I158)</f>
        <v>1.0358871364700968</v>
      </c>
      <c r="Z155" s="59">
        <f>GEOMEAN(R155:R158)/GEOMEAN(J155:J158)</f>
        <v>1.0700632786856761</v>
      </c>
      <c r="AA155" s="55">
        <f>GEOMEAN(S155:S158)/GEOMEAN(K155:K158)</f>
        <v>1.0393212667451346</v>
      </c>
      <c r="AB155" s="24"/>
    </row>
    <row r="156" spans="1:28" ht="12.75">
      <c r="B156" s="36"/>
      <c r="C156" s="29"/>
      <c r="D156" s="32">
        <v>30</v>
      </c>
      <c r="E156" s="134">
        <v>929.44079999999997</v>
      </c>
      <c r="F156" s="134" t="s">
        <v>62</v>
      </c>
      <c r="G156" s="134" t="s">
        <v>62</v>
      </c>
      <c r="H156" s="134" t="s">
        <v>62</v>
      </c>
      <c r="I156" s="134">
        <v>22511.45</v>
      </c>
      <c r="J156" s="134">
        <v>48.41</v>
      </c>
      <c r="K156" s="135">
        <v>384.73</v>
      </c>
      <c r="L156" s="29"/>
      <c r="M156" s="143">
        <v>929.39840000000004</v>
      </c>
      <c r="N156" s="143" t="s">
        <v>62</v>
      </c>
      <c r="O156" s="143" t="s">
        <v>62</v>
      </c>
      <c r="P156" s="143" t="s">
        <v>62</v>
      </c>
      <c r="Q156" s="143">
        <v>22814.84</v>
      </c>
      <c r="R156" s="143">
        <v>43.06</v>
      </c>
      <c r="S156" s="144">
        <v>365.52</v>
      </c>
      <c r="T156" s="24"/>
      <c r="U156" s="41"/>
      <c r="V156" s="42"/>
      <c r="W156" s="43"/>
      <c r="X156" s="29"/>
      <c r="Y156" s="24"/>
      <c r="Z156" s="24"/>
      <c r="AA156" s="27"/>
      <c r="AB156" s="24"/>
    </row>
    <row r="157" spans="1:28" ht="12.75">
      <c r="B157" s="36"/>
      <c r="C157" s="29"/>
      <c r="D157" s="32">
        <v>35</v>
      </c>
      <c r="E157" s="134">
        <v>480.89679999999998</v>
      </c>
      <c r="F157" s="134" t="s">
        <v>62</v>
      </c>
      <c r="G157" s="134" t="s">
        <v>62</v>
      </c>
      <c r="H157" s="134" t="s">
        <v>62</v>
      </c>
      <c r="I157" s="134">
        <v>19978.189999999999</v>
      </c>
      <c r="J157" s="134">
        <v>47.26</v>
      </c>
      <c r="K157" s="135">
        <v>398.31</v>
      </c>
      <c r="L157" s="29"/>
      <c r="M157" s="143">
        <v>480.8544</v>
      </c>
      <c r="N157" s="143" t="s">
        <v>62</v>
      </c>
      <c r="O157" s="143" t="s">
        <v>62</v>
      </c>
      <c r="P157" s="143" t="s">
        <v>62</v>
      </c>
      <c r="Q157" s="143">
        <v>20788.349999999999</v>
      </c>
      <c r="R157" s="143">
        <v>47.27</v>
      </c>
      <c r="S157" s="144">
        <v>430.86</v>
      </c>
      <c r="T157" s="24"/>
      <c r="U157" s="17"/>
      <c r="V157" s="18"/>
      <c r="W157" s="19"/>
      <c r="X157" s="29"/>
      <c r="Y157" s="24"/>
      <c r="Z157" s="24"/>
      <c r="AA157" s="27"/>
      <c r="AB157" s="24"/>
    </row>
    <row r="158" spans="1:28" ht="13.5" thickBot="1">
      <c r="B158" s="50"/>
      <c r="C158" s="51"/>
      <c r="D158" s="69">
        <v>40</v>
      </c>
      <c r="E158" s="137">
        <v>267.50639999999999</v>
      </c>
      <c r="F158" s="137" t="s">
        <v>62</v>
      </c>
      <c r="G158" s="137" t="s">
        <v>62</v>
      </c>
      <c r="H158" s="137" t="s">
        <v>62</v>
      </c>
      <c r="I158" s="137">
        <v>17411.009999999998</v>
      </c>
      <c r="J158" s="137">
        <v>42.05</v>
      </c>
      <c r="K158" s="138">
        <v>365.51</v>
      </c>
      <c r="L158" s="29"/>
      <c r="M158" s="146">
        <v>267.464</v>
      </c>
      <c r="N158" s="146" t="s">
        <v>62</v>
      </c>
      <c r="O158" s="146" t="s">
        <v>62</v>
      </c>
      <c r="P158" s="146" t="s">
        <v>62</v>
      </c>
      <c r="Q158" s="146">
        <v>18279.38</v>
      </c>
      <c r="R158" s="146">
        <v>60.18</v>
      </c>
      <c r="S158" s="147">
        <v>399.96</v>
      </c>
      <c r="T158" s="24"/>
      <c r="U158" s="82"/>
      <c r="V158" s="83"/>
      <c r="W158" s="84"/>
      <c r="X158" s="29"/>
      <c r="Y158" s="47"/>
      <c r="Z158" s="47"/>
      <c r="AA158" s="52"/>
      <c r="AB158" s="24"/>
    </row>
    <row r="159" spans="1:28" ht="12.75">
      <c r="A159" s="26" t="s">
        <v>19</v>
      </c>
      <c r="B159" s="35" t="s">
        <v>53</v>
      </c>
      <c r="C159" s="28" t="s">
        <v>26</v>
      </c>
      <c r="D159" s="31">
        <v>25</v>
      </c>
      <c r="E159" s="130">
        <v>3712.8879999999999</v>
      </c>
      <c r="F159" s="130">
        <v>40.254600000000003</v>
      </c>
      <c r="G159" s="130">
        <v>45.456800000000001</v>
      </c>
      <c r="H159" s="130">
        <v>46.298999999999999</v>
      </c>
      <c r="I159" s="130"/>
      <c r="J159" s="131"/>
      <c r="K159" s="132"/>
      <c r="L159" s="29"/>
      <c r="M159" s="139">
        <v>3712.8872000000001</v>
      </c>
      <c r="N159" s="139">
        <v>40.254600000000003</v>
      </c>
      <c r="O159" s="139">
        <v>45.456800000000001</v>
      </c>
      <c r="P159" s="139">
        <v>46.298999999999999</v>
      </c>
      <c r="Q159" s="139"/>
      <c r="R159" s="140"/>
      <c r="S159" s="141"/>
      <c r="T159" s="24"/>
      <c r="U159" s="8">
        <f>bdrate($E159:$E162,F159:F162,$M159:$M162,N159:N162)</f>
        <v>-8.5698840612824512E-7</v>
      </c>
      <c r="V159" s="9">
        <f>bdrate($E159:$E162,G159:G162,$M159:$M162,O159:O162)</f>
        <v>-7.9111586470670403E-7</v>
      </c>
      <c r="W159" s="10">
        <f>bdrate($E159:$E162,H159:H162,$M159:$M162,P159:P162)</f>
        <v>-7.8588511398525185E-7</v>
      </c>
      <c r="X159" s="29"/>
      <c r="Y159" s="22"/>
      <c r="Z159" s="22"/>
      <c r="AA159" s="26"/>
      <c r="AB159" s="24"/>
    </row>
    <row r="160" spans="1:28" ht="12.75">
      <c r="B160" s="36"/>
      <c r="C160" s="29"/>
      <c r="D160" s="32">
        <v>30</v>
      </c>
      <c r="E160" s="133">
        <v>1615.7592</v>
      </c>
      <c r="F160" s="133">
        <v>37.819699999999997</v>
      </c>
      <c r="G160" s="133">
        <v>43.633099999999999</v>
      </c>
      <c r="H160" s="133">
        <v>44.465400000000002</v>
      </c>
      <c r="I160" s="133"/>
      <c r="J160" s="134"/>
      <c r="K160" s="135"/>
      <c r="L160" s="29"/>
      <c r="M160" s="142">
        <v>1615.7583999999999</v>
      </c>
      <c r="N160" s="142">
        <v>37.819699999999997</v>
      </c>
      <c r="O160" s="142">
        <v>43.633099999999999</v>
      </c>
      <c r="P160" s="142">
        <v>44.465400000000002</v>
      </c>
      <c r="Q160" s="142"/>
      <c r="R160" s="143"/>
      <c r="S160" s="144"/>
      <c r="T160" s="24"/>
      <c r="U160" s="41"/>
      <c r="V160" s="42"/>
      <c r="W160" s="43"/>
      <c r="X160" s="29"/>
      <c r="Y160" s="24"/>
      <c r="Z160" s="24"/>
      <c r="AA160" s="27"/>
      <c r="AB160" s="24"/>
    </row>
    <row r="161" spans="1:28" ht="12.75">
      <c r="B161" s="36"/>
      <c r="C161" s="29"/>
      <c r="D161" s="32">
        <v>35</v>
      </c>
      <c r="E161" s="133">
        <v>755.71600000000001</v>
      </c>
      <c r="F161" s="133">
        <v>35.622599999999998</v>
      </c>
      <c r="G161" s="133">
        <v>41.8003</v>
      </c>
      <c r="H161" s="133">
        <v>42.614400000000003</v>
      </c>
      <c r="I161" s="133"/>
      <c r="J161" s="134"/>
      <c r="K161" s="135"/>
      <c r="L161" s="29"/>
      <c r="M161" s="142">
        <v>755.71519999999998</v>
      </c>
      <c r="N161" s="142">
        <v>35.622599999999998</v>
      </c>
      <c r="O161" s="142">
        <v>41.8003</v>
      </c>
      <c r="P161" s="142">
        <v>42.614400000000003</v>
      </c>
      <c r="Q161" s="142"/>
      <c r="R161" s="143"/>
      <c r="S161" s="144"/>
      <c r="T161" s="24"/>
      <c r="U161" s="41"/>
      <c r="V161" s="42"/>
      <c r="W161" s="43"/>
      <c r="X161" s="29"/>
      <c r="Y161" s="24"/>
      <c r="Z161" s="24"/>
      <c r="AA161" s="27"/>
      <c r="AB161" s="24"/>
    </row>
    <row r="162" spans="1:28" ht="13.5" thickBot="1">
      <c r="B162" s="36"/>
      <c r="C162" s="29"/>
      <c r="D162" s="32">
        <v>40</v>
      </c>
      <c r="E162" s="136">
        <v>365.31439999999998</v>
      </c>
      <c r="F162" s="136">
        <v>33.465200000000003</v>
      </c>
      <c r="G162" s="136">
        <v>40.564399999999999</v>
      </c>
      <c r="H162" s="136">
        <v>41.401600000000002</v>
      </c>
      <c r="I162" s="136"/>
      <c r="J162" s="137"/>
      <c r="K162" s="138"/>
      <c r="L162" s="29"/>
      <c r="M162" s="145">
        <v>365.31360000000001</v>
      </c>
      <c r="N162" s="145">
        <v>33.465200000000003</v>
      </c>
      <c r="O162" s="145">
        <v>40.564399999999999</v>
      </c>
      <c r="P162" s="145">
        <v>41.401600000000002</v>
      </c>
      <c r="Q162" s="145"/>
      <c r="R162" s="146"/>
      <c r="S162" s="147"/>
      <c r="T162" s="24"/>
      <c r="U162" s="41"/>
      <c r="V162" s="42"/>
      <c r="W162" s="43"/>
      <c r="X162" s="29"/>
      <c r="Y162" s="24"/>
      <c r="Z162" s="24"/>
      <c r="AA162" s="27"/>
      <c r="AB162" s="24"/>
    </row>
    <row r="163" spans="1:28" ht="12.75">
      <c r="B163" s="36"/>
      <c r="C163" s="28" t="s">
        <v>27</v>
      </c>
      <c r="D163" s="31">
        <v>25</v>
      </c>
      <c r="E163" s="133">
        <v>524.24480000000005</v>
      </c>
      <c r="F163" s="133">
        <v>39.743200000000002</v>
      </c>
      <c r="G163" s="133">
        <v>45.332000000000001</v>
      </c>
      <c r="H163" s="133">
        <v>46.1813</v>
      </c>
      <c r="I163" s="133"/>
      <c r="J163" s="134"/>
      <c r="K163" s="135"/>
      <c r="L163" s="29"/>
      <c r="M163" s="142">
        <v>524.24480000000005</v>
      </c>
      <c r="N163" s="142">
        <v>39.743200000000002</v>
      </c>
      <c r="O163" s="142">
        <v>45.332000000000001</v>
      </c>
      <c r="P163" s="142">
        <v>46.1813</v>
      </c>
      <c r="Q163" s="142"/>
      <c r="R163" s="143"/>
      <c r="S163" s="144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</row>
    <row r="164" spans="1:28" ht="12.75">
      <c r="A164" s="24"/>
      <c r="B164" s="36"/>
      <c r="C164" s="29"/>
      <c r="D164" s="32">
        <v>30</v>
      </c>
      <c r="E164" s="133">
        <v>182.71119999999999</v>
      </c>
      <c r="F164" s="133">
        <v>37.468000000000004</v>
      </c>
      <c r="G164" s="133">
        <v>43.578800000000001</v>
      </c>
      <c r="H164" s="133">
        <v>44.4163</v>
      </c>
      <c r="I164" s="133"/>
      <c r="J164" s="134"/>
      <c r="K164" s="135"/>
      <c r="L164" s="29"/>
      <c r="M164" s="142">
        <v>182.71119999999999</v>
      </c>
      <c r="N164" s="142">
        <v>37.468000000000004</v>
      </c>
      <c r="O164" s="142">
        <v>43.578800000000001</v>
      </c>
      <c r="P164" s="142">
        <v>44.4163</v>
      </c>
      <c r="Q164" s="142"/>
      <c r="R164" s="143"/>
      <c r="S164" s="144"/>
      <c r="T164" s="24"/>
      <c r="U164" s="17"/>
      <c r="V164" s="18"/>
      <c r="W164" s="19"/>
      <c r="X164" s="29"/>
      <c r="Y164" s="24"/>
      <c r="Z164" s="24"/>
      <c r="AA164" s="27"/>
      <c r="AB164" s="24"/>
    </row>
    <row r="165" spans="1:28" ht="12.75">
      <c r="B165" s="36"/>
      <c r="C165" s="29"/>
      <c r="D165" s="32">
        <v>35</v>
      </c>
      <c r="E165" s="133">
        <v>74.473600000000005</v>
      </c>
      <c r="F165" s="133">
        <v>35.383600000000001</v>
      </c>
      <c r="G165" s="133">
        <v>41.801299999999998</v>
      </c>
      <c r="H165" s="133">
        <v>42.626399999999997</v>
      </c>
      <c r="I165" s="133"/>
      <c r="J165" s="134"/>
      <c r="K165" s="135"/>
      <c r="L165" s="29"/>
      <c r="M165" s="142">
        <v>74.473600000000005</v>
      </c>
      <c r="N165" s="142">
        <v>35.383600000000001</v>
      </c>
      <c r="O165" s="142">
        <v>41.801299999999998</v>
      </c>
      <c r="P165" s="142">
        <v>42.626399999999997</v>
      </c>
      <c r="Q165" s="142"/>
      <c r="R165" s="143"/>
      <c r="S165" s="144"/>
      <c r="T165" s="63"/>
      <c r="U165" s="41"/>
      <c r="V165" s="44"/>
      <c r="W165" s="43"/>
      <c r="X165" s="29"/>
      <c r="Y165" s="24"/>
      <c r="Z165" s="24"/>
      <c r="AA165" s="27"/>
      <c r="AB165" s="24"/>
    </row>
    <row r="166" spans="1:28" ht="13.5" thickBot="1">
      <c r="B166" s="36"/>
      <c r="C166" s="29"/>
      <c r="D166" s="32">
        <v>40</v>
      </c>
      <c r="E166" s="133">
        <v>34.241599999999998</v>
      </c>
      <c r="F166" s="133">
        <v>33.294699999999999</v>
      </c>
      <c r="G166" s="133">
        <v>40.564399999999999</v>
      </c>
      <c r="H166" s="133">
        <v>41.407299999999999</v>
      </c>
      <c r="I166" s="133"/>
      <c r="J166" s="134"/>
      <c r="K166" s="135"/>
      <c r="L166" s="29"/>
      <c r="M166" s="142">
        <v>34.241599999999998</v>
      </c>
      <c r="N166" s="142">
        <v>33.294699999999999</v>
      </c>
      <c r="O166" s="142">
        <v>40.564399999999999</v>
      </c>
      <c r="P166" s="142">
        <v>41.407299999999999</v>
      </c>
      <c r="Q166" s="142"/>
      <c r="R166" s="143"/>
      <c r="S166" s="144"/>
      <c r="T166" s="63"/>
      <c r="U166" s="41"/>
      <c r="V166" s="42"/>
      <c r="W166" s="43"/>
      <c r="X166" s="29"/>
      <c r="Y166" s="24"/>
      <c r="Z166" s="24"/>
      <c r="AA166" s="27"/>
      <c r="AB166" s="24"/>
    </row>
    <row r="167" spans="1:28" ht="12.75">
      <c r="B167" s="36"/>
      <c r="C167" s="28" t="s">
        <v>28</v>
      </c>
      <c r="D167" s="31">
        <v>25</v>
      </c>
      <c r="E167" s="130">
        <v>545.16560000000004</v>
      </c>
      <c r="F167" s="130">
        <v>39.706699999999998</v>
      </c>
      <c r="G167" s="130">
        <v>45.290199999999999</v>
      </c>
      <c r="H167" s="130">
        <v>46.144799999999996</v>
      </c>
      <c r="I167" s="130"/>
      <c r="J167" s="131"/>
      <c r="K167" s="132"/>
      <c r="L167" s="29"/>
      <c r="M167" s="139">
        <v>545.16560000000004</v>
      </c>
      <c r="N167" s="139">
        <v>39.706699999999998</v>
      </c>
      <c r="O167" s="139">
        <v>45.290199999999999</v>
      </c>
      <c r="P167" s="139">
        <v>46.144799999999996</v>
      </c>
      <c r="Q167" s="139"/>
      <c r="R167" s="140"/>
      <c r="S167" s="141"/>
      <c r="T167" s="63"/>
      <c r="U167" s="8">
        <f>bdrate($E167:$E170,F167:F170,$M167:$M170,N167:N170)</f>
        <v>0</v>
      </c>
      <c r="V167" s="9">
        <f>bdrate($E167:$E170,G167:G170,$M167:$M170,O167:O170)</f>
        <v>0</v>
      </c>
      <c r="W167" s="10">
        <f>bdrate($E167:$E170,H167:H170,$M167:$M170,P167:P170)</f>
        <v>0</v>
      </c>
      <c r="X167" s="29"/>
      <c r="Y167" s="24"/>
      <c r="Z167" s="24"/>
      <c r="AA167" s="27"/>
      <c r="AB167" s="24"/>
    </row>
    <row r="168" spans="1:28" ht="12.75">
      <c r="B168" s="36"/>
      <c r="C168" s="29"/>
      <c r="D168" s="32">
        <v>30</v>
      </c>
      <c r="E168" s="133">
        <v>192.08240000000001</v>
      </c>
      <c r="F168" s="133">
        <v>37.427399999999999</v>
      </c>
      <c r="G168" s="133">
        <v>43.537500000000001</v>
      </c>
      <c r="H168" s="133">
        <v>44.380600000000001</v>
      </c>
      <c r="I168" s="133"/>
      <c r="J168" s="134"/>
      <c r="K168" s="135"/>
      <c r="L168" s="29"/>
      <c r="M168" s="142">
        <v>192.08240000000001</v>
      </c>
      <c r="N168" s="142">
        <v>37.427399999999999</v>
      </c>
      <c r="O168" s="142">
        <v>43.537500000000001</v>
      </c>
      <c r="P168" s="142">
        <v>44.380600000000001</v>
      </c>
      <c r="Q168" s="142"/>
      <c r="R168" s="143"/>
      <c r="S168" s="144"/>
      <c r="T168" s="63"/>
      <c r="U168" s="41"/>
      <c r="V168" s="42"/>
      <c r="W168" s="43"/>
      <c r="X168" s="29"/>
      <c r="Y168" s="24"/>
      <c r="Z168" s="24"/>
      <c r="AA168" s="27"/>
      <c r="AB168" s="24"/>
    </row>
    <row r="169" spans="1:28" ht="12.75">
      <c r="B169" s="36"/>
      <c r="C169" s="29"/>
      <c r="D169" s="32">
        <v>35</v>
      </c>
      <c r="E169" s="133">
        <v>78.723200000000006</v>
      </c>
      <c r="F169" s="133">
        <v>35.336399999999998</v>
      </c>
      <c r="G169" s="133">
        <v>41.760599999999997</v>
      </c>
      <c r="H169" s="133">
        <v>42.585299999999997</v>
      </c>
      <c r="I169" s="133"/>
      <c r="J169" s="134"/>
      <c r="K169" s="135"/>
      <c r="L169" s="29"/>
      <c r="M169" s="142">
        <v>78.723200000000006</v>
      </c>
      <c r="N169" s="142">
        <v>35.336399999999998</v>
      </c>
      <c r="O169" s="142">
        <v>41.760599999999997</v>
      </c>
      <c r="P169" s="142">
        <v>42.585299999999997</v>
      </c>
      <c r="Q169" s="142"/>
      <c r="R169" s="143"/>
      <c r="S169" s="144"/>
      <c r="T169" s="63"/>
      <c r="U169" s="17"/>
      <c r="V169" s="18"/>
      <c r="W169" s="19"/>
      <c r="X169" s="29"/>
      <c r="Y169" s="24"/>
      <c r="Z169" s="24"/>
      <c r="AA169" s="27"/>
      <c r="AB169" s="24"/>
    </row>
    <row r="170" spans="1:28" ht="13.5" thickBot="1">
      <c r="B170" s="36"/>
      <c r="C170" s="51"/>
      <c r="D170" s="69">
        <v>40</v>
      </c>
      <c r="E170" s="136">
        <v>36.727200000000003</v>
      </c>
      <c r="F170" s="136">
        <v>33.250700000000002</v>
      </c>
      <c r="G170" s="136">
        <v>40.521700000000003</v>
      </c>
      <c r="H170" s="136">
        <v>41.369300000000003</v>
      </c>
      <c r="I170" s="136"/>
      <c r="J170" s="137"/>
      <c r="K170" s="138"/>
      <c r="L170" s="29"/>
      <c r="M170" s="145">
        <v>36.727200000000003</v>
      </c>
      <c r="N170" s="145">
        <v>33.250700000000002</v>
      </c>
      <c r="O170" s="145">
        <v>40.521700000000003</v>
      </c>
      <c r="P170" s="145">
        <v>41.369300000000003</v>
      </c>
      <c r="Q170" s="145"/>
      <c r="R170" s="146"/>
      <c r="S170" s="147"/>
      <c r="T170" s="63"/>
      <c r="U170" s="41"/>
      <c r="V170" s="42"/>
      <c r="W170" s="43"/>
      <c r="X170" s="29"/>
      <c r="Y170" s="24"/>
      <c r="Z170" s="24"/>
      <c r="AA170" s="27"/>
      <c r="AB170" s="24"/>
    </row>
    <row r="171" spans="1:28" ht="12.75">
      <c r="B171" s="36"/>
      <c r="C171" s="28" t="s">
        <v>29</v>
      </c>
      <c r="D171" s="31">
        <v>34</v>
      </c>
      <c r="E171" s="130">
        <v>283.7072</v>
      </c>
      <c r="F171" s="130">
        <v>43.412100000000002</v>
      </c>
      <c r="G171" s="130"/>
      <c r="H171" s="130"/>
      <c r="I171" s="130"/>
      <c r="J171" s="131"/>
      <c r="K171" s="132"/>
      <c r="L171" s="29"/>
      <c r="M171" s="139">
        <v>283.7072</v>
      </c>
      <c r="N171" s="139">
        <v>43.412100000000002</v>
      </c>
      <c r="O171" s="139"/>
      <c r="P171" s="139"/>
      <c r="Q171" s="139"/>
      <c r="R171" s="140"/>
      <c r="S171" s="141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</row>
    <row r="172" spans="1:28" ht="12.75">
      <c r="B172" s="36"/>
      <c r="C172" s="29"/>
      <c r="D172" s="32">
        <v>39</v>
      </c>
      <c r="E172" s="133">
        <v>96.832800000000006</v>
      </c>
      <c r="F172" s="133">
        <v>39.287399999999998</v>
      </c>
      <c r="G172" s="133"/>
      <c r="H172" s="133"/>
      <c r="I172" s="133"/>
      <c r="J172" s="134"/>
      <c r="K172" s="135"/>
      <c r="L172" s="29"/>
      <c r="M172" s="142">
        <v>96.832800000000006</v>
      </c>
      <c r="N172" s="142">
        <v>39.287399999999998</v>
      </c>
      <c r="O172" s="142"/>
      <c r="P172" s="142"/>
      <c r="Q172" s="142"/>
      <c r="R172" s="143"/>
      <c r="S172" s="144"/>
      <c r="T172" s="24"/>
      <c r="U172" s="41"/>
      <c r="V172" s="42"/>
      <c r="W172" s="43"/>
      <c r="X172" s="29"/>
      <c r="Y172" s="24"/>
      <c r="Z172" s="24"/>
      <c r="AA172" s="27"/>
      <c r="AB172" s="24"/>
    </row>
    <row r="173" spans="1:28" ht="12.75">
      <c r="B173" s="36"/>
      <c r="C173" s="29"/>
      <c r="D173" s="32">
        <v>42</v>
      </c>
      <c r="E173" s="133">
        <v>39.885599999999997</v>
      </c>
      <c r="F173" s="133">
        <v>35.464100000000002</v>
      </c>
      <c r="G173" s="133"/>
      <c r="H173" s="133"/>
      <c r="I173" s="133"/>
      <c r="J173" s="134"/>
      <c r="K173" s="135"/>
      <c r="L173" s="29"/>
      <c r="M173" s="142">
        <v>39.885599999999997</v>
      </c>
      <c r="N173" s="142">
        <v>35.464100000000002</v>
      </c>
      <c r="O173" s="142"/>
      <c r="P173" s="142"/>
      <c r="Q173" s="142"/>
      <c r="R173" s="143"/>
      <c r="S173" s="144"/>
      <c r="T173" s="24"/>
      <c r="U173" s="41"/>
      <c r="V173" s="42"/>
      <c r="W173" s="43"/>
      <c r="X173" s="29"/>
      <c r="Y173" s="24"/>
      <c r="Z173" s="24"/>
      <c r="AA173" s="27"/>
      <c r="AB173" s="24"/>
    </row>
    <row r="174" spans="1:28" ht="13.5" thickBot="1">
      <c r="B174" s="36"/>
      <c r="C174" s="29"/>
      <c r="D174" s="32">
        <v>45</v>
      </c>
      <c r="E174" s="136">
        <v>17.991199999999999</v>
      </c>
      <c r="F174" s="136">
        <v>32.184100000000001</v>
      </c>
      <c r="G174" s="136"/>
      <c r="H174" s="136"/>
      <c r="I174" s="136"/>
      <c r="J174" s="137"/>
      <c r="K174" s="138"/>
      <c r="L174" s="29"/>
      <c r="M174" s="145">
        <v>17.991199999999999</v>
      </c>
      <c r="N174" s="145">
        <v>32.184100000000001</v>
      </c>
      <c r="O174" s="145"/>
      <c r="P174" s="145"/>
      <c r="Q174" s="145"/>
      <c r="R174" s="146"/>
      <c r="S174" s="147"/>
      <c r="T174" s="24"/>
      <c r="U174" s="17"/>
      <c r="V174" s="18"/>
      <c r="W174" s="19"/>
      <c r="X174" s="29"/>
      <c r="Y174" s="59"/>
      <c r="Z174" s="59"/>
      <c r="AA174" s="55"/>
      <c r="AB174" s="24"/>
    </row>
    <row r="175" spans="1:28" ht="12.75">
      <c r="B175" s="36"/>
      <c r="C175" s="28" t="s">
        <v>30</v>
      </c>
      <c r="D175" s="31">
        <v>34</v>
      </c>
      <c r="E175" s="130">
        <v>99.208799999999997</v>
      </c>
      <c r="F175" s="130">
        <v>42.416899999999998</v>
      </c>
      <c r="G175" s="130"/>
      <c r="H175" s="130"/>
      <c r="I175" s="130"/>
      <c r="J175" s="131"/>
      <c r="K175" s="132"/>
      <c r="L175" s="29"/>
      <c r="M175" s="139">
        <v>99.208799999999997</v>
      </c>
      <c r="N175" s="139">
        <v>42.416899999999998</v>
      </c>
      <c r="O175" s="139"/>
      <c r="P175" s="139"/>
      <c r="Q175" s="139"/>
      <c r="R175" s="140"/>
      <c r="S175" s="141"/>
      <c r="T175" s="24"/>
      <c r="U175" s="8">
        <f>bdrate($E175:$E178,F175:F178,$M175:$M178,N175:N178)</f>
        <v>0</v>
      </c>
      <c r="V175" s="9"/>
      <c r="W175" s="10"/>
      <c r="X175" s="29"/>
      <c r="Y175" s="24"/>
      <c r="Z175" s="24"/>
      <c r="AA175" s="27"/>
      <c r="AB175" s="24"/>
    </row>
    <row r="176" spans="1:28" ht="12.75">
      <c r="B176" s="36"/>
      <c r="C176" s="29"/>
      <c r="D176" s="32">
        <v>39</v>
      </c>
      <c r="E176" s="133">
        <v>28.950399999999998</v>
      </c>
      <c r="F176" s="133">
        <v>38.363799999999998</v>
      </c>
      <c r="G176" s="133"/>
      <c r="H176" s="133"/>
      <c r="I176" s="133"/>
      <c r="J176" s="134"/>
      <c r="K176" s="135"/>
      <c r="L176" s="29"/>
      <c r="M176" s="142">
        <v>28.950399999999998</v>
      </c>
      <c r="N176" s="142">
        <v>38.363799999999998</v>
      </c>
      <c r="O176" s="142"/>
      <c r="P176" s="142"/>
      <c r="Q176" s="142"/>
      <c r="R176" s="143"/>
      <c r="S176" s="144"/>
      <c r="T176" s="24"/>
      <c r="U176" s="12"/>
      <c r="V176" s="13"/>
      <c r="W176" s="14"/>
      <c r="X176" s="29"/>
      <c r="Y176" s="24"/>
      <c r="Z176" s="24"/>
      <c r="AA176" s="27"/>
      <c r="AB176" s="24"/>
    </row>
    <row r="177" spans="2:28" ht="12.75">
      <c r="B177" s="36"/>
      <c r="C177" s="29"/>
      <c r="D177" s="32">
        <v>42</v>
      </c>
      <c r="E177" s="133">
        <v>12.569599999999999</v>
      </c>
      <c r="F177" s="133">
        <v>34.710900000000002</v>
      </c>
      <c r="G177" s="133"/>
      <c r="H177" s="133"/>
      <c r="I177" s="133"/>
      <c r="J177" s="134"/>
      <c r="K177" s="135"/>
      <c r="L177" s="29"/>
      <c r="M177" s="142">
        <v>12.569599999999999</v>
      </c>
      <c r="N177" s="142">
        <v>34.710900000000002</v>
      </c>
      <c r="O177" s="142"/>
      <c r="P177" s="142"/>
      <c r="Q177" s="142"/>
      <c r="R177" s="143"/>
      <c r="S177" s="144"/>
      <c r="T177" s="24"/>
      <c r="U177" s="12"/>
      <c r="V177" s="13"/>
      <c r="W177" s="14"/>
      <c r="X177" s="29"/>
      <c r="Y177" s="24"/>
      <c r="Z177" s="24"/>
      <c r="AA177" s="27"/>
      <c r="AB177" s="24"/>
    </row>
    <row r="178" spans="2:28" ht="13.5" thickBot="1">
      <c r="B178" s="36"/>
      <c r="C178" s="29"/>
      <c r="D178" s="32">
        <v>45</v>
      </c>
      <c r="E178" s="136">
        <v>6.2488000000000001</v>
      </c>
      <c r="F178" s="136">
        <v>31.461600000000001</v>
      </c>
      <c r="G178" s="136"/>
      <c r="H178" s="136"/>
      <c r="I178" s="136"/>
      <c r="J178" s="137"/>
      <c r="K178" s="138"/>
      <c r="L178" s="29"/>
      <c r="M178" s="145">
        <v>6.2488000000000001</v>
      </c>
      <c r="N178" s="145">
        <v>31.461600000000001</v>
      </c>
      <c r="O178" s="145"/>
      <c r="P178" s="145"/>
      <c r="Q178" s="145"/>
      <c r="R178" s="146"/>
      <c r="S178" s="147"/>
      <c r="T178" s="24"/>
      <c r="U178" s="12"/>
      <c r="V178" s="13"/>
      <c r="W178" s="14"/>
      <c r="X178" s="29"/>
      <c r="Y178" s="24"/>
      <c r="Z178" s="24"/>
      <c r="AA178" s="27"/>
      <c r="AB178" s="24"/>
    </row>
    <row r="179" spans="2:28" ht="12.75">
      <c r="B179" s="36"/>
      <c r="C179" s="28" t="s">
        <v>31</v>
      </c>
      <c r="D179" s="31">
        <v>34</v>
      </c>
      <c r="E179" s="130">
        <v>102.7664</v>
      </c>
      <c r="F179" s="130">
        <v>42.328000000000003</v>
      </c>
      <c r="G179" s="130"/>
      <c r="H179" s="130"/>
      <c r="I179" s="130"/>
      <c r="J179" s="131"/>
      <c r="K179" s="132"/>
      <c r="L179" s="29"/>
      <c r="M179" s="139">
        <v>102.7664</v>
      </c>
      <c r="N179" s="139">
        <v>42.328000000000003</v>
      </c>
      <c r="O179" s="139"/>
      <c r="P179" s="139"/>
      <c r="Q179" s="139"/>
      <c r="R179" s="140"/>
      <c r="S179" s="141"/>
      <c r="T179" s="24"/>
      <c r="U179" s="8">
        <f>bdrate($E179:$E182,F179:F182,$M179:$M182,N179:N182)</f>
        <v>0</v>
      </c>
      <c r="V179" s="9"/>
      <c r="W179" s="10"/>
      <c r="X179" s="29"/>
      <c r="Y179" s="24"/>
      <c r="Z179" s="24"/>
      <c r="AA179" s="27"/>
      <c r="AB179" s="24"/>
    </row>
    <row r="180" spans="2:28" ht="12.75">
      <c r="B180" s="36"/>
      <c r="C180" s="29"/>
      <c r="D180" s="32">
        <v>39</v>
      </c>
      <c r="E180" s="133">
        <v>30.763999999999999</v>
      </c>
      <c r="F180" s="133">
        <v>38.381700000000002</v>
      </c>
      <c r="G180" s="133"/>
      <c r="H180" s="133"/>
      <c r="I180" s="133"/>
      <c r="J180" s="134"/>
      <c r="K180" s="135"/>
      <c r="L180" s="29"/>
      <c r="M180" s="142">
        <v>30.763999999999999</v>
      </c>
      <c r="N180" s="142">
        <v>38.381700000000002</v>
      </c>
      <c r="O180" s="142"/>
      <c r="P180" s="142"/>
      <c r="Q180" s="142"/>
      <c r="R180" s="143"/>
      <c r="S180" s="144"/>
      <c r="T180" s="24"/>
      <c r="U180" s="41"/>
      <c r="V180" s="42"/>
      <c r="W180" s="43"/>
      <c r="X180" s="29"/>
      <c r="Y180" s="24"/>
      <c r="Z180" s="24"/>
      <c r="AA180" s="27"/>
      <c r="AB180" s="24"/>
    </row>
    <row r="181" spans="2:28" ht="12.75">
      <c r="B181" s="36"/>
      <c r="C181" s="29"/>
      <c r="D181" s="32">
        <v>42</v>
      </c>
      <c r="E181" s="133">
        <v>13.008800000000001</v>
      </c>
      <c r="F181" s="133">
        <v>34.768300000000004</v>
      </c>
      <c r="G181" s="133"/>
      <c r="H181" s="133"/>
      <c r="I181" s="133"/>
      <c r="J181" s="134"/>
      <c r="K181" s="135"/>
      <c r="L181" s="29"/>
      <c r="M181" s="142">
        <v>13.008800000000001</v>
      </c>
      <c r="N181" s="142">
        <v>34.768300000000004</v>
      </c>
      <c r="O181" s="142"/>
      <c r="P181" s="142"/>
      <c r="Q181" s="142"/>
      <c r="R181" s="143"/>
      <c r="S181" s="144"/>
      <c r="U181" s="41"/>
      <c r="V181" s="42"/>
      <c r="W181" s="43"/>
      <c r="X181" s="29"/>
      <c r="Y181" s="24"/>
      <c r="Z181" s="24"/>
      <c r="AA181" s="27"/>
    </row>
    <row r="182" spans="2:28" ht="13.5" thickBot="1">
      <c r="B182" s="36"/>
      <c r="C182" s="29"/>
      <c r="D182" s="32">
        <v>45</v>
      </c>
      <c r="E182" s="136">
        <v>6.3639999999999999</v>
      </c>
      <c r="F182" s="136">
        <v>31.5093</v>
      </c>
      <c r="G182" s="136"/>
      <c r="H182" s="136"/>
      <c r="I182" s="136"/>
      <c r="J182" s="137"/>
      <c r="K182" s="138"/>
      <c r="L182" s="29"/>
      <c r="M182" s="145">
        <v>6.3639999999999999</v>
      </c>
      <c r="N182" s="145">
        <v>31.5093</v>
      </c>
      <c r="O182" s="145"/>
      <c r="P182" s="145"/>
      <c r="Q182" s="145"/>
      <c r="R182" s="146"/>
      <c r="S182" s="147"/>
      <c r="U182" s="41"/>
      <c r="V182" s="42"/>
      <c r="W182" s="43"/>
      <c r="X182" s="29"/>
      <c r="Y182" s="24"/>
      <c r="Z182" s="24"/>
      <c r="AA182" s="27"/>
    </row>
    <row r="183" spans="2:28" ht="12.75">
      <c r="B183" s="36"/>
      <c r="C183" s="28" t="s">
        <v>47</v>
      </c>
      <c r="D183" s="31">
        <v>25</v>
      </c>
      <c r="E183" s="130" t="s">
        <v>62</v>
      </c>
      <c r="F183" s="130">
        <v>39.831299999999999</v>
      </c>
      <c r="G183" s="130">
        <v>46.529899999999998</v>
      </c>
      <c r="H183" s="130">
        <v>46.544199999999996</v>
      </c>
      <c r="I183" s="130"/>
      <c r="J183" s="131"/>
      <c r="K183" s="132"/>
      <c r="L183" s="29"/>
      <c r="M183" s="139" t="s">
        <v>62</v>
      </c>
      <c r="N183" s="139">
        <v>39.831299999999999</v>
      </c>
      <c r="O183" s="139">
        <v>46.529899999999998</v>
      </c>
      <c r="P183" s="139">
        <v>46.544199999999996</v>
      </c>
      <c r="Q183" s="139"/>
      <c r="R183" s="140"/>
      <c r="S183" s="141"/>
      <c r="U183" s="8"/>
      <c r="V183" s="9"/>
      <c r="W183" s="10"/>
      <c r="X183" s="29"/>
      <c r="Y183" s="24"/>
      <c r="Z183" s="24"/>
      <c r="AA183" s="27"/>
    </row>
    <row r="184" spans="2:28" ht="12.75">
      <c r="B184" s="36"/>
      <c r="C184" s="29"/>
      <c r="D184" s="32">
        <v>30</v>
      </c>
      <c r="E184" s="133" t="s">
        <v>62</v>
      </c>
      <c r="F184" s="133">
        <v>37.584899999999998</v>
      </c>
      <c r="G184" s="133">
        <v>44.750599999999999</v>
      </c>
      <c r="H184" s="133">
        <v>45.096400000000003</v>
      </c>
      <c r="I184" s="133"/>
      <c r="J184" s="134"/>
      <c r="K184" s="135"/>
      <c r="L184" s="29"/>
      <c r="M184" s="142" t="s">
        <v>62</v>
      </c>
      <c r="N184" s="142">
        <v>37.584899999999998</v>
      </c>
      <c r="O184" s="142">
        <v>44.750599999999999</v>
      </c>
      <c r="P184" s="142">
        <v>45.096400000000003</v>
      </c>
      <c r="Q184" s="142"/>
      <c r="R184" s="143"/>
      <c r="S184" s="144"/>
      <c r="U184" s="17"/>
      <c r="V184" s="18"/>
      <c r="W184" s="19"/>
      <c r="X184" s="29"/>
      <c r="Y184" s="24"/>
      <c r="Z184" s="24"/>
      <c r="AA184" s="27"/>
    </row>
    <row r="185" spans="2:28" ht="12.75">
      <c r="B185" s="36"/>
      <c r="C185" s="29"/>
      <c r="D185" s="32">
        <v>35</v>
      </c>
      <c r="E185" s="133" t="s">
        <v>62</v>
      </c>
      <c r="F185" s="133">
        <v>35.506799999999998</v>
      </c>
      <c r="G185" s="133">
        <v>42.782400000000003</v>
      </c>
      <c r="H185" s="133">
        <v>43.383000000000003</v>
      </c>
      <c r="I185" s="133"/>
      <c r="J185" s="134"/>
      <c r="K185" s="135"/>
      <c r="L185" s="29"/>
      <c r="M185" s="142" t="s">
        <v>62</v>
      </c>
      <c r="N185" s="142">
        <v>35.506799999999998</v>
      </c>
      <c r="O185" s="142">
        <v>42.782400000000003</v>
      </c>
      <c r="P185" s="142">
        <v>43.383000000000003</v>
      </c>
      <c r="Q185" s="142"/>
      <c r="R185" s="143"/>
      <c r="S185" s="144"/>
      <c r="U185" s="41"/>
      <c r="V185" s="44"/>
      <c r="W185" s="43"/>
      <c r="X185" s="29"/>
      <c r="Y185" s="24"/>
      <c r="Z185" s="24"/>
      <c r="AA185" s="27"/>
    </row>
    <row r="186" spans="2:28" ht="13.5" thickBot="1">
      <c r="B186" s="36"/>
      <c r="C186" s="51"/>
      <c r="D186" s="69">
        <v>40</v>
      </c>
      <c r="E186" s="136" t="s">
        <v>62</v>
      </c>
      <c r="F186" s="136">
        <v>33.409199999999998</v>
      </c>
      <c r="G186" s="136">
        <v>41.418999999999997</v>
      </c>
      <c r="H186" s="136">
        <v>42.174599999999998</v>
      </c>
      <c r="I186" s="136"/>
      <c r="J186" s="137"/>
      <c r="K186" s="138"/>
      <c r="L186" s="29"/>
      <c r="M186" s="145" t="s">
        <v>62</v>
      </c>
      <c r="N186" s="145">
        <v>33.409199999999998</v>
      </c>
      <c r="O186" s="145">
        <v>41.418999999999997</v>
      </c>
      <c r="P186" s="145">
        <v>42.174599999999998</v>
      </c>
      <c r="Q186" s="145"/>
      <c r="R186" s="146"/>
      <c r="S186" s="147"/>
      <c r="U186" s="41"/>
      <c r="V186" s="42"/>
      <c r="W186" s="43"/>
      <c r="X186" s="29"/>
      <c r="Y186" s="24"/>
      <c r="Z186" s="24"/>
      <c r="AA186" s="27"/>
    </row>
    <row r="187" spans="2:28" ht="12.75">
      <c r="B187" s="36"/>
      <c r="C187" s="29" t="s">
        <v>48</v>
      </c>
      <c r="D187" s="32">
        <v>25</v>
      </c>
      <c r="E187" s="130" t="s">
        <v>62</v>
      </c>
      <c r="F187" s="130">
        <v>40.017000000000003</v>
      </c>
      <c r="G187" s="130">
        <v>46.323700000000002</v>
      </c>
      <c r="H187" s="130">
        <v>46.775300000000001</v>
      </c>
      <c r="I187" s="130"/>
      <c r="J187" s="131"/>
      <c r="K187" s="132"/>
      <c r="L187" s="29"/>
      <c r="M187" s="139" t="s">
        <v>62</v>
      </c>
      <c r="N187" s="139">
        <v>40.017000000000003</v>
      </c>
      <c r="O187" s="139">
        <v>46.323700000000002</v>
      </c>
      <c r="P187" s="139">
        <v>46.775300000000001</v>
      </c>
      <c r="Q187" s="139"/>
      <c r="R187" s="140"/>
      <c r="S187" s="141"/>
      <c r="U187" s="8"/>
      <c r="V187" s="9"/>
      <c r="W187" s="10"/>
      <c r="X187" s="29"/>
      <c r="Y187" s="24"/>
      <c r="Z187" s="24"/>
      <c r="AA187" s="27"/>
    </row>
    <row r="188" spans="2:28" ht="12.75">
      <c r="B188" s="36"/>
      <c r="C188" s="29"/>
      <c r="D188" s="32">
        <v>30</v>
      </c>
      <c r="E188" s="133" t="s">
        <v>62</v>
      </c>
      <c r="F188" s="133">
        <v>37.731000000000002</v>
      </c>
      <c r="G188" s="133">
        <v>44.666499999999999</v>
      </c>
      <c r="H188" s="133">
        <v>45.192599999999999</v>
      </c>
      <c r="I188" s="133"/>
      <c r="J188" s="134"/>
      <c r="K188" s="135"/>
      <c r="L188" s="29"/>
      <c r="M188" s="142" t="s">
        <v>62</v>
      </c>
      <c r="N188" s="142">
        <v>37.731000000000002</v>
      </c>
      <c r="O188" s="142">
        <v>44.666499999999999</v>
      </c>
      <c r="P188" s="142">
        <v>45.192599999999999</v>
      </c>
      <c r="Q188" s="142"/>
      <c r="R188" s="143"/>
      <c r="S188" s="144"/>
      <c r="U188" s="41"/>
      <c r="V188" s="42"/>
      <c r="W188" s="43"/>
      <c r="X188" s="29"/>
      <c r="Y188" s="24"/>
      <c r="Z188" s="24"/>
      <c r="AA188" s="27"/>
    </row>
    <row r="189" spans="2:28" ht="12.75">
      <c r="B189" s="36"/>
      <c r="C189" s="29"/>
      <c r="D189" s="32">
        <v>35</v>
      </c>
      <c r="E189" s="133" t="s">
        <v>62</v>
      </c>
      <c r="F189" s="133">
        <v>35.6036</v>
      </c>
      <c r="G189" s="133">
        <v>42.799500000000002</v>
      </c>
      <c r="H189" s="133">
        <v>43.442500000000003</v>
      </c>
      <c r="I189" s="133"/>
      <c r="J189" s="134"/>
      <c r="K189" s="135"/>
      <c r="L189" s="29"/>
      <c r="M189" s="142" t="s">
        <v>62</v>
      </c>
      <c r="N189" s="142">
        <v>35.6036</v>
      </c>
      <c r="O189" s="142">
        <v>42.799500000000002</v>
      </c>
      <c r="P189" s="142">
        <v>43.442500000000003</v>
      </c>
      <c r="Q189" s="142"/>
      <c r="R189" s="143"/>
      <c r="S189" s="144"/>
      <c r="U189" s="17"/>
      <c r="V189" s="18"/>
      <c r="W189" s="19"/>
      <c r="X189" s="29"/>
      <c r="Y189" s="24"/>
      <c r="Z189" s="24"/>
      <c r="AA189" s="27"/>
    </row>
    <row r="190" spans="2:28" ht="13.5" thickBot="1">
      <c r="B190" s="36"/>
      <c r="C190" s="51"/>
      <c r="D190" s="69">
        <v>40</v>
      </c>
      <c r="E190" s="136" t="s">
        <v>62</v>
      </c>
      <c r="F190" s="136">
        <v>33.473300000000002</v>
      </c>
      <c r="G190" s="136">
        <v>41.508899999999997</v>
      </c>
      <c r="H190" s="136">
        <v>42.189500000000002</v>
      </c>
      <c r="I190" s="136"/>
      <c r="J190" s="137"/>
      <c r="K190" s="138"/>
      <c r="L190" s="29"/>
      <c r="M190" s="145" t="s">
        <v>62</v>
      </c>
      <c r="N190" s="145">
        <v>33.473300000000002</v>
      </c>
      <c r="O190" s="145">
        <v>41.508899999999997</v>
      </c>
      <c r="P190" s="145">
        <v>42.189500000000002</v>
      </c>
      <c r="Q190" s="145"/>
      <c r="R190" s="146"/>
      <c r="S190" s="147"/>
      <c r="U190" s="41"/>
      <c r="V190" s="42"/>
      <c r="W190" s="43"/>
      <c r="X190" s="29"/>
      <c r="Y190" s="24"/>
      <c r="Z190" s="24"/>
      <c r="AA190" s="27"/>
    </row>
    <row r="191" spans="2:28" ht="12.75">
      <c r="B191" s="36"/>
      <c r="C191" s="29" t="s">
        <v>49</v>
      </c>
      <c r="D191" s="32">
        <v>25</v>
      </c>
      <c r="E191" s="130" t="s">
        <v>62</v>
      </c>
      <c r="F191" s="130">
        <v>40.2712</v>
      </c>
      <c r="G191" s="130">
        <v>46.9636</v>
      </c>
      <c r="H191" s="130">
        <v>47.795699999999997</v>
      </c>
      <c r="I191" s="130"/>
      <c r="J191" s="131"/>
      <c r="K191" s="132"/>
      <c r="L191" s="29"/>
      <c r="M191" s="139" t="s">
        <v>62</v>
      </c>
      <c r="N191" s="139">
        <v>40.2712</v>
      </c>
      <c r="O191" s="139">
        <v>46.9636</v>
      </c>
      <c r="P191" s="139">
        <v>47.795699999999997</v>
      </c>
      <c r="Q191" s="139"/>
      <c r="R191" s="140"/>
      <c r="S191" s="141"/>
      <c r="U191" s="8"/>
      <c r="V191" s="9"/>
      <c r="W191" s="10"/>
      <c r="X191" s="29"/>
      <c r="Y191" s="24"/>
      <c r="Z191" s="24"/>
      <c r="AA191" s="27"/>
    </row>
    <row r="192" spans="2:28" ht="12.75">
      <c r="B192" s="36"/>
      <c r="C192" s="29"/>
      <c r="D192" s="32">
        <v>30</v>
      </c>
      <c r="E192" s="133" t="s">
        <v>62</v>
      </c>
      <c r="F192" s="133">
        <v>37.864899999999999</v>
      </c>
      <c r="G192" s="133">
        <v>45.054499999999997</v>
      </c>
      <c r="H192" s="133">
        <v>45.869300000000003</v>
      </c>
      <c r="I192" s="133"/>
      <c r="J192" s="134"/>
      <c r="K192" s="135"/>
      <c r="L192" s="29"/>
      <c r="M192" s="142" t="s">
        <v>62</v>
      </c>
      <c r="N192" s="142">
        <v>37.864899999999999</v>
      </c>
      <c r="O192" s="142">
        <v>45.054499999999997</v>
      </c>
      <c r="P192" s="142">
        <v>45.869300000000003</v>
      </c>
      <c r="Q192" s="142"/>
      <c r="R192" s="143"/>
      <c r="S192" s="144"/>
      <c r="T192" s="24"/>
      <c r="U192" s="41"/>
      <c r="V192" s="42"/>
      <c r="W192" s="43"/>
      <c r="X192" s="29"/>
      <c r="Y192" s="24"/>
      <c r="Z192" s="24"/>
      <c r="AA192" s="27"/>
    </row>
    <row r="193" spans="2:27" ht="12.75">
      <c r="B193" s="36"/>
      <c r="C193" s="29"/>
      <c r="D193" s="32">
        <v>35</v>
      </c>
      <c r="E193" s="133" t="s">
        <v>62</v>
      </c>
      <c r="F193" s="133">
        <v>35.668100000000003</v>
      </c>
      <c r="G193" s="133">
        <v>43.039900000000003</v>
      </c>
      <c r="H193" s="133">
        <v>43.817100000000003</v>
      </c>
      <c r="I193" s="133"/>
      <c r="J193" s="134"/>
      <c r="K193" s="135"/>
      <c r="L193" s="29"/>
      <c r="M193" s="142" t="s">
        <v>62</v>
      </c>
      <c r="N193" s="142">
        <v>35.668100000000003</v>
      </c>
      <c r="O193" s="142">
        <v>43.039900000000003</v>
      </c>
      <c r="P193" s="142">
        <v>43.817100000000003</v>
      </c>
      <c r="Q193" s="142"/>
      <c r="R193" s="143"/>
      <c r="S193" s="144"/>
      <c r="U193" s="41"/>
      <c r="V193" s="42"/>
      <c r="W193" s="43"/>
      <c r="X193" s="29"/>
      <c r="Y193" s="24"/>
      <c r="Z193" s="24"/>
      <c r="AA193" s="27"/>
    </row>
    <row r="194" spans="2:27" ht="13.5" thickBot="1">
      <c r="B194" s="36"/>
      <c r="C194" s="51"/>
      <c r="D194" s="69">
        <v>40</v>
      </c>
      <c r="E194" s="136" t="s">
        <v>62</v>
      </c>
      <c r="F194" s="136">
        <v>33.511200000000002</v>
      </c>
      <c r="G194" s="136">
        <v>41.661299999999997</v>
      </c>
      <c r="H194" s="136">
        <v>42.454099999999997</v>
      </c>
      <c r="I194" s="136"/>
      <c r="J194" s="137"/>
      <c r="K194" s="138"/>
      <c r="L194" s="29"/>
      <c r="M194" s="145" t="s">
        <v>62</v>
      </c>
      <c r="N194" s="145">
        <v>33.511200000000002</v>
      </c>
      <c r="O194" s="145">
        <v>41.661299999999997</v>
      </c>
      <c r="P194" s="145">
        <v>42.454099999999997</v>
      </c>
      <c r="Q194" s="145"/>
      <c r="R194" s="146"/>
      <c r="S194" s="147"/>
      <c r="U194" s="17"/>
      <c r="V194" s="18"/>
      <c r="W194" s="19"/>
      <c r="X194" s="29"/>
      <c r="Z194" s="59"/>
      <c r="AA194" s="55"/>
    </row>
    <row r="195" spans="2:27" ht="12.75">
      <c r="B195" s="36"/>
      <c r="C195" s="29" t="s">
        <v>50</v>
      </c>
      <c r="D195" s="32">
        <v>25</v>
      </c>
      <c r="E195" s="130" t="s">
        <v>62</v>
      </c>
      <c r="F195" s="130">
        <v>40.252899999999997</v>
      </c>
      <c r="G195" s="130">
        <v>46.961799999999997</v>
      </c>
      <c r="H195" s="130">
        <v>47.786299999999997</v>
      </c>
      <c r="I195" s="130"/>
      <c r="J195" s="131"/>
      <c r="K195" s="132"/>
      <c r="L195" s="29"/>
      <c r="M195" s="139" t="s">
        <v>62</v>
      </c>
      <c r="N195" s="139">
        <v>40.252899999999997</v>
      </c>
      <c r="O195" s="139">
        <v>46.961799999999997</v>
      </c>
      <c r="P195" s="139">
        <v>47.786299999999997</v>
      </c>
      <c r="Q195" s="139"/>
      <c r="R195" s="140"/>
      <c r="S195" s="141"/>
      <c r="U195" s="8"/>
      <c r="V195" s="9"/>
      <c r="W195" s="10"/>
      <c r="X195" s="29"/>
      <c r="Y195" s="24"/>
      <c r="Z195" s="24"/>
      <c r="AA195" s="27"/>
    </row>
    <row r="196" spans="2:27" ht="12.75">
      <c r="B196" s="36"/>
      <c r="C196" s="29"/>
      <c r="D196" s="32">
        <v>30</v>
      </c>
      <c r="E196" s="133" t="s">
        <v>62</v>
      </c>
      <c r="F196" s="133">
        <v>37.847200000000001</v>
      </c>
      <c r="G196" s="133">
        <v>45.0533</v>
      </c>
      <c r="H196" s="133">
        <v>45.856299999999997</v>
      </c>
      <c r="I196" s="133"/>
      <c r="J196" s="134"/>
      <c r="K196" s="135"/>
      <c r="L196" s="29"/>
      <c r="M196" s="142" t="s">
        <v>62</v>
      </c>
      <c r="N196" s="142">
        <v>37.847200000000001</v>
      </c>
      <c r="O196" s="142">
        <v>45.0533</v>
      </c>
      <c r="P196" s="142">
        <v>45.856299999999997</v>
      </c>
      <c r="Q196" s="142"/>
      <c r="R196" s="143"/>
      <c r="S196" s="144"/>
      <c r="U196" s="12"/>
      <c r="V196" s="13"/>
      <c r="W196" s="14"/>
      <c r="X196" s="29"/>
      <c r="Y196" s="24"/>
      <c r="Z196" s="24"/>
      <c r="AA196" s="27"/>
    </row>
    <row r="197" spans="2:27" ht="12.75">
      <c r="B197" s="36"/>
      <c r="C197" s="29"/>
      <c r="D197" s="32">
        <v>35</v>
      </c>
      <c r="E197" s="133" t="s">
        <v>62</v>
      </c>
      <c r="F197" s="133">
        <v>35.660200000000003</v>
      </c>
      <c r="G197" s="133">
        <v>43.0306</v>
      </c>
      <c r="H197" s="133">
        <v>43.799399999999999</v>
      </c>
      <c r="I197" s="133"/>
      <c r="J197" s="134"/>
      <c r="K197" s="135"/>
      <c r="L197" s="29"/>
      <c r="M197" s="142" t="s">
        <v>62</v>
      </c>
      <c r="N197" s="142">
        <v>35.660200000000003</v>
      </c>
      <c r="O197" s="142">
        <v>43.0306</v>
      </c>
      <c r="P197" s="142">
        <v>43.799399999999999</v>
      </c>
      <c r="Q197" s="142"/>
      <c r="R197" s="143"/>
      <c r="S197" s="144"/>
      <c r="U197" s="12"/>
      <c r="V197" s="13"/>
      <c r="W197" s="14"/>
      <c r="X197" s="29"/>
      <c r="Y197" s="24"/>
      <c r="Z197" s="24"/>
      <c r="AA197" s="27"/>
    </row>
    <row r="198" spans="2:27" ht="13.5" thickBot="1">
      <c r="B198" s="36"/>
      <c r="C198" s="51"/>
      <c r="D198" s="69">
        <v>40</v>
      </c>
      <c r="E198" s="136" t="s">
        <v>62</v>
      </c>
      <c r="F198" s="136">
        <v>33.506500000000003</v>
      </c>
      <c r="G198" s="136">
        <v>41.650399999999998</v>
      </c>
      <c r="H198" s="136">
        <v>42.429200000000002</v>
      </c>
      <c r="I198" s="136"/>
      <c r="J198" s="137"/>
      <c r="K198" s="138"/>
      <c r="L198" s="29"/>
      <c r="M198" s="145" t="s">
        <v>62</v>
      </c>
      <c r="N198" s="145">
        <v>33.506500000000003</v>
      </c>
      <c r="O198" s="145">
        <v>41.650399999999998</v>
      </c>
      <c r="P198" s="145">
        <v>42.429200000000002</v>
      </c>
      <c r="Q198" s="145"/>
      <c r="R198" s="146"/>
      <c r="S198" s="147"/>
      <c r="U198" s="12"/>
      <c r="V198" s="13"/>
      <c r="W198" s="14"/>
      <c r="X198" s="29"/>
      <c r="Y198" s="24"/>
      <c r="Z198" s="24"/>
      <c r="AA198" s="27"/>
    </row>
    <row r="199" spans="2:27" ht="12.75">
      <c r="B199" s="36"/>
      <c r="C199" s="29" t="s">
        <v>51</v>
      </c>
      <c r="D199" s="32">
        <v>25</v>
      </c>
      <c r="E199" s="131" t="s">
        <v>62</v>
      </c>
      <c r="F199" s="131">
        <v>40.025799999999997</v>
      </c>
      <c r="G199" s="131">
        <v>46.290300000000002</v>
      </c>
      <c r="H199" s="131">
        <v>47.0154</v>
      </c>
      <c r="I199" s="131"/>
      <c r="J199" s="131"/>
      <c r="K199" s="132"/>
      <c r="L199" s="29"/>
      <c r="M199" s="140" t="s">
        <v>62</v>
      </c>
      <c r="N199" s="140">
        <v>40.025799999999997</v>
      </c>
      <c r="O199" s="140">
        <v>46.290300000000002</v>
      </c>
      <c r="P199" s="140">
        <v>47.0154</v>
      </c>
      <c r="Q199" s="140"/>
      <c r="R199" s="140"/>
      <c r="S199" s="141"/>
      <c r="U199" s="8"/>
      <c r="V199" s="9"/>
      <c r="W199" s="10"/>
      <c r="X199" s="29"/>
      <c r="Y199" s="24"/>
      <c r="Z199" s="24"/>
      <c r="AA199" s="27"/>
    </row>
    <row r="200" spans="2:27" ht="12.75">
      <c r="B200" s="36"/>
      <c r="C200" s="29"/>
      <c r="D200" s="32">
        <v>30</v>
      </c>
      <c r="E200" s="134" t="s">
        <v>62</v>
      </c>
      <c r="F200" s="134">
        <v>37.705500000000001</v>
      </c>
      <c r="G200" s="134">
        <v>44.652700000000003</v>
      </c>
      <c r="H200" s="134">
        <v>45.339300000000001</v>
      </c>
      <c r="I200" s="134"/>
      <c r="J200" s="134"/>
      <c r="K200" s="135"/>
      <c r="L200" s="29"/>
      <c r="M200" s="143" t="s">
        <v>62</v>
      </c>
      <c r="N200" s="143">
        <v>37.705500000000001</v>
      </c>
      <c r="O200" s="143">
        <v>44.652700000000003</v>
      </c>
      <c r="P200" s="143">
        <v>45.339300000000001</v>
      </c>
      <c r="Q200" s="143"/>
      <c r="R200" s="143"/>
      <c r="S200" s="144"/>
      <c r="U200" s="41"/>
      <c r="V200" s="42"/>
      <c r="W200" s="43"/>
      <c r="X200" s="29"/>
      <c r="Y200" s="24"/>
      <c r="Z200" s="24"/>
      <c r="AA200" s="27"/>
    </row>
    <row r="201" spans="2:27" ht="12.75">
      <c r="B201" s="36"/>
      <c r="C201" s="29"/>
      <c r="D201" s="32">
        <v>35</v>
      </c>
      <c r="E201" s="134" t="s">
        <v>62</v>
      </c>
      <c r="F201" s="134">
        <v>35.576700000000002</v>
      </c>
      <c r="G201" s="134">
        <v>42.757199999999997</v>
      </c>
      <c r="H201" s="134">
        <v>43.446100000000001</v>
      </c>
      <c r="I201" s="134"/>
      <c r="J201" s="134"/>
      <c r="K201" s="135"/>
      <c r="L201" s="29"/>
      <c r="M201" s="143" t="s">
        <v>62</v>
      </c>
      <c r="N201" s="143">
        <v>35.576700000000002</v>
      </c>
      <c r="O201" s="143">
        <v>42.757199999999997</v>
      </c>
      <c r="P201" s="143">
        <v>43.446100000000001</v>
      </c>
      <c r="Q201" s="143"/>
      <c r="R201" s="143"/>
      <c r="S201" s="144"/>
      <c r="U201" s="41"/>
      <c r="V201" s="42"/>
      <c r="W201" s="43"/>
      <c r="X201" s="29"/>
      <c r="Y201" s="24"/>
      <c r="Z201" s="24"/>
      <c r="AA201" s="27"/>
    </row>
    <row r="202" spans="2:27" ht="13.5" thickBot="1">
      <c r="B202" s="36"/>
      <c r="C202" s="51"/>
      <c r="D202" s="69">
        <v>40</v>
      </c>
      <c r="E202" s="137" t="s">
        <v>62</v>
      </c>
      <c r="F202" s="137">
        <v>33.4499</v>
      </c>
      <c r="G202" s="137">
        <v>41.448999999999998</v>
      </c>
      <c r="H202" s="137">
        <v>42.143900000000002</v>
      </c>
      <c r="I202" s="137"/>
      <c r="J202" s="137"/>
      <c r="K202" s="138"/>
      <c r="L202" s="29"/>
      <c r="M202" s="146" t="s">
        <v>62</v>
      </c>
      <c r="N202" s="146">
        <v>33.4499</v>
      </c>
      <c r="O202" s="146">
        <v>41.448999999999998</v>
      </c>
      <c r="P202" s="146">
        <v>42.143900000000002</v>
      </c>
      <c r="Q202" s="146"/>
      <c r="R202" s="146"/>
      <c r="S202" s="147"/>
      <c r="U202" s="41"/>
      <c r="V202" s="42"/>
      <c r="W202" s="43"/>
      <c r="X202" s="29"/>
      <c r="Y202" s="24"/>
      <c r="Z202" s="24"/>
      <c r="AA202" s="27"/>
    </row>
    <row r="203" spans="2:27" ht="12.75">
      <c r="B203" s="36"/>
      <c r="C203" s="29" t="s">
        <v>52</v>
      </c>
      <c r="D203" s="32">
        <v>25</v>
      </c>
      <c r="E203" s="131" t="s">
        <v>62</v>
      </c>
      <c r="F203" s="131">
        <v>39.817300000000003</v>
      </c>
      <c r="G203" s="131">
        <v>46.347900000000003</v>
      </c>
      <c r="H203" s="131">
        <v>46.603999999999999</v>
      </c>
      <c r="I203" s="131"/>
      <c r="J203" s="131"/>
      <c r="K203" s="132"/>
      <c r="L203" s="29"/>
      <c r="M203" s="140" t="s">
        <v>62</v>
      </c>
      <c r="N203" s="140">
        <v>39.817300000000003</v>
      </c>
      <c r="O203" s="140">
        <v>46.347900000000003</v>
      </c>
      <c r="P203" s="140">
        <v>46.603999999999999</v>
      </c>
      <c r="Q203" s="140"/>
      <c r="R203" s="140"/>
      <c r="S203" s="141"/>
      <c r="U203" s="8"/>
      <c r="V203" s="9"/>
      <c r="W203" s="10"/>
      <c r="X203" s="29"/>
      <c r="Y203" s="24"/>
      <c r="Z203" s="24"/>
      <c r="AA203" s="27"/>
    </row>
    <row r="204" spans="2:27" ht="12.75">
      <c r="B204" s="36"/>
      <c r="C204" s="29"/>
      <c r="D204" s="32">
        <v>30</v>
      </c>
      <c r="E204" s="134" t="s">
        <v>62</v>
      </c>
      <c r="F204" s="134">
        <v>37.540300000000002</v>
      </c>
      <c r="G204" s="134">
        <v>44.6081</v>
      </c>
      <c r="H204" s="134">
        <v>45.124000000000002</v>
      </c>
      <c r="I204" s="134"/>
      <c r="J204" s="134"/>
      <c r="K204" s="135"/>
      <c r="L204" s="29"/>
      <c r="M204" s="143" t="s">
        <v>62</v>
      </c>
      <c r="N204" s="143">
        <v>37.540300000000002</v>
      </c>
      <c r="O204" s="143">
        <v>44.6081</v>
      </c>
      <c r="P204" s="143">
        <v>45.124000000000002</v>
      </c>
      <c r="Q204" s="143"/>
      <c r="R204" s="143"/>
      <c r="S204" s="144"/>
      <c r="U204" s="17"/>
      <c r="V204" s="18"/>
      <c r="W204" s="19"/>
      <c r="X204" s="29"/>
      <c r="Y204" s="24"/>
      <c r="Z204" s="24"/>
      <c r="AA204" s="27"/>
    </row>
    <row r="205" spans="2:27" ht="12.75">
      <c r="B205" s="36"/>
      <c r="C205" s="29"/>
      <c r="D205" s="32">
        <v>35</v>
      </c>
      <c r="E205" s="134" t="s">
        <v>62</v>
      </c>
      <c r="F205" s="134">
        <v>35.453299999999999</v>
      </c>
      <c r="G205" s="134">
        <v>42.650300000000001</v>
      </c>
      <c r="H205" s="134">
        <v>43.2759</v>
      </c>
      <c r="I205" s="134"/>
      <c r="J205" s="134"/>
      <c r="K205" s="135"/>
      <c r="L205" s="29"/>
      <c r="M205" s="143" t="s">
        <v>62</v>
      </c>
      <c r="N205" s="143">
        <v>35.453299999999999</v>
      </c>
      <c r="O205" s="143">
        <v>42.650300000000001</v>
      </c>
      <c r="P205" s="143">
        <v>43.2759</v>
      </c>
      <c r="Q205" s="143"/>
      <c r="R205" s="143"/>
      <c r="S205" s="144"/>
      <c r="U205" s="41"/>
      <c r="V205" s="44"/>
      <c r="W205" s="43"/>
      <c r="X205" s="29"/>
      <c r="Y205" s="24"/>
      <c r="Z205" s="24"/>
      <c r="AA205" s="27"/>
    </row>
    <row r="206" spans="2:27" ht="13.5" thickBot="1">
      <c r="B206" s="36"/>
      <c r="C206" s="51"/>
      <c r="D206" s="69">
        <v>40</v>
      </c>
      <c r="E206" s="137" t="s">
        <v>62</v>
      </c>
      <c r="F206" s="137">
        <v>33.3626</v>
      </c>
      <c r="G206" s="137">
        <v>41.334899999999998</v>
      </c>
      <c r="H206" s="137">
        <v>42.011099999999999</v>
      </c>
      <c r="I206" s="137"/>
      <c r="J206" s="137"/>
      <c r="K206" s="138"/>
      <c r="L206" s="29"/>
      <c r="M206" s="146" t="s">
        <v>62</v>
      </c>
      <c r="N206" s="146">
        <v>33.3626</v>
      </c>
      <c r="O206" s="146">
        <v>41.334899999999998</v>
      </c>
      <c r="P206" s="146">
        <v>42.011099999999999</v>
      </c>
      <c r="Q206" s="146"/>
      <c r="R206" s="146"/>
      <c r="S206" s="147"/>
      <c r="U206" s="41"/>
      <c r="V206" s="42"/>
      <c r="W206" s="43"/>
      <c r="X206" s="29"/>
      <c r="Y206" s="24"/>
      <c r="Z206" s="24"/>
      <c r="AA206" s="27"/>
    </row>
    <row r="207" spans="2:27" ht="12.75">
      <c r="B207" s="36"/>
      <c r="C207" s="29" t="s">
        <v>12</v>
      </c>
      <c r="D207" s="32">
        <v>25</v>
      </c>
      <c r="E207" s="134">
        <v>5272.8112000000001</v>
      </c>
      <c r="F207" s="134" t="s">
        <v>62</v>
      </c>
      <c r="G207" s="134" t="s">
        <v>62</v>
      </c>
      <c r="H207" s="134" t="s">
        <v>62</v>
      </c>
      <c r="I207" s="134">
        <v>66387.86</v>
      </c>
      <c r="J207" s="134">
        <v>114.19</v>
      </c>
      <c r="K207" s="135">
        <v>783.92</v>
      </c>
      <c r="L207" s="29"/>
      <c r="M207" s="143">
        <v>5272.8104000000003</v>
      </c>
      <c r="N207" s="143" t="s">
        <v>62</v>
      </c>
      <c r="O207" s="143" t="s">
        <v>62</v>
      </c>
      <c r="P207" s="143" t="s">
        <v>62</v>
      </c>
      <c r="Q207" s="143">
        <v>76085.11</v>
      </c>
      <c r="R207" s="143">
        <v>130.56</v>
      </c>
      <c r="S207" s="144">
        <v>881.66</v>
      </c>
      <c r="U207" s="8"/>
      <c r="V207" s="9"/>
      <c r="W207" s="10"/>
      <c r="X207" s="29"/>
      <c r="Y207" s="59">
        <f>GEOMEAN(Q207:Q210)/GEOMEAN(I207:I210)</f>
        <v>1.0789781308369319</v>
      </c>
      <c r="Z207" s="59">
        <f>GEOMEAN(R207:R210)/GEOMEAN(J207:J210)</f>
        <v>1.1131157711916599</v>
      </c>
      <c r="AA207" s="55">
        <f>GEOMEAN(S207:S210)/GEOMEAN(K207:K210)</f>
        <v>1.0776283034984582</v>
      </c>
    </row>
    <row r="208" spans="2:27" ht="12.75">
      <c r="B208" s="36"/>
      <c r="C208" s="29"/>
      <c r="D208" s="32">
        <v>30</v>
      </c>
      <c r="E208" s="134">
        <v>2151.9304000000002</v>
      </c>
      <c r="F208" s="134" t="s">
        <v>62</v>
      </c>
      <c r="G208" s="134" t="s">
        <v>62</v>
      </c>
      <c r="H208" s="134" t="s">
        <v>62</v>
      </c>
      <c r="I208" s="134">
        <v>48364.75</v>
      </c>
      <c r="J208" s="134">
        <v>107.26</v>
      </c>
      <c r="K208" s="135">
        <v>803.88</v>
      </c>
      <c r="L208" s="29"/>
      <c r="M208" s="143">
        <v>2151.9295999999999</v>
      </c>
      <c r="N208" s="143" t="s">
        <v>62</v>
      </c>
      <c r="O208" s="143" t="s">
        <v>62</v>
      </c>
      <c r="P208" s="143" t="s">
        <v>62</v>
      </c>
      <c r="Q208" s="143">
        <v>49518.18</v>
      </c>
      <c r="R208" s="143">
        <v>107.92</v>
      </c>
      <c r="S208" s="144">
        <v>806.51</v>
      </c>
      <c r="U208" s="41"/>
      <c r="V208" s="42"/>
      <c r="W208" s="43"/>
      <c r="X208" s="29"/>
      <c r="Y208" s="24"/>
      <c r="Z208" s="24"/>
      <c r="AA208" s="27"/>
    </row>
    <row r="209" spans="1:27" ht="12.75">
      <c r="B209" s="36"/>
      <c r="C209" s="29"/>
      <c r="D209" s="32">
        <v>35</v>
      </c>
      <c r="E209" s="134">
        <v>979.20719999999994</v>
      </c>
      <c r="F209" s="134" t="s">
        <v>62</v>
      </c>
      <c r="G209" s="134" t="s">
        <v>62</v>
      </c>
      <c r="H209" s="134" t="s">
        <v>62</v>
      </c>
      <c r="I209" s="134">
        <v>40413.730000000003</v>
      </c>
      <c r="J209" s="134">
        <v>93.64</v>
      </c>
      <c r="K209" s="135">
        <v>797.16</v>
      </c>
      <c r="L209" s="29"/>
      <c r="M209" s="143">
        <v>979.20640000000003</v>
      </c>
      <c r="N209" s="143" t="s">
        <v>62</v>
      </c>
      <c r="O209" s="143" t="s">
        <v>62</v>
      </c>
      <c r="P209" s="143" t="s">
        <v>62</v>
      </c>
      <c r="Q209" s="143">
        <v>44110.03</v>
      </c>
      <c r="R209" s="143">
        <v>105</v>
      </c>
      <c r="S209" s="144">
        <v>905.43</v>
      </c>
      <c r="U209" s="17"/>
      <c r="V209" s="18"/>
      <c r="W209" s="19"/>
      <c r="X209" s="29"/>
      <c r="Y209" s="24"/>
      <c r="Z209" s="24"/>
      <c r="AA209" s="27"/>
    </row>
    <row r="210" spans="1:27" ht="13.5" thickBot="1">
      <c r="B210" s="50"/>
      <c r="C210" s="51"/>
      <c r="D210" s="69">
        <v>40</v>
      </c>
      <c r="E210" s="137">
        <v>471.7176</v>
      </c>
      <c r="F210" s="137" t="s">
        <v>62</v>
      </c>
      <c r="G210" s="137" t="s">
        <v>62</v>
      </c>
      <c r="H210" s="137" t="s">
        <v>62</v>
      </c>
      <c r="I210" s="137">
        <v>34644.410000000003</v>
      </c>
      <c r="J210" s="137">
        <v>92.42</v>
      </c>
      <c r="K210" s="138">
        <v>802.69</v>
      </c>
      <c r="L210" s="29"/>
      <c r="M210" s="146">
        <v>471.71679999999998</v>
      </c>
      <c r="N210" s="146" t="s">
        <v>62</v>
      </c>
      <c r="O210" s="146" t="s">
        <v>62</v>
      </c>
      <c r="P210" s="146" t="s">
        <v>62</v>
      </c>
      <c r="Q210" s="146">
        <v>36663.050000000003</v>
      </c>
      <c r="R210" s="146">
        <v>109.99</v>
      </c>
      <c r="S210" s="147">
        <v>844.63</v>
      </c>
      <c r="U210" s="82"/>
      <c r="V210" s="83"/>
      <c r="W210" s="84"/>
      <c r="X210" s="29"/>
      <c r="Y210" s="47"/>
      <c r="Z210" s="47"/>
      <c r="AA210" s="52"/>
    </row>
    <row r="211" spans="1:27" ht="12.75">
      <c r="A211" s="20" t="s">
        <v>19</v>
      </c>
      <c r="B211" s="35" t="s">
        <v>54</v>
      </c>
      <c r="C211" s="28" t="s">
        <v>26</v>
      </c>
      <c r="D211" s="31">
        <v>25</v>
      </c>
      <c r="E211" s="130">
        <v>808.93399999999997</v>
      </c>
      <c r="F211" s="130">
        <v>42.116199999999999</v>
      </c>
      <c r="G211" s="130">
        <v>48.421599999999998</v>
      </c>
      <c r="H211" s="130">
        <v>48.138300000000001</v>
      </c>
      <c r="I211" s="130"/>
      <c r="J211" s="131"/>
      <c r="K211" s="132"/>
      <c r="L211" s="29"/>
      <c r="M211" s="139">
        <v>808.91300000000001</v>
      </c>
      <c r="N211" s="139">
        <v>42.116199999999999</v>
      </c>
      <c r="O211" s="139">
        <v>48.421599999999998</v>
      </c>
      <c r="P211" s="139">
        <v>48.138300000000001</v>
      </c>
      <c r="Q211" s="139"/>
      <c r="R211" s="140"/>
      <c r="S211" s="141"/>
      <c r="U211" s="8">
        <f>bdrate($E211:$E214,F211:F214,$M211:$M214,N211:N214)</f>
        <v>-1.0994543391029676E-4</v>
      </c>
      <c r="V211" s="9">
        <f>bdrate($E211:$E214,G211:G214,$M211:$M214,O211:O214)</f>
        <v>-1.0012615681231907E-4</v>
      </c>
      <c r="W211" s="10">
        <f>bdrate($E211:$E214,H211:H214,$M211:$M214,P211:P214)</f>
        <v>-1.0214977735634179E-4</v>
      </c>
      <c r="X211" s="29"/>
      <c r="Y211" s="22"/>
      <c r="Z211" s="22"/>
      <c r="AA211" s="26"/>
    </row>
    <row r="212" spans="1:27" ht="12.75">
      <c r="B212" s="36"/>
      <c r="C212" s="29"/>
      <c r="D212" s="32">
        <v>30</v>
      </c>
      <c r="E212" s="133">
        <v>344.726</v>
      </c>
      <c r="F212" s="133">
        <v>41.148200000000003</v>
      </c>
      <c r="G212" s="133">
        <v>47.462600000000002</v>
      </c>
      <c r="H212" s="133">
        <v>47.2849</v>
      </c>
      <c r="I212" s="133"/>
      <c r="J212" s="134"/>
      <c r="K212" s="135"/>
      <c r="L212" s="29"/>
      <c r="M212" s="142">
        <v>344.70499999999998</v>
      </c>
      <c r="N212" s="142">
        <v>41.148200000000003</v>
      </c>
      <c r="O212" s="142">
        <v>47.462600000000002</v>
      </c>
      <c r="P212" s="142">
        <v>47.2849</v>
      </c>
      <c r="Q212" s="142"/>
      <c r="R212" s="143"/>
      <c r="S212" s="144"/>
      <c r="U212" s="41"/>
      <c r="V212" s="42"/>
      <c r="W212" s="43"/>
      <c r="X212" s="29"/>
      <c r="Y212" s="24"/>
      <c r="Z212" s="24"/>
      <c r="AA212" s="27"/>
    </row>
    <row r="213" spans="1:27" ht="12.75">
      <c r="B213" s="36"/>
      <c r="C213" s="29"/>
      <c r="D213" s="32">
        <v>35</v>
      </c>
      <c r="E213" s="133">
        <v>177.10499999999999</v>
      </c>
      <c r="F213" s="133">
        <v>39.752499999999998</v>
      </c>
      <c r="G213" s="133">
        <v>46.036099999999998</v>
      </c>
      <c r="H213" s="133">
        <v>45.932899999999997</v>
      </c>
      <c r="I213" s="133"/>
      <c r="J213" s="134"/>
      <c r="K213" s="135"/>
      <c r="L213" s="29"/>
      <c r="M213" s="142">
        <v>177.084</v>
      </c>
      <c r="N213" s="142">
        <v>39.752499999999998</v>
      </c>
      <c r="O213" s="142">
        <v>46.036099999999998</v>
      </c>
      <c r="P213" s="142">
        <v>45.932899999999997</v>
      </c>
      <c r="Q213" s="142"/>
      <c r="R213" s="143"/>
      <c r="S213" s="144"/>
      <c r="U213" s="41"/>
      <c r="V213" s="42"/>
      <c r="W213" s="43"/>
      <c r="X213" s="29"/>
      <c r="Y213" s="24"/>
      <c r="Z213" s="24"/>
      <c r="AA213" s="27"/>
    </row>
    <row r="214" spans="1:27" ht="13.5" thickBot="1">
      <c r="B214" s="36"/>
      <c r="C214" s="29"/>
      <c r="D214" s="32">
        <v>40</v>
      </c>
      <c r="E214" s="136">
        <v>98.555999999999997</v>
      </c>
      <c r="F214" s="136">
        <v>38.0139</v>
      </c>
      <c r="G214" s="136">
        <v>44.863199999999999</v>
      </c>
      <c r="H214" s="136">
        <v>44.774999999999999</v>
      </c>
      <c r="I214" s="136"/>
      <c r="J214" s="137"/>
      <c r="K214" s="138"/>
      <c r="L214" s="29"/>
      <c r="M214" s="145">
        <v>98.534999999999997</v>
      </c>
      <c r="N214" s="145">
        <v>38.0139</v>
      </c>
      <c r="O214" s="145">
        <v>44.863199999999999</v>
      </c>
      <c r="P214" s="145">
        <v>44.774999999999999</v>
      </c>
      <c r="Q214" s="145"/>
      <c r="R214" s="146"/>
      <c r="S214" s="147"/>
      <c r="U214" s="41"/>
      <c r="V214" s="42"/>
      <c r="W214" s="43"/>
      <c r="X214" s="29"/>
      <c r="Y214" s="24"/>
      <c r="Z214" s="24"/>
      <c r="AA214" s="27"/>
    </row>
    <row r="215" spans="1:27" ht="12.75">
      <c r="B215" s="36"/>
      <c r="C215" s="28" t="s">
        <v>27</v>
      </c>
      <c r="D215" s="31">
        <v>25</v>
      </c>
      <c r="E215" s="133">
        <v>248.59700000000001</v>
      </c>
      <c r="F215" s="133">
        <v>41.833399999999997</v>
      </c>
      <c r="G215" s="133">
        <v>48.192700000000002</v>
      </c>
      <c r="H215" s="133">
        <v>47.512799999999999</v>
      </c>
      <c r="I215" s="133"/>
      <c r="J215" s="134"/>
      <c r="K215" s="135"/>
      <c r="L215" s="29"/>
      <c r="M215" s="142">
        <v>248.577</v>
      </c>
      <c r="N215" s="142">
        <v>41.833399999999997</v>
      </c>
      <c r="O215" s="142">
        <v>48.192700000000002</v>
      </c>
      <c r="P215" s="142">
        <v>47.512799999999999</v>
      </c>
      <c r="Q215" s="142"/>
      <c r="R215" s="143"/>
      <c r="S215" s="144"/>
      <c r="U215" s="8">
        <f>bdrate($E215:$E218,F215:F218,$M215:$M218,N215:N218)</f>
        <v>-3.9163437273792567E-4</v>
      </c>
      <c r="V215" s="9">
        <f>bdrate($E215:$E218,G215:G218,$M215:$M218,O215:O218)</f>
        <v>-3.4146396502798826E-4</v>
      </c>
      <c r="W215" s="10">
        <f>bdrate($E215:$E218,H215:H218,$M215:$M218,P215:P218)</f>
        <v>-3.4994805487209568E-4</v>
      </c>
      <c r="X215" s="29"/>
      <c r="Y215" s="24"/>
      <c r="Z215" s="24"/>
      <c r="AA215" s="27"/>
    </row>
    <row r="216" spans="1:27" ht="12.75">
      <c r="B216" s="36"/>
      <c r="C216" s="29"/>
      <c r="D216" s="32">
        <v>30</v>
      </c>
      <c r="E216" s="133">
        <v>96.373999999999995</v>
      </c>
      <c r="F216" s="133">
        <v>40.835299999999997</v>
      </c>
      <c r="G216" s="133">
        <v>47.1023</v>
      </c>
      <c r="H216" s="133">
        <v>46.575099999999999</v>
      </c>
      <c r="I216" s="133"/>
      <c r="J216" s="134"/>
      <c r="K216" s="135"/>
      <c r="L216" s="29"/>
      <c r="M216" s="142">
        <v>96.353999999999999</v>
      </c>
      <c r="N216" s="142">
        <v>40.835299999999997</v>
      </c>
      <c r="O216" s="142">
        <v>47.1023</v>
      </c>
      <c r="P216" s="142">
        <v>46.575099999999999</v>
      </c>
      <c r="Q216" s="142"/>
      <c r="R216" s="143"/>
      <c r="S216" s="144"/>
      <c r="U216" s="17"/>
      <c r="V216" s="18"/>
      <c r="W216" s="19"/>
      <c r="X216" s="29"/>
      <c r="Y216" s="24"/>
      <c r="Z216" s="24"/>
      <c r="AA216" s="27"/>
    </row>
    <row r="217" spans="1:27" ht="12.75">
      <c r="B217" s="36"/>
      <c r="C217" s="29"/>
      <c r="D217" s="32">
        <v>35</v>
      </c>
      <c r="E217" s="133">
        <v>47.688000000000002</v>
      </c>
      <c r="F217" s="133">
        <v>39.413699999999999</v>
      </c>
      <c r="G217" s="133">
        <v>45.9223</v>
      </c>
      <c r="H217" s="133">
        <v>45.528599999999997</v>
      </c>
      <c r="I217" s="133"/>
      <c r="J217" s="134"/>
      <c r="K217" s="135"/>
      <c r="L217" s="29"/>
      <c r="M217" s="142">
        <v>47.667999999999999</v>
      </c>
      <c r="N217" s="142">
        <v>39.413699999999999</v>
      </c>
      <c r="O217" s="142">
        <v>45.9223</v>
      </c>
      <c r="P217" s="142">
        <v>45.528599999999997</v>
      </c>
      <c r="Q217" s="142"/>
      <c r="R217" s="143"/>
      <c r="S217" s="144"/>
      <c r="U217" s="41"/>
      <c r="V217" s="44"/>
      <c r="W217" s="43"/>
      <c r="X217" s="29"/>
      <c r="Y217" s="24"/>
      <c r="Z217" s="24"/>
      <c r="AA217" s="27"/>
    </row>
    <row r="218" spans="1:27" ht="13.5" thickBot="1">
      <c r="B218" s="36"/>
      <c r="C218" s="29"/>
      <c r="D218" s="32">
        <v>40</v>
      </c>
      <c r="E218" s="133">
        <v>25.346</v>
      </c>
      <c r="F218" s="133">
        <v>37.627400000000002</v>
      </c>
      <c r="G218" s="133">
        <v>44.845999999999997</v>
      </c>
      <c r="H218" s="133">
        <v>44.506900000000002</v>
      </c>
      <c r="I218" s="133"/>
      <c r="J218" s="134"/>
      <c r="K218" s="135"/>
      <c r="L218" s="29"/>
      <c r="M218" s="142">
        <v>25.326000000000001</v>
      </c>
      <c r="N218" s="142">
        <v>37.627400000000002</v>
      </c>
      <c r="O218" s="142">
        <v>44.845999999999997</v>
      </c>
      <c r="P218" s="142">
        <v>44.506900000000002</v>
      </c>
      <c r="Q218" s="142"/>
      <c r="R218" s="143"/>
      <c r="S218" s="144"/>
      <c r="U218" s="41"/>
      <c r="V218" s="42"/>
      <c r="W218" s="43"/>
      <c r="X218" s="29"/>
      <c r="Y218" s="24"/>
      <c r="Z218" s="24"/>
      <c r="AA218" s="27"/>
    </row>
    <row r="219" spans="1:27" ht="12.75">
      <c r="B219" s="36"/>
      <c r="C219" s="28" t="s">
        <v>28</v>
      </c>
      <c r="D219" s="31">
        <v>25</v>
      </c>
      <c r="E219" s="130">
        <v>258.92</v>
      </c>
      <c r="F219" s="130">
        <v>41.684899999999999</v>
      </c>
      <c r="G219" s="130">
        <v>47.258400000000002</v>
      </c>
      <c r="H219" s="130">
        <v>46.6708</v>
      </c>
      <c r="I219" s="130"/>
      <c r="J219" s="131"/>
      <c r="K219" s="132"/>
      <c r="L219" s="29"/>
      <c r="M219" s="139">
        <v>258.89999999999998</v>
      </c>
      <c r="N219" s="139">
        <v>41.684899999999999</v>
      </c>
      <c r="O219" s="139">
        <v>47.258400000000002</v>
      </c>
      <c r="P219" s="139">
        <v>46.6708</v>
      </c>
      <c r="Q219" s="139"/>
      <c r="R219" s="140"/>
      <c r="S219" s="141"/>
      <c r="U219" s="8">
        <f>bdrate($E219:$E222,F219:F222,$M219:$M222,N219:N222)</f>
        <v>-3.9011587708370765E-4</v>
      </c>
      <c r="V219" s="9">
        <f>bdrate($E219:$E222,G219:G222,$M219:$M222,O219:O222)</f>
        <v>-3.4616296184641904E-4</v>
      </c>
      <c r="W219" s="10">
        <f>bdrate($E219:$E222,H219:H222,$M219:$M222,P219:P222)</f>
        <v>-3.3980593534421732E-4</v>
      </c>
      <c r="X219" s="29"/>
      <c r="Y219" s="24"/>
      <c r="Z219" s="24"/>
      <c r="AA219" s="27"/>
    </row>
    <row r="220" spans="1:27" ht="12.75">
      <c r="B220" s="36"/>
      <c r="C220" s="29"/>
      <c r="D220" s="32">
        <v>30</v>
      </c>
      <c r="E220" s="133">
        <v>97.305999999999997</v>
      </c>
      <c r="F220" s="133">
        <v>40.747199999999999</v>
      </c>
      <c r="G220" s="133">
        <v>46.319800000000001</v>
      </c>
      <c r="H220" s="133">
        <v>45.5349</v>
      </c>
      <c r="I220" s="133"/>
      <c r="J220" s="134"/>
      <c r="K220" s="135"/>
      <c r="L220" s="29"/>
      <c r="M220" s="142">
        <v>97.286000000000001</v>
      </c>
      <c r="N220" s="142">
        <v>40.747199999999999</v>
      </c>
      <c r="O220" s="142">
        <v>46.319800000000001</v>
      </c>
      <c r="P220" s="142">
        <v>45.5349</v>
      </c>
      <c r="Q220" s="142"/>
      <c r="R220" s="143"/>
      <c r="S220" s="144"/>
      <c r="U220" s="41"/>
      <c r="V220" s="42"/>
      <c r="W220" s="43"/>
      <c r="X220" s="29"/>
      <c r="Y220" s="24"/>
      <c r="Z220" s="24"/>
      <c r="AA220" s="27"/>
    </row>
    <row r="221" spans="1:27" ht="12.75">
      <c r="B221" s="36"/>
      <c r="C221" s="29"/>
      <c r="D221" s="32">
        <v>35</v>
      </c>
      <c r="E221" s="133">
        <v>48.17</v>
      </c>
      <c r="F221" s="133">
        <v>39.391500000000001</v>
      </c>
      <c r="G221" s="133">
        <v>45.400700000000001</v>
      </c>
      <c r="H221" s="133">
        <v>44.582099999999997</v>
      </c>
      <c r="I221" s="133"/>
      <c r="J221" s="134"/>
      <c r="K221" s="135"/>
      <c r="L221" s="29"/>
      <c r="M221" s="142">
        <v>48.15</v>
      </c>
      <c r="N221" s="142">
        <v>39.391500000000001</v>
      </c>
      <c r="O221" s="142">
        <v>45.400700000000001</v>
      </c>
      <c r="P221" s="142">
        <v>44.582099999999997</v>
      </c>
      <c r="Q221" s="142"/>
      <c r="R221" s="143"/>
      <c r="S221" s="144"/>
      <c r="U221" s="17"/>
      <c r="V221" s="18"/>
      <c r="W221" s="19"/>
      <c r="X221" s="29"/>
      <c r="Y221" s="24"/>
      <c r="Z221" s="24"/>
      <c r="AA221" s="27"/>
    </row>
    <row r="222" spans="1:27" ht="13.5" thickBot="1">
      <c r="B222" s="36"/>
      <c r="C222" s="51"/>
      <c r="D222" s="69">
        <v>40</v>
      </c>
      <c r="E222" s="136">
        <v>25.51</v>
      </c>
      <c r="F222" s="136">
        <v>37.669199999999996</v>
      </c>
      <c r="G222" s="136">
        <v>44.406700000000001</v>
      </c>
      <c r="H222" s="136">
        <v>43.482199999999999</v>
      </c>
      <c r="I222" s="136"/>
      <c r="J222" s="137"/>
      <c r="K222" s="138"/>
      <c r="L222" s="29"/>
      <c r="M222" s="145">
        <v>25.49</v>
      </c>
      <c r="N222" s="145">
        <v>37.669199999999996</v>
      </c>
      <c r="O222" s="145">
        <v>44.406700000000001</v>
      </c>
      <c r="P222" s="145">
        <v>43.482199999999999</v>
      </c>
      <c r="Q222" s="145"/>
      <c r="R222" s="146"/>
      <c r="S222" s="147"/>
      <c r="U222" s="41"/>
      <c r="V222" s="42"/>
      <c r="W222" s="43"/>
      <c r="X222" s="29"/>
      <c r="Y222" s="24"/>
      <c r="Z222" s="24"/>
      <c r="AA222" s="27"/>
    </row>
    <row r="223" spans="1:27" ht="12.75">
      <c r="B223" s="36"/>
      <c r="C223" s="28" t="s">
        <v>29</v>
      </c>
      <c r="D223" s="31">
        <v>34</v>
      </c>
      <c r="E223" s="130">
        <v>73.507000000000005</v>
      </c>
      <c r="F223" s="130">
        <v>46.032600000000002</v>
      </c>
      <c r="G223" s="130"/>
      <c r="H223" s="130"/>
      <c r="I223" s="130"/>
      <c r="J223" s="131"/>
      <c r="K223" s="132"/>
      <c r="L223" s="29"/>
      <c r="M223" s="139">
        <v>73.507000000000005</v>
      </c>
      <c r="N223" s="139">
        <v>46.032600000000002</v>
      </c>
      <c r="O223" s="139"/>
      <c r="P223" s="139"/>
      <c r="Q223" s="139"/>
      <c r="R223" s="140"/>
      <c r="S223" s="141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</row>
    <row r="224" spans="1:27" ht="12.75">
      <c r="B224" s="36"/>
      <c r="C224" s="29"/>
      <c r="D224" s="32">
        <v>39</v>
      </c>
      <c r="E224" s="133">
        <v>30.309000000000001</v>
      </c>
      <c r="F224" s="133">
        <v>42.533799999999999</v>
      </c>
      <c r="G224" s="133"/>
      <c r="H224" s="133"/>
      <c r="I224" s="133"/>
      <c r="J224" s="134"/>
      <c r="K224" s="135"/>
      <c r="L224" s="29"/>
      <c r="M224" s="142">
        <v>30.309000000000001</v>
      </c>
      <c r="N224" s="142">
        <v>42.533799999999999</v>
      </c>
      <c r="O224" s="142"/>
      <c r="P224" s="142"/>
      <c r="Q224" s="142"/>
      <c r="R224" s="143"/>
      <c r="S224" s="144"/>
      <c r="U224" s="41"/>
      <c r="V224" s="42"/>
      <c r="W224" s="43"/>
      <c r="X224" s="29"/>
      <c r="Y224" s="24"/>
      <c r="Z224" s="24"/>
      <c r="AA224" s="27"/>
    </row>
    <row r="225" spans="2:27" ht="12.75">
      <c r="B225" s="36"/>
      <c r="C225" s="29"/>
      <c r="D225" s="32">
        <v>42</v>
      </c>
      <c r="E225" s="133">
        <v>15.324</v>
      </c>
      <c r="F225" s="133">
        <v>39.820399999999999</v>
      </c>
      <c r="G225" s="133"/>
      <c r="H225" s="133"/>
      <c r="I225" s="133"/>
      <c r="J225" s="134"/>
      <c r="K225" s="135"/>
      <c r="L225" s="29"/>
      <c r="M225" s="142">
        <v>15.324</v>
      </c>
      <c r="N225" s="142">
        <v>39.820399999999999</v>
      </c>
      <c r="O225" s="142"/>
      <c r="P225" s="142"/>
      <c r="Q225" s="142"/>
      <c r="R225" s="143"/>
      <c r="S225" s="144"/>
      <c r="U225" s="41"/>
      <c r="V225" s="42"/>
      <c r="W225" s="43"/>
      <c r="X225" s="29"/>
      <c r="Y225" s="24"/>
      <c r="Z225" s="24"/>
      <c r="AA225" s="27"/>
    </row>
    <row r="226" spans="2:27" ht="13.5" thickBot="1">
      <c r="B226" s="36"/>
      <c r="C226" s="29"/>
      <c r="D226" s="32">
        <v>45</v>
      </c>
      <c r="E226" s="136">
        <v>8.5619999999999994</v>
      </c>
      <c r="F226" s="136">
        <v>36.707999999999998</v>
      </c>
      <c r="G226" s="136"/>
      <c r="H226" s="136"/>
      <c r="I226" s="136"/>
      <c r="J226" s="137"/>
      <c r="K226" s="138"/>
      <c r="L226" s="29"/>
      <c r="M226" s="145">
        <v>8.5619999999999994</v>
      </c>
      <c r="N226" s="145">
        <v>36.707999999999998</v>
      </c>
      <c r="O226" s="145"/>
      <c r="P226" s="145"/>
      <c r="Q226" s="145"/>
      <c r="R226" s="146"/>
      <c r="S226" s="147"/>
      <c r="U226" s="17"/>
      <c r="V226" s="18"/>
      <c r="W226" s="19"/>
      <c r="X226" s="29"/>
      <c r="Y226" s="59"/>
      <c r="Z226" s="59"/>
      <c r="AA226" s="55"/>
    </row>
    <row r="227" spans="2:27" ht="12.75">
      <c r="B227" s="36"/>
      <c r="C227" s="28" t="s">
        <v>30</v>
      </c>
      <c r="D227" s="31">
        <v>34</v>
      </c>
      <c r="E227" s="130">
        <v>50.521000000000001</v>
      </c>
      <c r="F227" s="130">
        <v>44.612200000000001</v>
      </c>
      <c r="G227" s="130"/>
      <c r="H227" s="130"/>
      <c r="I227" s="130"/>
      <c r="J227" s="131"/>
      <c r="K227" s="132"/>
      <c r="L227" s="29"/>
      <c r="M227" s="139">
        <v>50.521000000000001</v>
      </c>
      <c r="N227" s="139">
        <v>44.612200000000001</v>
      </c>
      <c r="O227" s="139"/>
      <c r="P227" s="139"/>
      <c r="Q227" s="139"/>
      <c r="R227" s="140"/>
      <c r="S227" s="141"/>
      <c r="U227" s="8">
        <f>bdrate($E227:$E230,F227:F230,$M227:$M230,N227:N230)</f>
        <v>0</v>
      </c>
      <c r="V227" s="9"/>
      <c r="W227" s="10"/>
      <c r="X227" s="29"/>
      <c r="Y227" s="24"/>
      <c r="Z227" s="24"/>
      <c r="AA227" s="27"/>
    </row>
    <row r="228" spans="2:27" ht="12.75">
      <c r="B228" s="36"/>
      <c r="C228" s="29"/>
      <c r="D228" s="32">
        <v>39</v>
      </c>
      <c r="E228" s="133">
        <v>19.774999999999999</v>
      </c>
      <c r="F228" s="133">
        <v>41.281799999999997</v>
      </c>
      <c r="G228" s="133"/>
      <c r="H228" s="133"/>
      <c r="I228" s="133"/>
      <c r="J228" s="134"/>
      <c r="K228" s="135"/>
      <c r="L228" s="29"/>
      <c r="M228" s="142">
        <v>19.774999999999999</v>
      </c>
      <c r="N228" s="142">
        <v>41.281799999999997</v>
      </c>
      <c r="O228" s="142"/>
      <c r="P228" s="142"/>
      <c r="Q228" s="142"/>
      <c r="R228" s="143"/>
      <c r="S228" s="144"/>
      <c r="U228" s="12"/>
      <c r="V228" s="13"/>
      <c r="W228" s="14"/>
      <c r="X228" s="29"/>
      <c r="Y228" s="24"/>
      <c r="Z228" s="24"/>
      <c r="AA228" s="27"/>
    </row>
    <row r="229" spans="2:27" ht="12.75">
      <c r="B229" s="36"/>
      <c r="C229" s="29"/>
      <c r="D229" s="32">
        <v>42</v>
      </c>
      <c r="E229" s="133">
        <v>9.4410000000000007</v>
      </c>
      <c r="F229" s="133">
        <v>38.191899999999997</v>
      </c>
      <c r="G229" s="133"/>
      <c r="H229" s="133"/>
      <c r="I229" s="133"/>
      <c r="J229" s="134"/>
      <c r="K229" s="135"/>
      <c r="L229" s="29"/>
      <c r="M229" s="142">
        <v>9.4410000000000007</v>
      </c>
      <c r="N229" s="142">
        <v>38.191899999999997</v>
      </c>
      <c r="O229" s="142"/>
      <c r="P229" s="142"/>
      <c r="Q229" s="142"/>
      <c r="R229" s="143"/>
      <c r="S229" s="144"/>
      <c r="U229" s="12"/>
      <c r="V229" s="13"/>
      <c r="W229" s="14"/>
      <c r="X229" s="29"/>
      <c r="Y229" s="24"/>
      <c r="Z229" s="24"/>
      <c r="AA229" s="27"/>
    </row>
    <row r="230" spans="2:27" ht="13.5" thickBot="1">
      <c r="B230" s="36"/>
      <c r="C230" s="29"/>
      <c r="D230" s="32">
        <v>45</v>
      </c>
      <c r="E230" s="136">
        <v>5.3719999999999999</v>
      </c>
      <c r="F230" s="136">
        <v>35.090899999999998</v>
      </c>
      <c r="G230" s="136"/>
      <c r="H230" s="136"/>
      <c r="I230" s="136"/>
      <c r="J230" s="137"/>
      <c r="K230" s="138"/>
      <c r="L230" s="29"/>
      <c r="M230" s="145">
        <v>5.3719999999999999</v>
      </c>
      <c r="N230" s="145">
        <v>35.090899999999998</v>
      </c>
      <c r="O230" s="145"/>
      <c r="P230" s="145"/>
      <c r="Q230" s="145"/>
      <c r="R230" s="146"/>
      <c r="S230" s="147"/>
      <c r="U230" s="12"/>
      <c r="V230" s="13"/>
      <c r="W230" s="14"/>
      <c r="X230" s="29"/>
      <c r="Y230" s="24"/>
      <c r="Z230" s="24"/>
      <c r="AA230" s="27"/>
    </row>
    <row r="231" spans="2:27" ht="12.75">
      <c r="B231" s="36"/>
      <c r="C231" s="28" t="s">
        <v>31</v>
      </c>
      <c r="D231" s="31">
        <v>34</v>
      </c>
      <c r="E231" s="130">
        <v>49.526000000000003</v>
      </c>
      <c r="F231" s="130">
        <v>44.346200000000003</v>
      </c>
      <c r="G231" s="130"/>
      <c r="H231" s="130"/>
      <c r="I231" s="130"/>
      <c r="J231" s="131"/>
      <c r="K231" s="132"/>
      <c r="L231" s="29"/>
      <c r="M231" s="139">
        <v>49.526000000000003</v>
      </c>
      <c r="N231" s="139">
        <v>44.346200000000003</v>
      </c>
      <c r="O231" s="139"/>
      <c r="P231" s="139"/>
      <c r="Q231" s="139"/>
      <c r="R231" s="140"/>
      <c r="S231" s="141"/>
      <c r="U231" s="8">
        <f>bdrate($E231:$E234,F231:F234,$M231:$M234,N231:N234)</f>
        <v>0</v>
      </c>
      <c r="V231" s="9"/>
      <c r="W231" s="10"/>
      <c r="X231" s="29"/>
      <c r="Y231" s="24"/>
      <c r="Z231" s="24"/>
      <c r="AA231" s="27"/>
    </row>
    <row r="232" spans="2:27" ht="12.75">
      <c r="B232" s="36"/>
      <c r="C232" s="29"/>
      <c r="D232" s="32">
        <v>39</v>
      </c>
      <c r="E232" s="133">
        <v>19.074000000000002</v>
      </c>
      <c r="F232" s="133">
        <v>41.378399999999999</v>
      </c>
      <c r="G232" s="133"/>
      <c r="H232" s="133"/>
      <c r="I232" s="133"/>
      <c r="J232" s="134"/>
      <c r="K232" s="135"/>
      <c r="L232" s="29"/>
      <c r="M232" s="142">
        <v>19.074000000000002</v>
      </c>
      <c r="N232" s="142">
        <v>41.378399999999999</v>
      </c>
      <c r="O232" s="142"/>
      <c r="P232" s="142"/>
      <c r="Q232" s="142"/>
      <c r="R232" s="143"/>
      <c r="S232" s="144"/>
      <c r="U232" s="41"/>
      <c r="V232" s="42"/>
      <c r="W232" s="43"/>
      <c r="X232" s="29"/>
      <c r="Y232" s="24"/>
      <c r="Z232" s="24"/>
      <c r="AA232" s="27"/>
    </row>
    <row r="233" spans="2:27" ht="12.75">
      <c r="B233" s="36"/>
      <c r="C233" s="29"/>
      <c r="D233" s="32">
        <v>42</v>
      </c>
      <c r="E233" s="133">
        <v>9.0540000000000003</v>
      </c>
      <c r="F233" s="133">
        <v>38.464700000000001</v>
      </c>
      <c r="G233" s="133"/>
      <c r="H233" s="133"/>
      <c r="I233" s="133"/>
      <c r="J233" s="134"/>
      <c r="K233" s="135"/>
      <c r="L233" s="29"/>
      <c r="M233" s="142">
        <v>9.0540000000000003</v>
      </c>
      <c r="N233" s="142">
        <v>38.464700000000001</v>
      </c>
      <c r="O233" s="142"/>
      <c r="P233" s="142"/>
      <c r="Q233" s="142"/>
      <c r="R233" s="143"/>
      <c r="S233" s="144"/>
      <c r="U233" s="41"/>
      <c r="V233" s="42"/>
      <c r="W233" s="43"/>
      <c r="X233" s="29"/>
      <c r="Y233" s="24"/>
      <c r="Z233" s="24"/>
      <c r="AA233" s="27"/>
    </row>
    <row r="234" spans="2:27" ht="13.5" thickBot="1">
      <c r="B234" s="36"/>
      <c r="C234" s="29"/>
      <c r="D234" s="32">
        <v>45</v>
      </c>
      <c r="E234" s="136">
        <v>5.125</v>
      </c>
      <c r="F234" s="136">
        <v>35.769500000000001</v>
      </c>
      <c r="G234" s="136"/>
      <c r="H234" s="136"/>
      <c r="I234" s="136"/>
      <c r="J234" s="137"/>
      <c r="K234" s="138"/>
      <c r="L234" s="29"/>
      <c r="M234" s="145">
        <v>5.125</v>
      </c>
      <c r="N234" s="145">
        <v>35.769500000000001</v>
      </c>
      <c r="O234" s="145"/>
      <c r="P234" s="145"/>
      <c r="Q234" s="145"/>
      <c r="R234" s="146"/>
      <c r="S234" s="147"/>
      <c r="U234" s="41"/>
      <c r="V234" s="42"/>
      <c r="W234" s="43"/>
      <c r="X234" s="29"/>
      <c r="Y234" s="24"/>
      <c r="Z234" s="24"/>
      <c r="AA234" s="27"/>
    </row>
    <row r="235" spans="2:27" ht="12.75">
      <c r="B235" s="36"/>
      <c r="C235" s="28" t="s">
        <v>47</v>
      </c>
      <c r="D235" s="31">
        <v>25</v>
      </c>
      <c r="E235" s="130" t="s">
        <v>62</v>
      </c>
      <c r="F235" s="130">
        <v>42.871299999999998</v>
      </c>
      <c r="G235" s="130">
        <v>48.177100000000003</v>
      </c>
      <c r="H235" s="130">
        <v>47.293500000000002</v>
      </c>
      <c r="I235" s="130"/>
      <c r="J235" s="131"/>
      <c r="K235" s="132"/>
      <c r="L235" s="29"/>
      <c r="M235" s="139" t="s">
        <v>62</v>
      </c>
      <c r="N235" s="139">
        <v>42.871299999999998</v>
      </c>
      <c r="O235" s="139">
        <v>48.177100000000003</v>
      </c>
      <c r="P235" s="139">
        <v>47.293500000000002</v>
      </c>
      <c r="Q235" s="139"/>
      <c r="R235" s="140"/>
      <c r="S235" s="141"/>
      <c r="U235" s="8"/>
      <c r="V235" s="9"/>
      <c r="W235" s="10"/>
      <c r="X235" s="29"/>
      <c r="Y235" s="24"/>
      <c r="Z235" s="24"/>
      <c r="AA235" s="27"/>
    </row>
    <row r="236" spans="2:27" ht="12.75">
      <c r="B236" s="36"/>
      <c r="C236" s="29"/>
      <c r="D236" s="32">
        <v>30</v>
      </c>
      <c r="E236" s="133" t="s">
        <v>62</v>
      </c>
      <c r="F236" s="133">
        <v>41.709200000000003</v>
      </c>
      <c r="G236" s="133">
        <v>47.068199999999997</v>
      </c>
      <c r="H236" s="133">
        <v>46.547899999999998</v>
      </c>
      <c r="I236" s="133"/>
      <c r="J236" s="134"/>
      <c r="K236" s="135"/>
      <c r="L236" s="29"/>
      <c r="M236" s="142" t="s">
        <v>62</v>
      </c>
      <c r="N236" s="142">
        <v>41.709200000000003</v>
      </c>
      <c r="O236" s="142">
        <v>47.068199999999997</v>
      </c>
      <c r="P236" s="142">
        <v>46.547899999999998</v>
      </c>
      <c r="Q236" s="142"/>
      <c r="R236" s="143"/>
      <c r="S236" s="144"/>
      <c r="U236" s="17"/>
      <c r="V236" s="18"/>
      <c r="W236" s="19"/>
      <c r="X236" s="29"/>
      <c r="Y236" s="24"/>
      <c r="Z236" s="24"/>
      <c r="AA236" s="27"/>
    </row>
    <row r="237" spans="2:27" ht="12.75">
      <c r="B237" s="36"/>
      <c r="C237" s="29"/>
      <c r="D237" s="32">
        <v>35</v>
      </c>
      <c r="E237" s="133" t="s">
        <v>62</v>
      </c>
      <c r="F237" s="133">
        <v>40.1248</v>
      </c>
      <c r="G237" s="133">
        <v>45.870399999999997</v>
      </c>
      <c r="H237" s="133">
        <v>45.505000000000003</v>
      </c>
      <c r="I237" s="133"/>
      <c r="J237" s="134"/>
      <c r="K237" s="135"/>
      <c r="L237" s="29"/>
      <c r="M237" s="142" t="s">
        <v>62</v>
      </c>
      <c r="N237" s="142">
        <v>40.1248</v>
      </c>
      <c r="O237" s="142">
        <v>45.870399999999997</v>
      </c>
      <c r="P237" s="142">
        <v>45.505000000000003</v>
      </c>
      <c r="Q237" s="142"/>
      <c r="R237" s="143"/>
      <c r="S237" s="144"/>
      <c r="U237" s="41"/>
      <c r="V237" s="44"/>
      <c r="W237" s="43"/>
      <c r="X237" s="29"/>
      <c r="Y237" s="24"/>
      <c r="Z237" s="24"/>
      <c r="AA237" s="27"/>
    </row>
    <row r="238" spans="2:27" ht="13.5" thickBot="1">
      <c r="B238" s="36"/>
      <c r="C238" s="51"/>
      <c r="D238" s="69">
        <v>40</v>
      </c>
      <c r="E238" s="136" t="s">
        <v>62</v>
      </c>
      <c r="F238" s="136">
        <v>38.201099999999997</v>
      </c>
      <c r="G238" s="136">
        <v>44.881</v>
      </c>
      <c r="H238" s="136">
        <v>44.443800000000003</v>
      </c>
      <c r="I238" s="136"/>
      <c r="J238" s="137"/>
      <c r="K238" s="138"/>
      <c r="L238" s="29"/>
      <c r="M238" s="145" t="s">
        <v>62</v>
      </c>
      <c r="N238" s="145">
        <v>38.201099999999997</v>
      </c>
      <c r="O238" s="145">
        <v>44.881</v>
      </c>
      <c r="P238" s="145">
        <v>44.443800000000003</v>
      </c>
      <c r="Q238" s="145"/>
      <c r="R238" s="146"/>
      <c r="S238" s="147"/>
      <c r="U238" s="41"/>
      <c r="V238" s="42"/>
      <c r="W238" s="43"/>
      <c r="X238" s="29"/>
      <c r="Y238" s="24"/>
      <c r="Z238" s="24"/>
      <c r="AA238" s="27"/>
    </row>
    <row r="239" spans="2:27" ht="12.75">
      <c r="B239" s="36"/>
      <c r="C239" s="29" t="s">
        <v>48</v>
      </c>
      <c r="D239" s="32">
        <v>25</v>
      </c>
      <c r="E239" s="130" t="s">
        <v>62</v>
      </c>
      <c r="F239" s="130">
        <v>43.602499999999999</v>
      </c>
      <c r="G239" s="130">
        <v>49.073500000000003</v>
      </c>
      <c r="H239" s="130">
        <v>48.479599999999998</v>
      </c>
      <c r="I239" s="130"/>
      <c r="J239" s="131"/>
      <c r="K239" s="132"/>
      <c r="L239" s="29"/>
      <c r="M239" s="139" t="s">
        <v>62</v>
      </c>
      <c r="N239" s="139">
        <v>43.602499999999999</v>
      </c>
      <c r="O239" s="139">
        <v>49.073500000000003</v>
      </c>
      <c r="P239" s="139">
        <v>48.479599999999998</v>
      </c>
      <c r="Q239" s="139"/>
      <c r="R239" s="140"/>
      <c r="S239" s="141"/>
      <c r="U239" s="8"/>
      <c r="V239" s="9"/>
      <c r="W239" s="10"/>
      <c r="X239" s="29"/>
      <c r="Y239" s="24"/>
      <c r="Z239" s="24"/>
      <c r="AA239" s="27"/>
    </row>
    <row r="240" spans="2:27" ht="12.75">
      <c r="B240" s="36"/>
      <c r="C240" s="29"/>
      <c r="D240" s="32">
        <v>30</v>
      </c>
      <c r="E240" s="133" t="s">
        <v>62</v>
      </c>
      <c r="F240" s="133">
        <v>42.296700000000001</v>
      </c>
      <c r="G240" s="133">
        <v>47.871299999999998</v>
      </c>
      <c r="H240" s="133">
        <v>47.491599999999998</v>
      </c>
      <c r="I240" s="133"/>
      <c r="J240" s="134"/>
      <c r="K240" s="135"/>
      <c r="L240" s="29"/>
      <c r="M240" s="142" t="s">
        <v>62</v>
      </c>
      <c r="N240" s="142">
        <v>42.296700000000001</v>
      </c>
      <c r="O240" s="142">
        <v>47.871299999999998</v>
      </c>
      <c r="P240" s="142">
        <v>47.491599999999998</v>
      </c>
      <c r="Q240" s="142"/>
      <c r="R240" s="143"/>
      <c r="S240" s="144"/>
      <c r="U240" s="41"/>
      <c r="V240" s="42"/>
      <c r="W240" s="43"/>
      <c r="X240" s="29"/>
      <c r="Y240" s="24"/>
      <c r="Z240" s="24"/>
      <c r="AA240" s="27"/>
    </row>
    <row r="241" spans="2:27" ht="12.75">
      <c r="B241" s="36"/>
      <c r="C241" s="29"/>
      <c r="D241" s="32">
        <v>35</v>
      </c>
      <c r="E241" s="133" t="s">
        <v>62</v>
      </c>
      <c r="F241" s="133">
        <v>40.586300000000001</v>
      </c>
      <c r="G241" s="133">
        <v>46.509700000000002</v>
      </c>
      <c r="H241" s="133">
        <v>46.210099999999997</v>
      </c>
      <c r="I241" s="133"/>
      <c r="J241" s="134"/>
      <c r="K241" s="135"/>
      <c r="L241" s="29"/>
      <c r="M241" s="142" t="s">
        <v>62</v>
      </c>
      <c r="N241" s="142">
        <v>40.586300000000001</v>
      </c>
      <c r="O241" s="142">
        <v>46.509700000000002</v>
      </c>
      <c r="P241" s="142">
        <v>46.210099999999997</v>
      </c>
      <c r="Q241" s="142"/>
      <c r="R241" s="143"/>
      <c r="S241" s="144"/>
      <c r="U241" s="17"/>
      <c r="V241" s="18"/>
      <c r="W241" s="19"/>
      <c r="X241" s="29"/>
      <c r="Y241" s="24"/>
      <c r="Z241" s="24"/>
      <c r="AA241" s="27"/>
    </row>
    <row r="242" spans="2:27" ht="13.5" thickBot="1">
      <c r="B242" s="36"/>
      <c r="C242" s="51"/>
      <c r="D242" s="69">
        <v>40</v>
      </c>
      <c r="E242" s="136" t="s">
        <v>62</v>
      </c>
      <c r="F242" s="136">
        <v>38.5548</v>
      </c>
      <c r="G242" s="136">
        <v>45.285499999999999</v>
      </c>
      <c r="H242" s="136">
        <v>44.970100000000002</v>
      </c>
      <c r="I242" s="136"/>
      <c r="J242" s="137"/>
      <c r="K242" s="138"/>
      <c r="L242" s="29"/>
      <c r="M242" s="145" t="s">
        <v>62</v>
      </c>
      <c r="N242" s="145">
        <v>38.5548</v>
      </c>
      <c r="O242" s="145">
        <v>45.285499999999999</v>
      </c>
      <c r="P242" s="145">
        <v>44.970100000000002</v>
      </c>
      <c r="Q242" s="145"/>
      <c r="R242" s="146"/>
      <c r="S242" s="147"/>
      <c r="U242" s="41"/>
      <c r="V242" s="42"/>
      <c r="W242" s="43"/>
      <c r="X242" s="29"/>
      <c r="Y242" s="24"/>
      <c r="Z242" s="24"/>
      <c r="AA242" s="27"/>
    </row>
    <row r="243" spans="2:27" ht="12.75">
      <c r="B243" s="36"/>
      <c r="C243" s="29" t="s">
        <v>49</v>
      </c>
      <c r="D243" s="32">
        <v>25</v>
      </c>
      <c r="E243" s="130" t="s">
        <v>62</v>
      </c>
      <c r="F243" s="130">
        <v>43.154400000000003</v>
      </c>
      <c r="G243" s="130">
        <v>49.242199999999997</v>
      </c>
      <c r="H243" s="130">
        <v>48.797199999999997</v>
      </c>
      <c r="I243" s="130"/>
      <c r="J243" s="131"/>
      <c r="K243" s="132"/>
      <c r="L243" s="29"/>
      <c r="M243" s="139" t="s">
        <v>62</v>
      </c>
      <c r="N243" s="139">
        <v>43.154400000000003</v>
      </c>
      <c r="O243" s="139">
        <v>49.242199999999997</v>
      </c>
      <c r="P243" s="139">
        <v>48.797199999999997</v>
      </c>
      <c r="Q243" s="139"/>
      <c r="R243" s="140"/>
      <c r="S243" s="141"/>
      <c r="U243" s="8"/>
      <c r="V243" s="9"/>
      <c r="W243" s="10"/>
      <c r="X243" s="29"/>
      <c r="Y243" s="24"/>
      <c r="Z243" s="24"/>
      <c r="AA243" s="27"/>
    </row>
    <row r="244" spans="2:27" ht="12.75">
      <c r="B244" s="36"/>
      <c r="C244" s="29"/>
      <c r="D244" s="32">
        <v>30</v>
      </c>
      <c r="E244" s="133" t="s">
        <v>62</v>
      </c>
      <c r="F244" s="133">
        <v>41.9953</v>
      </c>
      <c r="G244" s="133">
        <v>48.231900000000003</v>
      </c>
      <c r="H244" s="133">
        <v>47.904600000000002</v>
      </c>
      <c r="I244" s="133"/>
      <c r="J244" s="134"/>
      <c r="K244" s="135"/>
      <c r="L244" s="29"/>
      <c r="M244" s="142" t="s">
        <v>62</v>
      </c>
      <c r="N244" s="142">
        <v>41.9953</v>
      </c>
      <c r="O244" s="142">
        <v>48.231900000000003</v>
      </c>
      <c r="P244" s="142">
        <v>47.904600000000002</v>
      </c>
      <c r="Q244" s="142"/>
      <c r="R244" s="143"/>
      <c r="S244" s="144"/>
      <c r="U244" s="41"/>
      <c r="V244" s="42"/>
      <c r="W244" s="43"/>
      <c r="X244" s="29"/>
      <c r="Y244" s="24"/>
      <c r="Z244" s="24"/>
      <c r="AA244" s="27"/>
    </row>
    <row r="245" spans="2:27" ht="12.75">
      <c r="B245" s="36"/>
      <c r="C245" s="29"/>
      <c r="D245" s="32">
        <v>35</v>
      </c>
      <c r="E245" s="133" t="s">
        <v>62</v>
      </c>
      <c r="F245" s="133">
        <v>40.4255</v>
      </c>
      <c r="G245" s="133">
        <v>46.757800000000003</v>
      </c>
      <c r="H245" s="133">
        <v>46.5946</v>
      </c>
      <c r="I245" s="133"/>
      <c r="J245" s="134"/>
      <c r="K245" s="135"/>
      <c r="L245" s="29"/>
      <c r="M245" s="142" t="s">
        <v>62</v>
      </c>
      <c r="N245" s="142">
        <v>40.4255</v>
      </c>
      <c r="O245" s="142">
        <v>46.757800000000003</v>
      </c>
      <c r="P245" s="142">
        <v>46.5946</v>
      </c>
      <c r="Q245" s="142"/>
      <c r="R245" s="143"/>
      <c r="S245" s="144"/>
      <c r="U245" s="41"/>
      <c r="V245" s="42"/>
      <c r="W245" s="43"/>
      <c r="X245" s="29"/>
      <c r="Y245" s="24"/>
      <c r="Z245" s="24"/>
      <c r="AA245" s="27"/>
    </row>
    <row r="246" spans="2:27" ht="13.5" thickBot="1">
      <c r="B246" s="36"/>
      <c r="C246" s="51"/>
      <c r="D246" s="69">
        <v>40</v>
      </c>
      <c r="E246" s="136" t="s">
        <v>62</v>
      </c>
      <c r="F246" s="136">
        <v>38.511600000000001</v>
      </c>
      <c r="G246" s="136">
        <v>45.5867</v>
      </c>
      <c r="H246" s="136">
        <v>45.441499999999998</v>
      </c>
      <c r="I246" s="136"/>
      <c r="J246" s="137"/>
      <c r="K246" s="138"/>
      <c r="L246" s="29"/>
      <c r="M246" s="145" t="s">
        <v>62</v>
      </c>
      <c r="N246" s="145">
        <v>38.511600000000001</v>
      </c>
      <c r="O246" s="145">
        <v>45.5867</v>
      </c>
      <c r="P246" s="145">
        <v>45.441499999999998</v>
      </c>
      <c r="Q246" s="145"/>
      <c r="R246" s="146"/>
      <c r="S246" s="147"/>
      <c r="U246" s="17"/>
      <c r="V246" s="18"/>
      <c r="W246" s="19"/>
      <c r="X246" s="29"/>
      <c r="Z246" s="59"/>
      <c r="AA246" s="55"/>
    </row>
    <row r="247" spans="2:27" ht="12.75">
      <c r="B247" s="36"/>
      <c r="C247" s="29" t="s">
        <v>50</v>
      </c>
      <c r="D247" s="32">
        <v>25</v>
      </c>
      <c r="E247" s="130" t="s">
        <v>62</v>
      </c>
      <c r="F247" s="130">
        <v>43.2624</v>
      </c>
      <c r="G247" s="130">
        <v>49.1098</v>
      </c>
      <c r="H247" s="130">
        <v>49.013500000000001</v>
      </c>
      <c r="I247" s="130"/>
      <c r="J247" s="131"/>
      <c r="K247" s="132"/>
      <c r="L247" s="29"/>
      <c r="M247" s="139" t="s">
        <v>62</v>
      </c>
      <c r="N247" s="139">
        <v>43.2624</v>
      </c>
      <c r="O247" s="139">
        <v>49.1098</v>
      </c>
      <c r="P247" s="139">
        <v>49.013500000000001</v>
      </c>
      <c r="Q247" s="139"/>
      <c r="R247" s="140"/>
      <c r="S247" s="141"/>
      <c r="U247" s="8"/>
      <c r="V247" s="9"/>
      <c r="W247" s="10"/>
      <c r="X247" s="29"/>
      <c r="Y247" s="24"/>
      <c r="Z247" s="24"/>
      <c r="AA247" s="27"/>
    </row>
    <row r="248" spans="2:27" ht="12.75">
      <c r="B248" s="36"/>
      <c r="C248" s="29"/>
      <c r="D248" s="32">
        <v>30</v>
      </c>
      <c r="E248" s="133" t="s">
        <v>62</v>
      </c>
      <c r="F248" s="133">
        <v>42.118299999999998</v>
      </c>
      <c r="G248" s="133">
        <v>48.137300000000003</v>
      </c>
      <c r="H248" s="133">
        <v>48.109299999999998</v>
      </c>
      <c r="I248" s="133"/>
      <c r="J248" s="134"/>
      <c r="K248" s="135"/>
      <c r="L248" s="29"/>
      <c r="M248" s="142" t="s">
        <v>62</v>
      </c>
      <c r="N248" s="142">
        <v>42.118299999999998</v>
      </c>
      <c r="O248" s="142">
        <v>48.137300000000003</v>
      </c>
      <c r="P248" s="142">
        <v>48.109299999999998</v>
      </c>
      <c r="Q248" s="142"/>
      <c r="R248" s="143"/>
      <c r="S248" s="144"/>
      <c r="U248" s="12"/>
      <c r="V248" s="13"/>
      <c r="W248" s="14"/>
      <c r="X248" s="29"/>
      <c r="Y248" s="24"/>
      <c r="Z248" s="24"/>
      <c r="AA248" s="27"/>
    </row>
    <row r="249" spans="2:27" ht="12.75">
      <c r="B249" s="36"/>
      <c r="C249" s="29"/>
      <c r="D249" s="32">
        <v>35</v>
      </c>
      <c r="E249" s="133" t="s">
        <v>62</v>
      </c>
      <c r="F249" s="133">
        <v>40.530500000000004</v>
      </c>
      <c r="G249" s="133">
        <v>46.747</v>
      </c>
      <c r="H249" s="133">
        <v>46.753900000000002</v>
      </c>
      <c r="I249" s="133"/>
      <c r="J249" s="134"/>
      <c r="K249" s="135"/>
      <c r="L249" s="29"/>
      <c r="M249" s="142" t="s">
        <v>62</v>
      </c>
      <c r="N249" s="142">
        <v>40.530500000000004</v>
      </c>
      <c r="O249" s="142">
        <v>46.747</v>
      </c>
      <c r="P249" s="142">
        <v>46.753900000000002</v>
      </c>
      <c r="Q249" s="142"/>
      <c r="R249" s="143"/>
      <c r="S249" s="144"/>
      <c r="U249" s="12"/>
      <c r="V249" s="13"/>
      <c r="W249" s="14"/>
      <c r="X249" s="29"/>
      <c r="Y249" s="24"/>
      <c r="Z249" s="24"/>
      <c r="AA249" s="27"/>
    </row>
    <row r="250" spans="2:27" ht="13.5" thickBot="1">
      <c r="B250" s="36"/>
      <c r="C250" s="51"/>
      <c r="D250" s="69">
        <v>40</v>
      </c>
      <c r="E250" s="136" t="s">
        <v>62</v>
      </c>
      <c r="F250" s="136">
        <v>38.591999999999999</v>
      </c>
      <c r="G250" s="136">
        <v>45.612900000000003</v>
      </c>
      <c r="H250" s="136">
        <v>45.556399999999996</v>
      </c>
      <c r="I250" s="136"/>
      <c r="J250" s="137"/>
      <c r="K250" s="138"/>
      <c r="L250" s="29"/>
      <c r="M250" s="145" t="s">
        <v>62</v>
      </c>
      <c r="N250" s="145">
        <v>38.591999999999999</v>
      </c>
      <c r="O250" s="145">
        <v>45.612900000000003</v>
      </c>
      <c r="P250" s="145">
        <v>45.556399999999996</v>
      </c>
      <c r="Q250" s="145"/>
      <c r="R250" s="146"/>
      <c r="S250" s="147"/>
      <c r="U250" s="12"/>
      <c r="V250" s="13"/>
      <c r="W250" s="14"/>
      <c r="X250" s="29"/>
      <c r="Y250" s="24"/>
      <c r="Z250" s="24"/>
      <c r="AA250" s="27"/>
    </row>
    <row r="251" spans="2:27" ht="12.75">
      <c r="B251" s="36"/>
      <c r="C251" s="29" t="s">
        <v>51</v>
      </c>
      <c r="D251" s="32">
        <v>25</v>
      </c>
      <c r="E251" s="131" t="s">
        <v>62</v>
      </c>
      <c r="F251" s="131">
        <v>43.743299999999998</v>
      </c>
      <c r="G251" s="131">
        <v>48.826599999999999</v>
      </c>
      <c r="H251" s="131">
        <v>49.203699999999998</v>
      </c>
      <c r="I251" s="131"/>
      <c r="J251" s="131"/>
      <c r="K251" s="132"/>
      <c r="L251" s="29"/>
      <c r="M251" s="140" t="s">
        <v>62</v>
      </c>
      <c r="N251" s="140">
        <v>43.743299999999998</v>
      </c>
      <c r="O251" s="140">
        <v>48.826599999999999</v>
      </c>
      <c r="P251" s="140">
        <v>49.203699999999998</v>
      </c>
      <c r="Q251" s="140"/>
      <c r="R251" s="140"/>
      <c r="S251" s="141"/>
      <c r="U251" s="8"/>
      <c r="V251" s="9"/>
      <c r="W251" s="10"/>
      <c r="X251" s="29"/>
      <c r="Y251" s="24"/>
      <c r="Z251" s="24"/>
      <c r="AA251" s="27"/>
    </row>
    <row r="252" spans="2:27" ht="12.75">
      <c r="B252" s="36"/>
      <c r="C252" s="29"/>
      <c r="D252" s="32">
        <v>30</v>
      </c>
      <c r="E252" s="134" t="s">
        <v>62</v>
      </c>
      <c r="F252" s="134">
        <v>42.475999999999999</v>
      </c>
      <c r="G252" s="134">
        <v>47.6526</v>
      </c>
      <c r="H252" s="134">
        <v>48.0214</v>
      </c>
      <c r="I252" s="134"/>
      <c r="J252" s="134"/>
      <c r="K252" s="135"/>
      <c r="L252" s="29"/>
      <c r="M252" s="143" t="s">
        <v>62</v>
      </c>
      <c r="N252" s="143">
        <v>42.475999999999999</v>
      </c>
      <c r="O252" s="143">
        <v>47.6526</v>
      </c>
      <c r="P252" s="143">
        <v>48.0214</v>
      </c>
      <c r="Q252" s="143"/>
      <c r="R252" s="143"/>
      <c r="S252" s="144"/>
      <c r="U252" s="41"/>
      <c r="V252" s="42"/>
      <c r="W252" s="43"/>
      <c r="X252" s="29"/>
      <c r="Y252" s="24"/>
      <c r="Z252" s="24"/>
      <c r="AA252" s="27"/>
    </row>
    <row r="253" spans="2:27" ht="12.75">
      <c r="B253" s="36"/>
      <c r="C253" s="29"/>
      <c r="D253" s="32">
        <v>35</v>
      </c>
      <c r="E253" s="134" t="s">
        <v>62</v>
      </c>
      <c r="F253" s="134">
        <v>40.8003</v>
      </c>
      <c r="G253" s="134">
        <v>46.360199999999999</v>
      </c>
      <c r="H253" s="134">
        <v>46.7224</v>
      </c>
      <c r="I253" s="134"/>
      <c r="J253" s="134"/>
      <c r="K253" s="135"/>
      <c r="L253" s="29"/>
      <c r="M253" s="143" t="s">
        <v>62</v>
      </c>
      <c r="N253" s="143">
        <v>40.8003</v>
      </c>
      <c r="O253" s="143">
        <v>46.360199999999999</v>
      </c>
      <c r="P253" s="143">
        <v>46.7224</v>
      </c>
      <c r="Q253" s="143"/>
      <c r="R253" s="143"/>
      <c r="S253" s="144"/>
      <c r="U253" s="41"/>
      <c r="V253" s="42"/>
      <c r="W253" s="43"/>
      <c r="X253" s="29"/>
      <c r="Y253" s="24"/>
      <c r="Z253" s="24"/>
      <c r="AA253" s="27"/>
    </row>
    <row r="254" spans="2:27" ht="13.5" thickBot="1">
      <c r="B254" s="36"/>
      <c r="C254" s="51"/>
      <c r="D254" s="69">
        <v>40</v>
      </c>
      <c r="E254" s="137" t="s">
        <v>62</v>
      </c>
      <c r="F254" s="137">
        <v>38.802999999999997</v>
      </c>
      <c r="G254" s="137">
        <v>45.125900000000001</v>
      </c>
      <c r="H254" s="137">
        <v>45.442300000000003</v>
      </c>
      <c r="I254" s="137"/>
      <c r="J254" s="137"/>
      <c r="K254" s="138"/>
      <c r="L254" s="29"/>
      <c r="M254" s="146" t="s">
        <v>62</v>
      </c>
      <c r="N254" s="146">
        <v>38.802999999999997</v>
      </c>
      <c r="O254" s="146">
        <v>45.125900000000001</v>
      </c>
      <c r="P254" s="146">
        <v>45.442300000000003</v>
      </c>
      <c r="Q254" s="146"/>
      <c r="R254" s="146"/>
      <c r="S254" s="147"/>
      <c r="U254" s="41"/>
      <c r="V254" s="42"/>
      <c r="W254" s="43"/>
      <c r="X254" s="29"/>
      <c r="Y254" s="24"/>
      <c r="Z254" s="24"/>
      <c r="AA254" s="27"/>
    </row>
    <row r="255" spans="2:27" ht="12.75">
      <c r="B255" s="36"/>
      <c r="C255" s="29" t="s">
        <v>52</v>
      </c>
      <c r="D255" s="32">
        <v>25</v>
      </c>
      <c r="E255" s="131" t="s">
        <v>62</v>
      </c>
      <c r="F255" s="131">
        <v>42.927199999999999</v>
      </c>
      <c r="G255" s="131">
        <v>47.595399999999998</v>
      </c>
      <c r="H255" s="131">
        <v>48.140700000000002</v>
      </c>
      <c r="I255" s="131"/>
      <c r="J255" s="131"/>
      <c r="K255" s="132"/>
      <c r="L255" s="29"/>
      <c r="M255" s="140" t="s">
        <v>62</v>
      </c>
      <c r="N255" s="140">
        <v>42.927199999999999</v>
      </c>
      <c r="O255" s="140">
        <v>47.595399999999998</v>
      </c>
      <c r="P255" s="140">
        <v>48.140700000000002</v>
      </c>
      <c r="Q255" s="140"/>
      <c r="R255" s="140"/>
      <c r="S255" s="141"/>
      <c r="U255" s="8"/>
      <c r="V255" s="9"/>
      <c r="W255" s="10"/>
      <c r="X255" s="29"/>
      <c r="Y255" s="24"/>
      <c r="Z255" s="24"/>
      <c r="AA255" s="27"/>
    </row>
    <row r="256" spans="2:27" ht="12.75">
      <c r="B256" s="36"/>
      <c r="C256" s="29"/>
      <c r="D256" s="32">
        <v>30</v>
      </c>
      <c r="E256" s="134" t="s">
        <v>62</v>
      </c>
      <c r="F256" s="134">
        <v>41.818800000000003</v>
      </c>
      <c r="G256" s="134">
        <v>46.613199999999999</v>
      </c>
      <c r="H256" s="134">
        <v>47.026200000000003</v>
      </c>
      <c r="I256" s="134"/>
      <c r="J256" s="134"/>
      <c r="K256" s="135"/>
      <c r="L256" s="29"/>
      <c r="M256" s="143" t="s">
        <v>62</v>
      </c>
      <c r="N256" s="143">
        <v>41.818800000000003</v>
      </c>
      <c r="O256" s="143">
        <v>46.613199999999999</v>
      </c>
      <c r="P256" s="143">
        <v>47.026200000000003</v>
      </c>
      <c r="Q256" s="143"/>
      <c r="R256" s="143"/>
      <c r="S256" s="144"/>
      <c r="U256" s="17"/>
      <c r="V256" s="18"/>
      <c r="W256" s="19"/>
      <c r="X256" s="29"/>
      <c r="Y256" s="24"/>
      <c r="Z256" s="24"/>
      <c r="AA256" s="27"/>
    </row>
    <row r="257" spans="1:27" ht="12.75">
      <c r="B257" s="36"/>
      <c r="C257" s="29"/>
      <c r="D257" s="32">
        <v>35</v>
      </c>
      <c r="E257" s="134" t="s">
        <v>62</v>
      </c>
      <c r="F257" s="134">
        <v>40.2973</v>
      </c>
      <c r="G257" s="134">
        <v>45.636499999999998</v>
      </c>
      <c r="H257" s="134">
        <v>46.000399999999999</v>
      </c>
      <c r="I257" s="134"/>
      <c r="J257" s="134"/>
      <c r="K257" s="135"/>
      <c r="L257" s="29"/>
      <c r="M257" s="143" t="s">
        <v>62</v>
      </c>
      <c r="N257" s="143">
        <v>40.2973</v>
      </c>
      <c r="O257" s="143">
        <v>45.636499999999998</v>
      </c>
      <c r="P257" s="143">
        <v>46.000399999999999</v>
      </c>
      <c r="Q257" s="143"/>
      <c r="R257" s="143"/>
      <c r="S257" s="144"/>
      <c r="U257" s="41"/>
      <c r="V257" s="44"/>
      <c r="W257" s="43"/>
      <c r="X257" s="29"/>
      <c r="Y257" s="24"/>
      <c r="Z257" s="24"/>
      <c r="AA257" s="27"/>
    </row>
    <row r="258" spans="1:27" ht="13.5" thickBot="1">
      <c r="B258" s="36"/>
      <c r="C258" s="51"/>
      <c r="D258" s="69">
        <v>40</v>
      </c>
      <c r="E258" s="137" t="s">
        <v>62</v>
      </c>
      <c r="F258" s="137">
        <v>38.444499999999998</v>
      </c>
      <c r="G258" s="137">
        <v>44.628399999999999</v>
      </c>
      <c r="H258" s="137">
        <v>44.8384</v>
      </c>
      <c r="I258" s="137"/>
      <c r="J258" s="137"/>
      <c r="K258" s="138"/>
      <c r="L258" s="29"/>
      <c r="M258" s="146" t="s">
        <v>62</v>
      </c>
      <c r="N258" s="146">
        <v>38.444499999999998</v>
      </c>
      <c r="O258" s="146">
        <v>44.628399999999999</v>
      </c>
      <c r="P258" s="146">
        <v>44.8384</v>
      </c>
      <c r="Q258" s="146"/>
      <c r="R258" s="146"/>
      <c r="S258" s="147"/>
      <c r="U258" s="41"/>
      <c r="V258" s="42"/>
      <c r="W258" s="43"/>
      <c r="X258" s="29"/>
      <c r="Y258" s="24"/>
      <c r="Z258" s="24"/>
      <c r="AA258" s="27"/>
    </row>
    <row r="259" spans="1:27" ht="12.75">
      <c r="B259" s="36"/>
      <c r="C259" s="29" t="s">
        <v>12</v>
      </c>
      <c r="D259" s="32">
        <v>25</v>
      </c>
      <c r="E259" s="134">
        <v>1494.8430000000001</v>
      </c>
      <c r="F259" s="134" t="s">
        <v>62</v>
      </c>
      <c r="G259" s="134" t="s">
        <v>62</v>
      </c>
      <c r="H259" s="134" t="s">
        <v>62</v>
      </c>
      <c r="I259" s="134">
        <v>32521.4</v>
      </c>
      <c r="J259" s="134">
        <v>86.55</v>
      </c>
      <c r="K259" s="135">
        <v>647.62</v>
      </c>
      <c r="L259" s="29"/>
      <c r="M259" s="143">
        <v>1494.7819999999999</v>
      </c>
      <c r="N259" s="143" t="s">
        <v>62</v>
      </c>
      <c r="O259" s="143" t="s">
        <v>62</v>
      </c>
      <c r="P259" s="143" t="s">
        <v>62</v>
      </c>
      <c r="Q259" s="143">
        <v>32762.32</v>
      </c>
      <c r="R259" s="143">
        <v>120.79</v>
      </c>
      <c r="S259" s="144">
        <v>700.03</v>
      </c>
      <c r="U259" s="8"/>
      <c r="V259" s="9"/>
      <c r="W259" s="10"/>
      <c r="X259" s="29"/>
      <c r="Y259" s="59">
        <f>GEOMEAN(Q259:Q262)/GEOMEAN(I259:I262)</f>
        <v>1.0347890608507744</v>
      </c>
      <c r="Z259" s="59">
        <f>GEOMEAN(R259:R262)/GEOMEAN(J259:J262)</f>
        <v>1.1514681246915281</v>
      </c>
      <c r="AA259" s="55">
        <f>GEOMEAN(S259:S262)/GEOMEAN(K259:K262)</f>
        <v>1.0545309654525941</v>
      </c>
    </row>
    <row r="260" spans="1:27" ht="12.75">
      <c r="B260" s="36"/>
      <c r="C260" s="29"/>
      <c r="D260" s="32">
        <v>30</v>
      </c>
      <c r="E260" s="134">
        <v>612.40200000000004</v>
      </c>
      <c r="F260" s="134" t="s">
        <v>62</v>
      </c>
      <c r="G260" s="134" t="s">
        <v>62</v>
      </c>
      <c r="H260" s="134" t="s">
        <v>62</v>
      </c>
      <c r="I260" s="134">
        <v>25763.74</v>
      </c>
      <c r="J260" s="134">
        <v>79.87</v>
      </c>
      <c r="K260" s="135">
        <v>634.59</v>
      </c>
      <c r="L260" s="29"/>
      <c r="M260" s="143">
        <v>612.34100000000001</v>
      </c>
      <c r="N260" s="143" t="s">
        <v>62</v>
      </c>
      <c r="O260" s="143" t="s">
        <v>62</v>
      </c>
      <c r="P260" s="143" t="s">
        <v>62</v>
      </c>
      <c r="Q260" s="143">
        <v>26089.89</v>
      </c>
      <c r="R260" s="143">
        <v>83.67</v>
      </c>
      <c r="S260" s="144">
        <v>635.05999999999995</v>
      </c>
      <c r="U260" s="41"/>
      <c r="V260" s="42"/>
      <c r="W260" s="43"/>
      <c r="X260" s="29"/>
      <c r="Y260" s="24"/>
      <c r="Z260" s="24"/>
      <c r="AA260" s="27"/>
    </row>
    <row r="261" spans="1:27" ht="12.75">
      <c r="B261" s="36"/>
      <c r="C261" s="29"/>
      <c r="D261" s="32">
        <v>35</v>
      </c>
      <c r="E261" s="134">
        <v>311.62</v>
      </c>
      <c r="F261" s="134" t="s">
        <v>62</v>
      </c>
      <c r="G261" s="134" t="s">
        <v>62</v>
      </c>
      <c r="H261" s="134" t="s">
        <v>62</v>
      </c>
      <c r="I261" s="134">
        <v>22967.35</v>
      </c>
      <c r="J261" s="134">
        <v>83.66</v>
      </c>
      <c r="K261" s="135">
        <v>635.59</v>
      </c>
      <c r="L261" s="29"/>
      <c r="M261" s="143">
        <v>311.55900000000003</v>
      </c>
      <c r="N261" s="143" t="s">
        <v>62</v>
      </c>
      <c r="O261" s="143" t="s">
        <v>62</v>
      </c>
      <c r="P261" s="143" t="s">
        <v>62</v>
      </c>
      <c r="Q261" s="143">
        <v>25881.41</v>
      </c>
      <c r="R261" s="143">
        <v>90.74</v>
      </c>
      <c r="S261" s="144">
        <v>717.89</v>
      </c>
      <c r="U261" s="17"/>
      <c r="V261" s="18"/>
      <c r="W261" s="19"/>
      <c r="X261" s="29"/>
      <c r="Y261" s="24"/>
      <c r="Z261" s="24"/>
      <c r="AA261" s="27"/>
    </row>
    <row r="262" spans="1:27" ht="13.5" thickBot="1">
      <c r="B262" s="50"/>
      <c r="C262" s="51"/>
      <c r="D262" s="69">
        <v>40</v>
      </c>
      <c r="E262" s="137">
        <v>173.309</v>
      </c>
      <c r="F262" s="137" t="s">
        <v>62</v>
      </c>
      <c r="G262" s="137" t="s">
        <v>62</v>
      </c>
      <c r="H262" s="137" t="s">
        <v>62</v>
      </c>
      <c r="I262" s="137">
        <v>21733.97</v>
      </c>
      <c r="J262" s="137">
        <v>71.819999999999993</v>
      </c>
      <c r="K262" s="138">
        <v>646.04999999999995</v>
      </c>
      <c r="L262" s="29"/>
      <c r="M262" s="146">
        <v>173.24799999999999</v>
      </c>
      <c r="N262" s="146" t="s">
        <v>62</v>
      </c>
      <c r="O262" s="146" t="s">
        <v>62</v>
      </c>
      <c r="P262" s="146" t="s">
        <v>62</v>
      </c>
      <c r="Q262" s="146">
        <v>21677.07</v>
      </c>
      <c r="R262" s="146">
        <v>79.62</v>
      </c>
      <c r="S262" s="147">
        <v>653.89</v>
      </c>
      <c r="U262" s="82"/>
      <c r="V262" s="83"/>
      <c r="W262" s="84"/>
      <c r="X262" s="29"/>
      <c r="Y262" s="47"/>
      <c r="Z262" s="47"/>
      <c r="AA262" s="52"/>
    </row>
    <row r="263" spans="1:27" ht="12.75">
      <c r="A263" s="20" t="s">
        <v>19</v>
      </c>
      <c r="B263" s="35" t="s">
        <v>55</v>
      </c>
      <c r="C263" s="28" t="s">
        <v>26</v>
      </c>
      <c r="D263" s="31">
        <v>25</v>
      </c>
      <c r="E263" s="130">
        <v>2440.0616</v>
      </c>
      <c r="F263" s="130">
        <v>39.862699999999997</v>
      </c>
      <c r="G263" s="130">
        <v>46.750500000000002</v>
      </c>
      <c r="H263" s="130">
        <v>46.033000000000001</v>
      </c>
      <c r="I263" s="130"/>
      <c r="J263" s="131"/>
      <c r="K263" s="132"/>
      <c r="L263" s="29"/>
      <c r="M263" s="139">
        <v>2440.0608000000002</v>
      </c>
      <c r="N263" s="139">
        <v>39.862699999999997</v>
      </c>
      <c r="O263" s="139">
        <v>46.750500000000002</v>
      </c>
      <c r="P263" s="139">
        <v>46.033000000000001</v>
      </c>
      <c r="Q263" s="139"/>
      <c r="R263" s="140"/>
      <c r="S263" s="141"/>
      <c r="U263" s="8">
        <f>bdrate($E263:$E266,F263:F266,$M263:$M266,N263:N266)</f>
        <v>-1.4482313451802398E-6</v>
      </c>
      <c r="V263" s="9">
        <f>bdrate($E263:$E266,G263:G266,$M263:$M266,O263:O266)</f>
        <v>-1.3531254818843763E-6</v>
      </c>
      <c r="W263" s="10">
        <f>bdrate($E263:$E266,H263:H266,$M263:$M266,P263:P266)</f>
        <v>-1.3366623888844131E-6</v>
      </c>
      <c r="X263" s="29"/>
      <c r="Y263" s="22"/>
      <c r="Z263" s="22"/>
      <c r="AA263" s="26"/>
    </row>
    <row r="264" spans="1:27" ht="12.75">
      <c r="B264" s="36"/>
      <c r="C264" s="29"/>
      <c r="D264" s="32">
        <v>30</v>
      </c>
      <c r="E264" s="133">
        <v>955.89840000000004</v>
      </c>
      <c r="F264" s="133">
        <v>37.901400000000002</v>
      </c>
      <c r="G264" s="133">
        <v>45.310899999999997</v>
      </c>
      <c r="H264" s="133">
        <v>44.552900000000001</v>
      </c>
      <c r="I264" s="133"/>
      <c r="J264" s="134"/>
      <c r="K264" s="135"/>
      <c r="L264" s="29"/>
      <c r="M264" s="142">
        <v>955.89760000000001</v>
      </c>
      <c r="N264" s="142">
        <v>37.901400000000002</v>
      </c>
      <c r="O264" s="142">
        <v>45.310899999999997</v>
      </c>
      <c r="P264" s="142">
        <v>44.552900000000001</v>
      </c>
      <c r="Q264" s="142"/>
      <c r="R264" s="143"/>
      <c r="S264" s="144"/>
      <c r="U264" s="41"/>
      <c r="V264" s="42"/>
      <c r="W264" s="43"/>
      <c r="X264" s="29"/>
      <c r="Y264" s="24"/>
      <c r="Z264" s="24"/>
      <c r="AA264" s="27"/>
    </row>
    <row r="265" spans="1:27" ht="12.75">
      <c r="B265" s="36"/>
      <c r="C265" s="29"/>
      <c r="D265" s="32">
        <v>35</v>
      </c>
      <c r="E265" s="133">
        <v>461.74079999999998</v>
      </c>
      <c r="F265" s="133">
        <v>35.8827</v>
      </c>
      <c r="G265" s="133">
        <v>43.552599999999998</v>
      </c>
      <c r="H265" s="133">
        <v>42.826900000000002</v>
      </c>
      <c r="I265" s="133"/>
      <c r="J265" s="134"/>
      <c r="K265" s="135"/>
      <c r="L265" s="29"/>
      <c r="M265" s="142">
        <v>461.74</v>
      </c>
      <c r="N265" s="142">
        <v>35.8827</v>
      </c>
      <c r="O265" s="142">
        <v>43.552599999999998</v>
      </c>
      <c r="P265" s="142">
        <v>42.826900000000002</v>
      </c>
      <c r="Q265" s="142"/>
      <c r="R265" s="143"/>
      <c r="S265" s="144"/>
      <c r="U265" s="41"/>
      <c r="V265" s="42"/>
      <c r="W265" s="43"/>
      <c r="X265" s="29"/>
      <c r="Y265" s="24"/>
      <c r="Z265" s="24"/>
      <c r="AA265" s="27"/>
    </row>
    <row r="266" spans="1:27" ht="13.5" thickBot="1">
      <c r="B266" s="36"/>
      <c r="C266" s="29"/>
      <c r="D266" s="32">
        <v>40</v>
      </c>
      <c r="E266" s="136">
        <v>241.04560000000001</v>
      </c>
      <c r="F266" s="136">
        <v>33.763199999999998</v>
      </c>
      <c r="G266" s="136">
        <v>42.313600000000001</v>
      </c>
      <c r="H266" s="136">
        <v>41.620699999999999</v>
      </c>
      <c r="I266" s="136"/>
      <c r="J266" s="137"/>
      <c r="K266" s="138"/>
      <c r="L266" s="29"/>
      <c r="M266" s="145">
        <v>241.04480000000001</v>
      </c>
      <c r="N266" s="145">
        <v>33.763199999999998</v>
      </c>
      <c r="O266" s="145">
        <v>42.313600000000001</v>
      </c>
      <c r="P266" s="145">
        <v>41.620699999999999</v>
      </c>
      <c r="Q266" s="145"/>
      <c r="R266" s="146"/>
      <c r="S266" s="147"/>
      <c r="U266" s="41"/>
      <c r="V266" s="42"/>
      <c r="W266" s="43"/>
      <c r="X266" s="29"/>
      <c r="Y266" s="24"/>
      <c r="Z266" s="24"/>
      <c r="AA266" s="27"/>
    </row>
    <row r="267" spans="1:27" ht="12.75">
      <c r="B267" s="36"/>
      <c r="C267" s="28" t="s">
        <v>27</v>
      </c>
      <c r="D267" s="31">
        <v>25</v>
      </c>
      <c r="E267" s="133">
        <v>701.82159999999999</v>
      </c>
      <c r="F267" s="133">
        <v>38.981299999999997</v>
      </c>
      <c r="G267" s="133">
        <v>46.596899999999998</v>
      </c>
      <c r="H267" s="133">
        <v>44.7286</v>
      </c>
      <c r="I267" s="133"/>
      <c r="J267" s="134"/>
      <c r="K267" s="135"/>
      <c r="L267" s="29"/>
      <c r="M267" s="142">
        <v>701.82159999999999</v>
      </c>
      <c r="N267" s="142">
        <v>38.981299999999997</v>
      </c>
      <c r="O267" s="142">
        <v>46.596899999999998</v>
      </c>
      <c r="P267" s="142">
        <v>44.7286</v>
      </c>
      <c r="Q267" s="142"/>
      <c r="R267" s="143"/>
      <c r="S267" s="144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</row>
    <row r="268" spans="1:27" ht="12.75">
      <c r="B268" s="36"/>
      <c r="C268" s="29"/>
      <c r="D268" s="32">
        <v>30</v>
      </c>
      <c r="E268" s="133">
        <v>195.77359999999999</v>
      </c>
      <c r="F268" s="133">
        <v>37.133499999999998</v>
      </c>
      <c r="G268" s="133">
        <v>45.156799999999997</v>
      </c>
      <c r="H268" s="133">
        <v>43.098700000000001</v>
      </c>
      <c r="I268" s="133"/>
      <c r="J268" s="134"/>
      <c r="K268" s="135"/>
      <c r="L268" s="29"/>
      <c r="M268" s="142">
        <v>195.77359999999999</v>
      </c>
      <c r="N268" s="142">
        <v>37.133499999999998</v>
      </c>
      <c r="O268" s="142">
        <v>45.156799999999997</v>
      </c>
      <c r="P268" s="142">
        <v>43.098700000000001</v>
      </c>
      <c r="Q268" s="142"/>
      <c r="R268" s="143"/>
      <c r="S268" s="144"/>
      <c r="U268" s="17"/>
      <c r="V268" s="18"/>
      <c r="W268" s="19"/>
      <c r="X268" s="29"/>
      <c r="Y268" s="24"/>
      <c r="Z268" s="24"/>
      <c r="AA268" s="27"/>
    </row>
    <row r="269" spans="1:27" ht="12.75">
      <c r="B269" s="36"/>
      <c r="C269" s="29"/>
      <c r="D269" s="32">
        <v>35</v>
      </c>
      <c r="E269" s="133">
        <v>75.256799999999998</v>
      </c>
      <c r="F269" s="133">
        <v>35.237400000000001</v>
      </c>
      <c r="G269" s="133">
        <v>43.679000000000002</v>
      </c>
      <c r="H269" s="133">
        <v>41.817900000000002</v>
      </c>
      <c r="I269" s="133"/>
      <c r="J269" s="134"/>
      <c r="K269" s="135"/>
      <c r="L269" s="29"/>
      <c r="M269" s="142">
        <v>75.256799999999998</v>
      </c>
      <c r="N269" s="142">
        <v>35.237400000000001</v>
      </c>
      <c r="O269" s="142">
        <v>43.679000000000002</v>
      </c>
      <c r="P269" s="142">
        <v>41.817900000000002</v>
      </c>
      <c r="Q269" s="142"/>
      <c r="R269" s="143"/>
      <c r="S269" s="144"/>
      <c r="U269" s="41"/>
      <c r="V269" s="44"/>
      <c r="W269" s="43"/>
      <c r="X269" s="29"/>
      <c r="Y269" s="24"/>
      <c r="Z269" s="24"/>
      <c r="AA269" s="27"/>
    </row>
    <row r="270" spans="1:27" ht="13.5" thickBot="1">
      <c r="B270" s="36"/>
      <c r="C270" s="29"/>
      <c r="D270" s="32">
        <v>40</v>
      </c>
      <c r="E270" s="133">
        <v>33.306399999999996</v>
      </c>
      <c r="F270" s="133">
        <v>33.258600000000001</v>
      </c>
      <c r="G270" s="133">
        <v>42.498100000000001</v>
      </c>
      <c r="H270" s="133">
        <v>40.8703</v>
      </c>
      <c r="I270" s="133"/>
      <c r="J270" s="134"/>
      <c r="K270" s="135"/>
      <c r="L270" s="29"/>
      <c r="M270" s="142">
        <v>33.306399999999996</v>
      </c>
      <c r="N270" s="142">
        <v>33.258600000000001</v>
      </c>
      <c r="O270" s="142">
        <v>42.498100000000001</v>
      </c>
      <c r="P270" s="142">
        <v>40.8703</v>
      </c>
      <c r="Q270" s="142"/>
      <c r="R270" s="143"/>
      <c r="S270" s="144"/>
      <c r="U270" s="41"/>
      <c r="V270" s="42"/>
      <c r="W270" s="43"/>
      <c r="X270" s="29"/>
      <c r="Y270" s="24"/>
      <c r="Z270" s="24"/>
      <c r="AA270" s="27"/>
    </row>
    <row r="271" spans="1:27" ht="12.75">
      <c r="B271" s="36"/>
      <c r="C271" s="28" t="s">
        <v>28</v>
      </c>
      <c r="D271" s="31">
        <v>25</v>
      </c>
      <c r="E271" s="130">
        <v>691.41759999999999</v>
      </c>
      <c r="F271" s="130">
        <v>38.914299999999997</v>
      </c>
      <c r="G271" s="130">
        <v>46.420200000000001</v>
      </c>
      <c r="H271" s="130">
        <v>46.125999999999998</v>
      </c>
      <c r="I271" s="130"/>
      <c r="J271" s="131"/>
      <c r="K271" s="132"/>
      <c r="L271" s="29"/>
      <c r="M271" s="139">
        <v>691.41759999999999</v>
      </c>
      <c r="N271" s="139">
        <v>38.914299999999997</v>
      </c>
      <c r="O271" s="139">
        <v>46.420200000000001</v>
      </c>
      <c r="P271" s="139">
        <v>46.125999999999998</v>
      </c>
      <c r="Q271" s="139"/>
      <c r="R271" s="140"/>
      <c r="S271" s="141"/>
      <c r="U271" s="8">
        <f>bdrate($E271:$E274,F271:F274,$M271:$M274,N271:N274)</f>
        <v>0</v>
      </c>
      <c r="V271" s="9">
        <f>bdrate($E271:$E274,G271:G274,$M271:$M274,O271:O274)</f>
        <v>0</v>
      </c>
      <c r="W271" s="10">
        <f>bdrate($E271:$E274,H271:H274,$M271:$M274,P271:P274)</f>
        <v>0</v>
      </c>
      <c r="X271" s="29"/>
      <c r="Y271" s="24"/>
      <c r="Z271" s="24"/>
      <c r="AA271" s="27"/>
    </row>
    <row r="272" spans="1:27" ht="12.75">
      <c r="B272" s="36"/>
      <c r="C272" s="29"/>
      <c r="D272" s="32">
        <v>30</v>
      </c>
      <c r="E272" s="133">
        <v>192.9984</v>
      </c>
      <c r="F272" s="133">
        <v>36.947499999999998</v>
      </c>
      <c r="G272" s="133">
        <v>44.992899999999999</v>
      </c>
      <c r="H272" s="133">
        <v>44.721899999999998</v>
      </c>
      <c r="I272" s="133"/>
      <c r="J272" s="134"/>
      <c r="K272" s="135"/>
      <c r="L272" s="29"/>
      <c r="M272" s="142">
        <v>192.9984</v>
      </c>
      <c r="N272" s="142">
        <v>36.947499999999998</v>
      </c>
      <c r="O272" s="142">
        <v>44.992899999999999</v>
      </c>
      <c r="P272" s="142">
        <v>44.721899999999998</v>
      </c>
      <c r="Q272" s="142"/>
      <c r="R272" s="143"/>
      <c r="S272" s="144"/>
      <c r="U272" s="41"/>
      <c r="V272" s="42"/>
      <c r="W272" s="43"/>
      <c r="X272" s="29"/>
      <c r="Y272" s="24"/>
      <c r="Z272" s="24"/>
      <c r="AA272" s="27"/>
    </row>
    <row r="273" spans="2:27" ht="12.75">
      <c r="B273" s="36"/>
      <c r="C273" s="29"/>
      <c r="D273" s="32">
        <v>35</v>
      </c>
      <c r="E273" s="133">
        <v>73.619200000000006</v>
      </c>
      <c r="F273" s="133">
        <v>34.971200000000003</v>
      </c>
      <c r="G273" s="133">
        <v>43.481900000000003</v>
      </c>
      <c r="H273" s="133">
        <v>43.124899999999997</v>
      </c>
      <c r="I273" s="133"/>
      <c r="J273" s="134"/>
      <c r="K273" s="135"/>
      <c r="L273" s="29"/>
      <c r="M273" s="142">
        <v>73.619200000000006</v>
      </c>
      <c r="N273" s="142">
        <v>34.971200000000003</v>
      </c>
      <c r="O273" s="142">
        <v>43.481900000000003</v>
      </c>
      <c r="P273" s="142">
        <v>43.124899999999997</v>
      </c>
      <c r="Q273" s="142"/>
      <c r="R273" s="143"/>
      <c r="S273" s="144"/>
      <c r="U273" s="17"/>
      <c r="V273" s="18"/>
      <c r="W273" s="19"/>
      <c r="X273" s="29"/>
      <c r="Y273" s="24"/>
      <c r="Z273" s="24"/>
      <c r="AA273" s="27"/>
    </row>
    <row r="274" spans="2:27" ht="13.5" thickBot="1">
      <c r="B274" s="36"/>
      <c r="C274" s="51"/>
      <c r="D274" s="69">
        <v>40</v>
      </c>
      <c r="E274" s="136">
        <v>31.4008</v>
      </c>
      <c r="F274" s="136">
        <v>32.947899999999997</v>
      </c>
      <c r="G274" s="136">
        <v>42.308999999999997</v>
      </c>
      <c r="H274" s="136">
        <v>41.925899999999999</v>
      </c>
      <c r="I274" s="136"/>
      <c r="J274" s="137"/>
      <c r="K274" s="138"/>
      <c r="L274" s="29"/>
      <c r="M274" s="145">
        <v>31.4008</v>
      </c>
      <c r="N274" s="145">
        <v>32.947899999999997</v>
      </c>
      <c r="O274" s="145">
        <v>42.308999999999997</v>
      </c>
      <c r="P274" s="145">
        <v>41.925899999999999</v>
      </c>
      <c r="Q274" s="145"/>
      <c r="R274" s="146"/>
      <c r="S274" s="147"/>
      <c r="U274" s="41"/>
      <c r="V274" s="42"/>
      <c r="W274" s="43"/>
      <c r="X274" s="29"/>
      <c r="Y274" s="24"/>
      <c r="Z274" s="24"/>
      <c r="AA274" s="27"/>
    </row>
    <row r="275" spans="2:27" ht="12.75">
      <c r="B275" s="36"/>
      <c r="C275" s="28" t="s">
        <v>29</v>
      </c>
      <c r="D275" s="31">
        <v>34</v>
      </c>
      <c r="E275" s="130">
        <v>162.96080000000001</v>
      </c>
      <c r="F275" s="130">
        <v>43.912700000000001</v>
      </c>
      <c r="G275" s="130"/>
      <c r="H275" s="130"/>
      <c r="I275" s="130"/>
      <c r="J275" s="131"/>
      <c r="K275" s="132"/>
      <c r="L275" s="29"/>
      <c r="M275" s="139">
        <v>162.96080000000001</v>
      </c>
      <c r="N275" s="139">
        <v>43.912700000000001</v>
      </c>
      <c r="O275" s="139"/>
      <c r="P275" s="139"/>
      <c r="Q275" s="139"/>
      <c r="R275" s="140"/>
      <c r="S275" s="141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</row>
    <row r="276" spans="2:27" ht="12.75">
      <c r="B276" s="36"/>
      <c r="C276" s="29"/>
      <c r="D276" s="32">
        <v>39</v>
      </c>
      <c r="E276" s="133">
        <v>49.723999999999997</v>
      </c>
      <c r="F276" s="133">
        <v>40.968200000000003</v>
      </c>
      <c r="G276" s="133"/>
      <c r="H276" s="133"/>
      <c r="I276" s="133"/>
      <c r="J276" s="134"/>
      <c r="K276" s="135"/>
      <c r="L276" s="29"/>
      <c r="M276" s="142">
        <v>49.723999999999997</v>
      </c>
      <c r="N276" s="142">
        <v>40.968200000000003</v>
      </c>
      <c r="O276" s="142"/>
      <c r="P276" s="142"/>
      <c r="Q276" s="142"/>
      <c r="R276" s="143"/>
      <c r="S276" s="144"/>
      <c r="U276" s="41"/>
      <c r="V276" s="42"/>
      <c r="W276" s="43"/>
      <c r="X276" s="29"/>
      <c r="Y276" s="24"/>
      <c r="Z276" s="24"/>
      <c r="AA276" s="27"/>
    </row>
    <row r="277" spans="2:27" ht="12.75">
      <c r="B277" s="36"/>
      <c r="C277" s="29"/>
      <c r="D277" s="32">
        <v>42</v>
      </c>
      <c r="E277" s="133">
        <v>21.069600000000001</v>
      </c>
      <c r="F277" s="133">
        <v>37.422400000000003</v>
      </c>
      <c r="G277" s="133"/>
      <c r="H277" s="133"/>
      <c r="I277" s="133"/>
      <c r="J277" s="134"/>
      <c r="K277" s="135"/>
      <c r="L277" s="29"/>
      <c r="M277" s="142">
        <v>21.069600000000001</v>
      </c>
      <c r="N277" s="142">
        <v>37.422400000000003</v>
      </c>
      <c r="O277" s="142"/>
      <c r="P277" s="142"/>
      <c r="Q277" s="142"/>
      <c r="R277" s="143"/>
      <c r="S277" s="144"/>
      <c r="U277" s="41"/>
      <c r="V277" s="42"/>
      <c r="W277" s="43"/>
      <c r="X277" s="29"/>
      <c r="Y277" s="24"/>
      <c r="Z277" s="24"/>
      <c r="AA277" s="27"/>
    </row>
    <row r="278" spans="2:27" ht="13.5" thickBot="1">
      <c r="B278" s="36"/>
      <c r="C278" s="29"/>
      <c r="D278" s="32">
        <v>45</v>
      </c>
      <c r="E278" s="136">
        <v>11.1784</v>
      </c>
      <c r="F278" s="136">
        <v>35.413200000000003</v>
      </c>
      <c r="G278" s="136"/>
      <c r="H278" s="136"/>
      <c r="I278" s="136"/>
      <c r="J278" s="137"/>
      <c r="K278" s="138"/>
      <c r="L278" s="29"/>
      <c r="M278" s="145">
        <v>11.1784</v>
      </c>
      <c r="N278" s="145">
        <v>35.413200000000003</v>
      </c>
      <c r="O278" s="145"/>
      <c r="P278" s="145"/>
      <c r="Q278" s="145"/>
      <c r="R278" s="146"/>
      <c r="S278" s="147"/>
      <c r="U278" s="17"/>
      <c r="V278" s="18"/>
      <c r="W278" s="19"/>
      <c r="X278" s="29"/>
      <c r="Y278" s="59"/>
      <c r="Z278" s="59"/>
      <c r="AA278" s="55"/>
    </row>
    <row r="279" spans="2:27" ht="12.75">
      <c r="B279" s="36"/>
      <c r="C279" s="28" t="s">
        <v>30</v>
      </c>
      <c r="D279" s="31">
        <v>34</v>
      </c>
      <c r="E279" s="130">
        <v>99.533600000000007</v>
      </c>
      <c r="F279" s="130">
        <v>42.295499999999997</v>
      </c>
      <c r="G279" s="130"/>
      <c r="H279" s="130"/>
      <c r="I279" s="130"/>
      <c r="J279" s="131"/>
      <c r="K279" s="132"/>
      <c r="L279" s="29"/>
      <c r="M279" s="139">
        <v>99.533600000000007</v>
      </c>
      <c r="N279" s="139">
        <v>42.295499999999997</v>
      </c>
      <c r="O279" s="139"/>
      <c r="P279" s="139"/>
      <c r="Q279" s="139"/>
      <c r="R279" s="140"/>
      <c r="S279" s="141"/>
      <c r="U279" s="8">
        <f>bdrate($E279:$E282,F279:F282,$M279:$M282,N279:N282)</f>
        <v>0</v>
      </c>
      <c r="V279" s="9"/>
      <c r="W279" s="10"/>
      <c r="X279" s="29"/>
      <c r="Y279" s="24"/>
      <c r="Z279" s="24"/>
      <c r="AA279" s="27"/>
    </row>
    <row r="280" spans="2:27" ht="12.75">
      <c r="B280" s="36"/>
      <c r="C280" s="29"/>
      <c r="D280" s="32">
        <v>39</v>
      </c>
      <c r="E280" s="133">
        <v>24.391200000000001</v>
      </c>
      <c r="F280" s="133">
        <v>39.721400000000003</v>
      </c>
      <c r="G280" s="133"/>
      <c r="H280" s="133"/>
      <c r="I280" s="133"/>
      <c r="J280" s="134"/>
      <c r="K280" s="135"/>
      <c r="L280" s="29"/>
      <c r="M280" s="142">
        <v>24.391200000000001</v>
      </c>
      <c r="N280" s="142">
        <v>39.721400000000003</v>
      </c>
      <c r="O280" s="142"/>
      <c r="P280" s="142"/>
      <c r="Q280" s="142"/>
      <c r="R280" s="143"/>
      <c r="S280" s="144"/>
      <c r="U280" s="12"/>
      <c r="V280" s="13"/>
      <c r="W280" s="14"/>
      <c r="X280" s="29"/>
      <c r="Y280" s="24"/>
      <c r="Z280" s="24"/>
      <c r="AA280" s="27"/>
    </row>
    <row r="281" spans="2:27" ht="12.75">
      <c r="B281" s="36"/>
      <c r="C281" s="29"/>
      <c r="D281" s="32">
        <v>42</v>
      </c>
      <c r="E281" s="133">
        <v>9.5527999999999995</v>
      </c>
      <c r="F281" s="133">
        <v>36.519100000000002</v>
      </c>
      <c r="G281" s="133"/>
      <c r="H281" s="133"/>
      <c r="I281" s="133"/>
      <c r="J281" s="134"/>
      <c r="K281" s="135"/>
      <c r="L281" s="29"/>
      <c r="M281" s="142">
        <v>9.5527999999999995</v>
      </c>
      <c r="N281" s="142">
        <v>36.519100000000002</v>
      </c>
      <c r="O281" s="142"/>
      <c r="P281" s="142"/>
      <c r="Q281" s="142"/>
      <c r="R281" s="143"/>
      <c r="S281" s="144"/>
      <c r="U281" s="12"/>
      <c r="V281" s="13"/>
      <c r="W281" s="14"/>
      <c r="X281" s="29"/>
      <c r="Y281" s="24"/>
      <c r="Z281" s="24"/>
      <c r="AA281" s="27"/>
    </row>
    <row r="282" spans="2:27" ht="13.5" thickBot="1">
      <c r="B282" s="36"/>
      <c r="C282" s="29"/>
      <c r="D282" s="32">
        <v>45</v>
      </c>
      <c r="E282" s="136">
        <v>4.8600000000000003</v>
      </c>
      <c r="F282" s="136">
        <v>34.556800000000003</v>
      </c>
      <c r="G282" s="136"/>
      <c r="H282" s="136"/>
      <c r="I282" s="136"/>
      <c r="J282" s="137"/>
      <c r="K282" s="138"/>
      <c r="L282" s="29"/>
      <c r="M282" s="145">
        <v>4.8600000000000003</v>
      </c>
      <c r="N282" s="145">
        <v>34.556800000000003</v>
      </c>
      <c r="O282" s="145"/>
      <c r="P282" s="145"/>
      <c r="Q282" s="145"/>
      <c r="R282" s="146"/>
      <c r="S282" s="147"/>
      <c r="U282" s="12"/>
      <c r="V282" s="13"/>
      <c r="W282" s="14"/>
      <c r="X282" s="29"/>
      <c r="Y282" s="24"/>
      <c r="Z282" s="24"/>
      <c r="AA282" s="27"/>
    </row>
    <row r="283" spans="2:27" ht="12.75">
      <c r="B283" s="36"/>
      <c r="C283" s="28" t="s">
        <v>31</v>
      </c>
      <c r="D283" s="31">
        <v>34</v>
      </c>
      <c r="E283" s="130">
        <v>116.024</v>
      </c>
      <c r="F283" s="130">
        <v>41.775599999999997</v>
      </c>
      <c r="G283" s="130"/>
      <c r="H283" s="130"/>
      <c r="I283" s="130"/>
      <c r="J283" s="131"/>
      <c r="K283" s="132"/>
      <c r="L283" s="29"/>
      <c r="M283" s="139">
        <v>116.024</v>
      </c>
      <c r="N283" s="139">
        <v>41.775599999999997</v>
      </c>
      <c r="O283" s="139"/>
      <c r="P283" s="139"/>
      <c r="Q283" s="139"/>
      <c r="R283" s="140"/>
      <c r="S283" s="141"/>
      <c r="U283" s="8">
        <f>bdrate($E283:$E286,F283:F286,$M283:$M286,N283:N286)</f>
        <v>0</v>
      </c>
      <c r="V283" s="9"/>
      <c r="W283" s="10"/>
      <c r="X283" s="29"/>
      <c r="Y283" s="24"/>
      <c r="Z283" s="24"/>
      <c r="AA283" s="27"/>
    </row>
    <row r="284" spans="2:27" ht="12.75">
      <c r="B284" s="36"/>
      <c r="C284" s="29"/>
      <c r="D284" s="32">
        <v>39</v>
      </c>
      <c r="E284" s="133">
        <v>28.377600000000001</v>
      </c>
      <c r="F284" s="133">
        <v>39.182400000000001</v>
      </c>
      <c r="G284" s="133"/>
      <c r="H284" s="133"/>
      <c r="I284" s="133"/>
      <c r="J284" s="134"/>
      <c r="K284" s="135"/>
      <c r="L284" s="29"/>
      <c r="M284" s="142">
        <v>28.377600000000001</v>
      </c>
      <c r="N284" s="142">
        <v>39.182400000000001</v>
      </c>
      <c r="O284" s="142"/>
      <c r="P284" s="142"/>
      <c r="Q284" s="142"/>
      <c r="R284" s="143"/>
      <c r="S284" s="144"/>
      <c r="U284" s="41"/>
      <c r="V284" s="42"/>
      <c r="W284" s="43"/>
      <c r="X284" s="29"/>
      <c r="Y284" s="24"/>
      <c r="Z284" s="24"/>
      <c r="AA284" s="27"/>
    </row>
    <row r="285" spans="2:27" ht="12.75">
      <c r="B285" s="36"/>
      <c r="C285" s="29"/>
      <c r="D285" s="32">
        <v>42</v>
      </c>
      <c r="E285" s="133">
        <v>10.268000000000001</v>
      </c>
      <c r="F285" s="133">
        <v>36.194000000000003</v>
      </c>
      <c r="G285" s="133"/>
      <c r="H285" s="133"/>
      <c r="I285" s="133"/>
      <c r="J285" s="134"/>
      <c r="K285" s="135"/>
      <c r="L285" s="29"/>
      <c r="M285" s="142">
        <v>10.268000000000001</v>
      </c>
      <c r="N285" s="142">
        <v>36.194000000000003</v>
      </c>
      <c r="O285" s="142"/>
      <c r="P285" s="142"/>
      <c r="Q285" s="142"/>
      <c r="R285" s="143"/>
      <c r="S285" s="144"/>
      <c r="U285" s="41"/>
      <c r="V285" s="42"/>
      <c r="W285" s="43"/>
      <c r="X285" s="29"/>
      <c r="Y285" s="24"/>
      <c r="Z285" s="24"/>
      <c r="AA285" s="27"/>
    </row>
    <row r="286" spans="2:27" ht="13.5" thickBot="1">
      <c r="B286" s="36"/>
      <c r="C286" s="29"/>
      <c r="D286" s="32">
        <v>45</v>
      </c>
      <c r="E286" s="136">
        <v>4.9279999999999999</v>
      </c>
      <c r="F286" s="136">
        <v>34.340499999999999</v>
      </c>
      <c r="G286" s="136"/>
      <c r="H286" s="136"/>
      <c r="I286" s="136"/>
      <c r="J286" s="137"/>
      <c r="K286" s="138"/>
      <c r="L286" s="29"/>
      <c r="M286" s="145">
        <v>4.9279999999999999</v>
      </c>
      <c r="N286" s="145">
        <v>34.340499999999999</v>
      </c>
      <c r="O286" s="145"/>
      <c r="P286" s="145"/>
      <c r="Q286" s="145"/>
      <c r="R286" s="146"/>
      <c r="S286" s="147"/>
      <c r="U286" s="41"/>
      <c r="V286" s="42"/>
      <c r="W286" s="43"/>
      <c r="X286" s="29"/>
      <c r="Y286" s="24"/>
      <c r="Z286" s="24"/>
      <c r="AA286" s="27"/>
    </row>
    <row r="287" spans="2:27" ht="12.75">
      <c r="B287" s="36"/>
      <c r="C287" s="28" t="s">
        <v>47</v>
      </c>
      <c r="D287" s="31">
        <v>25</v>
      </c>
      <c r="E287" s="130" t="s">
        <v>62</v>
      </c>
      <c r="F287" s="130">
        <v>40.001800000000003</v>
      </c>
      <c r="G287" s="130">
        <v>46.613399999999999</v>
      </c>
      <c r="H287" s="130">
        <v>46.0411</v>
      </c>
      <c r="I287" s="130"/>
      <c r="J287" s="131"/>
      <c r="K287" s="132"/>
      <c r="L287" s="29"/>
      <c r="M287" s="139" t="s">
        <v>62</v>
      </c>
      <c r="N287" s="139">
        <v>40.001800000000003</v>
      </c>
      <c r="O287" s="139">
        <v>46.613399999999999</v>
      </c>
      <c r="P287" s="139">
        <v>46.0411</v>
      </c>
      <c r="Q287" s="139"/>
      <c r="R287" s="140"/>
      <c r="S287" s="141"/>
      <c r="U287" s="8"/>
      <c r="V287" s="9"/>
      <c r="W287" s="10"/>
      <c r="X287" s="29"/>
      <c r="Y287" s="24"/>
      <c r="Z287" s="24"/>
      <c r="AA287" s="27"/>
    </row>
    <row r="288" spans="2:27" ht="12.75">
      <c r="B288" s="36"/>
      <c r="C288" s="29"/>
      <c r="D288" s="32">
        <v>30</v>
      </c>
      <c r="E288" s="133" t="s">
        <v>62</v>
      </c>
      <c r="F288" s="133">
        <v>37.921799999999998</v>
      </c>
      <c r="G288" s="133">
        <v>45.137999999999998</v>
      </c>
      <c r="H288" s="133">
        <v>44.320999999999998</v>
      </c>
      <c r="I288" s="133"/>
      <c r="J288" s="134"/>
      <c r="K288" s="135"/>
      <c r="L288" s="29"/>
      <c r="M288" s="142" t="s">
        <v>62</v>
      </c>
      <c r="N288" s="142">
        <v>37.921799999999998</v>
      </c>
      <c r="O288" s="142">
        <v>45.137999999999998</v>
      </c>
      <c r="P288" s="142">
        <v>44.320999999999998</v>
      </c>
      <c r="Q288" s="142"/>
      <c r="R288" s="143"/>
      <c r="S288" s="144"/>
      <c r="U288" s="17"/>
      <c r="V288" s="18"/>
      <c r="W288" s="19"/>
      <c r="X288" s="29"/>
      <c r="Y288" s="24"/>
      <c r="Z288" s="24"/>
      <c r="AA288" s="27"/>
    </row>
    <row r="289" spans="2:27" ht="12.75">
      <c r="B289" s="36"/>
      <c r="C289" s="29"/>
      <c r="D289" s="32">
        <v>35</v>
      </c>
      <c r="E289" s="133" t="s">
        <v>62</v>
      </c>
      <c r="F289" s="133">
        <v>35.885300000000001</v>
      </c>
      <c r="G289" s="133">
        <v>43.682000000000002</v>
      </c>
      <c r="H289" s="133">
        <v>42.973500000000001</v>
      </c>
      <c r="I289" s="133"/>
      <c r="J289" s="134"/>
      <c r="K289" s="135"/>
      <c r="L289" s="29"/>
      <c r="M289" s="142" t="s">
        <v>62</v>
      </c>
      <c r="N289" s="142">
        <v>35.885300000000001</v>
      </c>
      <c r="O289" s="142">
        <v>43.682000000000002</v>
      </c>
      <c r="P289" s="142">
        <v>42.973500000000001</v>
      </c>
      <c r="Q289" s="142"/>
      <c r="R289" s="143"/>
      <c r="S289" s="144"/>
      <c r="U289" s="41"/>
      <c r="V289" s="44"/>
      <c r="W289" s="43"/>
      <c r="X289" s="29"/>
      <c r="Y289" s="24"/>
      <c r="Z289" s="24"/>
      <c r="AA289" s="27"/>
    </row>
    <row r="290" spans="2:27" ht="13.5" thickBot="1">
      <c r="B290" s="36"/>
      <c r="C290" s="51"/>
      <c r="D290" s="69">
        <v>40</v>
      </c>
      <c r="E290" s="136" t="s">
        <v>62</v>
      </c>
      <c r="F290" s="136">
        <v>33.768999999999998</v>
      </c>
      <c r="G290" s="136">
        <v>42.508499999999998</v>
      </c>
      <c r="H290" s="136">
        <v>42.023000000000003</v>
      </c>
      <c r="I290" s="136"/>
      <c r="J290" s="137"/>
      <c r="K290" s="138"/>
      <c r="L290" s="29"/>
      <c r="M290" s="145" t="s">
        <v>62</v>
      </c>
      <c r="N290" s="145">
        <v>33.768999999999998</v>
      </c>
      <c r="O290" s="145">
        <v>42.508499999999998</v>
      </c>
      <c r="P290" s="145">
        <v>42.023000000000003</v>
      </c>
      <c r="Q290" s="145"/>
      <c r="R290" s="146"/>
      <c r="S290" s="147"/>
      <c r="U290" s="41"/>
      <c r="V290" s="42"/>
      <c r="W290" s="43"/>
      <c r="X290" s="29"/>
      <c r="Y290" s="24"/>
      <c r="Z290" s="24"/>
      <c r="AA290" s="27"/>
    </row>
    <row r="291" spans="2:27" ht="12.75">
      <c r="B291" s="36"/>
      <c r="C291" s="29" t="s">
        <v>48</v>
      </c>
      <c r="D291" s="32">
        <v>25</v>
      </c>
      <c r="E291" s="130" t="s">
        <v>62</v>
      </c>
      <c r="F291" s="130">
        <v>40.7089</v>
      </c>
      <c r="G291" s="130">
        <v>47.340499999999999</v>
      </c>
      <c r="H291" s="130">
        <v>46.895499999999998</v>
      </c>
      <c r="I291" s="130"/>
      <c r="J291" s="131"/>
      <c r="K291" s="132"/>
      <c r="L291" s="29"/>
      <c r="M291" s="139" t="s">
        <v>62</v>
      </c>
      <c r="N291" s="139">
        <v>40.7089</v>
      </c>
      <c r="O291" s="139">
        <v>47.340499999999999</v>
      </c>
      <c r="P291" s="139">
        <v>46.895499999999998</v>
      </c>
      <c r="Q291" s="139"/>
      <c r="R291" s="140"/>
      <c r="S291" s="141"/>
      <c r="U291" s="8"/>
      <c r="V291" s="9"/>
      <c r="W291" s="10"/>
      <c r="X291" s="29"/>
      <c r="Y291" s="24"/>
      <c r="Z291" s="24"/>
      <c r="AA291" s="27"/>
    </row>
    <row r="292" spans="2:27" ht="12.75">
      <c r="B292" s="36"/>
      <c r="C292" s="29"/>
      <c r="D292" s="32">
        <v>30</v>
      </c>
      <c r="E292" s="133" t="s">
        <v>62</v>
      </c>
      <c r="F292" s="133">
        <v>38.413800000000002</v>
      </c>
      <c r="G292" s="133">
        <v>45.689</v>
      </c>
      <c r="H292" s="133">
        <v>45.117899999999999</v>
      </c>
      <c r="I292" s="133"/>
      <c r="J292" s="134"/>
      <c r="K292" s="135"/>
      <c r="L292" s="29"/>
      <c r="M292" s="142" t="s">
        <v>62</v>
      </c>
      <c r="N292" s="142">
        <v>38.413800000000002</v>
      </c>
      <c r="O292" s="142">
        <v>45.689</v>
      </c>
      <c r="P292" s="142">
        <v>45.117899999999999</v>
      </c>
      <c r="Q292" s="142"/>
      <c r="R292" s="143"/>
      <c r="S292" s="144"/>
      <c r="U292" s="41"/>
      <c r="V292" s="42"/>
      <c r="W292" s="43"/>
      <c r="X292" s="29"/>
      <c r="Y292" s="24"/>
      <c r="Z292" s="24"/>
      <c r="AA292" s="27"/>
    </row>
    <row r="293" spans="2:27" ht="12.75">
      <c r="B293" s="36"/>
      <c r="C293" s="29"/>
      <c r="D293" s="32">
        <v>35</v>
      </c>
      <c r="E293" s="133" t="s">
        <v>62</v>
      </c>
      <c r="F293" s="133">
        <v>36.245399999999997</v>
      </c>
      <c r="G293" s="133">
        <v>44.008200000000002</v>
      </c>
      <c r="H293" s="133">
        <v>43.516199999999998</v>
      </c>
      <c r="I293" s="133"/>
      <c r="J293" s="134"/>
      <c r="K293" s="135"/>
      <c r="L293" s="29"/>
      <c r="M293" s="142" t="s">
        <v>62</v>
      </c>
      <c r="N293" s="142">
        <v>36.245399999999997</v>
      </c>
      <c r="O293" s="142">
        <v>44.008200000000002</v>
      </c>
      <c r="P293" s="142">
        <v>43.516199999999998</v>
      </c>
      <c r="Q293" s="142"/>
      <c r="R293" s="143"/>
      <c r="S293" s="144"/>
      <c r="U293" s="17"/>
      <c r="V293" s="18"/>
      <c r="W293" s="19"/>
      <c r="X293" s="29"/>
      <c r="Y293" s="24"/>
      <c r="Z293" s="24"/>
      <c r="AA293" s="27"/>
    </row>
    <row r="294" spans="2:27" ht="13.5" thickBot="1">
      <c r="B294" s="36"/>
      <c r="C294" s="51"/>
      <c r="D294" s="69">
        <v>40</v>
      </c>
      <c r="E294" s="136" t="s">
        <v>62</v>
      </c>
      <c r="F294" s="136">
        <v>34.037100000000002</v>
      </c>
      <c r="G294" s="136">
        <v>42.706400000000002</v>
      </c>
      <c r="H294" s="136">
        <v>42.400500000000001</v>
      </c>
      <c r="I294" s="136"/>
      <c r="J294" s="137"/>
      <c r="K294" s="138"/>
      <c r="L294" s="29"/>
      <c r="M294" s="145" t="s">
        <v>62</v>
      </c>
      <c r="N294" s="145">
        <v>34.037100000000002</v>
      </c>
      <c r="O294" s="145">
        <v>42.706400000000002</v>
      </c>
      <c r="P294" s="145">
        <v>42.400500000000001</v>
      </c>
      <c r="Q294" s="145"/>
      <c r="R294" s="146"/>
      <c r="S294" s="147"/>
      <c r="U294" s="41"/>
      <c r="V294" s="42"/>
      <c r="W294" s="43"/>
      <c r="X294" s="29"/>
      <c r="Y294" s="24"/>
      <c r="Z294" s="24"/>
      <c r="AA294" s="27"/>
    </row>
    <row r="295" spans="2:27" ht="12.75">
      <c r="B295" s="36"/>
      <c r="C295" s="29" t="s">
        <v>49</v>
      </c>
      <c r="D295" s="32">
        <v>25</v>
      </c>
      <c r="E295" s="130" t="s">
        <v>62</v>
      </c>
      <c r="F295" s="130">
        <v>40.616</v>
      </c>
      <c r="G295" s="130">
        <v>47.563000000000002</v>
      </c>
      <c r="H295" s="130">
        <v>47.198900000000002</v>
      </c>
      <c r="I295" s="130"/>
      <c r="J295" s="131"/>
      <c r="K295" s="132"/>
      <c r="L295" s="29"/>
      <c r="M295" s="139" t="s">
        <v>62</v>
      </c>
      <c r="N295" s="139">
        <v>40.616</v>
      </c>
      <c r="O295" s="139">
        <v>47.563000000000002</v>
      </c>
      <c r="P295" s="139">
        <v>47.198900000000002</v>
      </c>
      <c r="Q295" s="139"/>
      <c r="R295" s="140"/>
      <c r="S295" s="141"/>
      <c r="U295" s="8"/>
      <c r="V295" s="9"/>
      <c r="W295" s="10"/>
      <c r="X295" s="29"/>
      <c r="Y295" s="24"/>
      <c r="Z295" s="24"/>
      <c r="AA295" s="27"/>
    </row>
    <row r="296" spans="2:27" ht="12.75">
      <c r="B296" s="36"/>
      <c r="C296" s="29"/>
      <c r="D296" s="32">
        <v>30</v>
      </c>
      <c r="E296" s="133" t="s">
        <v>62</v>
      </c>
      <c r="F296" s="133">
        <v>38.407499999999999</v>
      </c>
      <c r="G296" s="133">
        <v>46.012500000000003</v>
      </c>
      <c r="H296" s="133">
        <v>45.578899999999997</v>
      </c>
      <c r="I296" s="133"/>
      <c r="J296" s="134"/>
      <c r="K296" s="135"/>
      <c r="L296" s="29"/>
      <c r="M296" s="142" t="s">
        <v>62</v>
      </c>
      <c r="N296" s="142">
        <v>38.407499999999999</v>
      </c>
      <c r="O296" s="142">
        <v>46.012500000000003</v>
      </c>
      <c r="P296" s="142">
        <v>45.578899999999997</v>
      </c>
      <c r="Q296" s="142"/>
      <c r="R296" s="143"/>
      <c r="S296" s="144"/>
      <c r="U296" s="41"/>
      <c r="V296" s="42"/>
      <c r="W296" s="43"/>
      <c r="X296" s="29"/>
      <c r="Y296" s="24"/>
      <c r="Z296" s="24"/>
      <c r="AA296" s="27"/>
    </row>
    <row r="297" spans="2:27" ht="12.75">
      <c r="B297" s="36"/>
      <c r="C297" s="29"/>
      <c r="D297" s="32">
        <v>35</v>
      </c>
      <c r="E297" s="133" t="s">
        <v>62</v>
      </c>
      <c r="F297" s="133">
        <v>36.249400000000001</v>
      </c>
      <c r="G297" s="133">
        <v>44.1877</v>
      </c>
      <c r="H297" s="133">
        <v>43.784999999999997</v>
      </c>
      <c r="I297" s="133"/>
      <c r="J297" s="134"/>
      <c r="K297" s="135"/>
      <c r="L297" s="29"/>
      <c r="M297" s="142" t="s">
        <v>62</v>
      </c>
      <c r="N297" s="142">
        <v>36.249400000000001</v>
      </c>
      <c r="O297" s="142">
        <v>44.1877</v>
      </c>
      <c r="P297" s="142">
        <v>43.784999999999997</v>
      </c>
      <c r="Q297" s="142"/>
      <c r="R297" s="143"/>
      <c r="S297" s="144"/>
      <c r="U297" s="41"/>
      <c r="V297" s="42"/>
      <c r="W297" s="43"/>
      <c r="X297" s="29"/>
      <c r="Y297" s="24"/>
      <c r="Z297" s="24"/>
      <c r="AA297" s="27"/>
    </row>
    <row r="298" spans="2:27" ht="13.5" thickBot="1">
      <c r="B298" s="36"/>
      <c r="C298" s="51"/>
      <c r="D298" s="69">
        <v>40</v>
      </c>
      <c r="E298" s="136" t="s">
        <v>62</v>
      </c>
      <c r="F298" s="136">
        <v>34.039000000000001</v>
      </c>
      <c r="G298" s="136">
        <v>42.877499999999998</v>
      </c>
      <c r="H298" s="136">
        <v>42.536999999999999</v>
      </c>
      <c r="I298" s="136"/>
      <c r="J298" s="137"/>
      <c r="K298" s="138"/>
      <c r="L298" s="29"/>
      <c r="M298" s="145" t="s">
        <v>62</v>
      </c>
      <c r="N298" s="145">
        <v>34.039000000000001</v>
      </c>
      <c r="O298" s="145">
        <v>42.877499999999998</v>
      </c>
      <c r="P298" s="145">
        <v>42.536999999999999</v>
      </c>
      <c r="Q298" s="145"/>
      <c r="R298" s="146"/>
      <c r="S298" s="147"/>
      <c r="U298" s="17"/>
      <c r="V298" s="18"/>
      <c r="W298" s="19"/>
      <c r="X298" s="29"/>
      <c r="Z298" s="59"/>
      <c r="AA298" s="55"/>
    </row>
    <row r="299" spans="2:27" ht="12.75">
      <c r="B299" s="36"/>
      <c r="C299" s="29" t="s">
        <v>50</v>
      </c>
      <c r="D299" s="32">
        <v>25</v>
      </c>
      <c r="E299" s="130" t="s">
        <v>62</v>
      </c>
      <c r="F299" s="130">
        <v>40.569299999999998</v>
      </c>
      <c r="G299" s="130">
        <v>47.479500000000002</v>
      </c>
      <c r="H299" s="130">
        <v>47.009900000000002</v>
      </c>
      <c r="I299" s="130"/>
      <c r="J299" s="131"/>
      <c r="K299" s="132"/>
      <c r="L299" s="29"/>
      <c r="M299" s="139" t="s">
        <v>62</v>
      </c>
      <c r="N299" s="139">
        <v>40.569299999999998</v>
      </c>
      <c r="O299" s="139">
        <v>47.479500000000002</v>
      </c>
      <c r="P299" s="139">
        <v>47.009900000000002</v>
      </c>
      <c r="Q299" s="139"/>
      <c r="R299" s="140"/>
      <c r="S299" s="141"/>
      <c r="U299" s="8"/>
      <c r="V299" s="9"/>
      <c r="W299" s="10"/>
      <c r="X299" s="29"/>
      <c r="Y299" s="24"/>
      <c r="Z299" s="24"/>
      <c r="AA299" s="27"/>
    </row>
    <row r="300" spans="2:27" ht="12.75">
      <c r="B300" s="36"/>
      <c r="C300" s="29"/>
      <c r="D300" s="32">
        <v>30</v>
      </c>
      <c r="E300" s="133" t="s">
        <v>62</v>
      </c>
      <c r="F300" s="133">
        <v>38.351100000000002</v>
      </c>
      <c r="G300" s="133">
        <v>45.919400000000003</v>
      </c>
      <c r="H300" s="133">
        <v>45.380899999999997</v>
      </c>
      <c r="I300" s="133"/>
      <c r="J300" s="134"/>
      <c r="K300" s="135"/>
      <c r="L300" s="29"/>
      <c r="M300" s="142" t="s">
        <v>62</v>
      </c>
      <c r="N300" s="142">
        <v>38.351100000000002</v>
      </c>
      <c r="O300" s="142">
        <v>45.919400000000003</v>
      </c>
      <c r="P300" s="142">
        <v>45.380899999999997</v>
      </c>
      <c r="Q300" s="142"/>
      <c r="R300" s="143"/>
      <c r="S300" s="144"/>
      <c r="U300" s="12"/>
      <c r="V300" s="13"/>
      <c r="W300" s="14"/>
      <c r="X300" s="29"/>
      <c r="Y300" s="24"/>
      <c r="Z300" s="24"/>
      <c r="AA300" s="27"/>
    </row>
    <row r="301" spans="2:27" ht="12.75">
      <c r="B301" s="36"/>
      <c r="C301" s="29"/>
      <c r="D301" s="32">
        <v>35</v>
      </c>
      <c r="E301" s="133" t="s">
        <v>62</v>
      </c>
      <c r="F301" s="133">
        <v>36.184100000000001</v>
      </c>
      <c r="G301" s="133">
        <v>44.079599999999999</v>
      </c>
      <c r="H301" s="133">
        <v>43.554499999999997</v>
      </c>
      <c r="I301" s="133"/>
      <c r="J301" s="134"/>
      <c r="K301" s="135"/>
      <c r="L301" s="29"/>
      <c r="M301" s="142" t="s">
        <v>62</v>
      </c>
      <c r="N301" s="142">
        <v>36.184100000000001</v>
      </c>
      <c r="O301" s="142">
        <v>44.079599999999999</v>
      </c>
      <c r="P301" s="142">
        <v>43.554499999999997</v>
      </c>
      <c r="Q301" s="142"/>
      <c r="R301" s="143"/>
      <c r="S301" s="144"/>
      <c r="U301" s="12"/>
      <c r="V301" s="13"/>
      <c r="W301" s="14"/>
      <c r="X301" s="29"/>
      <c r="Y301" s="24"/>
      <c r="Z301" s="24"/>
      <c r="AA301" s="27"/>
    </row>
    <row r="302" spans="2:27" ht="13.5" thickBot="1">
      <c r="B302" s="36"/>
      <c r="C302" s="51"/>
      <c r="D302" s="69">
        <v>40</v>
      </c>
      <c r="E302" s="136" t="s">
        <v>62</v>
      </c>
      <c r="F302" s="136">
        <v>33.962899999999998</v>
      </c>
      <c r="G302" s="136">
        <v>42.745100000000001</v>
      </c>
      <c r="H302" s="136">
        <v>42.277500000000003</v>
      </c>
      <c r="I302" s="136"/>
      <c r="J302" s="137"/>
      <c r="K302" s="138"/>
      <c r="L302" s="29"/>
      <c r="M302" s="145" t="s">
        <v>62</v>
      </c>
      <c r="N302" s="145">
        <v>33.962899999999998</v>
      </c>
      <c r="O302" s="145">
        <v>42.745100000000001</v>
      </c>
      <c r="P302" s="145">
        <v>42.277500000000003</v>
      </c>
      <c r="Q302" s="145"/>
      <c r="R302" s="146"/>
      <c r="S302" s="147"/>
      <c r="U302" s="12"/>
      <c r="V302" s="13"/>
      <c r="W302" s="14"/>
      <c r="X302" s="29"/>
      <c r="Y302" s="24"/>
      <c r="Z302" s="24"/>
      <c r="AA302" s="27"/>
    </row>
    <row r="303" spans="2:27" ht="12.75">
      <c r="B303" s="36"/>
      <c r="C303" s="29" t="s">
        <v>51</v>
      </c>
      <c r="D303" s="32">
        <v>25</v>
      </c>
      <c r="E303" s="131" t="s">
        <v>62</v>
      </c>
      <c r="F303" s="131">
        <v>40.603499999999997</v>
      </c>
      <c r="G303" s="131">
        <v>47.031999999999996</v>
      </c>
      <c r="H303" s="131">
        <v>46.816400000000002</v>
      </c>
      <c r="I303" s="131"/>
      <c r="J303" s="131"/>
      <c r="K303" s="132"/>
      <c r="L303" s="29"/>
      <c r="M303" s="140" t="s">
        <v>62</v>
      </c>
      <c r="N303" s="140">
        <v>40.603499999999997</v>
      </c>
      <c r="O303" s="140">
        <v>47.031999999999996</v>
      </c>
      <c r="P303" s="140">
        <v>46.816400000000002</v>
      </c>
      <c r="Q303" s="140"/>
      <c r="R303" s="140"/>
      <c r="S303" s="141"/>
      <c r="U303" s="8"/>
      <c r="V303" s="9"/>
      <c r="W303" s="10"/>
      <c r="X303" s="29"/>
      <c r="Y303" s="24"/>
      <c r="Z303" s="24"/>
      <c r="AA303" s="27"/>
    </row>
    <row r="304" spans="2:27" ht="12.75">
      <c r="B304" s="36"/>
      <c r="C304" s="29"/>
      <c r="D304" s="32">
        <v>30</v>
      </c>
      <c r="E304" s="134" t="s">
        <v>62</v>
      </c>
      <c r="F304" s="134">
        <v>38.268999999999998</v>
      </c>
      <c r="G304" s="134">
        <v>45.518300000000004</v>
      </c>
      <c r="H304" s="134">
        <v>45.1952</v>
      </c>
      <c r="I304" s="134"/>
      <c r="J304" s="134"/>
      <c r="K304" s="135"/>
      <c r="L304" s="29"/>
      <c r="M304" s="143" t="s">
        <v>62</v>
      </c>
      <c r="N304" s="143">
        <v>38.268999999999998</v>
      </c>
      <c r="O304" s="143">
        <v>45.518300000000004</v>
      </c>
      <c r="P304" s="143">
        <v>45.1952</v>
      </c>
      <c r="Q304" s="143"/>
      <c r="R304" s="143"/>
      <c r="S304" s="144"/>
      <c r="U304" s="41"/>
      <c r="V304" s="42"/>
      <c r="W304" s="43"/>
      <c r="X304" s="29"/>
      <c r="Y304" s="24"/>
      <c r="Z304" s="24"/>
      <c r="AA304" s="27"/>
    </row>
    <row r="305" spans="1:27" ht="12.75">
      <c r="B305" s="36"/>
      <c r="C305" s="29"/>
      <c r="D305" s="32">
        <v>35</v>
      </c>
      <c r="E305" s="134" t="s">
        <v>62</v>
      </c>
      <c r="F305" s="134">
        <v>36.075299999999999</v>
      </c>
      <c r="G305" s="134">
        <v>43.7562</v>
      </c>
      <c r="H305" s="134">
        <v>43.4208</v>
      </c>
      <c r="I305" s="134"/>
      <c r="J305" s="134"/>
      <c r="K305" s="135"/>
      <c r="L305" s="29"/>
      <c r="M305" s="143" t="s">
        <v>62</v>
      </c>
      <c r="N305" s="143">
        <v>36.075299999999999</v>
      </c>
      <c r="O305" s="143">
        <v>43.7562</v>
      </c>
      <c r="P305" s="143">
        <v>43.4208</v>
      </c>
      <c r="Q305" s="143"/>
      <c r="R305" s="143"/>
      <c r="S305" s="144"/>
      <c r="U305" s="41"/>
      <c r="V305" s="42"/>
      <c r="W305" s="43"/>
      <c r="X305" s="29"/>
      <c r="Y305" s="24"/>
      <c r="Z305" s="24"/>
      <c r="AA305" s="27"/>
    </row>
    <row r="306" spans="1:27" ht="13.5" thickBot="1">
      <c r="B306" s="36"/>
      <c r="C306" s="51"/>
      <c r="D306" s="69">
        <v>40</v>
      </c>
      <c r="E306" s="137" t="s">
        <v>62</v>
      </c>
      <c r="F306" s="137">
        <v>33.860399999999998</v>
      </c>
      <c r="G306" s="137">
        <v>42.4788</v>
      </c>
      <c r="H306" s="137">
        <v>42.062600000000003</v>
      </c>
      <c r="I306" s="137"/>
      <c r="J306" s="137"/>
      <c r="K306" s="138"/>
      <c r="L306" s="29"/>
      <c r="M306" s="146" t="s">
        <v>62</v>
      </c>
      <c r="N306" s="146">
        <v>33.860399999999998</v>
      </c>
      <c r="O306" s="146">
        <v>42.4788</v>
      </c>
      <c r="P306" s="146">
        <v>42.062600000000003</v>
      </c>
      <c r="Q306" s="146"/>
      <c r="R306" s="146"/>
      <c r="S306" s="147"/>
      <c r="U306" s="41"/>
      <c r="V306" s="42"/>
      <c r="W306" s="43"/>
      <c r="X306" s="29"/>
      <c r="Y306" s="24"/>
      <c r="Z306" s="24"/>
      <c r="AA306" s="27"/>
    </row>
    <row r="307" spans="1:27" ht="12.75">
      <c r="B307" s="36"/>
      <c r="C307" s="29" t="s">
        <v>52</v>
      </c>
      <c r="D307" s="32">
        <v>25</v>
      </c>
      <c r="E307" s="131" t="s">
        <v>62</v>
      </c>
      <c r="F307" s="131">
        <v>39.905500000000004</v>
      </c>
      <c r="G307" s="131">
        <v>46.193199999999997</v>
      </c>
      <c r="H307" s="131">
        <v>46.390599999999999</v>
      </c>
      <c r="I307" s="131"/>
      <c r="J307" s="131"/>
      <c r="K307" s="132"/>
      <c r="L307" s="29"/>
      <c r="M307" s="140" t="s">
        <v>62</v>
      </c>
      <c r="N307" s="140">
        <v>39.905500000000004</v>
      </c>
      <c r="O307" s="140">
        <v>46.193199999999997</v>
      </c>
      <c r="P307" s="140">
        <v>46.390599999999999</v>
      </c>
      <c r="Q307" s="140"/>
      <c r="R307" s="140"/>
      <c r="S307" s="141"/>
      <c r="U307" s="8"/>
      <c r="V307" s="9"/>
      <c r="W307" s="10"/>
      <c r="X307" s="29"/>
      <c r="Y307" s="24"/>
      <c r="Z307" s="24"/>
      <c r="AA307" s="27"/>
    </row>
    <row r="308" spans="1:27" ht="12.75">
      <c r="B308" s="36"/>
      <c r="C308" s="29"/>
      <c r="D308" s="32">
        <v>30</v>
      </c>
      <c r="E308" s="134" t="s">
        <v>62</v>
      </c>
      <c r="F308" s="134">
        <v>37.742600000000003</v>
      </c>
      <c r="G308" s="134">
        <v>44.898400000000002</v>
      </c>
      <c r="H308" s="134">
        <v>44.891500000000001</v>
      </c>
      <c r="I308" s="134"/>
      <c r="J308" s="134"/>
      <c r="K308" s="135"/>
      <c r="L308" s="29"/>
      <c r="M308" s="143" t="s">
        <v>62</v>
      </c>
      <c r="N308" s="143">
        <v>37.742600000000003</v>
      </c>
      <c r="O308" s="143">
        <v>44.898400000000002</v>
      </c>
      <c r="P308" s="143">
        <v>44.891500000000001</v>
      </c>
      <c r="Q308" s="143"/>
      <c r="R308" s="143"/>
      <c r="S308" s="144"/>
      <c r="U308" s="17"/>
      <c r="V308" s="18"/>
      <c r="W308" s="19"/>
      <c r="X308" s="29"/>
      <c r="Y308" s="24"/>
      <c r="Z308" s="24"/>
      <c r="AA308" s="27"/>
    </row>
    <row r="309" spans="1:27" ht="12.75">
      <c r="B309" s="36"/>
      <c r="C309" s="29"/>
      <c r="D309" s="32">
        <v>35</v>
      </c>
      <c r="E309" s="134" t="s">
        <v>62</v>
      </c>
      <c r="F309" s="134">
        <v>35.659599999999998</v>
      </c>
      <c r="G309" s="134">
        <v>43.347299999999997</v>
      </c>
      <c r="H309" s="134">
        <v>43.216700000000003</v>
      </c>
      <c r="I309" s="134"/>
      <c r="J309" s="134"/>
      <c r="K309" s="135"/>
      <c r="L309" s="29"/>
      <c r="M309" s="143" t="s">
        <v>62</v>
      </c>
      <c r="N309" s="143">
        <v>35.659599999999998</v>
      </c>
      <c r="O309" s="143">
        <v>43.347299999999997</v>
      </c>
      <c r="P309" s="143">
        <v>43.216700000000003</v>
      </c>
      <c r="Q309" s="143"/>
      <c r="R309" s="143"/>
      <c r="S309" s="144"/>
      <c r="U309" s="41"/>
      <c r="V309" s="44"/>
      <c r="W309" s="43"/>
      <c r="X309" s="29"/>
      <c r="Y309" s="24"/>
      <c r="Z309" s="24"/>
      <c r="AA309" s="27"/>
    </row>
    <row r="310" spans="1:27" ht="13.5" thickBot="1">
      <c r="B310" s="36"/>
      <c r="C310" s="51"/>
      <c r="D310" s="69">
        <v>40</v>
      </c>
      <c r="E310" s="137" t="s">
        <v>62</v>
      </c>
      <c r="F310" s="137">
        <v>33.545499999999997</v>
      </c>
      <c r="G310" s="137">
        <v>42.153700000000001</v>
      </c>
      <c r="H310" s="137">
        <v>41.94</v>
      </c>
      <c r="I310" s="137"/>
      <c r="J310" s="137"/>
      <c r="K310" s="138"/>
      <c r="L310" s="29"/>
      <c r="M310" s="146" t="s">
        <v>62</v>
      </c>
      <c r="N310" s="146">
        <v>33.545499999999997</v>
      </c>
      <c r="O310" s="146">
        <v>42.153700000000001</v>
      </c>
      <c r="P310" s="146">
        <v>41.94</v>
      </c>
      <c r="Q310" s="146"/>
      <c r="R310" s="146"/>
      <c r="S310" s="147"/>
      <c r="U310" s="41"/>
      <c r="V310" s="42"/>
      <c r="W310" s="43"/>
      <c r="X310" s="29"/>
      <c r="Y310" s="24"/>
      <c r="Z310" s="24"/>
      <c r="AA310" s="27"/>
    </row>
    <row r="311" spans="1:27" ht="12.75">
      <c r="B311" s="36"/>
      <c r="C311" s="29" t="s">
        <v>12</v>
      </c>
      <c r="D311" s="32">
        <v>25</v>
      </c>
      <c r="E311" s="134">
        <v>4216.6495999999997</v>
      </c>
      <c r="F311" s="134" t="s">
        <v>62</v>
      </c>
      <c r="G311" s="134" t="s">
        <v>62</v>
      </c>
      <c r="H311" s="134" t="s">
        <v>62</v>
      </c>
      <c r="I311" s="134">
        <v>48255.92</v>
      </c>
      <c r="J311" s="134">
        <v>110.71</v>
      </c>
      <c r="K311" s="135">
        <v>824.08</v>
      </c>
      <c r="L311" s="29"/>
      <c r="M311" s="143">
        <v>4216.6487999999999</v>
      </c>
      <c r="N311" s="143" t="s">
        <v>62</v>
      </c>
      <c r="O311" s="143" t="s">
        <v>62</v>
      </c>
      <c r="P311" s="143" t="s">
        <v>62</v>
      </c>
      <c r="Q311" s="143">
        <v>47093.82</v>
      </c>
      <c r="R311" s="143">
        <v>103.63</v>
      </c>
      <c r="S311" s="144">
        <v>819.73</v>
      </c>
      <c r="U311" s="8"/>
      <c r="V311" s="9"/>
      <c r="W311" s="10"/>
      <c r="X311" s="29"/>
      <c r="Y311" s="59">
        <f>GEOMEAN(Q311:Q314)/GEOMEAN(I311:I314)</f>
        <v>0.97609679224195744</v>
      </c>
      <c r="Z311" s="59">
        <f>GEOMEAN(R311:R314)/GEOMEAN(J311:J314)</f>
        <v>0.99536808066011706</v>
      </c>
      <c r="AA311" s="55">
        <f>GEOMEAN(S311:S314)/GEOMEAN(K311:K314)</f>
        <v>1.0001488096034894</v>
      </c>
    </row>
    <row r="312" spans="1:27" ht="12.75">
      <c r="B312" s="36"/>
      <c r="C312" s="29"/>
      <c r="D312" s="32">
        <v>30</v>
      </c>
      <c r="E312" s="134">
        <v>1451.9936</v>
      </c>
      <c r="F312" s="134" t="s">
        <v>62</v>
      </c>
      <c r="G312" s="134" t="s">
        <v>62</v>
      </c>
      <c r="H312" s="134" t="s">
        <v>62</v>
      </c>
      <c r="I312" s="134">
        <v>37141.85</v>
      </c>
      <c r="J312" s="134">
        <v>96.46</v>
      </c>
      <c r="K312" s="135">
        <v>816.52</v>
      </c>
      <c r="L312" s="29"/>
      <c r="M312" s="143">
        <v>1451.9928</v>
      </c>
      <c r="N312" s="143" t="s">
        <v>62</v>
      </c>
      <c r="O312" s="143" t="s">
        <v>62</v>
      </c>
      <c r="P312" s="143" t="s">
        <v>62</v>
      </c>
      <c r="Q312" s="143">
        <v>36399.08</v>
      </c>
      <c r="R312" s="143">
        <v>106.49</v>
      </c>
      <c r="S312" s="144">
        <v>816.95</v>
      </c>
      <c r="U312" s="41"/>
      <c r="V312" s="42"/>
      <c r="W312" s="43"/>
      <c r="X312" s="29"/>
      <c r="Y312" s="24"/>
      <c r="Z312" s="24"/>
      <c r="AA312" s="27"/>
    </row>
    <row r="313" spans="1:27" ht="12.75">
      <c r="B313" s="36"/>
      <c r="C313" s="29"/>
      <c r="D313" s="32">
        <v>35</v>
      </c>
      <c r="E313" s="134">
        <v>656.33759999999995</v>
      </c>
      <c r="F313" s="134" t="s">
        <v>62</v>
      </c>
      <c r="G313" s="134" t="s">
        <v>62</v>
      </c>
      <c r="H313" s="134" t="s">
        <v>62</v>
      </c>
      <c r="I313" s="134">
        <v>33552.050000000003</v>
      </c>
      <c r="J313" s="134">
        <v>92.64</v>
      </c>
      <c r="K313" s="135">
        <v>809.43</v>
      </c>
      <c r="L313" s="29"/>
      <c r="M313" s="143">
        <v>656.33680000000004</v>
      </c>
      <c r="N313" s="143" t="s">
        <v>62</v>
      </c>
      <c r="O313" s="143" t="s">
        <v>62</v>
      </c>
      <c r="P313" s="143" t="s">
        <v>62</v>
      </c>
      <c r="Q313" s="143">
        <v>32583.99</v>
      </c>
      <c r="R313" s="143">
        <v>93.24</v>
      </c>
      <c r="S313" s="144">
        <v>803.89</v>
      </c>
      <c r="U313" s="17"/>
      <c r="V313" s="18"/>
      <c r="W313" s="19"/>
      <c r="X313" s="29"/>
      <c r="Y313" s="24"/>
      <c r="Z313" s="24"/>
      <c r="AA313" s="27"/>
    </row>
    <row r="314" spans="1:27" ht="13.5" thickBot="1">
      <c r="B314" s="50"/>
      <c r="C314" s="51"/>
      <c r="D314" s="69">
        <v>40</v>
      </c>
      <c r="E314" s="137">
        <v>331.5496</v>
      </c>
      <c r="F314" s="137" t="s">
        <v>62</v>
      </c>
      <c r="G314" s="137" t="s">
        <v>62</v>
      </c>
      <c r="H314" s="137" t="s">
        <v>62</v>
      </c>
      <c r="I314" s="137">
        <v>29033.13</v>
      </c>
      <c r="J314" s="137">
        <v>92.85</v>
      </c>
      <c r="K314" s="138">
        <v>801.35</v>
      </c>
      <c r="L314" s="29"/>
      <c r="M314" s="146">
        <v>331.54880000000003</v>
      </c>
      <c r="N314" s="146" t="s">
        <v>62</v>
      </c>
      <c r="O314" s="146" t="s">
        <v>62</v>
      </c>
      <c r="P314" s="146" t="s">
        <v>62</v>
      </c>
      <c r="Q314" s="146">
        <v>28375.27</v>
      </c>
      <c r="R314" s="146">
        <v>87.63</v>
      </c>
      <c r="S314" s="147">
        <v>811.21</v>
      </c>
      <c r="U314" s="82"/>
      <c r="V314" s="83"/>
      <c r="W314" s="84"/>
      <c r="X314" s="29"/>
      <c r="Y314" s="47"/>
      <c r="Z314" s="47"/>
      <c r="AA314" s="52"/>
    </row>
    <row r="315" spans="1:27" ht="12.75">
      <c r="A315" s="20" t="s">
        <v>19</v>
      </c>
      <c r="B315" s="35" t="s">
        <v>56</v>
      </c>
      <c r="C315" s="28" t="s">
        <v>26</v>
      </c>
      <c r="D315" s="31">
        <v>25</v>
      </c>
      <c r="E315" s="130">
        <v>4628.1440000000002</v>
      </c>
      <c r="F315" s="130">
        <v>38.803199999999997</v>
      </c>
      <c r="G315" s="130">
        <v>46.650700000000001</v>
      </c>
      <c r="H315" s="130">
        <v>45.958799999999997</v>
      </c>
      <c r="I315" s="130"/>
      <c r="J315" s="131"/>
      <c r="K315" s="132"/>
      <c r="L315" s="29"/>
      <c r="M315" s="139">
        <v>4628.1432000000004</v>
      </c>
      <c r="N315" s="139">
        <v>38.803199999999997</v>
      </c>
      <c r="O315" s="139">
        <v>46.650700000000001</v>
      </c>
      <c r="P315" s="139">
        <v>45.958799999999997</v>
      </c>
      <c r="Q315" s="139"/>
      <c r="R315" s="140"/>
      <c r="S315" s="141"/>
      <c r="U315" s="8">
        <f>bdrate($E315:$E318,F315:F318,$M315:$M318,N315:N318)</f>
        <v>-6.8843139333640835E-7</v>
      </c>
      <c r="V315" s="9">
        <f>bdrate($E315:$E318,G315:G318,$M315:$M318,O315:O318)</f>
        <v>-6.1215341717879568E-7</v>
      </c>
      <c r="W315" s="10">
        <f>bdrate($E315:$E318,H315:H318,$M315:$M318,P315:P318)</f>
        <v>-6.1525666050776806E-7</v>
      </c>
      <c r="X315" s="29"/>
      <c r="Y315" s="22"/>
      <c r="Z315" s="22"/>
      <c r="AA315" s="26"/>
    </row>
    <row r="316" spans="1:27" ht="12.75">
      <c r="B316" s="36"/>
      <c r="C316" s="29"/>
      <c r="D316" s="32">
        <v>30</v>
      </c>
      <c r="E316" s="133">
        <v>2007.308</v>
      </c>
      <c r="F316" s="133">
        <v>35.911799999999999</v>
      </c>
      <c r="G316" s="133">
        <v>45.155500000000004</v>
      </c>
      <c r="H316" s="133">
        <v>44.572600000000001</v>
      </c>
      <c r="I316" s="133"/>
      <c r="J316" s="134"/>
      <c r="K316" s="135"/>
      <c r="L316" s="29"/>
      <c r="M316" s="142">
        <v>2007.3072</v>
      </c>
      <c r="N316" s="142">
        <v>35.911799999999999</v>
      </c>
      <c r="O316" s="142">
        <v>45.155500000000004</v>
      </c>
      <c r="P316" s="142">
        <v>44.572600000000001</v>
      </c>
      <c r="Q316" s="142"/>
      <c r="R316" s="143"/>
      <c r="S316" s="144"/>
      <c r="U316" s="41"/>
      <c r="V316" s="42"/>
      <c r="W316" s="43"/>
      <c r="X316" s="29"/>
      <c r="Y316" s="24"/>
      <c r="Z316" s="24"/>
      <c r="AA316" s="27"/>
    </row>
    <row r="317" spans="1:27" ht="12.75">
      <c r="B317" s="36"/>
      <c r="C317" s="29"/>
      <c r="D317" s="32">
        <v>35</v>
      </c>
      <c r="E317" s="133">
        <v>916.85599999999999</v>
      </c>
      <c r="F317" s="133">
        <v>33.377400000000002</v>
      </c>
      <c r="G317" s="133">
        <v>43.7864</v>
      </c>
      <c r="H317" s="133">
        <v>43.341200000000001</v>
      </c>
      <c r="I317" s="133"/>
      <c r="J317" s="134"/>
      <c r="K317" s="135"/>
      <c r="L317" s="29"/>
      <c r="M317" s="142">
        <v>916.85519999999997</v>
      </c>
      <c r="N317" s="142">
        <v>33.377400000000002</v>
      </c>
      <c r="O317" s="142">
        <v>43.7864</v>
      </c>
      <c r="P317" s="142">
        <v>43.341200000000001</v>
      </c>
      <c r="Q317" s="142"/>
      <c r="R317" s="143"/>
      <c r="S317" s="144"/>
      <c r="U317" s="41"/>
      <c r="V317" s="42"/>
      <c r="W317" s="43"/>
      <c r="X317" s="29"/>
      <c r="Y317" s="24"/>
      <c r="Z317" s="24"/>
      <c r="AA317" s="27"/>
    </row>
    <row r="318" spans="1:27" ht="13.5" thickBot="1">
      <c r="B318" s="36"/>
      <c r="C318" s="29"/>
      <c r="D318" s="32">
        <v>40</v>
      </c>
      <c r="E318" s="136">
        <v>425.44720000000001</v>
      </c>
      <c r="F318" s="136">
        <v>31.080500000000001</v>
      </c>
      <c r="G318" s="136">
        <v>42.991700000000002</v>
      </c>
      <c r="H318" s="136">
        <v>42.590800000000002</v>
      </c>
      <c r="I318" s="136"/>
      <c r="J318" s="137"/>
      <c r="K318" s="138"/>
      <c r="L318" s="29"/>
      <c r="M318" s="145">
        <v>425.44639999999998</v>
      </c>
      <c r="N318" s="145">
        <v>31.080500000000001</v>
      </c>
      <c r="O318" s="145">
        <v>42.991700000000002</v>
      </c>
      <c r="P318" s="145">
        <v>42.590800000000002</v>
      </c>
      <c r="Q318" s="145"/>
      <c r="R318" s="146"/>
      <c r="S318" s="147"/>
      <c r="U318" s="41"/>
      <c r="V318" s="42"/>
      <c r="W318" s="43"/>
      <c r="X318" s="29"/>
      <c r="Y318" s="24"/>
      <c r="Z318" s="24"/>
      <c r="AA318" s="27"/>
    </row>
    <row r="319" spans="1:27" ht="12.75">
      <c r="B319" s="36"/>
      <c r="C319" s="28" t="s">
        <v>27</v>
      </c>
      <c r="D319" s="31">
        <v>25</v>
      </c>
      <c r="E319" s="133">
        <v>907.84</v>
      </c>
      <c r="F319" s="133">
        <v>37.978200000000001</v>
      </c>
      <c r="G319" s="133">
        <v>46.576300000000003</v>
      </c>
      <c r="H319" s="133">
        <v>45.974400000000003</v>
      </c>
      <c r="I319" s="133"/>
      <c r="J319" s="134"/>
      <c r="K319" s="135"/>
      <c r="L319" s="29"/>
      <c r="M319" s="142">
        <v>907.84</v>
      </c>
      <c r="N319" s="142">
        <v>37.978200000000001</v>
      </c>
      <c r="O319" s="142">
        <v>46.576300000000003</v>
      </c>
      <c r="P319" s="142">
        <v>45.974400000000003</v>
      </c>
      <c r="Q319" s="142"/>
      <c r="R319" s="143"/>
      <c r="S319" s="144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</row>
    <row r="320" spans="1:27" ht="12.75">
      <c r="B320" s="36"/>
      <c r="C320" s="29"/>
      <c r="D320" s="32">
        <v>30</v>
      </c>
      <c r="E320" s="133">
        <v>318.14960000000002</v>
      </c>
      <c r="F320" s="133">
        <v>35.352600000000002</v>
      </c>
      <c r="G320" s="133">
        <v>45.121299999999998</v>
      </c>
      <c r="H320" s="133">
        <v>44.5899</v>
      </c>
      <c r="I320" s="133"/>
      <c r="J320" s="134"/>
      <c r="K320" s="135"/>
      <c r="L320" s="29"/>
      <c r="M320" s="142">
        <v>318.14960000000002</v>
      </c>
      <c r="N320" s="142">
        <v>35.352600000000002</v>
      </c>
      <c r="O320" s="142">
        <v>45.121299999999998</v>
      </c>
      <c r="P320" s="142">
        <v>44.5899</v>
      </c>
      <c r="Q320" s="142"/>
      <c r="R320" s="143"/>
      <c r="S320" s="144"/>
      <c r="U320" s="17"/>
      <c r="V320" s="18"/>
      <c r="W320" s="19"/>
      <c r="X320" s="29"/>
      <c r="Y320" s="24"/>
      <c r="Z320" s="24"/>
      <c r="AA320" s="27"/>
    </row>
    <row r="321" spans="2:27" ht="12.75">
      <c r="B321" s="36"/>
      <c r="C321" s="29"/>
      <c r="D321" s="32">
        <v>35</v>
      </c>
      <c r="E321" s="133">
        <v>135.73519999999999</v>
      </c>
      <c r="F321" s="133">
        <v>32.954000000000001</v>
      </c>
      <c r="G321" s="133">
        <v>43.846200000000003</v>
      </c>
      <c r="H321" s="133">
        <v>43.4129</v>
      </c>
      <c r="I321" s="133"/>
      <c r="J321" s="134"/>
      <c r="K321" s="135"/>
      <c r="L321" s="29"/>
      <c r="M321" s="142">
        <v>135.73519999999999</v>
      </c>
      <c r="N321" s="142">
        <v>32.954000000000001</v>
      </c>
      <c r="O321" s="142">
        <v>43.846200000000003</v>
      </c>
      <c r="P321" s="142">
        <v>43.4129</v>
      </c>
      <c r="Q321" s="142"/>
      <c r="R321" s="143"/>
      <c r="S321" s="144"/>
      <c r="U321" s="41"/>
      <c r="V321" s="44"/>
      <c r="W321" s="43"/>
      <c r="X321" s="29"/>
      <c r="Y321" s="24"/>
      <c r="Z321" s="24"/>
      <c r="AA321" s="27"/>
    </row>
    <row r="322" spans="2:27" ht="13.5" thickBot="1">
      <c r="B322" s="36"/>
      <c r="C322" s="29"/>
      <c r="D322" s="32">
        <v>40</v>
      </c>
      <c r="E322" s="133">
        <v>62.548000000000002</v>
      </c>
      <c r="F322" s="133">
        <v>30.7363</v>
      </c>
      <c r="G322" s="133">
        <v>43.041200000000003</v>
      </c>
      <c r="H322" s="133">
        <v>42.659500000000001</v>
      </c>
      <c r="I322" s="133"/>
      <c r="J322" s="134"/>
      <c r="K322" s="135"/>
      <c r="L322" s="29"/>
      <c r="M322" s="142">
        <v>62.548000000000002</v>
      </c>
      <c r="N322" s="142">
        <v>30.7363</v>
      </c>
      <c r="O322" s="142">
        <v>43.041200000000003</v>
      </c>
      <c r="P322" s="142">
        <v>42.659500000000001</v>
      </c>
      <c r="Q322" s="142"/>
      <c r="R322" s="143"/>
      <c r="S322" s="144"/>
      <c r="U322" s="41"/>
      <c r="V322" s="42"/>
      <c r="W322" s="43"/>
      <c r="X322" s="29"/>
      <c r="Y322" s="24"/>
      <c r="Z322" s="24"/>
      <c r="AA322" s="27"/>
    </row>
    <row r="323" spans="2:27" ht="12.75">
      <c r="B323" s="36"/>
      <c r="C323" s="28" t="s">
        <v>28</v>
      </c>
      <c r="D323" s="31">
        <v>25</v>
      </c>
      <c r="E323" s="130">
        <v>864.33759999999995</v>
      </c>
      <c r="F323" s="130">
        <v>38.144100000000002</v>
      </c>
      <c r="G323" s="130">
        <v>46.515799999999999</v>
      </c>
      <c r="H323" s="130">
        <v>45.778700000000001</v>
      </c>
      <c r="I323" s="130"/>
      <c r="J323" s="131"/>
      <c r="K323" s="132"/>
      <c r="L323" s="29"/>
      <c r="M323" s="139">
        <v>864.33759999999995</v>
      </c>
      <c r="N323" s="139">
        <v>38.144100000000002</v>
      </c>
      <c r="O323" s="139">
        <v>46.515799999999999</v>
      </c>
      <c r="P323" s="139">
        <v>45.778700000000001</v>
      </c>
      <c r="Q323" s="139"/>
      <c r="R323" s="140"/>
      <c r="S323" s="141"/>
      <c r="U323" s="8">
        <f>bdrate($E323:$E326,F323:F326,$M323:$M326,N323:N326)</f>
        <v>0</v>
      </c>
      <c r="V323" s="9">
        <f>bdrate($E323:$E326,G323:G326,$M323:$M326,O323:O326)</f>
        <v>0</v>
      </c>
      <c r="W323" s="10">
        <f>bdrate($E323:$E326,H323:H326,$M323:$M326,P323:P326)</f>
        <v>0</v>
      </c>
      <c r="X323" s="29"/>
      <c r="Y323" s="24"/>
      <c r="Z323" s="24"/>
      <c r="AA323" s="27"/>
    </row>
    <row r="324" spans="2:27" ht="12.75">
      <c r="B324" s="36"/>
      <c r="C324" s="29"/>
      <c r="D324" s="32">
        <v>30</v>
      </c>
      <c r="E324" s="133">
        <v>302.82560000000001</v>
      </c>
      <c r="F324" s="133">
        <v>35.534199999999998</v>
      </c>
      <c r="G324" s="133">
        <v>45.049199999999999</v>
      </c>
      <c r="H324" s="133">
        <v>44.429499999999997</v>
      </c>
      <c r="I324" s="133"/>
      <c r="J324" s="134"/>
      <c r="K324" s="135"/>
      <c r="L324" s="29"/>
      <c r="M324" s="142">
        <v>302.82560000000001</v>
      </c>
      <c r="N324" s="142">
        <v>35.534199999999998</v>
      </c>
      <c r="O324" s="142">
        <v>45.049199999999999</v>
      </c>
      <c r="P324" s="142">
        <v>44.429499999999997</v>
      </c>
      <c r="Q324" s="142"/>
      <c r="R324" s="143"/>
      <c r="S324" s="144"/>
      <c r="U324" s="41"/>
      <c r="V324" s="42"/>
      <c r="W324" s="43"/>
      <c r="X324" s="29"/>
      <c r="Y324" s="24"/>
      <c r="Z324" s="24"/>
      <c r="AA324" s="27"/>
    </row>
    <row r="325" spans="2:27" ht="12.75">
      <c r="B325" s="36"/>
      <c r="C325" s="29"/>
      <c r="D325" s="32">
        <v>35</v>
      </c>
      <c r="E325" s="133">
        <v>129.83279999999999</v>
      </c>
      <c r="F325" s="133">
        <v>33.145000000000003</v>
      </c>
      <c r="G325" s="133">
        <v>43.759</v>
      </c>
      <c r="H325" s="133">
        <v>43.262900000000002</v>
      </c>
      <c r="I325" s="133"/>
      <c r="J325" s="134"/>
      <c r="K325" s="135"/>
      <c r="L325" s="29"/>
      <c r="M325" s="142">
        <v>129.83279999999999</v>
      </c>
      <c r="N325" s="142">
        <v>33.145000000000003</v>
      </c>
      <c r="O325" s="142">
        <v>43.759</v>
      </c>
      <c r="P325" s="142">
        <v>43.262900000000002</v>
      </c>
      <c r="Q325" s="142"/>
      <c r="R325" s="143"/>
      <c r="S325" s="144"/>
      <c r="U325" s="17"/>
      <c r="V325" s="18"/>
      <c r="W325" s="19"/>
      <c r="X325" s="29"/>
      <c r="Y325" s="24"/>
      <c r="Z325" s="24"/>
      <c r="AA325" s="27"/>
    </row>
    <row r="326" spans="2:27" ht="13.5" thickBot="1">
      <c r="B326" s="36"/>
      <c r="C326" s="51"/>
      <c r="D326" s="69">
        <v>40</v>
      </c>
      <c r="E326" s="136">
        <v>60.134399999999999</v>
      </c>
      <c r="F326" s="136">
        <v>30.9087</v>
      </c>
      <c r="G326" s="136">
        <v>42.955100000000002</v>
      </c>
      <c r="H326" s="136">
        <v>42.515799999999999</v>
      </c>
      <c r="I326" s="136"/>
      <c r="J326" s="137"/>
      <c r="K326" s="138"/>
      <c r="L326" s="29"/>
      <c r="M326" s="145">
        <v>60.134399999999999</v>
      </c>
      <c r="N326" s="145">
        <v>30.9087</v>
      </c>
      <c r="O326" s="145">
        <v>42.955100000000002</v>
      </c>
      <c r="P326" s="145">
        <v>42.515799999999999</v>
      </c>
      <c r="Q326" s="145"/>
      <c r="R326" s="146"/>
      <c r="S326" s="147"/>
      <c r="U326" s="41"/>
      <c r="V326" s="42"/>
      <c r="W326" s="43"/>
      <c r="X326" s="29"/>
      <c r="Y326" s="24"/>
      <c r="Z326" s="24"/>
      <c r="AA326" s="27"/>
    </row>
    <row r="327" spans="2:27" ht="12.75">
      <c r="B327" s="36"/>
      <c r="C327" s="28" t="s">
        <v>29</v>
      </c>
      <c r="D327" s="31">
        <v>34</v>
      </c>
      <c r="E327" s="130">
        <v>207.29679999999999</v>
      </c>
      <c r="F327" s="130">
        <v>47.519599999999997</v>
      </c>
      <c r="G327" s="130"/>
      <c r="H327" s="130"/>
      <c r="I327" s="130"/>
      <c r="J327" s="131"/>
      <c r="K327" s="132"/>
      <c r="L327" s="29"/>
      <c r="M327" s="139">
        <v>207.29679999999999</v>
      </c>
      <c r="N327" s="139">
        <v>47.519599999999997</v>
      </c>
      <c r="O327" s="139"/>
      <c r="P327" s="139"/>
      <c r="Q327" s="139"/>
      <c r="R327" s="140"/>
      <c r="S327" s="141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</row>
    <row r="328" spans="2:27" ht="12.75">
      <c r="B328" s="36"/>
      <c r="C328" s="29"/>
      <c r="D328" s="32">
        <v>39</v>
      </c>
      <c r="E328" s="133">
        <v>93.056799999999996</v>
      </c>
      <c r="F328" s="133">
        <v>42.8932</v>
      </c>
      <c r="G328" s="133"/>
      <c r="H328" s="133"/>
      <c r="I328" s="133"/>
      <c r="J328" s="134"/>
      <c r="K328" s="135"/>
      <c r="L328" s="29"/>
      <c r="M328" s="142">
        <v>93.056799999999996</v>
      </c>
      <c r="N328" s="142">
        <v>42.8932</v>
      </c>
      <c r="O328" s="142"/>
      <c r="P328" s="142"/>
      <c r="Q328" s="142"/>
      <c r="R328" s="143"/>
      <c r="S328" s="144"/>
      <c r="U328" s="41"/>
      <c r="V328" s="42"/>
      <c r="W328" s="43"/>
      <c r="X328" s="29"/>
      <c r="Y328" s="24"/>
      <c r="Z328" s="24"/>
      <c r="AA328" s="27"/>
    </row>
    <row r="329" spans="2:27" ht="12.75">
      <c r="B329" s="36"/>
      <c r="C329" s="29"/>
      <c r="D329" s="32">
        <v>42</v>
      </c>
      <c r="E329" s="133">
        <v>45.5336</v>
      </c>
      <c r="F329" s="133">
        <v>39.178699999999999</v>
      </c>
      <c r="G329" s="133"/>
      <c r="H329" s="133"/>
      <c r="I329" s="133"/>
      <c r="J329" s="134"/>
      <c r="K329" s="135"/>
      <c r="L329" s="29"/>
      <c r="M329" s="142">
        <v>45.5336</v>
      </c>
      <c r="N329" s="142">
        <v>39.178699999999999</v>
      </c>
      <c r="O329" s="142"/>
      <c r="P329" s="142"/>
      <c r="Q329" s="142"/>
      <c r="R329" s="143"/>
      <c r="S329" s="144"/>
      <c r="U329" s="41"/>
      <c r="V329" s="42"/>
      <c r="W329" s="43"/>
      <c r="X329" s="29"/>
      <c r="Y329" s="24"/>
      <c r="Z329" s="24"/>
      <c r="AA329" s="27"/>
    </row>
    <row r="330" spans="2:27" ht="13.5" thickBot="1">
      <c r="B330" s="36"/>
      <c r="C330" s="29"/>
      <c r="D330" s="32">
        <v>45</v>
      </c>
      <c r="E330" s="136">
        <v>21.655200000000001</v>
      </c>
      <c r="F330" s="136">
        <v>35.120699999999999</v>
      </c>
      <c r="G330" s="136"/>
      <c r="H330" s="136"/>
      <c r="I330" s="136"/>
      <c r="J330" s="137"/>
      <c r="K330" s="138"/>
      <c r="L330" s="29"/>
      <c r="M330" s="145">
        <v>21.655200000000001</v>
      </c>
      <c r="N330" s="145">
        <v>35.120699999999999</v>
      </c>
      <c r="O330" s="145"/>
      <c r="P330" s="145"/>
      <c r="Q330" s="145"/>
      <c r="R330" s="146"/>
      <c r="S330" s="147"/>
      <c r="U330" s="17"/>
      <c r="V330" s="18"/>
      <c r="W330" s="19"/>
      <c r="X330" s="29"/>
      <c r="Y330" s="59"/>
      <c r="Z330" s="59"/>
      <c r="AA330" s="55"/>
    </row>
    <row r="331" spans="2:27" ht="12.75">
      <c r="B331" s="36"/>
      <c r="C331" s="28" t="s">
        <v>30</v>
      </c>
      <c r="D331" s="31">
        <v>34</v>
      </c>
      <c r="E331" s="130">
        <v>93.322400000000002</v>
      </c>
      <c r="F331" s="130">
        <v>46.1935</v>
      </c>
      <c r="G331" s="130"/>
      <c r="H331" s="130"/>
      <c r="I331" s="130"/>
      <c r="J331" s="131"/>
      <c r="K331" s="132"/>
      <c r="L331" s="29"/>
      <c r="M331" s="139">
        <v>93.322400000000002</v>
      </c>
      <c r="N331" s="139">
        <v>46.1935</v>
      </c>
      <c r="O331" s="139"/>
      <c r="P331" s="139"/>
      <c r="Q331" s="139"/>
      <c r="R331" s="140"/>
      <c r="S331" s="141"/>
      <c r="U331" s="8">
        <f>bdrate($E331:$E334,F331:F334,$M331:$M334,N331:N334)</f>
        <v>0</v>
      </c>
      <c r="V331" s="9"/>
      <c r="W331" s="10"/>
      <c r="X331" s="29"/>
      <c r="Y331" s="24"/>
      <c r="Z331" s="24"/>
      <c r="AA331" s="27"/>
    </row>
    <row r="332" spans="2:27" ht="12.75">
      <c r="B332" s="36"/>
      <c r="C332" s="29"/>
      <c r="D332" s="32">
        <v>39</v>
      </c>
      <c r="E332" s="133">
        <v>37.336799999999997</v>
      </c>
      <c r="F332" s="133">
        <v>41.8598</v>
      </c>
      <c r="G332" s="133"/>
      <c r="H332" s="133"/>
      <c r="I332" s="133"/>
      <c r="J332" s="134"/>
      <c r="K332" s="135"/>
      <c r="L332" s="29"/>
      <c r="M332" s="142">
        <v>37.336799999999997</v>
      </c>
      <c r="N332" s="142">
        <v>41.8598</v>
      </c>
      <c r="O332" s="142"/>
      <c r="P332" s="142"/>
      <c r="Q332" s="142"/>
      <c r="R332" s="143"/>
      <c r="S332" s="144"/>
      <c r="U332" s="12"/>
      <c r="V332" s="13"/>
      <c r="W332" s="14"/>
      <c r="X332" s="29"/>
      <c r="Y332" s="24"/>
      <c r="Z332" s="24"/>
      <c r="AA332" s="27"/>
    </row>
    <row r="333" spans="2:27" ht="12.75">
      <c r="B333" s="36"/>
      <c r="C333" s="29"/>
      <c r="D333" s="32">
        <v>42</v>
      </c>
      <c r="E333" s="133">
        <v>18.753599999999999</v>
      </c>
      <c r="F333" s="133">
        <v>38.398899999999998</v>
      </c>
      <c r="G333" s="133"/>
      <c r="H333" s="133"/>
      <c r="I333" s="133"/>
      <c r="J333" s="134"/>
      <c r="K333" s="135"/>
      <c r="L333" s="29"/>
      <c r="M333" s="142">
        <v>18.753599999999999</v>
      </c>
      <c r="N333" s="142">
        <v>38.398899999999998</v>
      </c>
      <c r="O333" s="142"/>
      <c r="P333" s="142"/>
      <c r="Q333" s="142"/>
      <c r="R333" s="143"/>
      <c r="S333" s="144"/>
      <c r="U333" s="12"/>
      <c r="V333" s="13"/>
      <c r="W333" s="14"/>
      <c r="X333" s="29"/>
      <c r="Y333" s="24"/>
      <c r="Z333" s="24"/>
      <c r="AA333" s="27"/>
    </row>
    <row r="334" spans="2:27" ht="13.5" thickBot="1">
      <c r="B334" s="36"/>
      <c r="C334" s="29"/>
      <c r="D334" s="32">
        <v>45</v>
      </c>
      <c r="E334" s="136">
        <v>9.5215999999999994</v>
      </c>
      <c r="F334" s="136">
        <v>34.542299999999997</v>
      </c>
      <c r="G334" s="136"/>
      <c r="H334" s="136"/>
      <c r="I334" s="136"/>
      <c r="J334" s="137"/>
      <c r="K334" s="138"/>
      <c r="L334" s="29"/>
      <c r="M334" s="145">
        <v>9.5215999999999994</v>
      </c>
      <c r="N334" s="145">
        <v>34.542299999999997</v>
      </c>
      <c r="O334" s="145"/>
      <c r="P334" s="145"/>
      <c r="Q334" s="145"/>
      <c r="R334" s="146"/>
      <c r="S334" s="147"/>
      <c r="U334" s="12"/>
      <c r="V334" s="13"/>
      <c r="W334" s="14"/>
      <c r="X334" s="29"/>
      <c r="Y334" s="24"/>
      <c r="Z334" s="24"/>
      <c r="AA334" s="27"/>
    </row>
    <row r="335" spans="2:27" ht="12.75">
      <c r="B335" s="36"/>
      <c r="C335" s="28" t="s">
        <v>31</v>
      </c>
      <c r="D335" s="31">
        <v>34</v>
      </c>
      <c r="E335" s="130">
        <v>93.8</v>
      </c>
      <c r="F335" s="130">
        <v>46.337800000000001</v>
      </c>
      <c r="G335" s="130"/>
      <c r="H335" s="130"/>
      <c r="I335" s="130"/>
      <c r="J335" s="131"/>
      <c r="K335" s="132"/>
      <c r="L335" s="29"/>
      <c r="M335" s="139">
        <v>93.8</v>
      </c>
      <c r="N335" s="139">
        <v>46.337800000000001</v>
      </c>
      <c r="O335" s="139"/>
      <c r="P335" s="139"/>
      <c r="Q335" s="139"/>
      <c r="R335" s="140"/>
      <c r="S335" s="141"/>
      <c r="U335" s="8">
        <f>bdrate($E335:$E338,F335:F338,$M335:$M338,N335:N338)</f>
        <v>0</v>
      </c>
      <c r="V335" s="9"/>
      <c r="W335" s="10"/>
      <c r="X335" s="29"/>
      <c r="Y335" s="24"/>
      <c r="Z335" s="24"/>
      <c r="AA335" s="27"/>
    </row>
    <row r="336" spans="2:27" ht="12.75">
      <c r="B336" s="36"/>
      <c r="C336" s="29"/>
      <c r="D336" s="32">
        <v>39</v>
      </c>
      <c r="E336" s="133">
        <v>38.532800000000002</v>
      </c>
      <c r="F336" s="133">
        <v>41.975999999999999</v>
      </c>
      <c r="G336" s="133"/>
      <c r="H336" s="133"/>
      <c r="I336" s="133"/>
      <c r="J336" s="134"/>
      <c r="K336" s="135"/>
      <c r="L336" s="29"/>
      <c r="M336" s="142">
        <v>38.532800000000002</v>
      </c>
      <c r="N336" s="142">
        <v>41.975999999999999</v>
      </c>
      <c r="O336" s="142"/>
      <c r="P336" s="142"/>
      <c r="Q336" s="142"/>
      <c r="R336" s="143"/>
      <c r="S336" s="144"/>
      <c r="U336" s="41"/>
      <c r="V336" s="42"/>
      <c r="W336" s="43"/>
      <c r="X336" s="29"/>
      <c r="Y336" s="24"/>
      <c r="Z336" s="24"/>
      <c r="AA336" s="27"/>
    </row>
    <row r="337" spans="2:27" ht="12.75">
      <c r="B337" s="36"/>
      <c r="C337" s="29"/>
      <c r="D337" s="32">
        <v>42</v>
      </c>
      <c r="E337" s="133">
        <v>19.571200000000001</v>
      </c>
      <c r="F337" s="133">
        <v>38.4176</v>
      </c>
      <c r="G337" s="133"/>
      <c r="H337" s="133"/>
      <c r="I337" s="133"/>
      <c r="J337" s="134"/>
      <c r="K337" s="135"/>
      <c r="L337" s="29"/>
      <c r="M337" s="142">
        <v>19.571200000000001</v>
      </c>
      <c r="N337" s="142">
        <v>38.4176</v>
      </c>
      <c r="O337" s="142"/>
      <c r="P337" s="142"/>
      <c r="Q337" s="142"/>
      <c r="R337" s="143"/>
      <c r="S337" s="144"/>
      <c r="U337" s="41"/>
      <c r="V337" s="42"/>
      <c r="W337" s="43"/>
      <c r="X337" s="29"/>
      <c r="Y337" s="24"/>
      <c r="Z337" s="24"/>
      <c r="AA337" s="27"/>
    </row>
    <row r="338" spans="2:27" ht="13.5" thickBot="1">
      <c r="B338" s="36"/>
      <c r="C338" s="29"/>
      <c r="D338" s="32">
        <v>45</v>
      </c>
      <c r="E338" s="136">
        <v>10.2576</v>
      </c>
      <c r="F338" s="136">
        <v>34.747399999999999</v>
      </c>
      <c r="G338" s="136"/>
      <c r="H338" s="136"/>
      <c r="I338" s="136"/>
      <c r="J338" s="137"/>
      <c r="K338" s="138"/>
      <c r="L338" s="29"/>
      <c r="M338" s="145">
        <v>10.2576</v>
      </c>
      <c r="N338" s="145">
        <v>34.747399999999999</v>
      </c>
      <c r="O338" s="145"/>
      <c r="P338" s="145"/>
      <c r="Q338" s="145"/>
      <c r="R338" s="146"/>
      <c r="S338" s="147"/>
      <c r="U338" s="41"/>
      <c r="V338" s="42"/>
      <c r="W338" s="43"/>
      <c r="X338" s="29"/>
      <c r="Y338" s="24"/>
      <c r="Z338" s="24"/>
      <c r="AA338" s="27"/>
    </row>
    <row r="339" spans="2:27" ht="12.75">
      <c r="B339" s="36"/>
      <c r="C339" s="28" t="s">
        <v>47</v>
      </c>
      <c r="D339" s="31">
        <v>25</v>
      </c>
      <c r="E339" s="130" t="s">
        <v>62</v>
      </c>
      <c r="F339" s="130">
        <v>38.520899999999997</v>
      </c>
      <c r="G339" s="130">
        <v>46.591700000000003</v>
      </c>
      <c r="H339" s="130">
        <v>45.6434</v>
      </c>
      <c r="I339" s="130"/>
      <c r="J339" s="131"/>
      <c r="K339" s="132"/>
      <c r="L339" s="29"/>
      <c r="M339" s="139" t="s">
        <v>62</v>
      </c>
      <c r="N339" s="139">
        <v>38.520899999999997</v>
      </c>
      <c r="O339" s="139">
        <v>46.591700000000003</v>
      </c>
      <c r="P339" s="139">
        <v>45.6434</v>
      </c>
      <c r="Q339" s="139"/>
      <c r="R339" s="140"/>
      <c r="S339" s="141"/>
      <c r="U339" s="8"/>
      <c r="V339" s="9"/>
      <c r="W339" s="10"/>
      <c r="X339" s="29"/>
      <c r="Y339" s="24"/>
      <c r="Z339" s="24"/>
      <c r="AA339" s="27"/>
    </row>
    <row r="340" spans="2:27" ht="12.75">
      <c r="B340" s="36"/>
      <c r="C340" s="29"/>
      <c r="D340" s="32">
        <v>30</v>
      </c>
      <c r="E340" s="133" t="s">
        <v>62</v>
      </c>
      <c r="F340" s="133">
        <v>35.698599999999999</v>
      </c>
      <c r="G340" s="133">
        <v>45.253900000000002</v>
      </c>
      <c r="H340" s="133">
        <v>44.522300000000001</v>
      </c>
      <c r="I340" s="133"/>
      <c r="J340" s="134"/>
      <c r="K340" s="135"/>
      <c r="L340" s="29"/>
      <c r="M340" s="142" t="s">
        <v>62</v>
      </c>
      <c r="N340" s="142">
        <v>35.698599999999999</v>
      </c>
      <c r="O340" s="142">
        <v>45.253900000000002</v>
      </c>
      <c r="P340" s="142">
        <v>44.522300000000001</v>
      </c>
      <c r="Q340" s="142"/>
      <c r="R340" s="143"/>
      <c r="S340" s="144"/>
      <c r="U340" s="17"/>
      <c r="V340" s="18"/>
      <c r="W340" s="19"/>
      <c r="X340" s="29"/>
      <c r="Y340" s="24"/>
      <c r="Z340" s="24"/>
      <c r="AA340" s="27"/>
    </row>
    <row r="341" spans="2:27" ht="12.75">
      <c r="B341" s="36"/>
      <c r="C341" s="29"/>
      <c r="D341" s="32">
        <v>35</v>
      </c>
      <c r="E341" s="133" t="s">
        <v>62</v>
      </c>
      <c r="F341" s="133">
        <v>33.177500000000002</v>
      </c>
      <c r="G341" s="133">
        <v>43.955599999999997</v>
      </c>
      <c r="H341" s="133">
        <v>43.482300000000002</v>
      </c>
      <c r="I341" s="133"/>
      <c r="J341" s="134"/>
      <c r="K341" s="135"/>
      <c r="L341" s="29"/>
      <c r="M341" s="142" t="s">
        <v>62</v>
      </c>
      <c r="N341" s="142">
        <v>33.177500000000002</v>
      </c>
      <c r="O341" s="142">
        <v>43.955599999999997</v>
      </c>
      <c r="P341" s="142">
        <v>43.482300000000002</v>
      </c>
      <c r="Q341" s="142"/>
      <c r="R341" s="143"/>
      <c r="S341" s="144"/>
      <c r="U341" s="41"/>
      <c r="V341" s="44"/>
      <c r="W341" s="43"/>
      <c r="X341" s="29"/>
      <c r="Y341" s="24"/>
      <c r="Z341" s="24"/>
      <c r="AA341" s="27"/>
    </row>
    <row r="342" spans="2:27" ht="13.5" thickBot="1">
      <c r="B342" s="36"/>
      <c r="C342" s="51"/>
      <c r="D342" s="69">
        <v>40</v>
      </c>
      <c r="E342" s="136" t="s">
        <v>62</v>
      </c>
      <c r="F342" s="136">
        <v>30.866599999999998</v>
      </c>
      <c r="G342" s="136">
        <v>43.263800000000003</v>
      </c>
      <c r="H342" s="136">
        <v>42.759700000000002</v>
      </c>
      <c r="I342" s="136"/>
      <c r="J342" s="137"/>
      <c r="K342" s="138"/>
      <c r="L342" s="29"/>
      <c r="M342" s="145" t="s">
        <v>62</v>
      </c>
      <c r="N342" s="145">
        <v>30.866599999999998</v>
      </c>
      <c r="O342" s="145">
        <v>43.263800000000003</v>
      </c>
      <c r="P342" s="145">
        <v>42.759700000000002</v>
      </c>
      <c r="Q342" s="145"/>
      <c r="R342" s="146"/>
      <c r="S342" s="147"/>
      <c r="U342" s="41"/>
      <c r="V342" s="42"/>
      <c r="W342" s="43"/>
      <c r="X342" s="29"/>
      <c r="Y342" s="24"/>
      <c r="Z342" s="24"/>
      <c r="AA342" s="27"/>
    </row>
    <row r="343" spans="2:27" ht="12.75">
      <c r="B343" s="36"/>
      <c r="C343" s="29" t="s">
        <v>48</v>
      </c>
      <c r="D343" s="32">
        <v>25</v>
      </c>
      <c r="E343" s="130" t="s">
        <v>62</v>
      </c>
      <c r="F343" s="130">
        <v>38.9208</v>
      </c>
      <c r="G343" s="130">
        <v>46.951999999999998</v>
      </c>
      <c r="H343" s="130">
        <v>46.013399999999997</v>
      </c>
      <c r="I343" s="130"/>
      <c r="J343" s="131"/>
      <c r="K343" s="132"/>
      <c r="L343" s="29"/>
      <c r="M343" s="139" t="s">
        <v>62</v>
      </c>
      <c r="N343" s="139">
        <v>38.9208</v>
      </c>
      <c r="O343" s="139">
        <v>46.951999999999998</v>
      </c>
      <c r="P343" s="139">
        <v>46.013399999999997</v>
      </c>
      <c r="Q343" s="139"/>
      <c r="R343" s="140"/>
      <c r="S343" s="141"/>
      <c r="U343" s="8"/>
      <c r="V343" s="9"/>
      <c r="W343" s="10"/>
      <c r="X343" s="29"/>
      <c r="Y343" s="24"/>
      <c r="Z343" s="24"/>
      <c r="AA343" s="27"/>
    </row>
    <row r="344" spans="2:27" ht="12.75">
      <c r="B344" s="36"/>
      <c r="C344" s="29"/>
      <c r="D344" s="32">
        <v>30</v>
      </c>
      <c r="E344" s="133" t="s">
        <v>62</v>
      </c>
      <c r="F344" s="133">
        <v>35.970500000000001</v>
      </c>
      <c r="G344" s="133">
        <v>45.522799999999997</v>
      </c>
      <c r="H344" s="133">
        <v>44.8245</v>
      </c>
      <c r="I344" s="133"/>
      <c r="J344" s="134"/>
      <c r="K344" s="135"/>
      <c r="L344" s="29"/>
      <c r="M344" s="142" t="s">
        <v>62</v>
      </c>
      <c r="N344" s="142">
        <v>35.970500000000001</v>
      </c>
      <c r="O344" s="142">
        <v>45.522799999999997</v>
      </c>
      <c r="P344" s="142">
        <v>44.8245</v>
      </c>
      <c r="Q344" s="142"/>
      <c r="R344" s="143"/>
      <c r="S344" s="144"/>
      <c r="U344" s="41"/>
      <c r="V344" s="42"/>
      <c r="W344" s="43"/>
      <c r="X344" s="29"/>
      <c r="Y344" s="24"/>
      <c r="Z344" s="24"/>
      <c r="AA344" s="27"/>
    </row>
    <row r="345" spans="2:27" ht="12.75">
      <c r="B345" s="36"/>
      <c r="C345" s="29"/>
      <c r="D345" s="32">
        <v>35</v>
      </c>
      <c r="E345" s="133" t="s">
        <v>62</v>
      </c>
      <c r="F345" s="133">
        <v>33.3673</v>
      </c>
      <c r="G345" s="133">
        <v>44.171100000000003</v>
      </c>
      <c r="H345" s="133">
        <v>43.7149</v>
      </c>
      <c r="I345" s="133"/>
      <c r="J345" s="134"/>
      <c r="K345" s="135"/>
      <c r="L345" s="29"/>
      <c r="M345" s="142" t="s">
        <v>62</v>
      </c>
      <c r="N345" s="142">
        <v>33.3673</v>
      </c>
      <c r="O345" s="142">
        <v>44.171100000000003</v>
      </c>
      <c r="P345" s="142">
        <v>43.7149</v>
      </c>
      <c r="Q345" s="142"/>
      <c r="R345" s="143"/>
      <c r="S345" s="144"/>
      <c r="U345" s="17"/>
      <c r="V345" s="18"/>
      <c r="W345" s="19"/>
      <c r="X345" s="29"/>
      <c r="Y345" s="24"/>
      <c r="Z345" s="24"/>
      <c r="AA345" s="27"/>
    </row>
    <row r="346" spans="2:27" ht="13.5" thickBot="1">
      <c r="B346" s="36"/>
      <c r="C346" s="51"/>
      <c r="D346" s="69">
        <v>40</v>
      </c>
      <c r="E346" s="136" t="s">
        <v>62</v>
      </c>
      <c r="F346" s="136">
        <v>31.004100000000001</v>
      </c>
      <c r="G346" s="136">
        <v>43.415799999999997</v>
      </c>
      <c r="H346" s="136">
        <v>42.976900000000001</v>
      </c>
      <c r="I346" s="136"/>
      <c r="J346" s="137"/>
      <c r="K346" s="138"/>
      <c r="L346" s="29"/>
      <c r="M346" s="145" t="s">
        <v>62</v>
      </c>
      <c r="N346" s="145">
        <v>31.004100000000001</v>
      </c>
      <c r="O346" s="145">
        <v>43.415799999999997</v>
      </c>
      <c r="P346" s="145">
        <v>42.976900000000001</v>
      </c>
      <c r="Q346" s="145"/>
      <c r="R346" s="146"/>
      <c r="S346" s="147"/>
      <c r="U346" s="41"/>
      <c r="V346" s="42"/>
      <c r="W346" s="43"/>
      <c r="X346" s="29"/>
      <c r="Y346" s="24"/>
      <c r="Z346" s="24"/>
      <c r="AA346" s="27"/>
    </row>
    <row r="347" spans="2:27" ht="12.75">
      <c r="B347" s="36"/>
      <c r="C347" s="29" t="s">
        <v>49</v>
      </c>
      <c r="D347" s="32">
        <v>25</v>
      </c>
      <c r="E347" s="130" t="s">
        <v>62</v>
      </c>
      <c r="F347" s="130">
        <v>39.020099999999999</v>
      </c>
      <c r="G347" s="130">
        <v>47.396799999999999</v>
      </c>
      <c r="H347" s="130">
        <v>46.810299999999998</v>
      </c>
      <c r="I347" s="130"/>
      <c r="J347" s="131"/>
      <c r="K347" s="132"/>
      <c r="L347" s="29"/>
      <c r="M347" s="139" t="s">
        <v>62</v>
      </c>
      <c r="N347" s="139">
        <v>39.020099999999999</v>
      </c>
      <c r="O347" s="139">
        <v>47.396799999999999</v>
      </c>
      <c r="P347" s="139">
        <v>46.810299999999998</v>
      </c>
      <c r="Q347" s="139"/>
      <c r="R347" s="140"/>
      <c r="S347" s="141"/>
      <c r="U347" s="8"/>
      <c r="V347" s="9"/>
      <c r="W347" s="10"/>
      <c r="X347" s="29"/>
      <c r="Y347" s="24"/>
      <c r="Z347" s="24"/>
      <c r="AA347" s="27"/>
    </row>
    <row r="348" spans="2:27" ht="12.75">
      <c r="B348" s="36"/>
      <c r="C348" s="29"/>
      <c r="D348" s="32">
        <v>30</v>
      </c>
      <c r="E348" s="133" t="s">
        <v>62</v>
      </c>
      <c r="F348" s="133">
        <v>36.030500000000004</v>
      </c>
      <c r="G348" s="133">
        <v>45.825899999999997</v>
      </c>
      <c r="H348" s="133">
        <v>45.292099999999998</v>
      </c>
      <c r="I348" s="133"/>
      <c r="J348" s="134"/>
      <c r="K348" s="135"/>
      <c r="L348" s="29"/>
      <c r="M348" s="142" t="s">
        <v>62</v>
      </c>
      <c r="N348" s="142">
        <v>36.030500000000004</v>
      </c>
      <c r="O348" s="142">
        <v>45.825899999999997</v>
      </c>
      <c r="P348" s="142">
        <v>45.292099999999998</v>
      </c>
      <c r="Q348" s="142"/>
      <c r="R348" s="143"/>
      <c r="S348" s="144"/>
      <c r="U348" s="41"/>
      <c r="V348" s="42"/>
      <c r="W348" s="43"/>
      <c r="X348" s="29"/>
      <c r="Y348" s="24"/>
      <c r="Z348" s="24"/>
      <c r="AA348" s="27"/>
    </row>
    <row r="349" spans="2:27" ht="12.75">
      <c r="B349" s="36"/>
      <c r="C349" s="29"/>
      <c r="D349" s="32">
        <v>35</v>
      </c>
      <c r="E349" s="133" t="s">
        <v>62</v>
      </c>
      <c r="F349" s="133">
        <v>33.422199999999997</v>
      </c>
      <c r="G349" s="133">
        <v>44.383499999999998</v>
      </c>
      <c r="H349" s="133">
        <v>43.962499999999999</v>
      </c>
      <c r="I349" s="133"/>
      <c r="J349" s="134"/>
      <c r="K349" s="135"/>
      <c r="L349" s="29"/>
      <c r="M349" s="142" t="s">
        <v>62</v>
      </c>
      <c r="N349" s="142">
        <v>33.422199999999997</v>
      </c>
      <c r="O349" s="142">
        <v>44.383499999999998</v>
      </c>
      <c r="P349" s="142">
        <v>43.962499999999999</v>
      </c>
      <c r="Q349" s="142"/>
      <c r="R349" s="143"/>
      <c r="S349" s="144"/>
      <c r="U349" s="41"/>
      <c r="V349" s="42"/>
      <c r="W349" s="43"/>
      <c r="X349" s="29"/>
      <c r="Y349" s="24"/>
      <c r="Z349" s="24"/>
      <c r="AA349" s="27"/>
    </row>
    <row r="350" spans="2:27" ht="13.5" thickBot="1">
      <c r="B350" s="36"/>
      <c r="C350" s="51"/>
      <c r="D350" s="69">
        <v>40</v>
      </c>
      <c r="E350" s="136" t="s">
        <v>62</v>
      </c>
      <c r="F350" s="136">
        <v>31.057099999999998</v>
      </c>
      <c r="G350" s="136">
        <v>43.534100000000002</v>
      </c>
      <c r="H350" s="136">
        <v>43.154699999999998</v>
      </c>
      <c r="I350" s="136"/>
      <c r="J350" s="137"/>
      <c r="K350" s="138"/>
      <c r="L350" s="29"/>
      <c r="M350" s="145" t="s">
        <v>62</v>
      </c>
      <c r="N350" s="145">
        <v>31.057099999999998</v>
      </c>
      <c r="O350" s="145">
        <v>43.534100000000002</v>
      </c>
      <c r="P350" s="145">
        <v>43.154699999999998</v>
      </c>
      <c r="Q350" s="145"/>
      <c r="R350" s="146"/>
      <c r="S350" s="147"/>
      <c r="U350" s="17"/>
      <c r="V350" s="18"/>
      <c r="W350" s="19"/>
      <c r="X350" s="29"/>
      <c r="Z350" s="59"/>
      <c r="AA350" s="55"/>
    </row>
    <row r="351" spans="2:27" ht="12.75">
      <c r="B351" s="36"/>
      <c r="C351" s="29" t="s">
        <v>50</v>
      </c>
      <c r="D351" s="32">
        <v>25</v>
      </c>
      <c r="E351" s="130" t="s">
        <v>62</v>
      </c>
      <c r="F351" s="130">
        <v>39.021900000000002</v>
      </c>
      <c r="G351" s="130">
        <v>47.321100000000001</v>
      </c>
      <c r="H351" s="130">
        <v>46.802599999999998</v>
      </c>
      <c r="I351" s="130"/>
      <c r="J351" s="131"/>
      <c r="K351" s="132"/>
      <c r="L351" s="29"/>
      <c r="M351" s="139" t="s">
        <v>62</v>
      </c>
      <c r="N351" s="139">
        <v>39.021900000000002</v>
      </c>
      <c r="O351" s="139">
        <v>47.321100000000001</v>
      </c>
      <c r="P351" s="139">
        <v>46.802599999999998</v>
      </c>
      <c r="Q351" s="139"/>
      <c r="R351" s="140"/>
      <c r="S351" s="141"/>
      <c r="U351" s="8"/>
      <c r="V351" s="9"/>
      <c r="W351" s="10"/>
      <c r="X351" s="29"/>
      <c r="Y351" s="24"/>
      <c r="Z351" s="24"/>
      <c r="AA351" s="27"/>
    </row>
    <row r="352" spans="2:27" ht="12.75">
      <c r="B352" s="36"/>
      <c r="C352" s="29"/>
      <c r="D352" s="32">
        <v>30</v>
      </c>
      <c r="E352" s="133" t="s">
        <v>62</v>
      </c>
      <c r="F352" s="133">
        <v>36.043100000000003</v>
      </c>
      <c r="G352" s="133">
        <v>45.745899999999999</v>
      </c>
      <c r="H352" s="133">
        <v>45.265000000000001</v>
      </c>
      <c r="I352" s="133"/>
      <c r="J352" s="134"/>
      <c r="K352" s="135"/>
      <c r="L352" s="29"/>
      <c r="M352" s="142" t="s">
        <v>62</v>
      </c>
      <c r="N352" s="142">
        <v>36.043100000000003</v>
      </c>
      <c r="O352" s="142">
        <v>45.745899999999999</v>
      </c>
      <c r="P352" s="142">
        <v>45.265000000000001</v>
      </c>
      <c r="Q352" s="142"/>
      <c r="R352" s="143"/>
      <c r="S352" s="144"/>
      <c r="U352" s="12"/>
      <c r="V352" s="13"/>
      <c r="W352" s="14"/>
      <c r="X352" s="29"/>
      <c r="Y352" s="24"/>
      <c r="Z352" s="24"/>
      <c r="AA352" s="27"/>
    </row>
    <row r="353" spans="1:27" ht="12.75">
      <c r="B353" s="36"/>
      <c r="C353" s="29"/>
      <c r="D353" s="32">
        <v>35</v>
      </c>
      <c r="E353" s="133" t="s">
        <v>62</v>
      </c>
      <c r="F353" s="133">
        <v>33.431899999999999</v>
      </c>
      <c r="G353" s="133">
        <v>44.3095</v>
      </c>
      <c r="H353" s="133">
        <v>43.911299999999997</v>
      </c>
      <c r="I353" s="133"/>
      <c r="J353" s="134"/>
      <c r="K353" s="135"/>
      <c r="L353" s="29"/>
      <c r="M353" s="142" t="s">
        <v>62</v>
      </c>
      <c r="N353" s="142">
        <v>33.431899999999999</v>
      </c>
      <c r="O353" s="142">
        <v>44.3095</v>
      </c>
      <c r="P353" s="142">
        <v>43.911299999999997</v>
      </c>
      <c r="Q353" s="142"/>
      <c r="R353" s="143"/>
      <c r="S353" s="144"/>
      <c r="U353" s="12"/>
      <c r="V353" s="13"/>
      <c r="W353" s="14"/>
      <c r="X353" s="29"/>
      <c r="Y353" s="24"/>
      <c r="Z353" s="24"/>
      <c r="AA353" s="27"/>
    </row>
    <row r="354" spans="1:27" ht="13.5" thickBot="1">
      <c r="B354" s="36"/>
      <c r="C354" s="51"/>
      <c r="D354" s="69">
        <v>40</v>
      </c>
      <c r="E354" s="136" t="s">
        <v>62</v>
      </c>
      <c r="F354" s="136">
        <v>31.059799999999999</v>
      </c>
      <c r="G354" s="136">
        <v>43.4634</v>
      </c>
      <c r="H354" s="136">
        <v>43.077199999999998</v>
      </c>
      <c r="I354" s="136"/>
      <c r="J354" s="137"/>
      <c r="K354" s="138"/>
      <c r="L354" s="29"/>
      <c r="M354" s="145" t="s">
        <v>62</v>
      </c>
      <c r="N354" s="145">
        <v>31.059799999999999</v>
      </c>
      <c r="O354" s="145">
        <v>43.4634</v>
      </c>
      <c r="P354" s="145">
        <v>43.077199999999998</v>
      </c>
      <c r="Q354" s="145"/>
      <c r="R354" s="146"/>
      <c r="S354" s="147"/>
      <c r="U354" s="12"/>
      <c r="V354" s="13"/>
      <c r="W354" s="14"/>
      <c r="X354" s="29"/>
      <c r="Y354" s="24"/>
      <c r="Z354" s="24"/>
      <c r="AA354" s="27"/>
    </row>
    <row r="355" spans="1:27" ht="12.75">
      <c r="B355" s="36"/>
      <c r="C355" s="29" t="s">
        <v>51</v>
      </c>
      <c r="D355" s="32">
        <v>25</v>
      </c>
      <c r="E355" s="131" t="s">
        <v>62</v>
      </c>
      <c r="F355" s="131">
        <v>38.945500000000003</v>
      </c>
      <c r="G355" s="131">
        <v>46.4146</v>
      </c>
      <c r="H355" s="131">
        <v>46.523800000000001</v>
      </c>
      <c r="I355" s="131"/>
      <c r="J355" s="131"/>
      <c r="K355" s="132"/>
      <c r="L355" s="29"/>
      <c r="M355" s="140" t="s">
        <v>62</v>
      </c>
      <c r="N355" s="140">
        <v>38.945500000000003</v>
      </c>
      <c r="O355" s="140">
        <v>46.4146</v>
      </c>
      <c r="P355" s="140">
        <v>46.523800000000001</v>
      </c>
      <c r="Q355" s="140"/>
      <c r="R355" s="140"/>
      <c r="S355" s="141"/>
      <c r="U355" s="8"/>
      <c r="V355" s="9"/>
      <c r="W355" s="10"/>
      <c r="X355" s="29"/>
      <c r="Y355" s="24"/>
      <c r="Z355" s="24"/>
      <c r="AA355" s="27"/>
    </row>
    <row r="356" spans="1:27" ht="12.75">
      <c r="B356" s="36"/>
      <c r="C356" s="29"/>
      <c r="D356" s="32">
        <v>30</v>
      </c>
      <c r="E356" s="134" t="s">
        <v>62</v>
      </c>
      <c r="F356" s="134">
        <v>36.022799999999997</v>
      </c>
      <c r="G356" s="134">
        <v>45.039900000000003</v>
      </c>
      <c r="H356" s="134">
        <v>45.032200000000003</v>
      </c>
      <c r="I356" s="134"/>
      <c r="J356" s="134"/>
      <c r="K356" s="135"/>
      <c r="L356" s="29"/>
      <c r="M356" s="143" t="s">
        <v>62</v>
      </c>
      <c r="N356" s="143">
        <v>36.022799999999997</v>
      </c>
      <c r="O356" s="143">
        <v>45.039900000000003</v>
      </c>
      <c r="P356" s="143">
        <v>45.032200000000003</v>
      </c>
      <c r="Q356" s="143"/>
      <c r="R356" s="143"/>
      <c r="S356" s="144"/>
      <c r="U356" s="41"/>
      <c r="V356" s="42"/>
      <c r="W356" s="43"/>
      <c r="X356" s="29"/>
      <c r="Y356" s="24"/>
      <c r="Z356" s="24"/>
      <c r="AA356" s="27"/>
    </row>
    <row r="357" spans="1:27" ht="12.75">
      <c r="B357" s="36"/>
      <c r="C357" s="29"/>
      <c r="D357" s="32">
        <v>35</v>
      </c>
      <c r="E357" s="134" t="s">
        <v>62</v>
      </c>
      <c r="F357" s="134">
        <v>33.424599999999998</v>
      </c>
      <c r="G357" s="134">
        <v>43.753999999999998</v>
      </c>
      <c r="H357" s="134">
        <v>43.497799999999998</v>
      </c>
      <c r="I357" s="134"/>
      <c r="J357" s="134"/>
      <c r="K357" s="135"/>
      <c r="L357" s="29"/>
      <c r="M357" s="143" t="s">
        <v>62</v>
      </c>
      <c r="N357" s="143">
        <v>33.424599999999998</v>
      </c>
      <c r="O357" s="143">
        <v>43.753999999999998</v>
      </c>
      <c r="P357" s="143">
        <v>43.497799999999998</v>
      </c>
      <c r="Q357" s="143"/>
      <c r="R357" s="143"/>
      <c r="S357" s="144"/>
      <c r="U357" s="41"/>
      <c r="V357" s="42"/>
      <c r="W357" s="43"/>
      <c r="X357" s="29"/>
      <c r="Y357" s="24"/>
      <c r="Z357" s="24"/>
      <c r="AA357" s="27"/>
    </row>
    <row r="358" spans="1:27" ht="13.5" thickBot="1">
      <c r="B358" s="36"/>
      <c r="C358" s="51"/>
      <c r="D358" s="69">
        <v>40</v>
      </c>
      <c r="E358" s="137" t="s">
        <v>62</v>
      </c>
      <c r="F358" s="137">
        <v>31.043299999999999</v>
      </c>
      <c r="G358" s="137">
        <v>42.959899999999998</v>
      </c>
      <c r="H358" s="137">
        <v>42.518900000000002</v>
      </c>
      <c r="I358" s="137"/>
      <c r="J358" s="137"/>
      <c r="K358" s="138"/>
      <c r="L358" s="29"/>
      <c r="M358" s="146" t="s">
        <v>62</v>
      </c>
      <c r="N358" s="146">
        <v>31.043299999999999</v>
      </c>
      <c r="O358" s="146">
        <v>42.959899999999998</v>
      </c>
      <c r="P358" s="146">
        <v>42.518900000000002</v>
      </c>
      <c r="Q358" s="146"/>
      <c r="R358" s="146"/>
      <c r="S358" s="147"/>
      <c r="U358" s="41"/>
      <c r="V358" s="42"/>
      <c r="W358" s="43"/>
      <c r="X358" s="29"/>
      <c r="Y358" s="24"/>
      <c r="Z358" s="24"/>
      <c r="AA358" s="27"/>
    </row>
    <row r="359" spans="1:27" ht="12.75">
      <c r="B359" s="36"/>
      <c r="C359" s="29" t="s">
        <v>52</v>
      </c>
      <c r="D359" s="32">
        <v>25</v>
      </c>
      <c r="E359" s="131" t="s">
        <v>62</v>
      </c>
      <c r="F359" s="131">
        <v>38.5869</v>
      </c>
      <c r="G359" s="131">
        <v>46.068100000000001</v>
      </c>
      <c r="H359" s="131">
        <v>46.222000000000001</v>
      </c>
      <c r="I359" s="131"/>
      <c r="J359" s="131"/>
      <c r="K359" s="132"/>
      <c r="L359" s="29"/>
      <c r="M359" s="140" t="s">
        <v>62</v>
      </c>
      <c r="N359" s="140">
        <v>38.5869</v>
      </c>
      <c r="O359" s="140">
        <v>46.068100000000001</v>
      </c>
      <c r="P359" s="140">
        <v>46.222000000000001</v>
      </c>
      <c r="Q359" s="140"/>
      <c r="R359" s="140"/>
      <c r="S359" s="141"/>
      <c r="U359" s="8"/>
      <c r="V359" s="9"/>
      <c r="W359" s="10"/>
      <c r="X359" s="29"/>
      <c r="Y359" s="24"/>
      <c r="Z359" s="24"/>
      <c r="AA359" s="27"/>
    </row>
    <row r="360" spans="1:27" ht="12.75">
      <c r="B360" s="36"/>
      <c r="C360" s="29"/>
      <c r="D360" s="32">
        <v>30</v>
      </c>
      <c r="E360" s="134" t="s">
        <v>62</v>
      </c>
      <c r="F360" s="134">
        <v>35.8093</v>
      </c>
      <c r="G360" s="134">
        <v>44.780200000000001</v>
      </c>
      <c r="H360" s="134">
        <v>44.803199999999997</v>
      </c>
      <c r="I360" s="134"/>
      <c r="J360" s="134"/>
      <c r="K360" s="135"/>
      <c r="L360" s="29"/>
      <c r="M360" s="143" t="s">
        <v>62</v>
      </c>
      <c r="N360" s="143">
        <v>35.8093</v>
      </c>
      <c r="O360" s="143">
        <v>44.780200000000001</v>
      </c>
      <c r="P360" s="143">
        <v>44.803199999999997</v>
      </c>
      <c r="Q360" s="143"/>
      <c r="R360" s="143"/>
      <c r="S360" s="144"/>
      <c r="U360" s="17"/>
      <c r="V360" s="18"/>
      <c r="W360" s="19"/>
      <c r="X360" s="29"/>
      <c r="Y360" s="24"/>
      <c r="Z360" s="24"/>
      <c r="AA360" s="27"/>
    </row>
    <row r="361" spans="1:27" ht="12.75">
      <c r="B361" s="36"/>
      <c r="C361" s="29"/>
      <c r="D361" s="32">
        <v>35</v>
      </c>
      <c r="E361" s="134" t="s">
        <v>62</v>
      </c>
      <c r="F361" s="134">
        <v>33.295200000000001</v>
      </c>
      <c r="G361" s="134">
        <v>43.5578</v>
      </c>
      <c r="H361" s="134">
        <v>43.3172</v>
      </c>
      <c r="I361" s="134"/>
      <c r="J361" s="134"/>
      <c r="K361" s="135"/>
      <c r="L361" s="29"/>
      <c r="M361" s="143" t="s">
        <v>62</v>
      </c>
      <c r="N361" s="143">
        <v>33.295200000000001</v>
      </c>
      <c r="O361" s="143">
        <v>43.5578</v>
      </c>
      <c r="P361" s="143">
        <v>43.3172</v>
      </c>
      <c r="Q361" s="143"/>
      <c r="R361" s="143"/>
      <c r="S361" s="144"/>
      <c r="U361" s="41"/>
      <c r="V361" s="44"/>
      <c r="W361" s="43"/>
      <c r="X361" s="29"/>
      <c r="Y361" s="24"/>
      <c r="Z361" s="24"/>
      <c r="AA361" s="27"/>
    </row>
    <row r="362" spans="1:27" ht="13.5" thickBot="1">
      <c r="B362" s="36"/>
      <c r="C362" s="51"/>
      <c r="D362" s="69">
        <v>40</v>
      </c>
      <c r="E362" s="137" t="s">
        <v>62</v>
      </c>
      <c r="F362" s="137">
        <v>30.965699999999998</v>
      </c>
      <c r="G362" s="137">
        <v>42.796100000000003</v>
      </c>
      <c r="H362" s="137">
        <v>42.304000000000002</v>
      </c>
      <c r="I362" s="137"/>
      <c r="J362" s="137"/>
      <c r="K362" s="138"/>
      <c r="L362" s="29"/>
      <c r="M362" s="146" t="s">
        <v>62</v>
      </c>
      <c r="N362" s="146">
        <v>30.965699999999998</v>
      </c>
      <c r="O362" s="146">
        <v>42.796100000000003</v>
      </c>
      <c r="P362" s="146">
        <v>42.304000000000002</v>
      </c>
      <c r="Q362" s="146"/>
      <c r="R362" s="146"/>
      <c r="S362" s="147"/>
      <c r="U362" s="41"/>
      <c r="V362" s="42"/>
      <c r="W362" s="43"/>
      <c r="X362" s="29"/>
      <c r="Y362" s="24"/>
      <c r="Z362" s="24"/>
      <c r="AA362" s="27"/>
    </row>
    <row r="363" spans="1:27" ht="12.75">
      <c r="B363" s="36"/>
      <c r="C363" s="29" t="s">
        <v>12</v>
      </c>
      <c r="D363" s="32">
        <v>25</v>
      </c>
      <c r="E363" s="134">
        <v>6799.5712000000003</v>
      </c>
      <c r="F363" s="134" t="s">
        <v>62</v>
      </c>
      <c r="G363" s="134" t="s">
        <v>62</v>
      </c>
      <c r="H363" s="134" t="s">
        <v>62</v>
      </c>
      <c r="I363" s="134">
        <v>55844.17</v>
      </c>
      <c r="J363" s="134">
        <v>120.66</v>
      </c>
      <c r="K363" s="135">
        <v>804.47</v>
      </c>
      <c r="L363" s="29"/>
      <c r="M363" s="143">
        <v>6799.5703999999996</v>
      </c>
      <c r="N363" s="143" t="s">
        <v>62</v>
      </c>
      <c r="O363" s="143" t="s">
        <v>62</v>
      </c>
      <c r="P363" s="143" t="s">
        <v>62</v>
      </c>
      <c r="Q363" s="143">
        <v>55528.639999999999</v>
      </c>
      <c r="R363" s="143">
        <v>141.16999999999999</v>
      </c>
      <c r="S363" s="144">
        <v>838.7</v>
      </c>
      <c r="U363" s="8"/>
      <c r="V363" s="9"/>
      <c r="W363" s="10"/>
      <c r="X363" s="29"/>
      <c r="Y363" s="59">
        <f>GEOMEAN(Q363:Q366)/GEOMEAN(I363:I366)</f>
        <v>0.99223324463611096</v>
      </c>
      <c r="Z363" s="59">
        <f>GEOMEAN(R363:R366)/GEOMEAN(J363:J366)</f>
        <v>1.0454355986346586</v>
      </c>
      <c r="AA363" s="55">
        <f>GEOMEAN(S363:S366)/GEOMEAN(K363:K366)</f>
        <v>1.0239832369245851</v>
      </c>
    </row>
    <row r="364" spans="1:27" ht="12.75">
      <c r="B364" s="36"/>
      <c r="C364" s="29"/>
      <c r="D364" s="32">
        <v>30</v>
      </c>
      <c r="E364" s="134">
        <v>2802.04</v>
      </c>
      <c r="F364" s="134" t="s">
        <v>62</v>
      </c>
      <c r="G364" s="134" t="s">
        <v>62</v>
      </c>
      <c r="H364" s="134" t="s">
        <v>62</v>
      </c>
      <c r="I364" s="134">
        <v>44279.25</v>
      </c>
      <c r="J364" s="134">
        <v>110.6</v>
      </c>
      <c r="K364" s="135">
        <v>818.18</v>
      </c>
      <c r="L364" s="29"/>
      <c r="M364" s="143">
        <v>2802.0392000000002</v>
      </c>
      <c r="N364" s="143" t="s">
        <v>62</v>
      </c>
      <c r="O364" s="143" t="s">
        <v>62</v>
      </c>
      <c r="P364" s="143" t="s">
        <v>62</v>
      </c>
      <c r="Q364" s="143">
        <v>43518.78</v>
      </c>
      <c r="R364" s="143">
        <v>110.37</v>
      </c>
      <c r="S364" s="144">
        <v>813.69</v>
      </c>
      <c r="U364" s="41"/>
      <c r="V364" s="42"/>
      <c r="W364" s="43"/>
      <c r="X364" s="29"/>
      <c r="Y364" s="24"/>
      <c r="Z364" s="24"/>
      <c r="AA364" s="27"/>
    </row>
    <row r="365" spans="1:27" ht="12.75">
      <c r="B365" s="36"/>
      <c r="C365" s="29"/>
      <c r="D365" s="32">
        <v>35</v>
      </c>
      <c r="E365" s="134">
        <v>1271.1128000000001</v>
      </c>
      <c r="F365" s="134" t="s">
        <v>62</v>
      </c>
      <c r="G365" s="134" t="s">
        <v>62</v>
      </c>
      <c r="H365" s="134" t="s">
        <v>62</v>
      </c>
      <c r="I365" s="134">
        <v>37237.019999999997</v>
      </c>
      <c r="J365" s="134">
        <v>104.42</v>
      </c>
      <c r="K365" s="135">
        <v>816.84</v>
      </c>
      <c r="L365" s="29"/>
      <c r="M365" s="143">
        <v>1271.1120000000001</v>
      </c>
      <c r="N365" s="143" t="s">
        <v>62</v>
      </c>
      <c r="O365" s="143" t="s">
        <v>62</v>
      </c>
      <c r="P365" s="143" t="s">
        <v>62</v>
      </c>
      <c r="Q365" s="143">
        <v>36348.99</v>
      </c>
      <c r="R365" s="143">
        <v>106.63</v>
      </c>
      <c r="S365" s="144">
        <v>820.91</v>
      </c>
      <c r="U365" s="17"/>
      <c r="V365" s="18"/>
      <c r="W365" s="19"/>
      <c r="X365" s="29"/>
      <c r="Y365" s="24"/>
      <c r="Z365" s="24"/>
      <c r="AA365" s="27"/>
    </row>
    <row r="366" spans="1:27" ht="13.5" thickBot="1">
      <c r="A366" s="52"/>
      <c r="B366" s="50"/>
      <c r="C366" s="51"/>
      <c r="D366" s="69">
        <v>40</v>
      </c>
      <c r="E366" s="137">
        <v>594.39440000000002</v>
      </c>
      <c r="F366" s="137" t="s">
        <v>62</v>
      </c>
      <c r="G366" s="137" t="s">
        <v>62</v>
      </c>
      <c r="H366" s="137" t="s">
        <v>62</v>
      </c>
      <c r="I366" s="137">
        <v>32755.68</v>
      </c>
      <c r="J366" s="137">
        <v>100.73</v>
      </c>
      <c r="K366" s="138">
        <v>794.85</v>
      </c>
      <c r="L366" s="29"/>
      <c r="M366" s="146">
        <v>594.39359999999999</v>
      </c>
      <c r="N366" s="146" t="s">
        <v>62</v>
      </c>
      <c r="O366" s="146" t="s">
        <v>62</v>
      </c>
      <c r="P366" s="146" t="s">
        <v>62</v>
      </c>
      <c r="Q366" s="146">
        <v>33281.94</v>
      </c>
      <c r="R366" s="146">
        <v>100.92</v>
      </c>
      <c r="S366" s="147">
        <v>838.67</v>
      </c>
      <c r="U366" s="82"/>
      <c r="V366" s="83"/>
      <c r="W366" s="84"/>
      <c r="X366" s="29"/>
      <c r="Y366" s="47"/>
      <c r="Z366" s="47"/>
      <c r="AA366" s="52"/>
    </row>
    <row r="367" spans="1:27" ht="12.75">
      <c r="A367" s="20" t="s">
        <v>19</v>
      </c>
      <c r="B367" s="35" t="s">
        <v>61</v>
      </c>
      <c r="C367" s="28" t="s">
        <v>26</v>
      </c>
      <c r="D367" s="31">
        <v>25</v>
      </c>
      <c r="E367" s="130">
        <v>4178.4160000000002</v>
      </c>
      <c r="F367" s="130">
        <v>41.485799999999998</v>
      </c>
      <c r="G367" s="130">
        <v>46.601900000000001</v>
      </c>
      <c r="H367" s="130">
        <v>46.044899999999998</v>
      </c>
      <c r="I367" s="130"/>
      <c r="J367" s="131"/>
      <c r="K367" s="132"/>
      <c r="L367" s="29"/>
      <c r="M367" s="139">
        <v>4178.4152000000004</v>
      </c>
      <c r="N367" s="139">
        <v>41.485799999999998</v>
      </c>
      <c r="O367" s="139">
        <v>46.601900000000001</v>
      </c>
      <c r="P367" s="139">
        <v>46.044899999999998</v>
      </c>
      <c r="Q367" s="139"/>
      <c r="R367" s="140"/>
      <c r="S367" s="141"/>
      <c r="U367" s="8">
        <f>bdrate($E367:$E370,F367:F370,$M367:$M370,N367:N370)</f>
        <v>-6.2517770493819569E-7</v>
      </c>
      <c r="V367" s="9">
        <f>bdrate($E367:$E370,G367:G370,$M367:$M370,O367:O370)</f>
        <v>-5.6939049208892811E-7</v>
      </c>
      <c r="W367" s="10">
        <f>bdrate($E367:$E370,H367:H370,$M367:$M370,P367:P370)</f>
        <v>-5.859926183182651E-7</v>
      </c>
      <c r="X367" s="29"/>
      <c r="Y367" s="22"/>
      <c r="Z367" s="22"/>
      <c r="AA367" s="26"/>
    </row>
    <row r="368" spans="1:27" ht="12.75">
      <c r="B368" s="36"/>
      <c r="C368" s="29"/>
      <c r="D368" s="32">
        <v>30</v>
      </c>
      <c r="E368" s="133">
        <v>2104.3447999999999</v>
      </c>
      <c r="F368" s="133">
        <v>38.491999999999997</v>
      </c>
      <c r="G368" s="133">
        <v>44.899900000000002</v>
      </c>
      <c r="H368" s="133">
        <v>44.105200000000004</v>
      </c>
      <c r="I368" s="133"/>
      <c r="J368" s="134"/>
      <c r="K368" s="135"/>
      <c r="L368" s="29"/>
      <c r="M368" s="142">
        <v>2104.3440000000001</v>
      </c>
      <c r="N368" s="142">
        <v>38.491999999999997</v>
      </c>
      <c r="O368" s="142">
        <v>44.899900000000002</v>
      </c>
      <c r="P368" s="142">
        <v>44.105200000000004</v>
      </c>
      <c r="Q368" s="142"/>
      <c r="R368" s="143"/>
      <c r="S368" s="144"/>
      <c r="U368" s="41"/>
      <c r="V368" s="42"/>
      <c r="W368" s="43"/>
      <c r="X368" s="29"/>
      <c r="Y368" s="24"/>
      <c r="Z368" s="24"/>
      <c r="AA368" s="27"/>
    </row>
    <row r="369" spans="2:29" ht="12.75">
      <c r="B369" s="36"/>
      <c r="C369" s="29"/>
      <c r="D369" s="32">
        <v>35</v>
      </c>
      <c r="E369" s="133">
        <v>1035.6823999999999</v>
      </c>
      <c r="F369" s="133">
        <v>35.669600000000003</v>
      </c>
      <c r="G369" s="133">
        <v>43.255800000000001</v>
      </c>
      <c r="H369" s="133">
        <v>42.232700000000001</v>
      </c>
      <c r="I369" s="133"/>
      <c r="J369" s="134"/>
      <c r="K369" s="135"/>
      <c r="L369" s="29"/>
      <c r="M369" s="142">
        <v>1035.6815999999999</v>
      </c>
      <c r="N369" s="142">
        <v>35.669600000000003</v>
      </c>
      <c r="O369" s="142">
        <v>43.255800000000001</v>
      </c>
      <c r="P369" s="142">
        <v>42.232700000000001</v>
      </c>
      <c r="Q369" s="142"/>
      <c r="R369" s="143"/>
      <c r="S369" s="144"/>
      <c r="U369" s="41"/>
      <c r="V369" s="42"/>
      <c r="W369" s="43"/>
      <c r="X369" s="29"/>
      <c r="Y369" s="24"/>
      <c r="Z369" s="24"/>
      <c r="AA369" s="27"/>
    </row>
    <row r="370" spans="2:29" ht="13.5" thickBot="1">
      <c r="B370" s="36"/>
      <c r="C370" s="29"/>
      <c r="D370" s="32">
        <v>40</v>
      </c>
      <c r="E370" s="136">
        <v>497.1456</v>
      </c>
      <c r="F370" s="136">
        <v>33.196399999999997</v>
      </c>
      <c r="G370" s="136">
        <v>42.267699999999998</v>
      </c>
      <c r="H370" s="136">
        <v>40.971499999999999</v>
      </c>
      <c r="I370" s="136"/>
      <c r="J370" s="137"/>
      <c r="K370" s="138"/>
      <c r="L370" s="29"/>
      <c r="M370" s="145">
        <v>497.14479999999998</v>
      </c>
      <c r="N370" s="145">
        <v>33.196399999999997</v>
      </c>
      <c r="O370" s="145">
        <v>42.267699999999998</v>
      </c>
      <c r="P370" s="145">
        <v>40.971499999999999</v>
      </c>
      <c r="Q370" s="145"/>
      <c r="R370" s="146"/>
      <c r="S370" s="147"/>
      <c r="U370" s="41"/>
      <c r="V370" s="42"/>
      <c r="W370" s="43"/>
      <c r="X370" s="29"/>
      <c r="Y370" s="24"/>
      <c r="Z370" s="24"/>
      <c r="AA370" s="27"/>
    </row>
    <row r="371" spans="2:29" ht="12.75">
      <c r="B371" s="36"/>
      <c r="C371" s="28" t="s">
        <v>27</v>
      </c>
      <c r="D371" s="31">
        <v>25</v>
      </c>
      <c r="E371" s="133">
        <v>519.62959999999998</v>
      </c>
      <c r="F371" s="133">
        <v>40.915700000000001</v>
      </c>
      <c r="G371" s="133">
        <v>46.510899999999999</v>
      </c>
      <c r="H371" s="133">
        <v>45.802799999999998</v>
      </c>
      <c r="I371" s="133"/>
      <c r="J371" s="134"/>
      <c r="K371" s="135"/>
      <c r="L371" s="29"/>
      <c r="M371" s="142">
        <v>519.62959999999998</v>
      </c>
      <c r="N371" s="142">
        <v>40.915700000000001</v>
      </c>
      <c r="O371" s="142">
        <v>46.510899999999999</v>
      </c>
      <c r="P371" s="142">
        <v>45.802799999999998</v>
      </c>
      <c r="Q371" s="142"/>
      <c r="R371" s="143"/>
      <c r="S371" s="144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</row>
    <row r="372" spans="2:29" ht="12.75">
      <c r="B372" s="36"/>
      <c r="C372" s="29"/>
      <c r="D372" s="32">
        <v>30</v>
      </c>
      <c r="E372" s="133">
        <v>215.78559999999999</v>
      </c>
      <c r="F372" s="133">
        <v>38.074199999999998</v>
      </c>
      <c r="G372" s="133">
        <v>44.849499999999999</v>
      </c>
      <c r="H372" s="133">
        <v>43.939500000000002</v>
      </c>
      <c r="I372" s="133"/>
      <c r="J372" s="134"/>
      <c r="K372" s="135"/>
      <c r="L372" s="29"/>
      <c r="M372" s="142">
        <v>215.78559999999999</v>
      </c>
      <c r="N372" s="142">
        <v>38.074199999999998</v>
      </c>
      <c r="O372" s="142">
        <v>44.849499999999999</v>
      </c>
      <c r="P372" s="142">
        <v>43.939500000000002</v>
      </c>
      <c r="Q372" s="142"/>
      <c r="R372" s="143"/>
      <c r="S372" s="144"/>
      <c r="U372" s="17"/>
      <c r="V372" s="18"/>
      <c r="W372" s="19"/>
      <c r="X372" s="29"/>
      <c r="Y372" s="24"/>
      <c r="Z372" s="24"/>
      <c r="AA372" s="27"/>
    </row>
    <row r="373" spans="2:29" ht="12.75">
      <c r="B373" s="36"/>
      <c r="C373" s="29"/>
      <c r="D373" s="32">
        <v>35</v>
      </c>
      <c r="E373" s="133">
        <v>101.5072</v>
      </c>
      <c r="F373" s="133">
        <v>35.385899999999999</v>
      </c>
      <c r="G373" s="133">
        <v>43.256399999999999</v>
      </c>
      <c r="H373" s="133">
        <v>42.1721</v>
      </c>
      <c r="I373" s="133"/>
      <c r="J373" s="134"/>
      <c r="K373" s="135"/>
      <c r="L373" s="29"/>
      <c r="M373" s="142">
        <v>101.5072</v>
      </c>
      <c r="N373" s="142">
        <v>35.385899999999999</v>
      </c>
      <c r="O373" s="142">
        <v>43.256399999999999</v>
      </c>
      <c r="P373" s="142">
        <v>42.1721</v>
      </c>
      <c r="Q373" s="142"/>
      <c r="R373" s="143"/>
      <c r="S373" s="144"/>
      <c r="U373" s="41"/>
      <c r="V373" s="44"/>
      <c r="W373" s="43"/>
      <c r="X373" s="29"/>
      <c r="Y373" s="24"/>
      <c r="Z373" s="24"/>
      <c r="AA373" s="27"/>
    </row>
    <row r="374" spans="2:29" ht="13.5" thickBot="1">
      <c r="B374" s="36"/>
      <c r="C374" s="29"/>
      <c r="D374" s="32">
        <v>40</v>
      </c>
      <c r="E374" s="133">
        <v>49.2896</v>
      </c>
      <c r="F374" s="133">
        <v>32.979300000000002</v>
      </c>
      <c r="G374" s="133">
        <v>42.262500000000003</v>
      </c>
      <c r="H374" s="133">
        <v>40.8752</v>
      </c>
      <c r="I374" s="133"/>
      <c r="J374" s="134"/>
      <c r="K374" s="135"/>
      <c r="L374" s="29"/>
      <c r="M374" s="142">
        <v>49.2896</v>
      </c>
      <c r="N374" s="142">
        <v>32.979300000000002</v>
      </c>
      <c r="O374" s="142">
        <v>42.262500000000003</v>
      </c>
      <c r="P374" s="142">
        <v>40.8752</v>
      </c>
      <c r="Q374" s="142"/>
      <c r="R374" s="143"/>
      <c r="S374" s="144"/>
      <c r="U374" s="41"/>
      <c r="V374" s="42"/>
      <c r="W374" s="43"/>
      <c r="X374" s="29"/>
      <c r="Y374" s="24"/>
      <c r="Z374" s="24"/>
      <c r="AA374" s="27"/>
    </row>
    <row r="375" spans="2:29" ht="12.75">
      <c r="B375" s="36"/>
      <c r="C375" s="28" t="s">
        <v>28</v>
      </c>
      <c r="D375" s="31">
        <v>25</v>
      </c>
      <c r="E375" s="130">
        <v>524.6</v>
      </c>
      <c r="F375" s="130">
        <v>40.923900000000003</v>
      </c>
      <c r="G375" s="130">
        <v>46.502000000000002</v>
      </c>
      <c r="H375" s="130">
        <v>45.807200000000002</v>
      </c>
      <c r="I375" s="130"/>
      <c r="J375" s="131"/>
      <c r="K375" s="132"/>
      <c r="L375" s="29"/>
      <c r="M375" s="139">
        <v>524.6</v>
      </c>
      <c r="N375" s="139">
        <v>40.923900000000003</v>
      </c>
      <c r="O375" s="139">
        <v>46.502000000000002</v>
      </c>
      <c r="P375" s="139">
        <v>45.807200000000002</v>
      </c>
      <c r="Q375" s="139"/>
      <c r="R375" s="140"/>
      <c r="S375" s="141"/>
      <c r="U375" s="8">
        <f>bdrate($E375:$E378,F375:F378,$M375:$M378,N375:N378)</f>
        <v>0</v>
      </c>
      <c r="V375" s="9">
        <f>bdrate($E375:$E378,G375:G378,$M375:$M378,O375:O378)</f>
        <v>0</v>
      </c>
      <c r="W375" s="10">
        <f>bdrate($E375:$E378,H375:H378,$M375:$M378,P375:P378)</f>
        <v>0</v>
      </c>
      <c r="X375" s="29"/>
      <c r="Y375" s="24"/>
      <c r="Z375" s="24"/>
      <c r="AA375" s="27"/>
      <c r="AB375" s="24"/>
      <c r="AC375" s="24"/>
    </row>
    <row r="376" spans="2:29" ht="12.75">
      <c r="B376" s="36"/>
      <c r="C376" s="29"/>
      <c r="D376" s="32">
        <v>30</v>
      </c>
      <c r="E376" s="133">
        <v>217.4528</v>
      </c>
      <c r="F376" s="133">
        <v>38.085299999999997</v>
      </c>
      <c r="G376" s="133">
        <v>44.836100000000002</v>
      </c>
      <c r="H376" s="133">
        <v>43.952800000000003</v>
      </c>
      <c r="I376" s="133"/>
      <c r="J376" s="134"/>
      <c r="K376" s="135"/>
      <c r="L376" s="29"/>
      <c r="M376" s="142">
        <v>217.4528</v>
      </c>
      <c r="N376" s="142">
        <v>38.085299999999997</v>
      </c>
      <c r="O376" s="142">
        <v>44.836100000000002</v>
      </c>
      <c r="P376" s="142">
        <v>43.952800000000003</v>
      </c>
      <c r="Q376" s="142"/>
      <c r="R376" s="143"/>
      <c r="S376" s="144"/>
      <c r="U376" s="41"/>
      <c r="V376" s="42"/>
      <c r="W376" s="43"/>
      <c r="X376" s="29"/>
      <c r="Y376" s="24"/>
      <c r="Z376" s="24"/>
      <c r="AA376" s="27"/>
      <c r="AB376" s="24"/>
      <c r="AC376" s="24"/>
    </row>
    <row r="377" spans="2:29" ht="12.75">
      <c r="B377" s="36"/>
      <c r="C377" s="29"/>
      <c r="D377" s="32">
        <v>35</v>
      </c>
      <c r="E377" s="133">
        <v>103.4072</v>
      </c>
      <c r="F377" s="133">
        <v>35.399099999999997</v>
      </c>
      <c r="G377" s="133">
        <v>43.243699999999997</v>
      </c>
      <c r="H377" s="133">
        <v>42.1753</v>
      </c>
      <c r="I377" s="133"/>
      <c r="J377" s="134"/>
      <c r="K377" s="135"/>
      <c r="L377" s="29"/>
      <c r="M377" s="142">
        <v>103.4072</v>
      </c>
      <c r="N377" s="142">
        <v>35.399099999999997</v>
      </c>
      <c r="O377" s="142">
        <v>43.243699999999997</v>
      </c>
      <c r="P377" s="142">
        <v>42.1753</v>
      </c>
      <c r="Q377" s="142"/>
      <c r="R377" s="143"/>
      <c r="S377" s="144"/>
      <c r="U377" s="17"/>
      <c r="V377" s="18"/>
      <c r="W377" s="19"/>
      <c r="X377" s="29"/>
      <c r="Y377" s="24"/>
      <c r="Z377" s="24"/>
      <c r="AA377" s="27"/>
      <c r="AB377" s="24"/>
      <c r="AC377" s="24"/>
    </row>
    <row r="378" spans="2:29" ht="13.5" thickBot="1">
      <c r="B378" s="36"/>
      <c r="C378" s="51"/>
      <c r="D378" s="69">
        <v>40</v>
      </c>
      <c r="E378" s="136">
        <v>50.991199999999999</v>
      </c>
      <c r="F378" s="136">
        <v>32.987000000000002</v>
      </c>
      <c r="G378" s="136">
        <v>42.231499999999997</v>
      </c>
      <c r="H378" s="136">
        <v>40.875</v>
      </c>
      <c r="I378" s="136"/>
      <c r="J378" s="137"/>
      <c r="K378" s="138"/>
      <c r="L378" s="29"/>
      <c r="M378" s="145">
        <v>50.991199999999999</v>
      </c>
      <c r="N378" s="145">
        <v>32.987000000000002</v>
      </c>
      <c r="O378" s="145">
        <v>42.231499999999997</v>
      </c>
      <c r="P378" s="145">
        <v>40.875</v>
      </c>
      <c r="Q378" s="145"/>
      <c r="R378" s="146"/>
      <c r="S378" s="147"/>
      <c r="U378" s="41"/>
      <c r="V378" s="42"/>
      <c r="W378" s="43"/>
      <c r="X378" s="29"/>
      <c r="Y378" s="24"/>
      <c r="Z378" s="24"/>
      <c r="AA378" s="27"/>
      <c r="AB378" s="24"/>
      <c r="AC378" s="24"/>
    </row>
    <row r="379" spans="2:29" ht="12.75">
      <c r="B379" s="36"/>
      <c r="C379" s="28" t="s">
        <v>29</v>
      </c>
      <c r="D379" s="31">
        <v>34</v>
      </c>
      <c r="E379" s="130">
        <v>449.48320000000001</v>
      </c>
      <c r="F379" s="130">
        <v>38.630899999999997</v>
      </c>
      <c r="G379" s="130"/>
      <c r="H379" s="130"/>
      <c r="I379" s="130"/>
      <c r="J379" s="131"/>
      <c r="K379" s="132"/>
      <c r="L379" s="29"/>
      <c r="M379" s="139">
        <v>449.48320000000001</v>
      </c>
      <c r="N379" s="139">
        <v>38.630899999999997</v>
      </c>
      <c r="O379" s="139"/>
      <c r="P379" s="139"/>
      <c r="Q379" s="139"/>
      <c r="R379" s="140"/>
      <c r="S379" s="141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24"/>
    </row>
    <row r="380" spans="2:29" ht="12.75">
      <c r="B380" s="36"/>
      <c r="C380" s="29"/>
      <c r="D380" s="32">
        <v>39</v>
      </c>
      <c r="E380" s="133">
        <v>147.97280000000001</v>
      </c>
      <c r="F380" s="133">
        <v>35.466000000000001</v>
      </c>
      <c r="G380" s="133"/>
      <c r="H380" s="133"/>
      <c r="I380" s="133"/>
      <c r="J380" s="134"/>
      <c r="K380" s="135"/>
      <c r="L380" s="29"/>
      <c r="M380" s="142">
        <v>147.97280000000001</v>
      </c>
      <c r="N380" s="142">
        <v>35.466000000000001</v>
      </c>
      <c r="O380" s="142"/>
      <c r="P380" s="142"/>
      <c r="Q380" s="142"/>
      <c r="R380" s="143"/>
      <c r="S380" s="144"/>
      <c r="U380" s="41"/>
      <c r="V380" s="42"/>
      <c r="W380" s="43"/>
      <c r="X380" s="29"/>
      <c r="Y380" s="24"/>
      <c r="Z380" s="24"/>
      <c r="AA380" s="27"/>
      <c r="AB380" s="24"/>
      <c r="AC380" s="24"/>
    </row>
    <row r="381" spans="2:29" ht="12.75">
      <c r="B381" s="36"/>
      <c r="C381" s="29"/>
      <c r="D381" s="32">
        <v>42</v>
      </c>
      <c r="E381" s="133">
        <v>55.706400000000002</v>
      </c>
      <c r="F381" s="133">
        <v>32.829300000000003</v>
      </c>
      <c r="G381" s="133"/>
      <c r="H381" s="133"/>
      <c r="I381" s="133"/>
      <c r="J381" s="134"/>
      <c r="K381" s="135"/>
      <c r="L381" s="29"/>
      <c r="M381" s="142">
        <v>55.706400000000002</v>
      </c>
      <c r="N381" s="142">
        <v>32.829300000000003</v>
      </c>
      <c r="O381" s="142"/>
      <c r="P381" s="142"/>
      <c r="Q381" s="142"/>
      <c r="R381" s="143"/>
      <c r="S381" s="144"/>
      <c r="U381" s="41"/>
      <c r="V381" s="42"/>
      <c r="W381" s="43"/>
      <c r="X381" s="29"/>
      <c r="Y381" s="24"/>
      <c r="Z381" s="24"/>
      <c r="AA381" s="27"/>
      <c r="AB381" s="24"/>
      <c r="AC381" s="24"/>
    </row>
    <row r="382" spans="2:29" ht="13.5" thickBot="1">
      <c r="B382" s="36"/>
      <c r="C382" s="29"/>
      <c r="D382" s="32">
        <v>45</v>
      </c>
      <c r="E382" s="136">
        <v>23.162400000000002</v>
      </c>
      <c r="F382" s="136">
        <v>30.343699999999998</v>
      </c>
      <c r="G382" s="136"/>
      <c r="H382" s="136"/>
      <c r="I382" s="136"/>
      <c r="J382" s="137"/>
      <c r="K382" s="138"/>
      <c r="L382" s="29"/>
      <c r="M382" s="145">
        <v>23.162400000000002</v>
      </c>
      <c r="N382" s="145">
        <v>30.343699999999998</v>
      </c>
      <c r="O382" s="145"/>
      <c r="P382" s="145"/>
      <c r="Q382" s="145"/>
      <c r="R382" s="146"/>
      <c r="S382" s="147"/>
      <c r="U382" s="17"/>
      <c r="V382" s="18"/>
      <c r="W382" s="19"/>
      <c r="X382" s="29"/>
      <c r="Y382" s="59"/>
      <c r="Z382" s="59"/>
      <c r="AA382" s="55"/>
      <c r="AB382" s="24"/>
      <c r="AC382" s="24"/>
    </row>
    <row r="383" spans="2:29" ht="12.75">
      <c r="B383" s="36"/>
      <c r="C383" s="28" t="s">
        <v>30</v>
      </c>
      <c r="D383" s="31">
        <v>34</v>
      </c>
      <c r="E383" s="130">
        <v>189.70959999999999</v>
      </c>
      <c r="F383" s="130">
        <v>37.718400000000003</v>
      </c>
      <c r="G383" s="130"/>
      <c r="H383" s="130"/>
      <c r="I383" s="130"/>
      <c r="J383" s="131"/>
      <c r="K383" s="132"/>
      <c r="L383" s="29"/>
      <c r="M383" s="139">
        <v>189.70959999999999</v>
      </c>
      <c r="N383" s="139">
        <v>37.718400000000003</v>
      </c>
      <c r="O383" s="139"/>
      <c r="P383" s="139"/>
      <c r="Q383" s="139"/>
      <c r="R383" s="140"/>
      <c r="S383" s="141"/>
      <c r="U383" s="8">
        <f>bdrate($E383:$E386,F383:F386,$M383:$M386,N383:N386)</f>
        <v>0</v>
      </c>
      <c r="V383" s="9"/>
      <c r="W383" s="10"/>
      <c r="X383" s="29"/>
      <c r="Y383" s="24"/>
      <c r="Z383" s="24"/>
      <c r="AA383" s="27"/>
      <c r="AB383" s="24"/>
      <c r="AC383" s="24"/>
    </row>
    <row r="384" spans="2:29" ht="12.75">
      <c r="B384" s="36"/>
      <c r="C384" s="29"/>
      <c r="D384" s="32">
        <v>39</v>
      </c>
      <c r="E384" s="133">
        <v>54.936</v>
      </c>
      <c r="F384" s="133">
        <v>34.816299999999998</v>
      </c>
      <c r="G384" s="133"/>
      <c r="H384" s="133"/>
      <c r="I384" s="133"/>
      <c r="J384" s="134"/>
      <c r="K384" s="135"/>
      <c r="L384" s="29"/>
      <c r="M384" s="142">
        <v>54.936</v>
      </c>
      <c r="N384" s="142">
        <v>34.816299999999998</v>
      </c>
      <c r="O384" s="142"/>
      <c r="P384" s="142"/>
      <c r="Q384" s="142"/>
      <c r="R384" s="143"/>
      <c r="S384" s="144"/>
      <c r="U384" s="12"/>
      <c r="V384" s="13"/>
      <c r="W384" s="14"/>
      <c r="X384" s="29"/>
      <c r="Y384" s="24"/>
      <c r="Z384" s="24"/>
      <c r="AA384" s="27"/>
      <c r="AB384" s="24"/>
      <c r="AC384" s="24"/>
    </row>
    <row r="385" spans="2:29" ht="12.75">
      <c r="B385" s="36"/>
      <c r="C385" s="29"/>
      <c r="D385" s="32">
        <v>42</v>
      </c>
      <c r="E385" s="133">
        <v>22.139199999999999</v>
      </c>
      <c r="F385" s="133">
        <v>32.351900000000001</v>
      </c>
      <c r="G385" s="133"/>
      <c r="H385" s="133"/>
      <c r="I385" s="133"/>
      <c r="J385" s="134"/>
      <c r="K385" s="135"/>
      <c r="L385" s="29"/>
      <c r="M385" s="142">
        <v>22.139199999999999</v>
      </c>
      <c r="N385" s="142">
        <v>32.351900000000001</v>
      </c>
      <c r="O385" s="142"/>
      <c r="P385" s="142"/>
      <c r="Q385" s="142"/>
      <c r="R385" s="143"/>
      <c r="S385" s="144"/>
      <c r="U385" s="12"/>
      <c r="V385" s="13"/>
      <c r="W385" s="14"/>
      <c r="X385" s="29"/>
      <c r="Y385" s="24"/>
      <c r="Z385" s="24"/>
      <c r="AA385" s="27"/>
      <c r="AB385" s="24"/>
      <c r="AC385" s="24"/>
    </row>
    <row r="386" spans="2:29" ht="13.5" thickBot="1">
      <c r="B386" s="36"/>
      <c r="C386" s="29"/>
      <c r="D386" s="32">
        <v>45</v>
      </c>
      <c r="E386" s="136">
        <v>10.6456</v>
      </c>
      <c r="F386" s="136">
        <v>29.916899999999998</v>
      </c>
      <c r="G386" s="136"/>
      <c r="H386" s="136"/>
      <c r="I386" s="136"/>
      <c r="J386" s="137"/>
      <c r="K386" s="138"/>
      <c r="L386" s="29"/>
      <c r="M386" s="145">
        <v>10.6456</v>
      </c>
      <c r="N386" s="145">
        <v>29.916899999999998</v>
      </c>
      <c r="O386" s="145"/>
      <c r="P386" s="145"/>
      <c r="Q386" s="145"/>
      <c r="R386" s="146"/>
      <c r="S386" s="147"/>
      <c r="U386" s="12"/>
      <c r="V386" s="13"/>
      <c r="W386" s="14"/>
      <c r="X386" s="29"/>
      <c r="Y386" s="24"/>
      <c r="Z386" s="24"/>
      <c r="AA386" s="27"/>
      <c r="AB386" s="24"/>
      <c r="AC386" s="24"/>
    </row>
    <row r="387" spans="2:29" ht="12.75">
      <c r="B387" s="36"/>
      <c r="C387" s="28" t="s">
        <v>31</v>
      </c>
      <c r="D387" s="31">
        <v>34</v>
      </c>
      <c r="E387" s="130">
        <v>189.68</v>
      </c>
      <c r="F387" s="130">
        <v>37.496699999999997</v>
      </c>
      <c r="G387" s="130"/>
      <c r="H387" s="130"/>
      <c r="I387" s="130"/>
      <c r="J387" s="131"/>
      <c r="K387" s="132"/>
      <c r="L387" s="29"/>
      <c r="M387" s="139">
        <v>189.68</v>
      </c>
      <c r="N387" s="139">
        <v>37.496699999999997</v>
      </c>
      <c r="O387" s="139"/>
      <c r="P387" s="139"/>
      <c r="Q387" s="139"/>
      <c r="R387" s="140"/>
      <c r="S387" s="141"/>
      <c r="U387" s="8">
        <f>bdrate($E387:$E390,F387:F390,$M387:$M390,N387:N390)</f>
        <v>0</v>
      </c>
      <c r="V387" s="9"/>
      <c r="W387" s="10"/>
      <c r="X387" s="29"/>
      <c r="Y387" s="24"/>
      <c r="Z387" s="24"/>
      <c r="AA387" s="27"/>
      <c r="AB387" s="24"/>
      <c r="AC387" s="24"/>
    </row>
    <row r="388" spans="2:29" ht="12.75">
      <c r="B388" s="36"/>
      <c r="C388" s="29"/>
      <c r="D388" s="32">
        <v>39</v>
      </c>
      <c r="E388" s="133">
        <v>55.334400000000002</v>
      </c>
      <c r="F388" s="133">
        <v>34.595799999999997</v>
      </c>
      <c r="G388" s="133"/>
      <c r="H388" s="133"/>
      <c r="I388" s="133"/>
      <c r="J388" s="134"/>
      <c r="K388" s="135"/>
      <c r="L388" s="29"/>
      <c r="M388" s="142">
        <v>55.334400000000002</v>
      </c>
      <c r="N388" s="142">
        <v>34.595799999999997</v>
      </c>
      <c r="O388" s="142"/>
      <c r="P388" s="142"/>
      <c r="Q388" s="142"/>
      <c r="R388" s="143"/>
      <c r="S388" s="144"/>
      <c r="U388" s="41"/>
      <c r="V388" s="42"/>
      <c r="W388" s="43"/>
      <c r="X388" s="29"/>
      <c r="Y388" s="24"/>
      <c r="Z388" s="24"/>
      <c r="AA388" s="27"/>
      <c r="AB388" s="24"/>
      <c r="AC388" s="24"/>
    </row>
    <row r="389" spans="2:29" ht="12.75">
      <c r="B389" s="36"/>
      <c r="C389" s="29"/>
      <c r="D389" s="32">
        <v>42</v>
      </c>
      <c r="E389" s="133">
        <v>22.170400000000001</v>
      </c>
      <c r="F389" s="133">
        <v>32.187600000000003</v>
      </c>
      <c r="G389" s="133"/>
      <c r="H389" s="133"/>
      <c r="I389" s="133"/>
      <c r="J389" s="134"/>
      <c r="K389" s="135"/>
      <c r="L389" s="29"/>
      <c r="M389" s="142">
        <v>22.170400000000001</v>
      </c>
      <c r="N389" s="142">
        <v>32.187600000000003</v>
      </c>
      <c r="O389" s="142"/>
      <c r="P389" s="142"/>
      <c r="Q389" s="142"/>
      <c r="R389" s="143"/>
      <c r="S389" s="144"/>
      <c r="U389" s="41"/>
      <c r="V389" s="42"/>
      <c r="W389" s="43"/>
      <c r="X389" s="29"/>
      <c r="Y389" s="24"/>
      <c r="Z389" s="24"/>
      <c r="AA389" s="27"/>
      <c r="AB389" s="24"/>
      <c r="AC389" s="24"/>
    </row>
    <row r="390" spans="2:29" ht="13.5" thickBot="1">
      <c r="B390" s="36"/>
      <c r="C390" s="29"/>
      <c r="D390" s="32">
        <v>45</v>
      </c>
      <c r="E390" s="136">
        <v>10.378399999999999</v>
      </c>
      <c r="F390" s="136">
        <v>29.733899999999998</v>
      </c>
      <c r="G390" s="136"/>
      <c r="H390" s="136"/>
      <c r="I390" s="136"/>
      <c r="J390" s="137"/>
      <c r="K390" s="138"/>
      <c r="L390" s="29"/>
      <c r="M390" s="145">
        <v>10.378399999999999</v>
      </c>
      <c r="N390" s="145">
        <v>29.733899999999998</v>
      </c>
      <c r="O390" s="145"/>
      <c r="P390" s="145"/>
      <c r="Q390" s="145"/>
      <c r="R390" s="146"/>
      <c r="S390" s="147"/>
      <c r="U390" s="41"/>
      <c r="V390" s="42"/>
      <c r="W390" s="43"/>
      <c r="X390" s="29"/>
      <c r="Y390" s="24"/>
      <c r="Z390" s="24"/>
      <c r="AA390" s="27"/>
      <c r="AB390" s="24"/>
      <c r="AC390" s="24"/>
    </row>
    <row r="391" spans="2:29" ht="12.75">
      <c r="B391" s="36"/>
      <c r="C391" s="28" t="s">
        <v>47</v>
      </c>
      <c r="D391" s="31">
        <v>25</v>
      </c>
      <c r="E391" s="130" t="s">
        <v>62</v>
      </c>
      <c r="F391" s="130">
        <v>40.655500000000004</v>
      </c>
      <c r="G391" s="130">
        <v>46.620800000000003</v>
      </c>
      <c r="H391" s="130">
        <v>46.3752</v>
      </c>
      <c r="I391" s="130"/>
      <c r="J391" s="131"/>
      <c r="K391" s="132"/>
      <c r="L391" s="29"/>
      <c r="M391" s="139" t="s">
        <v>62</v>
      </c>
      <c r="N391" s="139">
        <v>40.655500000000004</v>
      </c>
      <c r="O391" s="139">
        <v>46.620800000000003</v>
      </c>
      <c r="P391" s="139">
        <v>46.3752</v>
      </c>
      <c r="Q391" s="139"/>
      <c r="R391" s="140"/>
      <c r="S391" s="141"/>
      <c r="U391" s="8"/>
      <c r="V391" s="9"/>
      <c r="W391" s="10"/>
      <c r="X391" s="29"/>
      <c r="Y391" s="24"/>
      <c r="Z391" s="24"/>
      <c r="AA391" s="27"/>
      <c r="AB391" s="24"/>
      <c r="AC391" s="24"/>
    </row>
    <row r="392" spans="2:29" ht="12.75">
      <c r="B392" s="36"/>
      <c r="C392" s="29"/>
      <c r="D392" s="32">
        <v>30</v>
      </c>
      <c r="E392" s="133" t="s">
        <v>62</v>
      </c>
      <c r="F392" s="133">
        <v>37.890999999999998</v>
      </c>
      <c r="G392" s="133">
        <v>45.040100000000002</v>
      </c>
      <c r="H392" s="133">
        <v>44.495699999999999</v>
      </c>
      <c r="I392" s="133"/>
      <c r="J392" s="134"/>
      <c r="K392" s="135"/>
      <c r="L392" s="29"/>
      <c r="M392" s="142" t="s">
        <v>62</v>
      </c>
      <c r="N392" s="142">
        <v>37.890999999999998</v>
      </c>
      <c r="O392" s="142">
        <v>45.040100000000002</v>
      </c>
      <c r="P392" s="142">
        <v>44.495699999999999</v>
      </c>
      <c r="Q392" s="142"/>
      <c r="R392" s="143"/>
      <c r="S392" s="144"/>
      <c r="U392" s="17"/>
      <c r="V392" s="18"/>
      <c r="W392" s="19"/>
      <c r="X392" s="29"/>
      <c r="Y392" s="24"/>
      <c r="Z392" s="24"/>
      <c r="AA392" s="27"/>
      <c r="AB392" s="24"/>
      <c r="AC392" s="24"/>
    </row>
    <row r="393" spans="2:29" ht="12.75">
      <c r="B393" s="36"/>
      <c r="C393" s="29"/>
      <c r="D393" s="32">
        <v>35</v>
      </c>
      <c r="E393" s="133" t="s">
        <v>62</v>
      </c>
      <c r="F393" s="133">
        <v>35.245899999999999</v>
      </c>
      <c r="G393" s="133">
        <v>43.383499999999998</v>
      </c>
      <c r="H393" s="133">
        <v>42.576999999999998</v>
      </c>
      <c r="I393" s="133"/>
      <c r="J393" s="134"/>
      <c r="K393" s="135"/>
      <c r="L393" s="29"/>
      <c r="M393" s="142" t="s">
        <v>62</v>
      </c>
      <c r="N393" s="142">
        <v>35.245899999999999</v>
      </c>
      <c r="O393" s="142">
        <v>43.383499999999998</v>
      </c>
      <c r="P393" s="142">
        <v>42.576999999999998</v>
      </c>
      <c r="Q393" s="142"/>
      <c r="R393" s="143"/>
      <c r="S393" s="144"/>
      <c r="U393" s="41"/>
      <c r="V393" s="44"/>
      <c r="W393" s="43"/>
      <c r="X393" s="29"/>
      <c r="Y393" s="24"/>
      <c r="Z393" s="24"/>
      <c r="AA393" s="27"/>
      <c r="AB393" s="24"/>
      <c r="AC393" s="24"/>
    </row>
    <row r="394" spans="2:29" ht="13.5" thickBot="1">
      <c r="B394" s="36"/>
      <c r="C394" s="51"/>
      <c r="D394" s="69">
        <v>40</v>
      </c>
      <c r="E394" s="136" t="s">
        <v>62</v>
      </c>
      <c r="F394" s="136">
        <v>32.861899999999999</v>
      </c>
      <c r="G394" s="136">
        <v>42.372300000000003</v>
      </c>
      <c r="H394" s="136">
        <v>41.2273</v>
      </c>
      <c r="I394" s="136"/>
      <c r="J394" s="137"/>
      <c r="K394" s="138"/>
      <c r="L394" s="29"/>
      <c r="M394" s="145" t="s">
        <v>62</v>
      </c>
      <c r="N394" s="145">
        <v>32.861899999999999</v>
      </c>
      <c r="O394" s="145">
        <v>42.372300000000003</v>
      </c>
      <c r="P394" s="145">
        <v>41.2273</v>
      </c>
      <c r="Q394" s="145"/>
      <c r="R394" s="146"/>
      <c r="S394" s="147"/>
      <c r="U394" s="41"/>
      <c r="V394" s="42"/>
      <c r="W394" s="43"/>
      <c r="X394" s="29"/>
      <c r="Y394" s="24"/>
      <c r="Z394" s="24"/>
      <c r="AA394" s="27"/>
      <c r="AB394" s="24"/>
      <c r="AC394" s="24"/>
    </row>
    <row r="395" spans="2:29" ht="12.75">
      <c r="B395" s="36"/>
      <c r="C395" s="29" t="s">
        <v>48</v>
      </c>
      <c r="D395" s="32">
        <v>25</v>
      </c>
      <c r="E395" s="130" t="s">
        <v>62</v>
      </c>
      <c r="F395" s="130">
        <v>40.8431</v>
      </c>
      <c r="G395" s="130">
        <v>47.13</v>
      </c>
      <c r="H395" s="130">
        <v>46.519399999999997</v>
      </c>
      <c r="I395" s="130"/>
      <c r="J395" s="131"/>
      <c r="K395" s="132"/>
      <c r="L395" s="29"/>
      <c r="M395" s="139" t="s">
        <v>62</v>
      </c>
      <c r="N395" s="139">
        <v>40.8431</v>
      </c>
      <c r="O395" s="139">
        <v>47.13</v>
      </c>
      <c r="P395" s="139">
        <v>46.519399999999997</v>
      </c>
      <c r="Q395" s="139"/>
      <c r="R395" s="140"/>
      <c r="S395" s="141"/>
      <c r="U395" s="8"/>
      <c r="V395" s="9"/>
      <c r="W395" s="10"/>
      <c r="X395" s="29"/>
      <c r="Y395" s="24"/>
      <c r="Z395" s="24"/>
      <c r="AA395" s="27"/>
      <c r="AB395" s="24"/>
      <c r="AC395" s="24"/>
    </row>
    <row r="396" spans="2:29" ht="12.75">
      <c r="B396" s="36"/>
      <c r="C396" s="29"/>
      <c r="D396" s="32">
        <v>30</v>
      </c>
      <c r="E396" s="133" t="s">
        <v>62</v>
      </c>
      <c r="F396" s="133">
        <v>38.029899999999998</v>
      </c>
      <c r="G396" s="133">
        <v>45.430399999999999</v>
      </c>
      <c r="H396" s="133">
        <v>44.618600000000001</v>
      </c>
      <c r="I396" s="133"/>
      <c r="J396" s="134"/>
      <c r="K396" s="135"/>
      <c r="L396" s="29"/>
      <c r="M396" s="142" t="s">
        <v>62</v>
      </c>
      <c r="N396" s="142">
        <v>38.029899999999998</v>
      </c>
      <c r="O396" s="142">
        <v>45.430399999999999</v>
      </c>
      <c r="P396" s="142">
        <v>44.618600000000001</v>
      </c>
      <c r="Q396" s="142"/>
      <c r="R396" s="143"/>
      <c r="S396" s="144"/>
      <c r="U396" s="41"/>
      <c r="V396" s="42"/>
      <c r="W396" s="43"/>
      <c r="X396" s="29"/>
      <c r="Y396" s="24"/>
      <c r="Z396" s="24"/>
      <c r="AA396" s="27"/>
      <c r="AB396" s="24"/>
      <c r="AC396" s="24"/>
    </row>
    <row r="397" spans="2:29" ht="12.75">
      <c r="B397" s="36"/>
      <c r="C397" s="29"/>
      <c r="D397" s="32">
        <v>35</v>
      </c>
      <c r="E397" s="133" t="s">
        <v>62</v>
      </c>
      <c r="F397" s="133">
        <v>35.329700000000003</v>
      </c>
      <c r="G397" s="133">
        <v>43.631599999999999</v>
      </c>
      <c r="H397" s="133">
        <v>42.663899999999998</v>
      </c>
      <c r="I397" s="133"/>
      <c r="J397" s="134"/>
      <c r="K397" s="135"/>
      <c r="L397" s="29"/>
      <c r="M397" s="142" t="s">
        <v>62</v>
      </c>
      <c r="N397" s="142">
        <v>35.329700000000003</v>
      </c>
      <c r="O397" s="142">
        <v>43.631599999999999</v>
      </c>
      <c r="P397" s="142">
        <v>42.663899999999998</v>
      </c>
      <c r="Q397" s="142"/>
      <c r="R397" s="143"/>
      <c r="S397" s="144"/>
      <c r="U397" s="17"/>
      <c r="V397" s="18"/>
      <c r="W397" s="19"/>
      <c r="X397" s="29"/>
      <c r="Y397" s="24"/>
      <c r="Z397" s="24"/>
      <c r="AA397" s="27"/>
      <c r="AB397" s="24"/>
      <c r="AC397" s="24"/>
    </row>
    <row r="398" spans="2:29" ht="13.5" thickBot="1">
      <c r="B398" s="36"/>
      <c r="C398" s="51"/>
      <c r="D398" s="69">
        <v>40</v>
      </c>
      <c r="E398" s="136" t="s">
        <v>62</v>
      </c>
      <c r="F398" s="136">
        <v>32.9069</v>
      </c>
      <c r="G398" s="136">
        <v>42.4953</v>
      </c>
      <c r="H398" s="136">
        <v>41.313200000000002</v>
      </c>
      <c r="I398" s="136"/>
      <c r="J398" s="137"/>
      <c r="K398" s="138"/>
      <c r="L398" s="29"/>
      <c r="M398" s="145" t="s">
        <v>62</v>
      </c>
      <c r="N398" s="145">
        <v>32.9069</v>
      </c>
      <c r="O398" s="145">
        <v>42.4953</v>
      </c>
      <c r="P398" s="145">
        <v>41.313200000000002</v>
      </c>
      <c r="Q398" s="145"/>
      <c r="R398" s="146"/>
      <c r="S398" s="147"/>
      <c r="U398" s="41"/>
      <c r="V398" s="42"/>
      <c r="W398" s="43"/>
      <c r="X398" s="29"/>
      <c r="Y398" s="24"/>
      <c r="Z398" s="24"/>
      <c r="AA398" s="27"/>
      <c r="AB398" s="24"/>
      <c r="AC398" s="24"/>
    </row>
    <row r="399" spans="2:29" ht="12.75">
      <c r="B399" s="36"/>
      <c r="C399" s="29" t="s">
        <v>49</v>
      </c>
      <c r="D399" s="32">
        <v>25</v>
      </c>
      <c r="E399" s="130" t="s">
        <v>62</v>
      </c>
      <c r="F399" s="130">
        <v>41.0623</v>
      </c>
      <c r="G399" s="130">
        <v>47.625599999999999</v>
      </c>
      <c r="H399" s="130">
        <v>47.211199999999998</v>
      </c>
      <c r="I399" s="130"/>
      <c r="J399" s="131"/>
      <c r="K399" s="132"/>
      <c r="L399" s="29"/>
      <c r="M399" s="139" t="s">
        <v>62</v>
      </c>
      <c r="N399" s="139">
        <v>41.0623</v>
      </c>
      <c r="O399" s="139">
        <v>47.625599999999999</v>
      </c>
      <c r="P399" s="139">
        <v>47.211199999999998</v>
      </c>
      <c r="Q399" s="139"/>
      <c r="R399" s="140"/>
      <c r="S399" s="141"/>
      <c r="U399" s="8"/>
      <c r="V399" s="9"/>
      <c r="W399" s="10"/>
      <c r="X399" s="29"/>
      <c r="Y399" s="24"/>
      <c r="Z399" s="24"/>
      <c r="AA399" s="27"/>
      <c r="AB399" s="24"/>
      <c r="AC399" s="24"/>
    </row>
    <row r="400" spans="2:29" ht="12.75">
      <c r="B400" s="36"/>
      <c r="C400" s="29"/>
      <c r="D400" s="32">
        <v>30</v>
      </c>
      <c r="E400" s="133" t="s">
        <v>62</v>
      </c>
      <c r="F400" s="133">
        <v>38.163200000000003</v>
      </c>
      <c r="G400" s="133">
        <v>45.7986</v>
      </c>
      <c r="H400" s="133">
        <v>45.129600000000003</v>
      </c>
      <c r="I400" s="133"/>
      <c r="J400" s="134"/>
      <c r="K400" s="135"/>
      <c r="L400" s="29"/>
      <c r="M400" s="142" t="s">
        <v>62</v>
      </c>
      <c r="N400" s="142">
        <v>38.163200000000003</v>
      </c>
      <c r="O400" s="142">
        <v>45.7986</v>
      </c>
      <c r="P400" s="142">
        <v>45.129600000000003</v>
      </c>
      <c r="Q400" s="142"/>
      <c r="R400" s="143"/>
      <c r="S400" s="144"/>
      <c r="U400" s="41"/>
      <c r="V400" s="42"/>
      <c r="W400" s="43"/>
      <c r="X400" s="29"/>
      <c r="Y400" s="24"/>
      <c r="Z400" s="24"/>
      <c r="AA400" s="27"/>
      <c r="AB400" s="24"/>
      <c r="AC400" s="24"/>
    </row>
    <row r="401" spans="2:29" ht="12.75">
      <c r="B401" s="36"/>
      <c r="C401" s="29"/>
      <c r="D401" s="32">
        <v>35</v>
      </c>
      <c r="E401" s="133" t="s">
        <v>62</v>
      </c>
      <c r="F401" s="133">
        <v>35.4223</v>
      </c>
      <c r="G401" s="133">
        <v>43.959499999999998</v>
      </c>
      <c r="H401" s="133">
        <v>43.059199999999997</v>
      </c>
      <c r="I401" s="133"/>
      <c r="J401" s="134"/>
      <c r="K401" s="135"/>
      <c r="L401" s="29"/>
      <c r="M401" s="142" t="s">
        <v>62</v>
      </c>
      <c r="N401" s="142">
        <v>35.4223</v>
      </c>
      <c r="O401" s="142">
        <v>43.959499999999998</v>
      </c>
      <c r="P401" s="142">
        <v>43.059199999999997</v>
      </c>
      <c r="Q401" s="142"/>
      <c r="R401" s="143"/>
      <c r="S401" s="144"/>
      <c r="U401" s="41"/>
      <c r="V401" s="42"/>
      <c r="W401" s="43"/>
      <c r="X401" s="29"/>
      <c r="Y401" s="24"/>
      <c r="Z401" s="24"/>
      <c r="AA401" s="27"/>
      <c r="AB401" s="24"/>
      <c r="AC401" s="24"/>
    </row>
    <row r="402" spans="2:29" ht="13.5" thickBot="1">
      <c r="B402" s="36"/>
      <c r="C402" s="51"/>
      <c r="D402" s="69">
        <v>40</v>
      </c>
      <c r="E402" s="136" t="s">
        <v>62</v>
      </c>
      <c r="F402" s="136">
        <v>32.978200000000001</v>
      </c>
      <c r="G402" s="136">
        <v>42.755699999999997</v>
      </c>
      <c r="H402" s="136">
        <v>41.603299999999997</v>
      </c>
      <c r="I402" s="136"/>
      <c r="J402" s="137"/>
      <c r="K402" s="138"/>
      <c r="L402" s="29"/>
      <c r="M402" s="145" t="s">
        <v>62</v>
      </c>
      <c r="N402" s="145">
        <v>32.978200000000001</v>
      </c>
      <c r="O402" s="145">
        <v>42.755699999999997</v>
      </c>
      <c r="P402" s="145">
        <v>41.603299999999997</v>
      </c>
      <c r="Q402" s="145"/>
      <c r="R402" s="146"/>
      <c r="S402" s="147"/>
      <c r="U402" s="17"/>
      <c r="V402" s="18"/>
      <c r="W402" s="19"/>
      <c r="X402" s="29"/>
      <c r="Z402" s="59"/>
      <c r="AA402" s="55"/>
      <c r="AB402" s="24"/>
      <c r="AC402" s="24"/>
    </row>
    <row r="403" spans="2:29" ht="12.75">
      <c r="B403" s="36"/>
      <c r="C403" s="29" t="s">
        <v>50</v>
      </c>
      <c r="D403" s="32">
        <v>25</v>
      </c>
      <c r="E403" s="130" t="s">
        <v>62</v>
      </c>
      <c r="F403" s="130">
        <v>41.051000000000002</v>
      </c>
      <c r="G403" s="130">
        <v>47.677500000000002</v>
      </c>
      <c r="H403" s="130">
        <v>47.231400000000001</v>
      </c>
      <c r="I403" s="130"/>
      <c r="J403" s="131"/>
      <c r="K403" s="132"/>
      <c r="L403" s="29"/>
      <c r="M403" s="139" t="s">
        <v>62</v>
      </c>
      <c r="N403" s="139">
        <v>41.051000000000002</v>
      </c>
      <c r="O403" s="139">
        <v>47.677500000000002</v>
      </c>
      <c r="P403" s="139">
        <v>47.231400000000001</v>
      </c>
      <c r="Q403" s="139"/>
      <c r="R403" s="140"/>
      <c r="S403" s="141"/>
      <c r="U403" s="8"/>
      <c r="V403" s="9"/>
      <c r="W403" s="10"/>
      <c r="X403" s="29"/>
      <c r="Y403" s="24"/>
      <c r="Z403" s="24"/>
      <c r="AA403" s="27"/>
      <c r="AB403" s="24"/>
      <c r="AC403" s="24"/>
    </row>
    <row r="404" spans="2:29" ht="12.75">
      <c r="B404" s="36"/>
      <c r="C404" s="29"/>
      <c r="D404" s="32">
        <v>30</v>
      </c>
      <c r="E404" s="133" t="s">
        <v>62</v>
      </c>
      <c r="F404" s="133">
        <v>38.160899999999998</v>
      </c>
      <c r="G404" s="133">
        <v>45.860999999999997</v>
      </c>
      <c r="H404" s="133">
        <v>45.152200000000001</v>
      </c>
      <c r="I404" s="133"/>
      <c r="J404" s="134"/>
      <c r="K404" s="135"/>
      <c r="L404" s="29"/>
      <c r="M404" s="142" t="s">
        <v>62</v>
      </c>
      <c r="N404" s="142">
        <v>38.160899999999998</v>
      </c>
      <c r="O404" s="142">
        <v>45.860999999999997</v>
      </c>
      <c r="P404" s="142">
        <v>45.152200000000001</v>
      </c>
      <c r="Q404" s="142"/>
      <c r="R404" s="143"/>
      <c r="S404" s="144"/>
      <c r="U404" s="12"/>
      <c r="V404" s="13"/>
      <c r="W404" s="14"/>
      <c r="X404" s="29"/>
      <c r="Y404" s="24"/>
      <c r="Z404" s="24"/>
      <c r="AA404" s="27"/>
      <c r="AB404" s="24"/>
      <c r="AC404" s="24"/>
    </row>
    <row r="405" spans="2:29" ht="12.75">
      <c r="B405" s="36"/>
      <c r="C405" s="29"/>
      <c r="D405" s="32">
        <v>35</v>
      </c>
      <c r="E405" s="133" t="s">
        <v>62</v>
      </c>
      <c r="F405" s="133">
        <v>35.418999999999997</v>
      </c>
      <c r="G405" s="133">
        <v>44.029499999999999</v>
      </c>
      <c r="H405" s="133">
        <v>43.086500000000001</v>
      </c>
      <c r="I405" s="133"/>
      <c r="J405" s="134"/>
      <c r="K405" s="135"/>
      <c r="L405" s="29"/>
      <c r="M405" s="142" t="s">
        <v>62</v>
      </c>
      <c r="N405" s="142">
        <v>35.418999999999997</v>
      </c>
      <c r="O405" s="142">
        <v>44.029499999999999</v>
      </c>
      <c r="P405" s="142">
        <v>43.086500000000001</v>
      </c>
      <c r="Q405" s="142"/>
      <c r="R405" s="143"/>
      <c r="S405" s="144"/>
      <c r="U405" s="12"/>
      <c r="V405" s="13"/>
      <c r="W405" s="14"/>
      <c r="X405" s="29"/>
      <c r="Y405" s="24"/>
      <c r="Z405" s="24"/>
      <c r="AA405" s="27"/>
      <c r="AB405" s="24"/>
      <c r="AC405" s="24"/>
    </row>
    <row r="406" spans="2:29" ht="13.5" thickBot="1">
      <c r="B406" s="36"/>
      <c r="C406" s="51"/>
      <c r="D406" s="69">
        <v>40</v>
      </c>
      <c r="E406" s="136" t="s">
        <v>62</v>
      </c>
      <c r="F406" s="136">
        <v>32.970799999999997</v>
      </c>
      <c r="G406" s="136">
        <v>42.831899999999997</v>
      </c>
      <c r="H406" s="136">
        <v>41.611499999999999</v>
      </c>
      <c r="I406" s="136"/>
      <c r="J406" s="137"/>
      <c r="K406" s="138"/>
      <c r="L406" s="29"/>
      <c r="M406" s="145" t="s">
        <v>62</v>
      </c>
      <c r="N406" s="145">
        <v>32.970799999999997</v>
      </c>
      <c r="O406" s="145">
        <v>42.831899999999997</v>
      </c>
      <c r="P406" s="145">
        <v>41.611499999999999</v>
      </c>
      <c r="Q406" s="145"/>
      <c r="R406" s="146"/>
      <c r="S406" s="147"/>
      <c r="U406" s="12"/>
      <c r="V406" s="13"/>
      <c r="W406" s="14"/>
      <c r="X406" s="29"/>
      <c r="Y406" s="24"/>
      <c r="Z406" s="24"/>
      <c r="AA406" s="27"/>
      <c r="AB406" s="24"/>
      <c r="AC406" s="24"/>
    </row>
    <row r="407" spans="2:29" ht="12.75">
      <c r="B407" s="36"/>
      <c r="C407" s="29" t="s">
        <v>51</v>
      </c>
      <c r="D407" s="32">
        <v>25</v>
      </c>
      <c r="E407" s="131" t="s">
        <v>62</v>
      </c>
      <c r="F407" s="131">
        <v>40.863199999999999</v>
      </c>
      <c r="G407" s="131">
        <v>46.811100000000003</v>
      </c>
      <c r="H407" s="131">
        <v>46.649799999999999</v>
      </c>
      <c r="I407" s="131"/>
      <c r="J407" s="131"/>
      <c r="K407" s="132"/>
      <c r="L407" s="29"/>
      <c r="M407" s="140" t="s">
        <v>62</v>
      </c>
      <c r="N407" s="140">
        <v>40.863199999999999</v>
      </c>
      <c r="O407" s="140">
        <v>46.811100000000003</v>
      </c>
      <c r="P407" s="140">
        <v>46.649799999999999</v>
      </c>
      <c r="Q407" s="140"/>
      <c r="R407" s="140"/>
      <c r="S407" s="141"/>
      <c r="U407" s="8"/>
      <c r="V407" s="9"/>
      <c r="W407" s="10"/>
      <c r="X407" s="29"/>
      <c r="Y407" s="24"/>
      <c r="Z407" s="24"/>
      <c r="AA407" s="27"/>
      <c r="AB407" s="24"/>
      <c r="AC407" s="24"/>
    </row>
    <row r="408" spans="2:29" ht="12.75">
      <c r="B408" s="36"/>
      <c r="C408" s="29"/>
      <c r="D408" s="32">
        <v>30</v>
      </c>
      <c r="E408" s="134" t="s">
        <v>62</v>
      </c>
      <c r="F408" s="134">
        <v>38.042400000000001</v>
      </c>
      <c r="G408" s="134">
        <v>45.241599999999998</v>
      </c>
      <c r="H408" s="134">
        <v>44.721299999999999</v>
      </c>
      <c r="I408" s="134"/>
      <c r="J408" s="134"/>
      <c r="K408" s="135"/>
      <c r="L408" s="29"/>
      <c r="M408" s="143" t="s">
        <v>62</v>
      </c>
      <c r="N408" s="143">
        <v>38.042400000000001</v>
      </c>
      <c r="O408" s="143">
        <v>45.241599999999998</v>
      </c>
      <c r="P408" s="143">
        <v>44.721299999999999</v>
      </c>
      <c r="Q408" s="143"/>
      <c r="R408" s="143"/>
      <c r="S408" s="144"/>
      <c r="U408" s="41"/>
      <c r="V408" s="42"/>
      <c r="W408" s="43"/>
      <c r="X408" s="29"/>
      <c r="Y408" s="24"/>
      <c r="Z408" s="24"/>
      <c r="AA408" s="27"/>
      <c r="AB408" s="24"/>
      <c r="AC408" s="24"/>
    </row>
    <row r="409" spans="2:29" ht="12.75">
      <c r="B409" s="36"/>
      <c r="C409" s="29"/>
      <c r="D409" s="32">
        <v>35</v>
      </c>
      <c r="E409" s="134" t="s">
        <v>62</v>
      </c>
      <c r="F409" s="134">
        <v>35.338900000000002</v>
      </c>
      <c r="G409" s="134">
        <v>43.590800000000002</v>
      </c>
      <c r="H409" s="134">
        <v>42.748899999999999</v>
      </c>
      <c r="I409" s="134"/>
      <c r="J409" s="134"/>
      <c r="K409" s="135"/>
      <c r="L409" s="29"/>
      <c r="M409" s="143" t="s">
        <v>62</v>
      </c>
      <c r="N409" s="143">
        <v>35.338900000000002</v>
      </c>
      <c r="O409" s="143">
        <v>43.590800000000002</v>
      </c>
      <c r="P409" s="143">
        <v>42.748899999999999</v>
      </c>
      <c r="Q409" s="143"/>
      <c r="R409" s="143"/>
      <c r="S409" s="144"/>
      <c r="U409" s="41"/>
      <c r="V409" s="42"/>
      <c r="W409" s="43"/>
      <c r="X409" s="29"/>
      <c r="Y409" s="24"/>
      <c r="Z409" s="24"/>
      <c r="AA409" s="27"/>
      <c r="AB409" s="24"/>
      <c r="AC409" s="24"/>
    </row>
    <row r="410" spans="2:29" ht="13.5" thickBot="1">
      <c r="B410" s="36"/>
      <c r="C410" s="51"/>
      <c r="D410" s="69">
        <v>40</v>
      </c>
      <c r="E410" s="137" t="s">
        <v>62</v>
      </c>
      <c r="F410" s="137">
        <v>32.899900000000002</v>
      </c>
      <c r="G410" s="137">
        <v>42.476100000000002</v>
      </c>
      <c r="H410" s="137">
        <v>41.308599999999998</v>
      </c>
      <c r="I410" s="137"/>
      <c r="J410" s="137"/>
      <c r="K410" s="138"/>
      <c r="L410" s="29"/>
      <c r="M410" s="146" t="s">
        <v>62</v>
      </c>
      <c r="N410" s="146">
        <v>32.899900000000002</v>
      </c>
      <c r="O410" s="146">
        <v>42.476100000000002</v>
      </c>
      <c r="P410" s="146">
        <v>41.308599999999998</v>
      </c>
      <c r="Q410" s="146"/>
      <c r="R410" s="146"/>
      <c r="S410" s="147"/>
      <c r="U410" s="41"/>
      <c r="V410" s="42"/>
      <c r="W410" s="43"/>
      <c r="X410" s="29"/>
      <c r="Y410" s="24"/>
      <c r="Z410" s="24"/>
      <c r="AA410" s="27"/>
      <c r="AB410" s="24"/>
      <c r="AC410" s="24"/>
    </row>
    <row r="411" spans="2:29" ht="12.75">
      <c r="B411" s="36"/>
      <c r="C411" s="29" t="s">
        <v>52</v>
      </c>
      <c r="D411" s="32">
        <v>25</v>
      </c>
      <c r="E411" s="131" t="s">
        <v>62</v>
      </c>
      <c r="F411" s="131">
        <v>40.684100000000001</v>
      </c>
      <c r="G411" s="131">
        <v>46.644199999999998</v>
      </c>
      <c r="H411" s="131">
        <v>46.6265</v>
      </c>
      <c r="I411" s="131"/>
      <c r="J411" s="131"/>
      <c r="K411" s="132"/>
      <c r="L411" s="29"/>
      <c r="M411" s="140" t="s">
        <v>62</v>
      </c>
      <c r="N411" s="140">
        <v>40.684100000000001</v>
      </c>
      <c r="O411" s="140">
        <v>46.644199999999998</v>
      </c>
      <c r="P411" s="140">
        <v>46.6265</v>
      </c>
      <c r="Q411" s="140"/>
      <c r="R411" s="140"/>
      <c r="S411" s="141"/>
      <c r="U411" s="8"/>
      <c r="V411" s="9"/>
      <c r="W411" s="10"/>
      <c r="X411" s="29"/>
      <c r="Y411" s="24"/>
      <c r="Z411" s="24"/>
      <c r="AA411" s="27"/>
      <c r="AB411" s="24"/>
      <c r="AC411" s="24"/>
    </row>
    <row r="412" spans="2:29" ht="12.75">
      <c r="B412" s="36"/>
      <c r="C412" s="29"/>
      <c r="D412" s="32">
        <v>30</v>
      </c>
      <c r="E412" s="134" t="s">
        <v>62</v>
      </c>
      <c r="F412" s="134">
        <v>37.911799999999999</v>
      </c>
      <c r="G412" s="134">
        <v>45.1312</v>
      </c>
      <c r="H412" s="134">
        <v>44.6554</v>
      </c>
      <c r="I412" s="134"/>
      <c r="J412" s="134"/>
      <c r="K412" s="135"/>
      <c r="L412" s="29"/>
      <c r="M412" s="143" t="s">
        <v>62</v>
      </c>
      <c r="N412" s="143">
        <v>37.911799999999999</v>
      </c>
      <c r="O412" s="143">
        <v>45.1312</v>
      </c>
      <c r="P412" s="143">
        <v>44.6554</v>
      </c>
      <c r="Q412" s="143"/>
      <c r="R412" s="143"/>
      <c r="S412" s="144"/>
      <c r="U412" s="17"/>
      <c r="V412" s="18"/>
      <c r="W412" s="19"/>
      <c r="X412" s="29"/>
      <c r="Y412" s="24"/>
      <c r="Z412" s="24"/>
      <c r="AA412" s="27"/>
      <c r="AB412" s="24"/>
      <c r="AC412" s="24"/>
    </row>
    <row r="413" spans="2:29" ht="12.75">
      <c r="B413" s="36"/>
      <c r="C413" s="29"/>
      <c r="D413" s="32">
        <v>35</v>
      </c>
      <c r="E413" s="134" t="s">
        <v>62</v>
      </c>
      <c r="F413" s="134">
        <v>35.258899999999997</v>
      </c>
      <c r="G413" s="134">
        <v>43.495800000000003</v>
      </c>
      <c r="H413" s="134">
        <v>42.692599999999999</v>
      </c>
      <c r="I413" s="134"/>
      <c r="J413" s="134"/>
      <c r="K413" s="135"/>
      <c r="L413" s="29"/>
      <c r="M413" s="143" t="s">
        <v>62</v>
      </c>
      <c r="N413" s="143">
        <v>35.258899999999997</v>
      </c>
      <c r="O413" s="143">
        <v>43.495800000000003</v>
      </c>
      <c r="P413" s="143">
        <v>42.692599999999999</v>
      </c>
      <c r="Q413" s="143"/>
      <c r="R413" s="143"/>
      <c r="S413" s="144"/>
      <c r="U413" s="41"/>
      <c r="V413" s="44"/>
      <c r="W413" s="43"/>
      <c r="X413" s="29"/>
      <c r="Y413" s="24"/>
      <c r="Z413" s="24"/>
      <c r="AA413" s="27"/>
      <c r="AB413" s="24"/>
      <c r="AC413" s="24"/>
    </row>
    <row r="414" spans="2:29" ht="13.5" thickBot="1">
      <c r="B414" s="36"/>
      <c r="C414" s="51"/>
      <c r="D414" s="69">
        <v>40</v>
      </c>
      <c r="E414" s="137" t="s">
        <v>62</v>
      </c>
      <c r="F414" s="137">
        <v>32.858699999999999</v>
      </c>
      <c r="G414" s="137">
        <v>42.447499999999998</v>
      </c>
      <c r="H414" s="137">
        <v>41.254600000000003</v>
      </c>
      <c r="I414" s="137"/>
      <c r="J414" s="137"/>
      <c r="K414" s="138"/>
      <c r="L414" s="29"/>
      <c r="M414" s="146" t="s">
        <v>62</v>
      </c>
      <c r="N414" s="146">
        <v>32.858699999999999</v>
      </c>
      <c r="O414" s="146">
        <v>42.447499999999998</v>
      </c>
      <c r="P414" s="146">
        <v>41.254600000000003</v>
      </c>
      <c r="Q414" s="146"/>
      <c r="R414" s="146"/>
      <c r="S414" s="147"/>
      <c r="U414" s="41"/>
      <c r="V414" s="42"/>
      <c r="W414" s="43"/>
      <c r="X414" s="29"/>
      <c r="Y414" s="24"/>
      <c r="Z414" s="24"/>
      <c r="AA414" s="27"/>
      <c r="AB414" s="24"/>
      <c r="AC414" s="24"/>
    </row>
    <row r="415" spans="2:29" ht="12.75">
      <c r="B415" s="36"/>
      <c r="C415" s="29" t="s">
        <v>12</v>
      </c>
      <c r="D415" s="32">
        <v>25</v>
      </c>
      <c r="E415" s="134">
        <v>6057.3087999999998</v>
      </c>
      <c r="F415" s="134" t="s">
        <v>62</v>
      </c>
      <c r="G415" s="134" t="s">
        <v>62</v>
      </c>
      <c r="H415" s="134" t="s">
        <v>62</v>
      </c>
      <c r="I415" s="134">
        <v>72420.58</v>
      </c>
      <c r="J415" s="134">
        <v>141.63</v>
      </c>
      <c r="K415" s="135">
        <v>962.97</v>
      </c>
      <c r="L415" s="29"/>
      <c r="M415" s="143">
        <v>6057.308</v>
      </c>
      <c r="N415" s="143" t="s">
        <v>62</v>
      </c>
      <c r="O415" s="143" t="s">
        <v>62</v>
      </c>
      <c r="P415" s="143" t="s">
        <v>62</v>
      </c>
      <c r="Q415" s="143">
        <v>74911.22</v>
      </c>
      <c r="R415" s="143">
        <v>148.04</v>
      </c>
      <c r="S415" s="144">
        <v>973.5</v>
      </c>
      <c r="U415" s="8"/>
      <c r="V415" s="9"/>
      <c r="W415" s="10"/>
      <c r="X415" s="29"/>
      <c r="Y415" s="59">
        <f>GEOMEAN(Q415:Q418)/GEOMEAN(I415:I418)</f>
        <v>1.0247287069051667</v>
      </c>
      <c r="Z415" s="59">
        <f>GEOMEAN(R415:R418)/GEOMEAN(J415:J418)</f>
        <v>1.0021270755644338</v>
      </c>
      <c r="AA415" s="55">
        <f>GEOMEAN(S415:S418)/GEOMEAN(K415:K418)</f>
        <v>0.99290042205587392</v>
      </c>
      <c r="AB415" s="24"/>
      <c r="AC415" s="24"/>
    </row>
    <row r="416" spans="2:29" ht="12.75">
      <c r="B416" s="36"/>
      <c r="C416" s="29"/>
      <c r="D416" s="32">
        <v>30</v>
      </c>
      <c r="E416" s="134">
        <v>2801.6167999999998</v>
      </c>
      <c r="F416" s="134" t="s">
        <v>62</v>
      </c>
      <c r="G416" s="134" t="s">
        <v>62</v>
      </c>
      <c r="H416" s="134" t="s">
        <v>62</v>
      </c>
      <c r="I416" s="134">
        <v>55717.58</v>
      </c>
      <c r="J416" s="134">
        <v>141.41</v>
      </c>
      <c r="K416" s="135">
        <v>1083.82</v>
      </c>
      <c r="L416" s="29"/>
      <c r="M416" s="143">
        <v>2801.616</v>
      </c>
      <c r="N416" s="143" t="s">
        <v>62</v>
      </c>
      <c r="O416" s="143" t="s">
        <v>62</v>
      </c>
      <c r="P416" s="143" t="s">
        <v>62</v>
      </c>
      <c r="Q416" s="143">
        <v>56577.88</v>
      </c>
      <c r="R416" s="143">
        <v>134.21</v>
      </c>
      <c r="S416" s="144">
        <v>987.83</v>
      </c>
      <c r="U416" s="41"/>
      <c r="V416" s="42"/>
      <c r="W416" s="43"/>
      <c r="X416" s="29"/>
      <c r="Y416" s="24"/>
      <c r="Z416" s="24"/>
      <c r="AA416" s="27"/>
      <c r="AB416" s="24"/>
      <c r="AC416" s="24"/>
    </row>
    <row r="417" spans="1:29" ht="12.75">
      <c r="B417" s="36"/>
      <c r="C417" s="29"/>
      <c r="D417" s="32">
        <v>35</v>
      </c>
      <c r="E417" s="134">
        <v>1346.4032</v>
      </c>
      <c r="F417" s="134" t="s">
        <v>62</v>
      </c>
      <c r="G417" s="134" t="s">
        <v>62</v>
      </c>
      <c r="H417" s="134" t="s">
        <v>62</v>
      </c>
      <c r="I417" s="134">
        <v>45306.43</v>
      </c>
      <c r="J417" s="134">
        <v>127.64</v>
      </c>
      <c r="K417" s="135">
        <v>963.34</v>
      </c>
      <c r="L417" s="29"/>
      <c r="M417" s="143">
        <v>1346.4023999999999</v>
      </c>
      <c r="N417" s="143" t="s">
        <v>62</v>
      </c>
      <c r="O417" s="143" t="s">
        <v>62</v>
      </c>
      <c r="P417" s="143" t="s">
        <v>62</v>
      </c>
      <c r="Q417" s="143">
        <v>46703.76</v>
      </c>
      <c r="R417" s="143">
        <v>124.91</v>
      </c>
      <c r="S417" s="144">
        <v>984.4</v>
      </c>
      <c r="U417" s="17"/>
      <c r="V417" s="18"/>
      <c r="W417" s="19"/>
      <c r="X417" s="29"/>
      <c r="Y417" s="24"/>
      <c r="Z417" s="24"/>
      <c r="AA417" s="27"/>
      <c r="AB417" s="24"/>
      <c r="AC417" s="24"/>
    </row>
    <row r="418" spans="1:29" ht="13.5" thickBot="1">
      <c r="A418" s="52"/>
      <c r="B418" s="50"/>
      <c r="C418" s="51"/>
      <c r="D418" s="69">
        <v>40</v>
      </c>
      <c r="E418" s="137">
        <v>647.40319999999997</v>
      </c>
      <c r="F418" s="137" t="s">
        <v>62</v>
      </c>
      <c r="G418" s="137" t="s">
        <v>62</v>
      </c>
      <c r="H418" s="137" t="s">
        <v>62</v>
      </c>
      <c r="I418" s="137">
        <v>38727.64</v>
      </c>
      <c r="J418" s="137">
        <v>122.27</v>
      </c>
      <c r="K418" s="138">
        <v>965.44</v>
      </c>
      <c r="L418" s="29"/>
      <c r="M418" s="146">
        <v>647.40239999999994</v>
      </c>
      <c r="N418" s="146" t="s">
        <v>62</v>
      </c>
      <c r="O418" s="146" t="s">
        <v>62</v>
      </c>
      <c r="P418" s="146" t="s">
        <v>62</v>
      </c>
      <c r="Q418" s="146">
        <v>39438.949999999997</v>
      </c>
      <c r="R418" s="146">
        <v>127.02</v>
      </c>
      <c r="S418" s="147">
        <v>996.57</v>
      </c>
      <c r="U418" s="82"/>
      <c r="V418" s="83"/>
      <c r="W418" s="84"/>
      <c r="X418" s="29"/>
      <c r="Y418" s="47"/>
      <c r="Z418" s="47"/>
      <c r="AA418" s="52"/>
      <c r="AB418" s="24"/>
      <c r="AC418" s="24"/>
    </row>
    <row r="419" spans="1:29" ht="12.75" thickBot="1">
      <c r="AB419" s="24"/>
      <c r="AC419" s="24"/>
    </row>
    <row r="420" spans="1:29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23140.396882803499</v>
      </c>
      <c r="J420" s="37">
        <f>GEOMEAN(J51:J54,J103:J106,J155:J158)</f>
        <v>48.996289825990736</v>
      </c>
      <c r="K420" s="39">
        <f>GEOMEAN(K51:K54,K103:K106,K155:K158)</f>
        <v>380.59838861494183</v>
      </c>
      <c r="M420" s="35"/>
      <c r="N420" s="22"/>
      <c r="O420" s="22"/>
      <c r="P420" s="22"/>
      <c r="Q420" s="37">
        <f>GEOMEAN(Q51:Q54,Q103:Q106,Q155:Q158)</f>
        <v>23981.01367576839</v>
      </c>
      <c r="R420" s="37">
        <f>GEOMEAN(R51:R54,R103:R106,R155:R158)</f>
        <v>54.245309951623661</v>
      </c>
      <c r="S420" s="39">
        <f>GEOMEAN(S51:S54,S103:S106,S155:S158)</f>
        <v>399.44529541722198</v>
      </c>
      <c r="AB420" s="24"/>
      <c r="AC420" s="24"/>
    </row>
    <row r="421" spans="1:29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36494.688092609329</v>
      </c>
      <c r="J421" s="38">
        <f>GEOMEAN(J207:J210,J259:J262,J311:J314,J363:J366)</f>
        <v>96.522858317801564</v>
      </c>
      <c r="K421" s="40">
        <f>GEOMEAN(K207:K210,K259:K262,K311:K314,K363:K366)</f>
        <v>761.15083046890993</v>
      </c>
      <c r="M421" s="36"/>
      <c r="N421" s="24"/>
      <c r="O421" s="24"/>
      <c r="P421" s="24"/>
      <c r="Q421" s="38">
        <f>GEOMEAN(Q207:Q210,Q259:Q262,Q311:Q314,Q363:Q366)</f>
        <v>37215.378377886896</v>
      </c>
      <c r="R421" s="38">
        <f>GEOMEAN(R207:R210,R259:R262,R311:R314,R363:R366)</f>
        <v>103.72859292128214</v>
      </c>
      <c r="S421" s="40">
        <f>GEOMEAN(S207:S210,S259:S262,S311:S314,S363:S366)</f>
        <v>790.57335768754535</v>
      </c>
      <c r="AB421" s="24"/>
      <c r="AC421" s="24"/>
    </row>
    <row r="422" spans="1:29" ht="12.75" thickBot="1">
      <c r="B422" s="51"/>
      <c r="C422" s="47"/>
      <c r="D422" s="53" t="s">
        <v>22</v>
      </c>
      <c r="E422" s="50"/>
      <c r="F422" s="47"/>
      <c r="G422" s="47"/>
      <c r="H422" s="47"/>
      <c r="I422" s="70">
        <f>GEOMEAN(I51:I54,I103:I106,I155:I158,I207:I210,I259:I262,I311:I314,I363:I366)</f>
        <v>30021.542676067089</v>
      </c>
      <c r="J422" s="70">
        <f>GEOMEAN(J51:J54,J103:J106,J155:J158,J207:J210,J259:J262,J311:J314,J363:J366)</f>
        <v>72.182187643307401</v>
      </c>
      <c r="K422" s="71">
        <f>GEOMEAN(K51:K54,K103:K106,K155:K158,K207:K210,K259:K262,K311:K314,K363:K366)</f>
        <v>565.54752407722469</v>
      </c>
      <c r="M422" s="50"/>
      <c r="N422" s="47"/>
      <c r="O422" s="47"/>
      <c r="P422" s="47"/>
      <c r="Q422" s="70">
        <f>GEOMEAN(Q51:Q54,Q103:Q106,Q155:Q158,Q207:Q210,Q259:Q262,Q311:Q314,Q363:Q366)</f>
        <v>30826.73157850228</v>
      </c>
      <c r="R422" s="70">
        <f>GEOMEAN(R51:R54,R103:R106,R155:R158,R207:R210,R259:R262,R311:R314,R363:R366)</f>
        <v>78.566982928974582</v>
      </c>
      <c r="S422" s="71">
        <f>GEOMEAN(S51:S54,S103:S106,S155:S158,S207:S210,S259:S262,S311:S314,S363:S366)</f>
        <v>590.03426457863509</v>
      </c>
      <c r="AB422" s="24"/>
      <c r="AC422" s="24"/>
    </row>
    <row r="423" spans="1:29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5">
        <f t="shared" ref="Q423:S425" si="0">Q420/I420</f>
        <v>1.036326809657685</v>
      </c>
      <c r="R423" s="45">
        <f t="shared" si="0"/>
        <v>1.1071309714322188</v>
      </c>
      <c r="S423" s="46">
        <f t="shared" si="0"/>
        <v>1.0495191450254613</v>
      </c>
      <c r="AB423" s="24"/>
      <c r="AC423" s="24"/>
    </row>
    <row r="424" spans="1:29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5">
        <f t="shared" si="0"/>
        <v>1.0197478132556919</v>
      </c>
      <c r="R424" s="45">
        <f t="shared" si="0"/>
        <v>1.0746531415362328</v>
      </c>
      <c r="S424" s="46">
        <f t="shared" si="0"/>
        <v>1.0386553177646927</v>
      </c>
      <c r="AB424" s="24"/>
      <c r="AC424" s="24"/>
    </row>
    <row r="425" spans="1:29" ht="12.75" thickBot="1">
      <c r="B425" s="51"/>
      <c r="C425" s="47"/>
      <c r="D425" s="53" t="s">
        <v>22</v>
      </c>
      <c r="E425" s="50"/>
      <c r="F425" s="47"/>
      <c r="G425" s="47"/>
      <c r="H425" s="47"/>
      <c r="I425" s="47"/>
      <c r="J425" s="47"/>
      <c r="K425" s="52"/>
      <c r="M425" s="50"/>
      <c r="N425" s="47"/>
      <c r="O425" s="47"/>
      <c r="P425" s="47"/>
      <c r="Q425" s="48">
        <f t="shared" si="0"/>
        <v>1.0268203706626002</v>
      </c>
      <c r="R425" s="48">
        <f t="shared" si="0"/>
        <v>1.0884538899987075</v>
      </c>
      <c r="S425" s="49">
        <f t="shared" si="0"/>
        <v>1.0432974055387549</v>
      </c>
      <c r="AB425" s="24"/>
      <c r="AC425" s="24"/>
    </row>
    <row r="426" spans="1:29">
      <c r="AB426" s="24"/>
      <c r="AC426" s="24"/>
    </row>
    <row r="427" spans="1:29" ht="12.75" thickBot="1">
      <c r="A427" s="86" t="s">
        <v>38</v>
      </c>
      <c r="AB427" s="24"/>
      <c r="AC427" s="24"/>
    </row>
    <row r="428" spans="1:29" ht="12.75" thickBot="1">
      <c r="A428" s="7"/>
      <c r="B428" s="85"/>
      <c r="C428" s="7"/>
      <c r="D428" s="28"/>
      <c r="E428" s="150" t="s">
        <v>2</v>
      </c>
      <c r="F428" s="150"/>
      <c r="G428" s="150"/>
      <c r="H428" s="150"/>
      <c r="I428" s="150"/>
      <c r="J428" s="150"/>
      <c r="K428" s="151"/>
      <c r="L428" s="11"/>
      <c r="M428" s="152" t="s">
        <v>3</v>
      </c>
      <c r="N428" s="150"/>
      <c r="O428" s="150"/>
      <c r="P428" s="150"/>
      <c r="Q428" s="150"/>
      <c r="R428" s="150"/>
      <c r="S428" s="151"/>
      <c r="T428" s="34"/>
      <c r="U428" s="152" t="s">
        <v>10</v>
      </c>
      <c r="V428" s="150"/>
      <c r="W428" s="151"/>
      <c r="Y428" s="24"/>
      <c r="Z428" s="24"/>
      <c r="AA428" s="24"/>
      <c r="AB428" s="24"/>
      <c r="AC428" s="24"/>
    </row>
    <row r="429" spans="1:29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29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5">
        <f>E3+E7</f>
        <v>1146.308</v>
      </c>
      <c r="F430" s="75">
        <f t="shared" ref="F430:H433" si="1">AVERAGE(F3,F7)</f>
        <v>42.6586</v>
      </c>
      <c r="G430" s="75">
        <f t="shared" si="1"/>
        <v>43.2547</v>
      </c>
      <c r="H430" s="75">
        <f t="shared" si="1"/>
        <v>43.550700000000006</v>
      </c>
      <c r="I430" s="76"/>
      <c r="J430" s="76"/>
      <c r="K430" s="77"/>
      <c r="L430" s="29"/>
      <c r="M430" s="79">
        <f>M3+M7</f>
        <v>1146.2712000000001</v>
      </c>
      <c r="N430" s="75">
        <f t="shared" ref="N430:P433" si="2">AVERAGE(N3,N7)</f>
        <v>42.6586</v>
      </c>
      <c r="O430" s="75">
        <f t="shared" si="2"/>
        <v>43.2547</v>
      </c>
      <c r="P430" s="75">
        <f t="shared" si="2"/>
        <v>43.550700000000006</v>
      </c>
      <c r="Q430" s="76"/>
      <c r="R430" s="76"/>
      <c r="S430" s="77"/>
      <c r="U430" s="8">
        <f>bdrate($E430:$E433,F430:F433,$M430:$M433,N430:N433)</f>
        <v>-9.4318133108117763E-5</v>
      </c>
      <c r="V430" s="9">
        <f>bdrate($E430:$E433,G430:G433,$M430:$M433,O430:O433)</f>
        <v>-8.6988750815364391E-5</v>
      </c>
      <c r="W430" s="10">
        <f>bdrate($E430:$E433,H430:H433,$M430:$M433,P430:P433)</f>
        <v>-8.559490329063113E-5</v>
      </c>
      <c r="Y430" s="24"/>
      <c r="Z430" s="24"/>
      <c r="AA430" s="24"/>
      <c r="AB430" s="24"/>
      <c r="AC430" s="24"/>
    </row>
    <row r="431" spans="1:29">
      <c r="A431" s="24"/>
      <c r="B431" s="29"/>
      <c r="C431" s="29"/>
      <c r="D431" s="32">
        <v>30</v>
      </c>
      <c r="E431" s="68">
        <f>E4+E8</f>
        <v>603.78880000000004</v>
      </c>
      <c r="F431" s="68">
        <f t="shared" si="1"/>
        <v>40.476349999999996</v>
      </c>
      <c r="G431" s="68">
        <f t="shared" si="1"/>
        <v>41.980199999999996</v>
      </c>
      <c r="H431" s="68">
        <f t="shared" si="1"/>
        <v>41.938400000000001</v>
      </c>
      <c r="I431" s="64"/>
      <c r="J431" s="64"/>
      <c r="K431" s="65"/>
      <c r="L431" s="29"/>
      <c r="M431" s="80">
        <f>M4+M8</f>
        <v>603.75199999999995</v>
      </c>
      <c r="N431" s="68">
        <f t="shared" si="2"/>
        <v>40.476349999999996</v>
      </c>
      <c r="O431" s="68">
        <f t="shared" si="2"/>
        <v>41.980199999999996</v>
      </c>
      <c r="P431" s="68">
        <f t="shared" si="2"/>
        <v>41.938400000000001</v>
      </c>
      <c r="Q431" s="64"/>
      <c r="R431" s="64"/>
      <c r="S431" s="65"/>
      <c r="U431" s="41"/>
      <c r="V431" s="42"/>
      <c r="W431" s="43"/>
      <c r="Y431" s="24"/>
      <c r="Z431" s="24"/>
      <c r="AA431" s="24"/>
      <c r="AB431" s="24"/>
      <c r="AC431" s="24"/>
    </row>
    <row r="432" spans="1:29">
      <c r="A432" s="24"/>
      <c r="B432" s="29"/>
      <c r="C432" s="29"/>
      <c r="D432" s="32">
        <v>35</v>
      </c>
      <c r="E432" s="68">
        <f>E5+E9</f>
        <v>341.1112</v>
      </c>
      <c r="F432" s="68">
        <f t="shared" si="1"/>
        <v>37.885950000000001</v>
      </c>
      <c r="G432" s="68">
        <f t="shared" si="1"/>
        <v>40.608000000000004</v>
      </c>
      <c r="H432" s="68">
        <f t="shared" si="1"/>
        <v>40.287700000000001</v>
      </c>
      <c r="I432" s="64"/>
      <c r="J432" s="64"/>
      <c r="K432" s="65"/>
      <c r="L432" s="29"/>
      <c r="M432" s="80">
        <f>M5+M9</f>
        <v>341.07440000000003</v>
      </c>
      <c r="N432" s="68">
        <f t="shared" si="2"/>
        <v>37.885950000000001</v>
      </c>
      <c r="O432" s="68">
        <f t="shared" si="2"/>
        <v>40.608000000000004</v>
      </c>
      <c r="P432" s="68">
        <f t="shared" si="2"/>
        <v>40.287700000000001</v>
      </c>
      <c r="Q432" s="64"/>
      <c r="R432" s="64"/>
      <c r="S432" s="65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1"/>
      <c r="D433" s="69">
        <v>40</v>
      </c>
      <c r="E433" s="78">
        <f>E6+E10</f>
        <v>201.38480000000001</v>
      </c>
      <c r="F433" s="78">
        <f t="shared" si="1"/>
        <v>35.116100000000003</v>
      </c>
      <c r="G433" s="78">
        <f t="shared" si="1"/>
        <v>39.521699999999996</v>
      </c>
      <c r="H433" s="78">
        <f t="shared" si="1"/>
        <v>39.022649999999999</v>
      </c>
      <c r="I433" s="66"/>
      <c r="J433" s="66"/>
      <c r="K433" s="67"/>
      <c r="L433" s="29"/>
      <c r="M433" s="81">
        <f>M6+M10</f>
        <v>201.34800000000001</v>
      </c>
      <c r="N433" s="78">
        <f t="shared" si="2"/>
        <v>35.116100000000003</v>
      </c>
      <c r="O433" s="78">
        <f t="shared" si="2"/>
        <v>39.521699999999996</v>
      </c>
      <c r="P433" s="78">
        <f t="shared" si="2"/>
        <v>39.022649999999999</v>
      </c>
      <c r="Q433" s="66"/>
      <c r="R433" s="66"/>
      <c r="S433" s="67"/>
      <c r="U433" s="82"/>
      <c r="V433" s="83"/>
      <c r="W433" s="84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5">
        <f>E3+E7+E11</f>
        <v>1443.7968000000001</v>
      </c>
      <c r="F434" s="75">
        <f t="shared" ref="F434:H437" si="3">AVERAGE(F3,F7,F11)</f>
        <v>42.40423333333333</v>
      </c>
      <c r="G434" s="75">
        <f t="shared" si="3"/>
        <v>43.017833333333328</v>
      </c>
      <c r="H434" s="75">
        <f t="shared" si="3"/>
        <v>43.321733333333334</v>
      </c>
      <c r="I434" s="76"/>
      <c r="J434" s="76"/>
      <c r="K434" s="77"/>
      <c r="L434" s="29"/>
      <c r="M434" s="75">
        <f>M3+M7+M11</f>
        <v>1443.7424000000001</v>
      </c>
      <c r="N434" s="75">
        <f t="shared" ref="N434:P437" si="4">AVERAGE(N3,N7,N11)</f>
        <v>42.40423333333333</v>
      </c>
      <c r="O434" s="75">
        <f t="shared" si="4"/>
        <v>43.017833333333328</v>
      </c>
      <c r="P434" s="75">
        <f t="shared" si="4"/>
        <v>43.321733333333334</v>
      </c>
      <c r="Q434" s="76"/>
      <c r="R434" s="76"/>
      <c r="S434" s="77"/>
      <c r="U434" s="8">
        <f>bdrate($E434:$E437,F434:F437,$M434:$M437,N434:N437)</f>
        <v>-1.152425565212889E-4</v>
      </c>
      <c r="V434" s="9">
        <f>bdrate($E434:$E437,G434:G437,$M434:$M437,O434:O437)</f>
        <v>-1.0594389071527655E-4</v>
      </c>
      <c r="W434" s="10">
        <f>bdrate($E434:$E437,H434:H437,$M434:$M437,P434:P437)</f>
        <v>-1.0488506225925232E-4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68">
        <f>E4+E8+E12</f>
        <v>738.75200000000007</v>
      </c>
      <c r="F435" s="68">
        <f t="shared" si="3"/>
        <v>40.204833333333333</v>
      </c>
      <c r="G435" s="68">
        <f t="shared" si="3"/>
        <v>41.72613333333333</v>
      </c>
      <c r="H435" s="68">
        <f t="shared" si="3"/>
        <v>41.729166666666664</v>
      </c>
      <c r="I435" s="64"/>
      <c r="J435" s="64"/>
      <c r="K435" s="65"/>
      <c r="L435" s="29"/>
      <c r="M435" s="68">
        <f>M4+M8+M12</f>
        <v>738.69759999999997</v>
      </c>
      <c r="N435" s="68">
        <f t="shared" si="4"/>
        <v>40.204833333333333</v>
      </c>
      <c r="O435" s="68">
        <f t="shared" si="4"/>
        <v>41.72613333333333</v>
      </c>
      <c r="P435" s="68">
        <f t="shared" si="4"/>
        <v>41.729166666666664</v>
      </c>
      <c r="Q435" s="64"/>
      <c r="R435" s="64"/>
      <c r="S435" s="65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68">
        <f>E5+E9+E13</f>
        <v>411.63679999999999</v>
      </c>
      <c r="F436" s="68">
        <f t="shared" si="3"/>
        <v>37.625233333333334</v>
      </c>
      <c r="G436" s="68">
        <f t="shared" si="3"/>
        <v>40.426233333333336</v>
      </c>
      <c r="H436" s="68">
        <f t="shared" si="3"/>
        <v>40.150100000000002</v>
      </c>
      <c r="I436" s="64"/>
      <c r="J436" s="64"/>
      <c r="K436" s="65"/>
      <c r="L436" s="29"/>
      <c r="M436" s="68">
        <f>M5+M9+M13</f>
        <v>411.58240000000001</v>
      </c>
      <c r="N436" s="68">
        <f t="shared" si="4"/>
        <v>37.625233333333334</v>
      </c>
      <c r="O436" s="68">
        <f t="shared" si="4"/>
        <v>40.426233333333336</v>
      </c>
      <c r="P436" s="68">
        <f t="shared" si="4"/>
        <v>40.150100000000002</v>
      </c>
      <c r="Q436" s="64"/>
      <c r="R436" s="64"/>
      <c r="S436" s="65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1"/>
      <c r="D437" s="69">
        <v>40</v>
      </c>
      <c r="E437" s="78">
        <f>E6+E10+E14</f>
        <v>238.67680000000001</v>
      </c>
      <c r="F437" s="78">
        <f t="shared" si="3"/>
        <v>34.878300000000003</v>
      </c>
      <c r="G437" s="78">
        <f t="shared" si="3"/>
        <v>39.352266666666658</v>
      </c>
      <c r="H437" s="78">
        <f t="shared" si="3"/>
        <v>38.887900000000002</v>
      </c>
      <c r="I437" s="66"/>
      <c r="J437" s="66"/>
      <c r="K437" s="67"/>
      <c r="L437" s="29"/>
      <c r="M437" s="78">
        <f>M6+M10+M14</f>
        <v>238.62240000000003</v>
      </c>
      <c r="N437" s="78">
        <f t="shared" si="4"/>
        <v>34.878300000000003</v>
      </c>
      <c r="O437" s="78">
        <f t="shared" si="4"/>
        <v>39.352266666666658</v>
      </c>
      <c r="P437" s="78">
        <f t="shared" si="4"/>
        <v>38.887900000000002</v>
      </c>
      <c r="Q437" s="66"/>
      <c r="R437" s="66"/>
      <c r="S437" s="67"/>
      <c r="U437" s="82"/>
      <c r="V437" s="83"/>
      <c r="W437" s="84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79">
        <f>E3+E7+E15+E19</f>
        <v>1350.0376000000001</v>
      </c>
      <c r="F438" s="75">
        <f t="shared" ref="F438:H441" si="5">AVERAGE(F27,F31,F35)</f>
        <v>42.776099999999992</v>
      </c>
      <c r="G438" s="75">
        <f t="shared" si="5"/>
        <v>45.63313333333334</v>
      </c>
      <c r="H438" s="75">
        <f t="shared" si="5"/>
        <v>45.517633333333329</v>
      </c>
      <c r="I438" s="76"/>
      <c r="J438" s="76"/>
      <c r="K438" s="77"/>
      <c r="L438" s="29"/>
      <c r="M438" s="79">
        <f>M3+M7+M15+M19</f>
        <v>1350.0008000000003</v>
      </c>
      <c r="N438" s="75">
        <f t="shared" ref="N438:P441" si="6">AVERAGE(N27,N31,N35)</f>
        <v>42.776099999999992</v>
      </c>
      <c r="O438" s="75">
        <f t="shared" si="6"/>
        <v>45.63313333333334</v>
      </c>
      <c r="P438" s="75">
        <f t="shared" si="6"/>
        <v>45.517633333333329</v>
      </c>
      <c r="Q438" s="76"/>
      <c r="R438" s="76"/>
      <c r="S438" s="77"/>
      <c r="U438" s="8">
        <f>bdrate($E438:$E441,F438:F441,$M438:$M441,N438:N441)</f>
        <v>-8.617699373503207E-5</v>
      </c>
      <c r="V438" s="9">
        <f>bdrate($E438:$E441,G438:G441,$M438:$M441,O438:O441)</f>
        <v>-7.8733079379889048E-5</v>
      </c>
      <c r="W438" s="10">
        <f>bdrate($E438:$E441,H438:H441,$M438:$M441,P438:P441)</f>
        <v>-7.7360639516688146E-5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0">
        <f>E4+E8+E16+E20</f>
        <v>670.76480000000004</v>
      </c>
      <c r="F439" s="68">
        <f t="shared" si="5"/>
        <v>40.548900000000003</v>
      </c>
      <c r="G439" s="68">
        <f t="shared" si="5"/>
        <v>43.956866666666663</v>
      </c>
      <c r="H439" s="68">
        <f t="shared" si="5"/>
        <v>43.512666666666668</v>
      </c>
      <c r="I439" s="64"/>
      <c r="J439" s="64"/>
      <c r="K439" s="65"/>
      <c r="L439" s="29"/>
      <c r="M439" s="80">
        <f>M4+M8+M16+M20</f>
        <v>670.72799999999995</v>
      </c>
      <c r="N439" s="68">
        <f t="shared" si="6"/>
        <v>40.548900000000003</v>
      </c>
      <c r="O439" s="68">
        <f t="shared" si="6"/>
        <v>43.956866666666663</v>
      </c>
      <c r="P439" s="68">
        <f t="shared" si="6"/>
        <v>43.512666666666668</v>
      </c>
      <c r="Q439" s="64"/>
      <c r="R439" s="64"/>
      <c r="S439" s="65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0">
        <f>E5+E9+E17+E21</f>
        <v>370.08479999999997</v>
      </c>
      <c r="F440" s="68">
        <f t="shared" si="5"/>
        <v>38.002199999999995</v>
      </c>
      <c r="G440" s="68">
        <f t="shared" si="5"/>
        <v>42.181133333333328</v>
      </c>
      <c r="H440" s="68">
        <f t="shared" si="5"/>
        <v>41.522700000000007</v>
      </c>
      <c r="I440" s="64"/>
      <c r="J440" s="64"/>
      <c r="K440" s="65"/>
      <c r="L440" s="29"/>
      <c r="M440" s="80">
        <f>M5+M9+M17+M21</f>
        <v>370.048</v>
      </c>
      <c r="N440" s="68">
        <f t="shared" si="6"/>
        <v>38.002199999999995</v>
      </c>
      <c r="O440" s="68">
        <f t="shared" si="6"/>
        <v>42.181133333333328</v>
      </c>
      <c r="P440" s="68">
        <f t="shared" si="6"/>
        <v>41.522700000000007</v>
      </c>
      <c r="Q440" s="64"/>
      <c r="R440" s="64"/>
      <c r="S440" s="65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1"/>
      <c r="D441" s="69">
        <v>40</v>
      </c>
      <c r="E441" s="81">
        <f>E6+E10+E18+E22</f>
        <v>215.71040000000002</v>
      </c>
      <c r="F441" s="78">
        <f t="shared" si="5"/>
        <v>35.251966666666668</v>
      </c>
      <c r="G441" s="78">
        <f t="shared" si="5"/>
        <v>40.823799999999999</v>
      </c>
      <c r="H441" s="78">
        <f t="shared" si="5"/>
        <v>40.033833333333341</v>
      </c>
      <c r="I441" s="66"/>
      <c r="J441" s="66"/>
      <c r="K441" s="67"/>
      <c r="L441" s="29"/>
      <c r="M441" s="81">
        <f>M6+M10+M18+M22</f>
        <v>215.67360000000002</v>
      </c>
      <c r="N441" s="78">
        <f t="shared" si="6"/>
        <v>35.251966666666668</v>
      </c>
      <c r="O441" s="78">
        <f t="shared" si="6"/>
        <v>40.823799999999999</v>
      </c>
      <c r="P441" s="78">
        <f t="shared" si="6"/>
        <v>40.033833333333341</v>
      </c>
      <c r="Q441" s="66"/>
      <c r="R441" s="66"/>
      <c r="S441" s="67"/>
      <c r="U441" s="82"/>
      <c r="V441" s="83"/>
      <c r="W441" s="84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5">
        <f>E51</f>
        <v>1749.4272000000001</v>
      </c>
      <c r="F442" s="75">
        <f t="shared" ref="F442:H445" si="7">AVERAGE(F27,F31,F35,F39,F43,F47)</f>
        <v>42.692966666666671</v>
      </c>
      <c r="G442" s="75">
        <f t="shared" si="7"/>
        <v>45.58551666666667</v>
      </c>
      <c r="H442" s="75">
        <f t="shared" si="7"/>
        <v>45.463099999999997</v>
      </c>
      <c r="I442" s="76"/>
      <c r="J442" s="76"/>
      <c r="K442" s="77"/>
      <c r="L442" s="29"/>
      <c r="M442" s="75">
        <f>M51</f>
        <v>1749.3728000000001</v>
      </c>
      <c r="N442" s="75">
        <f t="shared" ref="N442:P445" si="8">AVERAGE(N27,N31,N35,N39,N43,N47)</f>
        <v>42.692966666666671</v>
      </c>
      <c r="O442" s="75">
        <f t="shared" si="8"/>
        <v>45.58551666666667</v>
      </c>
      <c r="P442" s="75">
        <f t="shared" si="8"/>
        <v>45.463099999999997</v>
      </c>
      <c r="Q442" s="76"/>
      <c r="R442" s="76"/>
      <c r="S442" s="77"/>
      <c r="U442" s="8">
        <f>bdrate($E442:$E445,F442:F445,$M442:$M445,N442:N445)</f>
        <v>-1.0259822522573625E-4</v>
      </c>
      <c r="V442" s="9">
        <f>bdrate($E442:$E445,G442:G445,$M442:$M445,O442:O445)</f>
        <v>-9.3076261714841735E-5</v>
      </c>
      <c r="W442" s="10">
        <f>bdrate($E442:$E445,H442:H445,$M442:$M445,P442:P445)</f>
        <v>-9.2163755912033629E-5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68">
        <f>E52</f>
        <v>842.3184</v>
      </c>
      <c r="F443" s="68">
        <f t="shared" si="7"/>
        <v>40.483433333333338</v>
      </c>
      <c r="G443" s="68">
        <f t="shared" si="7"/>
        <v>43.902150000000006</v>
      </c>
      <c r="H443" s="68">
        <f t="shared" si="7"/>
        <v>43.466550000000005</v>
      </c>
      <c r="I443" s="64"/>
      <c r="J443" s="64"/>
      <c r="K443" s="65"/>
      <c r="L443" s="29"/>
      <c r="M443" s="68">
        <f>M52</f>
        <v>842.26400000000001</v>
      </c>
      <c r="N443" s="68">
        <f t="shared" si="8"/>
        <v>40.483433333333338</v>
      </c>
      <c r="O443" s="68">
        <f t="shared" si="8"/>
        <v>43.902150000000006</v>
      </c>
      <c r="P443" s="68">
        <f t="shared" si="8"/>
        <v>43.466550000000005</v>
      </c>
      <c r="Q443" s="64"/>
      <c r="R443" s="64"/>
      <c r="S443" s="65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68">
        <f>E53</f>
        <v>459.7448</v>
      </c>
      <c r="F444" s="68">
        <f t="shared" si="7"/>
        <v>37.947833333333328</v>
      </c>
      <c r="G444" s="68">
        <f t="shared" si="7"/>
        <v>42.138716666666674</v>
      </c>
      <c r="H444" s="68">
        <f t="shared" si="7"/>
        <v>41.482266666666668</v>
      </c>
      <c r="I444" s="64"/>
      <c r="J444" s="64"/>
      <c r="K444" s="65"/>
      <c r="L444" s="29"/>
      <c r="M444" s="68">
        <f>M53</f>
        <v>459.69040000000001</v>
      </c>
      <c r="N444" s="68">
        <f t="shared" si="8"/>
        <v>37.947833333333328</v>
      </c>
      <c r="O444" s="68">
        <f t="shared" si="8"/>
        <v>42.138716666666674</v>
      </c>
      <c r="P444" s="68">
        <f t="shared" si="8"/>
        <v>41.482266666666668</v>
      </c>
      <c r="Q444" s="64"/>
      <c r="R444" s="64"/>
      <c r="S444" s="65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1"/>
      <c r="D445" s="69">
        <v>40</v>
      </c>
      <c r="E445" s="78">
        <f>E54</f>
        <v>265.07679999999999</v>
      </c>
      <c r="F445" s="78">
        <f t="shared" si="7"/>
        <v>35.202649999999998</v>
      </c>
      <c r="G445" s="78">
        <f t="shared" si="7"/>
        <v>40.801666666666662</v>
      </c>
      <c r="H445" s="78">
        <f t="shared" si="7"/>
        <v>39.971333333333341</v>
      </c>
      <c r="I445" s="66"/>
      <c r="J445" s="66"/>
      <c r="K445" s="67"/>
      <c r="L445" s="29"/>
      <c r="M445" s="78">
        <f>M54</f>
        <v>265.0224</v>
      </c>
      <c r="N445" s="78">
        <f t="shared" si="8"/>
        <v>35.202649999999998</v>
      </c>
      <c r="O445" s="78">
        <f t="shared" si="8"/>
        <v>40.801666666666662</v>
      </c>
      <c r="P445" s="78">
        <f t="shared" si="8"/>
        <v>39.971333333333341</v>
      </c>
      <c r="Q445" s="66"/>
      <c r="R445" s="66"/>
      <c r="S445" s="67"/>
      <c r="U445" s="82"/>
      <c r="V445" s="83"/>
      <c r="W445" s="84"/>
      <c r="Y445" s="59"/>
      <c r="Z445" s="59"/>
      <c r="AA445" s="59"/>
      <c r="AB445" s="24"/>
      <c r="AC445" s="24"/>
    </row>
    <row r="446" spans="1:29">
      <c r="B446" s="29"/>
      <c r="C446" s="28" t="s">
        <v>40</v>
      </c>
      <c r="D446" s="31">
        <v>25</v>
      </c>
      <c r="E446" s="75">
        <f t="shared" ref="E446:E453" si="9">E438</f>
        <v>1350.0376000000001</v>
      </c>
      <c r="F446" s="75">
        <f t="shared" ref="F446:H449" si="10">AVERAGE(F3,F7,F27,F31,F35)</f>
        <v>42.729100000000003</v>
      </c>
      <c r="G446" s="75">
        <f t="shared" si="10"/>
        <v>44.681760000000004</v>
      </c>
      <c r="H446" s="75">
        <f t="shared" si="10"/>
        <v>44.73086</v>
      </c>
      <c r="I446" s="76"/>
      <c r="J446" s="76"/>
      <c r="K446" s="77"/>
      <c r="L446" s="29"/>
      <c r="M446" s="75">
        <f t="shared" ref="M446:M453" si="11">M438</f>
        <v>1350.0008000000003</v>
      </c>
      <c r="N446" s="75">
        <f t="shared" ref="N446:P449" si="12">AVERAGE(N3,N7,N27,N31,N35)</f>
        <v>42.729100000000003</v>
      </c>
      <c r="O446" s="75">
        <f t="shared" si="12"/>
        <v>44.681760000000004</v>
      </c>
      <c r="P446" s="75">
        <f t="shared" si="12"/>
        <v>44.73086</v>
      </c>
      <c r="Q446" s="76"/>
      <c r="R446" s="76"/>
      <c r="S446" s="77"/>
      <c r="U446" s="8">
        <f>bdrate($E446:$E449,F446:F449,$M446:$M449,N446:N449)</f>
        <v>-8.6325759232175336E-5</v>
      </c>
      <c r="V446" s="9">
        <f>bdrate($E446:$E449,G446:G449,$M446:$M449,O446:O449)</f>
        <v>-7.9019572183813835E-5</v>
      </c>
      <c r="W446" s="10">
        <f>bdrate($E446:$E449,H446:H449,$M446:$M449,P446:P449)</f>
        <v>-7.7675171176405655E-5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68">
        <f t="shared" si="9"/>
        <v>670.76480000000004</v>
      </c>
      <c r="F447" s="68">
        <f t="shared" si="10"/>
        <v>40.519879999999993</v>
      </c>
      <c r="G447" s="68">
        <f t="shared" si="10"/>
        <v>43.166200000000003</v>
      </c>
      <c r="H447" s="68">
        <f t="shared" si="10"/>
        <v>42.882960000000004</v>
      </c>
      <c r="I447" s="64"/>
      <c r="J447" s="64"/>
      <c r="K447" s="65"/>
      <c r="L447" s="29"/>
      <c r="M447" s="68">
        <f t="shared" si="11"/>
        <v>670.72799999999995</v>
      </c>
      <c r="N447" s="68">
        <f t="shared" si="12"/>
        <v>40.519879999999993</v>
      </c>
      <c r="O447" s="68">
        <f t="shared" si="12"/>
        <v>43.166200000000003</v>
      </c>
      <c r="P447" s="68">
        <f t="shared" si="12"/>
        <v>42.882960000000004</v>
      </c>
      <c r="Q447" s="64"/>
      <c r="R447" s="64"/>
      <c r="S447" s="65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68">
        <f t="shared" si="9"/>
        <v>370.08479999999997</v>
      </c>
      <c r="F448" s="68">
        <f t="shared" si="10"/>
        <v>37.9557</v>
      </c>
      <c r="G448" s="68">
        <f t="shared" si="10"/>
        <v>41.551879999999997</v>
      </c>
      <c r="H448" s="68">
        <f t="shared" si="10"/>
        <v>41.028700000000001</v>
      </c>
      <c r="I448" s="64"/>
      <c r="J448" s="64"/>
      <c r="K448" s="65"/>
      <c r="L448" s="29"/>
      <c r="M448" s="68">
        <f t="shared" si="11"/>
        <v>370.048</v>
      </c>
      <c r="N448" s="68">
        <f t="shared" si="12"/>
        <v>37.9557</v>
      </c>
      <c r="O448" s="68">
        <f t="shared" si="12"/>
        <v>41.551879999999997</v>
      </c>
      <c r="P448" s="68">
        <f t="shared" si="12"/>
        <v>41.028700000000001</v>
      </c>
      <c r="Q448" s="64"/>
      <c r="R448" s="64"/>
      <c r="S448" s="65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1"/>
      <c r="D449" s="69">
        <v>40</v>
      </c>
      <c r="E449" s="78">
        <f t="shared" si="9"/>
        <v>215.71040000000002</v>
      </c>
      <c r="F449" s="78">
        <f t="shared" si="10"/>
        <v>35.197620000000008</v>
      </c>
      <c r="G449" s="78">
        <f t="shared" si="10"/>
        <v>40.302959999999999</v>
      </c>
      <c r="H449" s="78">
        <f t="shared" si="10"/>
        <v>39.629360000000005</v>
      </c>
      <c r="I449" s="66"/>
      <c r="J449" s="66"/>
      <c r="K449" s="67"/>
      <c r="L449" s="29"/>
      <c r="M449" s="78">
        <f t="shared" si="11"/>
        <v>215.67360000000002</v>
      </c>
      <c r="N449" s="78">
        <f t="shared" si="12"/>
        <v>35.197620000000008</v>
      </c>
      <c r="O449" s="78">
        <f t="shared" si="12"/>
        <v>40.302959999999999</v>
      </c>
      <c r="P449" s="78">
        <f t="shared" si="12"/>
        <v>39.629360000000005</v>
      </c>
      <c r="Q449" s="66"/>
      <c r="R449" s="66"/>
      <c r="S449" s="67"/>
      <c r="U449" s="82"/>
      <c r="V449" s="83"/>
      <c r="W449" s="84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5">
        <f t="shared" si="9"/>
        <v>1749.4272000000001</v>
      </c>
      <c r="F450" s="75">
        <f t="shared" ref="F450:H453" si="13">AVERAGE(F3,F7,F11,F27,F31,F35,F39,F43,F47)</f>
        <v>42.596722222222219</v>
      </c>
      <c r="G450" s="75">
        <f t="shared" si="13"/>
        <v>44.729622222222218</v>
      </c>
      <c r="H450" s="75">
        <f t="shared" si="13"/>
        <v>44.749311111111112</v>
      </c>
      <c r="I450" s="76"/>
      <c r="J450" s="76"/>
      <c r="K450" s="77"/>
      <c r="L450" s="29"/>
      <c r="M450" s="75">
        <f t="shared" si="11"/>
        <v>1749.3728000000001</v>
      </c>
      <c r="N450" s="75">
        <f t="shared" ref="N450:P453" si="14">AVERAGE(N3,N7,N11,N27,N31,N35,N39,N43,N47)</f>
        <v>42.596722222222219</v>
      </c>
      <c r="O450" s="75">
        <f t="shared" si="14"/>
        <v>44.729622222222218</v>
      </c>
      <c r="P450" s="75">
        <f t="shared" si="14"/>
        <v>44.749311111111112</v>
      </c>
      <c r="Q450" s="76"/>
      <c r="R450" s="76"/>
      <c r="S450" s="77"/>
      <c r="U450" s="8">
        <f>bdrate($E450:$E453,F450:F453,$M450:$M453,N450:N453)</f>
        <v>-1.0260059625100126E-4</v>
      </c>
      <c r="V450" s="9">
        <f>bdrate($E450:$E453,G450:G453,$M450:$M453,O450:O453)</f>
        <v>-9.3352609020325161E-5</v>
      </c>
      <c r="W450" s="10">
        <f>bdrate($E450:$E453,H450:H453,$M450:$M453,P450:P453)</f>
        <v>-9.2434130890994837E-5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68">
        <f t="shared" si="9"/>
        <v>842.3184</v>
      </c>
      <c r="F451" s="68">
        <f t="shared" si="13"/>
        <v>40.390566666666672</v>
      </c>
      <c r="G451" s="68">
        <f t="shared" si="13"/>
        <v>43.176811111111107</v>
      </c>
      <c r="H451" s="68">
        <f t="shared" si="13"/>
        <v>42.887422222222227</v>
      </c>
      <c r="I451" s="64"/>
      <c r="J451" s="64"/>
      <c r="K451" s="65"/>
      <c r="L451" s="29"/>
      <c r="M451" s="68">
        <f t="shared" si="11"/>
        <v>842.26400000000001</v>
      </c>
      <c r="N451" s="68">
        <f t="shared" si="14"/>
        <v>40.390566666666672</v>
      </c>
      <c r="O451" s="68">
        <f t="shared" si="14"/>
        <v>43.176811111111107</v>
      </c>
      <c r="P451" s="68">
        <f t="shared" si="14"/>
        <v>42.887422222222227</v>
      </c>
      <c r="Q451" s="64"/>
      <c r="R451" s="64"/>
      <c r="S451" s="65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68">
        <f t="shared" si="9"/>
        <v>459.7448</v>
      </c>
      <c r="F452" s="68">
        <f t="shared" si="13"/>
        <v>37.840299999999992</v>
      </c>
      <c r="G452" s="68">
        <f t="shared" si="13"/>
        <v>41.567888888888895</v>
      </c>
      <c r="H452" s="68">
        <f t="shared" si="13"/>
        <v>41.03821111111111</v>
      </c>
      <c r="I452" s="64"/>
      <c r="J452" s="64"/>
      <c r="K452" s="65"/>
      <c r="L452" s="29"/>
      <c r="M452" s="68">
        <f t="shared" si="11"/>
        <v>459.69040000000001</v>
      </c>
      <c r="N452" s="68">
        <f t="shared" si="14"/>
        <v>37.840299999999992</v>
      </c>
      <c r="O452" s="68">
        <f t="shared" si="14"/>
        <v>41.567888888888895</v>
      </c>
      <c r="P452" s="68">
        <f t="shared" si="14"/>
        <v>41.03821111111111</v>
      </c>
      <c r="Q452" s="64"/>
      <c r="R452" s="64"/>
      <c r="S452" s="65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1"/>
      <c r="C453" s="51"/>
      <c r="D453" s="69">
        <v>40</v>
      </c>
      <c r="E453" s="78">
        <f t="shared" si="9"/>
        <v>265.07679999999999</v>
      </c>
      <c r="F453" s="78">
        <f t="shared" si="13"/>
        <v>35.094533333333331</v>
      </c>
      <c r="G453" s="78">
        <f t="shared" si="13"/>
        <v>40.318533333333335</v>
      </c>
      <c r="H453" s="78">
        <f t="shared" si="13"/>
        <v>39.610188888888892</v>
      </c>
      <c r="I453" s="66"/>
      <c r="J453" s="66"/>
      <c r="K453" s="67"/>
      <c r="L453" s="29"/>
      <c r="M453" s="78">
        <f t="shared" si="11"/>
        <v>265.0224</v>
      </c>
      <c r="N453" s="78">
        <f t="shared" si="14"/>
        <v>35.094533333333331</v>
      </c>
      <c r="O453" s="78">
        <f t="shared" si="14"/>
        <v>40.318533333333335</v>
      </c>
      <c r="P453" s="78">
        <f t="shared" si="14"/>
        <v>39.610188888888892</v>
      </c>
      <c r="Q453" s="66"/>
      <c r="R453" s="66"/>
      <c r="S453" s="67"/>
      <c r="U453" s="82"/>
      <c r="V453" s="83"/>
      <c r="W453" s="84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5">
        <f>E55+E59</f>
        <v>1119.3800000000001</v>
      </c>
      <c r="F454" s="75">
        <f t="shared" ref="F454:H457" si="15">AVERAGE(F55,F59)</f>
        <v>43.145700000000005</v>
      </c>
      <c r="G454" s="75">
        <f t="shared" si="15"/>
        <v>44.847799999999999</v>
      </c>
      <c r="H454" s="75">
        <f t="shared" si="15"/>
        <v>44.544749999999993</v>
      </c>
      <c r="I454" s="76"/>
      <c r="J454" s="76"/>
      <c r="K454" s="77"/>
      <c r="L454" s="29"/>
      <c r="M454" s="75">
        <f>M55+M59</f>
        <v>1119.3112000000001</v>
      </c>
      <c r="N454" s="75">
        <f t="shared" ref="N454:P457" si="16">AVERAGE(N55,N59)</f>
        <v>43.145700000000005</v>
      </c>
      <c r="O454" s="75">
        <f t="shared" si="16"/>
        <v>44.847799999999999</v>
      </c>
      <c r="P454" s="75">
        <f t="shared" si="16"/>
        <v>44.544749999999993</v>
      </c>
      <c r="Q454" s="76"/>
      <c r="R454" s="76"/>
      <c r="S454" s="77"/>
      <c r="U454" s="8">
        <f>bdrate($E454:$E457,F454:F457,$M454:$M457,N454:N457)</f>
        <v>-1.8406118063818422E-4</v>
      </c>
      <c r="V454" s="9">
        <f>bdrate($E454:$E457,G454:G457,$M454:$M457,O454:O457)</f>
        <v>-1.7709387363418205E-4</v>
      </c>
      <c r="W454" s="10">
        <f>bdrate($E454:$E457,H454:H457,$M454:$M457,P454:P457)</f>
        <v>-1.7405960493310779E-4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68">
        <f>E56+E60</f>
        <v>572.70319999999992</v>
      </c>
      <c r="F455" s="68">
        <f t="shared" si="15"/>
        <v>40.898699999999998</v>
      </c>
      <c r="G455" s="68">
        <f t="shared" si="15"/>
        <v>43.9621</v>
      </c>
      <c r="H455" s="68">
        <f t="shared" si="15"/>
        <v>43.061</v>
      </c>
      <c r="I455" s="64"/>
      <c r="J455" s="64"/>
      <c r="K455" s="65"/>
      <c r="L455" s="29"/>
      <c r="M455" s="68">
        <f>M56+M60</f>
        <v>572.63440000000003</v>
      </c>
      <c r="N455" s="68">
        <f t="shared" si="16"/>
        <v>40.898699999999998</v>
      </c>
      <c r="O455" s="68">
        <f t="shared" si="16"/>
        <v>43.9621</v>
      </c>
      <c r="P455" s="68">
        <f t="shared" si="16"/>
        <v>43.061</v>
      </c>
      <c r="Q455" s="64"/>
      <c r="R455" s="64"/>
      <c r="S455" s="65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68">
        <f>E57+E61</f>
        <v>319.7</v>
      </c>
      <c r="F456" s="68">
        <f t="shared" si="15"/>
        <v>38.426400000000001</v>
      </c>
      <c r="G456" s="68">
        <f t="shared" si="15"/>
        <v>42.9831</v>
      </c>
      <c r="H456" s="68">
        <f t="shared" si="15"/>
        <v>41.540300000000002</v>
      </c>
      <c r="I456" s="64"/>
      <c r="J456" s="64"/>
      <c r="K456" s="65"/>
      <c r="L456" s="29"/>
      <c r="M456" s="68">
        <f>M57+M61</f>
        <v>319.63119999999998</v>
      </c>
      <c r="N456" s="68">
        <f t="shared" si="16"/>
        <v>38.426400000000001</v>
      </c>
      <c r="O456" s="68">
        <f t="shared" si="16"/>
        <v>42.9831</v>
      </c>
      <c r="P456" s="68">
        <f t="shared" si="16"/>
        <v>41.540300000000002</v>
      </c>
      <c r="Q456" s="64"/>
      <c r="R456" s="64"/>
      <c r="S456" s="65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1"/>
      <c r="D457" s="69">
        <v>40</v>
      </c>
      <c r="E457" s="78">
        <f>E58+E62</f>
        <v>188.1448</v>
      </c>
      <c r="F457" s="78">
        <f t="shared" si="15"/>
        <v>35.848150000000004</v>
      </c>
      <c r="G457" s="78">
        <f t="shared" si="15"/>
        <v>42.130949999999999</v>
      </c>
      <c r="H457" s="78">
        <f t="shared" si="15"/>
        <v>40.235250000000001</v>
      </c>
      <c r="I457" s="66"/>
      <c r="J457" s="66"/>
      <c r="K457" s="67"/>
      <c r="L457" s="29"/>
      <c r="M457" s="78">
        <f>M58+M62</f>
        <v>188.07599999999999</v>
      </c>
      <c r="N457" s="78">
        <f t="shared" si="16"/>
        <v>35.848150000000004</v>
      </c>
      <c r="O457" s="78">
        <f t="shared" si="16"/>
        <v>42.130949999999999</v>
      </c>
      <c r="P457" s="78">
        <f t="shared" si="16"/>
        <v>40.235250000000001</v>
      </c>
      <c r="Q457" s="66"/>
      <c r="R457" s="66"/>
      <c r="S457" s="67"/>
      <c r="U457" s="82"/>
      <c r="V457" s="83"/>
      <c r="W457" s="84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5">
        <f>E55+E59+E63</f>
        <v>1409.2360000000001</v>
      </c>
      <c r="F458" s="75">
        <f t="shared" ref="F458:H461" si="17">AVERAGE(F55,F59,F63)</f>
        <v>42.872333333333337</v>
      </c>
      <c r="G458" s="75">
        <f t="shared" si="17"/>
        <v>44.547033333333331</v>
      </c>
      <c r="H458" s="75">
        <f t="shared" si="17"/>
        <v>44.327633333333324</v>
      </c>
      <c r="I458" s="76"/>
      <c r="J458" s="76"/>
      <c r="K458" s="77"/>
      <c r="L458" s="29"/>
      <c r="M458" s="75">
        <f>M55+M59+M63</f>
        <v>1409.1344000000001</v>
      </c>
      <c r="N458" s="75">
        <f t="shared" ref="N458:P461" si="18">AVERAGE(N55,N59,N63)</f>
        <v>42.872333333333337</v>
      </c>
      <c r="O458" s="75">
        <f t="shared" si="18"/>
        <v>44.547033333333331</v>
      </c>
      <c r="P458" s="75">
        <f t="shared" si="18"/>
        <v>44.327633333333324</v>
      </c>
      <c r="Q458" s="76"/>
      <c r="R458" s="76"/>
      <c r="S458" s="77"/>
      <c r="U458" s="8">
        <f>bdrate($E458:$E461,F458:F461,$M458:$M461,N458:N461)</f>
        <v>-2.2475391484833018E-4</v>
      </c>
      <c r="V458" s="9">
        <f>bdrate($E458:$E461,G458:G461,$M458:$M461,O458:O461)</f>
        <v>-2.1380994805619835E-4</v>
      </c>
      <c r="W458" s="10">
        <f>bdrate($E458:$E461,H458:H461,$M458:$M461,P458:P461)</f>
        <v>-2.1242222849493508E-4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68">
        <f>E56+E60+E64</f>
        <v>700.8223999999999</v>
      </c>
      <c r="F459" s="68">
        <f t="shared" si="17"/>
        <v>40.633333333333333</v>
      </c>
      <c r="G459" s="68">
        <f t="shared" si="17"/>
        <v>43.630166666666668</v>
      </c>
      <c r="H459" s="68">
        <f t="shared" si="17"/>
        <v>42.861466666666672</v>
      </c>
      <c r="I459" s="64"/>
      <c r="J459" s="64"/>
      <c r="K459" s="65"/>
      <c r="L459" s="29"/>
      <c r="M459" s="68">
        <f>M56+M60+M64</f>
        <v>700.72080000000005</v>
      </c>
      <c r="N459" s="68">
        <f t="shared" si="18"/>
        <v>40.633333333333333</v>
      </c>
      <c r="O459" s="68">
        <f t="shared" si="18"/>
        <v>43.630166666666668</v>
      </c>
      <c r="P459" s="68">
        <f t="shared" si="18"/>
        <v>42.861466666666672</v>
      </c>
      <c r="Q459" s="64"/>
      <c r="R459" s="64"/>
      <c r="S459" s="65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68">
        <f>E57+E61+E65</f>
        <v>386.21839999999997</v>
      </c>
      <c r="F460" s="68">
        <f t="shared" si="17"/>
        <v>38.194166666666668</v>
      </c>
      <c r="G460" s="68">
        <f t="shared" si="17"/>
        <v>42.720599999999997</v>
      </c>
      <c r="H460" s="68">
        <f t="shared" si="17"/>
        <v>41.430566666666671</v>
      </c>
      <c r="I460" s="64"/>
      <c r="J460" s="64"/>
      <c r="K460" s="65"/>
      <c r="L460" s="29"/>
      <c r="M460" s="68">
        <f>M57+M61+M65</f>
        <v>386.11680000000001</v>
      </c>
      <c r="N460" s="68">
        <f t="shared" si="18"/>
        <v>38.194166666666668</v>
      </c>
      <c r="O460" s="68">
        <f t="shared" si="18"/>
        <v>42.720599999999997</v>
      </c>
      <c r="P460" s="68">
        <f t="shared" si="18"/>
        <v>41.430566666666671</v>
      </c>
      <c r="Q460" s="64"/>
      <c r="R460" s="64"/>
      <c r="S460" s="65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1"/>
      <c r="D461" s="69">
        <v>40</v>
      </c>
      <c r="E461" s="78">
        <f>E58+E62+E66</f>
        <v>223.572</v>
      </c>
      <c r="F461" s="78">
        <f t="shared" si="17"/>
        <v>35.641466666666666</v>
      </c>
      <c r="G461" s="78">
        <f t="shared" si="17"/>
        <v>41.89373333333333</v>
      </c>
      <c r="H461" s="78">
        <f t="shared" si="17"/>
        <v>40.148299999999999</v>
      </c>
      <c r="I461" s="66"/>
      <c r="J461" s="66"/>
      <c r="K461" s="67"/>
      <c r="L461" s="29"/>
      <c r="M461" s="78">
        <f>M58+M62+M66</f>
        <v>223.47039999999998</v>
      </c>
      <c r="N461" s="78">
        <f t="shared" si="18"/>
        <v>35.641466666666666</v>
      </c>
      <c r="O461" s="78">
        <f t="shared" si="18"/>
        <v>41.89373333333333</v>
      </c>
      <c r="P461" s="78">
        <f t="shared" si="18"/>
        <v>40.148299999999999</v>
      </c>
      <c r="Q461" s="66"/>
      <c r="R461" s="66"/>
      <c r="S461" s="67"/>
      <c r="U461" s="82"/>
      <c r="V461" s="83"/>
      <c r="W461" s="84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5">
        <f>E55+E59+E67+E71</f>
        <v>1365.8360000000002</v>
      </c>
      <c r="F462" s="75">
        <f t="shared" ref="F462:H465" si="19">AVERAGE(F79,F83,F87)</f>
        <v>43.288899999999991</v>
      </c>
      <c r="G462" s="75">
        <f t="shared" si="19"/>
        <v>47.214799999999997</v>
      </c>
      <c r="H462" s="75">
        <f t="shared" si="19"/>
        <v>46.306399999999996</v>
      </c>
      <c r="I462" s="76"/>
      <c r="J462" s="76"/>
      <c r="K462" s="77"/>
      <c r="L462" s="29"/>
      <c r="M462" s="75">
        <f>M55+M59+M67+M71</f>
        <v>1365.7672000000002</v>
      </c>
      <c r="N462" s="75">
        <f t="shared" ref="N462:P465" si="20">AVERAGE(N79,N83,N87)</f>
        <v>43.288899999999991</v>
      </c>
      <c r="O462" s="75">
        <f t="shared" si="20"/>
        <v>47.214799999999997</v>
      </c>
      <c r="P462" s="75">
        <f t="shared" si="20"/>
        <v>46.306399999999996</v>
      </c>
      <c r="Q462" s="76"/>
      <c r="R462" s="76"/>
      <c r="S462" s="77"/>
      <c r="U462" s="8">
        <f>bdrate($E462:$E465,F462:F465,$M462:$M465,N462:N465)</f>
        <v>-1.6318182878749532E-4</v>
      </c>
      <c r="V462" s="9">
        <f>bdrate($E462:$E465,G462:G465,$M462:$M465,O462:O465)</f>
        <v>-1.5547143224581284E-4</v>
      </c>
      <c r="W462" s="10">
        <f>bdrate($E462:$E465,H462:H465,$M462:$M465,P462:P465)</f>
        <v>-1.5350150017434672E-4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68">
        <f>E56+E60+E68+E72</f>
        <v>656.74639999999988</v>
      </c>
      <c r="F463" s="68">
        <f t="shared" si="19"/>
        <v>40.980766666666661</v>
      </c>
      <c r="G463" s="68">
        <f t="shared" si="19"/>
        <v>46.065733333333334</v>
      </c>
      <c r="H463" s="68">
        <f t="shared" si="19"/>
        <v>44.543799999999997</v>
      </c>
      <c r="I463" s="64"/>
      <c r="J463" s="64"/>
      <c r="K463" s="65"/>
      <c r="L463" s="29"/>
      <c r="M463" s="68">
        <f>M56+M60+M68+M72</f>
        <v>656.67759999999998</v>
      </c>
      <c r="N463" s="68">
        <f t="shared" si="20"/>
        <v>40.980766666666661</v>
      </c>
      <c r="O463" s="68">
        <f t="shared" si="20"/>
        <v>46.065733333333334</v>
      </c>
      <c r="P463" s="68">
        <f t="shared" si="20"/>
        <v>44.543799999999997</v>
      </c>
      <c r="Q463" s="64"/>
      <c r="R463" s="64"/>
      <c r="S463" s="65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68">
        <f>E57+E61+E69+E73</f>
        <v>356.35999999999996</v>
      </c>
      <c r="F464" s="68">
        <f t="shared" si="19"/>
        <v>38.524633333333334</v>
      </c>
      <c r="G464" s="68">
        <f t="shared" si="19"/>
        <v>44.794833333333337</v>
      </c>
      <c r="H464" s="68">
        <f t="shared" si="19"/>
        <v>42.799466666666667</v>
      </c>
      <c r="I464" s="64"/>
      <c r="J464" s="64"/>
      <c r="K464" s="65"/>
      <c r="L464" s="29"/>
      <c r="M464" s="68">
        <f>M57+M61+M69+M73</f>
        <v>356.29119999999995</v>
      </c>
      <c r="N464" s="68">
        <f t="shared" si="20"/>
        <v>38.524633333333334</v>
      </c>
      <c r="O464" s="68">
        <f t="shared" si="20"/>
        <v>44.794833333333337</v>
      </c>
      <c r="P464" s="68">
        <f t="shared" si="20"/>
        <v>42.799466666666667</v>
      </c>
      <c r="Q464" s="64"/>
      <c r="R464" s="64"/>
      <c r="S464" s="65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1"/>
      <c r="D465" s="69">
        <v>40</v>
      </c>
      <c r="E465" s="78">
        <f>E58+E62+E70+E74</f>
        <v>205.62320000000003</v>
      </c>
      <c r="F465" s="78">
        <f t="shared" si="19"/>
        <v>35.975033333333336</v>
      </c>
      <c r="G465" s="78">
        <f t="shared" si="19"/>
        <v>43.763333333333328</v>
      </c>
      <c r="H465" s="78">
        <f t="shared" si="19"/>
        <v>41.3217</v>
      </c>
      <c r="I465" s="66"/>
      <c r="J465" s="66"/>
      <c r="K465" s="67"/>
      <c r="L465" s="29"/>
      <c r="M465" s="78">
        <f>M58+M62+M70+M74</f>
        <v>205.55440000000002</v>
      </c>
      <c r="N465" s="78">
        <f t="shared" si="20"/>
        <v>35.975033333333336</v>
      </c>
      <c r="O465" s="78">
        <f t="shared" si="20"/>
        <v>43.763333333333328</v>
      </c>
      <c r="P465" s="78">
        <f t="shared" si="20"/>
        <v>41.3217</v>
      </c>
      <c r="Q465" s="66"/>
      <c r="R465" s="66"/>
      <c r="S465" s="67"/>
      <c r="U465" s="82"/>
      <c r="V465" s="83"/>
      <c r="W465" s="84"/>
      <c r="Y465" s="24"/>
      <c r="Z465" s="59"/>
      <c r="AA465" s="59"/>
      <c r="AB465" s="24"/>
      <c r="AC465" s="24"/>
    </row>
    <row r="466" spans="2:29">
      <c r="B466" s="29"/>
      <c r="C466" s="28" t="s">
        <v>39</v>
      </c>
      <c r="D466" s="31">
        <v>25</v>
      </c>
      <c r="E466" s="75">
        <f>E103</f>
        <v>1786.952</v>
      </c>
      <c r="F466" s="75">
        <f t="shared" ref="F466:H469" si="21">AVERAGE(F79,F83,F87,F91,F95,F99)</f>
        <v>43.169316666666667</v>
      </c>
      <c r="G466" s="75">
        <f t="shared" si="21"/>
        <v>47.051049999999996</v>
      </c>
      <c r="H466" s="75">
        <f t="shared" si="21"/>
        <v>46.304716666666671</v>
      </c>
      <c r="I466" s="76"/>
      <c r="J466" s="76"/>
      <c r="K466" s="77"/>
      <c r="L466" s="29"/>
      <c r="M466" s="75">
        <f>M103</f>
        <v>1786.8504</v>
      </c>
      <c r="N466" s="75">
        <f t="shared" ref="N466:P469" si="22">AVERAGE(N79,N83,N87,N91,N95,N99)</f>
        <v>43.169316666666667</v>
      </c>
      <c r="O466" s="75">
        <f t="shared" si="22"/>
        <v>47.051049999999996</v>
      </c>
      <c r="P466" s="75">
        <f t="shared" si="22"/>
        <v>46.304716666666671</v>
      </c>
      <c r="Q466" s="76"/>
      <c r="R466" s="76"/>
      <c r="S466" s="77"/>
      <c r="U466" s="8">
        <f>bdrate($E466:$E469,F466:F469,$M466:$M469,N466:N469)</f>
        <v>-1.9250163930306652E-4</v>
      </c>
      <c r="V466" s="9">
        <f>bdrate($E466:$E469,G466:G469,$M466:$M469,O466:O469)</f>
        <v>-1.8282403037395145E-4</v>
      </c>
      <c r="W466" s="10">
        <f>bdrate($E466:$E469,H466:H469,$M466:$M469,P466:P469)</f>
        <v>-1.8126228827219926E-4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68">
        <f>E104</f>
        <v>831.52719999999999</v>
      </c>
      <c r="F467" s="68">
        <f t="shared" si="21"/>
        <v>40.874716666666664</v>
      </c>
      <c r="G467" s="68">
        <f t="shared" si="21"/>
        <v>45.922133333333335</v>
      </c>
      <c r="H467" s="68">
        <f t="shared" si="21"/>
        <v>44.54496666666666</v>
      </c>
      <c r="I467" s="64"/>
      <c r="J467" s="64"/>
      <c r="K467" s="65"/>
      <c r="L467" s="29"/>
      <c r="M467" s="68">
        <f>M104</f>
        <v>831.42560000000003</v>
      </c>
      <c r="N467" s="68">
        <f t="shared" si="22"/>
        <v>40.874716666666664</v>
      </c>
      <c r="O467" s="68">
        <f t="shared" si="22"/>
        <v>45.922133333333335</v>
      </c>
      <c r="P467" s="68">
        <f t="shared" si="22"/>
        <v>44.54496666666666</v>
      </c>
      <c r="Q467" s="64"/>
      <c r="R467" s="64"/>
      <c r="S467" s="65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68">
        <f>E105</f>
        <v>446.01440000000002</v>
      </c>
      <c r="F468" s="68">
        <f t="shared" si="21"/>
        <v>38.428350000000002</v>
      </c>
      <c r="G468" s="68">
        <f t="shared" si="21"/>
        <v>44.715900000000005</v>
      </c>
      <c r="H468" s="68">
        <f t="shared" si="21"/>
        <v>42.808266666666668</v>
      </c>
      <c r="I468" s="64"/>
      <c r="J468" s="64"/>
      <c r="K468" s="65"/>
      <c r="L468" s="29"/>
      <c r="M468" s="68">
        <f>M105</f>
        <v>445.9128</v>
      </c>
      <c r="N468" s="68">
        <f t="shared" si="22"/>
        <v>38.428350000000002</v>
      </c>
      <c r="O468" s="68">
        <f t="shared" si="22"/>
        <v>44.715900000000005</v>
      </c>
      <c r="P468" s="68">
        <f t="shared" si="22"/>
        <v>42.808266666666668</v>
      </c>
      <c r="Q468" s="64"/>
      <c r="R468" s="64"/>
      <c r="S468" s="65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1"/>
      <c r="D469" s="69">
        <v>40</v>
      </c>
      <c r="E469" s="78">
        <f>E106</f>
        <v>255.03280000000001</v>
      </c>
      <c r="F469" s="78">
        <f t="shared" si="21"/>
        <v>35.876150000000003</v>
      </c>
      <c r="G469" s="78">
        <f t="shared" si="21"/>
        <v>43.709466666666664</v>
      </c>
      <c r="H469" s="78">
        <f t="shared" si="21"/>
        <v>41.309066666666666</v>
      </c>
      <c r="I469" s="66"/>
      <c r="J469" s="66"/>
      <c r="K469" s="67"/>
      <c r="L469" s="29"/>
      <c r="M469" s="78">
        <f>M106</f>
        <v>254.93119999999999</v>
      </c>
      <c r="N469" s="78">
        <f t="shared" si="22"/>
        <v>35.876150000000003</v>
      </c>
      <c r="O469" s="78">
        <f t="shared" si="22"/>
        <v>43.709466666666664</v>
      </c>
      <c r="P469" s="78">
        <f t="shared" si="22"/>
        <v>41.309066666666666</v>
      </c>
      <c r="Q469" s="66"/>
      <c r="R469" s="66"/>
      <c r="S469" s="67"/>
      <c r="U469" s="82"/>
      <c r="V469" s="83"/>
      <c r="W469" s="84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5">
        <f t="shared" ref="E470:E477" si="23">E462</f>
        <v>1365.8360000000002</v>
      </c>
      <c r="F470" s="75">
        <f t="shared" ref="F470:H473" si="24">AVERAGE(F55,F59,F79,F83,F87)</f>
        <v>43.231620000000007</v>
      </c>
      <c r="G470" s="75">
        <f t="shared" si="24"/>
        <v>46.268000000000008</v>
      </c>
      <c r="H470" s="75">
        <f t="shared" si="24"/>
        <v>45.601739999999992</v>
      </c>
      <c r="I470" s="76"/>
      <c r="J470" s="76"/>
      <c r="K470" s="77"/>
      <c r="L470" s="29"/>
      <c r="M470" s="75">
        <f t="shared" ref="M470:M477" si="25">M462</f>
        <v>1365.7672000000002</v>
      </c>
      <c r="N470" s="75">
        <f t="shared" ref="N470:P473" si="26">AVERAGE(N55,N59,N79,N83,N87)</f>
        <v>43.231620000000007</v>
      </c>
      <c r="O470" s="75">
        <f t="shared" si="26"/>
        <v>46.268000000000008</v>
      </c>
      <c r="P470" s="75">
        <f t="shared" si="26"/>
        <v>45.601739999999992</v>
      </c>
      <c r="Q470" s="76"/>
      <c r="R470" s="76"/>
      <c r="S470" s="77"/>
      <c r="U470" s="8">
        <f>bdrate($E470:$E473,F470:F473,$M470:$M473,N470:N473)</f>
        <v>-1.636654678653926E-4</v>
      </c>
      <c r="V470" s="9">
        <f>bdrate($E470:$E473,G470:G473,$M470:$M473,O470:O473)</f>
        <v>-1.5630035782054907E-4</v>
      </c>
      <c r="W470" s="10">
        <f>bdrate($E470:$E473,H470:H473,$M470:$M473,P470:P473)</f>
        <v>-1.5406994993705236E-4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68">
        <f t="shared" si="23"/>
        <v>656.74639999999988</v>
      </c>
      <c r="F471" s="68">
        <f t="shared" si="24"/>
        <v>40.947940000000003</v>
      </c>
      <c r="G471" s="68">
        <f t="shared" si="24"/>
        <v>45.22428</v>
      </c>
      <c r="H471" s="68">
        <f t="shared" si="24"/>
        <v>43.950679999999998</v>
      </c>
      <c r="I471" s="64"/>
      <c r="J471" s="64"/>
      <c r="K471" s="65"/>
      <c r="L471" s="29"/>
      <c r="M471" s="68">
        <f t="shared" si="25"/>
        <v>656.67759999999998</v>
      </c>
      <c r="N471" s="68">
        <f t="shared" si="26"/>
        <v>40.947940000000003</v>
      </c>
      <c r="O471" s="68">
        <f t="shared" si="26"/>
        <v>45.22428</v>
      </c>
      <c r="P471" s="68">
        <f t="shared" si="26"/>
        <v>43.950679999999998</v>
      </c>
      <c r="Q471" s="64"/>
      <c r="R471" s="64"/>
      <c r="S471" s="65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68">
        <f t="shared" si="23"/>
        <v>356.35999999999996</v>
      </c>
      <c r="F472" s="68">
        <f t="shared" si="24"/>
        <v>38.485340000000001</v>
      </c>
      <c r="G472" s="68">
        <f t="shared" si="24"/>
        <v>44.070139999999995</v>
      </c>
      <c r="H472" s="68">
        <f t="shared" si="24"/>
        <v>42.2958</v>
      </c>
      <c r="I472" s="64"/>
      <c r="J472" s="64"/>
      <c r="K472" s="65"/>
      <c r="L472" s="29"/>
      <c r="M472" s="68">
        <f t="shared" si="25"/>
        <v>356.29119999999995</v>
      </c>
      <c r="N472" s="68">
        <f t="shared" si="26"/>
        <v>38.485340000000001</v>
      </c>
      <c r="O472" s="68">
        <f t="shared" si="26"/>
        <v>44.070139999999995</v>
      </c>
      <c r="P472" s="68">
        <f t="shared" si="26"/>
        <v>42.2958</v>
      </c>
      <c r="Q472" s="64"/>
      <c r="R472" s="64"/>
      <c r="S472" s="65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1"/>
      <c r="D473" s="69">
        <v>40</v>
      </c>
      <c r="E473" s="78">
        <f t="shared" si="23"/>
        <v>205.62320000000003</v>
      </c>
      <c r="F473" s="78">
        <f t="shared" si="24"/>
        <v>35.924280000000003</v>
      </c>
      <c r="G473" s="78">
        <f t="shared" si="24"/>
        <v>43.110379999999999</v>
      </c>
      <c r="H473" s="78">
        <f t="shared" si="24"/>
        <v>40.887120000000003</v>
      </c>
      <c r="I473" s="66"/>
      <c r="J473" s="66"/>
      <c r="K473" s="67"/>
      <c r="L473" s="29"/>
      <c r="M473" s="78">
        <f t="shared" si="25"/>
        <v>205.55440000000002</v>
      </c>
      <c r="N473" s="78">
        <f t="shared" si="26"/>
        <v>35.924280000000003</v>
      </c>
      <c r="O473" s="78">
        <f t="shared" si="26"/>
        <v>43.110379999999999</v>
      </c>
      <c r="P473" s="78">
        <f t="shared" si="26"/>
        <v>40.887120000000003</v>
      </c>
      <c r="Q473" s="66"/>
      <c r="R473" s="66"/>
      <c r="S473" s="67"/>
      <c r="U473" s="82"/>
      <c r="V473" s="83"/>
      <c r="W473" s="84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5">
        <f t="shared" si="23"/>
        <v>1786.952</v>
      </c>
      <c r="F474" s="75">
        <f t="shared" ref="F474:H477" si="27">AVERAGE(F55,F59,F63,F79,F83,F87,F91,F95,F99)</f>
        <v>43.070322222222231</v>
      </c>
      <c r="G474" s="75">
        <f t="shared" si="27"/>
        <v>46.21637777777778</v>
      </c>
      <c r="H474" s="75">
        <f t="shared" si="27"/>
        <v>45.645688888888884</v>
      </c>
      <c r="I474" s="76"/>
      <c r="J474" s="76"/>
      <c r="K474" s="77"/>
      <c r="L474" s="29"/>
      <c r="M474" s="75">
        <f t="shared" si="25"/>
        <v>1786.8504</v>
      </c>
      <c r="N474" s="75">
        <f t="shared" ref="N474:P477" si="28">AVERAGE(N55,N59,N63,N79,N83,N87,N91,N95,N99)</f>
        <v>43.070322222222231</v>
      </c>
      <c r="O474" s="75">
        <f t="shared" si="28"/>
        <v>46.21637777777778</v>
      </c>
      <c r="P474" s="75">
        <f t="shared" si="28"/>
        <v>45.645688888888884</v>
      </c>
      <c r="Q474" s="76"/>
      <c r="R474" s="76"/>
      <c r="S474" s="77"/>
      <c r="U474" s="8">
        <f>bdrate($E474:$E477,F474:F477,$M474:$M477,N474:N477)</f>
        <v>-1.9281572965867966E-4</v>
      </c>
      <c r="V474" s="9">
        <f>bdrate($E474:$E477,G474:G477,$M474:$M477,O474:O477)</f>
        <v>-1.8306015627345129E-4</v>
      </c>
      <c r="W474" s="10">
        <f>bdrate($E474:$E477,H474:H477,$M474:$M477,P474:P477)</f>
        <v>-1.8160165791936134E-4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68">
        <f t="shared" si="23"/>
        <v>831.52719999999999</v>
      </c>
      <c r="F475" s="68">
        <f t="shared" si="27"/>
        <v>40.794255555555559</v>
      </c>
      <c r="G475" s="68">
        <f t="shared" si="27"/>
        <v>45.158144444444446</v>
      </c>
      <c r="H475" s="68">
        <f t="shared" si="27"/>
        <v>43.983799999999995</v>
      </c>
      <c r="I475" s="64"/>
      <c r="J475" s="64"/>
      <c r="K475" s="65"/>
      <c r="L475" s="29"/>
      <c r="M475" s="68">
        <f t="shared" si="25"/>
        <v>831.42560000000003</v>
      </c>
      <c r="N475" s="68">
        <f t="shared" si="28"/>
        <v>40.794255555555559</v>
      </c>
      <c r="O475" s="68">
        <f t="shared" si="28"/>
        <v>45.158144444444446</v>
      </c>
      <c r="P475" s="68">
        <f t="shared" si="28"/>
        <v>43.983799999999995</v>
      </c>
      <c r="Q475" s="64"/>
      <c r="R475" s="64"/>
      <c r="S475" s="65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68">
        <f t="shared" si="23"/>
        <v>446.01440000000002</v>
      </c>
      <c r="F476" s="68">
        <f t="shared" si="27"/>
        <v>38.350288888888898</v>
      </c>
      <c r="G476" s="68">
        <f t="shared" si="27"/>
        <v>44.050799999999995</v>
      </c>
      <c r="H476" s="68">
        <f t="shared" si="27"/>
        <v>42.349033333333338</v>
      </c>
      <c r="I476" s="64"/>
      <c r="J476" s="64"/>
      <c r="K476" s="65"/>
      <c r="L476" s="29"/>
      <c r="M476" s="68">
        <f t="shared" si="25"/>
        <v>445.9128</v>
      </c>
      <c r="N476" s="68">
        <f t="shared" si="28"/>
        <v>38.350288888888898</v>
      </c>
      <c r="O476" s="68">
        <f t="shared" si="28"/>
        <v>44.050799999999995</v>
      </c>
      <c r="P476" s="68">
        <f t="shared" si="28"/>
        <v>42.349033333333338</v>
      </c>
      <c r="Q476" s="64"/>
      <c r="R476" s="64"/>
      <c r="S476" s="65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1"/>
      <c r="C477" s="51"/>
      <c r="D477" s="69">
        <v>40</v>
      </c>
      <c r="E477" s="78">
        <f t="shared" si="23"/>
        <v>255.03280000000001</v>
      </c>
      <c r="F477" s="78">
        <f t="shared" si="27"/>
        <v>35.797922222222226</v>
      </c>
      <c r="G477" s="78">
        <f t="shared" si="27"/>
        <v>43.104222222222219</v>
      </c>
      <c r="H477" s="78">
        <f t="shared" si="27"/>
        <v>40.922144444444449</v>
      </c>
      <c r="I477" s="66"/>
      <c r="J477" s="66"/>
      <c r="K477" s="67"/>
      <c r="L477" s="29"/>
      <c r="M477" s="78">
        <f t="shared" si="25"/>
        <v>254.93119999999999</v>
      </c>
      <c r="N477" s="78">
        <f t="shared" si="28"/>
        <v>35.797922222222226</v>
      </c>
      <c r="O477" s="78">
        <f t="shared" si="28"/>
        <v>43.104222222222219</v>
      </c>
      <c r="P477" s="78">
        <f t="shared" si="28"/>
        <v>40.922144444444449</v>
      </c>
      <c r="Q477" s="66"/>
      <c r="R477" s="66"/>
      <c r="S477" s="67"/>
      <c r="U477" s="82"/>
      <c r="V477" s="83"/>
      <c r="W477" s="84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5">
        <f>E107+E111</f>
        <v>1253.4072000000001</v>
      </c>
      <c r="F478" s="75">
        <f t="shared" ref="F478:H481" si="29">AVERAGE(F107,F111)</f>
        <v>40.829049999999995</v>
      </c>
      <c r="G478" s="75">
        <f t="shared" si="29"/>
        <v>43.54795</v>
      </c>
      <c r="H478" s="75">
        <f t="shared" si="29"/>
        <v>43.6387</v>
      </c>
      <c r="I478" s="76"/>
      <c r="J478" s="76"/>
      <c r="K478" s="77"/>
      <c r="L478" s="29"/>
      <c r="M478" s="79">
        <f>M107+M111</f>
        <v>1253.3784000000001</v>
      </c>
      <c r="N478" s="75">
        <f t="shared" ref="N478:P481" si="30">AVERAGE(N107,N111)</f>
        <v>40.829049999999995</v>
      </c>
      <c r="O478" s="75">
        <f t="shared" si="30"/>
        <v>43.54795</v>
      </c>
      <c r="P478" s="75">
        <f t="shared" si="30"/>
        <v>43.6387</v>
      </c>
      <c r="Q478" s="76"/>
      <c r="R478" s="76"/>
      <c r="S478" s="77"/>
      <c r="U478" s="8">
        <f>bdrate($E478:$E481,F478:F481,$M478:$M481,N478:N481)</f>
        <v>-7.1287952366438923E-5</v>
      </c>
      <c r="V478" s="9">
        <f>bdrate($E478:$E481,G478:G481,$M478:$M481,O478:O481)</f>
        <v>-6.4931758800512718E-5</v>
      </c>
      <c r="W478" s="10">
        <f>bdrate($E478:$E481,H478:H481,$M478:$M481,P478:P481)</f>
        <v>-6.5591223688654665E-5</v>
      </c>
      <c r="Y478" s="59"/>
      <c r="Z478" s="59"/>
      <c r="AA478" s="59"/>
      <c r="AB478" s="24"/>
      <c r="AC478" s="24"/>
    </row>
    <row r="479" spans="2:29">
      <c r="B479" s="29"/>
      <c r="C479" s="29"/>
      <c r="D479" s="32">
        <v>30</v>
      </c>
      <c r="E479" s="68">
        <f>E108+E112</f>
        <v>628.90719999999999</v>
      </c>
      <c r="F479" s="68">
        <f t="shared" si="29"/>
        <v>38.476750000000003</v>
      </c>
      <c r="G479" s="68">
        <f t="shared" si="29"/>
        <v>41.90605</v>
      </c>
      <c r="H479" s="68">
        <f t="shared" si="29"/>
        <v>41.983999999999995</v>
      </c>
      <c r="I479" s="64"/>
      <c r="J479" s="64"/>
      <c r="K479" s="65"/>
      <c r="L479" s="29"/>
      <c r="M479" s="80">
        <f>M108+M112</f>
        <v>628.87840000000006</v>
      </c>
      <c r="N479" s="68">
        <f t="shared" si="30"/>
        <v>38.476750000000003</v>
      </c>
      <c r="O479" s="68">
        <f t="shared" si="30"/>
        <v>41.90605</v>
      </c>
      <c r="P479" s="68">
        <f t="shared" si="30"/>
        <v>41.983999999999995</v>
      </c>
      <c r="Q479" s="64"/>
      <c r="R479" s="64"/>
      <c r="S479" s="65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68">
        <f>E109+E113</f>
        <v>339.34159999999997</v>
      </c>
      <c r="F480" s="68">
        <f t="shared" si="29"/>
        <v>35.990749999999998</v>
      </c>
      <c r="G480" s="68">
        <f t="shared" si="29"/>
        <v>40.38505</v>
      </c>
      <c r="H480" s="68">
        <f t="shared" si="29"/>
        <v>40.382100000000001</v>
      </c>
      <c r="I480" s="64"/>
      <c r="J480" s="64"/>
      <c r="K480" s="65"/>
      <c r="L480" s="29"/>
      <c r="M480" s="80">
        <f>M109+M113</f>
        <v>339.31280000000004</v>
      </c>
      <c r="N480" s="68">
        <f t="shared" si="30"/>
        <v>35.990749999999998</v>
      </c>
      <c r="O480" s="68">
        <f t="shared" si="30"/>
        <v>40.38505</v>
      </c>
      <c r="P480" s="68">
        <f t="shared" si="30"/>
        <v>40.382100000000001</v>
      </c>
      <c r="Q480" s="64"/>
      <c r="R480" s="64"/>
      <c r="S480" s="65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1"/>
      <c r="D481" s="69">
        <v>40</v>
      </c>
      <c r="E481" s="78">
        <f>E110+E114</f>
        <v>193.73840000000001</v>
      </c>
      <c r="F481" s="78">
        <f t="shared" si="29"/>
        <v>33.494700000000002</v>
      </c>
      <c r="G481" s="78">
        <f t="shared" si="29"/>
        <v>39.243049999999997</v>
      </c>
      <c r="H481" s="78">
        <f t="shared" si="29"/>
        <v>39.175750000000001</v>
      </c>
      <c r="I481" s="66"/>
      <c r="J481" s="66"/>
      <c r="K481" s="67"/>
      <c r="L481" s="29"/>
      <c r="M481" s="81">
        <f>M110+M114</f>
        <v>193.70960000000002</v>
      </c>
      <c r="N481" s="78">
        <f t="shared" si="30"/>
        <v>33.494700000000002</v>
      </c>
      <c r="O481" s="78">
        <f t="shared" si="30"/>
        <v>39.243049999999997</v>
      </c>
      <c r="P481" s="78">
        <f t="shared" si="30"/>
        <v>39.175750000000001</v>
      </c>
      <c r="Q481" s="66"/>
      <c r="R481" s="66"/>
      <c r="S481" s="67"/>
      <c r="U481" s="82"/>
      <c r="V481" s="83"/>
      <c r="W481" s="84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5">
        <f>E107+E111+E115</f>
        <v>1600.6264000000001</v>
      </c>
      <c r="F482" s="75">
        <f t="shared" ref="F482:H485" si="31">AVERAGE(F107,F111,F115)</f>
        <v>40.519966666666669</v>
      </c>
      <c r="G482" s="75">
        <f t="shared" si="31"/>
        <v>43.316066666666664</v>
      </c>
      <c r="H482" s="75">
        <f t="shared" si="31"/>
        <v>43.34173333333333</v>
      </c>
      <c r="I482" s="76"/>
      <c r="J482" s="76"/>
      <c r="K482" s="77"/>
      <c r="L482" s="29"/>
      <c r="M482" s="75">
        <f>M107+M111+M115</f>
        <v>1600.5840000000001</v>
      </c>
      <c r="N482" s="75">
        <f t="shared" ref="N482:P485" si="32">AVERAGE(N107,N111,N115)</f>
        <v>40.519966666666669</v>
      </c>
      <c r="O482" s="75">
        <f t="shared" si="32"/>
        <v>43.316066666666664</v>
      </c>
      <c r="P482" s="75">
        <f t="shared" si="32"/>
        <v>43.34173333333333</v>
      </c>
      <c r="Q482" s="76"/>
      <c r="R482" s="76"/>
      <c r="S482" s="77"/>
      <c r="U482" s="8">
        <f>bdrate($E482:$E485,F482:F485,$M482:$M485,N482:N485)</f>
        <v>-8.5805409416606082E-5</v>
      </c>
      <c r="V482" s="9">
        <f>bdrate($E482:$E485,G482:G485,$M482:$M485,O482:O485)</f>
        <v>-7.7811162371488329E-5</v>
      </c>
      <c r="W482" s="10">
        <f>bdrate($E482:$E485,H482:H485,$M482:$M485,P482:P485)</f>
        <v>-7.822000572699217E-5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68">
        <f>E108+E112+E116</f>
        <v>778.95679999999993</v>
      </c>
      <c r="F483" s="68">
        <f t="shared" si="31"/>
        <v>38.158099999999997</v>
      </c>
      <c r="G483" s="68">
        <f t="shared" si="31"/>
        <v>41.725966666666665</v>
      </c>
      <c r="H483" s="68">
        <f t="shared" si="31"/>
        <v>41.690266666666666</v>
      </c>
      <c r="I483" s="64"/>
      <c r="J483" s="64"/>
      <c r="K483" s="65"/>
      <c r="L483" s="29"/>
      <c r="M483" s="68">
        <f>M108+M112+M116</f>
        <v>778.91440000000011</v>
      </c>
      <c r="N483" s="68">
        <f t="shared" si="32"/>
        <v>38.158099999999997</v>
      </c>
      <c r="O483" s="68">
        <f t="shared" si="32"/>
        <v>41.725966666666665</v>
      </c>
      <c r="P483" s="68">
        <f t="shared" si="32"/>
        <v>41.690266666666666</v>
      </c>
      <c r="Q483" s="64"/>
      <c r="R483" s="64"/>
      <c r="S483" s="65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68">
        <f>E109+E113+E117</f>
        <v>414.31039999999996</v>
      </c>
      <c r="F484" s="68">
        <f t="shared" si="31"/>
        <v>35.682366666666667</v>
      </c>
      <c r="G484" s="68">
        <f t="shared" si="31"/>
        <v>40.282666666666664</v>
      </c>
      <c r="H484" s="68">
        <f t="shared" si="31"/>
        <v>40.146300000000004</v>
      </c>
      <c r="I484" s="64"/>
      <c r="J484" s="64"/>
      <c r="K484" s="65"/>
      <c r="L484" s="29"/>
      <c r="M484" s="68">
        <f>M109+M113+M117</f>
        <v>414.26800000000003</v>
      </c>
      <c r="N484" s="68">
        <f t="shared" si="32"/>
        <v>35.682366666666667</v>
      </c>
      <c r="O484" s="68">
        <f t="shared" si="32"/>
        <v>40.282666666666664</v>
      </c>
      <c r="P484" s="68">
        <f t="shared" si="32"/>
        <v>40.146300000000004</v>
      </c>
      <c r="Q484" s="64"/>
      <c r="R484" s="64"/>
      <c r="S484" s="65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1"/>
      <c r="D485" s="69">
        <v>40</v>
      </c>
      <c r="E485" s="78">
        <f>E110+E114+E118</f>
        <v>233.68880000000001</v>
      </c>
      <c r="F485" s="78">
        <f t="shared" si="31"/>
        <v>33.180033333333334</v>
      </c>
      <c r="G485" s="78">
        <f t="shared" si="31"/>
        <v>39.1877</v>
      </c>
      <c r="H485" s="78">
        <f t="shared" si="31"/>
        <v>38.981866666666669</v>
      </c>
      <c r="I485" s="66"/>
      <c r="J485" s="66"/>
      <c r="K485" s="67"/>
      <c r="L485" s="29"/>
      <c r="M485" s="78">
        <f>M110+M114+M118</f>
        <v>233.64640000000003</v>
      </c>
      <c r="N485" s="78">
        <f t="shared" si="32"/>
        <v>33.180033333333334</v>
      </c>
      <c r="O485" s="78">
        <f t="shared" si="32"/>
        <v>39.1877</v>
      </c>
      <c r="P485" s="78">
        <f t="shared" si="32"/>
        <v>38.981866666666669</v>
      </c>
      <c r="Q485" s="66"/>
      <c r="R485" s="66"/>
      <c r="S485" s="67"/>
      <c r="U485" s="82"/>
      <c r="V485" s="83"/>
      <c r="W485" s="84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5">
        <f>E107+E111+E119+E123</f>
        <v>1568.5256000000002</v>
      </c>
      <c r="F486" s="75">
        <f t="shared" ref="F486:H489" si="33">AVERAGE(F131,F135,F139)</f>
        <v>40.441766666666666</v>
      </c>
      <c r="G486" s="75">
        <f t="shared" si="33"/>
        <v>45.794666666666672</v>
      </c>
      <c r="H486" s="75">
        <f t="shared" si="33"/>
        <v>45.892600000000009</v>
      </c>
      <c r="I486" s="76"/>
      <c r="J486" s="76"/>
      <c r="K486" s="77"/>
      <c r="L486" s="29"/>
      <c r="M486" s="75">
        <f>M107+M111+M119+M123</f>
        <v>1568.4968000000001</v>
      </c>
      <c r="N486" s="75">
        <f t="shared" ref="N486:P489" si="34">AVERAGE(N131,N135,N139)</f>
        <v>40.441766666666666</v>
      </c>
      <c r="O486" s="75">
        <f t="shared" si="34"/>
        <v>45.794666666666672</v>
      </c>
      <c r="P486" s="75">
        <f t="shared" si="34"/>
        <v>45.892600000000009</v>
      </c>
      <c r="Q486" s="76"/>
      <c r="R486" s="76"/>
      <c r="S486" s="77"/>
      <c r="U486" s="8">
        <f>bdrate($E486:$E489,F486:F489,$M486:$M489,N486:N489)</f>
        <v>-6.3133030650752708E-5</v>
      </c>
      <c r="V486" s="9">
        <f>bdrate($E486:$E489,G486:G489,$M486:$M489,O486:O489)</f>
        <v>-5.8320661787014672E-5</v>
      </c>
      <c r="W486" s="10">
        <f>bdrate($E486:$E489,H486:H489,$M486:$M489,P486:P489)</f>
        <v>-5.8261550796356865E-5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68">
        <f>E108+E112+E120+E124</f>
        <v>736.84320000000002</v>
      </c>
      <c r="F487" s="68">
        <f t="shared" si="33"/>
        <v>38.207866666666668</v>
      </c>
      <c r="G487" s="68">
        <f t="shared" si="33"/>
        <v>43.978000000000002</v>
      </c>
      <c r="H487" s="68">
        <f t="shared" si="33"/>
        <v>44.025733333333335</v>
      </c>
      <c r="I487" s="64"/>
      <c r="J487" s="64"/>
      <c r="K487" s="65"/>
      <c r="L487" s="29"/>
      <c r="M487" s="68">
        <f>M108+M112+M120+M124</f>
        <v>736.81440000000009</v>
      </c>
      <c r="N487" s="68">
        <f t="shared" si="34"/>
        <v>38.207866666666668</v>
      </c>
      <c r="O487" s="68">
        <f t="shared" si="34"/>
        <v>43.978000000000002</v>
      </c>
      <c r="P487" s="68">
        <f t="shared" si="34"/>
        <v>44.025733333333335</v>
      </c>
      <c r="Q487" s="64"/>
      <c r="R487" s="64"/>
      <c r="S487" s="65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68">
        <f>E109+E113+E121+E125</f>
        <v>384.57279999999997</v>
      </c>
      <c r="F488" s="68">
        <f t="shared" si="33"/>
        <v>35.830133333333329</v>
      </c>
      <c r="G488" s="68">
        <f t="shared" si="33"/>
        <v>42.190866666666665</v>
      </c>
      <c r="H488" s="68">
        <f t="shared" si="33"/>
        <v>42.1252</v>
      </c>
      <c r="I488" s="64"/>
      <c r="J488" s="64"/>
      <c r="K488" s="65"/>
      <c r="L488" s="29"/>
      <c r="M488" s="68">
        <f>M109+M113+M121+M125</f>
        <v>384.54400000000004</v>
      </c>
      <c r="N488" s="68">
        <f t="shared" si="34"/>
        <v>35.830133333333329</v>
      </c>
      <c r="O488" s="68">
        <f t="shared" si="34"/>
        <v>42.190866666666665</v>
      </c>
      <c r="P488" s="68">
        <f t="shared" si="34"/>
        <v>42.1252</v>
      </c>
      <c r="Q488" s="64"/>
      <c r="R488" s="64"/>
      <c r="S488" s="65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1"/>
      <c r="D489" s="69">
        <v>40</v>
      </c>
      <c r="E489" s="78">
        <f>E110+E114+E122+E126</f>
        <v>214.1592</v>
      </c>
      <c r="F489" s="78">
        <f t="shared" si="33"/>
        <v>33.375733333333336</v>
      </c>
      <c r="G489" s="78">
        <f t="shared" si="33"/>
        <v>40.767566666666667</v>
      </c>
      <c r="H489" s="78">
        <f t="shared" si="33"/>
        <v>40.66513333333333</v>
      </c>
      <c r="I489" s="66"/>
      <c r="J489" s="66"/>
      <c r="K489" s="67"/>
      <c r="L489" s="29"/>
      <c r="M489" s="78">
        <f>M110+M114+M122+M126</f>
        <v>214.13040000000001</v>
      </c>
      <c r="N489" s="78">
        <f t="shared" si="34"/>
        <v>33.375733333333336</v>
      </c>
      <c r="O489" s="78">
        <f t="shared" si="34"/>
        <v>40.767566666666667</v>
      </c>
      <c r="P489" s="78">
        <f t="shared" si="34"/>
        <v>40.66513333333333</v>
      </c>
      <c r="Q489" s="66"/>
      <c r="R489" s="66"/>
      <c r="S489" s="67"/>
      <c r="U489" s="82"/>
      <c r="V489" s="83"/>
      <c r="W489" s="84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5">
        <f>E155</f>
        <v>2034.056</v>
      </c>
      <c r="F490" s="75">
        <f t="shared" ref="F490:H493" si="35">AVERAGE(F131,F135,F139,F143,F147,F151)</f>
        <v>40.411733333333338</v>
      </c>
      <c r="G490" s="75">
        <f t="shared" si="35"/>
        <v>45.703116666666666</v>
      </c>
      <c r="H490" s="75">
        <f t="shared" si="35"/>
        <v>45.755600000000008</v>
      </c>
      <c r="I490" s="76"/>
      <c r="J490" s="76"/>
      <c r="K490" s="77"/>
      <c r="L490" s="29"/>
      <c r="M490" s="75">
        <f>M155</f>
        <v>2034.0136</v>
      </c>
      <c r="N490" s="75">
        <f t="shared" ref="N490:P493" si="36">AVERAGE(N131,N135,N139,N143,N147,N151)</f>
        <v>40.411733333333338</v>
      </c>
      <c r="O490" s="75">
        <f t="shared" si="36"/>
        <v>45.703116666666666</v>
      </c>
      <c r="P490" s="75">
        <f t="shared" si="36"/>
        <v>45.755600000000008</v>
      </c>
      <c r="Q490" s="76"/>
      <c r="R490" s="76"/>
      <c r="S490" s="77"/>
      <c r="U490" s="8">
        <f>bdrate($E490:$E493,F490:F493,$M490:$M493,N490:N493)</f>
        <v>-7.3974924962194599E-5</v>
      </c>
      <c r="V490" s="9">
        <f>bdrate($E490:$E493,G490:G493,$M490:$M493,O490:O493)</f>
        <v>-6.8203623144191816E-5</v>
      </c>
      <c r="W490" s="10">
        <f>bdrate($E490:$E493,H490:H493,$M490:$M493,P490:P493)</f>
        <v>-6.7891869543590389E-5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68">
        <f>E156</f>
        <v>929.44079999999997</v>
      </c>
      <c r="F491" s="68">
        <f t="shared" si="35"/>
        <v>38.136449999999996</v>
      </c>
      <c r="G491" s="68">
        <f t="shared" si="35"/>
        <v>43.901600000000002</v>
      </c>
      <c r="H491" s="68">
        <f t="shared" si="35"/>
        <v>43.847799999999999</v>
      </c>
      <c r="I491" s="64"/>
      <c r="J491" s="64"/>
      <c r="K491" s="65"/>
      <c r="L491" s="29"/>
      <c r="M491" s="68">
        <f>M156</f>
        <v>929.39840000000004</v>
      </c>
      <c r="N491" s="68">
        <f t="shared" si="36"/>
        <v>38.136449999999996</v>
      </c>
      <c r="O491" s="68">
        <f t="shared" si="36"/>
        <v>43.901600000000002</v>
      </c>
      <c r="P491" s="68">
        <f t="shared" si="36"/>
        <v>43.847799999999999</v>
      </c>
      <c r="Q491" s="64"/>
      <c r="R491" s="64"/>
      <c r="S491" s="65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68">
        <f>E157</f>
        <v>480.89679999999998</v>
      </c>
      <c r="F492" s="68">
        <f t="shared" si="35"/>
        <v>35.730166666666669</v>
      </c>
      <c r="G492" s="68">
        <f t="shared" si="35"/>
        <v>42.112450000000003</v>
      </c>
      <c r="H492" s="68">
        <f t="shared" si="35"/>
        <v>41.922933333333333</v>
      </c>
      <c r="I492" s="64"/>
      <c r="J492" s="64"/>
      <c r="K492" s="65"/>
      <c r="L492" s="29"/>
      <c r="M492" s="68">
        <f>M157</f>
        <v>480.8544</v>
      </c>
      <c r="N492" s="68">
        <f t="shared" si="36"/>
        <v>35.730166666666669</v>
      </c>
      <c r="O492" s="68">
        <f t="shared" si="36"/>
        <v>42.112450000000003</v>
      </c>
      <c r="P492" s="68">
        <f t="shared" si="36"/>
        <v>41.922933333333333</v>
      </c>
      <c r="Q492" s="64"/>
      <c r="R492" s="64"/>
      <c r="S492" s="65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1"/>
      <c r="D493" s="69">
        <v>40</v>
      </c>
      <c r="E493" s="78">
        <f>E158</f>
        <v>267.50639999999999</v>
      </c>
      <c r="F493" s="78">
        <f t="shared" si="35"/>
        <v>33.252633333333335</v>
      </c>
      <c r="G493" s="78">
        <f t="shared" si="35"/>
        <v>40.717666666666666</v>
      </c>
      <c r="H493" s="78">
        <f t="shared" si="35"/>
        <v>40.472783333333332</v>
      </c>
      <c r="I493" s="66"/>
      <c r="J493" s="66"/>
      <c r="K493" s="67"/>
      <c r="L493" s="29"/>
      <c r="M493" s="78">
        <f>M158</f>
        <v>267.464</v>
      </c>
      <c r="N493" s="78">
        <f t="shared" si="36"/>
        <v>33.252633333333335</v>
      </c>
      <c r="O493" s="78">
        <f t="shared" si="36"/>
        <v>40.717666666666666</v>
      </c>
      <c r="P493" s="78">
        <f t="shared" si="36"/>
        <v>40.472783333333332</v>
      </c>
      <c r="Q493" s="66"/>
      <c r="R493" s="66"/>
      <c r="S493" s="67"/>
      <c r="U493" s="82"/>
      <c r="V493" s="83"/>
      <c r="W493" s="84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5">
        <f t="shared" ref="E494:E501" si="37">E486</f>
        <v>1568.5256000000002</v>
      </c>
      <c r="F494" s="75">
        <f t="shared" ref="F494:H497" si="38">AVERAGE(F107,F111,F131,F135,F139)</f>
        <v>40.596679999999999</v>
      </c>
      <c r="G494" s="75">
        <f t="shared" si="38"/>
        <v>44.895980000000002</v>
      </c>
      <c r="H494" s="75">
        <f t="shared" si="38"/>
        <v>44.991040000000005</v>
      </c>
      <c r="I494" s="76"/>
      <c r="J494" s="76"/>
      <c r="K494" s="77"/>
      <c r="L494" s="29"/>
      <c r="M494" s="75">
        <f t="shared" ref="M494:M501" si="39">M486</f>
        <v>1568.4968000000001</v>
      </c>
      <c r="N494" s="75">
        <f t="shared" ref="N494:P497" si="40">AVERAGE(N107,N111,N131,N135,N139)</f>
        <v>40.596679999999999</v>
      </c>
      <c r="O494" s="75">
        <f t="shared" si="40"/>
        <v>44.895980000000002</v>
      </c>
      <c r="P494" s="75">
        <f t="shared" si="40"/>
        <v>44.991040000000005</v>
      </c>
      <c r="Q494" s="76"/>
      <c r="R494" s="76"/>
      <c r="S494" s="77"/>
      <c r="U494" s="8">
        <f>bdrate($E494:$E497,F494:F497,$M494:$M497,N494:N497)</f>
        <v>-6.2920415540679286E-5</v>
      </c>
      <c r="V494" s="9">
        <f>bdrate($E494:$E497,G494:G497,$M494:$M497,O494:O497)</f>
        <v>-5.7750405456968856E-5</v>
      </c>
      <c r="W494" s="10">
        <f>bdrate($E494:$E497,H494:H497,$M494:$M497,P494:P497)</f>
        <v>-5.793382265639746E-5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68">
        <f t="shared" si="37"/>
        <v>736.84320000000002</v>
      </c>
      <c r="F495" s="68">
        <f t="shared" si="38"/>
        <v>38.315420000000003</v>
      </c>
      <c r="G495" s="68">
        <f t="shared" si="38"/>
        <v>43.14922</v>
      </c>
      <c r="H495" s="68">
        <f t="shared" si="38"/>
        <v>43.209040000000002</v>
      </c>
      <c r="I495" s="64"/>
      <c r="J495" s="64"/>
      <c r="K495" s="65"/>
      <c r="L495" s="29"/>
      <c r="M495" s="68">
        <f t="shared" si="39"/>
        <v>736.81440000000009</v>
      </c>
      <c r="N495" s="68">
        <f t="shared" si="40"/>
        <v>38.315420000000003</v>
      </c>
      <c r="O495" s="68">
        <f t="shared" si="40"/>
        <v>43.14922</v>
      </c>
      <c r="P495" s="68">
        <f t="shared" si="40"/>
        <v>43.209040000000002</v>
      </c>
      <c r="Q495" s="64"/>
      <c r="R495" s="64"/>
      <c r="S495" s="65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68">
        <f t="shared" si="37"/>
        <v>384.57279999999997</v>
      </c>
      <c r="F496" s="68">
        <f t="shared" si="38"/>
        <v>35.894379999999998</v>
      </c>
      <c r="G496" s="68">
        <f t="shared" si="38"/>
        <v>41.468539999999997</v>
      </c>
      <c r="H496" s="68">
        <f t="shared" si="38"/>
        <v>41.427960000000006</v>
      </c>
      <c r="I496" s="64"/>
      <c r="J496" s="64"/>
      <c r="K496" s="65"/>
      <c r="L496" s="29"/>
      <c r="M496" s="68">
        <f t="shared" si="39"/>
        <v>384.54400000000004</v>
      </c>
      <c r="N496" s="68">
        <f t="shared" si="40"/>
        <v>35.894379999999998</v>
      </c>
      <c r="O496" s="68">
        <f t="shared" si="40"/>
        <v>41.468539999999997</v>
      </c>
      <c r="P496" s="68">
        <f t="shared" si="40"/>
        <v>41.427960000000006</v>
      </c>
      <c r="Q496" s="64"/>
      <c r="R496" s="64"/>
      <c r="S496" s="65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1"/>
      <c r="D497" s="69">
        <v>40</v>
      </c>
      <c r="E497" s="78">
        <f t="shared" si="37"/>
        <v>214.1592</v>
      </c>
      <c r="F497" s="78">
        <f t="shared" si="38"/>
        <v>33.423320000000004</v>
      </c>
      <c r="G497" s="78">
        <f t="shared" si="38"/>
        <v>40.157759999999996</v>
      </c>
      <c r="H497" s="78">
        <f t="shared" si="38"/>
        <v>40.069380000000002</v>
      </c>
      <c r="I497" s="66"/>
      <c r="J497" s="66"/>
      <c r="K497" s="67"/>
      <c r="L497" s="29"/>
      <c r="M497" s="78">
        <f t="shared" si="39"/>
        <v>214.13040000000001</v>
      </c>
      <c r="N497" s="78">
        <f t="shared" si="40"/>
        <v>33.423320000000004</v>
      </c>
      <c r="O497" s="78">
        <f t="shared" si="40"/>
        <v>40.157759999999996</v>
      </c>
      <c r="P497" s="78">
        <f t="shared" si="40"/>
        <v>40.069380000000002</v>
      </c>
      <c r="Q497" s="66"/>
      <c r="R497" s="66"/>
      <c r="S497" s="67"/>
      <c r="U497" s="82"/>
      <c r="V497" s="83"/>
      <c r="W497" s="84"/>
      <c r="Y497" s="59"/>
      <c r="Z497" s="59"/>
      <c r="AA497" s="59"/>
      <c r="AB497" s="24"/>
      <c r="AC497" s="24"/>
    </row>
    <row r="498" spans="2:29">
      <c r="B498" s="29"/>
      <c r="C498" s="28" t="s">
        <v>41</v>
      </c>
      <c r="D498" s="31">
        <v>25</v>
      </c>
      <c r="E498" s="75">
        <f t="shared" si="37"/>
        <v>2034.056</v>
      </c>
      <c r="F498" s="75">
        <f t="shared" ref="F498:H501" si="41">AVERAGE(F107,F111,F115,F131,F135,F139,F143,F147,F151)</f>
        <v>40.447811111111108</v>
      </c>
      <c r="G498" s="75">
        <f t="shared" si="41"/>
        <v>44.90743333333333</v>
      </c>
      <c r="H498" s="75">
        <f t="shared" si="41"/>
        <v>44.950977777777773</v>
      </c>
      <c r="I498" s="76"/>
      <c r="J498" s="76"/>
      <c r="K498" s="77"/>
      <c r="L498" s="29"/>
      <c r="M498" s="75">
        <f t="shared" si="39"/>
        <v>2034.0136</v>
      </c>
      <c r="N498" s="75">
        <f t="shared" ref="N498:P501" si="42">AVERAGE(N107,N111,N115,N131,N135,N139,N143,N147,N151)</f>
        <v>40.447811111111108</v>
      </c>
      <c r="O498" s="75">
        <f t="shared" si="42"/>
        <v>44.90743333333333</v>
      </c>
      <c r="P498" s="75">
        <f t="shared" si="42"/>
        <v>44.950977777777773</v>
      </c>
      <c r="Q498" s="76"/>
      <c r="R498" s="76"/>
      <c r="S498" s="77"/>
      <c r="U498" s="8">
        <f>bdrate($E498:$E501,F498:F501,$M498:$M501,N498:N501)</f>
        <v>-7.3814134610605819E-5</v>
      </c>
      <c r="V498" s="9">
        <f>bdrate($E498:$E501,G498:G501,$M498:$M501,O498:O501)</f>
        <v>-6.7674205966650192E-5</v>
      </c>
      <c r="W498" s="10">
        <f>bdrate($E498:$E501,H498:H501,$M498:$M501,P498:P501)</f>
        <v>-6.7560576883618495E-5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68">
        <f t="shared" si="37"/>
        <v>929.44079999999997</v>
      </c>
      <c r="F499" s="68">
        <f t="shared" si="41"/>
        <v>38.143666666666661</v>
      </c>
      <c r="G499" s="68">
        <f t="shared" si="41"/>
        <v>43.176388888888887</v>
      </c>
      <c r="H499" s="68">
        <f t="shared" si="41"/>
        <v>43.128622222222219</v>
      </c>
      <c r="I499" s="64"/>
      <c r="J499" s="64"/>
      <c r="K499" s="65"/>
      <c r="L499" s="29"/>
      <c r="M499" s="68">
        <f t="shared" si="39"/>
        <v>929.39840000000004</v>
      </c>
      <c r="N499" s="68">
        <f t="shared" si="42"/>
        <v>38.143666666666661</v>
      </c>
      <c r="O499" s="68">
        <f t="shared" si="42"/>
        <v>43.176388888888887</v>
      </c>
      <c r="P499" s="68">
        <f t="shared" si="42"/>
        <v>43.128622222222219</v>
      </c>
      <c r="Q499" s="64"/>
      <c r="R499" s="64"/>
      <c r="S499" s="65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68">
        <f t="shared" si="37"/>
        <v>480.89679999999998</v>
      </c>
      <c r="F500" s="68">
        <f t="shared" si="41"/>
        <v>35.71423333333334</v>
      </c>
      <c r="G500" s="68">
        <f t="shared" si="41"/>
        <v>41.502522222222218</v>
      </c>
      <c r="H500" s="68">
        <f t="shared" si="41"/>
        <v>41.330722222222228</v>
      </c>
      <c r="I500" s="64"/>
      <c r="J500" s="64"/>
      <c r="K500" s="65"/>
      <c r="L500" s="29"/>
      <c r="M500" s="68">
        <f t="shared" si="39"/>
        <v>480.8544</v>
      </c>
      <c r="N500" s="68">
        <f t="shared" si="42"/>
        <v>35.71423333333334</v>
      </c>
      <c r="O500" s="68">
        <f t="shared" si="42"/>
        <v>41.502522222222218</v>
      </c>
      <c r="P500" s="68">
        <f t="shared" si="42"/>
        <v>41.330722222222228</v>
      </c>
      <c r="Q500" s="64"/>
      <c r="R500" s="64"/>
      <c r="S500" s="65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1"/>
      <c r="C501" s="51"/>
      <c r="D501" s="69">
        <v>40</v>
      </c>
      <c r="E501" s="78">
        <f t="shared" si="37"/>
        <v>267.50639999999999</v>
      </c>
      <c r="F501" s="78">
        <f t="shared" si="41"/>
        <v>33.228433333333328</v>
      </c>
      <c r="G501" s="78">
        <f t="shared" si="41"/>
        <v>40.207677777777775</v>
      </c>
      <c r="H501" s="78">
        <f t="shared" si="41"/>
        <v>39.975811111111113</v>
      </c>
      <c r="I501" s="66"/>
      <c r="J501" s="66"/>
      <c r="K501" s="67"/>
      <c r="L501" s="29"/>
      <c r="M501" s="78">
        <f t="shared" si="39"/>
        <v>267.464</v>
      </c>
      <c r="N501" s="78">
        <f t="shared" si="42"/>
        <v>33.228433333333328</v>
      </c>
      <c r="O501" s="78">
        <f t="shared" si="42"/>
        <v>40.207677777777775</v>
      </c>
      <c r="P501" s="78">
        <f t="shared" si="42"/>
        <v>39.975811111111113</v>
      </c>
      <c r="Q501" s="66"/>
      <c r="R501" s="66"/>
      <c r="S501" s="67"/>
      <c r="U501" s="82"/>
      <c r="V501" s="83"/>
      <c r="W501" s="84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5">
        <f>E159+E163</f>
        <v>4237.1328000000003</v>
      </c>
      <c r="F502" s="75">
        <f t="shared" ref="F502:H505" si="43">AVERAGE(F159,F163)</f>
        <v>39.998900000000006</v>
      </c>
      <c r="G502" s="75">
        <f t="shared" si="43"/>
        <v>45.394400000000005</v>
      </c>
      <c r="H502" s="75">
        <f t="shared" si="43"/>
        <v>46.24015</v>
      </c>
      <c r="I502" s="76"/>
      <c r="J502" s="76"/>
      <c r="K502" s="77"/>
      <c r="L502" s="29"/>
      <c r="M502" s="79">
        <f>M159+M163</f>
        <v>4237.1320000000005</v>
      </c>
      <c r="N502" s="75">
        <f t="shared" ref="N502:P505" si="44">AVERAGE(N159,N163)</f>
        <v>39.998900000000006</v>
      </c>
      <c r="O502" s="75">
        <f t="shared" si="44"/>
        <v>45.394400000000005</v>
      </c>
      <c r="P502" s="75">
        <f t="shared" si="44"/>
        <v>46.24015</v>
      </c>
      <c r="Q502" s="76"/>
      <c r="R502" s="76"/>
      <c r="S502" s="77"/>
      <c r="U502" s="8">
        <f>bdrate($E502:$E505,F502:F505,$M502:$M505,N502:N505)</f>
        <v>-7.8163340988535168E-7</v>
      </c>
      <c r="V502" s="9">
        <f>bdrate($E502:$E505,G502:G505,$M502:$M505,O502:O505)</f>
        <v>-7.2109480120374769E-7</v>
      </c>
      <c r="W502" s="10">
        <f>bdrate($E502:$E505,H502:H505,$M502:$M505,P502:P505)</f>
        <v>-7.1657116407219945E-7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68">
        <f>E160+E164</f>
        <v>1798.4703999999999</v>
      </c>
      <c r="F503" s="68">
        <f t="shared" si="43"/>
        <v>37.64385</v>
      </c>
      <c r="G503" s="68">
        <f t="shared" si="43"/>
        <v>43.60595</v>
      </c>
      <c r="H503" s="68">
        <f t="shared" si="43"/>
        <v>44.440849999999998</v>
      </c>
      <c r="I503" s="64"/>
      <c r="J503" s="64"/>
      <c r="K503" s="65"/>
      <c r="L503" s="29"/>
      <c r="M503" s="80">
        <f>M160+M164</f>
        <v>1798.4695999999999</v>
      </c>
      <c r="N503" s="68">
        <f t="shared" si="44"/>
        <v>37.64385</v>
      </c>
      <c r="O503" s="68">
        <f t="shared" si="44"/>
        <v>43.60595</v>
      </c>
      <c r="P503" s="68">
        <f t="shared" si="44"/>
        <v>44.440849999999998</v>
      </c>
      <c r="Q503" s="64"/>
      <c r="R503" s="64"/>
      <c r="S503" s="65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68">
        <f>E161+E165</f>
        <v>830.18960000000004</v>
      </c>
      <c r="F504" s="68">
        <f t="shared" si="43"/>
        <v>35.503100000000003</v>
      </c>
      <c r="G504" s="68">
        <f t="shared" si="43"/>
        <v>41.800799999999995</v>
      </c>
      <c r="H504" s="68">
        <f t="shared" si="43"/>
        <v>42.620400000000004</v>
      </c>
      <c r="I504" s="64"/>
      <c r="J504" s="64"/>
      <c r="K504" s="65"/>
      <c r="L504" s="29"/>
      <c r="M504" s="80">
        <f>M161+M165</f>
        <v>830.18880000000001</v>
      </c>
      <c r="N504" s="68">
        <f t="shared" si="44"/>
        <v>35.503100000000003</v>
      </c>
      <c r="O504" s="68">
        <f t="shared" si="44"/>
        <v>41.800799999999995</v>
      </c>
      <c r="P504" s="68">
        <f t="shared" si="44"/>
        <v>42.620400000000004</v>
      </c>
      <c r="Q504" s="64"/>
      <c r="R504" s="64"/>
      <c r="S504" s="65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1"/>
      <c r="D505" s="69">
        <v>40</v>
      </c>
      <c r="E505" s="78">
        <f>E162+E166</f>
        <v>399.55599999999998</v>
      </c>
      <c r="F505" s="78">
        <f t="shared" si="43"/>
        <v>33.379950000000001</v>
      </c>
      <c r="G505" s="78">
        <f t="shared" si="43"/>
        <v>40.564399999999999</v>
      </c>
      <c r="H505" s="78">
        <f t="shared" si="43"/>
        <v>41.404449999999997</v>
      </c>
      <c r="I505" s="66"/>
      <c r="J505" s="66"/>
      <c r="K505" s="67"/>
      <c r="L505" s="29"/>
      <c r="M505" s="81">
        <f>M162+M166</f>
        <v>399.55520000000001</v>
      </c>
      <c r="N505" s="78">
        <f t="shared" si="44"/>
        <v>33.379950000000001</v>
      </c>
      <c r="O505" s="78">
        <f t="shared" si="44"/>
        <v>40.564399999999999</v>
      </c>
      <c r="P505" s="78">
        <f t="shared" si="44"/>
        <v>41.404449999999997</v>
      </c>
      <c r="Q505" s="66"/>
      <c r="R505" s="66"/>
      <c r="S505" s="67"/>
      <c r="U505" s="82"/>
      <c r="V505" s="83"/>
      <c r="W505" s="84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5">
        <f>E159+E163+E167</f>
        <v>4782.2984000000006</v>
      </c>
      <c r="F506" s="75">
        <f t="shared" ref="F506:H509" si="45">AVERAGE(F159,F163,F167)</f>
        <v>39.901500000000006</v>
      </c>
      <c r="G506" s="75">
        <f t="shared" si="45"/>
        <v>45.359666666666669</v>
      </c>
      <c r="H506" s="75">
        <f t="shared" si="45"/>
        <v>46.20836666666667</v>
      </c>
      <c r="I506" s="76"/>
      <c r="J506" s="76"/>
      <c r="K506" s="77"/>
      <c r="L506" s="29"/>
      <c r="M506" s="75">
        <f>M159+M163+M167</f>
        <v>4782.2976000000008</v>
      </c>
      <c r="N506" s="75">
        <f t="shared" ref="N506:P509" si="46">AVERAGE(N159,N163,N167)</f>
        <v>39.901500000000006</v>
      </c>
      <c r="O506" s="75">
        <f t="shared" si="46"/>
        <v>45.359666666666669</v>
      </c>
      <c r="P506" s="75">
        <f t="shared" si="46"/>
        <v>46.20836666666667</v>
      </c>
      <c r="Q506" s="76"/>
      <c r="R506" s="76"/>
      <c r="S506" s="77"/>
      <c r="U506" s="8">
        <f>bdrate($E506:$E509,F506:F509,$M506:$M509,N506:N509)</f>
        <v>-7.1305366544649473E-7</v>
      </c>
      <c r="V506" s="9">
        <f>bdrate($E506:$E509,G506:G509,$M506:$M509,O506:O509)</f>
        <v>-6.5769804424853362E-7</v>
      </c>
      <c r="W506" s="10">
        <f>bdrate($E506:$E509,H506:H509,$M506:$M509,P506:P509)</f>
        <v>-6.5336315901998177E-7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68">
        <f>E160+E164+E168</f>
        <v>1990.5527999999999</v>
      </c>
      <c r="F507" s="68">
        <f t="shared" si="45"/>
        <v>37.5717</v>
      </c>
      <c r="G507" s="68">
        <f t="shared" si="45"/>
        <v>43.583133333333336</v>
      </c>
      <c r="H507" s="68">
        <f t="shared" si="45"/>
        <v>44.420766666666658</v>
      </c>
      <c r="I507" s="64"/>
      <c r="J507" s="64"/>
      <c r="K507" s="65"/>
      <c r="L507" s="29"/>
      <c r="M507" s="68">
        <f>M160+M164+M168</f>
        <v>1990.5519999999999</v>
      </c>
      <c r="N507" s="68">
        <f t="shared" si="46"/>
        <v>37.5717</v>
      </c>
      <c r="O507" s="68">
        <f t="shared" si="46"/>
        <v>43.583133333333336</v>
      </c>
      <c r="P507" s="68">
        <f t="shared" si="46"/>
        <v>44.420766666666658</v>
      </c>
      <c r="Q507" s="64"/>
      <c r="R507" s="64"/>
      <c r="S507" s="65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68">
        <f>E161+E165+E169</f>
        <v>908.91280000000006</v>
      </c>
      <c r="F508" s="68">
        <f t="shared" si="45"/>
        <v>35.447533333333332</v>
      </c>
      <c r="G508" s="68">
        <f t="shared" si="45"/>
        <v>41.787399999999998</v>
      </c>
      <c r="H508" s="68">
        <f t="shared" si="45"/>
        <v>42.608699999999999</v>
      </c>
      <c r="I508" s="64"/>
      <c r="J508" s="64"/>
      <c r="K508" s="65"/>
      <c r="L508" s="29"/>
      <c r="M508" s="68">
        <f>M161+M165+M169</f>
        <v>908.91200000000003</v>
      </c>
      <c r="N508" s="68">
        <f t="shared" si="46"/>
        <v>35.447533333333332</v>
      </c>
      <c r="O508" s="68">
        <f t="shared" si="46"/>
        <v>41.787399999999998</v>
      </c>
      <c r="P508" s="68">
        <f t="shared" si="46"/>
        <v>42.608699999999999</v>
      </c>
      <c r="Q508" s="64"/>
      <c r="R508" s="64"/>
      <c r="S508" s="65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1"/>
      <c r="D509" s="69">
        <v>40</v>
      </c>
      <c r="E509" s="78">
        <f>E162+E166+E170</f>
        <v>436.28319999999997</v>
      </c>
      <c r="F509" s="78">
        <f t="shared" si="45"/>
        <v>33.336866666666673</v>
      </c>
      <c r="G509" s="78">
        <f t="shared" si="45"/>
        <v>40.550166666666662</v>
      </c>
      <c r="H509" s="78">
        <f t="shared" si="45"/>
        <v>41.392733333333332</v>
      </c>
      <c r="I509" s="66"/>
      <c r="J509" s="66"/>
      <c r="K509" s="67"/>
      <c r="L509" s="29"/>
      <c r="M509" s="78">
        <f>M162+M166+M170</f>
        <v>436.2824</v>
      </c>
      <c r="N509" s="78">
        <f t="shared" si="46"/>
        <v>33.336866666666673</v>
      </c>
      <c r="O509" s="78">
        <f t="shared" si="46"/>
        <v>40.550166666666662</v>
      </c>
      <c r="P509" s="78">
        <f t="shared" si="46"/>
        <v>41.392733333333332</v>
      </c>
      <c r="Q509" s="66"/>
      <c r="R509" s="66"/>
      <c r="S509" s="67"/>
      <c r="U509" s="82"/>
      <c r="V509" s="83"/>
      <c r="W509" s="84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5">
        <f>E159+E163+E171+E175</f>
        <v>4620.0488000000005</v>
      </c>
      <c r="F510" s="75">
        <f t="shared" ref="F510:H513" si="47">AVERAGE(F183,F187,F191)</f>
        <v>40.039833333333327</v>
      </c>
      <c r="G510" s="75">
        <f t="shared" si="47"/>
        <v>46.60573333333334</v>
      </c>
      <c r="H510" s="75">
        <f t="shared" si="47"/>
        <v>47.038400000000003</v>
      </c>
      <c r="I510" s="76"/>
      <c r="J510" s="76"/>
      <c r="K510" s="77"/>
      <c r="L510" s="29"/>
      <c r="M510" s="75">
        <f>M159+M163+M171+M175</f>
        <v>4620.0480000000007</v>
      </c>
      <c r="N510" s="75">
        <f t="shared" ref="N510:P513" si="48">AVERAGE(N183,N187,N191)</f>
        <v>40.039833333333327</v>
      </c>
      <c r="O510" s="75">
        <f t="shared" si="48"/>
        <v>46.60573333333334</v>
      </c>
      <c r="P510" s="75">
        <f t="shared" si="48"/>
        <v>47.038400000000003</v>
      </c>
      <c r="Q510" s="76"/>
      <c r="R510" s="76"/>
      <c r="S510" s="77"/>
      <c r="U510" s="8">
        <f>bdrate($E510:$E513,F510:F513,$M510:$M513,N510:N513)</f>
        <v>-7.380963894521031E-7</v>
      </c>
      <c r="V510" s="9">
        <f>bdrate($E510:$E513,G510:G513,$M510:$M513,O510:O513)</f>
        <v>-6.9166770855222381E-7</v>
      </c>
      <c r="W510" s="10">
        <f>bdrate($E510:$E513,H510:H513,$M510:$M513,P510:P513)</f>
        <v>-6.9553326287330464E-7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68">
        <f>E160+E164+E172+E176</f>
        <v>1924.2535999999998</v>
      </c>
      <c r="F511" s="68">
        <f t="shared" si="47"/>
        <v>37.726933333333335</v>
      </c>
      <c r="G511" s="68">
        <f t="shared" si="47"/>
        <v>44.823866666666667</v>
      </c>
      <c r="H511" s="68">
        <f t="shared" si="47"/>
        <v>45.386099999999999</v>
      </c>
      <c r="I511" s="64"/>
      <c r="J511" s="64"/>
      <c r="K511" s="65"/>
      <c r="L511" s="29"/>
      <c r="M511" s="68">
        <f>M160+M164+M172+M176</f>
        <v>1924.2527999999998</v>
      </c>
      <c r="N511" s="68">
        <f t="shared" si="48"/>
        <v>37.726933333333335</v>
      </c>
      <c r="O511" s="68">
        <f t="shared" si="48"/>
        <v>44.823866666666667</v>
      </c>
      <c r="P511" s="68">
        <f t="shared" si="48"/>
        <v>45.386099999999999</v>
      </c>
      <c r="Q511" s="64"/>
      <c r="R511" s="64"/>
      <c r="S511" s="65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68">
        <f>E161+E165+E173+E177</f>
        <v>882.64480000000003</v>
      </c>
      <c r="F512" s="68">
        <f t="shared" si="47"/>
        <v>35.592833333333338</v>
      </c>
      <c r="G512" s="68">
        <f t="shared" si="47"/>
        <v>42.873933333333333</v>
      </c>
      <c r="H512" s="68">
        <f t="shared" si="47"/>
        <v>43.547533333333341</v>
      </c>
      <c r="I512" s="64"/>
      <c r="J512" s="64"/>
      <c r="K512" s="65"/>
      <c r="L512" s="29"/>
      <c r="M512" s="68">
        <f>M161+M165+M173+M177</f>
        <v>882.64400000000001</v>
      </c>
      <c r="N512" s="68">
        <f t="shared" si="48"/>
        <v>35.592833333333338</v>
      </c>
      <c r="O512" s="68">
        <f t="shared" si="48"/>
        <v>42.873933333333333</v>
      </c>
      <c r="P512" s="68">
        <f t="shared" si="48"/>
        <v>43.547533333333341</v>
      </c>
      <c r="Q512" s="64"/>
      <c r="R512" s="64"/>
      <c r="S512" s="65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1"/>
      <c r="D513" s="69">
        <v>40</v>
      </c>
      <c r="E513" s="78">
        <f>E162+E166+E174+E178</f>
        <v>423.79599999999999</v>
      </c>
      <c r="F513" s="78">
        <f t="shared" si="47"/>
        <v>33.464566666666663</v>
      </c>
      <c r="G513" s="78">
        <f t="shared" si="47"/>
        <v>41.529733333333333</v>
      </c>
      <c r="H513" s="78">
        <f t="shared" si="47"/>
        <v>42.272733333333335</v>
      </c>
      <c r="I513" s="66"/>
      <c r="J513" s="66"/>
      <c r="K513" s="67"/>
      <c r="L513" s="29"/>
      <c r="M513" s="78">
        <f>M162+M166+M174+M178</f>
        <v>423.79520000000002</v>
      </c>
      <c r="N513" s="78">
        <f t="shared" si="48"/>
        <v>33.464566666666663</v>
      </c>
      <c r="O513" s="78">
        <f t="shared" si="48"/>
        <v>41.529733333333333</v>
      </c>
      <c r="P513" s="78">
        <f t="shared" si="48"/>
        <v>42.272733333333335</v>
      </c>
      <c r="Q513" s="66"/>
      <c r="R513" s="66"/>
      <c r="S513" s="67"/>
      <c r="U513" s="82"/>
      <c r="V513" s="83"/>
      <c r="W513" s="84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5">
        <f>E207</f>
        <v>5272.8112000000001</v>
      </c>
      <c r="F514" s="75">
        <f t="shared" ref="F514:H517" si="49">AVERAGE(F183,F187,F191,F195,F199,F203)</f>
        <v>40.035916666666658</v>
      </c>
      <c r="G514" s="75">
        <f t="shared" si="49"/>
        <v>46.569533333333332</v>
      </c>
      <c r="H514" s="75">
        <f t="shared" si="49"/>
        <v>47.086816666666664</v>
      </c>
      <c r="I514" s="76"/>
      <c r="J514" s="76"/>
      <c r="K514" s="77"/>
      <c r="L514" s="29"/>
      <c r="M514" s="75">
        <f>M207</f>
        <v>5272.8104000000003</v>
      </c>
      <c r="N514" s="75">
        <f t="shared" ref="N514:P517" si="50">AVERAGE(N183,N187,N191,N195,N199,N203)</f>
        <v>40.035916666666658</v>
      </c>
      <c r="O514" s="75">
        <f t="shared" si="50"/>
        <v>46.569533333333332</v>
      </c>
      <c r="P514" s="75">
        <f t="shared" si="50"/>
        <v>47.086816666666664</v>
      </c>
      <c r="Q514" s="76"/>
      <c r="R514" s="76"/>
      <c r="S514" s="77"/>
      <c r="U514" s="8">
        <f>bdrate($E514:$E517,F514:F517,$M514:$M517,N514:N517)</f>
        <v>-6.6189020908602458E-7</v>
      </c>
      <c r="V514" s="9">
        <f>bdrate($E514:$E517,G514:G517,$M514:$M517,O514:O517)</f>
        <v>-6.2121536537063093E-7</v>
      </c>
      <c r="W514" s="10">
        <f>bdrate($E514:$E517,H514:H517,$M514:$M517,P514:P517)</f>
        <v>-6.2453820015573314E-7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68">
        <f>E208</f>
        <v>2151.9304000000002</v>
      </c>
      <c r="F515" s="68">
        <f t="shared" si="49"/>
        <v>37.712300000000006</v>
      </c>
      <c r="G515" s="68">
        <f t="shared" si="49"/>
        <v>44.79761666666667</v>
      </c>
      <c r="H515" s="68">
        <f t="shared" si="49"/>
        <v>45.412983333333337</v>
      </c>
      <c r="I515" s="64"/>
      <c r="J515" s="64"/>
      <c r="K515" s="65"/>
      <c r="L515" s="29"/>
      <c r="M515" s="68">
        <f>M208</f>
        <v>2151.9295999999999</v>
      </c>
      <c r="N515" s="68">
        <f t="shared" si="50"/>
        <v>37.712300000000006</v>
      </c>
      <c r="O515" s="68">
        <f t="shared" si="50"/>
        <v>44.79761666666667</v>
      </c>
      <c r="P515" s="68">
        <f t="shared" si="50"/>
        <v>45.412983333333337</v>
      </c>
      <c r="Q515" s="64"/>
      <c r="R515" s="64"/>
      <c r="S515" s="65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68">
        <f>E209</f>
        <v>979.20719999999994</v>
      </c>
      <c r="F516" s="68">
        <f t="shared" si="49"/>
        <v>35.578116666666666</v>
      </c>
      <c r="G516" s="68">
        <f t="shared" si="49"/>
        <v>42.843316666666674</v>
      </c>
      <c r="H516" s="68">
        <f t="shared" si="49"/>
        <v>43.527333333333331</v>
      </c>
      <c r="I516" s="64"/>
      <c r="J516" s="64"/>
      <c r="K516" s="65"/>
      <c r="L516" s="29"/>
      <c r="M516" s="68">
        <f>M209</f>
        <v>979.20640000000003</v>
      </c>
      <c r="N516" s="68">
        <f t="shared" si="50"/>
        <v>35.578116666666666</v>
      </c>
      <c r="O516" s="68">
        <f t="shared" si="50"/>
        <v>42.843316666666674</v>
      </c>
      <c r="P516" s="68">
        <f t="shared" si="50"/>
        <v>43.527333333333331</v>
      </c>
      <c r="Q516" s="64"/>
      <c r="R516" s="64"/>
      <c r="S516" s="65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1"/>
      <c r="D517" s="69">
        <v>40</v>
      </c>
      <c r="E517" s="78">
        <f>E210</f>
        <v>471.7176</v>
      </c>
      <c r="F517" s="78">
        <f t="shared" si="49"/>
        <v>33.452116666666662</v>
      </c>
      <c r="G517" s="78">
        <f t="shared" si="49"/>
        <v>41.503916666666669</v>
      </c>
      <c r="H517" s="78">
        <f t="shared" si="49"/>
        <v>42.233733333333333</v>
      </c>
      <c r="I517" s="66"/>
      <c r="J517" s="66"/>
      <c r="K517" s="67"/>
      <c r="L517" s="29"/>
      <c r="M517" s="78">
        <f>M210</f>
        <v>471.71679999999998</v>
      </c>
      <c r="N517" s="78">
        <f t="shared" si="50"/>
        <v>33.452116666666662</v>
      </c>
      <c r="O517" s="78">
        <f t="shared" si="50"/>
        <v>41.503916666666669</v>
      </c>
      <c r="P517" s="78">
        <f t="shared" si="50"/>
        <v>42.233733333333333</v>
      </c>
      <c r="Q517" s="66"/>
      <c r="R517" s="66"/>
      <c r="S517" s="67"/>
      <c r="U517" s="82"/>
      <c r="V517" s="83"/>
      <c r="W517" s="84"/>
      <c r="Y517" s="24"/>
      <c r="Z517" s="59"/>
      <c r="AA517" s="59"/>
      <c r="AB517" s="24"/>
      <c r="AC517" s="24"/>
    </row>
    <row r="518" spans="2:29">
      <c r="B518" s="29"/>
      <c r="C518" s="28" t="s">
        <v>40</v>
      </c>
      <c r="D518" s="31">
        <v>25</v>
      </c>
      <c r="E518" s="75">
        <f t="shared" ref="E518:E525" si="51">E510</f>
        <v>4620.0488000000005</v>
      </c>
      <c r="F518" s="75">
        <f t="shared" ref="F518:H521" si="52">AVERAGE(F159,F163,F183,F187,F191)</f>
        <v>40.02346</v>
      </c>
      <c r="G518" s="75">
        <f t="shared" si="52"/>
        <v>46.121200000000002</v>
      </c>
      <c r="H518" s="75">
        <f t="shared" si="52"/>
        <v>46.719100000000005</v>
      </c>
      <c r="I518" s="76"/>
      <c r="J518" s="76"/>
      <c r="K518" s="77"/>
      <c r="L518" s="29"/>
      <c r="M518" s="75">
        <f t="shared" ref="M518:M525" si="53">M510</f>
        <v>4620.0480000000007</v>
      </c>
      <c r="N518" s="75">
        <f t="shared" ref="N518:P521" si="54">AVERAGE(N159,N163,N183,N187,N191)</f>
        <v>40.02346</v>
      </c>
      <c r="O518" s="75">
        <f t="shared" si="54"/>
        <v>46.121200000000002</v>
      </c>
      <c r="P518" s="75">
        <f t="shared" si="54"/>
        <v>46.719100000000005</v>
      </c>
      <c r="Q518" s="76"/>
      <c r="R518" s="76"/>
      <c r="S518" s="77"/>
      <c r="U518" s="8">
        <f>bdrate($E518:$E521,F518:F521,$M518:$M521,N518:N521)</f>
        <v>-7.364839140766577E-7</v>
      </c>
      <c r="V518" s="9">
        <f>bdrate($E518:$E521,G518:G521,$M518:$M521,O518:O521)</f>
        <v>-6.8592591517813162E-7</v>
      </c>
      <c r="W518" s="10">
        <f>bdrate($E518:$E521,H518:H521,$M518:$M521,P518:P521)</f>
        <v>-6.8628126426162339E-7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68">
        <f t="shared" si="51"/>
        <v>1924.2535999999998</v>
      </c>
      <c r="F519" s="68">
        <f t="shared" si="52"/>
        <v>37.6937</v>
      </c>
      <c r="G519" s="68">
        <f t="shared" si="52"/>
        <v>44.3367</v>
      </c>
      <c r="H519" s="68">
        <f t="shared" si="52"/>
        <v>45.007999999999996</v>
      </c>
      <c r="I519" s="64"/>
      <c r="J519" s="64"/>
      <c r="K519" s="65"/>
      <c r="L519" s="29"/>
      <c r="M519" s="68">
        <f t="shared" si="53"/>
        <v>1924.2527999999998</v>
      </c>
      <c r="N519" s="68">
        <f t="shared" si="54"/>
        <v>37.6937</v>
      </c>
      <c r="O519" s="68">
        <f t="shared" si="54"/>
        <v>44.3367</v>
      </c>
      <c r="P519" s="68">
        <f t="shared" si="54"/>
        <v>45.007999999999996</v>
      </c>
      <c r="Q519" s="64"/>
      <c r="R519" s="64"/>
      <c r="S519" s="65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68">
        <f t="shared" si="51"/>
        <v>882.64480000000003</v>
      </c>
      <c r="F520" s="68">
        <f t="shared" si="52"/>
        <v>35.556940000000004</v>
      </c>
      <c r="G520" s="68">
        <f t="shared" si="52"/>
        <v>42.444679999999991</v>
      </c>
      <c r="H520" s="68">
        <f t="shared" si="52"/>
        <v>43.176680000000005</v>
      </c>
      <c r="I520" s="64"/>
      <c r="J520" s="64"/>
      <c r="K520" s="65"/>
      <c r="L520" s="29"/>
      <c r="M520" s="68">
        <f t="shared" si="53"/>
        <v>882.64400000000001</v>
      </c>
      <c r="N520" s="68">
        <f t="shared" si="54"/>
        <v>35.556940000000004</v>
      </c>
      <c r="O520" s="68">
        <f t="shared" si="54"/>
        <v>42.444679999999991</v>
      </c>
      <c r="P520" s="68">
        <f t="shared" si="54"/>
        <v>43.176680000000005</v>
      </c>
      <c r="Q520" s="64"/>
      <c r="R520" s="64"/>
      <c r="S520" s="65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1"/>
      <c r="D521" s="69">
        <v>40</v>
      </c>
      <c r="E521" s="78">
        <f t="shared" si="51"/>
        <v>423.79599999999999</v>
      </c>
      <c r="F521" s="78">
        <f t="shared" si="52"/>
        <v>33.430720000000001</v>
      </c>
      <c r="G521" s="78">
        <f t="shared" si="52"/>
        <v>41.143599999999992</v>
      </c>
      <c r="H521" s="78">
        <f t="shared" si="52"/>
        <v>41.925419999999995</v>
      </c>
      <c r="I521" s="66"/>
      <c r="J521" s="66"/>
      <c r="K521" s="67"/>
      <c r="L521" s="29"/>
      <c r="M521" s="78">
        <f t="shared" si="53"/>
        <v>423.79520000000002</v>
      </c>
      <c r="N521" s="78">
        <f t="shared" si="54"/>
        <v>33.430720000000001</v>
      </c>
      <c r="O521" s="78">
        <f t="shared" si="54"/>
        <v>41.143599999999992</v>
      </c>
      <c r="P521" s="78">
        <f t="shared" si="54"/>
        <v>41.925419999999995</v>
      </c>
      <c r="Q521" s="66"/>
      <c r="R521" s="66"/>
      <c r="S521" s="67"/>
      <c r="U521" s="82"/>
      <c r="V521" s="83"/>
      <c r="W521" s="84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5">
        <f t="shared" si="51"/>
        <v>5272.8112000000001</v>
      </c>
      <c r="F522" s="75">
        <f t="shared" ref="F522:H525" si="55">AVERAGE(F159,F163,F167,F183,F187,F191,F195,F199,F203)</f>
        <v>39.99111111111111</v>
      </c>
      <c r="G522" s="75">
        <f t="shared" si="55"/>
        <v>46.166244444444445</v>
      </c>
      <c r="H522" s="75">
        <f t="shared" si="55"/>
        <v>46.793999999999997</v>
      </c>
      <c r="I522" s="76"/>
      <c r="J522" s="76"/>
      <c r="K522" s="77"/>
      <c r="L522" s="29"/>
      <c r="M522" s="75">
        <f t="shared" si="53"/>
        <v>5272.8104000000003</v>
      </c>
      <c r="N522" s="75">
        <f t="shared" ref="N522:P525" si="56">AVERAGE(N159,N163,N167,N183,N187,N191,N195,N199,N203)</f>
        <v>39.99111111111111</v>
      </c>
      <c r="O522" s="75">
        <f t="shared" si="56"/>
        <v>46.166244444444445</v>
      </c>
      <c r="P522" s="75">
        <f t="shared" si="56"/>
        <v>46.793999999999997</v>
      </c>
      <c r="Q522" s="76"/>
      <c r="R522" s="76"/>
      <c r="S522" s="77"/>
      <c r="U522" s="8">
        <f>bdrate($E522:$E525,F522:F525,$M522:$M525,N522:N525)</f>
        <v>-6.6130720888235572E-7</v>
      </c>
      <c r="V522" s="9">
        <f>bdrate($E522:$E525,G522:G525,$M522:$M525,O522:O525)</f>
        <v>-6.1724483657599194E-7</v>
      </c>
      <c r="W522" s="10">
        <f>bdrate($E522:$E525,H522:H525,$M522:$M525,P522:P525)</f>
        <v>-6.1801764794644498E-7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68">
        <f t="shared" si="51"/>
        <v>2151.9304000000002</v>
      </c>
      <c r="F523" s="68">
        <f t="shared" si="55"/>
        <v>37.66543333333334</v>
      </c>
      <c r="G523" s="68">
        <f t="shared" si="55"/>
        <v>44.39278888888888</v>
      </c>
      <c r="H523" s="68">
        <f t="shared" si="55"/>
        <v>45.082244444444441</v>
      </c>
      <c r="I523" s="64"/>
      <c r="J523" s="64"/>
      <c r="K523" s="65"/>
      <c r="L523" s="29"/>
      <c r="M523" s="68">
        <f t="shared" si="53"/>
        <v>2151.9295999999999</v>
      </c>
      <c r="N523" s="68">
        <f t="shared" si="56"/>
        <v>37.66543333333334</v>
      </c>
      <c r="O523" s="68">
        <f t="shared" si="56"/>
        <v>44.39278888888888</v>
      </c>
      <c r="P523" s="68">
        <f t="shared" si="56"/>
        <v>45.082244444444441</v>
      </c>
      <c r="Q523" s="64"/>
      <c r="R523" s="64"/>
      <c r="S523" s="65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68">
        <f t="shared" si="51"/>
        <v>979.20719999999994</v>
      </c>
      <c r="F524" s="68">
        <f t="shared" si="55"/>
        <v>35.534588888888891</v>
      </c>
      <c r="G524" s="68">
        <f t="shared" si="55"/>
        <v>42.491344444444444</v>
      </c>
      <c r="H524" s="68">
        <f t="shared" si="55"/>
        <v>43.22112222222222</v>
      </c>
      <c r="I524" s="64"/>
      <c r="J524" s="64"/>
      <c r="K524" s="65"/>
      <c r="L524" s="29"/>
      <c r="M524" s="68">
        <f t="shared" si="53"/>
        <v>979.20640000000003</v>
      </c>
      <c r="N524" s="68">
        <f t="shared" si="56"/>
        <v>35.534588888888891</v>
      </c>
      <c r="O524" s="68">
        <f t="shared" si="56"/>
        <v>42.491344444444444</v>
      </c>
      <c r="P524" s="68">
        <f t="shared" si="56"/>
        <v>43.22112222222222</v>
      </c>
      <c r="Q524" s="64"/>
      <c r="R524" s="64"/>
      <c r="S524" s="65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1"/>
      <c r="C525" s="51"/>
      <c r="D525" s="69">
        <v>40</v>
      </c>
      <c r="E525" s="78">
        <f t="shared" si="51"/>
        <v>471.7176</v>
      </c>
      <c r="F525" s="78">
        <f t="shared" si="55"/>
        <v>33.413699999999999</v>
      </c>
      <c r="G525" s="78">
        <f t="shared" si="55"/>
        <v>41.186</v>
      </c>
      <c r="H525" s="78">
        <f t="shared" si="55"/>
        <v>41.953399999999995</v>
      </c>
      <c r="I525" s="66"/>
      <c r="J525" s="66"/>
      <c r="K525" s="67"/>
      <c r="L525" s="29"/>
      <c r="M525" s="78">
        <f t="shared" si="53"/>
        <v>471.71679999999998</v>
      </c>
      <c r="N525" s="78">
        <f t="shared" si="56"/>
        <v>33.413699999999999</v>
      </c>
      <c r="O525" s="78">
        <f t="shared" si="56"/>
        <v>41.186</v>
      </c>
      <c r="P525" s="78">
        <f t="shared" si="56"/>
        <v>41.953399999999995</v>
      </c>
      <c r="Q525" s="66"/>
      <c r="R525" s="66"/>
      <c r="S525" s="67"/>
      <c r="U525" s="82"/>
      <c r="V525" s="83"/>
      <c r="W525" s="84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5">
        <f>E211+E215</f>
        <v>1057.5309999999999</v>
      </c>
      <c r="F526" s="75">
        <f t="shared" ref="F526:H529" si="57">AVERAGE(F211,F215)</f>
        <v>41.974800000000002</v>
      </c>
      <c r="G526" s="75">
        <f t="shared" si="57"/>
        <v>48.30715</v>
      </c>
      <c r="H526" s="75">
        <f t="shared" si="57"/>
        <v>47.82555</v>
      </c>
      <c r="I526" s="76"/>
      <c r="J526" s="76"/>
      <c r="K526" s="77"/>
      <c r="L526" s="29"/>
      <c r="M526" s="79">
        <f>M211+M215</f>
        <v>1057.49</v>
      </c>
      <c r="N526" s="75">
        <f t="shared" ref="N526:P529" si="58">AVERAGE(N211,N215)</f>
        <v>41.974800000000002</v>
      </c>
      <c r="O526" s="75">
        <f t="shared" si="58"/>
        <v>48.30715</v>
      </c>
      <c r="P526" s="75">
        <f t="shared" si="58"/>
        <v>47.82555</v>
      </c>
      <c r="Q526" s="76"/>
      <c r="R526" s="76"/>
      <c r="S526" s="77"/>
      <c r="U526" s="8">
        <f>bdrate($E526:$E529,F526:F529,$M526:$M529,N526:N529)</f>
        <v>-1.6934608540419838E-4</v>
      </c>
      <c r="V526" s="9">
        <f>bdrate($E526:$E529,G526:G529,$M526:$M529,O526:O529)</f>
        <v>-1.5136564955697818E-4</v>
      </c>
      <c r="W526" s="10">
        <f>bdrate($E526:$E529,H526:H529,$M526:$M529,P526:P529)</f>
        <v>-1.5475622690008795E-4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68">
        <f>E212+E216</f>
        <v>441.1</v>
      </c>
      <c r="F527" s="68">
        <f t="shared" si="57"/>
        <v>40.991749999999996</v>
      </c>
      <c r="G527" s="68">
        <f t="shared" si="57"/>
        <v>47.282449999999997</v>
      </c>
      <c r="H527" s="68">
        <f t="shared" si="57"/>
        <v>46.93</v>
      </c>
      <c r="I527" s="64"/>
      <c r="J527" s="64"/>
      <c r="K527" s="65"/>
      <c r="L527" s="29"/>
      <c r="M527" s="80">
        <f>M212+M216</f>
        <v>441.05899999999997</v>
      </c>
      <c r="N527" s="68">
        <f t="shared" si="58"/>
        <v>40.991749999999996</v>
      </c>
      <c r="O527" s="68">
        <f t="shared" si="58"/>
        <v>47.282449999999997</v>
      </c>
      <c r="P527" s="68">
        <f t="shared" si="58"/>
        <v>46.93</v>
      </c>
      <c r="Q527" s="64"/>
      <c r="R527" s="64"/>
      <c r="S527" s="65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68">
        <f>E213+E217</f>
        <v>224.79300000000001</v>
      </c>
      <c r="F528" s="68">
        <f t="shared" si="57"/>
        <v>39.583100000000002</v>
      </c>
      <c r="G528" s="68">
        <f t="shared" si="57"/>
        <v>45.979199999999999</v>
      </c>
      <c r="H528" s="68">
        <f t="shared" si="57"/>
        <v>45.73075</v>
      </c>
      <c r="I528" s="64"/>
      <c r="J528" s="64"/>
      <c r="K528" s="65"/>
      <c r="L528" s="29"/>
      <c r="M528" s="80">
        <f>M213+M217</f>
        <v>224.75200000000001</v>
      </c>
      <c r="N528" s="68">
        <f t="shared" si="58"/>
        <v>39.583100000000002</v>
      </c>
      <c r="O528" s="68">
        <f t="shared" si="58"/>
        <v>45.979199999999999</v>
      </c>
      <c r="P528" s="68">
        <f t="shared" si="58"/>
        <v>45.73075</v>
      </c>
      <c r="Q528" s="64"/>
      <c r="R528" s="64"/>
      <c r="S528" s="65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1"/>
      <c r="D529" s="69">
        <v>40</v>
      </c>
      <c r="E529" s="78">
        <f>E214+E218</f>
        <v>123.902</v>
      </c>
      <c r="F529" s="78">
        <f t="shared" si="57"/>
        <v>37.820650000000001</v>
      </c>
      <c r="G529" s="78">
        <f t="shared" si="57"/>
        <v>44.854599999999998</v>
      </c>
      <c r="H529" s="78">
        <f t="shared" si="57"/>
        <v>44.640950000000004</v>
      </c>
      <c r="I529" s="66"/>
      <c r="J529" s="66"/>
      <c r="K529" s="67"/>
      <c r="L529" s="29"/>
      <c r="M529" s="81">
        <f>M214+M218</f>
        <v>123.86099999999999</v>
      </c>
      <c r="N529" s="78">
        <f t="shared" si="58"/>
        <v>37.820650000000001</v>
      </c>
      <c r="O529" s="78">
        <f t="shared" si="58"/>
        <v>44.854599999999998</v>
      </c>
      <c r="P529" s="78">
        <f t="shared" si="58"/>
        <v>44.640950000000004</v>
      </c>
      <c r="Q529" s="66"/>
      <c r="R529" s="66"/>
      <c r="S529" s="67"/>
      <c r="U529" s="82"/>
      <c r="V529" s="83"/>
      <c r="W529" s="84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5">
        <f>E211+E215+E219</f>
        <v>1316.451</v>
      </c>
      <c r="F530" s="75">
        <f t="shared" ref="F530:H533" si="59">AVERAGE(F211,F215,F219)</f>
        <v>41.878166666666665</v>
      </c>
      <c r="G530" s="75">
        <f t="shared" si="59"/>
        <v>47.957566666666672</v>
      </c>
      <c r="H530" s="75">
        <f t="shared" si="59"/>
        <v>47.440633333333331</v>
      </c>
      <c r="I530" s="76"/>
      <c r="J530" s="76"/>
      <c r="K530" s="77"/>
      <c r="L530" s="29"/>
      <c r="M530" s="75">
        <f>M211+M215+M219</f>
        <v>1316.3899999999999</v>
      </c>
      <c r="N530" s="75">
        <f t="shared" ref="N530:P533" si="60">AVERAGE(N211,N215,N219)</f>
        <v>41.878166666666665</v>
      </c>
      <c r="O530" s="75">
        <f t="shared" si="60"/>
        <v>47.957566666666672</v>
      </c>
      <c r="P530" s="75">
        <f t="shared" si="60"/>
        <v>47.440633333333331</v>
      </c>
      <c r="Q530" s="76"/>
      <c r="R530" s="76"/>
      <c r="S530" s="77"/>
      <c r="U530" s="8">
        <f>bdrate($E530:$E533,F530:F533,$M530:$M533,N530:N533)</f>
        <v>-2.0805607016860517E-4</v>
      </c>
      <c r="V530" s="9">
        <f>bdrate($E530:$E533,G530:G533,$M530:$M533,O530:O533)</f>
        <v>-1.8562845958569607E-4</v>
      </c>
      <c r="W530" s="10">
        <f>bdrate($E530:$E533,H530:H533,$M530:$M533,P530:P533)</f>
        <v>-1.87389366906765E-4</v>
      </c>
      <c r="Y530" s="59"/>
      <c r="Z530" s="59"/>
      <c r="AA530" s="59"/>
      <c r="AB530" s="24"/>
      <c r="AC530" s="24"/>
    </row>
    <row r="531" spans="2:29">
      <c r="B531" s="29"/>
      <c r="C531" s="29"/>
      <c r="D531" s="32">
        <v>30</v>
      </c>
      <c r="E531" s="68">
        <f>E212+E216+E220</f>
        <v>538.40600000000006</v>
      </c>
      <c r="F531" s="68">
        <f t="shared" si="59"/>
        <v>40.910233333333331</v>
      </c>
      <c r="G531" s="68">
        <f t="shared" si="59"/>
        <v>46.96156666666667</v>
      </c>
      <c r="H531" s="68">
        <f t="shared" si="59"/>
        <v>46.464966666666669</v>
      </c>
      <c r="I531" s="64"/>
      <c r="J531" s="64"/>
      <c r="K531" s="65"/>
      <c r="L531" s="29"/>
      <c r="M531" s="68">
        <f>M212+M216+M220</f>
        <v>538.34500000000003</v>
      </c>
      <c r="N531" s="68">
        <f t="shared" si="60"/>
        <v>40.910233333333331</v>
      </c>
      <c r="O531" s="68">
        <f t="shared" si="60"/>
        <v>46.96156666666667</v>
      </c>
      <c r="P531" s="68">
        <f t="shared" si="60"/>
        <v>46.464966666666669</v>
      </c>
      <c r="Q531" s="64"/>
      <c r="R531" s="64"/>
      <c r="S531" s="65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68">
        <f>E213+E217+E221</f>
        <v>272.96300000000002</v>
      </c>
      <c r="F532" s="68">
        <f t="shared" si="59"/>
        <v>39.519233333333339</v>
      </c>
      <c r="G532" s="68">
        <f t="shared" si="59"/>
        <v>45.786366666666673</v>
      </c>
      <c r="H532" s="68">
        <f t="shared" si="59"/>
        <v>45.347866666666668</v>
      </c>
      <c r="I532" s="64"/>
      <c r="J532" s="64"/>
      <c r="K532" s="65"/>
      <c r="L532" s="29"/>
      <c r="M532" s="68">
        <f>M213+M217+M221</f>
        <v>272.90199999999999</v>
      </c>
      <c r="N532" s="68">
        <f t="shared" si="60"/>
        <v>39.519233333333339</v>
      </c>
      <c r="O532" s="68">
        <f t="shared" si="60"/>
        <v>45.786366666666673</v>
      </c>
      <c r="P532" s="68">
        <f t="shared" si="60"/>
        <v>45.347866666666668</v>
      </c>
      <c r="Q532" s="64"/>
      <c r="R532" s="64"/>
      <c r="S532" s="65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1"/>
      <c r="D533" s="69">
        <v>40</v>
      </c>
      <c r="E533" s="78">
        <f>E214+E218+E222</f>
        <v>149.41200000000001</v>
      </c>
      <c r="F533" s="78">
        <f t="shared" si="59"/>
        <v>37.770166666666661</v>
      </c>
      <c r="G533" s="78">
        <f t="shared" si="59"/>
        <v>44.705300000000001</v>
      </c>
      <c r="H533" s="78">
        <f t="shared" si="59"/>
        <v>44.254700000000007</v>
      </c>
      <c r="I533" s="66"/>
      <c r="J533" s="66"/>
      <c r="K533" s="67"/>
      <c r="L533" s="29"/>
      <c r="M533" s="78">
        <f>M214+M218+M222</f>
        <v>149.351</v>
      </c>
      <c r="N533" s="78">
        <f t="shared" si="60"/>
        <v>37.770166666666661</v>
      </c>
      <c r="O533" s="78">
        <f t="shared" si="60"/>
        <v>44.705300000000001</v>
      </c>
      <c r="P533" s="78">
        <f t="shared" si="60"/>
        <v>44.254700000000007</v>
      </c>
      <c r="Q533" s="66"/>
      <c r="R533" s="66"/>
      <c r="S533" s="67"/>
      <c r="U533" s="82"/>
      <c r="V533" s="83"/>
      <c r="W533" s="84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5">
        <f>E211+E215+E223+E227</f>
        <v>1181.559</v>
      </c>
      <c r="F534" s="75">
        <f t="shared" ref="F534:H537" si="61">AVERAGE(F235,F239,F243)</f>
        <v>43.209399999999995</v>
      </c>
      <c r="G534" s="75">
        <f t="shared" si="61"/>
        <v>48.830933333333327</v>
      </c>
      <c r="H534" s="75">
        <f t="shared" si="61"/>
        <v>48.190100000000001</v>
      </c>
      <c r="I534" s="76"/>
      <c r="J534" s="76"/>
      <c r="K534" s="77"/>
      <c r="L534" s="29"/>
      <c r="M534" s="75">
        <f>M211+M215+M223+M227</f>
        <v>1181.518</v>
      </c>
      <c r="N534" s="75">
        <f t="shared" ref="N534:P537" si="62">AVERAGE(N235,N239,N243)</f>
        <v>43.209399999999995</v>
      </c>
      <c r="O534" s="75">
        <f t="shared" si="62"/>
        <v>48.830933333333327</v>
      </c>
      <c r="P534" s="75">
        <f t="shared" si="62"/>
        <v>48.190100000000001</v>
      </c>
      <c r="Q534" s="76"/>
      <c r="R534" s="76"/>
      <c r="S534" s="77"/>
      <c r="U534" s="8">
        <f>bdrate($E534:$E537,F534:F537,$M534:$M537,N534:N537)</f>
        <v>-1.4931815615948363E-4</v>
      </c>
      <c r="V534" s="9">
        <f>bdrate($E534:$E537,G534:G537,$M534:$M537,O534:O537)</f>
        <v>-1.3401658605027844E-4</v>
      </c>
      <c r="W534" s="10">
        <f>bdrate($E534:$E537,H534:H537,$M534:$M537,P534:P537)</f>
        <v>-1.4156643755736109E-4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68">
        <f>E212+E216+E224+E228</f>
        <v>491.18400000000003</v>
      </c>
      <c r="F535" s="68">
        <f t="shared" si="61"/>
        <v>42.000399999999999</v>
      </c>
      <c r="G535" s="68">
        <f t="shared" si="61"/>
        <v>47.723800000000004</v>
      </c>
      <c r="H535" s="68">
        <f t="shared" si="61"/>
        <v>47.314699999999995</v>
      </c>
      <c r="I535" s="64"/>
      <c r="J535" s="64"/>
      <c r="K535" s="65"/>
      <c r="L535" s="29"/>
      <c r="M535" s="68">
        <f>M212+M216+M224+M228</f>
        <v>491.14299999999997</v>
      </c>
      <c r="N535" s="68">
        <f t="shared" si="62"/>
        <v>42.000399999999999</v>
      </c>
      <c r="O535" s="68">
        <f t="shared" si="62"/>
        <v>47.723800000000004</v>
      </c>
      <c r="P535" s="68">
        <f t="shared" si="62"/>
        <v>47.314699999999995</v>
      </c>
      <c r="Q535" s="64"/>
      <c r="R535" s="64"/>
      <c r="S535" s="65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68">
        <f>E213+E217+E225+E229</f>
        <v>249.55800000000002</v>
      </c>
      <c r="F536" s="68">
        <f t="shared" si="61"/>
        <v>40.378866666666667</v>
      </c>
      <c r="G536" s="68">
        <f t="shared" si="61"/>
        <v>46.379300000000001</v>
      </c>
      <c r="H536" s="68">
        <f t="shared" si="61"/>
        <v>46.103233333333343</v>
      </c>
      <c r="I536" s="64"/>
      <c r="J536" s="64"/>
      <c r="K536" s="65"/>
      <c r="L536" s="29"/>
      <c r="M536" s="68">
        <f>M213+M217+M225+M229</f>
        <v>249.51700000000002</v>
      </c>
      <c r="N536" s="68">
        <f t="shared" si="62"/>
        <v>40.378866666666667</v>
      </c>
      <c r="O536" s="68">
        <f t="shared" si="62"/>
        <v>46.379300000000001</v>
      </c>
      <c r="P536" s="68">
        <f t="shared" si="62"/>
        <v>46.103233333333343</v>
      </c>
      <c r="Q536" s="64"/>
      <c r="R536" s="64"/>
      <c r="S536" s="65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1"/>
      <c r="D537" s="69">
        <v>40</v>
      </c>
      <c r="E537" s="78">
        <f>E214+E218+E226+E230</f>
        <v>137.83600000000001</v>
      </c>
      <c r="F537" s="78">
        <f t="shared" si="61"/>
        <v>38.422499999999999</v>
      </c>
      <c r="G537" s="78">
        <f t="shared" si="61"/>
        <v>45.251066666666667</v>
      </c>
      <c r="H537" s="78">
        <f t="shared" si="61"/>
        <v>44.951799999999999</v>
      </c>
      <c r="I537" s="66"/>
      <c r="J537" s="66"/>
      <c r="K537" s="67"/>
      <c r="L537" s="29"/>
      <c r="M537" s="78">
        <f>M214+M218+M226+M230</f>
        <v>137.79500000000002</v>
      </c>
      <c r="N537" s="78">
        <f t="shared" si="62"/>
        <v>38.422499999999999</v>
      </c>
      <c r="O537" s="78">
        <f t="shared" si="62"/>
        <v>45.251066666666667</v>
      </c>
      <c r="P537" s="78">
        <f t="shared" si="62"/>
        <v>44.951799999999999</v>
      </c>
      <c r="Q537" s="66"/>
      <c r="R537" s="66"/>
      <c r="S537" s="67"/>
      <c r="U537" s="82"/>
      <c r="V537" s="83"/>
      <c r="W537" s="84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5">
        <f>E259</f>
        <v>1494.8430000000001</v>
      </c>
      <c r="F538" s="75">
        <f t="shared" ref="F538:H541" si="63">AVERAGE(F235,F239,F243,F247,F251,F255)</f>
        <v>43.260183333333337</v>
      </c>
      <c r="G538" s="75">
        <f t="shared" si="63"/>
        <v>48.670766666666658</v>
      </c>
      <c r="H538" s="75">
        <f t="shared" si="63"/>
        <v>48.488033333333334</v>
      </c>
      <c r="I538" s="76"/>
      <c r="J538" s="76"/>
      <c r="K538" s="77"/>
      <c r="L538" s="29"/>
      <c r="M538" s="75">
        <f>M259</f>
        <v>1494.7819999999999</v>
      </c>
      <c r="N538" s="75">
        <f t="shared" ref="N538:P541" si="64">AVERAGE(N235,N239,N243,N247,N251,N255)</f>
        <v>43.260183333333337</v>
      </c>
      <c r="O538" s="75">
        <f t="shared" si="64"/>
        <v>48.670766666666658</v>
      </c>
      <c r="P538" s="75">
        <f t="shared" si="64"/>
        <v>48.488033333333334</v>
      </c>
      <c r="Q538" s="76"/>
      <c r="R538" s="76"/>
      <c r="S538" s="77"/>
      <c r="U538" s="8">
        <f>bdrate($E538:$E541,F538:F541,$M538:$M541,N538:N541)</f>
        <v>-1.7779472665646612E-4</v>
      </c>
      <c r="V538" s="9">
        <f>bdrate($E538:$E541,G538:G541,$M538:$M541,O538:O541)</f>
        <v>-1.6061255860633228E-4</v>
      </c>
      <c r="W538" s="10">
        <f>bdrate($E538:$E541,H538:H541,$M538:$M541,P538:P541)</f>
        <v>-1.6617403997265523E-4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68">
        <f>E260</f>
        <v>612.40200000000004</v>
      </c>
      <c r="F539" s="68">
        <f t="shared" si="63"/>
        <v>42.069049999999997</v>
      </c>
      <c r="G539" s="68">
        <f t="shared" si="63"/>
        <v>47.595750000000002</v>
      </c>
      <c r="H539" s="68">
        <f t="shared" si="63"/>
        <v>47.516833333333331</v>
      </c>
      <c r="I539" s="64"/>
      <c r="J539" s="64"/>
      <c r="K539" s="65"/>
      <c r="L539" s="29"/>
      <c r="M539" s="68">
        <f>M260</f>
        <v>612.34100000000001</v>
      </c>
      <c r="N539" s="68">
        <f t="shared" si="64"/>
        <v>42.069049999999997</v>
      </c>
      <c r="O539" s="68">
        <f t="shared" si="64"/>
        <v>47.595750000000002</v>
      </c>
      <c r="P539" s="68">
        <f t="shared" si="64"/>
        <v>47.516833333333331</v>
      </c>
      <c r="Q539" s="64"/>
      <c r="R539" s="64"/>
      <c r="S539" s="65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68">
        <f>E261</f>
        <v>311.62</v>
      </c>
      <c r="F540" s="68">
        <f t="shared" si="63"/>
        <v>40.460783333333332</v>
      </c>
      <c r="G540" s="68">
        <f t="shared" si="63"/>
        <v>46.313600000000001</v>
      </c>
      <c r="H540" s="68">
        <f t="shared" si="63"/>
        <v>46.297733333333333</v>
      </c>
      <c r="I540" s="64"/>
      <c r="J540" s="64"/>
      <c r="K540" s="65"/>
      <c r="L540" s="29"/>
      <c r="M540" s="68">
        <f>M261</f>
        <v>311.55900000000003</v>
      </c>
      <c r="N540" s="68">
        <f t="shared" si="64"/>
        <v>40.460783333333332</v>
      </c>
      <c r="O540" s="68">
        <f t="shared" si="64"/>
        <v>46.313600000000001</v>
      </c>
      <c r="P540" s="68">
        <f t="shared" si="64"/>
        <v>46.297733333333333</v>
      </c>
      <c r="Q540" s="64"/>
      <c r="R540" s="64"/>
      <c r="S540" s="65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1"/>
      <c r="D541" s="69">
        <v>40</v>
      </c>
      <c r="E541" s="78">
        <f>E262</f>
        <v>173.309</v>
      </c>
      <c r="F541" s="78">
        <f t="shared" si="63"/>
        <v>38.517833333333336</v>
      </c>
      <c r="G541" s="78">
        <f t="shared" si="63"/>
        <v>45.186733333333336</v>
      </c>
      <c r="H541" s="78">
        <f t="shared" si="63"/>
        <v>45.115416666666668</v>
      </c>
      <c r="I541" s="66"/>
      <c r="J541" s="66"/>
      <c r="K541" s="67"/>
      <c r="L541" s="29"/>
      <c r="M541" s="78">
        <f>M262</f>
        <v>173.24799999999999</v>
      </c>
      <c r="N541" s="78">
        <f t="shared" si="64"/>
        <v>38.517833333333336</v>
      </c>
      <c r="O541" s="78">
        <f t="shared" si="64"/>
        <v>45.186733333333336</v>
      </c>
      <c r="P541" s="78">
        <f t="shared" si="64"/>
        <v>45.115416666666668</v>
      </c>
      <c r="Q541" s="66"/>
      <c r="R541" s="66"/>
      <c r="S541" s="67"/>
      <c r="U541" s="82"/>
      <c r="V541" s="83"/>
      <c r="W541" s="84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5">
        <f t="shared" ref="E542:E549" si="65">E534</f>
        <v>1181.559</v>
      </c>
      <c r="F542" s="75">
        <f t="shared" ref="F542:H545" si="66">AVERAGE(F211,F215,F235,F239,F243)</f>
        <v>42.715559999999996</v>
      </c>
      <c r="G542" s="75">
        <f t="shared" si="66"/>
        <v>48.621420000000001</v>
      </c>
      <c r="H542" s="75">
        <f t="shared" si="66"/>
        <v>48.044280000000001</v>
      </c>
      <c r="I542" s="76"/>
      <c r="J542" s="76"/>
      <c r="K542" s="77"/>
      <c r="L542" s="29"/>
      <c r="M542" s="75">
        <f t="shared" ref="M542:M549" si="67">M534</f>
        <v>1181.518</v>
      </c>
      <c r="N542" s="75">
        <f t="shared" ref="N542:P545" si="68">AVERAGE(N211,N215,N235,N239,N243)</f>
        <v>42.715559999999996</v>
      </c>
      <c r="O542" s="75">
        <f t="shared" si="68"/>
        <v>48.621420000000001</v>
      </c>
      <c r="P542" s="75">
        <f t="shared" si="68"/>
        <v>48.044280000000001</v>
      </c>
      <c r="Q542" s="76"/>
      <c r="R542" s="76"/>
      <c r="S542" s="77"/>
      <c r="U542" s="8">
        <f>bdrate($E542:$E545,F542:F545,$M542:$M545,N542:N545)</f>
        <v>-1.5042901587247748E-4</v>
      </c>
      <c r="V542" s="9">
        <f>bdrate($E542:$E545,G542:G545,$M542:$M545,O542:O545)</f>
        <v>-1.3485211138797304E-4</v>
      </c>
      <c r="W542" s="10">
        <f>bdrate($E542:$E545,H542:H545,$M542:$M545,P542:P545)</f>
        <v>-1.4063134158925905E-4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68">
        <f t="shared" si="65"/>
        <v>491.18400000000003</v>
      </c>
      <c r="F543" s="68">
        <f t="shared" si="66"/>
        <v>41.596939999999996</v>
      </c>
      <c r="G543" s="68">
        <f t="shared" si="66"/>
        <v>47.547259999999994</v>
      </c>
      <c r="H543" s="68">
        <f t="shared" si="66"/>
        <v>47.160820000000001</v>
      </c>
      <c r="I543" s="64"/>
      <c r="J543" s="64"/>
      <c r="K543" s="65"/>
      <c r="L543" s="29"/>
      <c r="M543" s="68">
        <f t="shared" si="67"/>
        <v>491.14299999999997</v>
      </c>
      <c r="N543" s="68">
        <f t="shared" si="68"/>
        <v>41.596939999999996</v>
      </c>
      <c r="O543" s="68">
        <f t="shared" si="68"/>
        <v>47.547259999999994</v>
      </c>
      <c r="P543" s="68">
        <f t="shared" si="68"/>
        <v>47.160820000000001</v>
      </c>
      <c r="Q543" s="64"/>
      <c r="R543" s="64"/>
      <c r="S543" s="65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68">
        <f t="shared" si="65"/>
        <v>249.55800000000002</v>
      </c>
      <c r="F544" s="68">
        <f t="shared" si="66"/>
        <v>40.060559999999995</v>
      </c>
      <c r="G544" s="68">
        <f t="shared" si="66"/>
        <v>46.219260000000006</v>
      </c>
      <c r="H544" s="68">
        <f t="shared" si="66"/>
        <v>45.954240000000006</v>
      </c>
      <c r="I544" s="64"/>
      <c r="J544" s="64"/>
      <c r="K544" s="65"/>
      <c r="L544" s="29"/>
      <c r="M544" s="68">
        <f t="shared" si="67"/>
        <v>249.51700000000002</v>
      </c>
      <c r="N544" s="68">
        <f t="shared" si="68"/>
        <v>40.060559999999995</v>
      </c>
      <c r="O544" s="68">
        <f t="shared" si="68"/>
        <v>46.219260000000006</v>
      </c>
      <c r="P544" s="68">
        <f t="shared" si="68"/>
        <v>45.954240000000006</v>
      </c>
      <c r="Q544" s="64"/>
      <c r="R544" s="64"/>
      <c r="S544" s="65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1"/>
      <c r="D545" s="69">
        <v>40</v>
      </c>
      <c r="E545" s="78">
        <f t="shared" si="65"/>
        <v>137.83600000000001</v>
      </c>
      <c r="F545" s="78">
        <f t="shared" si="66"/>
        <v>38.181759999999997</v>
      </c>
      <c r="G545" s="78">
        <f t="shared" si="66"/>
        <v>45.092480000000002</v>
      </c>
      <c r="H545" s="78">
        <f t="shared" si="66"/>
        <v>44.827460000000002</v>
      </c>
      <c r="I545" s="66"/>
      <c r="J545" s="66"/>
      <c r="K545" s="67"/>
      <c r="L545" s="29"/>
      <c r="M545" s="78">
        <f t="shared" si="67"/>
        <v>137.79500000000002</v>
      </c>
      <c r="N545" s="78">
        <f t="shared" si="68"/>
        <v>38.181759999999997</v>
      </c>
      <c r="O545" s="78">
        <f t="shared" si="68"/>
        <v>45.092480000000002</v>
      </c>
      <c r="P545" s="78">
        <f t="shared" si="68"/>
        <v>44.827460000000002</v>
      </c>
      <c r="Q545" s="66"/>
      <c r="R545" s="66"/>
      <c r="S545" s="67"/>
      <c r="U545" s="82"/>
      <c r="V545" s="83"/>
      <c r="W545" s="84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5">
        <f t="shared" si="65"/>
        <v>1494.8430000000001</v>
      </c>
      <c r="F546" s="75">
        <f t="shared" ref="F546:H549" si="69">AVERAGE(F211,F215,F219,F235,F239,F243,F247,F251,F255)</f>
        <v>42.799511111111116</v>
      </c>
      <c r="G546" s="75">
        <f t="shared" si="69"/>
        <v>48.433033333333327</v>
      </c>
      <c r="H546" s="75">
        <f t="shared" si="69"/>
        <v>48.138900000000007</v>
      </c>
      <c r="I546" s="76"/>
      <c r="J546" s="76"/>
      <c r="K546" s="77"/>
      <c r="L546" s="29"/>
      <c r="M546" s="75">
        <f t="shared" si="67"/>
        <v>1494.7819999999999</v>
      </c>
      <c r="N546" s="75">
        <f t="shared" ref="N546:P549" si="70">AVERAGE(N211,N215,N219,N235,N239,N243,N247,N251,N255)</f>
        <v>42.799511111111116</v>
      </c>
      <c r="O546" s="75">
        <f t="shared" si="70"/>
        <v>48.433033333333327</v>
      </c>
      <c r="P546" s="75">
        <f t="shared" si="70"/>
        <v>48.138900000000007</v>
      </c>
      <c r="Q546" s="76"/>
      <c r="R546" s="76"/>
      <c r="S546" s="77"/>
      <c r="U546" s="8">
        <f>bdrate($E546:$E549,F546:F549,$M546:$M549,N546:N549)</f>
        <v>-1.7889556920869243E-4</v>
      </c>
      <c r="V546" s="9">
        <f>bdrate($E546:$E549,G546:G549,$M546:$M549,O546:O549)</f>
        <v>-1.6107354157179898E-4</v>
      </c>
      <c r="W546" s="10">
        <f>bdrate($E546:$E549,H546:H549,$M546:$M549,P546:P549)</f>
        <v>-1.6534197689266339E-4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68">
        <f t="shared" si="65"/>
        <v>612.40200000000004</v>
      </c>
      <c r="F547" s="68">
        <f t="shared" si="69"/>
        <v>41.682777777777773</v>
      </c>
      <c r="G547" s="68">
        <f t="shared" si="69"/>
        <v>47.384355555555558</v>
      </c>
      <c r="H547" s="68">
        <f t="shared" si="69"/>
        <v>47.16621111111111</v>
      </c>
      <c r="I547" s="64"/>
      <c r="J547" s="64"/>
      <c r="K547" s="65"/>
      <c r="L547" s="29"/>
      <c r="M547" s="68">
        <f t="shared" si="67"/>
        <v>612.34100000000001</v>
      </c>
      <c r="N547" s="68">
        <f t="shared" si="70"/>
        <v>41.682777777777773</v>
      </c>
      <c r="O547" s="68">
        <f t="shared" si="70"/>
        <v>47.384355555555558</v>
      </c>
      <c r="P547" s="68">
        <f t="shared" si="70"/>
        <v>47.16621111111111</v>
      </c>
      <c r="Q547" s="64"/>
      <c r="R547" s="64"/>
      <c r="S547" s="65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68">
        <f t="shared" si="65"/>
        <v>311.62</v>
      </c>
      <c r="F548" s="68">
        <f t="shared" si="69"/>
        <v>40.146933333333337</v>
      </c>
      <c r="G548" s="68">
        <f t="shared" si="69"/>
        <v>46.137855555555561</v>
      </c>
      <c r="H548" s="68">
        <f t="shared" si="69"/>
        <v>45.981111111111112</v>
      </c>
      <c r="I548" s="64"/>
      <c r="J548" s="64"/>
      <c r="K548" s="65"/>
      <c r="L548" s="29"/>
      <c r="M548" s="68">
        <f t="shared" si="67"/>
        <v>311.55900000000003</v>
      </c>
      <c r="N548" s="68">
        <f t="shared" si="70"/>
        <v>40.146933333333337</v>
      </c>
      <c r="O548" s="68">
        <f t="shared" si="70"/>
        <v>46.137855555555561</v>
      </c>
      <c r="P548" s="68">
        <f t="shared" si="70"/>
        <v>45.981111111111112</v>
      </c>
      <c r="Q548" s="64"/>
      <c r="R548" s="64"/>
      <c r="S548" s="65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1"/>
      <c r="C549" s="51"/>
      <c r="D549" s="69">
        <v>40</v>
      </c>
      <c r="E549" s="78">
        <f t="shared" si="65"/>
        <v>173.309</v>
      </c>
      <c r="F549" s="78">
        <f t="shared" si="69"/>
        <v>38.268611111111106</v>
      </c>
      <c r="G549" s="78">
        <f t="shared" si="69"/>
        <v>45.026255555555558</v>
      </c>
      <c r="H549" s="78">
        <f t="shared" si="69"/>
        <v>44.828511111111112</v>
      </c>
      <c r="I549" s="66"/>
      <c r="J549" s="66"/>
      <c r="K549" s="67"/>
      <c r="L549" s="29"/>
      <c r="M549" s="78">
        <f t="shared" si="67"/>
        <v>173.24799999999999</v>
      </c>
      <c r="N549" s="78">
        <f t="shared" si="70"/>
        <v>38.268611111111106</v>
      </c>
      <c r="O549" s="78">
        <f t="shared" si="70"/>
        <v>45.026255555555558</v>
      </c>
      <c r="P549" s="78">
        <f t="shared" si="70"/>
        <v>44.828511111111112</v>
      </c>
      <c r="Q549" s="66"/>
      <c r="R549" s="66"/>
      <c r="S549" s="67"/>
      <c r="U549" s="82"/>
      <c r="V549" s="83"/>
      <c r="W549" s="84"/>
      <c r="Y549" s="59"/>
      <c r="Z549" s="59"/>
      <c r="AA549" s="59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5">
        <f>E263+E267</f>
        <v>3141.8832000000002</v>
      </c>
      <c r="F550" s="75">
        <f t="shared" ref="F550:H553" si="71">AVERAGE(F263,F267)</f>
        <v>39.421999999999997</v>
      </c>
      <c r="G550" s="75">
        <f t="shared" si="71"/>
        <v>46.673699999999997</v>
      </c>
      <c r="H550" s="75">
        <f t="shared" si="71"/>
        <v>45.380800000000001</v>
      </c>
      <c r="I550" s="76"/>
      <c r="J550" s="76"/>
      <c r="K550" s="77"/>
      <c r="L550" s="29"/>
      <c r="M550" s="79">
        <f>M263+M267</f>
        <v>3141.8824000000004</v>
      </c>
      <c r="N550" s="75">
        <f t="shared" ref="N550:P553" si="72">AVERAGE(N263,N267)</f>
        <v>39.421999999999997</v>
      </c>
      <c r="O550" s="75">
        <f t="shared" si="72"/>
        <v>46.673699999999997</v>
      </c>
      <c r="P550" s="75">
        <f t="shared" si="72"/>
        <v>45.380800000000001</v>
      </c>
      <c r="Q550" s="76"/>
      <c r="R550" s="76"/>
      <c r="S550" s="77"/>
      <c r="U550" s="8">
        <f>bdrate($E550:$E553,F550:F553,$M550:$M553,N550:N553)</f>
        <v>-1.2396821260640678E-6</v>
      </c>
      <c r="V550" s="9">
        <f>bdrate($E550:$E553,G550:G553,$M550:$M553,O550:O553)</f>
        <v>-1.1521698753957921E-6</v>
      </c>
      <c r="W550" s="10">
        <f>bdrate($E550:$E553,H550:H553,$M550:$M553,P550:P553)</f>
        <v>-1.0973611865860988E-6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68">
        <f>E264+E268</f>
        <v>1151.672</v>
      </c>
      <c r="F551" s="68">
        <f t="shared" si="71"/>
        <v>37.517449999999997</v>
      </c>
      <c r="G551" s="68">
        <f t="shared" si="71"/>
        <v>45.233849999999997</v>
      </c>
      <c r="H551" s="68">
        <f t="shared" si="71"/>
        <v>43.825800000000001</v>
      </c>
      <c r="I551" s="64"/>
      <c r="J551" s="64"/>
      <c r="K551" s="65"/>
      <c r="L551" s="29"/>
      <c r="M551" s="80">
        <f>M264+M268</f>
        <v>1151.6712</v>
      </c>
      <c r="N551" s="68">
        <f t="shared" si="72"/>
        <v>37.517449999999997</v>
      </c>
      <c r="O551" s="68">
        <f t="shared" si="72"/>
        <v>45.233849999999997</v>
      </c>
      <c r="P551" s="68">
        <f t="shared" si="72"/>
        <v>43.825800000000001</v>
      </c>
      <c r="Q551" s="64"/>
      <c r="R551" s="64"/>
      <c r="S551" s="65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68">
        <f>E265+E269</f>
        <v>536.99759999999992</v>
      </c>
      <c r="F552" s="68">
        <f t="shared" si="71"/>
        <v>35.560050000000004</v>
      </c>
      <c r="G552" s="68">
        <f t="shared" si="71"/>
        <v>43.6158</v>
      </c>
      <c r="H552" s="68">
        <f t="shared" si="71"/>
        <v>42.322400000000002</v>
      </c>
      <c r="I552" s="64"/>
      <c r="J552" s="64"/>
      <c r="K552" s="65"/>
      <c r="L552" s="29"/>
      <c r="M552" s="80">
        <f>M265+M269</f>
        <v>536.99680000000001</v>
      </c>
      <c r="N552" s="68">
        <f t="shared" si="72"/>
        <v>35.560050000000004</v>
      </c>
      <c r="O552" s="68">
        <f t="shared" si="72"/>
        <v>43.6158</v>
      </c>
      <c r="P552" s="68">
        <f t="shared" si="72"/>
        <v>42.322400000000002</v>
      </c>
      <c r="Q552" s="64"/>
      <c r="R552" s="64"/>
      <c r="S552" s="65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1"/>
      <c r="D553" s="69">
        <v>40</v>
      </c>
      <c r="E553" s="78">
        <f>E266+E270</f>
        <v>274.35199999999998</v>
      </c>
      <c r="F553" s="78">
        <f t="shared" si="71"/>
        <v>33.510899999999999</v>
      </c>
      <c r="G553" s="78">
        <f t="shared" si="71"/>
        <v>42.405850000000001</v>
      </c>
      <c r="H553" s="78">
        <f t="shared" si="71"/>
        <v>41.2455</v>
      </c>
      <c r="I553" s="66"/>
      <c r="J553" s="66"/>
      <c r="K553" s="67"/>
      <c r="L553" s="29"/>
      <c r="M553" s="81">
        <f>M266+M270</f>
        <v>274.35120000000001</v>
      </c>
      <c r="N553" s="78">
        <f t="shared" si="72"/>
        <v>33.510899999999999</v>
      </c>
      <c r="O553" s="78">
        <f t="shared" si="72"/>
        <v>42.405850000000001</v>
      </c>
      <c r="P553" s="78">
        <f t="shared" si="72"/>
        <v>41.2455</v>
      </c>
      <c r="Q553" s="66"/>
      <c r="R553" s="66"/>
      <c r="S553" s="67"/>
      <c r="U553" s="82"/>
      <c r="V553" s="83"/>
      <c r="W553" s="84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5">
        <f>E263+E267+E271</f>
        <v>3833.3008</v>
      </c>
      <c r="F554" s="75">
        <f t="shared" ref="F554:H557" si="73">AVERAGE(F263,F267,F271)</f>
        <v>39.252766666666666</v>
      </c>
      <c r="G554" s="75">
        <f t="shared" si="73"/>
        <v>46.589199999999998</v>
      </c>
      <c r="H554" s="75">
        <f t="shared" si="73"/>
        <v>45.629199999999997</v>
      </c>
      <c r="I554" s="76"/>
      <c r="J554" s="76"/>
      <c r="K554" s="77"/>
      <c r="L554" s="29"/>
      <c r="M554" s="75">
        <f>M263+M267+M271</f>
        <v>3833.3</v>
      </c>
      <c r="N554" s="75">
        <f t="shared" ref="N554:P557" si="74">AVERAGE(N263,N267,N271)</f>
        <v>39.252766666666666</v>
      </c>
      <c r="O554" s="75">
        <f t="shared" si="74"/>
        <v>46.589199999999998</v>
      </c>
      <c r="P554" s="75">
        <f t="shared" si="74"/>
        <v>45.629199999999997</v>
      </c>
      <c r="Q554" s="76"/>
      <c r="R554" s="76"/>
      <c r="S554" s="77"/>
      <c r="U554" s="8">
        <f>bdrate($E554:$E557,F554:F557,$M554:$M557,N554:N557)</f>
        <v>-1.0850472325074634E-6</v>
      </c>
      <c r="V554" s="9">
        <f>bdrate($E554:$E557,G554:G557,$M554:$M557,O554:O557)</f>
        <v>-1.0086625206184863E-6</v>
      </c>
      <c r="W554" s="10">
        <f>bdrate($E554:$E557,H554:H557,$M554:$M557,P554:P557)</f>
        <v>-9.7869526372029725E-7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68">
        <f>E264+E268+E272</f>
        <v>1344.6704</v>
      </c>
      <c r="F555" s="68">
        <f t="shared" si="73"/>
        <v>37.327466666666659</v>
      </c>
      <c r="G555" s="68">
        <f t="shared" si="73"/>
        <v>45.153533333333336</v>
      </c>
      <c r="H555" s="68">
        <f t="shared" si="73"/>
        <v>44.124500000000005</v>
      </c>
      <c r="I555" s="64"/>
      <c r="J555" s="64"/>
      <c r="K555" s="65"/>
      <c r="L555" s="29"/>
      <c r="M555" s="68">
        <f>M264+M268+M272</f>
        <v>1344.6695999999999</v>
      </c>
      <c r="N555" s="68">
        <f t="shared" si="74"/>
        <v>37.327466666666659</v>
      </c>
      <c r="O555" s="68">
        <f t="shared" si="74"/>
        <v>45.153533333333336</v>
      </c>
      <c r="P555" s="68">
        <f t="shared" si="74"/>
        <v>44.124500000000005</v>
      </c>
      <c r="Q555" s="64"/>
      <c r="R555" s="64"/>
      <c r="S555" s="65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68">
        <f>E265+E269+E273</f>
        <v>610.6167999999999</v>
      </c>
      <c r="F556" s="68">
        <f t="shared" si="73"/>
        <v>35.36376666666667</v>
      </c>
      <c r="G556" s="68">
        <f t="shared" si="73"/>
        <v>43.57116666666667</v>
      </c>
      <c r="H556" s="68">
        <f t="shared" si="73"/>
        <v>42.5899</v>
      </c>
      <c r="I556" s="64"/>
      <c r="J556" s="64"/>
      <c r="K556" s="65"/>
      <c r="L556" s="29"/>
      <c r="M556" s="68">
        <f>M265+M269+M273</f>
        <v>610.61599999999999</v>
      </c>
      <c r="N556" s="68">
        <f t="shared" si="74"/>
        <v>35.36376666666667</v>
      </c>
      <c r="O556" s="68">
        <f t="shared" si="74"/>
        <v>43.57116666666667</v>
      </c>
      <c r="P556" s="68">
        <f t="shared" si="74"/>
        <v>42.5899</v>
      </c>
      <c r="Q556" s="64"/>
      <c r="R556" s="64"/>
      <c r="S556" s="65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1"/>
      <c r="D557" s="69">
        <v>40</v>
      </c>
      <c r="E557" s="78">
        <f>E266+E270+E274</f>
        <v>305.75279999999998</v>
      </c>
      <c r="F557" s="78">
        <f t="shared" si="73"/>
        <v>33.323233333333327</v>
      </c>
      <c r="G557" s="78">
        <f t="shared" si="73"/>
        <v>42.373566666666669</v>
      </c>
      <c r="H557" s="78">
        <f t="shared" si="73"/>
        <v>41.472299999999997</v>
      </c>
      <c r="I557" s="66"/>
      <c r="J557" s="66"/>
      <c r="K557" s="67"/>
      <c r="L557" s="29"/>
      <c r="M557" s="78">
        <f>M266+M270+M274</f>
        <v>305.75200000000001</v>
      </c>
      <c r="N557" s="78">
        <f t="shared" si="74"/>
        <v>33.323233333333327</v>
      </c>
      <c r="O557" s="78">
        <f t="shared" si="74"/>
        <v>42.373566666666669</v>
      </c>
      <c r="P557" s="78">
        <f t="shared" si="74"/>
        <v>41.472299999999997</v>
      </c>
      <c r="Q557" s="66"/>
      <c r="R557" s="66"/>
      <c r="S557" s="67"/>
      <c r="U557" s="82"/>
      <c r="V557" s="83"/>
      <c r="W557" s="84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5">
        <f>E263+E267+E275+E279</f>
        <v>3404.3776000000003</v>
      </c>
      <c r="F558" s="75">
        <f t="shared" ref="F558:H561" si="75">AVERAGE(F287,F291,F295)</f>
        <v>40.442233333333334</v>
      </c>
      <c r="G558" s="75">
        <f t="shared" si="75"/>
        <v>47.172300000000007</v>
      </c>
      <c r="H558" s="75">
        <f t="shared" si="75"/>
        <v>46.711833333333338</v>
      </c>
      <c r="I558" s="76"/>
      <c r="J558" s="76"/>
      <c r="K558" s="77"/>
      <c r="L558" s="29"/>
      <c r="M558" s="75">
        <f>M263+M267+M275+M279</f>
        <v>3404.3768000000005</v>
      </c>
      <c r="N558" s="75">
        <f t="shared" ref="N558:P561" si="76">AVERAGE(N287,N291,N295)</f>
        <v>40.442233333333334</v>
      </c>
      <c r="O558" s="75">
        <f t="shared" si="76"/>
        <v>47.172300000000007</v>
      </c>
      <c r="P558" s="75">
        <f t="shared" si="76"/>
        <v>46.711833333333338</v>
      </c>
      <c r="Q558" s="76"/>
      <c r="R558" s="76"/>
      <c r="S558" s="77"/>
      <c r="U558" s="8">
        <f>bdrate($E558:$E561,F558:F561,$M558:$M561,N558:N561)</f>
        <v>-1.146447052513544E-6</v>
      </c>
      <c r="V558" s="9">
        <f>bdrate($E558:$E561,G558:G561,$M558:$M561,O558:O561)</f>
        <v>-1.0779249233205945E-6</v>
      </c>
      <c r="W558" s="10">
        <f>bdrate($E558:$E561,H558:H561,$M558:$M561,P558:P561)</f>
        <v>-1.0164713517557544E-6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68">
        <f>E264+E268+E276+E280</f>
        <v>1225.7872</v>
      </c>
      <c r="F559" s="68">
        <f t="shared" si="75"/>
        <v>38.247700000000002</v>
      </c>
      <c r="G559" s="68">
        <f t="shared" si="75"/>
        <v>45.613166666666665</v>
      </c>
      <c r="H559" s="68">
        <f t="shared" si="75"/>
        <v>45.005933333333331</v>
      </c>
      <c r="I559" s="64"/>
      <c r="J559" s="64"/>
      <c r="K559" s="65"/>
      <c r="L559" s="29"/>
      <c r="M559" s="68">
        <f>M264+M268+M276+M280</f>
        <v>1225.7864</v>
      </c>
      <c r="N559" s="68">
        <f t="shared" si="76"/>
        <v>38.247700000000002</v>
      </c>
      <c r="O559" s="68">
        <f t="shared" si="76"/>
        <v>45.613166666666665</v>
      </c>
      <c r="P559" s="68">
        <f t="shared" si="76"/>
        <v>45.005933333333331</v>
      </c>
      <c r="Q559" s="64"/>
      <c r="R559" s="64"/>
      <c r="S559" s="65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68">
        <f>E265+E269+E277+E281</f>
        <v>567.62</v>
      </c>
      <c r="F560" s="68">
        <f t="shared" si="75"/>
        <v>36.1267</v>
      </c>
      <c r="G560" s="68">
        <f t="shared" si="75"/>
        <v>43.959300000000006</v>
      </c>
      <c r="H560" s="68">
        <f t="shared" si="75"/>
        <v>43.424900000000001</v>
      </c>
      <c r="I560" s="64"/>
      <c r="J560" s="64"/>
      <c r="K560" s="65"/>
      <c r="L560" s="29"/>
      <c r="M560" s="68">
        <f>M265+M269+M277+M281</f>
        <v>567.61920000000009</v>
      </c>
      <c r="N560" s="68">
        <f t="shared" si="76"/>
        <v>36.1267</v>
      </c>
      <c r="O560" s="68">
        <f t="shared" si="76"/>
        <v>43.959300000000006</v>
      </c>
      <c r="P560" s="68">
        <f t="shared" si="76"/>
        <v>43.424900000000001</v>
      </c>
      <c r="Q560" s="64"/>
      <c r="R560" s="64"/>
      <c r="S560" s="65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1"/>
      <c r="D561" s="69">
        <v>40</v>
      </c>
      <c r="E561" s="78">
        <f>E266+E270+E278+E282</f>
        <v>290.3904</v>
      </c>
      <c r="F561" s="78">
        <f t="shared" si="75"/>
        <v>33.948366666666665</v>
      </c>
      <c r="G561" s="78">
        <f t="shared" si="75"/>
        <v>42.697466666666664</v>
      </c>
      <c r="H561" s="78">
        <f t="shared" si="75"/>
        <v>42.320166666666665</v>
      </c>
      <c r="I561" s="66"/>
      <c r="J561" s="66"/>
      <c r="K561" s="67"/>
      <c r="L561" s="29"/>
      <c r="M561" s="78">
        <f>M266+M270+M278+M282</f>
        <v>290.38960000000003</v>
      </c>
      <c r="N561" s="78">
        <f t="shared" si="76"/>
        <v>33.948366666666665</v>
      </c>
      <c r="O561" s="78">
        <f t="shared" si="76"/>
        <v>42.697466666666664</v>
      </c>
      <c r="P561" s="78">
        <f t="shared" si="76"/>
        <v>42.320166666666665</v>
      </c>
      <c r="Q561" s="66"/>
      <c r="R561" s="66"/>
      <c r="S561" s="67"/>
      <c r="U561" s="82"/>
      <c r="V561" s="83"/>
      <c r="W561" s="84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5">
        <f>E311</f>
        <v>4216.6495999999997</v>
      </c>
      <c r="F562" s="75">
        <f t="shared" ref="F562:H565" si="77">AVERAGE(F287,F291,F295,F299,F303,F307)</f>
        <v>40.400833333333338</v>
      </c>
      <c r="G562" s="75">
        <f t="shared" si="77"/>
        <v>47.036933333333337</v>
      </c>
      <c r="H562" s="75">
        <f t="shared" si="77"/>
        <v>46.7254</v>
      </c>
      <c r="I562" s="76"/>
      <c r="J562" s="76"/>
      <c r="K562" s="77"/>
      <c r="L562" s="29"/>
      <c r="M562" s="75">
        <f>M311</f>
        <v>4216.6487999999999</v>
      </c>
      <c r="N562" s="75">
        <f t="shared" ref="N562:P565" si="78">AVERAGE(N287,N291,N295,N299,N303,N307)</f>
        <v>40.400833333333338</v>
      </c>
      <c r="O562" s="75">
        <f t="shared" si="78"/>
        <v>47.036933333333337</v>
      </c>
      <c r="P562" s="75">
        <f t="shared" si="78"/>
        <v>46.7254</v>
      </c>
      <c r="Q562" s="76"/>
      <c r="R562" s="76"/>
      <c r="S562" s="77"/>
      <c r="U562" s="8">
        <f>bdrate($E562:$E565,F562:F565,$M562:$M565,N562:N565)</f>
        <v>-9.8612059706848498E-7</v>
      </c>
      <c r="V562" s="9">
        <f>bdrate($E562:$E565,G562:G565,$M562:$M565,O562:O565)</f>
        <v>-9.3565968251052567E-7</v>
      </c>
      <c r="W562" s="10">
        <f>bdrate($E562:$E565,H562:H565,$M562:$M565,P562:P565)</f>
        <v>-9.0325442403393907E-7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68">
        <f>E312</f>
        <v>1451.9936</v>
      </c>
      <c r="F563" s="68">
        <f t="shared" si="77"/>
        <v>38.1843</v>
      </c>
      <c r="G563" s="68">
        <f t="shared" si="77"/>
        <v>45.529266666666665</v>
      </c>
      <c r="H563" s="68">
        <f t="shared" si="77"/>
        <v>45.080899999999993</v>
      </c>
      <c r="I563" s="64"/>
      <c r="J563" s="64"/>
      <c r="K563" s="65"/>
      <c r="L563" s="29"/>
      <c r="M563" s="68">
        <f>M312</f>
        <v>1451.9928</v>
      </c>
      <c r="N563" s="68">
        <f t="shared" si="78"/>
        <v>38.1843</v>
      </c>
      <c r="O563" s="68">
        <f t="shared" si="78"/>
        <v>45.529266666666665</v>
      </c>
      <c r="P563" s="68">
        <f t="shared" si="78"/>
        <v>45.080899999999993</v>
      </c>
      <c r="Q563" s="64"/>
      <c r="R563" s="64"/>
      <c r="S563" s="65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68">
        <f>E313</f>
        <v>656.33759999999995</v>
      </c>
      <c r="F564" s="68">
        <f t="shared" si="77"/>
        <v>36.049849999999999</v>
      </c>
      <c r="G564" s="68">
        <f t="shared" si="77"/>
        <v>43.843500000000006</v>
      </c>
      <c r="H564" s="68">
        <f t="shared" si="77"/>
        <v>43.411116666666665</v>
      </c>
      <c r="I564" s="64"/>
      <c r="J564" s="64"/>
      <c r="K564" s="65"/>
      <c r="L564" s="29"/>
      <c r="M564" s="68">
        <f>M313</f>
        <v>656.33680000000004</v>
      </c>
      <c r="N564" s="68">
        <f t="shared" si="78"/>
        <v>36.049849999999999</v>
      </c>
      <c r="O564" s="68">
        <f t="shared" si="78"/>
        <v>43.843500000000006</v>
      </c>
      <c r="P564" s="68">
        <f t="shared" si="78"/>
        <v>43.411116666666665</v>
      </c>
      <c r="Q564" s="64"/>
      <c r="R564" s="64"/>
      <c r="S564" s="65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1"/>
      <c r="D565" s="69">
        <v>40</v>
      </c>
      <c r="E565" s="78">
        <f>E314</f>
        <v>331.5496</v>
      </c>
      <c r="F565" s="78">
        <f t="shared" si="77"/>
        <v>33.868983333333333</v>
      </c>
      <c r="G565" s="78">
        <f t="shared" si="77"/>
        <v>42.57833333333334</v>
      </c>
      <c r="H565" s="78">
        <f t="shared" si="77"/>
        <v>42.206766666666667</v>
      </c>
      <c r="I565" s="66"/>
      <c r="J565" s="66"/>
      <c r="K565" s="67"/>
      <c r="L565" s="29"/>
      <c r="M565" s="78">
        <f>M314</f>
        <v>331.54880000000003</v>
      </c>
      <c r="N565" s="78">
        <f t="shared" si="78"/>
        <v>33.868983333333333</v>
      </c>
      <c r="O565" s="78">
        <f t="shared" si="78"/>
        <v>42.57833333333334</v>
      </c>
      <c r="P565" s="78">
        <f t="shared" si="78"/>
        <v>42.206766666666667</v>
      </c>
      <c r="Q565" s="66"/>
      <c r="R565" s="66"/>
      <c r="S565" s="67"/>
      <c r="U565" s="82"/>
      <c r="V565" s="83"/>
      <c r="W565" s="84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5">
        <f t="shared" ref="E566:E573" si="79">E558</f>
        <v>3404.3776000000003</v>
      </c>
      <c r="F566" s="75">
        <f t="shared" ref="F566:H569" si="80">AVERAGE(F263,F267,F287,F291,F295)</f>
        <v>40.034140000000001</v>
      </c>
      <c r="G566" s="75">
        <f t="shared" si="80"/>
        <v>46.972860000000004</v>
      </c>
      <c r="H566" s="75">
        <f t="shared" si="80"/>
        <v>46.179420000000007</v>
      </c>
      <c r="I566" s="76"/>
      <c r="J566" s="76"/>
      <c r="K566" s="77"/>
      <c r="L566" s="29"/>
      <c r="M566" s="75">
        <f t="shared" ref="M566:M573" si="81">M558</f>
        <v>3404.3768000000005</v>
      </c>
      <c r="N566" s="75">
        <f t="shared" ref="N566:P569" si="82">AVERAGE(N263,N267,N287,N291,N295)</f>
        <v>40.034140000000001</v>
      </c>
      <c r="O566" s="75">
        <f t="shared" si="82"/>
        <v>46.972860000000004</v>
      </c>
      <c r="P566" s="75">
        <f t="shared" si="82"/>
        <v>46.179420000000007</v>
      </c>
      <c r="Q566" s="76"/>
      <c r="R566" s="76"/>
      <c r="S566" s="77"/>
      <c r="U566" s="8">
        <f>bdrate($E566:$E569,F566:F569,$M566:$M569,N566:N569)</f>
        <v>-1.1553432505140293E-6</v>
      </c>
      <c r="V566" s="9">
        <f>bdrate($E566:$E569,G566:G569,$M566:$M569,O566:O569)</f>
        <v>-1.0814605264641841E-6</v>
      </c>
      <c r="W566" s="10">
        <f>bdrate($E566:$E569,H566:H569,$M566:$M569,P566:P569)</f>
        <v>-1.0236001307672993E-6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68">
        <f t="shared" si="79"/>
        <v>1225.7872</v>
      </c>
      <c r="F567" s="68">
        <f t="shared" si="80"/>
        <v>37.955599999999997</v>
      </c>
      <c r="G567" s="68">
        <f t="shared" si="80"/>
        <v>45.461439999999996</v>
      </c>
      <c r="H567" s="68">
        <f t="shared" si="80"/>
        <v>44.533879999999996</v>
      </c>
      <c r="I567" s="64"/>
      <c r="J567" s="64"/>
      <c r="K567" s="65"/>
      <c r="L567" s="29"/>
      <c r="M567" s="68">
        <f t="shared" si="81"/>
        <v>1225.7864</v>
      </c>
      <c r="N567" s="68">
        <f t="shared" si="82"/>
        <v>37.955599999999997</v>
      </c>
      <c r="O567" s="68">
        <f t="shared" si="82"/>
        <v>45.461439999999996</v>
      </c>
      <c r="P567" s="68">
        <f t="shared" si="82"/>
        <v>44.533879999999996</v>
      </c>
      <c r="Q567" s="64"/>
      <c r="R567" s="64"/>
      <c r="S567" s="65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68">
        <f t="shared" si="79"/>
        <v>567.62</v>
      </c>
      <c r="F568" s="68">
        <f t="shared" si="80"/>
        <v>35.900040000000004</v>
      </c>
      <c r="G568" s="68">
        <f t="shared" si="80"/>
        <v>43.821900000000007</v>
      </c>
      <c r="H568" s="68">
        <f t="shared" si="80"/>
        <v>42.983899999999998</v>
      </c>
      <c r="I568" s="64"/>
      <c r="J568" s="64"/>
      <c r="K568" s="65"/>
      <c r="L568" s="29"/>
      <c r="M568" s="68">
        <f t="shared" si="81"/>
        <v>567.61920000000009</v>
      </c>
      <c r="N568" s="68">
        <f t="shared" si="82"/>
        <v>35.900040000000004</v>
      </c>
      <c r="O568" s="68">
        <f t="shared" si="82"/>
        <v>43.821900000000007</v>
      </c>
      <c r="P568" s="68">
        <f t="shared" si="82"/>
        <v>42.983899999999998</v>
      </c>
      <c r="Q568" s="64"/>
      <c r="R568" s="64"/>
      <c r="S568" s="65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1"/>
      <c r="D569" s="69">
        <v>40</v>
      </c>
      <c r="E569" s="78">
        <f t="shared" si="79"/>
        <v>290.3904</v>
      </c>
      <c r="F569" s="78">
        <f t="shared" si="80"/>
        <v>33.773379999999996</v>
      </c>
      <c r="G569" s="78">
        <f t="shared" si="80"/>
        <v>42.580820000000003</v>
      </c>
      <c r="H569" s="78">
        <f t="shared" si="80"/>
        <v>41.890300000000003</v>
      </c>
      <c r="I569" s="66"/>
      <c r="J569" s="66"/>
      <c r="K569" s="67"/>
      <c r="L569" s="29"/>
      <c r="M569" s="78">
        <f t="shared" si="81"/>
        <v>290.38960000000003</v>
      </c>
      <c r="N569" s="78">
        <f t="shared" si="82"/>
        <v>33.773379999999996</v>
      </c>
      <c r="O569" s="78">
        <f t="shared" si="82"/>
        <v>42.580820000000003</v>
      </c>
      <c r="P569" s="78">
        <f t="shared" si="82"/>
        <v>41.890300000000003</v>
      </c>
      <c r="Q569" s="66"/>
      <c r="R569" s="66"/>
      <c r="S569" s="67"/>
      <c r="U569" s="82"/>
      <c r="V569" s="83"/>
      <c r="W569" s="84"/>
      <c r="Y569" s="24"/>
      <c r="Z569" s="59"/>
      <c r="AA569" s="59"/>
      <c r="AB569" s="24"/>
      <c r="AC569" s="24"/>
    </row>
    <row r="570" spans="2:29">
      <c r="B570" s="29"/>
      <c r="C570" s="28" t="s">
        <v>41</v>
      </c>
      <c r="D570" s="31">
        <v>25</v>
      </c>
      <c r="E570" s="75">
        <f t="shared" si="79"/>
        <v>4216.6495999999997</v>
      </c>
      <c r="F570" s="75">
        <f t="shared" ref="F570:H573" si="83">AVERAGE(F263,F267,F271,F287,F291,F295,F299,F303,F307)</f>
        <v>40.018144444444445</v>
      </c>
      <c r="G570" s="75">
        <f t="shared" si="83"/>
        <v>46.887688888888889</v>
      </c>
      <c r="H570" s="75">
        <f t="shared" si="83"/>
        <v>46.36</v>
      </c>
      <c r="I570" s="76"/>
      <c r="J570" s="76"/>
      <c r="K570" s="77"/>
      <c r="L570" s="29"/>
      <c r="M570" s="75">
        <f t="shared" si="81"/>
        <v>4216.6487999999999</v>
      </c>
      <c r="N570" s="75">
        <f t="shared" ref="N570:P573" si="84">AVERAGE(N263,N267,N271,N287,N291,N295,N299,N303,N307)</f>
        <v>40.018144444444445</v>
      </c>
      <c r="O570" s="75">
        <f t="shared" si="84"/>
        <v>46.887688888888889</v>
      </c>
      <c r="P570" s="75">
        <f t="shared" si="84"/>
        <v>46.36</v>
      </c>
      <c r="Q570" s="76"/>
      <c r="R570" s="76"/>
      <c r="S570" s="77"/>
      <c r="U570" s="8">
        <f>bdrate($E570:$E573,F570:F573,$M570:$M573,N570:N573)</f>
        <v>-9.9209868420491176E-7</v>
      </c>
      <c r="V570" s="9">
        <f>bdrate($E570:$E573,G570:G573,$M570:$M573,O570:O573)</f>
        <v>-9.3531540401592395E-7</v>
      </c>
      <c r="W570" s="10">
        <f>bdrate($E570:$E573,H570:H573,$M570:$M573,P570:P573)</f>
        <v>-9.0435163546676023E-7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68">
        <f t="shared" si="79"/>
        <v>1451.9936</v>
      </c>
      <c r="F571" s="68">
        <f t="shared" si="83"/>
        <v>37.898688888888884</v>
      </c>
      <c r="G571" s="68">
        <f t="shared" si="83"/>
        <v>45.404022222222217</v>
      </c>
      <c r="H571" s="68">
        <f t="shared" si="83"/>
        <v>44.762100000000004</v>
      </c>
      <c r="I571" s="64"/>
      <c r="J571" s="64"/>
      <c r="K571" s="65"/>
      <c r="L571" s="29"/>
      <c r="M571" s="68">
        <f t="shared" si="81"/>
        <v>1451.9928</v>
      </c>
      <c r="N571" s="68">
        <f t="shared" si="84"/>
        <v>37.898688888888884</v>
      </c>
      <c r="O571" s="68">
        <f t="shared" si="84"/>
        <v>45.404022222222217</v>
      </c>
      <c r="P571" s="68">
        <f t="shared" si="84"/>
        <v>44.762100000000004</v>
      </c>
      <c r="Q571" s="64"/>
      <c r="R571" s="64"/>
      <c r="S571" s="65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68">
        <f t="shared" si="79"/>
        <v>656.33759999999995</v>
      </c>
      <c r="F572" s="68">
        <f t="shared" si="83"/>
        <v>35.821155555555563</v>
      </c>
      <c r="G572" s="68">
        <f t="shared" si="83"/>
        <v>43.752722222222225</v>
      </c>
      <c r="H572" s="68">
        <f t="shared" si="83"/>
        <v>43.137377777777779</v>
      </c>
      <c r="I572" s="64"/>
      <c r="J572" s="64"/>
      <c r="K572" s="65"/>
      <c r="L572" s="29"/>
      <c r="M572" s="68">
        <f t="shared" si="81"/>
        <v>656.33680000000004</v>
      </c>
      <c r="N572" s="68">
        <f t="shared" si="84"/>
        <v>35.821155555555563</v>
      </c>
      <c r="O572" s="68">
        <f t="shared" si="84"/>
        <v>43.752722222222225</v>
      </c>
      <c r="P572" s="68">
        <f t="shared" si="84"/>
        <v>43.137377777777779</v>
      </c>
      <c r="Q572" s="64"/>
      <c r="R572" s="64"/>
      <c r="S572" s="65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1"/>
      <c r="C573" s="51"/>
      <c r="D573" s="69">
        <v>40</v>
      </c>
      <c r="E573" s="78">
        <f t="shared" si="79"/>
        <v>331.5496</v>
      </c>
      <c r="F573" s="78">
        <f t="shared" si="83"/>
        <v>33.687066666666666</v>
      </c>
      <c r="G573" s="78">
        <f t="shared" si="83"/>
        <v>42.510077777777774</v>
      </c>
      <c r="H573" s="78">
        <f t="shared" si="83"/>
        <v>41.961944444444441</v>
      </c>
      <c r="I573" s="66"/>
      <c r="J573" s="66"/>
      <c r="K573" s="67"/>
      <c r="L573" s="29"/>
      <c r="M573" s="78">
        <f t="shared" si="81"/>
        <v>331.54880000000003</v>
      </c>
      <c r="N573" s="78">
        <f t="shared" si="84"/>
        <v>33.687066666666666</v>
      </c>
      <c r="O573" s="78">
        <f t="shared" si="84"/>
        <v>42.510077777777774</v>
      </c>
      <c r="P573" s="78">
        <f t="shared" si="84"/>
        <v>41.961944444444441</v>
      </c>
      <c r="Q573" s="66"/>
      <c r="R573" s="66"/>
      <c r="S573" s="67"/>
      <c r="U573" s="82"/>
      <c r="V573" s="83"/>
      <c r="W573" s="84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5">
        <f>E315+E319</f>
        <v>5535.9840000000004</v>
      </c>
      <c r="F574" s="75">
        <f t="shared" ref="F574:H577" si="85">AVERAGE(F315,F319)</f>
        <v>38.390699999999995</v>
      </c>
      <c r="G574" s="75">
        <f t="shared" si="85"/>
        <v>46.613500000000002</v>
      </c>
      <c r="H574" s="75">
        <f t="shared" si="85"/>
        <v>45.9666</v>
      </c>
      <c r="I574" s="76"/>
      <c r="J574" s="76"/>
      <c r="K574" s="77"/>
      <c r="L574" s="29"/>
      <c r="M574" s="79">
        <f>M315+M319</f>
        <v>5535.9832000000006</v>
      </c>
      <c r="N574" s="75">
        <f t="shared" ref="N574:P577" si="86">AVERAGE(N315,N319)</f>
        <v>38.390699999999995</v>
      </c>
      <c r="O574" s="75">
        <f t="shared" si="86"/>
        <v>46.613500000000002</v>
      </c>
      <c r="P574" s="75">
        <f t="shared" si="86"/>
        <v>45.9666</v>
      </c>
      <c r="Q574" s="76"/>
      <c r="R574" s="76"/>
      <c r="S574" s="77"/>
      <c r="U574" s="8">
        <f>bdrate($E574:$E577,F574:F577,$M574:$M577,N574:N577)</f>
        <v>-6.0260988365978818E-7</v>
      </c>
      <c r="V574" s="9">
        <f>bdrate($E574:$E577,G574:G577,$M574:$M577,O574:O577)</f>
        <v>-5.3376231723412104E-7</v>
      </c>
      <c r="W574" s="10">
        <f>bdrate($E574:$E577,H574:H577,$M574:$M577,P574:P577)</f>
        <v>-5.339096120771103E-7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68">
        <f>E316+E320</f>
        <v>2325.4576000000002</v>
      </c>
      <c r="F575" s="68">
        <f t="shared" si="85"/>
        <v>35.632199999999997</v>
      </c>
      <c r="G575" s="68">
        <f t="shared" si="85"/>
        <v>45.138400000000004</v>
      </c>
      <c r="H575" s="68">
        <f t="shared" si="85"/>
        <v>44.581249999999997</v>
      </c>
      <c r="I575" s="64"/>
      <c r="J575" s="64"/>
      <c r="K575" s="65"/>
      <c r="L575" s="29"/>
      <c r="M575" s="80">
        <f>M316+M320</f>
        <v>2325.4567999999999</v>
      </c>
      <c r="N575" s="68">
        <f t="shared" si="86"/>
        <v>35.632199999999997</v>
      </c>
      <c r="O575" s="68">
        <f t="shared" si="86"/>
        <v>45.138400000000004</v>
      </c>
      <c r="P575" s="68">
        <f t="shared" si="86"/>
        <v>44.581249999999997</v>
      </c>
      <c r="Q575" s="64"/>
      <c r="R575" s="64"/>
      <c r="S575" s="65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68">
        <f>E317+E321</f>
        <v>1052.5912000000001</v>
      </c>
      <c r="F576" s="68">
        <f t="shared" si="85"/>
        <v>33.165700000000001</v>
      </c>
      <c r="G576" s="68">
        <f t="shared" si="85"/>
        <v>43.816299999999998</v>
      </c>
      <c r="H576" s="68">
        <f t="shared" si="85"/>
        <v>43.377049999999997</v>
      </c>
      <c r="I576" s="64"/>
      <c r="J576" s="64"/>
      <c r="K576" s="65"/>
      <c r="L576" s="29"/>
      <c r="M576" s="80">
        <f>M317+M321</f>
        <v>1052.5904</v>
      </c>
      <c r="N576" s="68">
        <f t="shared" si="86"/>
        <v>33.165700000000001</v>
      </c>
      <c r="O576" s="68">
        <f t="shared" si="86"/>
        <v>43.816299999999998</v>
      </c>
      <c r="P576" s="68">
        <f t="shared" si="86"/>
        <v>43.377049999999997</v>
      </c>
      <c r="Q576" s="64"/>
      <c r="R576" s="64"/>
      <c r="S576" s="65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1"/>
      <c r="D577" s="69">
        <v>40</v>
      </c>
      <c r="E577" s="78">
        <f>E318+E322</f>
        <v>487.99520000000001</v>
      </c>
      <c r="F577" s="78">
        <f t="shared" si="85"/>
        <v>30.9084</v>
      </c>
      <c r="G577" s="78">
        <f t="shared" si="85"/>
        <v>43.016450000000006</v>
      </c>
      <c r="H577" s="78">
        <f t="shared" si="85"/>
        <v>42.625150000000005</v>
      </c>
      <c r="I577" s="66"/>
      <c r="J577" s="66"/>
      <c r="K577" s="67"/>
      <c r="L577" s="29"/>
      <c r="M577" s="81">
        <f>M318+M322</f>
        <v>487.99439999999998</v>
      </c>
      <c r="N577" s="78">
        <f t="shared" si="86"/>
        <v>30.9084</v>
      </c>
      <c r="O577" s="78">
        <f t="shared" si="86"/>
        <v>43.016450000000006</v>
      </c>
      <c r="P577" s="78">
        <f t="shared" si="86"/>
        <v>42.625150000000005</v>
      </c>
      <c r="Q577" s="66"/>
      <c r="R577" s="66"/>
      <c r="S577" s="67"/>
      <c r="U577" s="82"/>
      <c r="V577" s="83"/>
      <c r="W577" s="84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5">
        <f>E315+E319+E323</f>
        <v>6400.3216000000002</v>
      </c>
      <c r="F578" s="75">
        <f t="shared" ref="F578:H581" si="87">AVERAGE(F315,F319,F323)</f>
        <v>38.308500000000002</v>
      </c>
      <c r="G578" s="75">
        <f t="shared" si="87"/>
        <v>46.580933333333327</v>
      </c>
      <c r="H578" s="75">
        <f t="shared" si="87"/>
        <v>45.903966666666669</v>
      </c>
      <c r="I578" s="76"/>
      <c r="J578" s="76"/>
      <c r="K578" s="77"/>
      <c r="L578" s="29"/>
      <c r="M578" s="75">
        <f>M315+M319+M323</f>
        <v>6400.3208000000004</v>
      </c>
      <c r="N578" s="75">
        <f t="shared" ref="N578:P581" si="88">AVERAGE(N315,N319,N323)</f>
        <v>38.308500000000002</v>
      </c>
      <c r="O578" s="75">
        <f t="shared" si="88"/>
        <v>46.580933333333327</v>
      </c>
      <c r="P578" s="75">
        <f t="shared" si="88"/>
        <v>45.903966666666669</v>
      </c>
      <c r="Q578" s="76"/>
      <c r="R578" s="76"/>
      <c r="S578" s="77"/>
      <c r="U578" s="8">
        <f>bdrate($E578:$E581,F578:F581,$M578:$M581,N578:N581)</f>
        <v>-5.3748290596011827E-7</v>
      </c>
      <c r="V578" s="9">
        <f>bdrate($E578:$E581,G578:G581,$M578:$M581,O578:O581)</f>
        <v>-4.7414642334597801E-7</v>
      </c>
      <c r="W578" s="10">
        <f>bdrate($E578:$E581,H578:H581,$M578:$M581,P578:P581)</f>
        <v>-4.746787223286475E-7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68">
        <f>E316+E320+E324</f>
        <v>2628.2832000000003</v>
      </c>
      <c r="F579" s="68">
        <f t="shared" si="87"/>
        <v>35.599533333333333</v>
      </c>
      <c r="G579" s="68">
        <f t="shared" si="87"/>
        <v>45.108666666666672</v>
      </c>
      <c r="H579" s="68">
        <f t="shared" si="87"/>
        <v>44.530666666666662</v>
      </c>
      <c r="I579" s="64"/>
      <c r="J579" s="64"/>
      <c r="K579" s="65"/>
      <c r="L579" s="29"/>
      <c r="M579" s="68">
        <f>M316+M320+M324</f>
        <v>2628.2824000000001</v>
      </c>
      <c r="N579" s="68">
        <f t="shared" si="88"/>
        <v>35.599533333333333</v>
      </c>
      <c r="O579" s="68">
        <f t="shared" si="88"/>
        <v>45.108666666666672</v>
      </c>
      <c r="P579" s="68">
        <f t="shared" si="88"/>
        <v>44.530666666666662</v>
      </c>
      <c r="Q579" s="64"/>
      <c r="R579" s="64"/>
      <c r="S579" s="65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68">
        <f>E317+E321+E325</f>
        <v>1182.424</v>
      </c>
      <c r="F580" s="68">
        <f t="shared" si="87"/>
        <v>33.158800000000006</v>
      </c>
      <c r="G580" s="68">
        <f t="shared" si="87"/>
        <v>43.797199999999997</v>
      </c>
      <c r="H580" s="68">
        <f t="shared" si="87"/>
        <v>43.338999999999999</v>
      </c>
      <c r="I580" s="64"/>
      <c r="J580" s="64"/>
      <c r="K580" s="65"/>
      <c r="L580" s="29"/>
      <c r="M580" s="68">
        <f>M317+M321+M325</f>
        <v>1182.4232</v>
      </c>
      <c r="N580" s="68">
        <f t="shared" si="88"/>
        <v>33.158800000000006</v>
      </c>
      <c r="O580" s="68">
        <f t="shared" si="88"/>
        <v>43.797199999999997</v>
      </c>
      <c r="P580" s="68">
        <f t="shared" si="88"/>
        <v>43.338999999999999</v>
      </c>
      <c r="Q580" s="64"/>
      <c r="R580" s="64"/>
      <c r="S580" s="65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1"/>
      <c r="D581" s="69">
        <v>40</v>
      </c>
      <c r="E581" s="78">
        <f>E318+E322+E326</f>
        <v>548.12959999999998</v>
      </c>
      <c r="F581" s="78">
        <f t="shared" si="87"/>
        <v>30.9085</v>
      </c>
      <c r="G581" s="78">
        <f t="shared" si="87"/>
        <v>42.996000000000002</v>
      </c>
      <c r="H581" s="78">
        <f t="shared" si="87"/>
        <v>42.588700000000003</v>
      </c>
      <c r="I581" s="66"/>
      <c r="J581" s="66"/>
      <c r="K581" s="67"/>
      <c r="L581" s="29"/>
      <c r="M581" s="78">
        <f>M318+M322+M326</f>
        <v>548.12879999999996</v>
      </c>
      <c r="N581" s="78">
        <f t="shared" si="88"/>
        <v>30.9085</v>
      </c>
      <c r="O581" s="78">
        <f t="shared" si="88"/>
        <v>42.996000000000002</v>
      </c>
      <c r="P581" s="78">
        <f t="shared" si="88"/>
        <v>42.588700000000003</v>
      </c>
      <c r="Q581" s="66"/>
      <c r="R581" s="66"/>
      <c r="S581" s="67"/>
      <c r="U581" s="82"/>
      <c r="V581" s="83"/>
      <c r="W581" s="84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5">
        <f>E315+E319+E327+E331</f>
        <v>5836.6032000000005</v>
      </c>
      <c r="F582" s="75">
        <f t="shared" ref="F582:H585" si="89">AVERAGE(F339,F343,F347)</f>
        <v>38.820599999999999</v>
      </c>
      <c r="G582" s="75">
        <f t="shared" si="89"/>
        <v>46.980166666666662</v>
      </c>
      <c r="H582" s="75">
        <f t="shared" si="89"/>
        <v>46.155700000000003</v>
      </c>
      <c r="I582" s="76"/>
      <c r="J582" s="76"/>
      <c r="K582" s="77"/>
      <c r="L582" s="29"/>
      <c r="M582" s="75">
        <f>M315+M319+M327+M331</f>
        <v>5836.6024000000007</v>
      </c>
      <c r="N582" s="75">
        <f t="shared" ref="N582:P585" si="90">AVERAGE(N339,N343,N347)</f>
        <v>38.820599999999999</v>
      </c>
      <c r="O582" s="75">
        <f t="shared" si="90"/>
        <v>46.980166666666662</v>
      </c>
      <c r="P582" s="75">
        <f t="shared" si="90"/>
        <v>46.155700000000003</v>
      </c>
      <c r="Q582" s="76"/>
      <c r="R582" s="76"/>
      <c r="S582" s="77"/>
      <c r="U582" s="8">
        <f>bdrate($E582:$E585,F582:F585,$M582:$M585,N582:N585)</f>
        <v>-5.6532565795297529E-7</v>
      </c>
      <c r="V582" s="9">
        <f>bdrate($E582:$E585,G582:G585,$M582:$M585,O582:O585)</f>
        <v>-5.0031077714063343E-7</v>
      </c>
      <c r="W582" s="10">
        <f>bdrate($E582:$E585,H582:H585,$M582:$M585,P582:P585)</f>
        <v>-5.1625911401398383E-7</v>
      </c>
      <c r="Y582" s="59"/>
      <c r="Z582" s="59"/>
      <c r="AA582" s="59"/>
      <c r="AB582" s="24"/>
      <c r="AC582" s="24"/>
    </row>
    <row r="583" spans="2:29">
      <c r="B583" s="29"/>
      <c r="C583" s="29"/>
      <c r="D583" s="32">
        <v>30</v>
      </c>
      <c r="E583" s="68">
        <f>E316+E320+E328+E332</f>
        <v>2455.8512000000001</v>
      </c>
      <c r="F583" s="68">
        <f t="shared" si="89"/>
        <v>35.899866666666668</v>
      </c>
      <c r="G583" s="68">
        <f t="shared" si="89"/>
        <v>45.534199999999998</v>
      </c>
      <c r="H583" s="68">
        <f t="shared" si="89"/>
        <v>44.879633333333338</v>
      </c>
      <c r="I583" s="64"/>
      <c r="J583" s="64"/>
      <c r="K583" s="65"/>
      <c r="L583" s="29"/>
      <c r="M583" s="68">
        <f>M316+M320+M328+M332</f>
        <v>2455.8503999999998</v>
      </c>
      <c r="N583" s="68">
        <f t="shared" si="90"/>
        <v>35.899866666666668</v>
      </c>
      <c r="O583" s="68">
        <f t="shared" si="90"/>
        <v>45.534199999999998</v>
      </c>
      <c r="P583" s="68">
        <f t="shared" si="90"/>
        <v>44.879633333333338</v>
      </c>
      <c r="Q583" s="64"/>
      <c r="R583" s="64"/>
      <c r="S583" s="65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68">
        <f>E317+E321+E329+E333</f>
        <v>1116.8784000000001</v>
      </c>
      <c r="F584" s="68">
        <f t="shared" si="89"/>
        <v>33.32233333333334</v>
      </c>
      <c r="G584" s="68">
        <f t="shared" si="89"/>
        <v>44.170066666666663</v>
      </c>
      <c r="H584" s="68">
        <f t="shared" si="89"/>
        <v>43.719900000000003</v>
      </c>
      <c r="I584" s="64"/>
      <c r="J584" s="64"/>
      <c r="K584" s="65"/>
      <c r="L584" s="29"/>
      <c r="M584" s="68">
        <f>M317+M321+M329+M333</f>
        <v>1116.8776</v>
      </c>
      <c r="N584" s="68">
        <f t="shared" si="90"/>
        <v>33.32233333333334</v>
      </c>
      <c r="O584" s="68">
        <f t="shared" si="90"/>
        <v>44.170066666666663</v>
      </c>
      <c r="P584" s="68">
        <f t="shared" si="90"/>
        <v>43.719900000000003</v>
      </c>
      <c r="Q584" s="64"/>
      <c r="R584" s="64"/>
      <c r="S584" s="65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1"/>
      <c r="D585" s="69">
        <v>40</v>
      </c>
      <c r="E585" s="78">
        <f>E318+E322+E330+E334</f>
        <v>519.17200000000003</v>
      </c>
      <c r="F585" s="78">
        <f t="shared" si="89"/>
        <v>30.97593333333333</v>
      </c>
      <c r="G585" s="78">
        <f t="shared" si="89"/>
        <v>43.404566666666661</v>
      </c>
      <c r="H585" s="78">
        <f t="shared" si="89"/>
        <v>42.963766666666665</v>
      </c>
      <c r="I585" s="66"/>
      <c r="J585" s="66"/>
      <c r="K585" s="67"/>
      <c r="L585" s="29"/>
      <c r="M585" s="78">
        <f>M318+M322+M330+M334</f>
        <v>519.1712</v>
      </c>
      <c r="N585" s="78">
        <f t="shared" si="90"/>
        <v>30.97593333333333</v>
      </c>
      <c r="O585" s="78">
        <f t="shared" si="90"/>
        <v>43.404566666666661</v>
      </c>
      <c r="P585" s="78">
        <f t="shared" si="90"/>
        <v>42.963766666666665</v>
      </c>
      <c r="Q585" s="66"/>
      <c r="R585" s="66"/>
      <c r="S585" s="67"/>
      <c r="U585" s="82"/>
      <c r="V585" s="83"/>
      <c r="W585" s="84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5">
        <f>E363</f>
        <v>6799.5712000000003</v>
      </c>
      <c r="F586" s="75">
        <f t="shared" ref="F586:H589" si="91">AVERAGE(F339,F343,F347,F351,F355,F359)</f>
        <v>38.836016666666666</v>
      </c>
      <c r="G586" s="75">
        <f t="shared" si="91"/>
        <v>46.790716666666668</v>
      </c>
      <c r="H586" s="75">
        <f t="shared" si="91"/>
        <v>46.335916666666662</v>
      </c>
      <c r="I586" s="76"/>
      <c r="J586" s="76"/>
      <c r="K586" s="77"/>
      <c r="L586" s="29"/>
      <c r="M586" s="75">
        <f>M363</f>
        <v>6799.5703999999996</v>
      </c>
      <c r="N586" s="75">
        <f t="shared" ref="N586:P589" si="92">AVERAGE(N339,N343,N347,N351,N355,N359)</f>
        <v>38.836016666666666</v>
      </c>
      <c r="O586" s="75">
        <f t="shared" si="92"/>
        <v>46.790716666666668</v>
      </c>
      <c r="P586" s="75">
        <f t="shared" si="92"/>
        <v>46.335916666666662</v>
      </c>
      <c r="Q586" s="76"/>
      <c r="R586" s="76"/>
      <c r="S586" s="77"/>
      <c r="U586" s="8">
        <f>bdrate($E586:$E589,F586:F589,$M586:$M589,N586:N589)</f>
        <v>-4.9623985898250567E-7</v>
      </c>
      <c r="V586" s="9">
        <f>bdrate($E586:$E589,G586:G589,$M586:$M589,O586:O589)</f>
        <v>-4.4230692330948784E-7</v>
      </c>
      <c r="W586" s="10">
        <f>bdrate($E586:$E589,H586:H589,$M586:$M589,P586:P589)</f>
        <v>-4.5681605365111011E-7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68">
        <f>E364</f>
        <v>2802.04</v>
      </c>
      <c r="F587" s="68">
        <f t="shared" si="91"/>
        <v>35.929133333333333</v>
      </c>
      <c r="G587" s="68">
        <f t="shared" si="91"/>
        <v>45.361433333333331</v>
      </c>
      <c r="H587" s="68">
        <f t="shared" si="91"/>
        <v>44.95655</v>
      </c>
      <c r="I587" s="64"/>
      <c r="J587" s="64"/>
      <c r="K587" s="65"/>
      <c r="L587" s="29"/>
      <c r="M587" s="68">
        <f>M364</f>
        <v>2802.0392000000002</v>
      </c>
      <c r="N587" s="68">
        <f t="shared" si="92"/>
        <v>35.929133333333333</v>
      </c>
      <c r="O587" s="68">
        <f t="shared" si="92"/>
        <v>45.361433333333331</v>
      </c>
      <c r="P587" s="68">
        <f t="shared" si="92"/>
        <v>44.95655</v>
      </c>
      <c r="Q587" s="64"/>
      <c r="R587" s="64"/>
      <c r="S587" s="65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68">
        <f>E365</f>
        <v>1271.1128000000001</v>
      </c>
      <c r="F588" s="68">
        <f t="shared" si="91"/>
        <v>33.353116666666672</v>
      </c>
      <c r="G588" s="68">
        <f t="shared" si="91"/>
        <v>44.021916666666669</v>
      </c>
      <c r="H588" s="68">
        <f t="shared" si="91"/>
        <v>43.647666666666673</v>
      </c>
      <c r="I588" s="64"/>
      <c r="J588" s="64"/>
      <c r="K588" s="65"/>
      <c r="L588" s="29"/>
      <c r="M588" s="68">
        <f>M365</f>
        <v>1271.1120000000001</v>
      </c>
      <c r="N588" s="68">
        <f t="shared" si="92"/>
        <v>33.353116666666672</v>
      </c>
      <c r="O588" s="68">
        <f t="shared" si="92"/>
        <v>44.021916666666669</v>
      </c>
      <c r="P588" s="68">
        <f t="shared" si="92"/>
        <v>43.647666666666673</v>
      </c>
      <c r="Q588" s="64"/>
      <c r="R588" s="64"/>
      <c r="S588" s="65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1"/>
      <c r="D589" s="69">
        <v>40</v>
      </c>
      <c r="E589" s="78">
        <f>E366</f>
        <v>594.39440000000002</v>
      </c>
      <c r="F589" s="78">
        <f t="shared" si="91"/>
        <v>30.999433333333329</v>
      </c>
      <c r="G589" s="78">
        <f t="shared" si="91"/>
        <v>43.238850000000006</v>
      </c>
      <c r="H589" s="78">
        <f t="shared" si="91"/>
        <v>42.798566666666666</v>
      </c>
      <c r="I589" s="66"/>
      <c r="J589" s="66"/>
      <c r="K589" s="67"/>
      <c r="L589" s="29"/>
      <c r="M589" s="78">
        <f>M366</f>
        <v>594.39359999999999</v>
      </c>
      <c r="N589" s="78">
        <f t="shared" si="92"/>
        <v>30.999433333333329</v>
      </c>
      <c r="O589" s="78">
        <f t="shared" si="92"/>
        <v>43.238850000000006</v>
      </c>
      <c r="P589" s="78">
        <f t="shared" si="92"/>
        <v>42.798566666666666</v>
      </c>
      <c r="Q589" s="66"/>
      <c r="R589" s="66"/>
      <c r="S589" s="67"/>
      <c r="U589" s="82"/>
      <c r="V589" s="83"/>
      <c r="W589" s="84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5">
        <f t="shared" ref="E590:E597" si="93">E582</f>
        <v>5836.6032000000005</v>
      </c>
      <c r="F590" s="75">
        <f t="shared" ref="F590:H593" si="94">AVERAGE(F315,F319,F339,F343,F347)</f>
        <v>38.64864</v>
      </c>
      <c r="G590" s="75">
        <f t="shared" si="94"/>
        <v>46.833500000000001</v>
      </c>
      <c r="H590" s="75">
        <f t="shared" si="94"/>
        <v>46.080059999999989</v>
      </c>
      <c r="I590" s="76"/>
      <c r="J590" s="76"/>
      <c r="K590" s="77"/>
      <c r="L590" s="29"/>
      <c r="M590" s="75">
        <f t="shared" ref="M590:M597" si="95">M582</f>
        <v>5836.6024000000007</v>
      </c>
      <c r="N590" s="75">
        <f t="shared" ref="N590:P593" si="96">AVERAGE(N315,N319,N339,N343,N347)</f>
        <v>38.64864</v>
      </c>
      <c r="O590" s="75">
        <f t="shared" si="96"/>
        <v>46.833500000000001</v>
      </c>
      <c r="P590" s="75">
        <f t="shared" si="96"/>
        <v>46.080059999999989</v>
      </c>
      <c r="Q590" s="76"/>
      <c r="R590" s="76"/>
      <c r="S590" s="77"/>
      <c r="U590" s="8">
        <f>bdrate($E590:$E593,F590:F593,$M590:$M593,N590:N593)</f>
        <v>-5.6644913470904612E-7</v>
      </c>
      <c r="V590" s="9">
        <f>bdrate($E590:$E593,G590:G593,$M590:$M593,O590:O593)</f>
        <v>-5.0163752918219728E-7</v>
      </c>
      <c r="W590" s="10">
        <f>bdrate($E590:$E593,H590:H593,$M590:$M593,P590:P593)</f>
        <v>-5.1111583754259726E-7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68">
        <f t="shared" si="93"/>
        <v>2455.8512000000001</v>
      </c>
      <c r="F591" s="68">
        <f t="shared" si="94"/>
        <v>35.7928</v>
      </c>
      <c r="G591" s="68">
        <f t="shared" si="94"/>
        <v>45.375880000000002</v>
      </c>
      <c r="H591" s="68">
        <f t="shared" si="94"/>
        <v>44.760280000000002</v>
      </c>
      <c r="I591" s="64"/>
      <c r="J591" s="64"/>
      <c r="K591" s="65"/>
      <c r="L591" s="29"/>
      <c r="M591" s="68">
        <f t="shared" si="95"/>
        <v>2455.8503999999998</v>
      </c>
      <c r="N591" s="68">
        <f t="shared" si="96"/>
        <v>35.7928</v>
      </c>
      <c r="O591" s="68">
        <f t="shared" si="96"/>
        <v>45.375880000000002</v>
      </c>
      <c r="P591" s="68">
        <f t="shared" si="96"/>
        <v>44.760280000000002</v>
      </c>
      <c r="Q591" s="64"/>
      <c r="R591" s="64"/>
      <c r="S591" s="65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68">
        <f t="shared" si="93"/>
        <v>1116.8784000000001</v>
      </c>
      <c r="F592" s="68">
        <f t="shared" si="94"/>
        <v>33.259680000000003</v>
      </c>
      <c r="G592" s="68">
        <f t="shared" si="94"/>
        <v>44.028559999999999</v>
      </c>
      <c r="H592" s="68">
        <f t="shared" si="94"/>
        <v>43.58276</v>
      </c>
      <c r="I592" s="64"/>
      <c r="J592" s="64"/>
      <c r="K592" s="65"/>
      <c r="L592" s="29"/>
      <c r="M592" s="68">
        <f t="shared" si="95"/>
        <v>1116.8776</v>
      </c>
      <c r="N592" s="68">
        <f t="shared" si="96"/>
        <v>33.259680000000003</v>
      </c>
      <c r="O592" s="68">
        <f t="shared" si="96"/>
        <v>44.028559999999999</v>
      </c>
      <c r="P592" s="68">
        <f t="shared" si="96"/>
        <v>43.58276</v>
      </c>
      <c r="Q592" s="64"/>
      <c r="R592" s="64"/>
      <c r="S592" s="65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1"/>
      <c r="D593" s="69">
        <v>40</v>
      </c>
      <c r="E593" s="78">
        <f t="shared" si="93"/>
        <v>519.17200000000003</v>
      </c>
      <c r="F593" s="78">
        <f t="shared" si="94"/>
        <v>30.948919999999998</v>
      </c>
      <c r="G593" s="78">
        <f t="shared" si="94"/>
        <v>43.249319999999997</v>
      </c>
      <c r="H593" s="78">
        <f t="shared" si="94"/>
        <v>42.828320000000005</v>
      </c>
      <c r="I593" s="66"/>
      <c r="J593" s="66"/>
      <c r="K593" s="67"/>
      <c r="L593" s="29"/>
      <c r="M593" s="78">
        <f t="shared" si="95"/>
        <v>519.1712</v>
      </c>
      <c r="N593" s="78">
        <f t="shared" si="96"/>
        <v>30.948919999999998</v>
      </c>
      <c r="O593" s="78">
        <f t="shared" si="96"/>
        <v>43.249319999999997</v>
      </c>
      <c r="P593" s="78">
        <f t="shared" si="96"/>
        <v>42.828320000000005</v>
      </c>
      <c r="Q593" s="66"/>
      <c r="R593" s="66"/>
      <c r="S593" s="67"/>
      <c r="U593" s="82"/>
      <c r="V593" s="83"/>
      <c r="W593" s="84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5">
        <f t="shared" si="93"/>
        <v>6799.5712000000003</v>
      </c>
      <c r="F594" s="75">
        <f t="shared" ref="F594:H597" si="97">AVERAGE(F315,F319,F323,F339,F343,F347,F351,F355,F359)</f>
        <v>38.660177777777776</v>
      </c>
      <c r="G594" s="75">
        <f t="shared" si="97"/>
        <v>46.72078888888889</v>
      </c>
      <c r="H594" s="75">
        <f t="shared" si="97"/>
        <v>46.191933333333324</v>
      </c>
      <c r="I594" s="76"/>
      <c r="J594" s="76"/>
      <c r="K594" s="77"/>
      <c r="L594" s="29"/>
      <c r="M594" s="75">
        <f t="shared" si="95"/>
        <v>6799.5703999999996</v>
      </c>
      <c r="N594" s="75">
        <f t="shared" ref="N594:P597" si="98">AVERAGE(N315,N319,N323,N339,N343,N347,N351,N355,N359)</f>
        <v>38.660177777777776</v>
      </c>
      <c r="O594" s="75">
        <f t="shared" si="98"/>
        <v>46.72078888888889</v>
      </c>
      <c r="P594" s="75">
        <f t="shared" si="98"/>
        <v>46.191933333333324</v>
      </c>
      <c r="Q594" s="76"/>
      <c r="R594" s="76"/>
      <c r="S594" s="77"/>
      <c r="U594" s="8">
        <f>bdrate($E594:$E597,F594:F597,$M594:$M597,N594:N597)</f>
        <v>-4.9738214702443884E-7</v>
      </c>
      <c r="V594" s="9">
        <f>bdrate($E594:$E597,G594:G597,$M594:$M597,O594:O597)</f>
        <v>-4.4203920879226644E-7</v>
      </c>
      <c r="W594" s="10">
        <f>bdrate($E594:$E597,H594:H597,$M594:$M597,P594:P597)</f>
        <v>-4.5209471444263016E-7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68">
        <f t="shared" si="93"/>
        <v>2802.04</v>
      </c>
      <c r="F595" s="68">
        <f t="shared" si="97"/>
        <v>35.819266666666664</v>
      </c>
      <c r="G595" s="68">
        <f t="shared" si="97"/>
        <v>45.27717777777778</v>
      </c>
      <c r="H595" s="68">
        <f t="shared" si="97"/>
        <v>44.814588888888885</v>
      </c>
      <c r="I595" s="64"/>
      <c r="J595" s="64"/>
      <c r="K595" s="65"/>
      <c r="L595" s="29"/>
      <c r="M595" s="68">
        <f t="shared" si="95"/>
        <v>2802.0392000000002</v>
      </c>
      <c r="N595" s="68">
        <f t="shared" si="98"/>
        <v>35.819266666666664</v>
      </c>
      <c r="O595" s="68">
        <f t="shared" si="98"/>
        <v>45.27717777777778</v>
      </c>
      <c r="P595" s="68">
        <f t="shared" si="98"/>
        <v>44.814588888888885</v>
      </c>
      <c r="Q595" s="64"/>
      <c r="R595" s="64"/>
      <c r="S595" s="65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68">
        <f t="shared" si="93"/>
        <v>1271.1128000000001</v>
      </c>
      <c r="F596" s="68">
        <f t="shared" si="97"/>
        <v>33.288344444444448</v>
      </c>
      <c r="G596" s="68">
        <f t="shared" si="97"/>
        <v>43.947011111111109</v>
      </c>
      <c r="H596" s="68">
        <f t="shared" si="97"/>
        <v>43.544777777777774</v>
      </c>
      <c r="I596" s="64"/>
      <c r="J596" s="64"/>
      <c r="K596" s="65"/>
      <c r="L596" s="29"/>
      <c r="M596" s="68">
        <f t="shared" si="95"/>
        <v>1271.1120000000001</v>
      </c>
      <c r="N596" s="68">
        <f t="shared" si="98"/>
        <v>33.288344444444448</v>
      </c>
      <c r="O596" s="68">
        <f t="shared" si="98"/>
        <v>43.947011111111109</v>
      </c>
      <c r="P596" s="68">
        <f t="shared" si="98"/>
        <v>43.544777777777774</v>
      </c>
      <c r="Q596" s="64"/>
      <c r="R596" s="64"/>
      <c r="S596" s="65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1"/>
      <c r="C597" s="51"/>
      <c r="D597" s="69">
        <v>40</v>
      </c>
      <c r="E597" s="78">
        <f t="shared" si="93"/>
        <v>594.39440000000002</v>
      </c>
      <c r="F597" s="78">
        <f t="shared" si="97"/>
        <v>30.969122222222218</v>
      </c>
      <c r="G597" s="78">
        <f t="shared" si="97"/>
        <v>43.157900000000005</v>
      </c>
      <c r="H597" s="78">
        <f t="shared" si="97"/>
        <v>42.728611111111114</v>
      </c>
      <c r="I597" s="66"/>
      <c r="J597" s="66"/>
      <c r="K597" s="67"/>
      <c r="L597" s="29"/>
      <c r="M597" s="78">
        <f t="shared" si="95"/>
        <v>594.39359999999999</v>
      </c>
      <c r="N597" s="78">
        <f t="shared" si="98"/>
        <v>30.969122222222218</v>
      </c>
      <c r="O597" s="78">
        <f t="shared" si="98"/>
        <v>43.157900000000005</v>
      </c>
      <c r="P597" s="78">
        <f t="shared" si="98"/>
        <v>42.728611111111114</v>
      </c>
      <c r="Q597" s="66"/>
      <c r="R597" s="66"/>
      <c r="S597" s="67"/>
      <c r="U597" s="82"/>
      <c r="V597" s="83"/>
      <c r="W597" s="84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5">
        <f>E367+E371</f>
        <v>4698.0456000000004</v>
      </c>
      <c r="F598" s="75">
        <f t="shared" ref="F598:H601" si="99">AVERAGE(F367,F371)</f>
        <v>41.200749999999999</v>
      </c>
      <c r="G598" s="75">
        <f t="shared" si="99"/>
        <v>46.556399999999996</v>
      </c>
      <c r="H598" s="75">
        <f t="shared" si="99"/>
        <v>45.923850000000002</v>
      </c>
      <c r="I598" s="76"/>
      <c r="J598" s="76"/>
      <c r="K598" s="77"/>
      <c r="L598" s="29"/>
      <c r="M598" s="75">
        <f>M367+M371</f>
        <v>4698.0448000000006</v>
      </c>
      <c r="N598" s="75">
        <f t="shared" ref="N598:P601" si="100">AVERAGE(N367,N371)</f>
        <v>41.200749999999999</v>
      </c>
      <c r="O598" s="75">
        <f t="shared" si="100"/>
        <v>46.556399999999996</v>
      </c>
      <c r="P598" s="75">
        <f t="shared" si="100"/>
        <v>45.923850000000002</v>
      </c>
      <c r="Q598" s="76"/>
      <c r="R598" s="76"/>
      <c r="S598" s="77"/>
      <c r="U598" s="8">
        <f>bdrate($E598:$E601,F598:F601,$M598:$M601,N598:N601)</f>
        <v>-5.6993885544365241E-7</v>
      </c>
      <c r="V598" s="9">
        <f>bdrate($E598:$E601,G598:G601,$M598:$M601,O598:O601)</f>
        <v>-5.1910628873219622E-7</v>
      </c>
      <c r="W598" s="10">
        <f>bdrate($E598:$E601,H598:H601,$M598:$M601,P598:P601)</f>
        <v>-5.3713022951651368E-7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68">
        <f>E368+E372</f>
        <v>2320.1304</v>
      </c>
      <c r="F599" s="68">
        <f t="shared" si="99"/>
        <v>38.283099999999997</v>
      </c>
      <c r="G599" s="68">
        <f t="shared" si="99"/>
        <v>44.874700000000004</v>
      </c>
      <c r="H599" s="68">
        <f t="shared" si="99"/>
        <v>44.022350000000003</v>
      </c>
      <c r="I599" s="64"/>
      <c r="J599" s="64"/>
      <c r="K599" s="65"/>
      <c r="L599" s="29"/>
      <c r="M599" s="68">
        <f>M368+M372</f>
        <v>2320.1296000000002</v>
      </c>
      <c r="N599" s="68">
        <f t="shared" si="100"/>
        <v>38.283099999999997</v>
      </c>
      <c r="O599" s="68">
        <f t="shared" si="100"/>
        <v>44.874700000000004</v>
      </c>
      <c r="P599" s="68">
        <f t="shared" si="100"/>
        <v>44.022350000000003</v>
      </c>
      <c r="Q599" s="64"/>
      <c r="R599" s="64"/>
      <c r="S599" s="65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68">
        <f>E369+E373</f>
        <v>1137.1895999999999</v>
      </c>
      <c r="F600" s="68">
        <f t="shared" si="99"/>
        <v>35.527749999999997</v>
      </c>
      <c r="G600" s="68">
        <f t="shared" si="99"/>
        <v>43.256100000000004</v>
      </c>
      <c r="H600" s="68">
        <f t="shared" si="99"/>
        <v>42.202399999999997</v>
      </c>
      <c r="I600" s="64"/>
      <c r="J600" s="64"/>
      <c r="K600" s="65"/>
      <c r="L600" s="29"/>
      <c r="M600" s="68">
        <f>M369+M373</f>
        <v>1137.1887999999999</v>
      </c>
      <c r="N600" s="68">
        <f t="shared" si="100"/>
        <v>35.527749999999997</v>
      </c>
      <c r="O600" s="68">
        <f t="shared" si="100"/>
        <v>43.256100000000004</v>
      </c>
      <c r="P600" s="68">
        <f t="shared" si="100"/>
        <v>42.202399999999997</v>
      </c>
      <c r="Q600" s="64"/>
      <c r="R600" s="64"/>
      <c r="S600" s="65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1"/>
      <c r="D601" s="69">
        <v>40</v>
      </c>
      <c r="E601" s="78">
        <f>E370+E374</f>
        <v>546.43520000000001</v>
      </c>
      <c r="F601" s="78">
        <f t="shared" si="99"/>
        <v>33.087850000000003</v>
      </c>
      <c r="G601" s="78">
        <f t="shared" si="99"/>
        <v>42.265100000000004</v>
      </c>
      <c r="H601" s="78">
        <f t="shared" si="99"/>
        <v>40.923349999999999</v>
      </c>
      <c r="I601" s="66"/>
      <c r="J601" s="66"/>
      <c r="K601" s="67"/>
      <c r="L601" s="29"/>
      <c r="M601" s="78">
        <f>M370+M374</f>
        <v>546.43439999999998</v>
      </c>
      <c r="N601" s="78">
        <f t="shared" si="100"/>
        <v>33.087850000000003</v>
      </c>
      <c r="O601" s="78">
        <f t="shared" si="100"/>
        <v>42.265100000000004</v>
      </c>
      <c r="P601" s="78">
        <f t="shared" si="100"/>
        <v>40.923349999999999</v>
      </c>
      <c r="Q601" s="66"/>
      <c r="R601" s="66"/>
      <c r="S601" s="67"/>
      <c r="U601" s="82"/>
      <c r="V601" s="83"/>
      <c r="W601" s="84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5">
        <f>E367+E371+E375</f>
        <v>5222.6456000000007</v>
      </c>
      <c r="F602" s="75">
        <f t="shared" ref="F602:H605" si="101">AVERAGE(F367,F371,F375)</f>
        <v>41.108466666666665</v>
      </c>
      <c r="G602" s="75">
        <f t="shared" si="101"/>
        <v>46.538266666666665</v>
      </c>
      <c r="H602" s="75">
        <f t="shared" si="101"/>
        <v>45.884966666666664</v>
      </c>
      <c r="I602" s="76"/>
      <c r="J602" s="76"/>
      <c r="K602" s="77"/>
      <c r="L602" s="29"/>
      <c r="M602" s="75">
        <f>M367+M371+M375</f>
        <v>5222.6448000000009</v>
      </c>
      <c r="N602" s="75">
        <f t="shared" ref="N602:P605" si="102">AVERAGE(N367,N371,N375)</f>
        <v>41.108466666666665</v>
      </c>
      <c r="O602" s="75">
        <f t="shared" si="102"/>
        <v>46.538266666666665</v>
      </c>
      <c r="P602" s="75">
        <f t="shared" si="102"/>
        <v>45.884966666666664</v>
      </c>
      <c r="Q602" s="76"/>
      <c r="R602" s="76"/>
      <c r="S602" s="77"/>
      <c r="U602" s="8">
        <f>bdrate($E602:$E605,F602:F605,$M602:$M605,N602:N605)</f>
        <v>-5.2212419110464481E-7</v>
      </c>
      <c r="V602" s="9">
        <f>bdrate($E602:$E605,G602:G605,$M602:$M605,O602:O605)</f>
        <v>-4.7601580666079002E-7</v>
      </c>
      <c r="W602" s="10">
        <f>bdrate($E602:$E605,H602:H605,$M602:$M605,P602:P605)</f>
        <v>-4.9308226857114335E-7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68">
        <f>E368+E372+E376</f>
        <v>2537.5832</v>
      </c>
      <c r="F603" s="68">
        <f t="shared" si="101"/>
        <v>38.217166666666664</v>
      </c>
      <c r="G603" s="68">
        <f t="shared" si="101"/>
        <v>44.861833333333344</v>
      </c>
      <c r="H603" s="68">
        <f t="shared" si="101"/>
        <v>43.999166666666667</v>
      </c>
      <c r="I603" s="64"/>
      <c r="J603" s="64"/>
      <c r="K603" s="65"/>
      <c r="L603" s="29"/>
      <c r="M603" s="68">
        <f>M368+M372+M376</f>
        <v>2537.5824000000002</v>
      </c>
      <c r="N603" s="68">
        <f t="shared" si="102"/>
        <v>38.217166666666664</v>
      </c>
      <c r="O603" s="68">
        <f t="shared" si="102"/>
        <v>44.861833333333344</v>
      </c>
      <c r="P603" s="68">
        <f t="shared" si="102"/>
        <v>43.999166666666667</v>
      </c>
      <c r="Q603" s="64"/>
      <c r="R603" s="64"/>
      <c r="S603" s="65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68">
        <f>E369+E373+E377</f>
        <v>1240.5968</v>
      </c>
      <c r="F604" s="68">
        <f t="shared" si="101"/>
        <v>35.484866666666669</v>
      </c>
      <c r="G604" s="68">
        <f t="shared" si="101"/>
        <v>43.251966666666668</v>
      </c>
      <c r="H604" s="68">
        <f t="shared" si="101"/>
        <v>42.193366666666662</v>
      </c>
      <c r="I604" s="64"/>
      <c r="J604" s="64"/>
      <c r="K604" s="65"/>
      <c r="L604" s="29"/>
      <c r="M604" s="68">
        <f>M369+M373+M377</f>
        <v>1240.596</v>
      </c>
      <c r="N604" s="68">
        <f t="shared" si="102"/>
        <v>35.484866666666669</v>
      </c>
      <c r="O604" s="68">
        <f t="shared" si="102"/>
        <v>43.251966666666668</v>
      </c>
      <c r="P604" s="68">
        <f t="shared" si="102"/>
        <v>42.193366666666662</v>
      </c>
      <c r="Q604" s="64"/>
      <c r="R604" s="64"/>
      <c r="S604" s="65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1"/>
      <c r="D605" s="69">
        <v>40</v>
      </c>
      <c r="E605" s="78">
        <f>E370+E374+E378</f>
        <v>597.42640000000006</v>
      </c>
      <c r="F605" s="78">
        <f t="shared" si="101"/>
        <v>33.054233333333336</v>
      </c>
      <c r="G605" s="78">
        <f t="shared" si="101"/>
        <v>42.253900000000002</v>
      </c>
      <c r="H605" s="78">
        <f t="shared" si="101"/>
        <v>40.90723333333333</v>
      </c>
      <c r="I605" s="66"/>
      <c r="J605" s="66"/>
      <c r="K605" s="67"/>
      <c r="L605" s="29"/>
      <c r="M605" s="78">
        <f>M370+M374+M378</f>
        <v>597.42560000000003</v>
      </c>
      <c r="N605" s="78">
        <f t="shared" si="102"/>
        <v>33.054233333333336</v>
      </c>
      <c r="O605" s="78">
        <f t="shared" si="102"/>
        <v>42.253900000000002</v>
      </c>
      <c r="P605" s="78">
        <f t="shared" si="102"/>
        <v>40.90723333333333</v>
      </c>
      <c r="Q605" s="66"/>
      <c r="R605" s="66"/>
      <c r="S605" s="67"/>
      <c r="U605" s="82"/>
      <c r="V605" s="83"/>
      <c r="W605" s="84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5">
        <f>E367+E371+E379+E383</f>
        <v>5337.2384000000002</v>
      </c>
      <c r="F606" s="75">
        <f t="shared" ref="F606:H609" si="103">AVERAGE(F391,F395,F399)</f>
        <v>40.853633333333335</v>
      </c>
      <c r="G606" s="75">
        <f t="shared" si="103"/>
        <v>47.125466666666661</v>
      </c>
      <c r="H606" s="75">
        <f t="shared" si="103"/>
        <v>46.701933333333329</v>
      </c>
      <c r="I606" s="76"/>
      <c r="J606" s="76"/>
      <c r="K606" s="77"/>
      <c r="L606" s="29"/>
      <c r="M606" s="75">
        <f>M367+M371+M379+M383</f>
        <v>5337.2376000000004</v>
      </c>
      <c r="N606" s="75">
        <f t="shared" ref="N606:P609" si="104">AVERAGE(N391,N395,N399)</f>
        <v>40.853633333333335</v>
      </c>
      <c r="O606" s="75">
        <f t="shared" si="104"/>
        <v>47.125466666666661</v>
      </c>
      <c r="P606" s="75">
        <f t="shared" si="104"/>
        <v>46.701933333333329</v>
      </c>
      <c r="Q606" s="76"/>
      <c r="R606" s="76"/>
      <c r="S606" s="77"/>
      <c r="U606" s="8">
        <f>bdrate($E606:$E609,F606:F609,$M606:$M609,N606:N609)</f>
        <v>-5.3393531485035339E-7</v>
      </c>
      <c r="V606" s="9">
        <f>bdrate($E606:$E609,G606:G609,$M606:$M609,O606:O609)</f>
        <v>-4.9540188118424311E-7</v>
      </c>
      <c r="W606" s="10">
        <f>bdrate($E606:$E609,H606:H609,$M606:$M609,P606:P609)</f>
        <v>-5.0587689537362479E-7</v>
      </c>
      <c r="Y606" s="59"/>
      <c r="Z606" s="59"/>
      <c r="AA606" s="59"/>
      <c r="AB606" s="24"/>
      <c r="AC606" s="24"/>
    </row>
    <row r="607" spans="2:29">
      <c r="B607" s="29"/>
      <c r="C607" s="29"/>
      <c r="D607" s="32">
        <v>30</v>
      </c>
      <c r="E607" s="68">
        <f>E368+E372+E380+E384</f>
        <v>2523.0392000000002</v>
      </c>
      <c r="F607" s="68">
        <f t="shared" si="103"/>
        <v>38.028033333333333</v>
      </c>
      <c r="G607" s="68">
        <f t="shared" si="103"/>
        <v>45.423033333333336</v>
      </c>
      <c r="H607" s="68">
        <f t="shared" si="103"/>
        <v>44.747966666666663</v>
      </c>
      <c r="I607" s="64"/>
      <c r="J607" s="64"/>
      <c r="K607" s="65"/>
      <c r="L607" s="29"/>
      <c r="M607" s="68">
        <f>M368+M372+M380+M384</f>
        <v>2523.0384000000004</v>
      </c>
      <c r="N607" s="68">
        <f t="shared" si="104"/>
        <v>38.028033333333333</v>
      </c>
      <c r="O607" s="68">
        <f t="shared" si="104"/>
        <v>45.423033333333336</v>
      </c>
      <c r="P607" s="68">
        <f t="shared" si="104"/>
        <v>44.747966666666663</v>
      </c>
      <c r="Q607" s="64"/>
      <c r="R607" s="64"/>
      <c r="S607" s="65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68">
        <f>E369+E373+E381+E385</f>
        <v>1215.0352</v>
      </c>
      <c r="F608" s="68">
        <f t="shared" si="103"/>
        <v>35.332633333333341</v>
      </c>
      <c r="G608" s="68">
        <f t="shared" si="103"/>
        <v>43.658199999999994</v>
      </c>
      <c r="H608" s="68">
        <f t="shared" si="103"/>
        <v>42.766699999999993</v>
      </c>
      <c r="I608" s="64"/>
      <c r="J608" s="64"/>
      <c r="K608" s="65"/>
      <c r="L608" s="29"/>
      <c r="M608" s="68">
        <f>M369+M373+M381+M385</f>
        <v>1215.0344</v>
      </c>
      <c r="N608" s="68">
        <f t="shared" si="104"/>
        <v>35.332633333333341</v>
      </c>
      <c r="O608" s="68">
        <f t="shared" si="104"/>
        <v>43.658199999999994</v>
      </c>
      <c r="P608" s="68">
        <f t="shared" si="104"/>
        <v>42.766699999999993</v>
      </c>
      <c r="Q608" s="64"/>
      <c r="R608" s="64"/>
      <c r="S608" s="65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1"/>
      <c r="D609" s="69">
        <v>40</v>
      </c>
      <c r="E609" s="78">
        <f>E370+E374+E382+E386</f>
        <v>580.2432</v>
      </c>
      <c r="F609" s="78">
        <f t="shared" si="103"/>
        <v>32.915666666666667</v>
      </c>
      <c r="G609" s="78">
        <f t="shared" si="103"/>
        <v>42.5411</v>
      </c>
      <c r="H609" s="78">
        <f t="shared" si="103"/>
        <v>41.381266666666669</v>
      </c>
      <c r="I609" s="66"/>
      <c r="J609" s="66"/>
      <c r="K609" s="67"/>
      <c r="L609" s="29"/>
      <c r="M609" s="78">
        <f>M370+M374+M382+M386</f>
        <v>580.24239999999998</v>
      </c>
      <c r="N609" s="78">
        <f t="shared" si="104"/>
        <v>32.915666666666667</v>
      </c>
      <c r="O609" s="78">
        <f t="shared" si="104"/>
        <v>42.5411</v>
      </c>
      <c r="P609" s="78">
        <f t="shared" si="104"/>
        <v>41.381266666666669</v>
      </c>
      <c r="Q609" s="66"/>
      <c r="R609" s="66"/>
      <c r="S609" s="67"/>
      <c r="U609" s="82"/>
      <c r="V609" s="83"/>
      <c r="W609" s="84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5">
        <f>E415</f>
        <v>6057.3087999999998</v>
      </c>
      <c r="F610" s="75">
        <f t="shared" ref="F610:H613" si="105">AVERAGE(F391,F395,F399,F403,F407,F411)</f>
        <v>40.859866666666669</v>
      </c>
      <c r="G610" s="75">
        <f t="shared" si="105"/>
        <v>47.08486666666667</v>
      </c>
      <c r="H610" s="75">
        <f t="shared" si="105"/>
        <v>46.768916666666662</v>
      </c>
      <c r="I610" s="76"/>
      <c r="J610" s="76"/>
      <c r="K610" s="77"/>
      <c r="L610" s="29"/>
      <c r="M610" s="75">
        <f>M415</f>
        <v>6057.308</v>
      </c>
      <c r="N610" s="75">
        <f t="shared" ref="N610:P613" si="106">AVERAGE(N391,N395,N399,N403,N407,N411)</f>
        <v>40.859866666666669</v>
      </c>
      <c r="O610" s="75">
        <f t="shared" si="106"/>
        <v>47.08486666666667</v>
      </c>
      <c r="P610" s="75">
        <f t="shared" si="106"/>
        <v>46.768916666666662</v>
      </c>
      <c r="Q610" s="76"/>
      <c r="R610" s="76"/>
      <c r="S610" s="77"/>
      <c r="U610" s="8">
        <f>bdrate($E610:$E613,F610:F613,$M610:$M613,N610:N613)</f>
        <v>-4.8048544198930898E-7</v>
      </c>
      <c r="V610" s="9">
        <f>bdrate($E610:$E613,G610:G613,$M610:$M613,O610:O613)</f>
        <v>-4.481149086243974E-7</v>
      </c>
      <c r="W610" s="10">
        <f>bdrate($E610:$E613,H610:H613,$M610:$M613,P610:P613)</f>
        <v>-4.5672099868721006E-7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68">
        <f>E416</f>
        <v>2801.6167999999998</v>
      </c>
      <c r="F611" s="68">
        <f t="shared" si="105"/>
        <v>38.033200000000001</v>
      </c>
      <c r="G611" s="68">
        <f t="shared" si="105"/>
        <v>45.417149999999999</v>
      </c>
      <c r="H611" s="68">
        <f t="shared" si="105"/>
        <v>44.795466666666663</v>
      </c>
      <c r="I611" s="64"/>
      <c r="J611" s="64"/>
      <c r="K611" s="65"/>
      <c r="L611" s="29"/>
      <c r="M611" s="68">
        <f>M416</f>
        <v>2801.616</v>
      </c>
      <c r="N611" s="68">
        <f t="shared" si="106"/>
        <v>38.033200000000001</v>
      </c>
      <c r="O611" s="68">
        <f t="shared" si="106"/>
        <v>45.417149999999999</v>
      </c>
      <c r="P611" s="68">
        <f t="shared" si="106"/>
        <v>44.795466666666663</v>
      </c>
      <c r="Q611" s="64"/>
      <c r="R611" s="64"/>
      <c r="S611" s="65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68">
        <f>E417</f>
        <v>1346.4032</v>
      </c>
      <c r="F612" s="68">
        <f t="shared" si="105"/>
        <v>35.335783333333332</v>
      </c>
      <c r="G612" s="68">
        <f t="shared" si="105"/>
        <v>43.681783333333328</v>
      </c>
      <c r="H612" s="68">
        <f t="shared" si="105"/>
        <v>42.804683333333323</v>
      </c>
      <c r="I612" s="64"/>
      <c r="J612" s="64"/>
      <c r="K612" s="65"/>
      <c r="L612" s="29"/>
      <c r="M612" s="68">
        <f>M417</f>
        <v>1346.4023999999999</v>
      </c>
      <c r="N612" s="68">
        <f t="shared" si="106"/>
        <v>35.335783333333332</v>
      </c>
      <c r="O612" s="68">
        <f t="shared" si="106"/>
        <v>43.681783333333328</v>
      </c>
      <c r="P612" s="68">
        <f t="shared" si="106"/>
        <v>42.804683333333323</v>
      </c>
      <c r="Q612" s="64"/>
      <c r="R612" s="64"/>
      <c r="S612" s="65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1"/>
      <c r="D613" s="69">
        <v>40</v>
      </c>
      <c r="E613" s="78">
        <f>E418</f>
        <v>647.40319999999997</v>
      </c>
      <c r="F613" s="78">
        <f t="shared" si="105"/>
        <v>32.912733333333335</v>
      </c>
      <c r="G613" s="78">
        <f t="shared" si="105"/>
        <v>42.563133333333333</v>
      </c>
      <c r="H613" s="78">
        <f t="shared" si="105"/>
        <v>41.386416666666669</v>
      </c>
      <c r="I613" s="66"/>
      <c r="J613" s="66"/>
      <c r="K613" s="67"/>
      <c r="L613" s="29"/>
      <c r="M613" s="78">
        <f>M418</f>
        <v>647.40239999999994</v>
      </c>
      <c r="N613" s="78">
        <f t="shared" si="106"/>
        <v>32.912733333333335</v>
      </c>
      <c r="O613" s="78">
        <f t="shared" si="106"/>
        <v>42.563133333333333</v>
      </c>
      <c r="P613" s="78">
        <f t="shared" si="106"/>
        <v>41.386416666666669</v>
      </c>
      <c r="Q613" s="66"/>
      <c r="R613" s="66"/>
      <c r="S613" s="67"/>
      <c r="U613" s="82"/>
      <c r="V613" s="83"/>
      <c r="W613" s="84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5">
        <f t="shared" ref="E614:E621" si="107">E606</f>
        <v>5337.2384000000002</v>
      </c>
      <c r="F614" s="75">
        <f t="shared" ref="F614:H617" si="108">AVERAGE(F367,F371,F391,F395,F399)</f>
        <v>40.99248</v>
      </c>
      <c r="G614" s="75">
        <f t="shared" si="108"/>
        <v>46.897839999999995</v>
      </c>
      <c r="H614" s="75">
        <f t="shared" si="108"/>
        <v>46.390699999999995</v>
      </c>
      <c r="I614" s="76"/>
      <c r="J614" s="76"/>
      <c r="K614" s="77"/>
      <c r="L614" s="29"/>
      <c r="M614" s="75">
        <f t="shared" ref="M614:M621" si="109">M606</f>
        <v>5337.2376000000004</v>
      </c>
      <c r="N614" s="75">
        <f t="shared" ref="N614:P617" si="110">AVERAGE(N367,N371,N391,N395,N399)</f>
        <v>40.99248</v>
      </c>
      <c r="O614" s="75">
        <f t="shared" si="110"/>
        <v>46.897839999999995</v>
      </c>
      <c r="P614" s="75">
        <f t="shared" si="110"/>
        <v>46.390699999999995</v>
      </c>
      <c r="Q614" s="76"/>
      <c r="R614" s="76"/>
      <c r="S614" s="77"/>
      <c r="U614" s="8">
        <f>bdrate($E614:$E617,F614:F617,$M614:$M617,N614:N617)</f>
        <v>-5.3264936050734235E-7</v>
      </c>
      <c r="V614" s="9">
        <f>bdrate($E614:$E617,G614:G617,$M614:$M617,O614:O617)</f>
        <v>-4.9042781524732959E-7</v>
      </c>
      <c r="W614" s="10">
        <f>bdrate($E614:$E617,H614:H617,$M614:$M617,P614:P617)</f>
        <v>-5.0345330182555159E-7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68">
        <f t="shared" si="107"/>
        <v>2523.0392000000002</v>
      </c>
      <c r="F615" s="68">
        <f t="shared" si="108"/>
        <v>38.13006</v>
      </c>
      <c r="G615" s="68">
        <f t="shared" si="108"/>
        <v>45.203699999999998</v>
      </c>
      <c r="H615" s="68">
        <f t="shared" si="108"/>
        <v>44.457720000000002</v>
      </c>
      <c r="I615" s="64"/>
      <c r="J615" s="64"/>
      <c r="K615" s="65"/>
      <c r="L615" s="29"/>
      <c r="M615" s="68">
        <f t="shared" si="109"/>
        <v>2523.0384000000004</v>
      </c>
      <c r="N615" s="68">
        <f t="shared" si="110"/>
        <v>38.13006</v>
      </c>
      <c r="O615" s="68">
        <f t="shared" si="110"/>
        <v>45.203699999999998</v>
      </c>
      <c r="P615" s="68">
        <f t="shared" si="110"/>
        <v>44.457720000000002</v>
      </c>
      <c r="Q615" s="64"/>
      <c r="R615" s="64"/>
      <c r="S615" s="65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68">
        <f t="shared" si="107"/>
        <v>1215.0352</v>
      </c>
      <c r="F616" s="68">
        <f t="shared" si="108"/>
        <v>35.410679999999999</v>
      </c>
      <c r="G616" s="68">
        <f t="shared" si="108"/>
        <v>43.49736</v>
      </c>
      <c r="H616" s="68">
        <f t="shared" si="108"/>
        <v>42.540979999999998</v>
      </c>
      <c r="I616" s="64"/>
      <c r="J616" s="64"/>
      <c r="K616" s="65"/>
      <c r="L616" s="29"/>
      <c r="M616" s="68">
        <f t="shared" si="109"/>
        <v>1215.0344</v>
      </c>
      <c r="N616" s="68">
        <f t="shared" si="110"/>
        <v>35.410679999999999</v>
      </c>
      <c r="O616" s="68">
        <f t="shared" si="110"/>
        <v>43.49736</v>
      </c>
      <c r="P616" s="68">
        <f t="shared" si="110"/>
        <v>42.540979999999998</v>
      </c>
      <c r="Q616" s="64"/>
      <c r="R616" s="64"/>
      <c r="S616" s="65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1"/>
      <c r="D617" s="69">
        <v>40</v>
      </c>
      <c r="E617" s="78">
        <f t="shared" si="107"/>
        <v>580.2432</v>
      </c>
      <c r="F617" s="78">
        <f t="shared" si="108"/>
        <v>32.984540000000003</v>
      </c>
      <c r="G617" s="78">
        <f t="shared" si="108"/>
        <v>42.430700000000002</v>
      </c>
      <c r="H617" s="78">
        <f t="shared" si="108"/>
        <v>41.198099999999997</v>
      </c>
      <c r="I617" s="66"/>
      <c r="J617" s="66"/>
      <c r="K617" s="67"/>
      <c r="L617" s="29"/>
      <c r="M617" s="78">
        <f t="shared" si="109"/>
        <v>580.24239999999998</v>
      </c>
      <c r="N617" s="78">
        <f t="shared" si="110"/>
        <v>32.984540000000003</v>
      </c>
      <c r="O617" s="78">
        <f t="shared" si="110"/>
        <v>42.430700000000002</v>
      </c>
      <c r="P617" s="78">
        <f t="shared" si="110"/>
        <v>41.198099999999997</v>
      </c>
      <c r="Q617" s="66"/>
      <c r="R617" s="66"/>
      <c r="S617" s="67"/>
      <c r="U617" s="82"/>
      <c r="V617" s="83"/>
      <c r="W617" s="84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5">
        <f t="shared" si="107"/>
        <v>6057.3087999999998</v>
      </c>
      <c r="F618" s="75">
        <f t="shared" ref="F618:H621" si="111">AVERAGE(F367,F371,F375,F391,F395,F399,F403,F407,F411)</f>
        <v>40.942733333333337</v>
      </c>
      <c r="G618" s="75">
        <f t="shared" si="111"/>
        <v>46.902666666666669</v>
      </c>
      <c r="H618" s="75">
        <f t="shared" si="111"/>
        <v>46.474266666666665</v>
      </c>
      <c r="I618" s="76"/>
      <c r="J618" s="76"/>
      <c r="K618" s="77"/>
      <c r="L618" s="29"/>
      <c r="M618" s="75">
        <f t="shared" si="109"/>
        <v>6057.308</v>
      </c>
      <c r="N618" s="75">
        <f t="shared" ref="N618:P621" si="112">AVERAGE(N367,N371,N375,N391,N395,N399,N403,N407,N411)</f>
        <v>40.942733333333337</v>
      </c>
      <c r="O618" s="75">
        <f t="shared" si="112"/>
        <v>46.902666666666669</v>
      </c>
      <c r="P618" s="75">
        <f t="shared" si="112"/>
        <v>46.474266666666665</v>
      </c>
      <c r="Q618" s="76"/>
      <c r="R618" s="76"/>
      <c r="S618" s="77"/>
      <c r="U618" s="8">
        <f>bdrate($E618:$E621,F618:F621,$M618:$M621,N618:N621)</f>
        <v>-4.7966387040077052E-7</v>
      </c>
      <c r="V618" s="9">
        <f>bdrate($E618:$E621,G618:G621,$M618:$M621,O618:O621)</f>
        <v>-4.439248250109884E-7</v>
      </c>
      <c r="W618" s="10">
        <f>bdrate($E618:$E621,H618:H621,$M618:$M621,P618:P621)</f>
        <v>-4.5490572597728374E-7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68">
        <f t="shared" si="107"/>
        <v>2801.6167999999998</v>
      </c>
      <c r="F619" s="68">
        <f t="shared" si="111"/>
        <v>38.094522222222217</v>
      </c>
      <c r="G619" s="68">
        <f t="shared" si="111"/>
        <v>45.232044444444441</v>
      </c>
      <c r="H619" s="68">
        <f t="shared" si="111"/>
        <v>44.530033333333328</v>
      </c>
      <c r="I619" s="64"/>
      <c r="J619" s="64"/>
      <c r="K619" s="65"/>
      <c r="L619" s="29"/>
      <c r="M619" s="68">
        <f t="shared" si="109"/>
        <v>2801.616</v>
      </c>
      <c r="N619" s="68">
        <f t="shared" si="112"/>
        <v>38.094522222222217</v>
      </c>
      <c r="O619" s="68">
        <f t="shared" si="112"/>
        <v>45.232044444444441</v>
      </c>
      <c r="P619" s="68">
        <f t="shared" si="112"/>
        <v>44.530033333333328</v>
      </c>
      <c r="Q619" s="64"/>
      <c r="R619" s="64"/>
      <c r="S619" s="65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68">
        <f t="shared" si="107"/>
        <v>1346.4032</v>
      </c>
      <c r="F620" s="68">
        <f t="shared" si="111"/>
        <v>35.38547777777778</v>
      </c>
      <c r="G620" s="68">
        <f t="shared" si="111"/>
        <v>43.538511111111106</v>
      </c>
      <c r="H620" s="68">
        <f t="shared" si="111"/>
        <v>42.60091111111111</v>
      </c>
      <c r="I620" s="64"/>
      <c r="J620" s="64"/>
      <c r="K620" s="65"/>
      <c r="L620" s="29"/>
      <c r="M620" s="68">
        <f t="shared" si="109"/>
        <v>1346.4023999999999</v>
      </c>
      <c r="N620" s="68">
        <f t="shared" si="112"/>
        <v>35.38547777777778</v>
      </c>
      <c r="O620" s="68">
        <f t="shared" si="112"/>
        <v>43.538511111111106</v>
      </c>
      <c r="P620" s="68">
        <f t="shared" si="112"/>
        <v>42.60091111111111</v>
      </c>
      <c r="Q620" s="64"/>
      <c r="R620" s="64"/>
      <c r="S620" s="65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1"/>
      <c r="C621" s="51"/>
      <c r="D621" s="69">
        <v>40</v>
      </c>
      <c r="E621" s="78">
        <f t="shared" si="107"/>
        <v>647.40319999999997</v>
      </c>
      <c r="F621" s="78">
        <f t="shared" si="111"/>
        <v>32.959899999999998</v>
      </c>
      <c r="G621" s="78">
        <f t="shared" si="111"/>
        <v>42.460055555555556</v>
      </c>
      <c r="H621" s="78">
        <f t="shared" si="111"/>
        <v>41.226688888888887</v>
      </c>
      <c r="I621" s="66"/>
      <c r="J621" s="66"/>
      <c r="K621" s="67"/>
      <c r="L621" s="29"/>
      <c r="M621" s="78">
        <f t="shared" si="109"/>
        <v>647.40239999999994</v>
      </c>
      <c r="N621" s="78">
        <f t="shared" si="112"/>
        <v>32.959899999999998</v>
      </c>
      <c r="O621" s="78">
        <f t="shared" si="112"/>
        <v>42.460055555555556</v>
      </c>
      <c r="P621" s="78">
        <f t="shared" si="112"/>
        <v>41.226688888888887</v>
      </c>
      <c r="Q621" s="66"/>
      <c r="R621" s="66"/>
      <c r="S621" s="67"/>
      <c r="U621" s="82"/>
      <c r="V621" s="83"/>
      <c r="W621" s="84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59"/>
      <c r="Z625" s="59"/>
      <c r="AA625" s="59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59"/>
      <c r="AA645" s="59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59"/>
      <c r="Z658" s="59"/>
      <c r="AA658" s="59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59"/>
      <c r="Z677" s="59"/>
      <c r="AA677" s="59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59"/>
      <c r="AA697" s="59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59"/>
      <c r="Z710" s="59"/>
      <c r="AA710" s="59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59"/>
      <c r="Z729" s="59"/>
      <c r="AA729" s="59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  <c r="AC743" s="24"/>
    </row>
    <row r="744" spans="25:29">
      <c r="Y744" s="24"/>
      <c r="Z744" s="24"/>
      <c r="AA744" s="24"/>
      <c r="AB744" s="24"/>
      <c r="AC744" s="24"/>
    </row>
    <row r="745" spans="25:29">
      <c r="Y745" s="24"/>
      <c r="Z745" s="24"/>
      <c r="AA745" s="24"/>
      <c r="AB745" s="24"/>
      <c r="AC745" s="24"/>
    </row>
    <row r="746" spans="25:29">
      <c r="Y746" s="24"/>
      <c r="Z746" s="24"/>
      <c r="AA746" s="24"/>
      <c r="AB746" s="24"/>
      <c r="AC746" s="24"/>
    </row>
    <row r="747" spans="25:29">
      <c r="Y747" s="24"/>
      <c r="Z747" s="24"/>
      <c r="AA747" s="24"/>
      <c r="AB747" s="24"/>
      <c r="AC747" s="24"/>
    </row>
    <row r="748" spans="25:29">
      <c r="Y748" s="24"/>
      <c r="Z748" s="24"/>
      <c r="AA748" s="24"/>
      <c r="AB748" s="24"/>
      <c r="AC748" s="24"/>
    </row>
    <row r="749" spans="25:29">
      <c r="Y749" s="24"/>
      <c r="Z749" s="59"/>
      <c r="AA749" s="59"/>
      <c r="AB749" s="24"/>
      <c r="AC749" s="24"/>
    </row>
    <row r="750" spans="25:29">
      <c r="Y750" s="24"/>
      <c r="Z750" s="24"/>
      <c r="AA750" s="24"/>
      <c r="AB750" s="24"/>
      <c r="AC750" s="24"/>
    </row>
    <row r="751" spans="25:29">
      <c r="Y751" s="24"/>
      <c r="Z751" s="24"/>
      <c r="AA751" s="24"/>
      <c r="AB751" s="24"/>
      <c r="AC751" s="24"/>
    </row>
    <row r="752" spans="25:29">
      <c r="Y752" s="24"/>
      <c r="Z752" s="24"/>
      <c r="AA752" s="24"/>
      <c r="AB752" s="24"/>
      <c r="AC752" s="24"/>
    </row>
    <row r="753" spans="25:29">
      <c r="Y753" s="24"/>
      <c r="Z753" s="24"/>
      <c r="AA753" s="24"/>
      <c r="AB753" s="24"/>
      <c r="AC753" s="24"/>
    </row>
    <row r="754" spans="25:29">
      <c r="Y754" s="24"/>
      <c r="Z754" s="24"/>
      <c r="AA754" s="24"/>
      <c r="AB754" s="24"/>
      <c r="AC754" s="24"/>
    </row>
    <row r="755" spans="25:29">
      <c r="Y755" s="24"/>
      <c r="Z755" s="24"/>
      <c r="AA755" s="24"/>
      <c r="AB755" s="24"/>
      <c r="AC755" s="24"/>
    </row>
    <row r="756" spans="25:29">
      <c r="Y756" s="24"/>
      <c r="Z756" s="24"/>
      <c r="AA756" s="24"/>
      <c r="AB756" s="24"/>
      <c r="AC756" s="24"/>
    </row>
    <row r="757" spans="25:29">
      <c r="Y757" s="24"/>
      <c r="Z757" s="24"/>
      <c r="AA757" s="24"/>
      <c r="AB757" s="24"/>
      <c r="AC757" s="24"/>
    </row>
    <row r="758" spans="25:29">
      <c r="Y758" s="24"/>
      <c r="Z758" s="24"/>
      <c r="AA758" s="24"/>
      <c r="AB758" s="24"/>
      <c r="AC758" s="24"/>
    </row>
    <row r="759" spans="25:29">
      <c r="Y759" s="24"/>
      <c r="Z759" s="24"/>
      <c r="AA759" s="24"/>
      <c r="AB759" s="24"/>
      <c r="AC759" s="24"/>
    </row>
    <row r="760" spans="25:29">
      <c r="Y760" s="24"/>
      <c r="Z760" s="24"/>
      <c r="AA760" s="24"/>
      <c r="AB760" s="24"/>
      <c r="AC760" s="24"/>
    </row>
    <row r="761" spans="25:29">
      <c r="Y761" s="24"/>
      <c r="Z761" s="24"/>
      <c r="AA761" s="24"/>
      <c r="AB761" s="24"/>
      <c r="AC761" s="24"/>
    </row>
    <row r="762" spans="25:29">
      <c r="Y762" s="59"/>
      <c r="Z762" s="59"/>
      <c r="AA762" s="59"/>
      <c r="AB762" s="24"/>
      <c r="AC762" s="24"/>
    </row>
    <row r="763" spans="25:29">
      <c r="Y763" s="24"/>
      <c r="Z763" s="24"/>
      <c r="AA763" s="24"/>
      <c r="AB763" s="24"/>
      <c r="AC763" s="24"/>
    </row>
    <row r="764" spans="25:29">
      <c r="Y764" s="24"/>
      <c r="Z764" s="24"/>
      <c r="AA764" s="24"/>
      <c r="AB764" s="24"/>
      <c r="AC764" s="24"/>
    </row>
    <row r="765" spans="25:29">
      <c r="Y765" s="24"/>
      <c r="Z765" s="24"/>
      <c r="AA765" s="24"/>
      <c r="AB765" s="24"/>
      <c r="AC765" s="24"/>
    </row>
    <row r="766" spans="25:29">
      <c r="Y766" s="24"/>
      <c r="Z766" s="24"/>
      <c r="AA766" s="24"/>
    </row>
    <row r="767" spans="25:29">
      <c r="Y767" s="24"/>
      <c r="Z767" s="24"/>
      <c r="AA767" s="24"/>
    </row>
    <row r="768" spans="25:29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59"/>
      <c r="Z781" s="59"/>
      <c r="AA781" s="59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59"/>
      <c r="AA801" s="59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59"/>
      <c r="Z814" s="59"/>
      <c r="AA814" s="59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dataConsolidate/>
  <mergeCells count="7">
    <mergeCell ref="Y1:AA1"/>
    <mergeCell ref="E428:K428"/>
    <mergeCell ref="M428:S428"/>
    <mergeCell ref="U428:W428"/>
    <mergeCell ref="E1:K1"/>
    <mergeCell ref="M1:S1"/>
    <mergeCell ref="U1:W1"/>
  </mergeCells>
  <phoneticPr fontId="15" type="noConversion"/>
  <conditionalFormatting sqref="U304:W306 U309:W310 U314:W314 U312:W312">
    <cfRule type="cellIs" dxfId="575" priority="1087" operator="greaterThan">
      <formula>0.03</formula>
    </cfRule>
    <cfRule type="cellIs" dxfId="574" priority="1088" stopIfTrue="1" operator="lessThan">
      <formula>-0.03</formula>
    </cfRule>
  </conditionalFormatting>
  <conditionalFormatting sqref="U4:W6 U9:W10 U14:W14 U20:W22 U12:W12 U16:W17">
    <cfRule type="cellIs" dxfId="573" priority="2505" operator="greaterThan">
      <formula>0.03</formula>
    </cfRule>
    <cfRule type="cellIs" dxfId="572" priority="2506" stopIfTrue="1" operator="lessThan">
      <formula>-0.03</formula>
    </cfRule>
  </conditionalFormatting>
  <conditionalFormatting sqref="U271:W271">
    <cfRule type="cellIs" dxfId="571" priority="1055" operator="greaterThan">
      <formula>0.03</formula>
    </cfRule>
    <cfRule type="cellIs" dxfId="570" priority="1056" stopIfTrue="1" operator="lessThan">
      <formula>-0.03</formula>
    </cfRule>
  </conditionalFormatting>
  <conditionalFormatting sqref="U308:W308">
    <cfRule type="cellIs" dxfId="569" priority="1079" operator="greaterThan">
      <formula>0.03</formula>
    </cfRule>
    <cfRule type="cellIs" dxfId="568" priority="1080" stopIfTrue="1" operator="lessThan">
      <formula>-0.03</formula>
    </cfRule>
  </conditionalFormatting>
  <conditionalFormatting sqref="U313:W313">
    <cfRule type="cellIs" dxfId="567" priority="1071" operator="greaterThan">
      <formula>0.03</formula>
    </cfRule>
    <cfRule type="cellIs" dxfId="566" priority="1072" stopIfTrue="1" operator="lessThan">
      <formula>-0.03</formula>
    </cfRule>
  </conditionalFormatting>
  <conditionalFormatting sqref="U267:W267">
    <cfRule type="cellIs" dxfId="565" priority="1063" operator="greaterThan">
      <formula>0.03</formula>
    </cfRule>
    <cfRule type="cellIs" dxfId="564" priority="1064" stopIfTrue="1" operator="lessThan">
      <formula>-0.03</formula>
    </cfRule>
  </conditionalFormatting>
  <conditionalFormatting sqref="U288:W288">
    <cfRule type="cellIs" dxfId="563" priority="1111" operator="greaterThan">
      <formula>0.03</formula>
    </cfRule>
    <cfRule type="cellIs" dxfId="562" priority="1112" stopIfTrue="1" operator="lessThan">
      <formula>-0.03</formula>
    </cfRule>
  </conditionalFormatting>
  <conditionalFormatting sqref="U293:W293">
    <cfRule type="cellIs" dxfId="561" priority="1103" operator="greaterThan">
      <formula>0.03</formula>
    </cfRule>
    <cfRule type="cellIs" dxfId="560" priority="1104" stopIfTrue="1" operator="lessThan">
      <formula>-0.03</formula>
    </cfRule>
  </conditionalFormatting>
  <conditionalFormatting sqref="U298:W298">
    <cfRule type="cellIs" dxfId="559" priority="1095" operator="greaterThan">
      <formula>0.03</formula>
    </cfRule>
    <cfRule type="cellIs" dxfId="558" priority="1096" stopIfTrue="1" operator="lessThan">
      <formula>-0.03</formula>
    </cfRule>
  </conditionalFormatting>
  <conditionalFormatting sqref="U53:W53">
    <cfRule type="cellIs" dxfId="557" priority="2323" operator="greaterThan">
      <formula>0.03</formula>
    </cfRule>
    <cfRule type="cellIs" dxfId="556" priority="2324" stopIfTrue="1" operator="lessThan">
      <formula>-0.03</formula>
    </cfRule>
  </conditionalFormatting>
  <conditionalFormatting sqref="U273:W273">
    <cfRule type="cellIs" dxfId="555" priority="1137" operator="greaterThan">
      <formula>0.03</formula>
    </cfRule>
    <cfRule type="cellIs" dxfId="554" priority="1138" stopIfTrue="1" operator="lessThan">
      <formula>-0.03</formula>
    </cfRule>
  </conditionalFormatting>
  <conditionalFormatting sqref="U278:W278">
    <cfRule type="cellIs" dxfId="553" priority="1129" operator="greaterThan">
      <formula>0.03</formula>
    </cfRule>
    <cfRule type="cellIs" dxfId="552" priority="1130" stopIfTrue="1" operator="lessThan">
      <formula>-0.03</formula>
    </cfRule>
  </conditionalFormatting>
  <conditionalFormatting sqref="U259:W259">
    <cfRule type="cellIs" dxfId="551" priority="1171" operator="greaterThan">
      <formula>0.03</formula>
    </cfRule>
    <cfRule type="cellIs" dxfId="550" priority="1172" stopIfTrue="1" operator="lessThan">
      <formula>-0.03</formula>
    </cfRule>
  </conditionalFormatting>
  <conditionalFormatting sqref="U283:W283">
    <cfRule type="cellIs" dxfId="549" priority="1031" operator="greaterThan">
      <formula>0.03</formula>
    </cfRule>
    <cfRule type="cellIs" dxfId="548" priority="1032" stopIfTrue="1" operator="lessThan">
      <formula>-0.03</formula>
    </cfRule>
  </conditionalFormatting>
  <conditionalFormatting sqref="U284:W286 U289:W290 U294:W294 U300:W302 U292:W292 U296:W297">
    <cfRule type="cellIs" dxfId="547" priority="1121" operator="greaterThan">
      <formula>0.03</formula>
    </cfRule>
    <cfRule type="cellIs" dxfId="546" priority="1122" stopIfTrue="1" operator="lessThan">
      <formula>-0.03</formula>
    </cfRule>
  </conditionalFormatting>
  <conditionalFormatting sqref="U3:W3">
    <cfRule type="cellIs" dxfId="545" priority="2471" operator="greaterThan">
      <formula>0.03</formula>
    </cfRule>
    <cfRule type="cellIs" dxfId="544" priority="2472" stopIfTrue="1" operator="lessThan">
      <formula>-0.03</formula>
    </cfRule>
  </conditionalFormatting>
  <conditionalFormatting sqref="U287:W287">
    <cfRule type="cellIs" dxfId="543" priority="1023" operator="greaterThan">
      <formula>0.03</formula>
    </cfRule>
    <cfRule type="cellIs" dxfId="542" priority="1024" stopIfTrue="1" operator="lessThan">
      <formula>-0.03</formula>
    </cfRule>
  </conditionalFormatting>
  <conditionalFormatting sqref="U8:W8">
    <cfRule type="cellIs" dxfId="541" priority="2463" operator="greaterThan">
      <formula>0.03</formula>
    </cfRule>
    <cfRule type="cellIs" dxfId="540" priority="2464" stopIfTrue="1" operator="lessThan">
      <formula>-0.03</formula>
    </cfRule>
  </conditionalFormatting>
  <conditionalFormatting sqref="U13:W13">
    <cfRule type="cellIs" dxfId="539" priority="2455" operator="greaterThan">
      <formula>0.03</formula>
    </cfRule>
    <cfRule type="cellIs" dxfId="538" priority="2456" stopIfTrue="1" operator="lessThan">
      <formula>-0.03</formula>
    </cfRule>
  </conditionalFormatting>
  <conditionalFormatting sqref="U18:W18">
    <cfRule type="cellIs" dxfId="537" priority="2447" operator="greaterThan">
      <formula>0.03</formula>
    </cfRule>
    <cfRule type="cellIs" dxfId="536" priority="2448" stopIfTrue="1" operator="lessThan">
      <formula>-0.03</formula>
    </cfRule>
  </conditionalFormatting>
  <conditionalFormatting sqref="U24:W26 U29:W30 U34:W34 U40:W42 U32:W32 U36:W37">
    <cfRule type="cellIs" dxfId="535" priority="2439" operator="greaterThan">
      <formula>0.03</formula>
    </cfRule>
    <cfRule type="cellIs" dxfId="534" priority="2440" stopIfTrue="1" operator="lessThan">
      <formula>-0.03</formula>
    </cfRule>
  </conditionalFormatting>
  <conditionalFormatting sqref="U38:W38">
    <cfRule type="cellIs" dxfId="533" priority="2381" operator="greaterThan">
      <formula>0.03</formula>
    </cfRule>
    <cfRule type="cellIs" dxfId="532" priority="2382" stopIfTrue="1" operator="lessThan">
      <formula>-0.03</formula>
    </cfRule>
  </conditionalFormatting>
  <conditionalFormatting sqref="U28:W28">
    <cfRule type="cellIs" dxfId="531" priority="2397" operator="greaterThan">
      <formula>0.03</formula>
    </cfRule>
    <cfRule type="cellIs" dxfId="530" priority="2398" stopIfTrue="1" operator="lessThan">
      <formula>-0.03</formula>
    </cfRule>
  </conditionalFormatting>
  <conditionalFormatting sqref="U33:W33">
    <cfRule type="cellIs" dxfId="529" priority="2389" operator="greaterThan">
      <formula>0.03</formula>
    </cfRule>
    <cfRule type="cellIs" dxfId="528" priority="2390" stopIfTrue="1" operator="lessThan">
      <formula>-0.03</formula>
    </cfRule>
  </conditionalFormatting>
  <conditionalFormatting sqref="U44:W46 U49:W50 U54:W54 U52:W52">
    <cfRule type="cellIs" dxfId="527" priority="2373" operator="greaterThan">
      <formula>0.03</formula>
    </cfRule>
    <cfRule type="cellIs" dxfId="526" priority="2374" stopIfTrue="1" operator="lessThan">
      <formula>-0.03</formula>
    </cfRule>
  </conditionalFormatting>
  <conditionalFormatting sqref="U255:W255">
    <cfRule type="cellIs" dxfId="525" priority="1179" operator="greaterThan">
      <formula>0.03</formula>
    </cfRule>
    <cfRule type="cellIs" dxfId="524" priority="1180" stopIfTrue="1" operator="lessThan">
      <formula>-0.03</formula>
    </cfRule>
  </conditionalFormatting>
  <conditionalFormatting sqref="U462:W462">
    <cfRule type="cellIs" dxfId="523" priority="671" operator="greaterThan">
      <formula>0.03</formula>
    </cfRule>
    <cfRule type="cellIs" dxfId="522" priority="672" stopIfTrue="1" operator="lessThan">
      <formula>-0.03</formula>
    </cfRule>
  </conditionalFormatting>
  <conditionalFormatting sqref="U48:W48">
    <cfRule type="cellIs" dxfId="521" priority="2331" operator="greaterThan">
      <formula>0.03</formula>
    </cfRule>
    <cfRule type="cellIs" dxfId="520" priority="2332" stopIfTrue="1" operator="lessThan">
      <formula>-0.03</formula>
    </cfRule>
  </conditionalFormatting>
  <conditionalFormatting sqref="U275:W275">
    <cfRule type="cellIs" dxfId="519" priority="1047" operator="greaterThan">
      <formula>0.03</formula>
    </cfRule>
    <cfRule type="cellIs" dxfId="518" priority="1048" stopIfTrue="1" operator="lessThan">
      <formula>-0.03</formula>
    </cfRule>
  </conditionalFormatting>
  <conditionalFormatting sqref="U279:W279">
    <cfRule type="cellIs" dxfId="517" priority="1039" operator="greaterThan">
      <formula>0.03</formula>
    </cfRule>
    <cfRule type="cellIs" dxfId="516" priority="1040" stopIfTrue="1" operator="lessThan">
      <formula>-0.03</formula>
    </cfRule>
  </conditionalFormatting>
  <conditionalFormatting sqref="U499:W501">
    <cfRule type="cellIs" dxfId="515" priority="567" operator="greaterThan">
      <formula>0.03</formula>
    </cfRule>
    <cfRule type="cellIs" dxfId="514" priority="568" stopIfTrue="1" operator="lessThan">
      <formula>-0.03</formula>
    </cfRule>
  </conditionalFormatting>
  <conditionalFormatting sqref="U498:W498">
    <cfRule type="cellIs" dxfId="513" priority="563" operator="greaterThan">
      <formula>0.03</formula>
    </cfRule>
    <cfRule type="cellIs" dxfId="512" priority="564" stopIfTrue="1" operator="lessThan">
      <formula>-0.03</formula>
    </cfRule>
  </conditionalFormatting>
  <conditionalFormatting sqref="U291:W291">
    <cfRule type="cellIs" dxfId="511" priority="1015" operator="greaterThan">
      <formula>0.03</formula>
    </cfRule>
    <cfRule type="cellIs" dxfId="510" priority="1016" stopIfTrue="1" operator="lessThan">
      <formula>-0.03</formula>
    </cfRule>
  </conditionalFormatting>
  <conditionalFormatting sqref="U295:W295">
    <cfRule type="cellIs" dxfId="509" priority="1007" operator="greaterThan">
      <formula>0.03</formula>
    </cfRule>
    <cfRule type="cellIs" dxfId="508" priority="1008" stopIfTrue="1" operator="lessThan">
      <formula>-0.03</formula>
    </cfRule>
  </conditionalFormatting>
  <conditionalFormatting sqref="U247:W247">
    <cfRule type="cellIs" dxfId="507" priority="1195" operator="greaterThan">
      <formula>0.03</formula>
    </cfRule>
    <cfRule type="cellIs" dxfId="506" priority="1196" stopIfTrue="1" operator="lessThan">
      <formula>-0.03</formula>
    </cfRule>
  </conditionalFormatting>
  <conditionalFormatting sqref="U251:W251">
    <cfRule type="cellIs" dxfId="505" priority="1187" operator="greaterThan">
      <formula>0.03</formula>
    </cfRule>
    <cfRule type="cellIs" dxfId="504" priority="1188" stopIfTrue="1" operator="lessThan">
      <formula>-0.03</formula>
    </cfRule>
  </conditionalFormatting>
  <conditionalFormatting sqref="U463:W465">
    <cfRule type="cellIs" dxfId="503" priority="675" operator="greaterThan">
      <formula>0.03</formula>
    </cfRule>
    <cfRule type="cellIs" dxfId="502" priority="676" stopIfTrue="1" operator="lessThan">
      <formula>-0.03</formula>
    </cfRule>
  </conditionalFormatting>
  <conditionalFormatting sqref="U264:W266 U269:W270 U274:W274 U280:W282 U272:W272 U276:W277">
    <cfRule type="cellIs" dxfId="501" priority="1163" operator="greaterThan">
      <formula>0.03</formula>
    </cfRule>
    <cfRule type="cellIs" dxfId="500" priority="1164" stopIfTrue="1" operator="lessThan">
      <formula>-0.03</formula>
    </cfRule>
  </conditionalFormatting>
  <conditionalFormatting sqref="U263:W263">
    <cfRule type="cellIs" dxfId="499" priority="1153" operator="greaterThan">
      <formula>0.03</formula>
    </cfRule>
    <cfRule type="cellIs" dxfId="498" priority="1154" stopIfTrue="1" operator="lessThan">
      <formula>-0.03</formula>
    </cfRule>
  </conditionalFormatting>
  <conditionalFormatting sqref="U268:W268">
    <cfRule type="cellIs" dxfId="497" priority="1145" operator="greaterThan">
      <formula>0.03</formula>
    </cfRule>
    <cfRule type="cellIs" dxfId="496" priority="1146" stopIfTrue="1" operator="lessThan">
      <formula>-0.03</formula>
    </cfRule>
  </conditionalFormatting>
  <conditionalFormatting sqref="U474:W474">
    <cfRule type="cellIs" dxfId="495" priority="635" operator="greaterThan">
      <formula>0.03</formula>
    </cfRule>
    <cfRule type="cellIs" dxfId="494" priority="636" stopIfTrue="1" operator="lessThan">
      <formula>-0.03</formula>
    </cfRule>
  </conditionalFormatting>
  <conditionalFormatting sqref="U479:W481">
    <cfRule type="cellIs" dxfId="493" priority="627" operator="greaterThan">
      <formula>0.03</formula>
    </cfRule>
    <cfRule type="cellIs" dxfId="492" priority="628" stopIfTrue="1" operator="lessThan">
      <formula>-0.03</formula>
    </cfRule>
  </conditionalFormatting>
  <conditionalFormatting sqref="U478:W478">
    <cfRule type="cellIs" dxfId="491" priority="623" operator="greaterThan">
      <formula>0.03</formula>
    </cfRule>
    <cfRule type="cellIs" dxfId="490" priority="624" stopIfTrue="1" operator="lessThan">
      <formula>-0.03</formula>
    </cfRule>
  </conditionalFormatting>
  <conditionalFormatting sqref="U483:W485">
    <cfRule type="cellIs" dxfId="489" priority="615" operator="greaterThan">
      <formula>0.03</formula>
    </cfRule>
    <cfRule type="cellIs" dxfId="488" priority="616" stopIfTrue="1" operator="lessThan">
      <formula>-0.03</formula>
    </cfRule>
  </conditionalFormatting>
  <conditionalFormatting sqref="U482:W482">
    <cfRule type="cellIs" dxfId="487" priority="611" operator="greaterThan">
      <formula>0.03</formula>
    </cfRule>
    <cfRule type="cellIs" dxfId="486" priority="612" stopIfTrue="1" operator="lessThan">
      <formula>-0.03</formula>
    </cfRule>
  </conditionalFormatting>
  <conditionalFormatting sqref="U487:W489">
    <cfRule type="cellIs" dxfId="485" priority="603" operator="greaterThan">
      <formula>0.03</formula>
    </cfRule>
    <cfRule type="cellIs" dxfId="484" priority="604" stopIfTrue="1" operator="lessThan">
      <formula>-0.03</formula>
    </cfRule>
  </conditionalFormatting>
  <conditionalFormatting sqref="U486:W486">
    <cfRule type="cellIs" dxfId="483" priority="599" operator="greaterThan">
      <formula>0.03</formula>
    </cfRule>
    <cfRule type="cellIs" dxfId="482" priority="600" stopIfTrue="1" operator="lessThan">
      <formula>-0.03</formula>
    </cfRule>
  </conditionalFormatting>
  <conditionalFormatting sqref="U491:W493">
    <cfRule type="cellIs" dxfId="481" priority="591" operator="greaterThan">
      <formula>0.03</formula>
    </cfRule>
    <cfRule type="cellIs" dxfId="480" priority="592" stopIfTrue="1" operator="lessThan">
      <formula>-0.03</formula>
    </cfRule>
  </conditionalFormatting>
  <conditionalFormatting sqref="U490:W490">
    <cfRule type="cellIs" dxfId="479" priority="587" operator="greaterThan">
      <formula>0.03</formula>
    </cfRule>
    <cfRule type="cellIs" dxfId="478" priority="588" stopIfTrue="1" operator="lessThan">
      <formula>-0.03</formula>
    </cfRule>
  </conditionalFormatting>
  <conditionalFormatting sqref="U495:W497">
    <cfRule type="cellIs" dxfId="477" priority="579" operator="greaterThan">
      <formula>0.03</formula>
    </cfRule>
    <cfRule type="cellIs" dxfId="476" priority="580" stopIfTrue="1" operator="lessThan">
      <formula>-0.03</formula>
    </cfRule>
  </conditionalFormatting>
  <conditionalFormatting sqref="U494:W494">
    <cfRule type="cellIs" dxfId="475" priority="575" operator="greaterThan">
      <formula>0.03</formula>
    </cfRule>
    <cfRule type="cellIs" dxfId="474" priority="576" stopIfTrue="1" operator="lessThan">
      <formula>-0.03</formula>
    </cfRule>
  </conditionalFormatting>
  <conditionalFormatting sqref="U7:W7">
    <cfRule type="cellIs" dxfId="473" priority="2043" operator="greaterThan">
      <formula>0.03</formula>
    </cfRule>
    <cfRule type="cellIs" dxfId="472" priority="2044" stopIfTrue="1" operator="lessThan">
      <formula>-0.03</formula>
    </cfRule>
  </conditionalFormatting>
  <conditionalFormatting sqref="U11:W11">
    <cfRule type="cellIs" dxfId="471" priority="2035" operator="greaterThan">
      <formula>0.03</formula>
    </cfRule>
    <cfRule type="cellIs" dxfId="470" priority="2036" stopIfTrue="1" operator="lessThan">
      <formula>-0.03</formula>
    </cfRule>
  </conditionalFormatting>
  <conditionalFormatting sqref="U15:W15">
    <cfRule type="cellIs" dxfId="469" priority="2027" operator="greaterThan">
      <formula>0.03</formula>
    </cfRule>
    <cfRule type="cellIs" dxfId="468" priority="2028" stopIfTrue="1" operator="lessThan">
      <formula>-0.03</formula>
    </cfRule>
  </conditionalFormatting>
  <conditionalFormatting sqref="U19:W19">
    <cfRule type="cellIs" dxfId="467" priority="2019" operator="greaterThan">
      <formula>0.03</formula>
    </cfRule>
    <cfRule type="cellIs" dxfId="466" priority="2020" stopIfTrue="1" operator="lessThan">
      <formula>-0.03</formula>
    </cfRule>
  </conditionalFormatting>
  <conditionalFormatting sqref="U23:W23">
    <cfRule type="cellIs" dxfId="465" priority="2011" operator="greaterThan">
      <formula>0.03</formula>
    </cfRule>
    <cfRule type="cellIs" dxfId="464" priority="2012" stopIfTrue="1" operator="lessThan">
      <formula>-0.03</formula>
    </cfRule>
  </conditionalFormatting>
  <conditionalFormatting sqref="U27:W27">
    <cfRule type="cellIs" dxfId="463" priority="2003" operator="greaterThan">
      <formula>0.03</formula>
    </cfRule>
    <cfRule type="cellIs" dxfId="462" priority="2004" stopIfTrue="1" operator="lessThan">
      <formula>-0.03</formula>
    </cfRule>
  </conditionalFormatting>
  <conditionalFormatting sqref="U31:W31">
    <cfRule type="cellIs" dxfId="461" priority="1995" operator="greaterThan">
      <formula>0.03</formula>
    </cfRule>
    <cfRule type="cellIs" dxfId="460" priority="1996" stopIfTrue="1" operator="lessThan">
      <formula>-0.03</formula>
    </cfRule>
  </conditionalFormatting>
  <conditionalFormatting sqref="U35:W35">
    <cfRule type="cellIs" dxfId="459" priority="1987" operator="greaterThan">
      <formula>0.03</formula>
    </cfRule>
    <cfRule type="cellIs" dxfId="458" priority="1988" stopIfTrue="1" operator="lessThan">
      <formula>-0.03</formula>
    </cfRule>
  </conditionalFormatting>
  <conditionalFormatting sqref="U39:W39">
    <cfRule type="cellIs" dxfId="457" priority="1979" operator="greaterThan">
      <formula>0.03</formula>
    </cfRule>
    <cfRule type="cellIs" dxfId="456" priority="1980" stopIfTrue="1" operator="lessThan">
      <formula>-0.03</formula>
    </cfRule>
  </conditionalFormatting>
  <conditionalFormatting sqref="U43:W43">
    <cfRule type="cellIs" dxfId="455" priority="1971" operator="greaterThan">
      <formula>0.03</formula>
    </cfRule>
    <cfRule type="cellIs" dxfId="454" priority="1972" stopIfTrue="1" operator="lessThan">
      <formula>-0.03</formula>
    </cfRule>
  </conditionalFormatting>
  <conditionalFormatting sqref="U47:W47">
    <cfRule type="cellIs" dxfId="453" priority="1963" operator="greaterThan">
      <formula>0.03</formula>
    </cfRule>
    <cfRule type="cellIs" dxfId="452" priority="1964" stopIfTrue="1" operator="lessThan">
      <formula>-0.03</formula>
    </cfRule>
  </conditionalFormatting>
  <conditionalFormatting sqref="U51:W51">
    <cfRule type="cellIs" dxfId="451" priority="1955" operator="greaterThan">
      <formula>0.03</formula>
    </cfRule>
    <cfRule type="cellIs" dxfId="450" priority="1956" stopIfTrue="1" operator="lessThan">
      <formula>-0.03</formula>
    </cfRule>
  </conditionalFormatting>
  <conditionalFormatting sqref="U56:W58 U61:W62 U66:W66 U72:W74 U64:W64 U68:W69">
    <cfRule type="cellIs" dxfId="449" priority="1947" operator="greaterThan">
      <formula>0.03</formula>
    </cfRule>
    <cfRule type="cellIs" dxfId="448" priority="1948" stopIfTrue="1" operator="lessThan">
      <formula>-0.03</formula>
    </cfRule>
  </conditionalFormatting>
  <conditionalFormatting sqref="U105:W105">
    <cfRule type="cellIs" dxfId="447" priority="1855" operator="greaterThan">
      <formula>0.03</formula>
    </cfRule>
    <cfRule type="cellIs" dxfId="446" priority="1856" stopIfTrue="1" operator="lessThan">
      <formula>-0.03</formula>
    </cfRule>
  </conditionalFormatting>
  <conditionalFormatting sqref="U55:W55">
    <cfRule type="cellIs" dxfId="445" priority="1937" operator="greaterThan">
      <formula>0.03</formula>
    </cfRule>
    <cfRule type="cellIs" dxfId="444" priority="1938" stopIfTrue="1" operator="lessThan">
      <formula>-0.03</formula>
    </cfRule>
  </conditionalFormatting>
  <conditionalFormatting sqref="U60:W60">
    <cfRule type="cellIs" dxfId="443" priority="1929" operator="greaterThan">
      <formula>0.03</formula>
    </cfRule>
    <cfRule type="cellIs" dxfId="442" priority="1930" stopIfTrue="1" operator="lessThan">
      <formula>-0.03</formula>
    </cfRule>
  </conditionalFormatting>
  <conditionalFormatting sqref="U65:W65">
    <cfRule type="cellIs" dxfId="441" priority="1921" operator="greaterThan">
      <formula>0.03</formula>
    </cfRule>
    <cfRule type="cellIs" dxfId="440" priority="1922" stopIfTrue="1" operator="lessThan">
      <formula>-0.03</formula>
    </cfRule>
  </conditionalFormatting>
  <conditionalFormatting sqref="U70:W70">
    <cfRule type="cellIs" dxfId="439" priority="1913" operator="greaterThan">
      <formula>0.03</formula>
    </cfRule>
    <cfRule type="cellIs" dxfId="438" priority="1914" stopIfTrue="1" operator="lessThan">
      <formula>-0.03</formula>
    </cfRule>
  </conditionalFormatting>
  <conditionalFormatting sqref="U76:W78 U81:W82 U86:W86 U92:W94 U84:W84 U88:W89">
    <cfRule type="cellIs" dxfId="437" priority="1905" operator="greaterThan">
      <formula>0.03</formula>
    </cfRule>
    <cfRule type="cellIs" dxfId="436" priority="1906" stopIfTrue="1" operator="lessThan">
      <formula>-0.03</formula>
    </cfRule>
  </conditionalFormatting>
  <conditionalFormatting sqref="U90:W90">
    <cfRule type="cellIs" dxfId="435" priority="1879" operator="greaterThan">
      <formula>0.03</formula>
    </cfRule>
    <cfRule type="cellIs" dxfId="434" priority="1880" stopIfTrue="1" operator="lessThan">
      <formula>-0.03</formula>
    </cfRule>
  </conditionalFormatting>
  <conditionalFormatting sqref="U80:W80">
    <cfRule type="cellIs" dxfId="433" priority="1895" operator="greaterThan">
      <formula>0.03</formula>
    </cfRule>
    <cfRule type="cellIs" dxfId="432" priority="1896" stopIfTrue="1" operator="lessThan">
      <formula>-0.03</formula>
    </cfRule>
  </conditionalFormatting>
  <conditionalFormatting sqref="U85:W85">
    <cfRule type="cellIs" dxfId="431" priority="1887" operator="greaterThan">
      <formula>0.03</formula>
    </cfRule>
    <cfRule type="cellIs" dxfId="430" priority="1888" stopIfTrue="1" operator="lessThan">
      <formula>-0.03</formula>
    </cfRule>
  </conditionalFormatting>
  <conditionalFormatting sqref="U96:W98 U101:W102 U106:W106 U104:W104">
    <cfRule type="cellIs" dxfId="429" priority="1871" operator="greaterThan">
      <formula>0.03</formula>
    </cfRule>
    <cfRule type="cellIs" dxfId="428" priority="1872" stopIfTrue="1" operator="lessThan">
      <formula>-0.03</formula>
    </cfRule>
  </conditionalFormatting>
  <conditionalFormatting sqref="U100:W100">
    <cfRule type="cellIs" dxfId="427" priority="1863" operator="greaterThan">
      <formula>0.03</formula>
    </cfRule>
    <cfRule type="cellIs" dxfId="426" priority="1864" stopIfTrue="1" operator="lessThan">
      <formula>-0.03</formula>
    </cfRule>
  </conditionalFormatting>
  <conditionalFormatting sqref="U59:W59">
    <cfRule type="cellIs" dxfId="425" priority="1847" operator="greaterThan">
      <formula>0.03</formula>
    </cfRule>
    <cfRule type="cellIs" dxfId="424" priority="1848" stopIfTrue="1" operator="lessThan">
      <formula>-0.03</formula>
    </cfRule>
  </conditionalFormatting>
  <conditionalFormatting sqref="U63:W63">
    <cfRule type="cellIs" dxfId="423" priority="1839" operator="greaterThan">
      <formula>0.03</formula>
    </cfRule>
    <cfRule type="cellIs" dxfId="422" priority="1840" stopIfTrue="1" operator="lessThan">
      <formula>-0.03</formula>
    </cfRule>
  </conditionalFormatting>
  <conditionalFormatting sqref="U67:W67">
    <cfRule type="cellIs" dxfId="421" priority="1831" operator="greaterThan">
      <formula>0.03</formula>
    </cfRule>
    <cfRule type="cellIs" dxfId="420" priority="1832" stopIfTrue="1" operator="lessThan">
      <formula>-0.03</formula>
    </cfRule>
  </conditionalFormatting>
  <conditionalFormatting sqref="U71:W71">
    <cfRule type="cellIs" dxfId="419" priority="1823" operator="greaterThan">
      <formula>0.03</formula>
    </cfRule>
    <cfRule type="cellIs" dxfId="418" priority="1824" stopIfTrue="1" operator="lessThan">
      <formula>-0.03</formula>
    </cfRule>
  </conditionalFormatting>
  <conditionalFormatting sqref="U75:W75">
    <cfRule type="cellIs" dxfId="417" priority="1815" operator="greaterThan">
      <formula>0.03</formula>
    </cfRule>
    <cfRule type="cellIs" dxfId="416" priority="1816" stopIfTrue="1" operator="lessThan">
      <formula>-0.03</formula>
    </cfRule>
  </conditionalFormatting>
  <conditionalFormatting sqref="U79:W79">
    <cfRule type="cellIs" dxfId="415" priority="1807" operator="greaterThan">
      <formula>0.03</formula>
    </cfRule>
    <cfRule type="cellIs" dxfId="414" priority="1808" stopIfTrue="1" operator="lessThan">
      <formula>-0.03</formula>
    </cfRule>
  </conditionalFormatting>
  <conditionalFormatting sqref="U83:W83">
    <cfRule type="cellIs" dxfId="413" priority="1799" operator="greaterThan">
      <formula>0.03</formula>
    </cfRule>
    <cfRule type="cellIs" dxfId="412" priority="1800" stopIfTrue="1" operator="lessThan">
      <formula>-0.03</formula>
    </cfRule>
  </conditionalFormatting>
  <conditionalFormatting sqref="U87:W87">
    <cfRule type="cellIs" dxfId="411" priority="1791" operator="greaterThan">
      <formula>0.03</formula>
    </cfRule>
    <cfRule type="cellIs" dxfId="410" priority="1792" stopIfTrue="1" operator="lessThan">
      <formula>-0.03</formula>
    </cfRule>
  </conditionalFormatting>
  <conditionalFormatting sqref="U91:W91">
    <cfRule type="cellIs" dxfId="409" priority="1783" operator="greaterThan">
      <formula>0.03</formula>
    </cfRule>
    <cfRule type="cellIs" dxfId="408" priority="1784" stopIfTrue="1" operator="lessThan">
      <formula>-0.03</formula>
    </cfRule>
  </conditionalFormatting>
  <conditionalFormatting sqref="U95:W95">
    <cfRule type="cellIs" dxfId="407" priority="1775" operator="greaterThan">
      <formula>0.03</formula>
    </cfRule>
    <cfRule type="cellIs" dxfId="406" priority="1776" stopIfTrue="1" operator="lessThan">
      <formula>-0.03</formula>
    </cfRule>
  </conditionalFormatting>
  <conditionalFormatting sqref="U99:W99">
    <cfRule type="cellIs" dxfId="405" priority="1767" operator="greaterThan">
      <formula>0.03</formula>
    </cfRule>
    <cfRule type="cellIs" dxfId="404" priority="1768" stopIfTrue="1" operator="lessThan">
      <formula>-0.03</formula>
    </cfRule>
  </conditionalFormatting>
  <conditionalFormatting sqref="U103:W103">
    <cfRule type="cellIs" dxfId="403" priority="1759" operator="greaterThan">
      <formula>0.03</formula>
    </cfRule>
    <cfRule type="cellIs" dxfId="402" priority="1760" stopIfTrue="1" operator="lessThan">
      <formula>-0.03</formula>
    </cfRule>
  </conditionalFormatting>
  <conditionalFormatting sqref="U108:W110 U113:W114 U118:W118 U124:W126 U116:W116 U120:W121">
    <cfRule type="cellIs" dxfId="401" priority="1751" operator="greaterThan">
      <formula>0.03</formula>
    </cfRule>
    <cfRule type="cellIs" dxfId="400" priority="1752" stopIfTrue="1" operator="lessThan">
      <formula>-0.03</formula>
    </cfRule>
  </conditionalFormatting>
  <conditionalFormatting sqref="U157:W157">
    <cfRule type="cellIs" dxfId="399" priority="1659" operator="greaterThan">
      <formula>0.03</formula>
    </cfRule>
    <cfRule type="cellIs" dxfId="398" priority="1660" stopIfTrue="1" operator="lessThan">
      <formula>-0.03</formula>
    </cfRule>
  </conditionalFormatting>
  <conditionalFormatting sqref="U107:W107">
    <cfRule type="cellIs" dxfId="397" priority="1741" operator="greaterThan">
      <formula>0.03</formula>
    </cfRule>
    <cfRule type="cellIs" dxfId="396" priority="1742" stopIfTrue="1" operator="lessThan">
      <formula>-0.03</formula>
    </cfRule>
  </conditionalFormatting>
  <conditionalFormatting sqref="U112:W112">
    <cfRule type="cellIs" dxfId="395" priority="1733" operator="greaterThan">
      <formula>0.03</formula>
    </cfRule>
    <cfRule type="cellIs" dxfId="394" priority="1734" stopIfTrue="1" operator="lessThan">
      <formula>-0.03</formula>
    </cfRule>
  </conditionalFormatting>
  <conditionalFormatting sqref="U117:W117">
    <cfRule type="cellIs" dxfId="393" priority="1725" operator="greaterThan">
      <formula>0.03</formula>
    </cfRule>
    <cfRule type="cellIs" dxfId="392" priority="1726" stopIfTrue="1" operator="lessThan">
      <formula>-0.03</formula>
    </cfRule>
  </conditionalFormatting>
  <conditionalFormatting sqref="U122:W122">
    <cfRule type="cellIs" dxfId="391" priority="1717" operator="greaterThan">
      <formula>0.03</formula>
    </cfRule>
    <cfRule type="cellIs" dxfId="390" priority="1718" stopIfTrue="1" operator="lessThan">
      <formula>-0.03</formula>
    </cfRule>
  </conditionalFormatting>
  <conditionalFormatting sqref="U128:W130 U133:W134 U138:W138 U144:W146 U136:W136 U140:W141">
    <cfRule type="cellIs" dxfId="389" priority="1709" operator="greaterThan">
      <formula>0.03</formula>
    </cfRule>
    <cfRule type="cellIs" dxfId="388" priority="1710" stopIfTrue="1" operator="lessThan">
      <formula>-0.03</formula>
    </cfRule>
  </conditionalFormatting>
  <conditionalFormatting sqref="U142:W142">
    <cfRule type="cellIs" dxfId="387" priority="1683" operator="greaterThan">
      <formula>0.03</formula>
    </cfRule>
    <cfRule type="cellIs" dxfId="386" priority="1684" stopIfTrue="1" operator="lessThan">
      <formula>-0.03</formula>
    </cfRule>
  </conditionalFormatting>
  <conditionalFormatting sqref="U132:W132">
    <cfRule type="cellIs" dxfId="385" priority="1699" operator="greaterThan">
      <formula>0.03</formula>
    </cfRule>
    <cfRule type="cellIs" dxfId="384" priority="1700" stopIfTrue="1" operator="lessThan">
      <formula>-0.03</formula>
    </cfRule>
  </conditionalFormatting>
  <conditionalFormatting sqref="U137:W137">
    <cfRule type="cellIs" dxfId="383" priority="1691" operator="greaterThan">
      <formula>0.03</formula>
    </cfRule>
    <cfRule type="cellIs" dxfId="382" priority="1692" stopIfTrue="1" operator="lessThan">
      <formula>-0.03</formula>
    </cfRule>
  </conditionalFormatting>
  <conditionalFormatting sqref="U148:W150 U153:W154 U158:W158 U156:W156">
    <cfRule type="cellIs" dxfId="381" priority="1675" operator="greaterThan">
      <formula>0.03</formula>
    </cfRule>
    <cfRule type="cellIs" dxfId="380" priority="1676" stopIfTrue="1" operator="lessThan">
      <formula>-0.03</formula>
    </cfRule>
  </conditionalFormatting>
  <conditionalFormatting sqref="U152:W152">
    <cfRule type="cellIs" dxfId="379" priority="1667" operator="greaterThan">
      <formula>0.03</formula>
    </cfRule>
    <cfRule type="cellIs" dxfId="378" priority="1668" stopIfTrue="1" operator="lessThan">
      <formula>-0.03</formula>
    </cfRule>
  </conditionalFormatting>
  <conditionalFormatting sqref="U111:W111">
    <cfRule type="cellIs" dxfId="377" priority="1651" operator="greaterThan">
      <formula>0.03</formula>
    </cfRule>
    <cfRule type="cellIs" dxfId="376" priority="1652" stopIfTrue="1" operator="lessThan">
      <formula>-0.03</formula>
    </cfRule>
  </conditionalFormatting>
  <conditionalFormatting sqref="U115:W115">
    <cfRule type="cellIs" dxfId="375" priority="1643" operator="greaterThan">
      <formula>0.03</formula>
    </cfRule>
    <cfRule type="cellIs" dxfId="374" priority="1644" stopIfTrue="1" operator="lessThan">
      <formula>-0.03</formula>
    </cfRule>
  </conditionalFormatting>
  <conditionalFormatting sqref="U119:W119">
    <cfRule type="cellIs" dxfId="373" priority="1635" operator="greaterThan">
      <formula>0.03</formula>
    </cfRule>
    <cfRule type="cellIs" dxfId="372" priority="1636" stopIfTrue="1" operator="lessThan">
      <formula>-0.03</formula>
    </cfRule>
  </conditionalFormatting>
  <conditionalFormatting sqref="U123:W123">
    <cfRule type="cellIs" dxfId="371" priority="1627" operator="greaterThan">
      <formula>0.03</formula>
    </cfRule>
    <cfRule type="cellIs" dxfId="370" priority="1628" stopIfTrue="1" operator="lessThan">
      <formula>-0.03</formula>
    </cfRule>
  </conditionalFormatting>
  <conditionalFormatting sqref="U127:W127">
    <cfRule type="cellIs" dxfId="369" priority="1619" operator="greaterThan">
      <formula>0.03</formula>
    </cfRule>
    <cfRule type="cellIs" dxfId="368" priority="1620" stopIfTrue="1" operator="lessThan">
      <formula>-0.03</formula>
    </cfRule>
  </conditionalFormatting>
  <conditionalFormatting sqref="U131:W131">
    <cfRule type="cellIs" dxfId="367" priority="1611" operator="greaterThan">
      <formula>0.03</formula>
    </cfRule>
    <cfRule type="cellIs" dxfId="366" priority="1612" stopIfTrue="1" operator="lessThan">
      <formula>-0.03</formula>
    </cfRule>
  </conditionalFormatting>
  <conditionalFormatting sqref="U135:W135">
    <cfRule type="cellIs" dxfId="365" priority="1603" operator="greaterThan">
      <formula>0.03</formula>
    </cfRule>
    <cfRule type="cellIs" dxfId="364" priority="1604" stopIfTrue="1" operator="lessThan">
      <formula>-0.03</formula>
    </cfRule>
  </conditionalFormatting>
  <conditionalFormatting sqref="U139:W139">
    <cfRule type="cellIs" dxfId="363" priority="1595" operator="greaterThan">
      <formula>0.03</formula>
    </cfRule>
    <cfRule type="cellIs" dxfId="362" priority="1596" stopIfTrue="1" operator="lessThan">
      <formula>-0.03</formula>
    </cfRule>
  </conditionalFormatting>
  <conditionalFormatting sqref="U143:W143">
    <cfRule type="cellIs" dxfId="361" priority="1587" operator="greaterThan">
      <formula>0.03</formula>
    </cfRule>
    <cfRule type="cellIs" dxfId="360" priority="1588" stopIfTrue="1" operator="lessThan">
      <formula>-0.03</formula>
    </cfRule>
  </conditionalFormatting>
  <conditionalFormatting sqref="U147:W147">
    <cfRule type="cellIs" dxfId="359" priority="1579" operator="greaterThan">
      <formula>0.03</formula>
    </cfRule>
    <cfRule type="cellIs" dxfId="358" priority="1580" stopIfTrue="1" operator="lessThan">
      <formula>-0.03</formula>
    </cfRule>
  </conditionalFormatting>
  <conditionalFormatting sqref="U151:W151">
    <cfRule type="cellIs" dxfId="357" priority="1571" operator="greaterThan">
      <formula>0.03</formula>
    </cfRule>
    <cfRule type="cellIs" dxfId="356" priority="1572" stopIfTrue="1" operator="lessThan">
      <formula>-0.03</formula>
    </cfRule>
  </conditionalFormatting>
  <conditionalFormatting sqref="U155:W155">
    <cfRule type="cellIs" dxfId="355" priority="1563" operator="greaterThan">
      <formula>0.03</formula>
    </cfRule>
    <cfRule type="cellIs" dxfId="354" priority="1564" stopIfTrue="1" operator="lessThan">
      <formula>-0.03</formula>
    </cfRule>
  </conditionalFormatting>
  <conditionalFormatting sqref="U160:W162 U165:W166 U170:W170 U176:W178 U168:W168 U172:W173">
    <cfRule type="cellIs" dxfId="353" priority="1555" operator="greaterThan">
      <formula>0.03</formula>
    </cfRule>
    <cfRule type="cellIs" dxfId="352" priority="1556" stopIfTrue="1" operator="lessThan">
      <formula>-0.03</formula>
    </cfRule>
  </conditionalFormatting>
  <conditionalFormatting sqref="U209:W209">
    <cfRule type="cellIs" dxfId="351" priority="1463" operator="greaterThan">
      <formula>0.03</formula>
    </cfRule>
    <cfRule type="cellIs" dxfId="350" priority="1464" stopIfTrue="1" operator="lessThan">
      <formula>-0.03</formula>
    </cfRule>
  </conditionalFormatting>
  <conditionalFormatting sqref="U159:W159">
    <cfRule type="cellIs" dxfId="349" priority="1545" operator="greaterThan">
      <formula>0.03</formula>
    </cfRule>
    <cfRule type="cellIs" dxfId="348" priority="1546" stopIfTrue="1" operator="lessThan">
      <formula>-0.03</formula>
    </cfRule>
  </conditionalFormatting>
  <conditionalFormatting sqref="U164:W164">
    <cfRule type="cellIs" dxfId="347" priority="1537" operator="greaterThan">
      <formula>0.03</formula>
    </cfRule>
    <cfRule type="cellIs" dxfId="346" priority="1538" stopIfTrue="1" operator="lessThan">
      <formula>-0.03</formula>
    </cfRule>
  </conditionalFormatting>
  <conditionalFormatting sqref="U169:W169">
    <cfRule type="cellIs" dxfId="345" priority="1529" operator="greaterThan">
      <formula>0.03</formula>
    </cfRule>
    <cfRule type="cellIs" dxfId="344" priority="1530" stopIfTrue="1" operator="lessThan">
      <formula>-0.03</formula>
    </cfRule>
  </conditionalFormatting>
  <conditionalFormatting sqref="U174:W174">
    <cfRule type="cellIs" dxfId="343" priority="1521" operator="greaterThan">
      <formula>0.03</formula>
    </cfRule>
    <cfRule type="cellIs" dxfId="342" priority="1522" stopIfTrue="1" operator="lessThan">
      <formula>-0.03</formula>
    </cfRule>
  </conditionalFormatting>
  <conditionalFormatting sqref="U180:W182 U185:W186 U190:W190 U196:W198 U188:W188 U192:W193">
    <cfRule type="cellIs" dxfId="341" priority="1513" operator="greaterThan">
      <formula>0.03</formula>
    </cfRule>
    <cfRule type="cellIs" dxfId="340" priority="1514" stopIfTrue="1" operator="lessThan">
      <formula>-0.03</formula>
    </cfRule>
  </conditionalFormatting>
  <conditionalFormatting sqref="U194:W194">
    <cfRule type="cellIs" dxfId="339" priority="1487" operator="greaterThan">
      <formula>0.03</formula>
    </cfRule>
    <cfRule type="cellIs" dxfId="338" priority="1488" stopIfTrue="1" operator="lessThan">
      <formula>-0.03</formula>
    </cfRule>
  </conditionalFormatting>
  <conditionalFormatting sqref="U184:W184">
    <cfRule type="cellIs" dxfId="337" priority="1503" operator="greaterThan">
      <formula>0.03</formula>
    </cfRule>
    <cfRule type="cellIs" dxfId="336" priority="1504" stopIfTrue="1" operator="lessThan">
      <formula>-0.03</formula>
    </cfRule>
  </conditionalFormatting>
  <conditionalFormatting sqref="U189:W189">
    <cfRule type="cellIs" dxfId="335" priority="1495" operator="greaterThan">
      <formula>0.03</formula>
    </cfRule>
    <cfRule type="cellIs" dxfId="334" priority="1496" stopIfTrue="1" operator="lessThan">
      <formula>-0.03</formula>
    </cfRule>
  </conditionalFormatting>
  <conditionalFormatting sqref="U200:W202 U205:W206 U210:W210 U208:W208">
    <cfRule type="cellIs" dxfId="333" priority="1479" operator="greaterThan">
      <formula>0.03</formula>
    </cfRule>
    <cfRule type="cellIs" dxfId="332" priority="1480" stopIfTrue="1" operator="lessThan">
      <formula>-0.03</formula>
    </cfRule>
  </conditionalFormatting>
  <conditionalFormatting sqref="U204:W204">
    <cfRule type="cellIs" dxfId="331" priority="1471" operator="greaterThan">
      <formula>0.03</formula>
    </cfRule>
    <cfRule type="cellIs" dxfId="330" priority="1472" stopIfTrue="1" operator="lessThan">
      <formula>-0.03</formula>
    </cfRule>
  </conditionalFormatting>
  <conditionalFormatting sqref="U163:W163">
    <cfRule type="cellIs" dxfId="329" priority="1455" operator="greaterThan">
      <formula>0.03</formula>
    </cfRule>
    <cfRule type="cellIs" dxfId="328" priority="1456" stopIfTrue="1" operator="lessThan">
      <formula>-0.03</formula>
    </cfRule>
  </conditionalFormatting>
  <conditionalFormatting sqref="U167:W167">
    <cfRule type="cellIs" dxfId="327" priority="1447" operator="greaterThan">
      <formula>0.03</formula>
    </cfRule>
    <cfRule type="cellIs" dxfId="326" priority="1448" stopIfTrue="1" operator="lessThan">
      <formula>-0.03</formula>
    </cfRule>
  </conditionalFormatting>
  <conditionalFormatting sqref="U171:W171">
    <cfRule type="cellIs" dxfId="325" priority="1439" operator="greaterThan">
      <formula>0.03</formula>
    </cfRule>
    <cfRule type="cellIs" dxfId="324" priority="1440" stopIfTrue="1" operator="lessThan">
      <formula>-0.03</formula>
    </cfRule>
  </conditionalFormatting>
  <conditionalFormatting sqref="U175:W175">
    <cfRule type="cellIs" dxfId="323" priority="1431" operator="greaterThan">
      <formula>0.03</formula>
    </cfRule>
    <cfRule type="cellIs" dxfId="322" priority="1432" stopIfTrue="1" operator="lessThan">
      <formula>-0.03</formula>
    </cfRule>
  </conditionalFormatting>
  <conditionalFormatting sqref="U179:W179">
    <cfRule type="cellIs" dxfId="321" priority="1423" operator="greaterThan">
      <formula>0.03</formula>
    </cfRule>
    <cfRule type="cellIs" dxfId="320" priority="1424" stopIfTrue="1" operator="lessThan">
      <formula>-0.03</formula>
    </cfRule>
  </conditionalFormatting>
  <conditionalFormatting sqref="U183:W183">
    <cfRule type="cellIs" dxfId="319" priority="1415" operator="greaterThan">
      <formula>0.03</formula>
    </cfRule>
    <cfRule type="cellIs" dxfId="318" priority="1416" stopIfTrue="1" operator="lessThan">
      <formula>-0.03</formula>
    </cfRule>
  </conditionalFormatting>
  <conditionalFormatting sqref="U187:W187">
    <cfRule type="cellIs" dxfId="317" priority="1407" operator="greaterThan">
      <formula>0.03</formula>
    </cfRule>
    <cfRule type="cellIs" dxfId="316" priority="1408" stopIfTrue="1" operator="lessThan">
      <formula>-0.03</formula>
    </cfRule>
  </conditionalFormatting>
  <conditionalFormatting sqref="U191:W191">
    <cfRule type="cellIs" dxfId="315" priority="1399" operator="greaterThan">
      <formula>0.03</formula>
    </cfRule>
    <cfRule type="cellIs" dxfId="314" priority="1400" stopIfTrue="1" operator="lessThan">
      <formula>-0.03</formula>
    </cfRule>
  </conditionalFormatting>
  <conditionalFormatting sqref="U195:W195">
    <cfRule type="cellIs" dxfId="313" priority="1391" operator="greaterThan">
      <formula>0.03</formula>
    </cfRule>
    <cfRule type="cellIs" dxfId="312" priority="1392" stopIfTrue="1" operator="lessThan">
      <formula>-0.03</formula>
    </cfRule>
  </conditionalFormatting>
  <conditionalFormatting sqref="U199:W199">
    <cfRule type="cellIs" dxfId="311" priority="1383" operator="greaterThan">
      <formula>0.03</formula>
    </cfRule>
    <cfRule type="cellIs" dxfId="310" priority="1384" stopIfTrue="1" operator="lessThan">
      <formula>-0.03</formula>
    </cfRule>
  </conditionalFormatting>
  <conditionalFormatting sqref="U203:W203">
    <cfRule type="cellIs" dxfId="309" priority="1375" operator="greaterThan">
      <formula>0.03</formula>
    </cfRule>
    <cfRule type="cellIs" dxfId="308" priority="1376" stopIfTrue="1" operator="lessThan">
      <formula>-0.03</formula>
    </cfRule>
  </conditionalFormatting>
  <conditionalFormatting sqref="U207:W207">
    <cfRule type="cellIs" dxfId="307" priority="1367" operator="greaterThan">
      <formula>0.03</formula>
    </cfRule>
    <cfRule type="cellIs" dxfId="306" priority="1368" stopIfTrue="1" operator="lessThan">
      <formula>-0.03</formula>
    </cfRule>
  </conditionalFormatting>
  <conditionalFormatting sqref="U212:W214 U217:W218 U222:W222 U228:W230 U220:W220 U224:W225">
    <cfRule type="cellIs" dxfId="305" priority="1359" operator="greaterThan">
      <formula>0.03</formula>
    </cfRule>
    <cfRule type="cellIs" dxfId="304" priority="1360" stopIfTrue="1" operator="lessThan">
      <formula>-0.03</formula>
    </cfRule>
  </conditionalFormatting>
  <conditionalFormatting sqref="U261:W261">
    <cfRule type="cellIs" dxfId="303" priority="1267" operator="greaterThan">
      <formula>0.03</formula>
    </cfRule>
    <cfRule type="cellIs" dxfId="302" priority="1268" stopIfTrue="1" operator="lessThan">
      <formula>-0.03</formula>
    </cfRule>
  </conditionalFormatting>
  <conditionalFormatting sqref="U211:W211">
    <cfRule type="cellIs" dxfId="301" priority="1349" operator="greaterThan">
      <formula>0.03</formula>
    </cfRule>
    <cfRule type="cellIs" dxfId="300" priority="1350" stopIfTrue="1" operator="lessThan">
      <formula>-0.03</formula>
    </cfRule>
  </conditionalFormatting>
  <conditionalFormatting sqref="U216:W216">
    <cfRule type="cellIs" dxfId="299" priority="1341" operator="greaterThan">
      <formula>0.03</formula>
    </cfRule>
    <cfRule type="cellIs" dxfId="298" priority="1342" stopIfTrue="1" operator="lessThan">
      <formula>-0.03</formula>
    </cfRule>
  </conditionalFormatting>
  <conditionalFormatting sqref="U221:W221">
    <cfRule type="cellIs" dxfId="297" priority="1333" operator="greaterThan">
      <formula>0.03</formula>
    </cfRule>
    <cfRule type="cellIs" dxfId="296" priority="1334" stopIfTrue="1" operator="lessThan">
      <formula>-0.03</formula>
    </cfRule>
  </conditionalFormatting>
  <conditionalFormatting sqref="U226:W226">
    <cfRule type="cellIs" dxfId="295" priority="1325" operator="greaterThan">
      <formula>0.03</formula>
    </cfRule>
    <cfRule type="cellIs" dxfId="294" priority="1326" stopIfTrue="1" operator="lessThan">
      <formula>-0.03</formula>
    </cfRule>
  </conditionalFormatting>
  <conditionalFormatting sqref="U232:W234 U237:W238 U242:W242 U248:W250 U240:W240 U244:W245">
    <cfRule type="cellIs" dxfId="293" priority="1317" operator="greaterThan">
      <formula>0.03</formula>
    </cfRule>
    <cfRule type="cellIs" dxfId="292" priority="1318" stopIfTrue="1" operator="lessThan">
      <formula>-0.03</formula>
    </cfRule>
  </conditionalFormatting>
  <conditionalFormatting sqref="U246:W246">
    <cfRule type="cellIs" dxfId="291" priority="1291" operator="greaterThan">
      <formula>0.03</formula>
    </cfRule>
    <cfRule type="cellIs" dxfId="290" priority="1292" stopIfTrue="1" operator="lessThan">
      <formula>-0.03</formula>
    </cfRule>
  </conditionalFormatting>
  <conditionalFormatting sqref="U236:W236">
    <cfRule type="cellIs" dxfId="289" priority="1307" operator="greaterThan">
      <formula>0.03</formula>
    </cfRule>
    <cfRule type="cellIs" dxfId="288" priority="1308" stopIfTrue="1" operator="lessThan">
      <formula>-0.03</formula>
    </cfRule>
  </conditionalFormatting>
  <conditionalFormatting sqref="U241:W241">
    <cfRule type="cellIs" dxfId="287" priority="1299" operator="greaterThan">
      <formula>0.03</formula>
    </cfRule>
    <cfRule type="cellIs" dxfId="286" priority="1300" stopIfTrue="1" operator="lessThan">
      <formula>-0.03</formula>
    </cfRule>
  </conditionalFormatting>
  <conditionalFormatting sqref="U252:W254 U257:W258 U262:W262 U260:W260">
    <cfRule type="cellIs" dxfId="285" priority="1283" operator="greaterThan">
      <formula>0.03</formula>
    </cfRule>
    <cfRule type="cellIs" dxfId="284" priority="1284" stopIfTrue="1" operator="lessThan">
      <formula>-0.03</formula>
    </cfRule>
  </conditionalFormatting>
  <conditionalFormatting sqref="U256:W256">
    <cfRule type="cellIs" dxfId="283" priority="1275" operator="greaterThan">
      <formula>0.03</formula>
    </cfRule>
    <cfRule type="cellIs" dxfId="282" priority="1276" stopIfTrue="1" operator="lessThan">
      <formula>-0.03</formula>
    </cfRule>
  </conditionalFormatting>
  <conditionalFormatting sqref="U215:W215">
    <cfRule type="cellIs" dxfId="281" priority="1259" operator="greaterThan">
      <formula>0.03</formula>
    </cfRule>
    <cfRule type="cellIs" dxfId="280" priority="1260" stopIfTrue="1" operator="lessThan">
      <formula>-0.03</formula>
    </cfRule>
  </conditionalFormatting>
  <conditionalFormatting sqref="U219:W219">
    <cfRule type="cellIs" dxfId="279" priority="1251" operator="greaterThan">
      <formula>0.03</formula>
    </cfRule>
    <cfRule type="cellIs" dxfId="278" priority="1252" stopIfTrue="1" operator="lessThan">
      <formula>-0.03</formula>
    </cfRule>
  </conditionalFormatting>
  <conditionalFormatting sqref="U223:W223">
    <cfRule type="cellIs" dxfId="277" priority="1243" operator="greaterThan">
      <formula>0.03</formula>
    </cfRule>
    <cfRule type="cellIs" dxfId="276" priority="1244" stopIfTrue="1" operator="lessThan">
      <formula>-0.03</formula>
    </cfRule>
  </conditionalFormatting>
  <conditionalFormatting sqref="U227:W227">
    <cfRule type="cellIs" dxfId="275" priority="1235" operator="greaterThan">
      <formula>0.03</formula>
    </cfRule>
    <cfRule type="cellIs" dxfId="274" priority="1236" stopIfTrue="1" operator="lessThan">
      <formula>-0.03</formula>
    </cfRule>
  </conditionalFormatting>
  <conditionalFormatting sqref="U231:W231">
    <cfRule type="cellIs" dxfId="273" priority="1227" operator="greaterThan">
      <formula>0.03</formula>
    </cfRule>
    <cfRule type="cellIs" dxfId="272" priority="1228" stopIfTrue="1" operator="lessThan">
      <formula>-0.03</formula>
    </cfRule>
  </conditionalFormatting>
  <conditionalFormatting sqref="U235:W235">
    <cfRule type="cellIs" dxfId="271" priority="1219" operator="greaterThan">
      <formula>0.03</formula>
    </cfRule>
    <cfRule type="cellIs" dxfId="270" priority="1220" stopIfTrue="1" operator="lessThan">
      <formula>-0.03</formula>
    </cfRule>
  </conditionalFormatting>
  <conditionalFormatting sqref="U239:W239">
    <cfRule type="cellIs" dxfId="269" priority="1211" operator="greaterThan">
      <formula>0.03</formula>
    </cfRule>
    <cfRule type="cellIs" dxfId="268" priority="1212" stopIfTrue="1" operator="lessThan">
      <formula>-0.03</formula>
    </cfRule>
  </conditionalFormatting>
  <conditionalFormatting sqref="U243:W243">
    <cfRule type="cellIs" dxfId="267" priority="1203" operator="greaterThan">
      <formula>0.03</formula>
    </cfRule>
    <cfRule type="cellIs" dxfId="266" priority="1204" stopIfTrue="1" operator="lessThan">
      <formula>-0.03</formula>
    </cfRule>
  </conditionalFormatting>
  <conditionalFormatting sqref="U459:W461">
    <cfRule type="cellIs" dxfId="265" priority="687" operator="greaterThan">
      <formula>0.03</formula>
    </cfRule>
    <cfRule type="cellIs" dxfId="264" priority="688" stopIfTrue="1" operator="lessThan">
      <formula>-0.03</formula>
    </cfRule>
  </conditionalFormatting>
  <conditionalFormatting sqref="U458:W458">
    <cfRule type="cellIs" dxfId="263" priority="683" operator="greaterThan">
      <formula>0.03</formula>
    </cfRule>
    <cfRule type="cellIs" dxfId="262" priority="684" stopIfTrue="1" operator="lessThan">
      <formula>-0.03</formula>
    </cfRule>
  </conditionalFormatting>
  <conditionalFormatting sqref="U467:W469">
    <cfRule type="cellIs" dxfId="261" priority="663" operator="greaterThan">
      <formula>0.03</formula>
    </cfRule>
    <cfRule type="cellIs" dxfId="260" priority="664" stopIfTrue="1" operator="lessThan">
      <formula>-0.03</formula>
    </cfRule>
  </conditionalFormatting>
  <conditionalFormatting sqref="U466:W466">
    <cfRule type="cellIs" dxfId="259" priority="659" operator="greaterThan">
      <formula>0.03</formula>
    </cfRule>
    <cfRule type="cellIs" dxfId="258" priority="660" stopIfTrue="1" operator="lessThan">
      <formula>-0.03</formula>
    </cfRule>
  </conditionalFormatting>
  <conditionalFormatting sqref="U470:W470">
    <cfRule type="cellIs" dxfId="257" priority="647" operator="greaterThan">
      <formula>0.03</formula>
    </cfRule>
    <cfRule type="cellIs" dxfId="256" priority="648" stopIfTrue="1" operator="lessThan">
      <formula>-0.03</formula>
    </cfRule>
  </conditionalFormatting>
  <conditionalFormatting sqref="U475:W477">
    <cfRule type="cellIs" dxfId="255" priority="639" operator="greaterThan">
      <formula>0.03</formula>
    </cfRule>
    <cfRule type="cellIs" dxfId="254" priority="640" stopIfTrue="1" operator="lessThan">
      <formula>-0.03</formula>
    </cfRule>
  </conditionalFormatting>
  <conditionalFormatting sqref="U503:W505">
    <cfRule type="cellIs" dxfId="253" priority="555" operator="greaterThan">
      <formula>0.03</formula>
    </cfRule>
    <cfRule type="cellIs" dxfId="252" priority="556" stopIfTrue="1" operator="lessThan">
      <formula>-0.03</formula>
    </cfRule>
  </conditionalFormatting>
  <conditionalFormatting sqref="U502:W502">
    <cfRule type="cellIs" dxfId="251" priority="551" operator="greaterThan">
      <formula>0.03</formula>
    </cfRule>
    <cfRule type="cellIs" dxfId="250" priority="552" stopIfTrue="1" operator="lessThan">
      <formula>-0.03</formula>
    </cfRule>
  </conditionalFormatting>
  <conditionalFormatting sqref="U299:W299">
    <cfRule type="cellIs" dxfId="249" priority="999" operator="greaterThan">
      <formula>0.03</formula>
    </cfRule>
    <cfRule type="cellIs" dxfId="248" priority="1000" stopIfTrue="1" operator="lessThan">
      <formula>-0.03</formula>
    </cfRule>
  </conditionalFormatting>
  <conditionalFormatting sqref="U303:W303">
    <cfRule type="cellIs" dxfId="247" priority="991" operator="greaterThan">
      <formula>0.03</formula>
    </cfRule>
    <cfRule type="cellIs" dxfId="246" priority="992" stopIfTrue="1" operator="lessThan">
      <formula>-0.03</formula>
    </cfRule>
  </conditionalFormatting>
  <conditionalFormatting sqref="U307:W307">
    <cfRule type="cellIs" dxfId="245" priority="983" operator="greaterThan">
      <formula>0.03</formula>
    </cfRule>
    <cfRule type="cellIs" dxfId="244" priority="984" stopIfTrue="1" operator="lessThan">
      <formula>-0.03</formula>
    </cfRule>
  </conditionalFormatting>
  <conditionalFormatting sqref="U311:W311">
    <cfRule type="cellIs" dxfId="243" priority="975" operator="greaterThan">
      <formula>0.03</formula>
    </cfRule>
    <cfRule type="cellIs" dxfId="242" priority="976" stopIfTrue="1" operator="lessThan">
      <formula>-0.03</formula>
    </cfRule>
  </conditionalFormatting>
  <conditionalFormatting sqref="U316:W318 U321:W322 U326:W326 U332:W334 U324:W324 U328:W329">
    <cfRule type="cellIs" dxfId="241" priority="967" operator="greaterThan">
      <formula>0.03</formula>
    </cfRule>
    <cfRule type="cellIs" dxfId="240" priority="968" stopIfTrue="1" operator="lessThan">
      <formula>-0.03</formula>
    </cfRule>
  </conditionalFormatting>
  <conditionalFormatting sqref="U519:W521">
    <cfRule type="cellIs" dxfId="239" priority="507" operator="greaterThan">
      <formula>0.03</formula>
    </cfRule>
    <cfRule type="cellIs" dxfId="238" priority="508" stopIfTrue="1" operator="lessThan">
      <formula>-0.03</formula>
    </cfRule>
  </conditionalFormatting>
  <conditionalFormatting sqref="U518:W518">
    <cfRule type="cellIs" dxfId="237" priority="503" operator="greaterThan">
      <formula>0.03</formula>
    </cfRule>
    <cfRule type="cellIs" dxfId="236" priority="504" stopIfTrue="1" operator="lessThan">
      <formula>-0.03</formula>
    </cfRule>
  </conditionalFormatting>
  <conditionalFormatting sqref="U315:W315">
    <cfRule type="cellIs" dxfId="235" priority="957" operator="greaterThan">
      <formula>0.03</formula>
    </cfRule>
    <cfRule type="cellIs" dxfId="234" priority="958" stopIfTrue="1" operator="lessThan">
      <formula>-0.03</formula>
    </cfRule>
  </conditionalFormatting>
  <conditionalFormatting sqref="U507:W509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U506:W506">
    <cfRule type="cellIs" dxfId="231" priority="539" operator="greaterThan">
      <formula>0.03</formula>
    </cfRule>
    <cfRule type="cellIs" dxfId="230" priority="540" stopIfTrue="1" operator="lessThan">
      <formula>-0.03</formula>
    </cfRule>
  </conditionalFormatting>
  <conditionalFormatting sqref="U511:W513">
    <cfRule type="cellIs" dxfId="229" priority="531" operator="greaterThan">
      <formula>0.03</formula>
    </cfRule>
    <cfRule type="cellIs" dxfId="228" priority="532" stopIfTrue="1" operator="lessThan">
      <formula>-0.03</formula>
    </cfRule>
  </conditionalFormatting>
  <conditionalFormatting sqref="U510:W510">
    <cfRule type="cellIs" dxfId="227" priority="527" operator="greaterThan">
      <formula>0.03</formula>
    </cfRule>
    <cfRule type="cellIs" dxfId="226" priority="528" stopIfTrue="1" operator="lessThan">
      <formula>-0.03</formula>
    </cfRule>
  </conditionalFormatting>
  <conditionalFormatting sqref="U515:W517">
    <cfRule type="cellIs" dxfId="225" priority="519" operator="greaterThan">
      <formula>0.03</formula>
    </cfRule>
    <cfRule type="cellIs" dxfId="224" priority="520" stopIfTrue="1" operator="lessThan">
      <formula>-0.03</formula>
    </cfRule>
  </conditionalFormatting>
  <conditionalFormatting sqref="U336:W338 U341:W342 U346:W346 U352:W354 U344:W344 U348:W349">
    <cfRule type="cellIs" dxfId="223" priority="925" operator="greaterThan">
      <formula>0.03</formula>
    </cfRule>
    <cfRule type="cellIs" dxfId="222" priority="926" stopIfTrue="1" operator="lessThan">
      <formula>-0.03</formula>
    </cfRule>
  </conditionalFormatting>
  <conditionalFormatting sqref="U514:W514">
    <cfRule type="cellIs" dxfId="221" priority="515" operator="greaterThan">
      <formula>0.03</formula>
    </cfRule>
    <cfRule type="cellIs" dxfId="220" priority="516" stopIfTrue="1" operator="lessThan">
      <formula>-0.03</formula>
    </cfRule>
  </conditionalFormatting>
  <conditionalFormatting sqref="U365:W365">
    <cfRule type="cellIs" dxfId="219" priority="875" operator="greaterThan">
      <formula>0.03</formula>
    </cfRule>
    <cfRule type="cellIs" dxfId="218" priority="876" stopIfTrue="1" operator="lessThan">
      <formula>-0.03</formula>
    </cfRule>
  </conditionalFormatting>
  <conditionalFormatting sqref="U340:W340">
    <cfRule type="cellIs" dxfId="217" priority="915" operator="greaterThan">
      <formula>0.03</formula>
    </cfRule>
    <cfRule type="cellIs" dxfId="216" priority="916" stopIfTrue="1" operator="lessThan">
      <formula>-0.03</formula>
    </cfRule>
  </conditionalFormatting>
  <conditionalFormatting sqref="U320:W320">
    <cfRule type="cellIs" dxfId="215" priority="949" operator="greaterThan">
      <formula>0.03</formula>
    </cfRule>
    <cfRule type="cellIs" dxfId="214" priority="950" stopIfTrue="1" operator="lessThan">
      <formula>-0.03</formula>
    </cfRule>
  </conditionalFormatting>
  <conditionalFormatting sqref="U325:W325">
    <cfRule type="cellIs" dxfId="213" priority="941" operator="greaterThan">
      <formula>0.03</formula>
    </cfRule>
    <cfRule type="cellIs" dxfId="212" priority="942" stopIfTrue="1" operator="lessThan">
      <formula>-0.03</formula>
    </cfRule>
  </conditionalFormatting>
  <conditionalFormatting sqref="U330:W330">
    <cfRule type="cellIs" dxfId="211" priority="933" operator="greaterThan">
      <formula>0.03</formula>
    </cfRule>
    <cfRule type="cellIs" dxfId="210" priority="934" stopIfTrue="1" operator="lessThan">
      <formula>-0.03</formula>
    </cfRule>
  </conditionalFormatting>
  <conditionalFormatting sqref="U350:W350">
    <cfRule type="cellIs" dxfId="209" priority="899" operator="greaterThan">
      <formula>0.03</formula>
    </cfRule>
    <cfRule type="cellIs" dxfId="208" priority="900" stopIfTrue="1" operator="lessThan">
      <formula>-0.03</formula>
    </cfRule>
  </conditionalFormatting>
  <conditionalFormatting sqref="U535:W537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U534:W534">
    <cfRule type="cellIs" dxfId="205" priority="455" operator="greaterThan">
      <formula>0.03</formula>
    </cfRule>
    <cfRule type="cellIs" dxfId="204" priority="456" stopIfTrue="1" operator="lessThan">
      <formula>-0.03</formula>
    </cfRule>
  </conditionalFormatting>
  <conditionalFormatting sqref="U345:W345">
    <cfRule type="cellIs" dxfId="203" priority="907" operator="greaterThan">
      <formula>0.03</formula>
    </cfRule>
    <cfRule type="cellIs" dxfId="202" priority="908" stopIfTrue="1" operator="lessThan">
      <formula>-0.03</formula>
    </cfRule>
  </conditionalFormatting>
  <conditionalFormatting sqref="U356:W358 U361:W362 U366:W366 U364:W364">
    <cfRule type="cellIs" dxfId="201" priority="891" operator="greaterThan">
      <formula>0.03</formula>
    </cfRule>
    <cfRule type="cellIs" dxfId="200" priority="892" stopIfTrue="1" operator="lessThan">
      <formula>-0.03</formula>
    </cfRule>
  </conditionalFormatting>
  <conditionalFormatting sqref="U360:W360">
    <cfRule type="cellIs" dxfId="199" priority="883" operator="greaterThan">
      <formula>0.03</formula>
    </cfRule>
    <cfRule type="cellIs" dxfId="198" priority="884" stopIfTrue="1" operator="lessThan">
      <formula>-0.03</formula>
    </cfRule>
  </conditionalFormatting>
  <conditionalFormatting sqref="U319:W319">
    <cfRule type="cellIs" dxfId="197" priority="867" operator="greaterThan">
      <formula>0.03</formula>
    </cfRule>
    <cfRule type="cellIs" dxfId="196" priority="868" stopIfTrue="1" operator="lessThan">
      <formula>-0.03</formula>
    </cfRule>
  </conditionalFormatting>
  <conditionalFormatting sqref="U323:W323">
    <cfRule type="cellIs" dxfId="195" priority="859" operator="greaterThan">
      <formula>0.03</formula>
    </cfRule>
    <cfRule type="cellIs" dxfId="194" priority="860" stopIfTrue="1" operator="lessThan">
      <formula>-0.03</formula>
    </cfRule>
  </conditionalFormatting>
  <conditionalFormatting sqref="U327:W327">
    <cfRule type="cellIs" dxfId="193" priority="851" operator="greaterThan">
      <formula>0.03</formula>
    </cfRule>
    <cfRule type="cellIs" dxfId="192" priority="852" stopIfTrue="1" operator="lessThan">
      <formula>-0.03</formula>
    </cfRule>
  </conditionalFormatting>
  <conditionalFormatting sqref="U331:W331">
    <cfRule type="cellIs" dxfId="191" priority="843" operator="greaterThan">
      <formula>0.03</formula>
    </cfRule>
    <cfRule type="cellIs" dxfId="190" priority="844" stopIfTrue="1" operator="lessThan">
      <formula>-0.03</formula>
    </cfRule>
  </conditionalFormatting>
  <conditionalFormatting sqref="U335:W335">
    <cfRule type="cellIs" dxfId="189" priority="835" operator="greaterThan">
      <formula>0.03</formula>
    </cfRule>
    <cfRule type="cellIs" dxfId="188" priority="836" stopIfTrue="1" operator="lessThan">
      <formula>-0.03</formula>
    </cfRule>
  </conditionalFormatting>
  <conditionalFormatting sqref="U339:W339">
    <cfRule type="cellIs" dxfId="187" priority="827" operator="greaterThan">
      <formula>0.03</formula>
    </cfRule>
    <cfRule type="cellIs" dxfId="186" priority="828" stopIfTrue="1" operator="lessThan">
      <formula>-0.03</formula>
    </cfRule>
  </conditionalFormatting>
  <conditionalFormatting sqref="U343:W343">
    <cfRule type="cellIs" dxfId="185" priority="819" operator="greaterThan">
      <formula>0.03</formula>
    </cfRule>
    <cfRule type="cellIs" dxfId="184" priority="820" stopIfTrue="1" operator="lessThan">
      <formula>-0.03</formula>
    </cfRule>
  </conditionalFormatting>
  <conditionalFormatting sqref="U347:W347">
    <cfRule type="cellIs" dxfId="183" priority="811" operator="greaterThan">
      <formula>0.03</formula>
    </cfRule>
    <cfRule type="cellIs" dxfId="182" priority="812" stopIfTrue="1" operator="lessThan">
      <formula>-0.03</formula>
    </cfRule>
  </conditionalFormatting>
  <conditionalFormatting sqref="U351:W351">
    <cfRule type="cellIs" dxfId="181" priority="803" operator="greaterThan">
      <formula>0.03</formula>
    </cfRule>
    <cfRule type="cellIs" dxfId="180" priority="804" stopIfTrue="1" operator="lessThan">
      <formula>-0.03</formula>
    </cfRule>
  </conditionalFormatting>
  <conditionalFormatting sqref="U355:W355">
    <cfRule type="cellIs" dxfId="179" priority="795" operator="greaterThan">
      <formula>0.03</formula>
    </cfRule>
    <cfRule type="cellIs" dxfId="178" priority="796" stopIfTrue="1" operator="lessThan">
      <formula>-0.03</formula>
    </cfRule>
  </conditionalFormatting>
  <conditionalFormatting sqref="U359:W359">
    <cfRule type="cellIs" dxfId="177" priority="787" operator="greaterThan">
      <formula>0.03</formula>
    </cfRule>
    <cfRule type="cellIs" dxfId="176" priority="788" stopIfTrue="1" operator="lessThan">
      <formula>-0.03</formula>
    </cfRule>
  </conditionalFormatting>
  <conditionalFormatting sqref="U363:W363">
    <cfRule type="cellIs" dxfId="175" priority="779" operator="greaterThan">
      <formula>0.03</formula>
    </cfRule>
    <cfRule type="cellIs" dxfId="174" priority="780" stopIfTrue="1" operator="lessThan">
      <formula>-0.03</formula>
    </cfRule>
  </conditionalFormatting>
  <conditionalFormatting sqref="U431:W433">
    <cfRule type="cellIs" dxfId="173" priority="771" operator="greaterThan">
      <formula>0.03</formula>
    </cfRule>
    <cfRule type="cellIs" dxfId="172" priority="772" stopIfTrue="1" operator="lessThan">
      <formula>-0.03</formula>
    </cfRule>
  </conditionalFormatting>
  <conditionalFormatting sqref="U430:W430">
    <cfRule type="cellIs" dxfId="171" priority="767" operator="greaterThan">
      <formula>0.03</formula>
    </cfRule>
    <cfRule type="cellIs" dxfId="170" priority="768" stopIfTrue="1" operator="lessThan">
      <formula>-0.03</formula>
    </cfRule>
  </conditionalFormatting>
  <conditionalFormatting sqref="U435:W437">
    <cfRule type="cellIs" dxfId="169" priority="759" operator="greaterThan">
      <formula>0.03</formula>
    </cfRule>
    <cfRule type="cellIs" dxfId="168" priority="760" stopIfTrue="1" operator="lessThan">
      <formula>-0.03</formula>
    </cfRule>
  </conditionalFormatting>
  <conditionalFormatting sqref="U434:W434">
    <cfRule type="cellIs" dxfId="167" priority="755" operator="greaterThan">
      <formula>0.03</formula>
    </cfRule>
    <cfRule type="cellIs" dxfId="166" priority="756" stopIfTrue="1" operator="lessThan">
      <formula>-0.03</formula>
    </cfRule>
  </conditionalFormatting>
  <conditionalFormatting sqref="U439:W441">
    <cfRule type="cellIs" dxfId="165" priority="747" operator="greaterThan">
      <formula>0.03</formula>
    </cfRule>
    <cfRule type="cellIs" dxfId="164" priority="748" stopIfTrue="1" operator="lessThan">
      <formula>-0.03</formula>
    </cfRule>
  </conditionalFormatting>
  <conditionalFormatting sqref="U438:W438">
    <cfRule type="cellIs" dxfId="163" priority="743" operator="greaterThan">
      <formula>0.03</formula>
    </cfRule>
    <cfRule type="cellIs" dxfId="162" priority="744" stopIfTrue="1" operator="lessThan">
      <formula>-0.03</formula>
    </cfRule>
  </conditionalFormatting>
  <conditionalFormatting sqref="U443:W445">
    <cfRule type="cellIs" dxfId="161" priority="735" operator="greaterThan">
      <formula>0.03</formula>
    </cfRule>
    <cfRule type="cellIs" dxfId="160" priority="736" stopIfTrue="1" operator="lessThan">
      <formula>-0.03</formula>
    </cfRule>
  </conditionalFormatting>
  <conditionalFormatting sqref="U442:W442">
    <cfRule type="cellIs" dxfId="159" priority="731" operator="greaterThan">
      <formula>0.03</formula>
    </cfRule>
    <cfRule type="cellIs" dxfId="158" priority="732" stopIfTrue="1" operator="lessThan">
      <formula>-0.03</formula>
    </cfRule>
  </conditionalFormatting>
  <conditionalFormatting sqref="U447:W449">
    <cfRule type="cellIs" dxfId="157" priority="723" operator="greaterThan">
      <formula>0.03</formula>
    </cfRule>
    <cfRule type="cellIs" dxfId="156" priority="724" stopIfTrue="1" operator="lessThan">
      <formula>-0.03</formula>
    </cfRule>
  </conditionalFormatting>
  <conditionalFormatting sqref="U446:W446">
    <cfRule type="cellIs" dxfId="155" priority="719" operator="greaterThan">
      <formula>0.03</formula>
    </cfRule>
    <cfRule type="cellIs" dxfId="154" priority="720" stopIfTrue="1" operator="lessThan">
      <formula>-0.03</formula>
    </cfRule>
  </conditionalFormatting>
  <conditionalFormatting sqref="U451:W453">
    <cfRule type="cellIs" dxfId="153" priority="711" operator="greaterThan">
      <formula>0.03</formula>
    </cfRule>
    <cfRule type="cellIs" dxfId="152" priority="712" stopIfTrue="1" operator="lessThan">
      <formula>-0.03</formula>
    </cfRule>
  </conditionalFormatting>
  <conditionalFormatting sqref="U450:W450">
    <cfRule type="cellIs" dxfId="151" priority="707" operator="greaterThan">
      <formula>0.03</formula>
    </cfRule>
    <cfRule type="cellIs" dxfId="150" priority="708" stopIfTrue="1" operator="lessThan">
      <formula>-0.03</formula>
    </cfRule>
  </conditionalFormatting>
  <conditionalFormatting sqref="U455:W457">
    <cfRule type="cellIs" dxfId="149" priority="699" operator="greaterThan">
      <formula>0.03</formula>
    </cfRule>
    <cfRule type="cellIs" dxfId="148" priority="700" stopIfTrue="1" operator="lessThan">
      <formula>-0.03</formula>
    </cfRule>
  </conditionalFormatting>
  <conditionalFormatting sqref="U454:W454">
    <cfRule type="cellIs" dxfId="147" priority="695" operator="greaterThan">
      <formula>0.03</formula>
    </cfRule>
    <cfRule type="cellIs" dxfId="146" priority="696" stopIfTrue="1" operator="lessThan">
      <formula>-0.03</formula>
    </cfRule>
  </conditionalFormatting>
  <conditionalFormatting sqref="U471:W473">
    <cfRule type="cellIs" dxfId="145" priority="651" operator="greaterThan">
      <formula>0.03</formula>
    </cfRule>
    <cfRule type="cellIs" dxfId="144" priority="652" stopIfTrue="1" operator="lessThan">
      <formula>-0.03</formula>
    </cfRule>
  </conditionalFormatting>
  <conditionalFormatting sqref="U523:W525">
    <cfRule type="cellIs" dxfId="143" priority="495" operator="greaterThan">
      <formula>0.03</formula>
    </cfRule>
    <cfRule type="cellIs" dxfId="142" priority="496" stopIfTrue="1" operator="lessThan">
      <formula>-0.03</formula>
    </cfRule>
  </conditionalFormatting>
  <conditionalFormatting sqref="U522:W522">
    <cfRule type="cellIs" dxfId="141" priority="491" operator="greaterThan">
      <formula>0.03</formula>
    </cfRule>
    <cfRule type="cellIs" dxfId="140" priority="492" stopIfTrue="1" operator="lessThan">
      <formula>-0.03</formula>
    </cfRule>
  </conditionalFormatting>
  <conditionalFormatting sqref="U527:W529">
    <cfRule type="cellIs" dxfId="139" priority="483" operator="greaterThan">
      <formula>0.03</formula>
    </cfRule>
    <cfRule type="cellIs" dxfId="138" priority="484" stopIfTrue="1" operator="lessThan">
      <formula>-0.03</formula>
    </cfRule>
  </conditionalFormatting>
  <conditionalFormatting sqref="U526:W526">
    <cfRule type="cellIs" dxfId="137" priority="479" operator="greaterThan">
      <formula>0.03</formula>
    </cfRule>
    <cfRule type="cellIs" dxfId="136" priority="480" stopIfTrue="1" operator="lessThan">
      <formula>-0.03</formula>
    </cfRule>
  </conditionalFormatting>
  <conditionalFormatting sqref="U531:W533">
    <cfRule type="cellIs" dxfId="135" priority="471" operator="greaterThan">
      <formula>0.03</formula>
    </cfRule>
    <cfRule type="cellIs" dxfId="134" priority="472" stopIfTrue="1" operator="lessThan">
      <formula>-0.03</formula>
    </cfRule>
  </conditionalFormatting>
  <conditionalFormatting sqref="U530:W530">
    <cfRule type="cellIs" dxfId="133" priority="467" operator="greaterThan">
      <formula>0.03</formula>
    </cfRule>
    <cfRule type="cellIs" dxfId="132" priority="468" stopIfTrue="1" operator="lessThan">
      <formula>-0.03</formula>
    </cfRule>
  </conditionalFormatting>
  <conditionalFormatting sqref="U539:W541">
    <cfRule type="cellIs" dxfId="131" priority="447" operator="greaterThan">
      <formula>0.03</formula>
    </cfRule>
    <cfRule type="cellIs" dxfId="130" priority="448" stopIfTrue="1" operator="lessThan">
      <formula>-0.03</formula>
    </cfRule>
  </conditionalFormatting>
  <conditionalFormatting sqref="U538:W538">
    <cfRule type="cellIs" dxfId="129" priority="443" operator="greaterThan">
      <formula>0.03</formula>
    </cfRule>
    <cfRule type="cellIs" dxfId="128" priority="444" stopIfTrue="1" operator="lessThan">
      <formula>-0.03</formula>
    </cfRule>
  </conditionalFormatting>
  <conditionalFormatting sqref="U543:W545">
    <cfRule type="cellIs" dxfId="127" priority="435" operator="greaterThan">
      <formula>0.03</formula>
    </cfRule>
    <cfRule type="cellIs" dxfId="126" priority="436" stopIfTrue="1" operator="lessThan">
      <formula>-0.03</formula>
    </cfRule>
  </conditionalFormatting>
  <conditionalFormatting sqref="U542:W542">
    <cfRule type="cellIs" dxfId="125" priority="431" operator="greaterThan">
      <formula>0.03</formula>
    </cfRule>
    <cfRule type="cellIs" dxfId="124" priority="432" stopIfTrue="1" operator="lessThan">
      <formula>-0.03</formula>
    </cfRule>
  </conditionalFormatting>
  <conditionalFormatting sqref="U547:W549">
    <cfRule type="cellIs" dxfId="123" priority="423" operator="greaterThan">
      <formula>0.03</formula>
    </cfRule>
    <cfRule type="cellIs" dxfId="122" priority="424" stopIfTrue="1" operator="lessThan">
      <formula>-0.03</formula>
    </cfRule>
  </conditionalFormatting>
  <conditionalFormatting sqref="U546:W546">
    <cfRule type="cellIs" dxfId="121" priority="419" operator="greaterThan">
      <formula>0.03</formula>
    </cfRule>
    <cfRule type="cellIs" dxfId="120" priority="420" stopIfTrue="1" operator="lessThan">
      <formula>-0.03</formula>
    </cfRule>
  </conditionalFormatting>
  <conditionalFormatting sqref="U551:W553">
    <cfRule type="cellIs" dxfId="119" priority="411" operator="greaterThan">
      <formula>0.03</formula>
    </cfRule>
    <cfRule type="cellIs" dxfId="118" priority="412" stopIfTrue="1" operator="lessThan">
      <formula>-0.03</formula>
    </cfRule>
  </conditionalFormatting>
  <conditionalFormatting sqref="U550:W550">
    <cfRule type="cellIs" dxfId="117" priority="407" operator="greaterThan">
      <formula>0.03</formula>
    </cfRule>
    <cfRule type="cellIs" dxfId="116" priority="408" stopIfTrue="1" operator="lessThan">
      <formula>-0.03</formula>
    </cfRule>
  </conditionalFormatting>
  <conditionalFormatting sqref="U555:W557">
    <cfRule type="cellIs" dxfId="115" priority="399" operator="greaterThan">
      <formula>0.03</formula>
    </cfRule>
    <cfRule type="cellIs" dxfId="114" priority="400" stopIfTrue="1" operator="lessThan">
      <formula>-0.03</formula>
    </cfRule>
  </conditionalFormatting>
  <conditionalFormatting sqref="U554:W554">
    <cfRule type="cellIs" dxfId="113" priority="395" operator="greaterThan">
      <formula>0.03</formula>
    </cfRule>
    <cfRule type="cellIs" dxfId="112" priority="396" stopIfTrue="1" operator="lessThan">
      <formula>-0.03</formula>
    </cfRule>
  </conditionalFormatting>
  <conditionalFormatting sqref="U559:W561">
    <cfRule type="cellIs" dxfId="111" priority="387" operator="greaterThan">
      <formula>0.03</formula>
    </cfRule>
    <cfRule type="cellIs" dxfId="110" priority="388" stopIfTrue="1" operator="lessThan">
      <formula>-0.03</formula>
    </cfRule>
  </conditionalFormatting>
  <conditionalFormatting sqref="U558:W558">
    <cfRule type="cellIs" dxfId="109" priority="383" operator="greaterThan">
      <formula>0.03</formula>
    </cfRule>
    <cfRule type="cellIs" dxfId="108" priority="384" stopIfTrue="1" operator="lessThan">
      <formula>-0.03</formula>
    </cfRule>
  </conditionalFormatting>
  <conditionalFormatting sqref="U563:W565">
    <cfRule type="cellIs" dxfId="107" priority="375" operator="greaterThan">
      <formula>0.03</formula>
    </cfRule>
    <cfRule type="cellIs" dxfId="106" priority="376" stopIfTrue="1" operator="lessThan">
      <formula>-0.03</formula>
    </cfRule>
  </conditionalFormatting>
  <conditionalFormatting sqref="U562:W562">
    <cfRule type="cellIs" dxfId="105" priority="371" operator="greaterThan">
      <formula>0.03</formula>
    </cfRule>
    <cfRule type="cellIs" dxfId="104" priority="372" stopIfTrue="1" operator="lessThan">
      <formula>-0.03</formula>
    </cfRule>
  </conditionalFormatting>
  <conditionalFormatting sqref="U567:W569">
    <cfRule type="cellIs" dxfId="103" priority="363" operator="greaterThan">
      <formula>0.03</formula>
    </cfRule>
    <cfRule type="cellIs" dxfId="102" priority="364" stopIfTrue="1" operator="lessThan">
      <formula>-0.03</formula>
    </cfRule>
  </conditionalFormatting>
  <conditionalFormatting sqref="U566:W566">
    <cfRule type="cellIs" dxfId="101" priority="359" operator="greaterThan">
      <formula>0.03</formula>
    </cfRule>
    <cfRule type="cellIs" dxfId="100" priority="360" stopIfTrue="1" operator="lessThan">
      <formula>-0.03</formula>
    </cfRule>
  </conditionalFormatting>
  <conditionalFormatting sqref="U571:W573">
    <cfRule type="cellIs" dxfId="99" priority="351" operator="greaterThan">
      <formula>0.03</formula>
    </cfRule>
    <cfRule type="cellIs" dxfId="98" priority="352" stopIfTrue="1" operator="lessThan">
      <formula>-0.03</formula>
    </cfRule>
  </conditionalFormatting>
  <conditionalFormatting sqref="U570:W570">
    <cfRule type="cellIs" dxfId="97" priority="347" operator="greaterThan">
      <formula>0.03</formula>
    </cfRule>
    <cfRule type="cellIs" dxfId="96" priority="348" stopIfTrue="1" operator="lessThan">
      <formula>-0.03</formula>
    </cfRule>
  </conditionalFormatting>
  <conditionalFormatting sqref="U575:W577">
    <cfRule type="cellIs" dxfId="95" priority="339" operator="greaterThan">
      <formula>0.03</formula>
    </cfRule>
    <cfRule type="cellIs" dxfId="94" priority="340" stopIfTrue="1" operator="lessThan">
      <formula>-0.03</formula>
    </cfRule>
  </conditionalFormatting>
  <conditionalFormatting sqref="U574:W574">
    <cfRule type="cellIs" dxfId="93" priority="335" operator="greaterThan">
      <formula>0.03</formula>
    </cfRule>
    <cfRule type="cellIs" dxfId="92" priority="336" stopIfTrue="1" operator="lessThan">
      <formula>-0.03</formula>
    </cfRule>
  </conditionalFormatting>
  <conditionalFormatting sqref="U579:W581">
    <cfRule type="cellIs" dxfId="91" priority="327" operator="greaterThan">
      <formula>0.03</formula>
    </cfRule>
    <cfRule type="cellIs" dxfId="90" priority="328" stopIfTrue="1" operator="lessThan">
      <formula>-0.03</formula>
    </cfRule>
  </conditionalFormatting>
  <conditionalFormatting sqref="U578:W578">
    <cfRule type="cellIs" dxfId="89" priority="323" operator="greaterThan">
      <formula>0.03</formula>
    </cfRule>
    <cfRule type="cellIs" dxfId="88" priority="324" stopIfTrue="1" operator="lessThan">
      <formula>-0.03</formula>
    </cfRule>
  </conditionalFormatting>
  <conditionalFormatting sqref="U583:W585">
    <cfRule type="cellIs" dxfId="87" priority="315" operator="greaterThan">
      <formula>0.03</formula>
    </cfRule>
    <cfRule type="cellIs" dxfId="86" priority="316" stopIfTrue="1" operator="lessThan">
      <formula>-0.03</formula>
    </cfRule>
  </conditionalFormatting>
  <conditionalFormatting sqref="U582:W582">
    <cfRule type="cellIs" dxfId="85" priority="311" operator="greaterThan">
      <formula>0.03</formula>
    </cfRule>
    <cfRule type="cellIs" dxfId="84" priority="312" stopIfTrue="1" operator="lessThan">
      <formula>-0.03</formula>
    </cfRule>
  </conditionalFormatting>
  <conditionalFormatting sqref="U587:W589">
    <cfRule type="cellIs" dxfId="83" priority="303" operator="greaterThan">
      <formula>0.03</formula>
    </cfRule>
    <cfRule type="cellIs" dxfId="82" priority="304" stopIfTrue="1" operator="lessThan">
      <formula>-0.03</formula>
    </cfRule>
  </conditionalFormatting>
  <conditionalFormatting sqref="U586:W586">
    <cfRule type="cellIs" dxfId="81" priority="299" operator="greaterThan">
      <formula>0.03</formula>
    </cfRule>
    <cfRule type="cellIs" dxfId="80" priority="300" stopIfTrue="1" operator="lessThan">
      <formula>-0.03</formula>
    </cfRule>
  </conditionalFormatting>
  <conditionalFormatting sqref="U591:W593">
    <cfRule type="cellIs" dxfId="79" priority="291" operator="greaterThan">
      <formula>0.03</formula>
    </cfRule>
    <cfRule type="cellIs" dxfId="78" priority="292" stopIfTrue="1" operator="lessThan">
      <formula>-0.03</formula>
    </cfRule>
  </conditionalFormatting>
  <conditionalFormatting sqref="U590:W590">
    <cfRule type="cellIs" dxfId="77" priority="287" operator="greaterThan">
      <formula>0.03</formula>
    </cfRule>
    <cfRule type="cellIs" dxfId="76" priority="288" stopIfTrue="1" operator="lessThan">
      <formula>-0.03</formula>
    </cfRule>
  </conditionalFormatting>
  <conditionalFormatting sqref="U595:W597">
    <cfRule type="cellIs" dxfId="75" priority="279" operator="greaterThan">
      <formula>0.03</formula>
    </cfRule>
    <cfRule type="cellIs" dxfId="74" priority="280" stopIfTrue="1" operator="lessThan">
      <formula>-0.03</formula>
    </cfRule>
  </conditionalFormatting>
  <conditionalFormatting sqref="U594:W594">
    <cfRule type="cellIs" dxfId="73" priority="275" operator="greaterThan">
      <formula>0.03</formula>
    </cfRule>
    <cfRule type="cellIs" dxfId="72" priority="276" stopIfTrue="1" operator="lessThan">
      <formula>-0.03</formula>
    </cfRule>
  </conditionalFormatting>
  <conditionalFormatting sqref="U368:W370 U373:W374 U378:W378 U384:W386 U376:W376 U380:W381">
    <cfRule type="cellIs" dxfId="71" priority="267" operator="greaterThan">
      <formula>0.03</formula>
    </cfRule>
    <cfRule type="cellIs" dxfId="70" priority="268" stopIfTrue="1" operator="lessThan">
      <formula>-0.03</formula>
    </cfRule>
  </conditionalFormatting>
  <conditionalFormatting sqref="U367:W367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U388:W390 U393:W394 U398:W398 U404:W406 U396:W396 U400:W401">
    <cfRule type="cellIs" dxfId="67" priority="225" operator="greaterThan">
      <formula>0.03</formula>
    </cfRule>
    <cfRule type="cellIs" dxfId="66" priority="226" stopIfTrue="1" operator="lessThan">
      <formula>-0.03</formula>
    </cfRule>
  </conditionalFormatting>
  <conditionalFormatting sqref="U417:W417">
    <cfRule type="cellIs" dxfId="65" priority="175" operator="greaterThan">
      <formula>0.03</formula>
    </cfRule>
    <cfRule type="cellIs" dxfId="64" priority="176" stopIfTrue="1" operator="lessThan">
      <formula>-0.03</formula>
    </cfRule>
  </conditionalFormatting>
  <conditionalFormatting sqref="U392:W392">
    <cfRule type="cellIs" dxfId="63" priority="215" operator="greaterThan">
      <formula>0.03</formula>
    </cfRule>
    <cfRule type="cellIs" dxfId="62" priority="216" stopIfTrue="1" operator="lessThan">
      <formula>-0.03</formula>
    </cfRule>
  </conditionalFormatting>
  <conditionalFormatting sqref="U372:W372">
    <cfRule type="cellIs" dxfId="61" priority="249" operator="greaterThan">
      <formula>0.03</formula>
    </cfRule>
    <cfRule type="cellIs" dxfId="60" priority="250" stopIfTrue="1" operator="lessThan">
      <formula>-0.03</formula>
    </cfRule>
  </conditionalFormatting>
  <conditionalFormatting sqref="U377:W377">
    <cfRule type="cellIs" dxfId="59" priority="241" operator="greaterThan">
      <formula>0.03</formula>
    </cfRule>
    <cfRule type="cellIs" dxfId="58" priority="242" stopIfTrue="1" operator="lessThan">
      <formula>-0.03</formula>
    </cfRule>
  </conditionalFormatting>
  <conditionalFormatting sqref="U382:W382">
    <cfRule type="cellIs" dxfId="57" priority="233" operator="greaterThan">
      <formula>0.03</formula>
    </cfRule>
    <cfRule type="cellIs" dxfId="56" priority="234" stopIfTrue="1" operator="lessThan">
      <formula>-0.03</formula>
    </cfRule>
  </conditionalFormatting>
  <conditionalFormatting sqref="U402:W402">
    <cfRule type="cellIs" dxfId="55" priority="199" operator="greaterThan">
      <formula>0.03</formula>
    </cfRule>
    <cfRule type="cellIs" dxfId="54" priority="200" stopIfTrue="1" operator="lessThan">
      <formula>-0.03</formula>
    </cfRule>
  </conditionalFormatting>
  <conditionalFormatting sqref="U397:W397">
    <cfRule type="cellIs" dxfId="53" priority="207" operator="greaterThan">
      <formula>0.03</formula>
    </cfRule>
    <cfRule type="cellIs" dxfId="52" priority="208" stopIfTrue="1" operator="lessThan">
      <formula>-0.03</formula>
    </cfRule>
  </conditionalFormatting>
  <conditionalFormatting sqref="U408:W410 U413:W414 U418:W418 U416:W416">
    <cfRule type="cellIs" dxfId="51" priority="191" operator="greaterThan">
      <formula>0.03</formula>
    </cfRule>
    <cfRule type="cellIs" dxfId="50" priority="192" stopIfTrue="1" operator="lessThan">
      <formula>-0.03</formula>
    </cfRule>
  </conditionalFormatting>
  <conditionalFormatting sqref="U412:W412">
    <cfRule type="cellIs" dxfId="49" priority="183" operator="greaterThan">
      <formula>0.03</formula>
    </cfRule>
    <cfRule type="cellIs" dxfId="48" priority="184" stopIfTrue="1" operator="lessThan">
      <formula>-0.03</formula>
    </cfRule>
  </conditionalFormatting>
  <conditionalFormatting sqref="U371:W371">
    <cfRule type="cellIs" dxfId="47" priority="167" operator="greaterThan">
      <formula>0.03</formula>
    </cfRule>
    <cfRule type="cellIs" dxfId="46" priority="168" stopIfTrue="1" operator="lessThan">
      <formula>-0.03</formula>
    </cfRule>
  </conditionalFormatting>
  <conditionalFormatting sqref="U375:W375">
    <cfRule type="cellIs" dxfId="45" priority="159" operator="greaterThan">
      <formula>0.03</formula>
    </cfRule>
    <cfRule type="cellIs" dxfId="44" priority="160" stopIfTrue="1" operator="lessThan">
      <formula>-0.03</formula>
    </cfRule>
  </conditionalFormatting>
  <conditionalFormatting sqref="U379:W379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U383:W383">
    <cfRule type="cellIs" dxfId="41" priority="143" operator="greaterThan">
      <formula>0.03</formula>
    </cfRule>
    <cfRule type="cellIs" dxfId="40" priority="144" stopIfTrue="1" operator="lessThan">
      <formula>-0.03</formula>
    </cfRule>
  </conditionalFormatting>
  <conditionalFormatting sqref="U387:W387">
    <cfRule type="cellIs" dxfId="39" priority="135" operator="greaterThan">
      <formula>0.03</formula>
    </cfRule>
    <cfRule type="cellIs" dxfId="38" priority="136" stopIfTrue="1" operator="lessThan">
      <formula>-0.03</formula>
    </cfRule>
  </conditionalFormatting>
  <conditionalFormatting sqref="U391:W391">
    <cfRule type="cellIs" dxfId="37" priority="127" operator="greaterThan">
      <formula>0.03</formula>
    </cfRule>
    <cfRule type="cellIs" dxfId="36" priority="128" stopIfTrue="1" operator="lessThan">
      <formula>-0.03</formula>
    </cfRule>
  </conditionalFormatting>
  <conditionalFormatting sqref="U395:W395">
    <cfRule type="cellIs" dxfId="35" priority="119" operator="greaterThan">
      <formula>0.03</formula>
    </cfRule>
    <cfRule type="cellIs" dxfId="34" priority="120" stopIfTrue="1" operator="lessThan">
      <formula>-0.03</formula>
    </cfRule>
  </conditionalFormatting>
  <conditionalFormatting sqref="U399:W399">
    <cfRule type="cellIs" dxfId="33" priority="111" operator="greaterThan">
      <formula>0.03</formula>
    </cfRule>
    <cfRule type="cellIs" dxfId="32" priority="112" stopIfTrue="1" operator="lessThan">
      <formula>-0.03</formula>
    </cfRule>
  </conditionalFormatting>
  <conditionalFormatting sqref="U403:W403">
    <cfRule type="cellIs" dxfId="31" priority="103" operator="greaterThan">
      <formula>0.03</formula>
    </cfRule>
    <cfRule type="cellIs" dxfId="30" priority="104" stopIfTrue="1" operator="lessThan">
      <formula>-0.03</formula>
    </cfRule>
  </conditionalFormatting>
  <conditionalFormatting sqref="U407:W407">
    <cfRule type="cellIs" dxfId="29" priority="95" operator="greaterThan">
      <formula>0.03</formula>
    </cfRule>
    <cfRule type="cellIs" dxfId="28" priority="96" stopIfTrue="1" operator="lessThan">
      <formula>-0.03</formula>
    </cfRule>
  </conditionalFormatting>
  <conditionalFormatting sqref="U411:W411">
    <cfRule type="cellIs" dxfId="27" priority="87" operator="greaterThan">
      <formula>0.03</formula>
    </cfRule>
    <cfRule type="cellIs" dxfId="26" priority="88" stopIfTrue="1" operator="lessThan">
      <formula>-0.03</formula>
    </cfRule>
  </conditionalFormatting>
  <conditionalFormatting sqref="U415:W415">
    <cfRule type="cellIs" dxfId="25" priority="79" operator="greaterThan">
      <formula>0.03</formula>
    </cfRule>
    <cfRule type="cellIs" dxfId="24" priority="80" stopIfTrue="1" operator="lessThan">
      <formula>-0.03</formula>
    </cfRule>
  </conditionalFormatting>
  <conditionalFormatting sqref="U599:W601">
    <cfRule type="cellIs" dxfId="23" priority="71" operator="greaterThan">
      <formula>0.03</formula>
    </cfRule>
    <cfRule type="cellIs" dxfId="22" priority="72" stopIfTrue="1" operator="lessThan">
      <formula>-0.03</formula>
    </cfRule>
  </conditionalFormatting>
  <conditionalFormatting sqref="U598:W598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U603:W605">
    <cfRule type="cellIs" dxfId="19" priority="59" operator="greaterThan">
      <formula>0.03</formula>
    </cfRule>
    <cfRule type="cellIs" dxfId="18" priority="60" stopIfTrue="1" operator="lessThan">
      <formula>-0.03</formula>
    </cfRule>
  </conditionalFormatting>
  <conditionalFormatting sqref="U602:W602">
    <cfRule type="cellIs" dxfId="17" priority="55" operator="greaterThan">
      <formula>0.03</formula>
    </cfRule>
    <cfRule type="cellIs" dxfId="16" priority="56" stopIfTrue="1" operator="lessThan">
      <formula>-0.03</formula>
    </cfRule>
  </conditionalFormatting>
  <conditionalFormatting sqref="U607:W609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U606:W606">
    <cfRule type="cellIs" dxfId="13" priority="43" operator="greaterThan">
      <formula>0.03</formula>
    </cfRule>
    <cfRule type="cellIs" dxfId="12" priority="44" stopIfTrue="1" operator="lessThan">
      <formula>-0.03</formula>
    </cfRule>
  </conditionalFormatting>
  <conditionalFormatting sqref="U611:W613">
    <cfRule type="cellIs" dxfId="11" priority="35" operator="greaterThan">
      <formula>0.03</formula>
    </cfRule>
    <cfRule type="cellIs" dxfId="10" priority="36" stopIfTrue="1" operator="lessThan">
      <formula>-0.03</formula>
    </cfRule>
  </conditionalFormatting>
  <conditionalFormatting sqref="U610:W610">
    <cfRule type="cellIs" dxfId="9" priority="31" operator="greaterThan">
      <formula>0.03</formula>
    </cfRule>
    <cfRule type="cellIs" dxfId="8" priority="32" stopIfTrue="1" operator="lessThan">
      <formula>-0.03</formula>
    </cfRule>
  </conditionalFormatting>
  <conditionalFormatting sqref="U615:W617">
    <cfRule type="cellIs" dxfId="7" priority="23" operator="greaterThan">
      <formula>0.03</formula>
    </cfRule>
    <cfRule type="cellIs" dxfId="6" priority="24" stopIfTrue="1" operator="lessThan">
      <formula>-0.03</formula>
    </cfRule>
  </conditionalFormatting>
  <conditionalFormatting sqref="U614:W614">
    <cfRule type="cellIs" dxfId="5" priority="19" operator="greaterThan">
      <formula>0.03</formula>
    </cfRule>
    <cfRule type="cellIs" dxfId="4" priority="20" stopIfTrue="1" operator="lessThan">
      <formula>-0.03</formula>
    </cfRule>
  </conditionalFormatting>
  <conditionalFormatting sqref="U619:W621">
    <cfRule type="cellIs" dxfId="3" priority="11" operator="greaterThan">
      <formula>0.03</formula>
    </cfRule>
    <cfRule type="cellIs" dxfId="2" priority="12" stopIfTrue="1" operator="lessThan">
      <formula>-0.03</formula>
    </cfRule>
  </conditionalFormatting>
  <conditionalFormatting sqref="U618:W618">
    <cfRule type="cellIs" dxfId="1" priority="7" operator="greaterThan">
      <formula>0.03</formula>
    </cfRule>
    <cfRule type="cellIs" dxfId="0" priority="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Kai Zhang</cp:lastModifiedBy>
  <dcterms:created xsi:type="dcterms:W3CDTF">2011-06-30T00:09:01Z</dcterms:created>
  <dcterms:modified xsi:type="dcterms:W3CDTF">2014-04-14T11:29:17Z</dcterms:modified>
</cp:coreProperties>
</file>