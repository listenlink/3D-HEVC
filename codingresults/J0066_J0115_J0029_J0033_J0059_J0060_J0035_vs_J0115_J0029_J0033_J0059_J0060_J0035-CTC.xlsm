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 builtInGroupCount="17"/>
  <calcPr calcId="145621"/>
</workbook>
</file>

<file path=xl/calcChain.xml><?xml version="1.0" encoding="utf-8"?>
<calcChain xmlns="http://schemas.openxmlformats.org/spreadsheetml/2006/main">
  <c r="E609" i="21" l="1"/>
  <c r="E617" i="21" s="1"/>
  <c r="E608" i="21"/>
  <c r="E616" i="21" s="1"/>
  <c r="E607" i="21"/>
  <c r="E615" i="21" s="1"/>
  <c r="E606" i="21"/>
  <c r="E614" i="21" s="1"/>
  <c r="F606" i="21"/>
  <c r="F607" i="21"/>
  <c r="F608" i="21"/>
  <c r="F609" i="21"/>
  <c r="M606" i="21"/>
  <c r="M614" i="21" s="1"/>
  <c r="M607" i="21"/>
  <c r="M615" i="21" s="1"/>
  <c r="M608" i="21"/>
  <c r="M616" i="21" s="1"/>
  <c r="M609" i="21"/>
  <c r="M617" i="21" s="1"/>
  <c r="N606" i="21"/>
  <c r="N607" i="21"/>
  <c r="N608" i="21"/>
  <c r="N609" i="21"/>
  <c r="F598" i="21"/>
  <c r="F599" i="21"/>
  <c r="F600" i="21"/>
  <c r="F601" i="21"/>
  <c r="N598" i="21"/>
  <c r="N599" i="21"/>
  <c r="N600" i="21"/>
  <c r="N601" i="21"/>
  <c r="E601" i="21"/>
  <c r="E600" i="21"/>
  <c r="E599" i="21"/>
  <c r="E598" i="21"/>
  <c r="M598" i="21"/>
  <c r="M599" i="21"/>
  <c r="M600" i="21"/>
  <c r="M601" i="21"/>
  <c r="E585" i="21"/>
  <c r="E593" i="21" s="1"/>
  <c r="E584" i="21"/>
  <c r="E592" i="21" s="1"/>
  <c r="E583" i="21"/>
  <c r="E591" i="21" s="1"/>
  <c r="E582" i="21"/>
  <c r="E590" i="21" s="1"/>
  <c r="F582" i="21"/>
  <c r="F583" i="21"/>
  <c r="F584" i="21"/>
  <c r="F585" i="21"/>
  <c r="M582" i="21"/>
  <c r="M590" i="21" s="1"/>
  <c r="M583" i="21"/>
  <c r="M591" i="21" s="1"/>
  <c r="M584" i="21"/>
  <c r="M592" i="21" s="1"/>
  <c r="M585" i="21"/>
  <c r="M593" i="21" s="1"/>
  <c r="N582" i="21"/>
  <c r="N583" i="21"/>
  <c r="N584" i="21"/>
  <c r="N585" i="21"/>
  <c r="F574" i="21"/>
  <c r="F575" i="21"/>
  <c r="F576" i="21"/>
  <c r="F577" i="21"/>
  <c r="N574" i="21"/>
  <c r="N575" i="21"/>
  <c r="N576" i="21"/>
  <c r="N577" i="21"/>
  <c r="E577" i="21"/>
  <c r="E576" i="21"/>
  <c r="E575" i="21"/>
  <c r="E574" i="21"/>
  <c r="M574" i="21"/>
  <c r="M575" i="21"/>
  <c r="M576" i="21"/>
  <c r="M577" i="21"/>
  <c r="B27" i="23"/>
  <c r="E561" i="21"/>
  <c r="E569" i="21" s="1"/>
  <c r="E560" i="21"/>
  <c r="E568" i="21" s="1"/>
  <c r="E559" i="21"/>
  <c r="E567" i="21" s="1"/>
  <c r="E558" i="21"/>
  <c r="E566" i="21" s="1"/>
  <c r="F558" i="21"/>
  <c r="F559" i="21"/>
  <c r="F560" i="21"/>
  <c r="F561" i="21"/>
  <c r="M558" i="21"/>
  <c r="M566" i="21" s="1"/>
  <c r="M559" i="21"/>
  <c r="M567" i="21" s="1"/>
  <c r="M560" i="21"/>
  <c r="M568" i="21" s="1"/>
  <c r="M561" i="21"/>
  <c r="M569" i="21" s="1"/>
  <c r="N558" i="21"/>
  <c r="N559" i="21"/>
  <c r="N560" i="21"/>
  <c r="N561" i="21"/>
  <c r="F550" i="21"/>
  <c r="F551" i="21"/>
  <c r="F552" i="21"/>
  <c r="F553" i="21"/>
  <c r="N550" i="21"/>
  <c r="N551" i="21"/>
  <c r="N552" i="21"/>
  <c r="N553" i="21"/>
  <c r="E553" i="21"/>
  <c r="E552" i="21"/>
  <c r="E551" i="21"/>
  <c r="E550" i="21"/>
  <c r="M550" i="21"/>
  <c r="M551" i="21"/>
  <c r="M552" i="21"/>
  <c r="M553" i="21"/>
  <c r="B26" i="23"/>
  <c r="E537" i="21"/>
  <c r="E545" i="21" s="1"/>
  <c r="E536" i="21"/>
  <c r="E544" i="21" s="1"/>
  <c r="E535" i="21"/>
  <c r="E543" i="21" s="1"/>
  <c r="E534" i="21"/>
  <c r="E542" i="21" s="1"/>
  <c r="F534" i="21"/>
  <c r="F535" i="21"/>
  <c r="F536" i="21"/>
  <c r="F537" i="21"/>
  <c r="M534" i="21"/>
  <c r="M535" i="21"/>
  <c r="M543" i="21" s="1"/>
  <c r="M536" i="21"/>
  <c r="M544" i="21" s="1"/>
  <c r="M537" i="21"/>
  <c r="M545" i="21" s="1"/>
  <c r="N534" i="21"/>
  <c r="N535" i="21"/>
  <c r="N536" i="21"/>
  <c r="N537" i="21"/>
  <c r="F526" i="21"/>
  <c r="F527" i="21"/>
  <c r="F528" i="21"/>
  <c r="F529" i="21"/>
  <c r="M542" i="21"/>
  <c r="N526" i="21"/>
  <c r="N527" i="21"/>
  <c r="N528" i="21"/>
  <c r="N529" i="21"/>
  <c r="E529" i="21"/>
  <c r="E528" i="21"/>
  <c r="E527" i="21"/>
  <c r="E526" i="21"/>
  <c r="M526" i="21"/>
  <c r="M527" i="21"/>
  <c r="M528" i="21"/>
  <c r="M529" i="21"/>
  <c r="B25" i="23"/>
  <c r="E513" i="21"/>
  <c r="E521" i="21" s="1"/>
  <c r="E512" i="21"/>
  <c r="E520" i="21" s="1"/>
  <c r="E511" i="21"/>
  <c r="E519" i="21" s="1"/>
  <c r="E510" i="21"/>
  <c r="E518" i="21" s="1"/>
  <c r="F510" i="21"/>
  <c r="F511" i="21"/>
  <c r="F512" i="21"/>
  <c r="F513" i="21"/>
  <c r="M510" i="21"/>
  <c r="M518" i="21" s="1"/>
  <c r="M511" i="21"/>
  <c r="M519" i="21" s="1"/>
  <c r="M512" i="21"/>
  <c r="M520" i="21" s="1"/>
  <c r="M513" i="21"/>
  <c r="M521" i="21" s="1"/>
  <c r="N510" i="21"/>
  <c r="N511" i="21"/>
  <c r="N512" i="21"/>
  <c r="N513" i="21"/>
  <c r="F502" i="21"/>
  <c r="F503" i="21"/>
  <c r="F504" i="21"/>
  <c r="F505" i="21"/>
  <c r="N502" i="21"/>
  <c r="N503" i="21"/>
  <c r="N504" i="21"/>
  <c r="N505" i="21"/>
  <c r="E505" i="21"/>
  <c r="E504" i="21"/>
  <c r="E503" i="21"/>
  <c r="E502" i="21"/>
  <c r="M502" i="21"/>
  <c r="M503" i="21"/>
  <c r="M504" i="21"/>
  <c r="M505" i="21"/>
  <c r="B24" i="23"/>
  <c r="E489" i="21"/>
  <c r="E497" i="21" s="1"/>
  <c r="E488" i="21"/>
  <c r="E496" i="21" s="1"/>
  <c r="E487" i="21"/>
  <c r="E495" i="21" s="1"/>
  <c r="E486" i="21"/>
  <c r="E494" i="21" s="1"/>
  <c r="F486" i="21"/>
  <c r="F487" i="21"/>
  <c r="F488" i="21"/>
  <c r="F489" i="21"/>
  <c r="M486" i="21"/>
  <c r="M494" i="21" s="1"/>
  <c r="M487" i="21"/>
  <c r="M495" i="21" s="1"/>
  <c r="M488" i="21"/>
  <c r="M496" i="21" s="1"/>
  <c r="M489" i="21"/>
  <c r="M497" i="21" s="1"/>
  <c r="N486" i="21"/>
  <c r="N487" i="21"/>
  <c r="N488" i="21"/>
  <c r="N489" i="21"/>
  <c r="F478" i="21"/>
  <c r="F479" i="21"/>
  <c r="F480" i="21"/>
  <c r="F481" i="21"/>
  <c r="N478" i="21"/>
  <c r="N479" i="21"/>
  <c r="N480" i="21"/>
  <c r="N481" i="21"/>
  <c r="E481" i="21"/>
  <c r="E480" i="21"/>
  <c r="E479" i="21"/>
  <c r="E478" i="21"/>
  <c r="M478" i="21"/>
  <c r="M479" i="21"/>
  <c r="M480" i="21"/>
  <c r="M481" i="21"/>
  <c r="B23" i="23"/>
  <c r="E465" i="21"/>
  <c r="E473" i="21" s="1"/>
  <c r="E464" i="21"/>
  <c r="E472" i="21" s="1"/>
  <c r="E463" i="21"/>
  <c r="E471" i="21" s="1"/>
  <c r="E462" i="21"/>
  <c r="E470" i="21" s="1"/>
  <c r="F462" i="21"/>
  <c r="F463" i="21"/>
  <c r="F464" i="21"/>
  <c r="F465" i="21"/>
  <c r="M462" i="21"/>
  <c r="M470" i="21" s="1"/>
  <c r="M463" i="21"/>
  <c r="M471" i="21" s="1"/>
  <c r="M464" i="21"/>
  <c r="M472" i="21" s="1"/>
  <c r="M465" i="21"/>
  <c r="M473" i="21" s="1"/>
  <c r="N462" i="21"/>
  <c r="N463" i="21"/>
  <c r="N464" i="21"/>
  <c r="N465" i="21"/>
  <c r="F454" i="21"/>
  <c r="F455" i="21"/>
  <c r="F456" i="21"/>
  <c r="F457" i="21"/>
  <c r="N454" i="21"/>
  <c r="N455" i="21"/>
  <c r="N456" i="21"/>
  <c r="N457" i="21"/>
  <c r="E457" i="21"/>
  <c r="E456" i="21"/>
  <c r="E455" i="21"/>
  <c r="E454" i="21"/>
  <c r="M454" i="21"/>
  <c r="M455" i="21"/>
  <c r="M456" i="21"/>
  <c r="M457" i="21"/>
  <c r="B22" i="23"/>
  <c r="E441" i="21"/>
  <c r="E449" i="21" s="1"/>
  <c r="E440" i="21"/>
  <c r="E448" i="21" s="1"/>
  <c r="E439" i="21"/>
  <c r="E447" i="21" s="1"/>
  <c r="E438" i="21"/>
  <c r="E446" i="21" s="1"/>
  <c r="F438" i="21"/>
  <c r="F439" i="21"/>
  <c r="F440" i="21"/>
  <c r="F441" i="21"/>
  <c r="M438" i="21"/>
  <c r="M446" i="21" s="1"/>
  <c r="M439" i="21"/>
  <c r="M447" i="21" s="1"/>
  <c r="M440" i="21"/>
  <c r="M448" i="21" s="1"/>
  <c r="M441" i="21"/>
  <c r="M449" i="21" s="1"/>
  <c r="N438" i="21"/>
  <c r="N439" i="21"/>
  <c r="N440" i="21"/>
  <c r="N441" i="21"/>
  <c r="F430" i="21"/>
  <c r="F431" i="21"/>
  <c r="F432" i="21"/>
  <c r="F433" i="21"/>
  <c r="N430" i="21"/>
  <c r="N431" i="21"/>
  <c r="N432" i="21"/>
  <c r="N433" i="21"/>
  <c r="E433" i="21"/>
  <c r="E432" i="21"/>
  <c r="E431" i="21"/>
  <c r="E430" i="21"/>
  <c r="M430" i="21"/>
  <c r="M431" i="21"/>
  <c r="M432" i="21"/>
  <c r="M433" i="21"/>
  <c r="B21" i="23"/>
  <c r="AA415" i="21"/>
  <c r="K12" i="23" s="1"/>
  <c r="Z415" i="21"/>
  <c r="J12" i="23" s="1"/>
  <c r="Y415" i="21"/>
  <c r="I12" i="23" s="1"/>
  <c r="E613" i="21"/>
  <c r="E621" i="21" s="1"/>
  <c r="E612" i="21"/>
  <c r="E620" i="21" s="1"/>
  <c r="E611" i="21"/>
  <c r="E619" i="21" s="1"/>
  <c r="E610" i="21"/>
  <c r="E618" i="21" s="1"/>
  <c r="F610" i="21"/>
  <c r="F611" i="21"/>
  <c r="F612" i="21"/>
  <c r="F613" i="21"/>
  <c r="M610" i="21"/>
  <c r="M618" i="21" s="1"/>
  <c r="M611" i="21"/>
  <c r="M619" i="21" s="1"/>
  <c r="M612" i="21"/>
  <c r="M620" i="21" s="1"/>
  <c r="M613" i="21"/>
  <c r="M621" i="21" s="1"/>
  <c r="N610" i="21"/>
  <c r="N611" i="21"/>
  <c r="N612" i="21"/>
  <c r="N613" i="21"/>
  <c r="F602" i="21"/>
  <c r="F603" i="21"/>
  <c r="F604" i="21"/>
  <c r="F605" i="21"/>
  <c r="N602" i="21"/>
  <c r="N603" i="21"/>
  <c r="N604" i="21"/>
  <c r="N605" i="21"/>
  <c r="E605" i="21"/>
  <c r="E604" i="21"/>
  <c r="E603" i="21"/>
  <c r="E602" i="21"/>
  <c r="M602" i="21"/>
  <c r="M603" i="21"/>
  <c r="M604" i="21"/>
  <c r="M605" i="21"/>
  <c r="AA363" i="21"/>
  <c r="K11" i="23" s="1"/>
  <c r="Z363" i="21"/>
  <c r="J11" i="23" s="1"/>
  <c r="Y363" i="21"/>
  <c r="I11" i="23" s="1"/>
  <c r="E589" i="21"/>
  <c r="E597" i="21" s="1"/>
  <c r="E588" i="21"/>
  <c r="E596" i="21" s="1"/>
  <c r="E587" i="21"/>
  <c r="E595" i="21" s="1"/>
  <c r="E586" i="21"/>
  <c r="E594" i="21" s="1"/>
  <c r="F586" i="21"/>
  <c r="F587" i="21"/>
  <c r="F588" i="21"/>
  <c r="F589" i="21"/>
  <c r="M586" i="21"/>
  <c r="M594" i="21" s="1"/>
  <c r="M587" i="21"/>
  <c r="M595" i="21" s="1"/>
  <c r="M588" i="21"/>
  <c r="M596" i="21" s="1"/>
  <c r="M589" i="21"/>
  <c r="M597" i="21" s="1"/>
  <c r="N586" i="21"/>
  <c r="N587" i="21"/>
  <c r="N588" i="21"/>
  <c r="N589" i="21"/>
  <c r="F578" i="21"/>
  <c r="F579" i="21"/>
  <c r="F580" i="21"/>
  <c r="F581" i="21"/>
  <c r="N578" i="21"/>
  <c r="N579" i="21"/>
  <c r="N580" i="21"/>
  <c r="N581" i="21"/>
  <c r="E581" i="21"/>
  <c r="E580" i="21"/>
  <c r="E579" i="21"/>
  <c r="E578" i="21"/>
  <c r="M578" i="21"/>
  <c r="M579" i="21"/>
  <c r="M580" i="21"/>
  <c r="M581" i="21"/>
  <c r="B11" i="23"/>
  <c r="AA311" i="21"/>
  <c r="K10" i="23" s="1"/>
  <c r="Z311" i="21"/>
  <c r="J10" i="23" s="1"/>
  <c r="Y311" i="21"/>
  <c r="I10" i="23" s="1"/>
  <c r="E565" i="21"/>
  <c r="E573" i="21" s="1"/>
  <c r="E564" i="21"/>
  <c r="E572" i="21" s="1"/>
  <c r="E563" i="21"/>
  <c r="E571" i="21" s="1"/>
  <c r="E562" i="21"/>
  <c r="E570" i="21" s="1"/>
  <c r="F562" i="21"/>
  <c r="F563" i="21"/>
  <c r="F564" i="21"/>
  <c r="F565" i="21"/>
  <c r="M562" i="21"/>
  <c r="M563" i="21"/>
  <c r="M571" i="21" s="1"/>
  <c r="M564" i="21"/>
  <c r="M572" i="21" s="1"/>
  <c r="M565" i="21"/>
  <c r="M573" i="21" s="1"/>
  <c r="N562" i="21"/>
  <c r="N563" i="21"/>
  <c r="N564" i="21"/>
  <c r="N565" i="21"/>
  <c r="F554" i="21"/>
  <c r="F555" i="21"/>
  <c r="F556" i="21"/>
  <c r="F557" i="21"/>
  <c r="M570" i="21"/>
  <c r="N554" i="21"/>
  <c r="N555" i="21"/>
  <c r="N556" i="21"/>
  <c r="N557" i="21"/>
  <c r="E557" i="21"/>
  <c r="E556" i="21"/>
  <c r="E555" i="21"/>
  <c r="E554" i="21"/>
  <c r="M554" i="21"/>
  <c r="M555" i="21"/>
  <c r="M556" i="21"/>
  <c r="M557" i="21"/>
  <c r="B10" i="23"/>
  <c r="AA259" i="21"/>
  <c r="K9" i="23" s="1"/>
  <c r="Z259" i="21"/>
  <c r="J9" i="23" s="1"/>
  <c r="Y259" i="21"/>
  <c r="I9" i="23" s="1"/>
  <c r="E541" i="21"/>
  <c r="E549" i="21" s="1"/>
  <c r="E540" i="21"/>
  <c r="E548" i="21" s="1"/>
  <c r="E539" i="21"/>
  <c r="E547" i="21" s="1"/>
  <c r="E538" i="21"/>
  <c r="E546" i="21" s="1"/>
  <c r="F538" i="21"/>
  <c r="F539" i="21"/>
  <c r="F540" i="21"/>
  <c r="F541" i="21"/>
  <c r="M538" i="21"/>
  <c r="M539" i="21"/>
  <c r="M540" i="21"/>
  <c r="M541" i="21"/>
  <c r="N538" i="21"/>
  <c r="N539" i="21"/>
  <c r="N540" i="21"/>
  <c r="N541" i="21"/>
  <c r="F530" i="21"/>
  <c r="F531" i="21"/>
  <c r="F532" i="21"/>
  <c r="F533" i="21"/>
  <c r="M546" i="21"/>
  <c r="M547" i="21"/>
  <c r="M548" i="21"/>
  <c r="M549" i="21"/>
  <c r="N530" i="21"/>
  <c r="N531" i="21"/>
  <c r="N532" i="21"/>
  <c r="N533" i="21"/>
  <c r="E533" i="21"/>
  <c r="E532" i="21"/>
  <c r="E531" i="21"/>
  <c r="E530" i="21"/>
  <c r="M530" i="21"/>
  <c r="M531" i="21"/>
  <c r="M532" i="21"/>
  <c r="M533" i="21"/>
  <c r="B9" i="23"/>
  <c r="AA207" i="21"/>
  <c r="K8" i="23" s="1"/>
  <c r="Z207" i="21"/>
  <c r="J8" i="23" s="1"/>
  <c r="Y207" i="21"/>
  <c r="I8" i="23" s="1"/>
  <c r="E517" i="21"/>
  <c r="E525" i="21" s="1"/>
  <c r="E516" i="21"/>
  <c r="E524" i="21" s="1"/>
  <c r="E515" i="21"/>
  <c r="E523" i="21" s="1"/>
  <c r="E514" i="21"/>
  <c r="E522" i="21" s="1"/>
  <c r="F514" i="21"/>
  <c r="F515" i="21"/>
  <c r="F516" i="21"/>
  <c r="F517" i="21"/>
  <c r="M514" i="21"/>
  <c r="M515" i="21"/>
  <c r="M516" i="21"/>
  <c r="M517" i="21"/>
  <c r="N514" i="21"/>
  <c r="N515" i="21"/>
  <c r="N516" i="21"/>
  <c r="N517" i="21"/>
  <c r="F506" i="21"/>
  <c r="F507" i="21"/>
  <c r="F508" i="21"/>
  <c r="F509" i="21"/>
  <c r="M522" i="21"/>
  <c r="M523" i="21"/>
  <c r="M524" i="21"/>
  <c r="M525" i="21"/>
  <c r="N506" i="21"/>
  <c r="N507" i="21"/>
  <c r="N508" i="21"/>
  <c r="N509" i="21"/>
  <c r="E509" i="21"/>
  <c r="E508" i="21"/>
  <c r="E507" i="21"/>
  <c r="E506" i="21"/>
  <c r="M506" i="21"/>
  <c r="M507" i="21"/>
  <c r="M508" i="21"/>
  <c r="M509" i="21"/>
  <c r="B8" i="23"/>
  <c r="AA155" i="21"/>
  <c r="K7" i="23" s="1"/>
  <c r="Z155" i="21"/>
  <c r="J7" i="23" s="1"/>
  <c r="Y155" i="21"/>
  <c r="I7" i="23" s="1"/>
  <c r="E493" i="21"/>
  <c r="E501" i="21" s="1"/>
  <c r="E492" i="21"/>
  <c r="E500" i="21" s="1"/>
  <c r="E491" i="21"/>
  <c r="E499" i="21" s="1"/>
  <c r="E490" i="21"/>
  <c r="E498" i="21" s="1"/>
  <c r="F490" i="21"/>
  <c r="F491" i="21"/>
  <c r="F492" i="21"/>
  <c r="F493" i="21"/>
  <c r="M490" i="21"/>
  <c r="M498" i="21" s="1"/>
  <c r="M491" i="21"/>
  <c r="M499" i="21" s="1"/>
  <c r="M492" i="21"/>
  <c r="M500" i="21" s="1"/>
  <c r="M493" i="21"/>
  <c r="M501" i="21" s="1"/>
  <c r="N490" i="21"/>
  <c r="N491" i="21"/>
  <c r="N492" i="21"/>
  <c r="N493" i="21"/>
  <c r="F482" i="21"/>
  <c r="F483" i="21"/>
  <c r="F484" i="21"/>
  <c r="F485" i="21"/>
  <c r="N482" i="21"/>
  <c r="N483" i="21"/>
  <c r="N484" i="21"/>
  <c r="N485" i="21"/>
  <c r="E485" i="21"/>
  <c r="E484" i="21"/>
  <c r="E483" i="21"/>
  <c r="E482" i="21"/>
  <c r="M482" i="21"/>
  <c r="M483" i="21"/>
  <c r="M484" i="21"/>
  <c r="M485" i="21"/>
  <c r="B7" i="23"/>
  <c r="AA103" i="21"/>
  <c r="K6" i="23" s="1"/>
  <c r="Z103" i="21"/>
  <c r="J6" i="23" s="1"/>
  <c r="Y103" i="21"/>
  <c r="I6" i="23" s="1"/>
  <c r="E469" i="21"/>
  <c r="E477" i="21" s="1"/>
  <c r="E468" i="21"/>
  <c r="E476" i="21" s="1"/>
  <c r="E467" i="21"/>
  <c r="E475" i="21" s="1"/>
  <c r="E466" i="21"/>
  <c r="E474" i="21" s="1"/>
  <c r="F466" i="21"/>
  <c r="F467" i="21"/>
  <c r="F468" i="21"/>
  <c r="F469" i="21"/>
  <c r="M466" i="21"/>
  <c r="M467" i="21"/>
  <c r="M468" i="21"/>
  <c r="M469" i="21"/>
  <c r="N466" i="21"/>
  <c r="N467" i="21"/>
  <c r="N468" i="21"/>
  <c r="N469" i="21"/>
  <c r="F458" i="21"/>
  <c r="F459" i="21"/>
  <c r="F460" i="21"/>
  <c r="F461" i="21"/>
  <c r="M474" i="21"/>
  <c r="M475" i="21"/>
  <c r="M476" i="21"/>
  <c r="M477" i="21"/>
  <c r="N458" i="21"/>
  <c r="N459" i="21"/>
  <c r="N460" i="21"/>
  <c r="N461" i="21"/>
  <c r="E461" i="21"/>
  <c r="E460" i="21"/>
  <c r="E459" i="21"/>
  <c r="E458" i="21"/>
  <c r="M458" i="21"/>
  <c r="M459" i="21"/>
  <c r="M460" i="21"/>
  <c r="M461" i="21"/>
  <c r="B6" i="23"/>
  <c r="AA51" i="21"/>
  <c r="K5" i="23" s="1"/>
  <c r="Z51" i="21"/>
  <c r="J5" i="23" s="1"/>
  <c r="Y51" i="21"/>
  <c r="I5" i="23" s="1"/>
  <c r="E445" i="21"/>
  <c r="E453" i="21" s="1"/>
  <c r="E444" i="21"/>
  <c r="E452" i="21" s="1"/>
  <c r="E443" i="21"/>
  <c r="E451" i="21" s="1"/>
  <c r="E442" i="21"/>
  <c r="E450" i="21" s="1"/>
  <c r="F442" i="21"/>
  <c r="F443" i="21"/>
  <c r="F444" i="21"/>
  <c r="F445" i="21"/>
  <c r="M442" i="21"/>
  <c r="M443" i="21"/>
  <c r="M451" i="21" s="1"/>
  <c r="M444" i="21"/>
  <c r="M452" i="21" s="1"/>
  <c r="M445" i="21"/>
  <c r="M453" i="21" s="1"/>
  <c r="N442" i="21"/>
  <c r="N443" i="21"/>
  <c r="N444" i="21"/>
  <c r="N445" i="21"/>
  <c r="F434" i="21"/>
  <c r="F435" i="21"/>
  <c r="F436" i="21"/>
  <c r="F437" i="21"/>
  <c r="M450" i="21"/>
  <c r="N434" i="21"/>
  <c r="N435" i="21"/>
  <c r="N436" i="21"/>
  <c r="N437" i="21"/>
  <c r="E437" i="21"/>
  <c r="E436" i="21"/>
  <c r="E435" i="21"/>
  <c r="E434" i="21"/>
  <c r="M434" i="21"/>
  <c r="M435" i="21"/>
  <c r="M436" i="21"/>
  <c r="M437" i="21"/>
  <c r="B5" i="23"/>
  <c r="AD3" i="21"/>
  <c r="AD4" i="21"/>
  <c r="AD5" i="21"/>
  <c r="AD6" i="21"/>
  <c r="AD7" i="21"/>
  <c r="AD8" i="21"/>
  <c r="AD9" i="21"/>
  <c r="AD10" i="21"/>
  <c r="AD11" i="21"/>
  <c r="AD12" i="21"/>
  <c r="AD13" i="21"/>
  <c r="AD14" i="21"/>
  <c r="AD15" i="21"/>
  <c r="AD16" i="21"/>
  <c r="AD17" i="21"/>
  <c r="AD18" i="21"/>
  <c r="AD19" i="21"/>
  <c r="AD20" i="21"/>
  <c r="AD21" i="21"/>
  <c r="AD22" i="21"/>
  <c r="AD23" i="21"/>
  <c r="AD24" i="21"/>
  <c r="AD25" i="21"/>
  <c r="AD26" i="21"/>
  <c r="AD27" i="21"/>
  <c r="AD28" i="21"/>
  <c r="AD29" i="21"/>
  <c r="AD30" i="21"/>
  <c r="AD31" i="21"/>
  <c r="AD32" i="21"/>
  <c r="AD33" i="21"/>
  <c r="AD34" i="21"/>
  <c r="AD35" i="21"/>
  <c r="AD36" i="21"/>
  <c r="AD37" i="21"/>
  <c r="AD38" i="21"/>
  <c r="AD39" i="21"/>
  <c r="AD40" i="21"/>
  <c r="AD41" i="21"/>
  <c r="AD42" i="21"/>
  <c r="AD43" i="21"/>
  <c r="AD44" i="21"/>
  <c r="AD45" i="21"/>
  <c r="AD46" i="21"/>
  <c r="AD47" i="21"/>
  <c r="AD48" i="21"/>
  <c r="AD49" i="21"/>
  <c r="AD50" i="21"/>
  <c r="AD55" i="21"/>
  <c r="AD56" i="21"/>
  <c r="AD57" i="21"/>
  <c r="AD58" i="21"/>
  <c r="AD59" i="21"/>
  <c r="AD60" i="21"/>
  <c r="AD61" i="21"/>
  <c r="AD62" i="21"/>
  <c r="AD63" i="21"/>
  <c r="AD64" i="21"/>
  <c r="AD65" i="21"/>
  <c r="AD66" i="21"/>
  <c r="AD67" i="21"/>
  <c r="AD68" i="21"/>
  <c r="AD69" i="21"/>
  <c r="AD70" i="21"/>
  <c r="AD71" i="21"/>
  <c r="AD72" i="21"/>
  <c r="AD73" i="21"/>
  <c r="AD74" i="21"/>
  <c r="AD75" i="21"/>
  <c r="AD76" i="21"/>
  <c r="AD77" i="21"/>
  <c r="AD78" i="21"/>
  <c r="AD79" i="21"/>
  <c r="AD80" i="21"/>
  <c r="AD81" i="21"/>
  <c r="AD82" i="21"/>
  <c r="AD83" i="21"/>
  <c r="AD84" i="21"/>
  <c r="AD85" i="21"/>
  <c r="AD86" i="21"/>
  <c r="AD87" i="21"/>
  <c r="AD88" i="21"/>
  <c r="AD89" i="21"/>
  <c r="AD90" i="21"/>
  <c r="AD91" i="21"/>
  <c r="AD92" i="21"/>
  <c r="AD93" i="21"/>
  <c r="AD94" i="21"/>
  <c r="AD95" i="21"/>
  <c r="AD96" i="21"/>
  <c r="AD97" i="21"/>
  <c r="AD98" i="21"/>
  <c r="AD99" i="21"/>
  <c r="AD100" i="21"/>
  <c r="AD101" i="21"/>
  <c r="AD102" i="21"/>
  <c r="AD107" i="21"/>
  <c r="AD108" i="21"/>
  <c r="AD109" i="21"/>
  <c r="AD110" i="21"/>
  <c r="AD111" i="21"/>
  <c r="AD112" i="21"/>
  <c r="AD113" i="21"/>
  <c r="AD114" i="21"/>
  <c r="AD115" i="21"/>
  <c r="AD116" i="21"/>
  <c r="AD117" i="21"/>
  <c r="AD118" i="21"/>
  <c r="AD119" i="21"/>
  <c r="AD120" i="21"/>
  <c r="AD121" i="21"/>
  <c r="AD122" i="21"/>
  <c r="AD123" i="21"/>
  <c r="AD124" i="21"/>
  <c r="AD125" i="21"/>
  <c r="AD126" i="21"/>
  <c r="AD127" i="21"/>
  <c r="AD128" i="21"/>
  <c r="AD129" i="21"/>
  <c r="AD130" i="21"/>
  <c r="AD131" i="21"/>
  <c r="AD132" i="21"/>
  <c r="AD133" i="21"/>
  <c r="AD134" i="21"/>
  <c r="AD135" i="21"/>
  <c r="AD136" i="21"/>
  <c r="AD137" i="21"/>
  <c r="AD138" i="21"/>
  <c r="AD139" i="21"/>
  <c r="AD140" i="21"/>
  <c r="AD141" i="21"/>
  <c r="AD142" i="21"/>
  <c r="AD143" i="21"/>
  <c r="AD144" i="21"/>
  <c r="AD145" i="21"/>
  <c r="AD146" i="21"/>
  <c r="AD147" i="21"/>
  <c r="AD148" i="21"/>
  <c r="AD149" i="21"/>
  <c r="AD150" i="21"/>
  <c r="AD151" i="21"/>
  <c r="AD152" i="21"/>
  <c r="AD153" i="21"/>
  <c r="AD154" i="21"/>
  <c r="AD159" i="21"/>
  <c r="AD160" i="21"/>
  <c r="AD161" i="21"/>
  <c r="AD162" i="21"/>
  <c r="AD163" i="21"/>
  <c r="AD164" i="21"/>
  <c r="AD165" i="21"/>
  <c r="AD166" i="21"/>
  <c r="AD167" i="21"/>
  <c r="AD168" i="21"/>
  <c r="AD169" i="21"/>
  <c r="AD170" i="21"/>
  <c r="AD171" i="21"/>
  <c r="AD172" i="21"/>
  <c r="AD173" i="21"/>
  <c r="AD174" i="21"/>
  <c r="AD175" i="21"/>
  <c r="AD176" i="21"/>
  <c r="AD177" i="21"/>
  <c r="AD178" i="21"/>
  <c r="AD179" i="21"/>
  <c r="AD180" i="21"/>
  <c r="AD181" i="21"/>
  <c r="AD182" i="21"/>
  <c r="AD183" i="21"/>
  <c r="AD184" i="21"/>
  <c r="AD185" i="21"/>
  <c r="AD186" i="21"/>
  <c r="AD187" i="21"/>
  <c r="AD188" i="21"/>
  <c r="AD189" i="21"/>
  <c r="AD190" i="21"/>
  <c r="AD191" i="21"/>
  <c r="AD192" i="21"/>
  <c r="AD193" i="21"/>
  <c r="AD194" i="21"/>
  <c r="AD195" i="21"/>
  <c r="AD196" i="21"/>
  <c r="AD197" i="21"/>
  <c r="AD198" i="21"/>
  <c r="AD199" i="21"/>
  <c r="AD200" i="21"/>
  <c r="AD201" i="21"/>
  <c r="AD202" i="21"/>
  <c r="AD203" i="21"/>
  <c r="AD204" i="21"/>
  <c r="AD205" i="21"/>
  <c r="AD206" i="21"/>
  <c r="AD211" i="21"/>
  <c r="AD212" i="21"/>
  <c r="AD213" i="21"/>
  <c r="AD214" i="21"/>
  <c r="AD215" i="21"/>
  <c r="AD216" i="21"/>
  <c r="AD217" i="21"/>
  <c r="AD218" i="21"/>
  <c r="AD219" i="21"/>
  <c r="AD220" i="21"/>
  <c r="AD221" i="21"/>
  <c r="AD222" i="21"/>
  <c r="AD223" i="21"/>
  <c r="AD224" i="21"/>
  <c r="AD225" i="21"/>
  <c r="AD226" i="21"/>
  <c r="AD227" i="21"/>
  <c r="AD228" i="21"/>
  <c r="AD229" i="21"/>
  <c r="AD230" i="21"/>
  <c r="AD231" i="21"/>
  <c r="AD232" i="21"/>
  <c r="AD233" i="21"/>
  <c r="AD234" i="21"/>
  <c r="AD235" i="21"/>
  <c r="AD236" i="21"/>
  <c r="AD237" i="21"/>
  <c r="AD238" i="21"/>
  <c r="AD239" i="21"/>
  <c r="AD240" i="21"/>
  <c r="AD241" i="21"/>
  <c r="AD242" i="21"/>
  <c r="AD243" i="21"/>
  <c r="AD244" i="21"/>
  <c r="AD245" i="21"/>
  <c r="AD246" i="21"/>
  <c r="AD247" i="21"/>
  <c r="AD248" i="21"/>
  <c r="AD249" i="21"/>
  <c r="AD250" i="21"/>
  <c r="AD251" i="21"/>
  <c r="AD252" i="21"/>
  <c r="AD253" i="21"/>
  <c r="AD254" i="21"/>
  <c r="AD255" i="21"/>
  <c r="AD256" i="21"/>
  <c r="AD257" i="21"/>
  <c r="AD258" i="21"/>
  <c r="AD263" i="21"/>
  <c r="AD264" i="21"/>
  <c r="AD265" i="21"/>
  <c r="AD266" i="21"/>
  <c r="AD267" i="21"/>
  <c r="AD268" i="21"/>
  <c r="AD269" i="21"/>
  <c r="AD270" i="21"/>
  <c r="AD271" i="21"/>
  <c r="AD272" i="21"/>
  <c r="AD273" i="21"/>
  <c r="AD274" i="21"/>
  <c r="AD275" i="21"/>
  <c r="AD276" i="21"/>
  <c r="AD277" i="21"/>
  <c r="AD278" i="21"/>
  <c r="AD279" i="21"/>
  <c r="AD280" i="21"/>
  <c r="AD281" i="21"/>
  <c r="AD282" i="21"/>
  <c r="AD283" i="21"/>
  <c r="AD284" i="21"/>
  <c r="AD285" i="21"/>
  <c r="AD286" i="21"/>
  <c r="AD287" i="21"/>
  <c r="AD288" i="21"/>
  <c r="AD289" i="21"/>
  <c r="AD290" i="21"/>
  <c r="AD291" i="21"/>
  <c r="AD292" i="21"/>
  <c r="AD293" i="21"/>
  <c r="AD294" i="21"/>
  <c r="AD295" i="21"/>
  <c r="AD296" i="21"/>
  <c r="AD297" i="21"/>
  <c r="AD298" i="21"/>
  <c r="AD299" i="21"/>
  <c r="AD300" i="21"/>
  <c r="AD301" i="21"/>
  <c r="AD302" i="21"/>
  <c r="AD303" i="21"/>
  <c r="AD304" i="21"/>
  <c r="AD305" i="21"/>
  <c r="AD306" i="21"/>
  <c r="AD307" i="21"/>
  <c r="AD308" i="21"/>
  <c r="AD309" i="21"/>
  <c r="AD310" i="21"/>
  <c r="AD315" i="21"/>
  <c r="AD316" i="21"/>
  <c r="AD317" i="21"/>
  <c r="AD318" i="21"/>
  <c r="AD319" i="21"/>
  <c r="AD320" i="21"/>
  <c r="AD321" i="21"/>
  <c r="AD322" i="21"/>
  <c r="AD323" i="21"/>
  <c r="AD324" i="21"/>
  <c r="AD325" i="21"/>
  <c r="AD326" i="21"/>
  <c r="AD327" i="21"/>
  <c r="AD328" i="21"/>
  <c r="AD329" i="21"/>
  <c r="AD330" i="21"/>
  <c r="AD331" i="21"/>
  <c r="AD332" i="21"/>
  <c r="AD333" i="21"/>
  <c r="AD334" i="21"/>
  <c r="AD335" i="21"/>
  <c r="AD336" i="21"/>
  <c r="AD337" i="21"/>
  <c r="AD338" i="21"/>
  <c r="AD339" i="21"/>
  <c r="AD340" i="21"/>
  <c r="AD341" i="21"/>
  <c r="AD342" i="21"/>
  <c r="AD343" i="21"/>
  <c r="AD344" i="21"/>
  <c r="AD345" i="21"/>
  <c r="AD346" i="21"/>
  <c r="AD347" i="21"/>
  <c r="AD348" i="21"/>
  <c r="AD349" i="21"/>
  <c r="AD350" i="21"/>
  <c r="AD351" i="21"/>
  <c r="AD352" i="21"/>
  <c r="AD353" i="21"/>
  <c r="AD354" i="21"/>
  <c r="AD355" i="21"/>
  <c r="AD356" i="21"/>
  <c r="AD357" i="21"/>
  <c r="AD358" i="21"/>
  <c r="AD359" i="21"/>
  <c r="AD360" i="21"/>
  <c r="AD361" i="21"/>
  <c r="AD362" i="21"/>
  <c r="AD367" i="21"/>
  <c r="AD368" i="21"/>
  <c r="AD369" i="21"/>
  <c r="AD370" i="21"/>
  <c r="AD371" i="21"/>
  <c r="AD372" i="21"/>
  <c r="AD373" i="21"/>
  <c r="AD374" i="21"/>
  <c r="AD375" i="21"/>
  <c r="AD376" i="21"/>
  <c r="AD377" i="21"/>
  <c r="AD378" i="21"/>
  <c r="AD379" i="21"/>
  <c r="AD380" i="21"/>
  <c r="AD381" i="21"/>
  <c r="AD382" i="21"/>
  <c r="AD383" i="21"/>
  <c r="AD384" i="21"/>
  <c r="AD385" i="21"/>
  <c r="AD386" i="21"/>
  <c r="AD387" i="21"/>
  <c r="AD388" i="21"/>
  <c r="AD389" i="21"/>
  <c r="AD390" i="21"/>
  <c r="AD391" i="21"/>
  <c r="AD392" i="21"/>
  <c r="AD393" i="21"/>
  <c r="AD394" i="21"/>
  <c r="AD395" i="21"/>
  <c r="AD396" i="21"/>
  <c r="AD397" i="21"/>
  <c r="AD398" i="21"/>
  <c r="AD399" i="21"/>
  <c r="AD400" i="21"/>
  <c r="AD401" i="21"/>
  <c r="AD402" i="21"/>
  <c r="AD403" i="21"/>
  <c r="AD404" i="21"/>
  <c r="AD405" i="21"/>
  <c r="AD406" i="21"/>
  <c r="AD407" i="21"/>
  <c r="AD408" i="21"/>
  <c r="AD409" i="21"/>
  <c r="AD410" i="21"/>
  <c r="AD411" i="21"/>
  <c r="AD412" i="21"/>
  <c r="AD413" i="21"/>
  <c r="AD414" i="21"/>
  <c r="AE3" i="21"/>
  <c r="AE4" i="21"/>
  <c r="AE5" i="21"/>
  <c r="AE6" i="21"/>
  <c r="AE7" i="21"/>
  <c r="AE8" i="21"/>
  <c r="AE9" i="21"/>
  <c r="AE10" i="21"/>
  <c r="AE11" i="21"/>
  <c r="AE12" i="21"/>
  <c r="AE13" i="21"/>
  <c r="AE14" i="21"/>
  <c r="AE27" i="21"/>
  <c r="AE28" i="21"/>
  <c r="AE29" i="21"/>
  <c r="AE30" i="21"/>
  <c r="AE31" i="21"/>
  <c r="AE32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49" i="21"/>
  <c r="AE50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AE102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9" i="21"/>
  <c r="AE160" i="21"/>
  <c r="AE161" i="21"/>
  <c r="AE162" i="21"/>
  <c r="AE163" i="21"/>
  <c r="AE164" i="21"/>
  <c r="AE165" i="21"/>
  <c r="AE166" i="21"/>
  <c r="AE167" i="21"/>
  <c r="AE168" i="21"/>
  <c r="AE169" i="21"/>
  <c r="AE170" i="21"/>
  <c r="AE183" i="21"/>
  <c r="AE184" i="21"/>
  <c r="AE185" i="21"/>
  <c r="AE186" i="21"/>
  <c r="AE187" i="21"/>
  <c r="AE188" i="21"/>
  <c r="AE189" i="21"/>
  <c r="AE190" i="21"/>
  <c r="AE191" i="21"/>
  <c r="AE192" i="21"/>
  <c r="AE193" i="21"/>
  <c r="AE194" i="21"/>
  <c r="AE195" i="21"/>
  <c r="AE196" i="21"/>
  <c r="AE197" i="21"/>
  <c r="AE198" i="21"/>
  <c r="AE199" i="21"/>
  <c r="AE200" i="21"/>
  <c r="AE201" i="21"/>
  <c r="AE202" i="21"/>
  <c r="AE203" i="21"/>
  <c r="AE204" i="21"/>
  <c r="AE205" i="21"/>
  <c r="AE206" i="21"/>
  <c r="AE211" i="21"/>
  <c r="AE212" i="21"/>
  <c r="AE213" i="21"/>
  <c r="AE214" i="21"/>
  <c r="AE215" i="21"/>
  <c r="AE216" i="21"/>
  <c r="AE217" i="21"/>
  <c r="AE218" i="21"/>
  <c r="AE219" i="21"/>
  <c r="AE220" i="21"/>
  <c r="AE221" i="21"/>
  <c r="AE222" i="21"/>
  <c r="AE235" i="21"/>
  <c r="AE236" i="21"/>
  <c r="AE237" i="21"/>
  <c r="AE238" i="21"/>
  <c r="AE239" i="21"/>
  <c r="AE240" i="21"/>
  <c r="AE241" i="21"/>
  <c r="AE242" i="21"/>
  <c r="AE243" i="21"/>
  <c r="AE244" i="21"/>
  <c r="AE245" i="21"/>
  <c r="AE246" i="21"/>
  <c r="AE247" i="21"/>
  <c r="AE248" i="21"/>
  <c r="AE249" i="21"/>
  <c r="AE250" i="21"/>
  <c r="AE251" i="21"/>
  <c r="AE252" i="21"/>
  <c r="AE253" i="21"/>
  <c r="AE254" i="21"/>
  <c r="AE255" i="21"/>
  <c r="AE256" i="21"/>
  <c r="AE257" i="21"/>
  <c r="AE258" i="21"/>
  <c r="AE263" i="21"/>
  <c r="AE264" i="21"/>
  <c r="AE265" i="21"/>
  <c r="AE266" i="21"/>
  <c r="AE267" i="21"/>
  <c r="AE268" i="21"/>
  <c r="AE269" i="21"/>
  <c r="AE270" i="21"/>
  <c r="AE271" i="21"/>
  <c r="AE272" i="21"/>
  <c r="AE273" i="21"/>
  <c r="AE274" i="21"/>
  <c r="AE287" i="21"/>
  <c r="AE288" i="21"/>
  <c r="AE289" i="21"/>
  <c r="AE290" i="21"/>
  <c r="AE291" i="21"/>
  <c r="AE292" i="21"/>
  <c r="AE293" i="21"/>
  <c r="AE294" i="21"/>
  <c r="AE295" i="21"/>
  <c r="AE296" i="21"/>
  <c r="AE297" i="21"/>
  <c r="AE298" i="21"/>
  <c r="AE299" i="21"/>
  <c r="AE300" i="21"/>
  <c r="AE301" i="21"/>
  <c r="AE302" i="21"/>
  <c r="AE303" i="21"/>
  <c r="AE304" i="21"/>
  <c r="AE305" i="21"/>
  <c r="AE306" i="21"/>
  <c r="AE307" i="21"/>
  <c r="AE308" i="21"/>
  <c r="AE309" i="21"/>
  <c r="AE310" i="21"/>
  <c r="AE315" i="21"/>
  <c r="AE316" i="21"/>
  <c r="AE317" i="21"/>
  <c r="AE318" i="21"/>
  <c r="AE319" i="21"/>
  <c r="AE320" i="21"/>
  <c r="AE321" i="21"/>
  <c r="AE322" i="21"/>
  <c r="AE323" i="21"/>
  <c r="AE324" i="21"/>
  <c r="AE325" i="21"/>
  <c r="AE326" i="21"/>
  <c r="AE339" i="21"/>
  <c r="AE340" i="21"/>
  <c r="AE341" i="21"/>
  <c r="AE342" i="21"/>
  <c r="AE343" i="21"/>
  <c r="AE344" i="21"/>
  <c r="AE345" i="21"/>
  <c r="AE346" i="21"/>
  <c r="AE347" i="21"/>
  <c r="AE348" i="21"/>
  <c r="AE349" i="21"/>
  <c r="AE350" i="21"/>
  <c r="AE351" i="21"/>
  <c r="AE352" i="21"/>
  <c r="AE353" i="21"/>
  <c r="AE354" i="21"/>
  <c r="AE355" i="21"/>
  <c r="AE356" i="21"/>
  <c r="AE357" i="21"/>
  <c r="AE358" i="21"/>
  <c r="AE359" i="21"/>
  <c r="AE360" i="21"/>
  <c r="AE361" i="21"/>
  <c r="AE362" i="21"/>
  <c r="AE367" i="21"/>
  <c r="AE368" i="21"/>
  <c r="AE369" i="21"/>
  <c r="AE370" i="21"/>
  <c r="AE371" i="21"/>
  <c r="AE372" i="21"/>
  <c r="AE373" i="21"/>
  <c r="AE374" i="21"/>
  <c r="AE375" i="21"/>
  <c r="AE376" i="21"/>
  <c r="AE377" i="21"/>
  <c r="AE378" i="21"/>
  <c r="AE391" i="21"/>
  <c r="AE392" i="21"/>
  <c r="AE393" i="21"/>
  <c r="AE394" i="21"/>
  <c r="AE395" i="21"/>
  <c r="AE396" i="21"/>
  <c r="AE397" i="21"/>
  <c r="AE398" i="21"/>
  <c r="AE399" i="21"/>
  <c r="AE400" i="21"/>
  <c r="AE401" i="21"/>
  <c r="AE402" i="21"/>
  <c r="AE403" i="21"/>
  <c r="AE404" i="21"/>
  <c r="AE405" i="21"/>
  <c r="AE406" i="21"/>
  <c r="AE407" i="21"/>
  <c r="AE408" i="21"/>
  <c r="AE409" i="21"/>
  <c r="AE410" i="21"/>
  <c r="AE411" i="21"/>
  <c r="AE412" i="21"/>
  <c r="AE413" i="21"/>
  <c r="AE414" i="21"/>
  <c r="AF3" i="21"/>
  <c r="AF4" i="21"/>
  <c r="AF420" i="21" s="1" a="1"/>
  <c r="AF5" i="21"/>
  <c r="AF6" i="21"/>
  <c r="AF7" i="21"/>
  <c r="AF8" i="21"/>
  <c r="AF9" i="21"/>
  <c r="AF10" i="21"/>
  <c r="AF11" i="21"/>
  <c r="AF12" i="21"/>
  <c r="AF13" i="21"/>
  <c r="AF14" i="21"/>
  <c r="AF27" i="21"/>
  <c r="AF28" i="21"/>
  <c r="AF29" i="21"/>
  <c r="AF30" i="21"/>
  <c r="AF31" i="21"/>
  <c r="AF32" i="21"/>
  <c r="AF33" i="21"/>
  <c r="AF34" i="21"/>
  <c r="AF35" i="21"/>
  <c r="AF36" i="21"/>
  <c r="AF37" i="21"/>
  <c r="AF38" i="21"/>
  <c r="AF39" i="21"/>
  <c r="AF40" i="21"/>
  <c r="AF41" i="21"/>
  <c r="AF42" i="21"/>
  <c r="AF43" i="21"/>
  <c r="AF44" i="21"/>
  <c r="AF45" i="21"/>
  <c r="AF46" i="21"/>
  <c r="AF47" i="21"/>
  <c r="AF48" i="21"/>
  <c r="AF49" i="21"/>
  <c r="AF50" i="21"/>
  <c r="AF55" i="21"/>
  <c r="AF56" i="21"/>
  <c r="AF57" i="21"/>
  <c r="AF58" i="21"/>
  <c r="AF59" i="21"/>
  <c r="AF60" i="21"/>
  <c r="AF61" i="21"/>
  <c r="AF62" i="21"/>
  <c r="AF63" i="21"/>
  <c r="AF64" i="21"/>
  <c r="AF65" i="21"/>
  <c r="AF66" i="21"/>
  <c r="AF79" i="21"/>
  <c r="AF80" i="21"/>
  <c r="AF81" i="21"/>
  <c r="AF82" i="21"/>
  <c r="AF83" i="21"/>
  <c r="AF84" i="21"/>
  <c r="AF85" i="21"/>
  <c r="AF86" i="21"/>
  <c r="AF87" i="21"/>
  <c r="AF88" i="21"/>
  <c r="AF89" i="21"/>
  <c r="AF90" i="21"/>
  <c r="AF91" i="21"/>
  <c r="AF92" i="21"/>
  <c r="AF93" i="21"/>
  <c r="AF94" i="21"/>
  <c r="AF95" i="21"/>
  <c r="AF96" i="21"/>
  <c r="AF97" i="21"/>
  <c r="AF98" i="21"/>
  <c r="AF99" i="21"/>
  <c r="AF100" i="21"/>
  <c r="AF101" i="21"/>
  <c r="AF102" i="21"/>
  <c r="AF107" i="21"/>
  <c r="AF108" i="21"/>
  <c r="AF109" i="21"/>
  <c r="AF110" i="21"/>
  <c r="AF111" i="21"/>
  <c r="AF112" i="21"/>
  <c r="AF113" i="21"/>
  <c r="AF114" i="21"/>
  <c r="AF115" i="21"/>
  <c r="AF116" i="21"/>
  <c r="AF117" i="21"/>
  <c r="AF118" i="21"/>
  <c r="AF131" i="21"/>
  <c r="AF132" i="21"/>
  <c r="AF133" i="21"/>
  <c r="AF134" i="21"/>
  <c r="AF135" i="21"/>
  <c r="AF136" i="21"/>
  <c r="AF137" i="21"/>
  <c r="AF138" i="21"/>
  <c r="AF139" i="21"/>
  <c r="AF140" i="21"/>
  <c r="AF141" i="21"/>
  <c r="AF142" i="21"/>
  <c r="AF143" i="21"/>
  <c r="AF144" i="21"/>
  <c r="AF145" i="21"/>
  <c r="AF146" i="21"/>
  <c r="AF147" i="21"/>
  <c r="AF148" i="21"/>
  <c r="AF149" i="21"/>
  <c r="AF150" i="21"/>
  <c r="AF151" i="21"/>
  <c r="AF152" i="21"/>
  <c r="AF153" i="21"/>
  <c r="AF154" i="21"/>
  <c r="AF159" i="21"/>
  <c r="AF160" i="21"/>
  <c r="AF161" i="21"/>
  <c r="AF162" i="21"/>
  <c r="AF163" i="21"/>
  <c r="AF164" i="21"/>
  <c r="AF165" i="21"/>
  <c r="AF166" i="21"/>
  <c r="AF167" i="21"/>
  <c r="AF168" i="21"/>
  <c r="AF169" i="21"/>
  <c r="AF170" i="21"/>
  <c r="AF183" i="21"/>
  <c r="AF184" i="21"/>
  <c r="AF185" i="21"/>
  <c r="AF186" i="21"/>
  <c r="AF187" i="21"/>
  <c r="AF188" i="21"/>
  <c r="AF189" i="21"/>
  <c r="AF190" i="21"/>
  <c r="AF191" i="21"/>
  <c r="AF192" i="21"/>
  <c r="AF193" i="21"/>
  <c r="AF194" i="21"/>
  <c r="AF195" i="21"/>
  <c r="AF196" i="21"/>
  <c r="AF197" i="21"/>
  <c r="AF198" i="21"/>
  <c r="AF199" i="21"/>
  <c r="AF200" i="21"/>
  <c r="AF201" i="21"/>
  <c r="AF202" i="21"/>
  <c r="AF203" i="21"/>
  <c r="AF204" i="21"/>
  <c r="AF205" i="21"/>
  <c r="AF206" i="21"/>
  <c r="AF211" i="21"/>
  <c r="AF212" i="21"/>
  <c r="AF213" i="21"/>
  <c r="AF214" i="21"/>
  <c r="AF215" i="21"/>
  <c r="AF216" i="21"/>
  <c r="AF217" i="21"/>
  <c r="AF218" i="21"/>
  <c r="AF219" i="21"/>
  <c r="AF220" i="21"/>
  <c r="AF221" i="21"/>
  <c r="AF222" i="21"/>
  <c r="AF235" i="21"/>
  <c r="AF236" i="21"/>
  <c r="AF237" i="21"/>
  <c r="AF238" i="21"/>
  <c r="AF239" i="21"/>
  <c r="AF240" i="21"/>
  <c r="AF241" i="21"/>
  <c r="AF242" i="21"/>
  <c r="AF243" i="21"/>
  <c r="AF244" i="21"/>
  <c r="AF245" i="21"/>
  <c r="AF246" i="21"/>
  <c r="AF247" i="21"/>
  <c r="AF248" i="21"/>
  <c r="AF249" i="21"/>
  <c r="AF250" i="21"/>
  <c r="AF251" i="21"/>
  <c r="AF252" i="21"/>
  <c r="AF253" i="21"/>
  <c r="AF254" i="21"/>
  <c r="AF255" i="21"/>
  <c r="AF256" i="21"/>
  <c r="AF257" i="21"/>
  <c r="AF258" i="21"/>
  <c r="AF263" i="21"/>
  <c r="AF264" i="21"/>
  <c r="AF265" i="21"/>
  <c r="AF266" i="21"/>
  <c r="AF267" i="21"/>
  <c r="AF268" i="21"/>
  <c r="AF269" i="21"/>
  <c r="AF270" i="21"/>
  <c r="AF271" i="21"/>
  <c r="AF272" i="21"/>
  <c r="AF273" i="21"/>
  <c r="AF274" i="21"/>
  <c r="AF287" i="21"/>
  <c r="AF288" i="21"/>
  <c r="AF289" i="21"/>
  <c r="AF290" i="21"/>
  <c r="AF291" i="21"/>
  <c r="AF292" i="21"/>
  <c r="AF293" i="21"/>
  <c r="AF294" i="21"/>
  <c r="AF295" i="21"/>
  <c r="AF296" i="21"/>
  <c r="AF297" i="21"/>
  <c r="AF298" i="21"/>
  <c r="AF299" i="21"/>
  <c r="AF300" i="21"/>
  <c r="AF301" i="21"/>
  <c r="AF302" i="21"/>
  <c r="AF303" i="21"/>
  <c r="AF304" i="21"/>
  <c r="AF305" i="21"/>
  <c r="AF306" i="21"/>
  <c r="AF307" i="21"/>
  <c r="AF308" i="21"/>
  <c r="AF309" i="21"/>
  <c r="AF310" i="21"/>
  <c r="AF315" i="21"/>
  <c r="AF316" i="21"/>
  <c r="AF317" i="21"/>
  <c r="AF318" i="21"/>
  <c r="AF319" i="21"/>
  <c r="AF320" i="21"/>
  <c r="AF321" i="21"/>
  <c r="AF322" i="21"/>
  <c r="AF323" i="21"/>
  <c r="AF324" i="21"/>
  <c r="AF325" i="21"/>
  <c r="AF326" i="21"/>
  <c r="AF339" i="21"/>
  <c r="AF340" i="21"/>
  <c r="AF341" i="21"/>
  <c r="AF342" i="21"/>
  <c r="AF343" i="21"/>
  <c r="AF344" i="21"/>
  <c r="AF345" i="21"/>
  <c r="AF346" i="21"/>
  <c r="AF347" i="21"/>
  <c r="AF348" i="21"/>
  <c r="AF349" i="21"/>
  <c r="AF350" i="21"/>
  <c r="AF351" i="21"/>
  <c r="AF352" i="21"/>
  <c r="AF353" i="21"/>
  <c r="AF354" i="21"/>
  <c r="AF355" i="21"/>
  <c r="AF356" i="21"/>
  <c r="AF357" i="21"/>
  <c r="AF358" i="21"/>
  <c r="AF359" i="21"/>
  <c r="AF360" i="21"/>
  <c r="AF361" i="21"/>
  <c r="AF362" i="21"/>
  <c r="AF367" i="21"/>
  <c r="AF368" i="21"/>
  <c r="AF369" i="21"/>
  <c r="AF370" i="21"/>
  <c r="AF371" i="21"/>
  <c r="AF372" i="21"/>
  <c r="AF373" i="21"/>
  <c r="AF374" i="21"/>
  <c r="AF375" i="21"/>
  <c r="AF376" i="21"/>
  <c r="AF377" i="21"/>
  <c r="AF378" i="21"/>
  <c r="AF391" i="21"/>
  <c r="AF392" i="21"/>
  <c r="AF393" i="21"/>
  <c r="AF394" i="21"/>
  <c r="AF395" i="21"/>
  <c r="AF396" i="21"/>
  <c r="AF397" i="21"/>
  <c r="AF398" i="21"/>
  <c r="AF399" i="21"/>
  <c r="AF400" i="21"/>
  <c r="AF401" i="21"/>
  <c r="AF402" i="21"/>
  <c r="AF403" i="21"/>
  <c r="AF404" i="21"/>
  <c r="AF405" i="21"/>
  <c r="AF406" i="21"/>
  <c r="AF407" i="21"/>
  <c r="AF408" i="21"/>
  <c r="AF409" i="21"/>
  <c r="AF410" i="21"/>
  <c r="AF411" i="21"/>
  <c r="AF412" i="21"/>
  <c r="AF413" i="21"/>
  <c r="AF414" i="21"/>
  <c r="AG51" i="21"/>
  <c r="AG52" i="21"/>
  <c r="AG420" i="21" s="1" a="1"/>
  <c r="AG53" i="21"/>
  <c r="AG54" i="21"/>
  <c r="AG103" i="21"/>
  <c r="AG104" i="21"/>
  <c r="AG105" i="21"/>
  <c r="AG106" i="21"/>
  <c r="AG155" i="21"/>
  <c r="AG156" i="21"/>
  <c r="AG157" i="21"/>
  <c r="AG158" i="21"/>
  <c r="AG207" i="21"/>
  <c r="AG208" i="21"/>
  <c r="AG209" i="21"/>
  <c r="AG210" i="21"/>
  <c r="AG259" i="21"/>
  <c r="AG260" i="21"/>
  <c r="AG261" i="21"/>
  <c r="AG262" i="21"/>
  <c r="AG311" i="21"/>
  <c r="AG312" i="21"/>
  <c r="AG313" i="21"/>
  <c r="AG314" i="21"/>
  <c r="AG363" i="21"/>
  <c r="AG364" i="21"/>
  <c r="AG365" i="21"/>
  <c r="AG366" i="21"/>
  <c r="AG415" i="21"/>
  <c r="AG416" i="21"/>
  <c r="AG417" i="21"/>
  <c r="AG418" i="21"/>
  <c r="AH51" i="21"/>
  <c r="AH52" i="21"/>
  <c r="AH53" i="21"/>
  <c r="AH54" i="21"/>
  <c r="AH103" i="21"/>
  <c r="AH104" i="21"/>
  <c r="AH105" i="21"/>
  <c r="AH106" i="21"/>
  <c r="AH155" i="21"/>
  <c r="AH156" i="21"/>
  <c r="AH157" i="21"/>
  <c r="AH158" i="21"/>
  <c r="AH207" i="21"/>
  <c r="AH208" i="21"/>
  <c r="AH209" i="21"/>
  <c r="AH210" i="21"/>
  <c r="AH259" i="21"/>
  <c r="AH260" i="21"/>
  <c r="AH261" i="21"/>
  <c r="AH262" i="21"/>
  <c r="AH311" i="21"/>
  <c r="AH312" i="21"/>
  <c r="AH313" i="21"/>
  <c r="AH314" i="21"/>
  <c r="AH363" i="21"/>
  <c r="AH364" i="21"/>
  <c r="AH365" i="21"/>
  <c r="AH366" i="21"/>
  <c r="AH415" i="21"/>
  <c r="AH416" i="21"/>
  <c r="AH417" i="21"/>
  <c r="AH418" i="21"/>
  <c r="AI51" i="21"/>
  <c r="AI52" i="21"/>
  <c r="AI420" i="21" s="1" a="1"/>
  <c r="AI53" i="21"/>
  <c r="AI54" i="21"/>
  <c r="AI103" i="21"/>
  <c r="AI104" i="21"/>
  <c r="AI105" i="21"/>
  <c r="AI106" i="21"/>
  <c r="AI155" i="21"/>
  <c r="AI156" i="21"/>
  <c r="AI157" i="21"/>
  <c r="AI158" i="21"/>
  <c r="AI207" i="21"/>
  <c r="AI208" i="21"/>
  <c r="AI209" i="21"/>
  <c r="AI210" i="21"/>
  <c r="AI259" i="21"/>
  <c r="AI260" i="21"/>
  <c r="AI261" i="21"/>
  <c r="AI262" i="21"/>
  <c r="AI311" i="21"/>
  <c r="AI312" i="21"/>
  <c r="AI313" i="21"/>
  <c r="AI314" i="21"/>
  <c r="AI363" i="21"/>
  <c r="AI364" i="21"/>
  <c r="AI365" i="21"/>
  <c r="AI366" i="21"/>
  <c r="AI415" i="21"/>
  <c r="AI416" i="21"/>
  <c r="AI417" i="21"/>
  <c r="AI418" i="21"/>
  <c r="AH420" i="21" a="1"/>
  <c r="AE420" i="21" a="1"/>
  <c r="AD420" i="21" a="1"/>
  <c r="AC3" i="21"/>
  <c r="AC4" i="21"/>
  <c r="AC5" i="21"/>
  <c r="AC6" i="21"/>
  <c r="AC420" i="21" s="1" a="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51" i="21"/>
  <c r="AC52" i="21"/>
  <c r="AC53" i="21"/>
  <c r="AC54" i="21"/>
  <c r="AC55" i="21"/>
  <c r="AC56" i="21"/>
  <c r="AC57" i="21"/>
  <c r="AC58" i="21"/>
  <c r="AC59" i="21"/>
  <c r="AC60" i="21"/>
  <c r="AC61" i="21"/>
  <c r="AC62" i="21"/>
  <c r="AC63" i="21"/>
  <c r="AC64" i="21"/>
  <c r="AC65" i="21"/>
  <c r="AC66" i="21"/>
  <c r="AC67" i="21"/>
  <c r="AC68" i="21"/>
  <c r="AC69" i="21"/>
  <c r="AC70" i="21"/>
  <c r="AC71" i="21"/>
  <c r="AC72" i="21"/>
  <c r="AC73" i="21"/>
  <c r="AC74" i="21"/>
  <c r="AC75" i="21"/>
  <c r="AC76" i="21"/>
  <c r="AC77" i="21"/>
  <c r="AC78" i="21"/>
  <c r="AC103" i="21"/>
  <c r="AC104" i="21"/>
  <c r="AC105" i="21"/>
  <c r="AC106" i="21"/>
  <c r="AC107" i="21"/>
  <c r="AC108" i="21"/>
  <c r="AC109" i="21"/>
  <c r="AC110" i="21"/>
  <c r="AC111" i="21"/>
  <c r="AC112" i="21"/>
  <c r="AC113" i="21"/>
  <c r="AC114" i="21"/>
  <c r="AC115" i="21"/>
  <c r="AC116" i="21"/>
  <c r="AC117" i="21"/>
  <c r="AC118" i="21"/>
  <c r="AC119" i="21"/>
  <c r="AC120" i="21"/>
  <c r="AC121" i="21"/>
  <c r="AC122" i="21"/>
  <c r="AC123" i="21"/>
  <c r="AC124" i="21"/>
  <c r="AC125" i="21"/>
  <c r="AC126" i="21"/>
  <c r="AC127" i="21"/>
  <c r="AC128" i="21"/>
  <c r="AC129" i="21"/>
  <c r="AC130" i="21"/>
  <c r="AC155" i="21"/>
  <c r="AC156" i="21"/>
  <c r="AC157" i="21"/>
  <c r="AC158" i="21"/>
  <c r="AC159" i="21"/>
  <c r="AC160" i="21"/>
  <c r="AC161" i="21"/>
  <c r="AC162" i="21"/>
  <c r="AC163" i="21"/>
  <c r="AC164" i="21"/>
  <c r="AC165" i="21"/>
  <c r="AC166" i="21"/>
  <c r="AC167" i="21"/>
  <c r="AC168" i="21"/>
  <c r="AC169" i="21"/>
  <c r="AC170" i="21"/>
  <c r="AC171" i="21"/>
  <c r="AC172" i="21"/>
  <c r="AC173" i="21"/>
  <c r="AC174" i="21"/>
  <c r="AC175" i="21"/>
  <c r="AC176" i="21"/>
  <c r="AC177" i="21"/>
  <c r="AC178" i="21"/>
  <c r="AC179" i="21"/>
  <c r="AC180" i="21"/>
  <c r="AC181" i="21"/>
  <c r="AC182" i="21"/>
  <c r="AC207" i="21"/>
  <c r="AC208" i="21"/>
  <c r="AC209" i="21"/>
  <c r="AC210" i="21"/>
  <c r="AC211" i="21"/>
  <c r="AC212" i="21"/>
  <c r="AC213" i="21"/>
  <c r="AC214" i="21"/>
  <c r="AC215" i="21"/>
  <c r="AC216" i="21"/>
  <c r="AC217" i="21"/>
  <c r="AC218" i="21"/>
  <c r="AC219" i="21"/>
  <c r="AC220" i="21"/>
  <c r="AC221" i="21"/>
  <c r="AC222" i="21"/>
  <c r="AC223" i="21"/>
  <c r="AC224" i="21"/>
  <c r="AC225" i="21"/>
  <c r="AC226" i="21"/>
  <c r="AC227" i="21"/>
  <c r="AC228" i="21"/>
  <c r="AC229" i="21"/>
  <c r="AC230" i="21"/>
  <c r="AC231" i="21"/>
  <c r="AC232" i="21"/>
  <c r="AC233" i="21"/>
  <c r="AC234" i="21"/>
  <c r="AC259" i="21"/>
  <c r="AC260" i="21"/>
  <c r="AC261" i="21"/>
  <c r="AC262" i="21"/>
  <c r="AC263" i="21"/>
  <c r="AC264" i="21"/>
  <c r="AC265" i="21"/>
  <c r="AC266" i="21"/>
  <c r="AC267" i="21"/>
  <c r="AC268" i="21"/>
  <c r="AC269" i="21"/>
  <c r="AC270" i="21"/>
  <c r="AC271" i="21"/>
  <c r="AC272" i="21"/>
  <c r="AC273" i="21"/>
  <c r="AC274" i="21"/>
  <c r="AC275" i="21"/>
  <c r="AC276" i="21"/>
  <c r="AC277" i="21"/>
  <c r="AC278" i="21"/>
  <c r="AC279" i="21"/>
  <c r="AC280" i="21"/>
  <c r="AC281" i="21"/>
  <c r="AC282" i="21"/>
  <c r="AC283" i="21"/>
  <c r="AC284" i="21"/>
  <c r="AC285" i="21"/>
  <c r="AC286" i="21"/>
  <c r="AC311" i="21"/>
  <c r="AC312" i="21"/>
  <c r="AC313" i="21"/>
  <c r="AC314" i="21"/>
  <c r="AC315" i="21"/>
  <c r="AC316" i="21"/>
  <c r="AC317" i="21"/>
  <c r="AC318" i="21"/>
  <c r="AC319" i="21"/>
  <c r="AC320" i="21"/>
  <c r="AC321" i="21"/>
  <c r="AC322" i="21"/>
  <c r="AC323" i="21"/>
  <c r="AC324" i="21"/>
  <c r="AC325" i="21"/>
  <c r="AC326" i="21"/>
  <c r="AC327" i="21"/>
  <c r="AC328" i="21"/>
  <c r="AC329" i="21"/>
  <c r="AC330" i="21"/>
  <c r="AC331" i="21"/>
  <c r="AC332" i="21"/>
  <c r="AC333" i="21"/>
  <c r="AC334" i="21"/>
  <c r="AC335" i="21"/>
  <c r="AC336" i="21"/>
  <c r="AC337" i="21"/>
  <c r="AC338" i="21"/>
  <c r="AC363" i="21"/>
  <c r="AC364" i="21"/>
  <c r="AC365" i="21"/>
  <c r="AC366" i="21"/>
  <c r="AC367" i="21"/>
  <c r="AC368" i="21"/>
  <c r="AC369" i="21"/>
  <c r="AC370" i="21"/>
  <c r="AC371" i="21"/>
  <c r="AC372" i="21"/>
  <c r="AC373" i="21"/>
  <c r="AC374" i="21"/>
  <c r="AC375" i="21"/>
  <c r="AC376" i="21"/>
  <c r="AC377" i="21"/>
  <c r="AC378" i="21"/>
  <c r="AC379" i="21"/>
  <c r="AC380" i="21"/>
  <c r="AC381" i="21"/>
  <c r="AC382" i="21"/>
  <c r="AC383" i="21"/>
  <c r="AC384" i="21"/>
  <c r="AC385" i="21"/>
  <c r="AC386" i="21"/>
  <c r="AC387" i="21"/>
  <c r="AC388" i="21"/>
  <c r="AC389" i="21"/>
  <c r="AC390" i="21"/>
  <c r="AC415" i="21"/>
  <c r="AC416" i="21"/>
  <c r="AC417" i="21"/>
  <c r="AC418" i="21"/>
  <c r="B598" i="21"/>
  <c r="B28" i="23" s="1"/>
  <c r="P621" i="21"/>
  <c r="O621" i="21"/>
  <c r="N621" i="21"/>
  <c r="P620" i="21"/>
  <c r="O620" i="21"/>
  <c r="N620" i="21"/>
  <c r="P619" i="21"/>
  <c r="O619" i="21"/>
  <c r="N619" i="21"/>
  <c r="P618" i="21"/>
  <c r="O618" i="21"/>
  <c r="N618" i="21"/>
  <c r="P617" i="21"/>
  <c r="O617" i="21"/>
  <c r="N617" i="21"/>
  <c r="P616" i="21"/>
  <c r="O616" i="21"/>
  <c r="N616" i="21"/>
  <c r="P615" i="21"/>
  <c r="O615" i="21"/>
  <c r="N615" i="21"/>
  <c r="P614" i="21"/>
  <c r="O614" i="21"/>
  <c r="N614" i="21"/>
  <c r="F619" i="21"/>
  <c r="G619" i="21"/>
  <c r="H619" i="21"/>
  <c r="F620" i="21"/>
  <c r="G620" i="21"/>
  <c r="H620" i="21"/>
  <c r="F621" i="21"/>
  <c r="G621" i="21"/>
  <c r="H621" i="21"/>
  <c r="G618" i="21"/>
  <c r="H618" i="21"/>
  <c r="F618" i="21"/>
  <c r="F615" i="21"/>
  <c r="G615" i="21"/>
  <c r="H615" i="21"/>
  <c r="F616" i="21"/>
  <c r="G616" i="21"/>
  <c r="H616" i="21"/>
  <c r="F617" i="21"/>
  <c r="G617" i="21"/>
  <c r="H617" i="21"/>
  <c r="G614" i="21"/>
  <c r="H614" i="21"/>
  <c r="F614" i="21"/>
  <c r="P613" i="21"/>
  <c r="O613" i="21"/>
  <c r="P612" i="21"/>
  <c r="O612" i="21"/>
  <c r="P611" i="21"/>
  <c r="O611" i="21"/>
  <c r="P610" i="21"/>
  <c r="O610" i="21"/>
  <c r="G611" i="21"/>
  <c r="H611" i="21"/>
  <c r="G612" i="21"/>
  <c r="H612" i="21"/>
  <c r="G613" i="21"/>
  <c r="H613" i="21"/>
  <c r="G610" i="21"/>
  <c r="H610" i="21"/>
  <c r="P609" i="21"/>
  <c r="O609" i="21"/>
  <c r="P608" i="21"/>
  <c r="O608" i="21"/>
  <c r="P607" i="21"/>
  <c r="O607" i="21"/>
  <c r="P606" i="21"/>
  <c r="O606" i="21"/>
  <c r="G607" i="21"/>
  <c r="H607" i="21"/>
  <c r="G608" i="21"/>
  <c r="H608" i="21"/>
  <c r="G609" i="21"/>
  <c r="H609" i="21"/>
  <c r="G606" i="21"/>
  <c r="H606" i="21"/>
  <c r="P605" i="21"/>
  <c r="O605" i="21"/>
  <c r="P604" i="21"/>
  <c r="O604" i="21"/>
  <c r="P603" i="21"/>
  <c r="O603" i="21"/>
  <c r="P602" i="21"/>
  <c r="O602" i="21"/>
  <c r="G603" i="21"/>
  <c r="H603" i="21"/>
  <c r="G604" i="21"/>
  <c r="H604" i="21"/>
  <c r="G605" i="21"/>
  <c r="H605" i="21"/>
  <c r="G602" i="21"/>
  <c r="H602" i="21"/>
  <c r="P601" i="21"/>
  <c r="O601" i="21"/>
  <c r="P600" i="21"/>
  <c r="O600" i="21"/>
  <c r="P599" i="21"/>
  <c r="O599" i="21"/>
  <c r="P598" i="21"/>
  <c r="O598" i="21"/>
  <c r="G599" i="21"/>
  <c r="H599" i="21"/>
  <c r="G600" i="21"/>
  <c r="H600" i="21"/>
  <c r="G601" i="21"/>
  <c r="H601" i="21"/>
  <c r="G598" i="21"/>
  <c r="H598" i="21"/>
  <c r="F446" i="21"/>
  <c r="P597" i="21"/>
  <c r="O597" i="21"/>
  <c r="N597" i="21"/>
  <c r="H597" i="21"/>
  <c r="G597" i="21"/>
  <c r="F597" i="21"/>
  <c r="P596" i="21"/>
  <c r="O596" i="21"/>
  <c r="N596" i="21"/>
  <c r="H596" i="21"/>
  <c r="G596" i="21"/>
  <c r="F596" i="21"/>
  <c r="P595" i="21"/>
  <c r="O595" i="21"/>
  <c r="N595" i="21"/>
  <c r="H595" i="21"/>
  <c r="G595" i="21"/>
  <c r="F595" i="21"/>
  <c r="P594" i="21"/>
  <c r="O594" i="21"/>
  <c r="N594" i="21"/>
  <c r="H594" i="21"/>
  <c r="G594" i="21"/>
  <c r="F594" i="21"/>
  <c r="P593" i="21"/>
  <c r="O593" i="21"/>
  <c r="N593" i="21"/>
  <c r="H593" i="21"/>
  <c r="G593" i="21"/>
  <c r="F593" i="21"/>
  <c r="P592" i="21"/>
  <c r="O592" i="21"/>
  <c r="N592" i="21"/>
  <c r="H592" i="21"/>
  <c r="G592" i="21"/>
  <c r="F592" i="21"/>
  <c r="P591" i="21"/>
  <c r="O591" i="21"/>
  <c r="N591" i="21"/>
  <c r="H591" i="21"/>
  <c r="G591" i="21"/>
  <c r="F591" i="21"/>
  <c r="P590" i="21"/>
  <c r="O590" i="21"/>
  <c r="N590" i="21"/>
  <c r="H590" i="21"/>
  <c r="G590" i="21"/>
  <c r="F590" i="21"/>
  <c r="P589" i="21"/>
  <c r="O589" i="21"/>
  <c r="H589" i="21"/>
  <c r="G589" i="21"/>
  <c r="P588" i="21"/>
  <c r="O588" i="21"/>
  <c r="H588" i="21"/>
  <c r="G588" i="21"/>
  <c r="P587" i="21"/>
  <c r="O587" i="21"/>
  <c r="H587" i="21"/>
  <c r="G587" i="21"/>
  <c r="P586" i="21"/>
  <c r="O586" i="21"/>
  <c r="H586" i="21"/>
  <c r="G586" i="21"/>
  <c r="P585" i="21"/>
  <c r="O585" i="21"/>
  <c r="H585" i="21"/>
  <c r="G585" i="21"/>
  <c r="P584" i="21"/>
  <c r="O584" i="21"/>
  <c r="H584" i="21"/>
  <c r="G584" i="21"/>
  <c r="P583" i="21"/>
  <c r="O583" i="21"/>
  <c r="H583" i="21"/>
  <c r="G583" i="21"/>
  <c r="P582" i="21"/>
  <c r="O582" i="21"/>
  <c r="H582" i="21"/>
  <c r="G582" i="21"/>
  <c r="P581" i="21"/>
  <c r="O581" i="21"/>
  <c r="H581" i="21"/>
  <c r="G581" i="21"/>
  <c r="P580" i="21"/>
  <c r="O580" i="21"/>
  <c r="H580" i="21"/>
  <c r="G580" i="21"/>
  <c r="P579" i="21"/>
  <c r="O579" i="21"/>
  <c r="H579" i="21"/>
  <c r="G579" i="21"/>
  <c r="P578" i="21"/>
  <c r="O578" i="21"/>
  <c r="H578" i="21"/>
  <c r="G578" i="21"/>
  <c r="P577" i="21"/>
  <c r="O577" i="21"/>
  <c r="H577" i="21"/>
  <c r="G577" i="21"/>
  <c r="P576" i="21"/>
  <c r="O576" i="21"/>
  <c r="H576" i="21"/>
  <c r="G576" i="21"/>
  <c r="P575" i="21"/>
  <c r="O575" i="21"/>
  <c r="H575" i="21"/>
  <c r="G575" i="21"/>
  <c r="P574" i="21"/>
  <c r="O574" i="21"/>
  <c r="H574" i="21"/>
  <c r="G574" i="21"/>
  <c r="B574" i="21"/>
  <c r="P573" i="21"/>
  <c r="O573" i="21"/>
  <c r="N573" i="21"/>
  <c r="H573" i="21"/>
  <c r="G573" i="21"/>
  <c r="F573" i="21"/>
  <c r="P572" i="21"/>
  <c r="O572" i="21"/>
  <c r="N572" i="21"/>
  <c r="H572" i="21"/>
  <c r="G572" i="21"/>
  <c r="F572" i="21"/>
  <c r="P571" i="21"/>
  <c r="O571" i="21"/>
  <c r="N571" i="21"/>
  <c r="H571" i="21"/>
  <c r="G571" i="21"/>
  <c r="F571" i="21"/>
  <c r="P570" i="21"/>
  <c r="O570" i="21"/>
  <c r="N570" i="21"/>
  <c r="H570" i="21"/>
  <c r="G570" i="21"/>
  <c r="F570" i="21"/>
  <c r="P569" i="21"/>
  <c r="O569" i="21"/>
  <c r="N569" i="21"/>
  <c r="H569" i="21"/>
  <c r="G569" i="21"/>
  <c r="F569" i="21"/>
  <c r="P568" i="21"/>
  <c r="O568" i="21"/>
  <c r="N568" i="21"/>
  <c r="H568" i="21"/>
  <c r="G568" i="21"/>
  <c r="F568" i="21"/>
  <c r="P567" i="21"/>
  <c r="O567" i="21"/>
  <c r="N567" i="21"/>
  <c r="H567" i="21"/>
  <c r="G567" i="21"/>
  <c r="F567" i="21"/>
  <c r="P566" i="21"/>
  <c r="O566" i="21"/>
  <c r="N566" i="21"/>
  <c r="H566" i="21"/>
  <c r="G566" i="21"/>
  <c r="F566" i="21"/>
  <c r="P565" i="21"/>
  <c r="O565" i="21"/>
  <c r="H565" i="21"/>
  <c r="G565" i="21"/>
  <c r="P564" i="21"/>
  <c r="O564" i="21"/>
  <c r="H564" i="21"/>
  <c r="G564" i="21"/>
  <c r="P563" i="21"/>
  <c r="O563" i="21"/>
  <c r="H563" i="21"/>
  <c r="G563" i="21"/>
  <c r="P562" i="21"/>
  <c r="O562" i="21"/>
  <c r="H562" i="21"/>
  <c r="G562" i="21"/>
  <c r="P561" i="21"/>
  <c r="O561" i="21"/>
  <c r="H561" i="21"/>
  <c r="G561" i="21"/>
  <c r="P560" i="21"/>
  <c r="O560" i="21"/>
  <c r="H560" i="21"/>
  <c r="G560" i="21"/>
  <c r="P559" i="21"/>
  <c r="O559" i="21"/>
  <c r="H559" i="21"/>
  <c r="G559" i="21"/>
  <c r="P558" i="21"/>
  <c r="O558" i="21"/>
  <c r="H558" i="21"/>
  <c r="G558" i="21"/>
  <c r="P557" i="21"/>
  <c r="O557" i="21"/>
  <c r="H557" i="21"/>
  <c r="G557" i="21"/>
  <c r="P556" i="21"/>
  <c r="O556" i="21"/>
  <c r="H556" i="21"/>
  <c r="G556" i="21"/>
  <c r="P555" i="21"/>
  <c r="O555" i="21"/>
  <c r="H555" i="21"/>
  <c r="G555" i="21"/>
  <c r="P554" i="21"/>
  <c r="O554" i="21"/>
  <c r="H554" i="21"/>
  <c r="G554" i="21"/>
  <c r="P553" i="21"/>
  <c r="O553" i="21"/>
  <c r="H553" i="21"/>
  <c r="G553" i="21"/>
  <c r="P552" i="21"/>
  <c r="O552" i="21"/>
  <c r="H552" i="21"/>
  <c r="G552" i="21"/>
  <c r="P551" i="21"/>
  <c r="O551" i="21"/>
  <c r="H551" i="21"/>
  <c r="G551" i="21"/>
  <c r="P550" i="21"/>
  <c r="O550" i="21"/>
  <c r="H550" i="21"/>
  <c r="G550" i="21"/>
  <c r="B550" i="21"/>
  <c r="P549" i="21"/>
  <c r="O549" i="21"/>
  <c r="N549" i="21"/>
  <c r="H549" i="21"/>
  <c r="G549" i="21"/>
  <c r="F549" i="21"/>
  <c r="P548" i="21"/>
  <c r="O548" i="21"/>
  <c r="N548" i="21"/>
  <c r="H548" i="21"/>
  <c r="G548" i="21"/>
  <c r="F548" i="21"/>
  <c r="P547" i="21"/>
  <c r="O547" i="21"/>
  <c r="N547" i="21"/>
  <c r="H547" i="21"/>
  <c r="G547" i="21"/>
  <c r="F547" i="21"/>
  <c r="P546" i="21"/>
  <c r="O546" i="21"/>
  <c r="N546" i="21"/>
  <c r="H546" i="21"/>
  <c r="G546" i="21"/>
  <c r="F546" i="21"/>
  <c r="P545" i="21"/>
  <c r="O545" i="21"/>
  <c r="N545" i="21"/>
  <c r="H545" i="21"/>
  <c r="G545" i="21"/>
  <c r="F545" i="21"/>
  <c r="P544" i="21"/>
  <c r="O544" i="21"/>
  <c r="N544" i="21"/>
  <c r="H544" i="21"/>
  <c r="G544" i="21"/>
  <c r="F544" i="21"/>
  <c r="P543" i="21"/>
  <c r="O543" i="21"/>
  <c r="N543" i="21"/>
  <c r="H543" i="21"/>
  <c r="G543" i="21"/>
  <c r="F543" i="21"/>
  <c r="P542" i="21"/>
  <c r="O542" i="21"/>
  <c r="N542" i="21"/>
  <c r="H542" i="21"/>
  <c r="G542" i="21"/>
  <c r="F542" i="21"/>
  <c r="P541" i="21"/>
  <c r="O541" i="21"/>
  <c r="H541" i="21"/>
  <c r="G541" i="21"/>
  <c r="P540" i="21"/>
  <c r="O540" i="21"/>
  <c r="H540" i="21"/>
  <c r="G540" i="21"/>
  <c r="P539" i="21"/>
  <c r="O539" i="21"/>
  <c r="H539" i="21"/>
  <c r="G539" i="21"/>
  <c r="P538" i="21"/>
  <c r="O538" i="21"/>
  <c r="H538" i="21"/>
  <c r="G538" i="21"/>
  <c r="P537" i="21"/>
  <c r="O537" i="21"/>
  <c r="H537" i="21"/>
  <c r="G537" i="21"/>
  <c r="P536" i="21"/>
  <c r="O536" i="21"/>
  <c r="H536" i="21"/>
  <c r="G536" i="21"/>
  <c r="P535" i="21"/>
  <c r="O535" i="21"/>
  <c r="H535" i="21"/>
  <c r="G535" i="21"/>
  <c r="P534" i="21"/>
  <c r="O534" i="21"/>
  <c r="H534" i="21"/>
  <c r="G534" i="21"/>
  <c r="P533" i="21"/>
  <c r="O533" i="21"/>
  <c r="H533" i="21"/>
  <c r="G533" i="21"/>
  <c r="P532" i="21"/>
  <c r="O532" i="21"/>
  <c r="H532" i="21"/>
  <c r="G532" i="21"/>
  <c r="P531" i="21"/>
  <c r="O531" i="21"/>
  <c r="H531" i="21"/>
  <c r="G531" i="21"/>
  <c r="P530" i="21"/>
  <c r="O530" i="21"/>
  <c r="H530" i="21"/>
  <c r="G530" i="21"/>
  <c r="P529" i="21"/>
  <c r="O529" i="21"/>
  <c r="H529" i="21"/>
  <c r="G529" i="21"/>
  <c r="P528" i="21"/>
  <c r="O528" i="21"/>
  <c r="H528" i="21"/>
  <c r="G528" i="21"/>
  <c r="P527" i="21"/>
  <c r="O527" i="21"/>
  <c r="H527" i="21"/>
  <c r="G527" i="21"/>
  <c r="P526" i="21"/>
  <c r="O526" i="21"/>
  <c r="H526" i="21"/>
  <c r="G526" i="21"/>
  <c r="B526" i="21"/>
  <c r="P525" i="21"/>
  <c r="O525" i="21"/>
  <c r="N525" i="21"/>
  <c r="H525" i="21"/>
  <c r="G525" i="21"/>
  <c r="F525" i="21"/>
  <c r="P524" i="21"/>
  <c r="O524" i="21"/>
  <c r="N524" i="21"/>
  <c r="H524" i="21"/>
  <c r="G524" i="21"/>
  <c r="F524" i="21"/>
  <c r="P523" i="21"/>
  <c r="O523" i="21"/>
  <c r="N523" i="21"/>
  <c r="H523" i="21"/>
  <c r="G523" i="21"/>
  <c r="F523" i="21"/>
  <c r="P522" i="21"/>
  <c r="O522" i="21"/>
  <c r="N522" i="21"/>
  <c r="H522" i="21"/>
  <c r="G522" i="21"/>
  <c r="F522" i="21"/>
  <c r="P521" i="21"/>
  <c r="O521" i="21"/>
  <c r="N521" i="21"/>
  <c r="H521" i="21"/>
  <c r="G521" i="21"/>
  <c r="F521" i="21"/>
  <c r="P520" i="21"/>
  <c r="O520" i="21"/>
  <c r="N520" i="21"/>
  <c r="H520" i="21"/>
  <c r="G520" i="21"/>
  <c r="F520" i="21"/>
  <c r="P519" i="21"/>
  <c r="O519" i="21"/>
  <c r="N519" i="21"/>
  <c r="H519" i="21"/>
  <c r="G519" i="21"/>
  <c r="F519" i="21"/>
  <c r="P518" i="21"/>
  <c r="O518" i="21"/>
  <c r="N518" i="21"/>
  <c r="H518" i="21"/>
  <c r="G518" i="21"/>
  <c r="F518" i="21"/>
  <c r="P517" i="21"/>
  <c r="O517" i="21"/>
  <c r="H517" i="21"/>
  <c r="G517" i="21"/>
  <c r="P516" i="21"/>
  <c r="O516" i="21"/>
  <c r="H516" i="21"/>
  <c r="G516" i="21"/>
  <c r="P515" i="21"/>
  <c r="O515" i="21"/>
  <c r="H515" i="21"/>
  <c r="G515" i="21"/>
  <c r="P514" i="21"/>
  <c r="O514" i="21"/>
  <c r="H514" i="21"/>
  <c r="G514" i="21"/>
  <c r="P513" i="21"/>
  <c r="O513" i="21"/>
  <c r="H513" i="21"/>
  <c r="G513" i="21"/>
  <c r="P512" i="21"/>
  <c r="O512" i="21"/>
  <c r="H512" i="21"/>
  <c r="G512" i="21"/>
  <c r="P511" i="21"/>
  <c r="O511" i="21"/>
  <c r="H511" i="21"/>
  <c r="G511" i="21"/>
  <c r="P510" i="21"/>
  <c r="O510" i="21"/>
  <c r="H510" i="21"/>
  <c r="G510" i="21"/>
  <c r="P509" i="21"/>
  <c r="O509" i="21"/>
  <c r="H509" i="21"/>
  <c r="G509" i="21"/>
  <c r="P508" i="21"/>
  <c r="O508" i="21"/>
  <c r="H508" i="21"/>
  <c r="G508" i="21"/>
  <c r="P507" i="21"/>
  <c r="O507" i="21"/>
  <c r="H507" i="21"/>
  <c r="G507" i="21"/>
  <c r="P506" i="21"/>
  <c r="O506" i="21"/>
  <c r="H506" i="21"/>
  <c r="G506" i="21"/>
  <c r="P505" i="21"/>
  <c r="O505" i="21"/>
  <c r="H505" i="21"/>
  <c r="G505" i="21"/>
  <c r="P504" i="21"/>
  <c r="O504" i="21"/>
  <c r="H504" i="21"/>
  <c r="G504" i="21"/>
  <c r="P503" i="21"/>
  <c r="O503" i="21"/>
  <c r="H503" i="21"/>
  <c r="G503" i="21"/>
  <c r="P502" i="21"/>
  <c r="O502" i="21"/>
  <c r="H502" i="21"/>
  <c r="G502" i="21"/>
  <c r="B502" i="21"/>
  <c r="P501" i="21"/>
  <c r="O501" i="21"/>
  <c r="N501" i="21"/>
  <c r="H501" i="21"/>
  <c r="G501" i="21"/>
  <c r="F501" i="21"/>
  <c r="P500" i="21"/>
  <c r="O500" i="21"/>
  <c r="N500" i="21"/>
  <c r="H500" i="21"/>
  <c r="G500" i="21"/>
  <c r="F500" i="21"/>
  <c r="P499" i="21"/>
  <c r="O499" i="21"/>
  <c r="N499" i="21"/>
  <c r="H499" i="21"/>
  <c r="G499" i="21"/>
  <c r="F499" i="21"/>
  <c r="P498" i="21"/>
  <c r="O498" i="21"/>
  <c r="N498" i="21"/>
  <c r="H498" i="21"/>
  <c r="G498" i="21"/>
  <c r="F498" i="21"/>
  <c r="P497" i="21"/>
  <c r="O497" i="21"/>
  <c r="N497" i="21"/>
  <c r="H497" i="21"/>
  <c r="G497" i="21"/>
  <c r="F497" i="21"/>
  <c r="P496" i="21"/>
  <c r="O496" i="21"/>
  <c r="N496" i="21"/>
  <c r="H496" i="21"/>
  <c r="G496" i="21"/>
  <c r="F496" i="21"/>
  <c r="P495" i="21"/>
  <c r="O495" i="21"/>
  <c r="N495" i="21"/>
  <c r="H495" i="21"/>
  <c r="G495" i="21"/>
  <c r="F495" i="21"/>
  <c r="P494" i="21"/>
  <c r="O494" i="21"/>
  <c r="N494" i="21"/>
  <c r="H494" i="21"/>
  <c r="G494" i="21"/>
  <c r="F494" i="21"/>
  <c r="P493" i="21"/>
  <c r="O493" i="21"/>
  <c r="H493" i="21"/>
  <c r="G493" i="21"/>
  <c r="P492" i="21"/>
  <c r="O492" i="21"/>
  <c r="H492" i="21"/>
  <c r="G492" i="21"/>
  <c r="P491" i="21"/>
  <c r="O491" i="21"/>
  <c r="H491" i="21"/>
  <c r="G491" i="21"/>
  <c r="P490" i="21"/>
  <c r="O490" i="21"/>
  <c r="H490" i="21"/>
  <c r="G490" i="21"/>
  <c r="P489" i="21"/>
  <c r="O489" i="21"/>
  <c r="H489" i="21"/>
  <c r="G489" i="21"/>
  <c r="P488" i="21"/>
  <c r="O488" i="21"/>
  <c r="H488" i="21"/>
  <c r="G488" i="21"/>
  <c r="P487" i="21"/>
  <c r="O487" i="21"/>
  <c r="H487" i="21"/>
  <c r="G487" i="21"/>
  <c r="P486" i="21"/>
  <c r="O486" i="21"/>
  <c r="H486" i="21"/>
  <c r="G486" i="21"/>
  <c r="P485" i="21"/>
  <c r="O485" i="21"/>
  <c r="H485" i="21"/>
  <c r="G485" i="21"/>
  <c r="P484" i="21"/>
  <c r="O484" i="21"/>
  <c r="H484" i="21"/>
  <c r="G484" i="21"/>
  <c r="P483" i="21"/>
  <c r="O483" i="21"/>
  <c r="H483" i="21"/>
  <c r="G483" i="21"/>
  <c r="P482" i="21"/>
  <c r="O482" i="21"/>
  <c r="H482" i="21"/>
  <c r="G482" i="21"/>
  <c r="P481" i="21"/>
  <c r="O481" i="21"/>
  <c r="H481" i="21"/>
  <c r="G481" i="21"/>
  <c r="P480" i="21"/>
  <c r="O480" i="21"/>
  <c r="H480" i="21"/>
  <c r="G480" i="21"/>
  <c r="P479" i="21"/>
  <c r="O479" i="21"/>
  <c r="H479" i="21"/>
  <c r="G479" i="21"/>
  <c r="P478" i="21"/>
  <c r="O478" i="21"/>
  <c r="H478" i="21"/>
  <c r="G478" i="21"/>
  <c r="B478" i="21"/>
  <c r="P477" i="21"/>
  <c r="O477" i="21"/>
  <c r="N477" i="21"/>
  <c r="H477" i="21"/>
  <c r="G477" i="21"/>
  <c r="F477" i="21"/>
  <c r="P476" i="21"/>
  <c r="O476" i="21"/>
  <c r="N476" i="21"/>
  <c r="H476" i="21"/>
  <c r="G476" i="21"/>
  <c r="F476" i="21"/>
  <c r="P475" i="21"/>
  <c r="O475" i="21"/>
  <c r="N475" i="21"/>
  <c r="H475" i="21"/>
  <c r="G475" i="21"/>
  <c r="F475" i="21"/>
  <c r="P474" i="21"/>
  <c r="O474" i="21"/>
  <c r="N474" i="21"/>
  <c r="H474" i="21"/>
  <c r="G474" i="21"/>
  <c r="F474" i="21"/>
  <c r="P473" i="21"/>
  <c r="O473" i="21"/>
  <c r="N473" i="21"/>
  <c r="H473" i="21"/>
  <c r="G473" i="21"/>
  <c r="F473" i="21"/>
  <c r="P472" i="21"/>
  <c r="O472" i="21"/>
  <c r="N472" i="21"/>
  <c r="H472" i="21"/>
  <c r="G472" i="21"/>
  <c r="F472" i="21"/>
  <c r="P471" i="21"/>
  <c r="O471" i="21"/>
  <c r="N471" i="21"/>
  <c r="H471" i="21"/>
  <c r="G471" i="21"/>
  <c r="F471" i="21"/>
  <c r="P470" i="21"/>
  <c r="O470" i="21"/>
  <c r="N470" i="21"/>
  <c r="H470" i="21"/>
  <c r="G470" i="21"/>
  <c r="F470" i="21"/>
  <c r="P469" i="21"/>
  <c r="O469" i="21"/>
  <c r="H469" i="21"/>
  <c r="G469" i="21"/>
  <c r="P468" i="21"/>
  <c r="O468" i="21"/>
  <c r="H468" i="21"/>
  <c r="G468" i="21"/>
  <c r="P467" i="21"/>
  <c r="O467" i="21"/>
  <c r="H467" i="21"/>
  <c r="G467" i="21"/>
  <c r="P466" i="21"/>
  <c r="O466" i="21"/>
  <c r="H466" i="21"/>
  <c r="G466" i="21"/>
  <c r="P465" i="21"/>
  <c r="O465" i="21"/>
  <c r="H465" i="21"/>
  <c r="G465" i="21"/>
  <c r="P464" i="21"/>
  <c r="O464" i="21"/>
  <c r="H464" i="21"/>
  <c r="G464" i="21"/>
  <c r="P463" i="21"/>
  <c r="O463" i="21"/>
  <c r="H463" i="21"/>
  <c r="G463" i="21"/>
  <c r="P462" i="21"/>
  <c r="O462" i="21"/>
  <c r="H462" i="21"/>
  <c r="G462" i="21"/>
  <c r="P461" i="21"/>
  <c r="O461" i="21"/>
  <c r="H461" i="21"/>
  <c r="G461" i="21"/>
  <c r="P460" i="21"/>
  <c r="O460" i="21"/>
  <c r="H460" i="21"/>
  <c r="G460" i="21"/>
  <c r="P459" i="21"/>
  <c r="O459" i="21"/>
  <c r="H459" i="21"/>
  <c r="G459" i="21"/>
  <c r="P458" i="21"/>
  <c r="O458" i="21"/>
  <c r="H458" i="21"/>
  <c r="G458" i="21"/>
  <c r="P457" i="21"/>
  <c r="O457" i="21"/>
  <c r="H457" i="21"/>
  <c r="G457" i="21"/>
  <c r="P456" i="21"/>
  <c r="O456" i="21"/>
  <c r="H456" i="21"/>
  <c r="G456" i="21"/>
  <c r="P455" i="21"/>
  <c r="O455" i="21"/>
  <c r="H455" i="21"/>
  <c r="G455" i="21"/>
  <c r="P454" i="21"/>
  <c r="O454" i="21"/>
  <c r="H454" i="21"/>
  <c r="G454" i="21"/>
  <c r="B454" i="21"/>
  <c r="B430" i="21"/>
  <c r="P453" i="21"/>
  <c r="O453" i="21"/>
  <c r="N453" i="21"/>
  <c r="P452" i="21"/>
  <c r="O452" i="21"/>
  <c r="N452" i="21"/>
  <c r="P451" i="21"/>
  <c r="O451" i="21"/>
  <c r="N451" i="21"/>
  <c r="P450" i="21"/>
  <c r="O450" i="21"/>
  <c r="N450" i="21"/>
  <c r="P449" i="21"/>
  <c r="O449" i="21"/>
  <c r="N449" i="21"/>
  <c r="P448" i="21"/>
  <c r="O448" i="21"/>
  <c r="N448" i="21"/>
  <c r="P447" i="21"/>
  <c r="O447" i="21"/>
  <c r="N447" i="21"/>
  <c r="P446" i="21"/>
  <c r="O446" i="21"/>
  <c r="N446" i="21"/>
  <c r="H453" i="21"/>
  <c r="G453" i="21"/>
  <c r="F453" i="21"/>
  <c r="H452" i="21"/>
  <c r="G452" i="21"/>
  <c r="F452" i="21"/>
  <c r="H451" i="21"/>
  <c r="G451" i="21"/>
  <c r="F451" i="21"/>
  <c r="H449" i="21"/>
  <c r="G449" i="21"/>
  <c r="F449" i="21"/>
  <c r="H448" i="21"/>
  <c r="G448" i="21"/>
  <c r="F448" i="21"/>
  <c r="H447" i="21"/>
  <c r="G447" i="21"/>
  <c r="F447" i="21"/>
  <c r="H446" i="21"/>
  <c r="G446" i="21"/>
  <c r="H450" i="21"/>
  <c r="G450" i="21"/>
  <c r="F450" i="21"/>
  <c r="P445" i="21"/>
  <c r="O445" i="21"/>
  <c r="P444" i="21"/>
  <c r="O444" i="21"/>
  <c r="P443" i="21"/>
  <c r="O443" i="21"/>
  <c r="P442" i="21"/>
  <c r="O442" i="21"/>
  <c r="H445" i="21"/>
  <c r="G445" i="21"/>
  <c r="H444" i="21"/>
  <c r="G444" i="21"/>
  <c r="H443" i="21"/>
  <c r="G443" i="21"/>
  <c r="H442" i="21"/>
  <c r="G442" i="21"/>
  <c r="P441" i="21"/>
  <c r="O441" i="21"/>
  <c r="P440" i="21"/>
  <c r="O440" i="21"/>
  <c r="P439" i="21"/>
  <c r="O439" i="21"/>
  <c r="P438" i="21"/>
  <c r="O438" i="21"/>
  <c r="H441" i="21"/>
  <c r="G441" i="21"/>
  <c r="H440" i="21"/>
  <c r="G440" i="21"/>
  <c r="H439" i="21"/>
  <c r="G439" i="21"/>
  <c r="H438" i="21"/>
  <c r="G438" i="21"/>
  <c r="P437" i="21"/>
  <c r="O437" i="21"/>
  <c r="P436" i="21"/>
  <c r="O436" i="21"/>
  <c r="P435" i="21"/>
  <c r="O435" i="21"/>
  <c r="P434" i="21"/>
  <c r="O434" i="21"/>
  <c r="H437" i="21"/>
  <c r="G437" i="21"/>
  <c r="H436" i="21"/>
  <c r="G436" i="21"/>
  <c r="H435" i="21"/>
  <c r="G435" i="21"/>
  <c r="H434" i="21"/>
  <c r="G434" i="21"/>
  <c r="P433" i="21"/>
  <c r="O433" i="21"/>
  <c r="P432" i="21"/>
  <c r="O432" i="21"/>
  <c r="P431" i="21"/>
  <c r="O431" i="21"/>
  <c r="P430" i="21"/>
  <c r="O430" i="21"/>
  <c r="H433" i="21"/>
  <c r="G433" i="21"/>
  <c r="H432" i="21"/>
  <c r="G432" i="21"/>
  <c r="H431" i="21"/>
  <c r="G431" i="21"/>
  <c r="H430" i="21"/>
  <c r="G430" i="21"/>
  <c r="S422" i="21"/>
  <c r="K422" i="21"/>
  <c r="R422" i="21"/>
  <c r="Q422" i="21"/>
  <c r="S421" i="21"/>
  <c r="R421" i="21"/>
  <c r="J421" i="21"/>
  <c r="Q421" i="21"/>
  <c r="S420" i="21"/>
  <c r="R420" i="21"/>
  <c r="Q420" i="21"/>
  <c r="K421" i="21"/>
  <c r="K420" i="21"/>
  <c r="J422" i="21"/>
  <c r="J420" i="21"/>
  <c r="I422" i="21"/>
  <c r="I421" i="21"/>
  <c r="I420" i="21"/>
  <c r="W618" i="21"/>
  <c r="W610" i="21"/>
  <c r="W606" i="21"/>
  <c r="W586" i="21"/>
  <c r="W574" i="21"/>
  <c r="W562" i="21"/>
  <c r="U566" i="21"/>
  <c r="W538" i="21"/>
  <c r="U211" i="21"/>
  <c r="W514" i="21"/>
  <c r="W159" i="21"/>
  <c r="W490" i="21"/>
  <c r="U482" i="21"/>
  <c r="W466" i="21"/>
  <c r="U470" i="21"/>
  <c r="W442" i="21"/>
  <c r="V438" i="21"/>
  <c r="U610" i="21"/>
  <c r="F28" i="23"/>
  <c r="U562" i="21"/>
  <c r="V550" i="21"/>
  <c r="G9" i="23"/>
  <c r="G8" i="23"/>
  <c r="V107" i="21"/>
  <c r="V59" i="21"/>
  <c r="U442" i="21"/>
  <c r="V610" i="21"/>
  <c r="V598" i="21"/>
  <c r="U319" i="21"/>
  <c r="V574" i="21"/>
  <c r="U554" i="21"/>
  <c r="V538" i="21"/>
  <c r="W542" i="21"/>
  <c r="V163" i="21"/>
  <c r="V498" i="21"/>
  <c r="U67" i="21"/>
  <c r="U15" i="21"/>
  <c r="U387" i="21"/>
  <c r="V367" i="21"/>
  <c r="U335" i="21"/>
  <c r="V582" i="21"/>
  <c r="U283" i="21"/>
  <c r="W566" i="21"/>
  <c r="U231" i="21"/>
  <c r="V534" i="21"/>
  <c r="U179" i="21"/>
  <c r="V502" i="21"/>
  <c r="U127" i="21"/>
  <c r="U107" i="21"/>
  <c r="U75" i="21"/>
  <c r="U55" i="21"/>
  <c r="U23" i="21"/>
  <c r="V434" i="21"/>
  <c r="U375" i="21"/>
  <c r="V319" i="21"/>
  <c r="U271" i="21"/>
  <c r="V211" i="21"/>
  <c r="W502" i="21"/>
  <c r="W478" i="21"/>
  <c r="U11" i="21"/>
  <c r="V618" i="21"/>
  <c r="U215" i="21"/>
  <c r="V159" i="21"/>
  <c r="U486" i="21"/>
  <c r="V442" i="21"/>
  <c r="V590" i="21"/>
  <c r="W498" i="21"/>
  <c r="U462" i="21"/>
  <c r="U614" i="21"/>
  <c r="V215" i="21"/>
  <c r="V63" i="21"/>
  <c r="U367" i="21"/>
  <c r="U267" i="21"/>
  <c r="U171" i="21"/>
  <c r="W458" i="21"/>
  <c r="U598" i="21"/>
  <c r="G10" i="23"/>
  <c r="W506" i="21"/>
  <c r="U474" i="21"/>
  <c r="G5" i="23"/>
  <c r="W590" i="21"/>
  <c r="F21" i="23"/>
  <c r="V494" i="21"/>
  <c r="U383" i="21"/>
  <c r="V614" i="21"/>
  <c r="U331" i="21"/>
  <c r="U582" i="21"/>
  <c r="U279" i="21"/>
  <c r="V558" i="21"/>
  <c r="U227" i="21"/>
  <c r="V542" i="21"/>
  <c r="U175" i="21"/>
  <c r="W518" i="21"/>
  <c r="U123" i="21"/>
  <c r="W494" i="21"/>
  <c r="U71" i="21"/>
  <c r="W454" i="21"/>
  <c r="U19" i="21"/>
  <c r="V430" i="21"/>
  <c r="W371" i="21"/>
  <c r="W323" i="21"/>
  <c r="V267" i="21"/>
  <c r="V263" i="21"/>
  <c r="W534" i="21"/>
  <c r="W510" i="21"/>
  <c r="W486" i="21"/>
  <c r="G6" i="23"/>
  <c r="V7" i="21"/>
  <c r="U379" i="21"/>
  <c r="U606" i="21"/>
  <c r="V594" i="21"/>
  <c r="V562" i="21"/>
  <c r="U550" i="21"/>
  <c r="U223" i="21"/>
  <c r="U542" i="21"/>
  <c r="U506" i="21"/>
  <c r="V482" i="21"/>
  <c r="V474" i="21"/>
  <c r="U7" i="21"/>
  <c r="V375" i="21"/>
  <c r="U602" i="21"/>
  <c r="V323" i="21"/>
  <c r="V578" i="21"/>
  <c r="W271" i="21"/>
  <c r="U263" i="21"/>
  <c r="W219" i="21"/>
  <c r="U534" i="21"/>
  <c r="V167" i="21"/>
  <c r="U159" i="21"/>
  <c r="U115" i="21"/>
  <c r="F23" i="23"/>
  <c r="W63" i="21"/>
  <c r="W55" i="21"/>
  <c r="V11" i="21"/>
  <c r="W3" i="21"/>
  <c r="G12" i="23"/>
  <c r="U574" i="21"/>
  <c r="W263" i="21"/>
  <c r="U514" i="21"/>
  <c r="U502" i="21"/>
  <c r="U466" i="21"/>
  <c r="U450" i="21"/>
  <c r="U327" i="21"/>
  <c r="V514" i="21"/>
  <c r="V490" i="21"/>
  <c r="U59" i="21"/>
  <c r="V450" i="21"/>
  <c r="W367" i="21"/>
  <c r="W550" i="21"/>
  <c r="W526" i="21"/>
  <c r="V510" i="21"/>
  <c r="W474" i="21"/>
  <c r="W434" i="21"/>
  <c r="U558" i="21"/>
  <c r="U498" i="21"/>
  <c r="V446" i="21"/>
  <c r="W315" i="21"/>
  <c r="W211" i="21"/>
  <c r="V466" i="21"/>
  <c r="U618" i="21"/>
  <c r="U594" i="21"/>
  <c r="W554" i="21"/>
  <c r="V530" i="21"/>
  <c r="G7" i="23"/>
  <c r="V3" i="21"/>
  <c r="V518" i="21"/>
  <c r="V454" i="21"/>
  <c r="V506" i="21"/>
  <c r="U3" i="21"/>
  <c r="W375" i="21"/>
  <c r="W614" i="21"/>
  <c r="U323" i="21"/>
  <c r="W578" i="21"/>
  <c r="V271" i="21"/>
  <c r="V554" i="21"/>
  <c r="V219" i="21"/>
  <c r="V526" i="21"/>
  <c r="W167" i="21"/>
  <c r="U510" i="21"/>
  <c r="V115" i="21"/>
  <c r="U494" i="21"/>
  <c r="U63" i="21"/>
  <c r="V55" i="21"/>
  <c r="W11" i="21"/>
  <c r="W446" i="21"/>
  <c r="V606" i="21"/>
  <c r="G11" i="23"/>
  <c r="U570" i="21"/>
  <c r="U219" i="21"/>
  <c r="U530" i="21"/>
  <c r="U490" i="21"/>
  <c r="W107" i="21"/>
  <c r="F22" i="23"/>
  <c r="U446" i="21"/>
  <c r="U371" i="21"/>
  <c r="V602" i="21"/>
  <c r="W582" i="21"/>
  <c r="U275" i="21"/>
  <c r="V566" i="21"/>
  <c r="V546" i="21"/>
  <c r="F25" i="23"/>
  <c r="U518" i="21"/>
  <c r="U478" i="21"/>
  <c r="V458" i="21"/>
  <c r="W430" i="21"/>
  <c r="V371" i="21"/>
  <c r="W602" i="21"/>
  <c r="W319" i="21"/>
  <c r="U590" i="21"/>
  <c r="W267" i="21"/>
  <c r="F26" i="23"/>
  <c r="W215" i="21"/>
  <c r="W530" i="21"/>
  <c r="W163" i="21"/>
  <c r="F24" i="23"/>
  <c r="U111" i="21"/>
  <c r="V478" i="21"/>
  <c r="W59" i="21"/>
  <c r="V462" i="21"/>
  <c r="W7" i="21"/>
  <c r="U434" i="21"/>
  <c r="W598" i="21"/>
  <c r="V315" i="21"/>
  <c r="U538" i="21"/>
  <c r="U163" i="21"/>
  <c r="W115" i="21"/>
  <c r="U454" i="21"/>
  <c r="W438" i="21"/>
  <c r="F27" i="23"/>
  <c r="V522" i="21"/>
  <c r="V111" i="21"/>
  <c r="W462" i="21"/>
  <c r="U430" i="21"/>
  <c r="W594" i="21"/>
  <c r="W570" i="21"/>
  <c r="W546" i="21"/>
  <c r="W522" i="21"/>
  <c r="W482" i="21"/>
  <c r="W450" i="21"/>
  <c r="U315" i="21"/>
  <c r="U167" i="21"/>
  <c r="V470" i="21"/>
  <c r="V586" i="21"/>
  <c r="W558" i="21"/>
  <c r="U119" i="21"/>
  <c r="U438" i="21"/>
  <c r="U578" i="21"/>
  <c r="U546" i="21"/>
  <c r="U522" i="21"/>
  <c r="V486" i="21"/>
  <c r="U458" i="21"/>
  <c r="U586" i="21"/>
  <c r="U526" i="21"/>
  <c r="W111" i="21"/>
  <c r="V570" i="21"/>
  <c r="W470" i="21"/>
  <c r="B12" i="23" l="1"/>
  <c r="I14" i="23"/>
  <c r="J14" i="23"/>
  <c r="K14" i="23"/>
  <c r="R424" i="21"/>
  <c r="Q424" i="21"/>
  <c r="S424" i="21"/>
  <c r="S423" i="21"/>
  <c r="R423" i="21"/>
  <c r="S425" i="21"/>
  <c r="R425" i="21"/>
  <c r="Q425" i="21"/>
  <c r="Q423" i="21"/>
  <c r="AH420" i="21"/>
  <c r="AG420" i="21"/>
  <c r="AI420" i="21"/>
  <c r="AF420" i="21"/>
  <c r="AD420" i="21"/>
  <c r="AC420" i="21"/>
  <c r="AE420" i="21"/>
  <c r="G15" i="23"/>
  <c r="G13" i="23"/>
  <c r="G14" i="23"/>
  <c r="F29" i="23"/>
  <c r="F31" i="23"/>
  <c r="G22" i="23"/>
  <c r="G24" i="23"/>
  <c r="G26" i="23"/>
  <c r="G28" i="23"/>
  <c r="F5" i="23"/>
  <c r="F6" i="23"/>
  <c r="F7" i="23"/>
  <c r="F8" i="23"/>
  <c r="F9" i="23"/>
  <c r="F10" i="23"/>
  <c r="F11" i="23"/>
  <c r="F12" i="23"/>
  <c r="C21" i="23"/>
  <c r="C5" i="23"/>
  <c r="E21" i="23"/>
  <c r="D22" i="23"/>
  <c r="D6" i="23"/>
  <c r="C23" i="23"/>
  <c r="C7" i="23"/>
  <c r="E23" i="23"/>
  <c r="D24" i="23"/>
  <c r="D8" i="23"/>
  <c r="C25" i="23"/>
  <c r="C9" i="23"/>
  <c r="E25" i="23"/>
  <c r="D26" i="23"/>
  <c r="D10" i="23"/>
  <c r="C27" i="23"/>
  <c r="C11" i="23"/>
  <c r="E27" i="23"/>
  <c r="D28" i="23"/>
  <c r="D12" i="23"/>
  <c r="H5" i="23"/>
  <c r="H6" i="23"/>
  <c r="H7" i="23"/>
  <c r="H8" i="23"/>
  <c r="H9" i="23"/>
  <c r="H10" i="23"/>
  <c r="H11" i="23"/>
  <c r="H12" i="23"/>
  <c r="G21" i="23"/>
  <c r="G23" i="23"/>
  <c r="F30" i="23"/>
  <c r="G25" i="23"/>
  <c r="G27" i="23"/>
  <c r="E5" i="23"/>
  <c r="E6" i="23"/>
  <c r="E7" i="23"/>
  <c r="E8" i="23"/>
  <c r="E9" i="23"/>
  <c r="E10" i="23"/>
  <c r="E11" i="23"/>
  <c r="E12" i="23"/>
  <c r="D5" i="23"/>
  <c r="D21" i="23"/>
  <c r="C6" i="23"/>
  <c r="C22" i="23"/>
  <c r="E22" i="23"/>
  <c r="D7" i="23"/>
  <c r="D23" i="23"/>
  <c r="C8" i="23"/>
  <c r="C24" i="23"/>
  <c r="E24" i="23"/>
  <c r="D9" i="23"/>
  <c r="D25" i="23"/>
  <c r="C10" i="23"/>
  <c r="C26" i="23"/>
  <c r="E26" i="23"/>
  <c r="D11" i="23"/>
  <c r="D27" i="23"/>
  <c r="C12" i="23"/>
  <c r="C28" i="23"/>
  <c r="E28" i="23"/>
  <c r="I13" i="23"/>
  <c r="I15" i="23"/>
  <c r="K15" i="23"/>
  <c r="K13" i="23"/>
  <c r="J13" i="23"/>
  <c r="J15" i="23"/>
  <c r="H14" i="23" l="1"/>
  <c r="G30" i="23"/>
  <c r="E14" i="23"/>
  <c r="D14" i="23"/>
  <c r="D30" i="23"/>
  <c r="C30" i="23"/>
  <c r="E30" i="23"/>
  <c r="F14" i="23"/>
  <c r="C14" i="23"/>
  <c r="AB420" i="21"/>
  <c r="G29" i="23"/>
  <c r="G31" i="23"/>
  <c r="H15" i="23"/>
  <c r="H13" i="23"/>
  <c r="C29" i="23"/>
  <c r="C31" i="23"/>
  <c r="F13" i="23"/>
  <c r="F15" i="23"/>
  <c r="D15" i="23"/>
  <c r="D13" i="23"/>
  <c r="E13" i="23"/>
  <c r="E15" i="23"/>
  <c r="C15" i="23"/>
  <c r="C13" i="23"/>
  <c r="D31" i="23"/>
  <c r="D29" i="23"/>
  <c r="E31" i="23"/>
  <c r="E29" i="23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<sst xmlns="http://schemas.openxmlformats.org/spreadsheetml/2006/main" count="255" uniqueCount="64">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</sst>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0.0000"/>
  </numFmts>
  <fonts count="13" x14ac:knownFonts="1">
    <font>
      <sz val="12"/>
      <color theme="1"/>
      <name val="宋体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宋体"/>
      <family val="2"/>
      <scheme val="minor"/>
    </font>
    <font>
      <b/>
      <sz val="9"/>
      <color theme="1"/>
      <name val="宋体"/>
      <family val="2"/>
      <scheme val="minor"/>
    </font>
    <font>
      <sz val="9"/>
      <color rgb="FFFF0000"/>
      <name val="宋体"/>
      <family val="2"/>
      <scheme val="minor"/>
    </font>
    <font>
      <b/>
      <sz val="10"/>
      <color theme="1"/>
      <name val="宋体"/>
      <family val="1"/>
      <scheme val="major"/>
    </font>
    <font>
      <b/>
      <sz val="10"/>
      <color indexed="8"/>
      <name val="宋体"/>
      <family val="1"/>
      <scheme val="major"/>
    </font>
    <font>
      <b/>
      <sz val="20"/>
      <color theme="1"/>
      <name val="宋体"/>
      <family val="2"/>
      <scheme val="minor"/>
    </font>
    <font>
      <sz val="12"/>
      <color theme="1" tint="0.499984740745262"/>
      <name val="宋体"/>
      <family val="2"/>
      <scheme val="minor"/>
    </font>
    <font>
      <sz val="6"/>
      <name val="宋体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常规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967"/>
  <sheetViews>
    <sheetView tabSelected="1" zoomScaleNormal="100" workbookViewId="0">
      <selection activeCell="N19" sqref="N19"/>
    </sheetView>
  </sheetViews>
  <sheetFormatPr defaultColWidth="8.875" defaultRowHeight="14.25" x14ac:dyDescent="0.1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5.5" x14ac:dyDescent="0.3">
      <c r="B2" s="101" t="s">
        <v>45</v>
      </c>
      <c r="N2"/>
      <c r="O2"/>
      <c r="P2"/>
      <c r="Q2"/>
      <c r="R2"/>
      <c r="S2"/>
      <c r="T2"/>
    </row>
    <row r="3" spans="1:20" ht="15" thickBot="1" x14ac:dyDescent="0.2">
      <c r="N3"/>
      <c r="O3"/>
      <c r="P3"/>
      <c r="Q3"/>
      <c r="R3"/>
      <c r="S3"/>
      <c r="T3"/>
    </row>
    <row r="4" spans="1:20" ht="29.1" customHeight="1" thickBot="1" x14ac:dyDescent="0.2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 x14ac:dyDescent="0.2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-2.0419738752153194E-4</v>
      </c>
      <c r="E5" s="10">
        <f>'experimental data'!U11</f>
        <v>-1.3304791837598362E-4</v>
      </c>
      <c r="F5" s="8">
        <f>'experimental data'!U434</f>
        <v>-8.0703241383650592E-5</v>
      </c>
      <c r="G5" s="9">
        <f>bdrate('experimental data'!E450:E453,'experimental data'!F434:F437,'experimental data'!M450:M453,'experimental data'!N434:N437)</f>
        <v>-1.3139155923536094E-4</v>
      </c>
      <c r="H5" s="10">
        <f>'experimental data'!U442</f>
        <v>1.6679264695351748E-4</v>
      </c>
      <c r="I5" s="59">
        <f>'experimental data'!Y51</f>
        <v>1.0023602059070889</v>
      </c>
      <c r="J5" s="105">
        <f>'experimental data'!Z51</f>
        <v>1.0235570076406173</v>
      </c>
      <c r="K5" s="60">
        <f>'experimental data'!AA51</f>
        <v>1.0488096184277396</v>
      </c>
      <c r="L5" s="90"/>
      <c r="M5" s="61"/>
      <c r="N5" s="61"/>
      <c r="O5"/>
      <c r="P5"/>
      <c r="Q5"/>
      <c r="R5"/>
      <c r="S5"/>
      <c r="T5"/>
    </row>
    <row r="6" spans="1:20" ht="15" x14ac:dyDescent="0.2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-1.9362668031308594E-4</v>
      </c>
      <c r="E6" s="19">
        <f>'experimental data'!U63</f>
        <v>-1.5010372384994808E-3</v>
      </c>
      <c r="F6" s="17">
        <f>'experimental data'!U458</f>
        <v>-2.3554317343843501E-4</v>
      </c>
      <c r="G6" s="18">
        <f>bdrate('experimental data'!E474:E477,'experimental data'!F458:F461,'experimental data'!M474:M477,'experimental data'!N458:N461)</f>
        <v>-2.4346254772311671E-4</v>
      </c>
      <c r="H6" s="19">
        <f>'experimental data'!U466</f>
        <v>-7.2814589617353764E-4</v>
      </c>
      <c r="I6" s="61">
        <f>'experimental data'!Y103</f>
        <v>0.99851942329936738</v>
      </c>
      <c r="J6" s="106">
        <f>'experimental data'!Z103</f>
        <v>1.0197937986442289</v>
      </c>
      <c r="K6" s="57">
        <f>'experimental data'!AA103</f>
        <v>1.0280676923830392</v>
      </c>
      <c r="L6" s="90"/>
      <c r="M6" s="61"/>
      <c r="N6" s="61"/>
      <c r="O6"/>
      <c r="P6"/>
      <c r="Q6"/>
      <c r="R6"/>
      <c r="S6"/>
      <c r="T6"/>
    </row>
    <row r="7" spans="1:20" ht="15" x14ac:dyDescent="0.2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7.1916884090716948E-4</v>
      </c>
      <c r="E7" s="19">
        <f>'experimental data'!U115</f>
        <v>-9.8256411501895791E-4</v>
      </c>
      <c r="F7" s="17">
        <f>'experimental data'!U482</f>
        <v>-1.6628332904722321E-4</v>
      </c>
      <c r="G7" s="18">
        <f>bdrate('experimental data'!E498:E501,'experimental data'!F482:F485,'experimental data'!M498:M501,'experimental data'!N482:N485)</f>
        <v>-2.1532836336990435E-5</v>
      </c>
      <c r="H7" s="19">
        <f>'experimental data'!U490</f>
        <v>5.8727550482018387E-4</v>
      </c>
      <c r="I7" s="61">
        <f>'experimental data'!Y155</f>
        <v>1.001802006597204</v>
      </c>
      <c r="J7" s="106">
        <f>'experimental data'!Z155</f>
        <v>1.0311579470577776</v>
      </c>
      <c r="K7" s="57">
        <f>'experimental data'!AA155</f>
        <v>1.051519513450248</v>
      </c>
      <c r="L7" s="90"/>
      <c r="M7" s="61"/>
      <c r="N7" s="61"/>
      <c r="O7"/>
      <c r="P7"/>
      <c r="Q7"/>
      <c r="R7"/>
      <c r="S7"/>
      <c r="T7"/>
    </row>
    <row r="8" spans="1:20" ht="15" x14ac:dyDescent="0.2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8.131306113654535E-4</v>
      </c>
      <c r="E8" s="19">
        <f>'experimental data'!U167</f>
        <v>-1.7449872243313624E-4</v>
      </c>
      <c r="F8" s="17">
        <f>'experimental data'!U506</f>
        <v>-1.0361492698796049E-4</v>
      </c>
      <c r="G8" s="18">
        <f>bdrate('experimental data'!E522:E525,'experimental data'!F506:F509,'experimental data'!M522:M525,'experimental data'!N506:N509)</f>
        <v>-6.7342249523760778E-5</v>
      </c>
      <c r="H8" s="19">
        <f>'experimental data'!U514</f>
        <v>-1.1397494098730476E-4</v>
      </c>
      <c r="I8" s="61">
        <f>'experimental data'!Y207</f>
        <v>0.99911537381671467</v>
      </c>
      <c r="J8" s="106">
        <f>'experimental data'!Z207</f>
        <v>0.99107835292546209</v>
      </c>
      <c r="K8" s="57">
        <f>'experimental data'!AA207</f>
        <v>0.95277820348347808</v>
      </c>
      <c r="L8" s="90"/>
      <c r="M8" s="61"/>
      <c r="N8" s="61"/>
      <c r="O8"/>
      <c r="P8"/>
      <c r="Q8"/>
      <c r="R8"/>
      <c r="S8"/>
      <c r="T8"/>
    </row>
    <row r="9" spans="1:20" ht="15" x14ac:dyDescent="0.2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7.2477749469013197E-4</v>
      </c>
      <c r="E9" s="19">
        <f>'experimental data'!U219</f>
        <v>-3.0814837614745461E-4</v>
      </c>
      <c r="F9" s="17">
        <f>'experimental data'!U530</f>
        <v>5.8341797478211888E-5</v>
      </c>
      <c r="G9" s="18">
        <f>bdrate('experimental data'!E546:E549,'experimental data'!F530:F533,'experimental data'!M546:M549,'experimental data'!N530:N533)</f>
        <v>-1.9907667655494343E-4</v>
      </c>
      <c r="H9" s="19">
        <f>'experimental data'!U538</f>
        <v>-1.9330671527917342E-4</v>
      </c>
      <c r="I9" s="61">
        <f>'experimental data'!Y259</f>
        <v>0.99749628765988485</v>
      </c>
      <c r="J9" s="106">
        <f>'experimental data'!Z259</f>
        <v>1.0216743346028487</v>
      </c>
      <c r="K9" s="57">
        <f>'experimental data'!AA259</f>
        <v>0.99337351413189579</v>
      </c>
      <c r="L9" s="90"/>
      <c r="M9" s="61"/>
      <c r="N9" s="61"/>
      <c r="O9"/>
      <c r="P9"/>
      <c r="Q9"/>
      <c r="R9"/>
      <c r="S9"/>
      <c r="T9"/>
    </row>
    <row r="10" spans="1:20" ht="15" x14ac:dyDescent="0.2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-9.4024030381245627E-4</v>
      </c>
      <c r="E10" s="19">
        <f>'experimental data'!U271</f>
        <v>2.4423481880275766E-4</v>
      </c>
      <c r="F10" s="17">
        <f>'experimental data'!U554</f>
        <v>-1.4775652652154747E-4</v>
      </c>
      <c r="G10" s="18">
        <f>bdrate('experimental data'!E570:E573,'experimental data'!F554:F557,'experimental data'!M570:M573,'experimental data'!N554:N557)</f>
        <v>-1.4159044857076086E-4</v>
      </c>
      <c r="H10" s="19">
        <f>'experimental data'!U562</f>
        <v>5.9922007901391794E-5</v>
      </c>
      <c r="I10" s="61">
        <f>'experimental data'!Y311</f>
        <v>1.0058645017978998</v>
      </c>
      <c r="J10" s="106">
        <f>'experimental data'!Z311</f>
        <v>0.94487412724533515</v>
      </c>
      <c r="K10" s="57">
        <f>'experimental data'!AA311</f>
        <v>1.0125291434007648</v>
      </c>
      <c r="L10" s="90"/>
      <c r="M10" s="61"/>
      <c r="N10" s="61"/>
      <c r="O10"/>
      <c r="P10"/>
      <c r="Q10"/>
      <c r="R10"/>
      <c r="S10"/>
      <c r="T10"/>
    </row>
    <row r="11" spans="1:20" ht="15" x14ac:dyDescent="0.2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-1.110072796631778E-4</v>
      </c>
      <c r="E11" s="19">
        <f>'experimental data'!U323</f>
        <v>2.6332577492982345E-4</v>
      </c>
      <c r="F11" s="17">
        <f>'experimental data'!U578</f>
        <v>-3.2028992645094512E-5</v>
      </c>
      <c r="G11" s="18">
        <f>bdrate('experimental data'!E594:E597,'experimental data'!F578:F581,'experimental data'!M594:M597,'experimental data'!N578:N581)</f>
        <v>-1.0818405145551768E-4</v>
      </c>
      <c r="H11" s="19">
        <f>'experimental data'!U586</f>
        <v>-3.3039414937852118E-4</v>
      </c>
      <c r="I11" s="61">
        <f>'experimental data'!Y363</f>
        <v>1.0039223221528788</v>
      </c>
      <c r="J11" s="106">
        <f>'experimental data'!Z363</f>
        <v>1.026875024961613</v>
      </c>
      <c r="K11" s="57">
        <f>'experimental data'!AA363</f>
        <v>1.0386035434562628</v>
      </c>
      <c r="L11" s="90"/>
      <c r="M11" s="61"/>
      <c r="N11" s="61"/>
      <c r="O11"/>
      <c r="P11"/>
      <c r="Q11"/>
      <c r="R11"/>
      <c r="S11"/>
      <c r="T11"/>
    </row>
    <row r="12" spans="1:20" ht="15.75" thickBot="1" x14ac:dyDescent="0.25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-1.466525702368271E-4</v>
      </c>
      <c r="E12" s="92">
        <f>'experimental data'!U375</f>
        <v>4.834931236801232E-4</v>
      </c>
      <c r="F12" s="91">
        <f>'experimental data'!U602</f>
        <v>-1.5563296698495321E-5</v>
      </c>
      <c r="G12" s="75">
        <f>bdrate('experimental data'!E618:E621,'experimental data'!F602:F605,'experimental data'!M618:M621,'experimental data'!N602:N605)</f>
        <v>9.0139715032133694E-6</v>
      </c>
      <c r="H12" s="92">
        <f>'experimental data'!U610</f>
        <v>1.3599189863500172E-4</v>
      </c>
      <c r="I12" s="63">
        <f>'experimental data'!Y415</f>
        <v>0.99566485201515231</v>
      </c>
      <c r="J12" s="107">
        <f>'experimental data'!Z415</f>
        <v>0.97395623682866639</v>
      </c>
      <c r="K12" s="64">
        <f>'experimental data'!AA415</f>
        <v>0.95970603192115511</v>
      </c>
      <c r="N12"/>
      <c r="O12"/>
      <c r="P12"/>
      <c r="Q12"/>
      <c r="R12"/>
      <c r="S12"/>
      <c r="T12"/>
    </row>
    <row r="13" spans="1:20" ht="15" x14ac:dyDescent="0.2">
      <c r="A13" s="90"/>
      <c r="B13" s="35" t="s">
        <v>18</v>
      </c>
      <c r="C13" s="8">
        <f t="shared" ref="C13:K13" si="0">AVERAGE(C5:C7)</f>
        <v>0</v>
      </c>
      <c r="D13" s="9">
        <f t="shared" si="0"/>
        <v>1.071149243575172E-4</v>
      </c>
      <c r="E13" s="10">
        <f t="shared" si="0"/>
        <v>-8.7221642396480747E-4</v>
      </c>
      <c r="F13" s="118">
        <f t="shared" si="0"/>
        <v>-1.6084324795643626E-4</v>
      </c>
      <c r="G13" s="119">
        <f t="shared" si="0"/>
        <v>-1.3212898109848936E-4</v>
      </c>
      <c r="H13" s="120">
        <f t="shared" si="0"/>
        <v>8.6407518667212333E-6</v>
      </c>
      <c r="I13" s="58">
        <f t="shared" si="0"/>
        <v>1.00089387860122</v>
      </c>
      <c r="J13" s="105">
        <f t="shared" si="0"/>
        <v>1.024836251114208</v>
      </c>
      <c r="K13" s="60">
        <f t="shared" si="0"/>
        <v>1.0427989414203422</v>
      </c>
      <c r="L13" s="90"/>
      <c r="M13" s="61"/>
      <c r="N13" s="61"/>
      <c r="O13"/>
      <c r="P13"/>
      <c r="Q13"/>
      <c r="R13"/>
      <c r="S13"/>
      <c r="T13"/>
    </row>
    <row r="14" spans="1:20" ht="15.75" thickBot="1" x14ac:dyDescent="0.25">
      <c r="A14" s="90"/>
      <c r="B14" s="36" t="s">
        <v>19</v>
      </c>
      <c r="C14" s="17">
        <f>AVERAGE(C8:C12)</f>
        <v>0</v>
      </c>
      <c r="D14" s="18">
        <f t="shared" ref="D14:K14" si="1">AVERAGE(D8:D12)</f>
        <v>6.8001590468624856E-5</v>
      </c>
      <c r="E14" s="19">
        <f t="shared" si="1"/>
        <v>1.0168132376642269E-4</v>
      </c>
      <c r="F14" s="121">
        <f t="shared" si="1"/>
        <v>-4.8124389074977181E-5</v>
      </c>
      <c r="G14" s="122">
        <f t="shared" si="1"/>
        <v>-1.0143589092035388E-4</v>
      </c>
      <c r="H14" s="123">
        <f t="shared" si="1"/>
        <v>-8.8352379821721177E-5</v>
      </c>
      <c r="I14" s="62">
        <f t="shared" si="1"/>
        <v>1.0004126674885061</v>
      </c>
      <c r="J14" s="107">
        <f t="shared" si="1"/>
        <v>0.99169161531278505</v>
      </c>
      <c r="K14" s="64">
        <f t="shared" si="1"/>
        <v>0.99139808727871126</v>
      </c>
      <c r="L14" s="90"/>
      <c r="M14" s="61"/>
      <c r="N14" s="61"/>
      <c r="O14"/>
      <c r="P14"/>
      <c r="Q14"/>
      <c r="R14"/>
      <c r="S14"/>
      <c r="T14"/>
    </row>
    <row r="15" spans="1:20" ht="15" thickBot="1" x14ac:dyDescent="0.2">
      <c r="A15" s="90"/>
      <c r="B15" s="93" t="s">
        <v>34</v>
      </c>
      <c r="C15" s="94">
        <f>AVERAGE(C5:C12)</f>
        <v>0</v>
      </c>
      <c r="D15" s="95">
        <f t="shared" ref="D15:K15" si="2">AVERAGE(D5:D12)</f>
        <v>8.2669090676959489E-5</v>
      </c>
      <c r="E15" s="96">
        <f t="shared" si="2"/>
        <v>-2.6353033163278861E-4</v>
      </c>
      <c r="F15" s="124">
        <f t="shared" si="2"/>
        <v>-9.0393961155524338E-5</v>
      </c>
      <c r="G15" s="125">
        <f t="shared" si="2"/>
        <v>-1.1294579973715468E-4</v>
      </c>
      <c r="H15" s="126">
        <f t="shared" si="2"/>
        <v>-5.197995543855527E-5</v>
      </c>
      <c r="I15" s="99">
        <f>AVERAGE(I5:I12)</f>
        <v>1.000593121655774</v>
      </c>
      <c r="J15" s="108">
        <f t="shared" si="2"/>
        <v>1.0041208537383186</v>
      </c>
      <c r="K15" s="100">
        <f t="shared" si="2"/>
        <v>1.0106734075818227</v>
      </c>
      <c r="M15" s="102"/>
      <c r="N15" s="102"/>
      <c r="O15"/>
      <c r="P15"/>
      <c r="Q15"/>
      <c r="R15"/>
      <c r="S15"/>
      <c r="T15"/>
    </row>
    <row r="16" spans="1:20" x14ac:dyDescent="0.15">
      <c r="A16" s="90"/>
      <c r="J16" s="61"/>
      <c r="K16" s="61"/>
      <c r="N16"/>
      <c r="O16"/>
      <c r="P16"/>
      <c r="Q16"/>
      <c r="R16"/>
      <c r="S16"/>
      <c r="T16"/>
    </row>
    <row r="17" spans="1:20" x14ac:dyDescent="0.15">
      <c r="A17" s="90"/>
      <c r="J17" s="61"/>
      <c r="K17" s="61"/>
      <c r="N17"/>
      <c r="O17"/>
      <c r="P17"/>
      <c r="Q17"/>
      <c r="R17"/>
      <c r="S17"/>
      <c r="T17"/>
    </row>
    <row r="18" spans="1:20" ht="27" x14ac:dyDescent="0.4">
      <c r="B18" s="101" t="s">
        <v>46</v>
      </c>
      <c r="N18"/>
      <c r="O18"/>
      <c r="P18"/>
      <c r="Q18"/>
      <c r="R18"/>
      <c r="S18"/>
      <c r="T18"/>
    </row>
    <row r="19" spans="1:20" ht="15" thickBot="1" x14ac:dyDescent="0.2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 x14ac:dyDescent="0.2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 x14ac:dyDescent="0.2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-2.0419738752153194E-4</v>
      </c>
      <c r="E21" s="8">
        <f>'experimental data'!U430</f>
        <v>3.8338287149164429E-5</v>
      </c>
      <c r="F21" s="9">
        <f>bdrate('experimental data'!E446:E449,'experimental data'!F430:F433,'experimental data'!M446:M449,'experimental data'!N430:N433)</f>
        <v>-2.7752430265426398E-5</v>
      </c>
      <c r="G21" s="10">
        <f>'experimental data'!U438</f>
        <v>2.0449177574599631E-5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 x14ac:dyDescent="0.2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-1.9362668031308594E-4</v>
      </c>
      <c r="E22" s="17">
        <f>'experimental data'!U454</f>
        <v>5.6648157817917877E-6</v>
      </c>
      <c r="F22" s="18">
        <f>bdrate('experimental data'!E470:E473,'experimental data'!F454:F457,'experimental data'!M470:M473,'experimental data'!N454:N457)</f>
        <v>-3.2602083989474728E-5</v>
      </c>
      <c r="G22" s="19">
        <f>'experimental data'!U462</f>
        <v>-5.4041016178429935E-4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 x14ac:dyDescent="0.2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7.1916884090716948E-4</v>
      </c>
      <c r="E23" s="17">
        <f>'experimental data'!U478</f>
        <v>2.3361956652090399E-5</v>
      </c>
      <c r="F23" s="18">
        <f>bdrate('experimental data'!E494:E497,'experimental data'!F478:F481,'experimental data'!M494:M497,'experimental data'!N478:N481)</f>
        <v>1.9235089328972776E-4</v>
      </c>
      <c r="G23" s="19">
        <f>'experimental data'!U486</f>
        <v>-6.8040838998584263E-6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 x14ac:dyDescent="0.2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8.131306113654535E-4</v>
      </c>
      <c r="E24" s="17">
        <f>'experimental data'!U502</f>
        <v>-9.6165885863475076E-5</v>
      </c>
      <c r="F24" s="18">
        <f>bdrate('experimental data'!E518:E521,'experimental data'!F502:F505,'experimental data'!M518:M521,'experimental data'!N502:N505)</f>
        <v>-8.6515759786021107E-5</v>
      </c>
      <c r="G24" s="19">
        <f>'experimental data'!U510</f>
        <v>-2.3778964023468685E-4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 x14ac:dyDescent="0.2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7.2477749469013197E-4</v>
      </c>
      <c r="E25" s="17">
        <f>'experimental data'!U526</f>
        <v>-1.6065044397661765E-5</v>
      </c>
      <c r="F25" s="18">
        <f>bdrate('experimental data'!E542:E545,'experimental data'!F526:F529,'experimental data'!M542:M545,'experimental data'!N526:N529)</f>
        <v>-3.1185043359183151E-4</v>
      </c>
      <c r="G25" s="19">
        <f>'experimental data'!U534</f>
        <v>1.0764581944016083E-3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 x14ac:dyDescent="0.2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-9.4024030381245627E-4</v>
      </c>
      <c r="E26" s="17">
        <f>'experimental data'!U550</f>
        <v>-1.7546898838682878E-4</v>
      </c>
      <c r="F26" s="18">
        <f>bdrate('experimental data'!E566:E569,'experimental data'!F550:F553,'experimental data'!M566:M569,'experimental data'!N550:N553)</f>
        <v>-1.8224638305885943E-4</v>
      </c>
      <c r="G26" s="19">
        <f>'experimental data'!U558</f>
        <v>1.7660935773156083E-5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 x14ac:dyDescent="0.2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-1.110072796631778E-4</v>
      </c>
      <c r="E27" s="17">
        <f>'experimental data'!U574</f>
        <v>-5.3926159039985322E-5</v>
      </c>
      <c r="F27" s="18">
        <f>bdrate('experimental data'!E590:E593,'experimental data'!F574:F577,'experimental data'!M590:M593,'experimental data'!N574:N577)</f>
        <v>-1.0290242624200197E-4</v>
      </c>
      <c r="G27" s="19">
        <f>'experimental data'!U582</f>
        <v>-3.1120363160308528E-4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 x14ac:dyDescent="0.25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-1.466525702368271E-4</v>
      </c>
      <c r="E28" s="91">
        <f>'experimental data'!U598</f>
        <v>-8.0990284661464074E-5</v>
      </c>
      <c r="F28" s="75">
        <f>bdrate('experimental data'!E614:E617,'experimental data'!F598:F601,'experimental data'!M614:M617,'experimental data'!N598:N601)</f>
        <v>-5.0909228113016347E-5</v>
      </c>
      <c r="G28" s="92">
        <f>'experimental data'!U606</f>
        <v>5.0731537903025981E-5</v>
      </c>
      <c r="H28" s="18"/>
      <c r="I28" s="61"/>
      <c r="J28" s="61"/>
      <c r="K28" s="61"/>
      <c r="L28" s="90"/>
      <c r="M28" s="90"/>
    </row>
    <row r="29" spans="1:20" ht="15" x14ac:dyDescent="0.2">
      <c r="A29" s="90"/>
      <c r="B29" s="35" t="s">
        <v>18</v>
      </c>
      <c r="C29" s="8">
        <f>AVERAGE(C21:C23)</f>
        <v>0</v>
      </c>
      <c r="D29" s="9">
        <f>AVERAGE(D21:D23)</f>
        <v>1.071149243575172E-4</v>
      </c>
      <c r="E29" s="8">
        <f>AVERAGE(E21:E23)</f>
        <v>2.245501986101554E-5</v>
      </c>
      <c r="F29" s="9">
        <f>AVERAGE(F21:F23)</f>
        <v>4.3998793011608882E-5</v>
      </c>
      <c r="G29" s="10">
        <f>AVERAGE(G21:G23)</f>
        <v>-1.7558835603651937E-4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 x14ac:dyDescent="0.25">
      <c r="A30" s="90"/>
      <c r="B30" s="36" t="s">
        <v>19</v>
      </c>
      <c r="C30" s="17">
        <f>AVERAGE(C24:C28)</f>
        <v>0</v>
      </c>
      <c r="D30" s="18">
        <f>AVERAGE(D24:D28)</f>
        <v>6.8001590468624856E-5</v>
      </c>
      <c r="E30" s="91">
        <f>AVERAGE(E24:E28)</f>
        <v>-8.4523272469883004E-5</v>
      </c>
      <c r="F30" s="75">
        <f>AVERAGE(F24:F28)</f>
        <v>-1.4688484615834607E-4</v>
      </c>
      <c r="G30" s="92">
        <f>AVERAGE(G24:G28)</f>
        <v>1.1917147924800364E-4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 x14ac:dyDescent="0.2">
      <c r="A31" s="90"/>
      <c r="B31" s="93" t="s">
        <v>34</v>
      </c>
      <c r="C31" s="94">
        <f>AVERAGE(C21:C28)</f>
        <v>0</v>
      </c>
      <c r="D31" s="95">
        <f>AVERAGE(D21:D28)</f>
        <v>8.2669090676959489E-5</v>
      </c>
      <c r="E31" s="97">
        <f>AVERAGE(E21:E28)</f>
        <v>-4.4406412845796051E-5</v>
      </c>
      <c r="F31" s="109">
        <f>AVERAGE(F21:F28)</f>
        <v>-7.5303481469612965E-5</v>
      </c>
      <c r="G31" s="98">
        <f>AVERAGE(G21:G28)</f>
        <v>8.6365410163075085E-6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 x14ac:dyDescent="0.15">
      <c r="A32" s="90"/>
      <c r="I32" s="61"/>
      <c r="J32" s="61"/>
      <c r="K32" s="61"/>
      <c r="L32" s="90"/>
      <c r="M32" s="90"/>
    </row>
    <row r="33" spans="1:13" ht="15" x14ac:dyDescent="0.2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 x14ac:dyDescent="0.2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 x14ac:dyDescent="0.2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 x14ac:dyDescent="0.2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 x14ac:dyDescent="0.2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 x14ac:dyDescent="0.2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 x14ac:dyDescent="0.2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 x14ac:dyDescent="0.2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 x14ac:dyDescent="0.2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 x14ac:dyDescent="0.2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 x14ac:dyDescent="0.2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 x14ac:dyDescent="0.2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 x14ac:dyDescent="0.2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 x14ac:dyDescent="0.2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 x14ac:dyDescent="0.2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 x14ac:dyDescent="0.2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 x14ac:dyDescent="0.15">
      <c r="A49" s="90"/>
      <c r="I49" s="61"/>
      <c r="J49" s="61"/>
      <c r="K49" s="61"/>
      <c r="L49" s="90"/>
      <c r="M49" s="90"/>
    </row>
    <row r="50" spans="1:14" x14ac:dyDescent="0.15">
      <c r="A50" s="90"/>
      <c r="I50" s="61"/>
      <c r="J50" s="61"/>
      <c r="K50" s="61"/>
      <c r="L50" s="90"/>
      <c r="M50" s="90"/>
    </row>
    <row r="51" spans="1:14" x14ac:dyDescent="0.15">
      <c r="A51" s="90"/>
      <c r="I51" s="61"/>
      <c r="J51" s="61"/>
      <c r="K51" s="61"/>
      <c r="L51" s="90"/>
      <c r="M51" s="90"/>
    </row>
    <row r="52" spans="1:14" x14ac:dyDescent="0.15">
      <c r="A52" s="90"/>
      <c r="I52" s="61"/>
      <c r="J52" s="61"/>
      <c r="K52" s="61"/>
      <c r="L52" s="90"/>
      <c r="M52" s="90"/>
    </row>
    <row r="53" spans="1:14" x14ac:dyDescent="0.15">
      <c r="A53" s="90"/>
      <c r="I53" s="61"/>
      <c r="J53" s="61"/>
      <c r="K53" s="61"/>
      <c r="L53" s="90"/>
      <c r="M53" s="90"/>
    </row>
    <row r="54" spans="1:14" x14ac:dyDescent="0.15">
      <c r="A54" s="90"/>
      <c r="I54" s="61"/>
      <c r="J54" s="61"/>
      <c r="K54" s="61"/>
      <c r="L54" s="90"/>
      <c r="M54" s="90"/>
    </row>
    <row r="55" spans="1:14" ht="15" x14ac:dyDescent="0.2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 x14ac:dyDescent="0.2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 x14ac:dyDescent="0.2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 x14ac:dyDescent="0.2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 x14ac:dyDescent="0.2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 x14ac:dyDescent="0.2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 x14ac:dyDescent="0.2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 x14ac:dyDescent="0.2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 x14ac:dyDescent="0.2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 x14ac:dyDescent="0.2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 x14ac:dyDescent="0.2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 x14ac:dyDescent="0.2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 x14ac:dyDescent="0.2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 x14ac:dyDescent="0.2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 x14ac:dyDescent="0.2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 x14ac:dyDescent="0.2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 x14ac:dyDescent="0.2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 x14ac:dyDescent="0.2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 x14ac:dyDescent="0.15">
      <c r="A73" s="90"/>
      <c r="I73" s="61"/>
      <c r="J73" s="61"/>
      <c r="K73" s="61"/>
      <c r="L73" s="90"/>
      <c r="M73" s="90"/>
      <c r="N73" s="104"/>
    </row>
    <row r="74" spans="1:14" x14ac:dyDescent="0.15">
      <c r="A74" s="90"/>
      <c r="I74" s="61"/>
      <c r="J74" s="61"/>
      <c r="K74" s="61"/>
      <c r="L74" s="90"/>
      <c r="M74" s="90"/>
      <c r="N74" s="104"/>
    </row>
    <row r="75" spans="1:14" x14ac:dyDescent="0.15">
      <c r="A75" s="90"/>
      <c r="I75" s="61"/>
      <c r="J75" s="61"/>
      <c r="K75" s="61"/>
      <c r="L75" s="90"/>
      <c r="M75" s="90"/>
      <c r="N75" s="104"/>
    </row>
    <row r="76" spans="1:14" x14ac:dyDescent="0.15">
      <c r="A76" s="90"/>
      <c r="I76" s="61"/>
      <c r="J76" s="61"/>
      <c r="K76" s="61"/>
      <c r="L76" s="90"/>
      <c r="M76" s="90"/>
      <c r="N76" s="104"/>
    </row>
    <row r="77" spans="1:14" x14ac:dyDescent="0.15">
      <c r="A77" s="90"/>
      <c r="I77" s="61"/>
      <c r="J77" s="61"/>
      <c r="K77" s="61"/>
      <c r="L77" s="90"/>
      <c r="M77" s="90"/>
      <c r="N77" s="104"/>
    </row>
    <row r="78" spans="1:14" ht="15" x14ac:dyDescent="0.2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 x14ac:dyDescent="0.2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 x14ac:dyDescent="0.2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 x14ac:dyDescent="0.2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 x14ac:dyDescent="0.2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 x14ac:dyDescent="0.2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 x14ac:dyDescent="0.2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 x14ac:dyDescent="0.2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 x14ac:dyDescent="0.2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 x14ac:dyDescent="0.2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 x14ac:dyDescent="0.2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 x14ac:dyDescent="0.2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 x14ac:dyDescent="0.2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 x14ac:dyDescent="0.2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 x14ac:dyDescent="0.2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 x14ac:dyDescent="0.2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 x14ac:dyDescent="0.2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 x14ac:dyDescent="0.2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 x14ac:dyDescent="0.2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 x14ac:dyDescent="0.15">
      <c r="A97" s="90"/>
      <c r="I97" s="61"/>
      <c r="J97" s="61"/>
      <c r="K97" s="61"/>
      <c r="L97" s="90"/>
      <c r="M97" s="90"/>
      <c r="N97" s="104"/>
    </row>
    <row r="98" spans="1:14" x14ac:dyDescent="0.15">
      <c r="A98" s="90"/>
      <c r="I98" s="61"/>
      <c r="J98" s="61"/>
      <c r="K98" s="61"/>
      <c r="L98" s="90"/>
      <c r="M98" s="90"/>
      <c r="N98" s="104"/>
    </row>
    <row r="99" spans="1:14" x14ac:dyDescent="0.15">
      <c r="A99" s="90"/>
      <c r="I99" s="61"/>
      <c r="J99" s="61"/>
      <c r="K99" s="61"/>
      <c r="L99" s="90"/>
      <c r="M99" s="90"/>
      <c r="N99" s="104"/>
    </row>
    <row r="100" spans="1:14" x14ac:dyDescent="0.15">
      <c r="A100" s="90"/>
      <c r="I100" s="61"/>
      <c r="J100" s="61"/>
      <c r="K100" s="61"/>
      <c r="L100" s="90"/>
      <c r="M100" s="90"/>
      <c r="N100" s="104"/>
    </row>
    <row r="101" spans="1:14" ht="15" x14ac:dyDescent="0.2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 x14ac:dyDescent="0.2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 x14ac:dyDescent="0.2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 x14ac:dyDescent="0.2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 x14ac:dyDescent="0.2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 x14ac:dyDescent="0.2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 x14ac:dyDescent="0.2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 x14ac:dyDescent="0.2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 x14ac:dyDescent="0.2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 x14ac:dyDescent="0.2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 x14ac:dyDescent="0.2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 x14ac:dyDescent="0.2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 x14ac:dyDescent="0.2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 x14ac:dyDescent="0.2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 x14ac:dyDescent="0.2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 x14ac:dyDescent="0.2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 x14ac:dyDescent="0.2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 x14ac:dyDescent="0.2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 x14ac:dyDescent="0.2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 x14ac:dyDescent="0.2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 x14ac:dyDescent="0.15">
      <c r="A121" s="90"/>
      <c r="I121" s="61"/>
      <c r="J121" s="61"/>
      <c r="K121" s="61"/>
      <c r="L121" s="90"/>
      <c r="M121" s="90"/>
      <c r="N121" s="104"/>
    </row>
    <row r="122" spans="1:14" x14ac:dyDescent="0.15">
      <c r="A122" s="90"/>
      <c r="I122" s="61"/>
      <c r="J122" s="61"/>
      <c r="K122" s="61"/>
      <c r="L122" s="90"/>
      <c r="M122" s="90"/>
      <c r="N122" s="104"/>
    </row>
    <row r="123" spans="1:14" x14ac:dyDescent="0.15">
      <c r="A123" s="90"/>
      <c r="I123" s="61"/>
      <c r="J123" s="61"/>
      <c r="K123" s="61"/>
      <c r="L123" s="90"/>
      <c r="M123" s="90"/>
      <c r="N123" s="104"/>
    </row>
    <row r="124" spans="1:14" ht="15" x14ac:dyDescent="0.2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 x14ac:dyDescent="0.2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 x14ac:dyDescent="0.2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 x14ac:dyDescent="0.2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 x14ac:dyDescent="0.2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 x14ac:dyDescent="0.2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 x14ac:dyDescent="0.2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 x14ac:dyDescent="0.2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 x14ac:dyDescent="0.2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 x14ac:dyDescent="0.2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 x14ac:dyDescent="0.2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 x14ac:dyDescent="0.2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 x14ac:dyDescent="0.2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 x14ac:dyDescent="0.2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 x14ac:dyDescent="0.2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 x14ac:dyDescent="0.2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 x14ac:dyDescent="0.2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 x14ac:dyDescent="0.2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 x14ac:dyDescent="0.2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 x14ac:dyDescent="0.2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 x14ac:dyDescent="0.2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 x14ac:dyDescent="0.15">
      <c r="A145" s="90"/>
      <c r="I145" s="61"/>
      <c r="J145" s="61"/>
      <c r="K145" s="61"/>
      <c r="L145" s="90"/>
      <c r="M145" s="90"/>
      <c r="N145" s="104"/>
    </row>
    <row r="146" spans="1:14" x14ac:dyDescent="0.15">
      <c r="A146" s="90"/>
      <c r="I146" s="61"/>
      <c r="J146" s="61"/>
      <c r="K146" s="61"/>
      <c r="L146" s="90"/>
      <c r="M146" s="90"/>
      <c r="N146" s="104"/>
    </row>
    <row r="147" spans="1:14" ht="15" x14ac:dyDescent="0.2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 x14ac:dyDescent="0.2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 x14ac:dyDescent="0.2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 x14ac:dyDescent="0.2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 x14ac:dyDescent="0.2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 x14ac:dyDescent="0.2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 x14ac:dyDescent="0.2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 x14ac:dyDescent="0.2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 x14ac:dyDescent="0.2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 x14ac:dyDescent="0.2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 x14ac:dyDescent="0.2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 x14ac:dyDescent="0.2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 x14ac:dyDescent="0.2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 x14ac:dyDescent="0.2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 x14ac:dyDescent="0.2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 x14ac:dyDescent="0.2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 x14ac:dyDescent="0.2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 x14ac:dyDescent="0.2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 x14ac:dyDescent="0.2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 x14ac:dyDescent="0.2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 x14ac:dyDescent="0.2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 x14ac:dyDescent="0.2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 x14ac:dyDescent="0.15">
      <c r="A169" s="90"/>
      <c r="I169" s="61"/>
      <c r="J169" s="61"/>
      <c r="K169" s="61"/>
      <c r="L169" s="90"/>
      <c r="M169" s="90"/>
      <c r="N169" s="104"/>
    </row>
    <row r="170" spans="1:14" ht="15" x14ac:dyDescent="0.2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 x14ac:dyDescent="0.2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 x14ac:dyDescent="0.2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 x14ac:dyDescent="0.2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 x14ac:dyDescent="0.2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 x14ac:dyDescent="0.2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 x14ac:dyDescent="0.2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 x14ac:dyDescent="0.2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 x14ac:dyDescent="0.2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 x14ac:dyDescent="0.2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 x14ac:dyDescent="0.2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 x14ac:dyDescent="0.2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 x14ac:dyDescent="0.2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 x14ac:dyDescent="0.2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 x14ac:dyDescent="0.2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 x14ac:dyDescent="0.2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 x14ac:dyDescent="0.2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 x14ac:dyDescent="0.2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 x14ac:dyDescent="0.2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 x14ac:dyDescent="0.2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 x14ac:dyDescent="0.2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 x14ac:dyDescent="0.2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 x14ac:dyDescent="0.2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 x14ac:dyDescent="0.2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 x14ac:dyDescent="0.2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 x14ac:dyDescent="0.2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 x14ac:dyDescent="0.2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 x14ac:dyDescent="0.2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 x14ac:dyDescent="0.2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 x14ac:dyDescent="0.2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 x14ac:dyDescent="0.2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 x14ac:dyDescent="0.2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 x14ac:dyDescent="0.2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 x14ac:dyDescent="0.2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 x14ac:dyDescent="0.2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 x14ac:dyDescent="0.2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 x14ac:dyDescent="0.2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 x14ac:dyDescent="0.2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 x14ac:dyDescent="0.2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 x14ac:dyDescent="0.2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 x14ac:dyDescent="0.2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 x14ac:dyDescent="0.2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 x14ac:dyDescent="0.2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 x14ac:dyDescent="0.2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 x14ac:dyDescent="0.2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 x14ac:dyDescent="0.2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 x14ac:dyDescent="0.2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 x14ac:dyDescent="0.2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 x14ac:dyDescent="0.2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 x14ac:dyDescent="0.2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 x14ac:dyDescent="0.2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 x14ac:dyDescent="0.2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 x14ac:dyDescent="0.2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 x14ac:dyDescent="0.2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 x14ac:dyDescent="0.2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 x14ac:dyDescent="0.2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 x14ac:dyDescent="0.2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 x14ac:dyDescent="0.2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 x14ac:dyDescent="0.2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 x14ac:dyDescent="0.2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 x14ac:dyDescent="0.2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 x14ac:dyDescent="0.2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 x14ac:dyDescent="0.2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 x14ac:dyDescent="0.2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 x14ac:dyDescent="0.2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 x14ac:dyDescent="0.2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 x14ac:dyDescent="0.2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 x14ac:dyDescent="0.2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 x14ac:dyDescent="0.2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 x14ac:dyDescent="0.2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 x14ac:dyDescent="0.2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 x14ac:dyDescent="0.2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 x14ac:dyDescent="0.2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 x14ac:dyDescent="0.2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 x14ac:dyDescent="0.2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 x14ac:dyDescent="0.2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 x14ac:dyDescent="0.2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 x14ac:dyDescent="0.2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 x14ac:dyDescent="0.2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 x14ac:dyDescent="0.2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 x14ac:dyDescent="0.2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 x14ac:dyDescent="0.2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 x14ac:dyDescent="0.2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 x14ac:dyDescent="0.2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 x14ac:dyDescent="0.2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 x14ac:dyDescent="0.2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 x14ac:dyDescent="0.2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 x14ac:dyDescent="0.2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 x14ac:dyDescent="0.2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 x14ac:dyDescent="0.2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 x14ac:dyDescent="0.2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 x14ac:dyDescent="0.2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 x14ac:dyDescent="0.2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 x14ac:dyDescent="0.2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 x14ac:dyDescent="0.2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 x14ac:dyDescent="0.2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 x14ac:dyDescent="0.2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 x14ac:dyDescent="0.2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 x14ac:dyDescent="0.2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 x14ac:dyDescent="0.2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 x14ac:dyDescent="0.2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 x14ac:dyDescent="0.2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 x14ac:dyDescent="0.2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 x14ac:dyDescent="0.2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 x14ac:dyDescent="0.2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 x14ac:dyDescent="0.2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 x14ac:dyDescent="0.2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 x14ac:dyDescent="0.2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 x14ac:dyDescent="0.2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 x14ac:dyDescent="0.2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 x14ac:dyDescent="0.2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 x14ac:dyDescent="0.2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 x14ac:dyDescent="0.2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 x14ac:dyDescent="0.2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 x14ac:dyDescent="0.2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 x14ac:dyDescent="0.2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 x14ac:dyDescent="0.2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 x14ac:dyDescent="0.2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 x14ac:dyDescent="0.2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 x14ac:dyDescent="0.2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 x14ac:dyDescent="0.2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 x14ac:dyDescent="0.2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 x14ac:dyDescent="0.2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 x14ac:dyDescent="0.2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 x14ac:dyDescent="0.2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 x14ac:dyDescent="0.2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 x14ac:dyDescent="0.2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 x14ac:dyDescent="0.2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 x14ac:dyDescent="0.2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 x14ac:dyDescent="0.2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 x14ac:dyDescent="0.2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 x14ac:dyDescent="0.2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 x14ac:dyDescent="0.2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 x14ac:dyDescent="0.2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 x14ac:dyDescent="0.2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 x14ac:dyDescent="0.2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 x14ac:dyDescent="0.2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 x14ac:dyDescent="0.2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 x14ac:dyDescent="0.2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 x14ac:dyDescent="0.2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 x14ac:dyDescent="0.2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 x14ac:dyDescent="0.2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 x14ac:dyDescent="0.2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 x14ac:dyDescent="0.2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 x14ac:dyDescent="0.2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 x14ac:dyDescent="0.2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 x14ac:dyDescent="0.2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 x14ac:dyDescent="0.2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 x14ac:dyDescent="0.2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 x14ac:dyDescent="0.2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 x14ac:dyDescent="0.2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 x14ac:dyDescent="0.2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 x14ac:dyDescent="0.2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 x14ac:dyDescent="0.2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 x14ac:dyDescent="0.2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 x14ac:dyDescent="0.2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 x14ac:dyDescent="0.2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 x14ac:dyDescent="0.2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 x14ac:dyDescent="0.2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 x14ac:dyDescent="0.2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 x14ac:dyDescent="0.2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 x14ac:dyDescent="0.2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 x14ac:dyDescent="0.2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 x14ac:dyDescent="0.2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 x14ac:dyDescent="0.2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 x14ac:dyDescent="0.2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 x14ac:dyDescent="0.2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 x14ac:dyDescent="0.2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 x14ac:dyDescent="0.2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 x14ac:dyDescent="0.2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 x14ac:dyDescent="0.2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 x14ac:dyDescent="0.2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 x14ac:dyDescent="0.2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 x14ac:dyDescent="0.2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 x14ac:dyDescent="0.2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 x14ac:dyDescent="0.2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 x14ac:dyDescent="0.2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 x14ac:dyDescent="0.2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 x14ac:dyDescent="0.2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 x14ac:dyDescent="0.2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 x14ac:dyDescent="0.2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 x14ac:dyDescent="0.2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 x14ac:dyDescent="0.2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 x14ac:dyDescent="0.2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 x14ac:dyDescent="0.2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 x14ac:dyDescent="0.2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 x14ac:dyDescent="0.2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 x14ac:dyDescent="0.2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 x14ac:dyDescent="0.2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 x14ac:dyDescent="0.2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 x14ac:dyDescent="0.2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 x14ac:dyDescent="0.2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 x14ac:dyDescent="0.2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 x14ac:dyDescent="0.2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 x14ac:dyDescent="0.2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 x14ac:dyDescent="0.2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 x14ac:dyDescent="0.2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 x14ac:dyDescent="0.2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 x14ac:dyDescent="0.2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 x14ac:dyDescent="0.2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 x14ac:dyDescent="0.2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 x14ac:dyDescent="0.2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 x14ac:dyDescent="0.2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 x14ac:dyDescent="0.2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 x14ac:dyDescent="0.2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 x14ac:dyDescent="0.2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 x14ac:dyDescent="0.2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 x14ac:dyDescent="0.2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 x14ac:dyDescent="0.2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 x14ac:dyDescent="0.2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 x14ac:dyDescent="0.2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 x14ac:dyDescent="0.2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 x14ac:dyDescent="0.2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 x14ac:dyDescent="0.2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 x14ac:dyDescent="0.2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 x14ac:dyDescent="0.2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 x14ac:dyDescent="0.2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 x14ac:dyDescent="0.2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 x14ac:dyDescent="0.2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 x14ac:dyDescent="0.2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 x14ac:dyDescent="0.2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 x14ac:dyDescent="0.2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 x14ac:dyDescent="0.2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 x14ac:dyDescent="0.2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 x14ac:dyDescent="0.2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 x14ac:dyDescent="0.2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 x14ac:dyDescent="0.2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 x14ac:dyDescent="0.2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 x14ac:dyDescent="0.2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 x14ac:dyDescent="0.2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 x14ac:dyDescent="0.2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 x14ac:dyDescent="0.2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 x14ac:dyDescent="0.2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 x14ac:dyDescent="0.2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 x14ac:dyDescent="0.2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 x14ac:dyDescent="0.2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 x14ac:dyDescent="0.2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 x14ac:dyDescent="0.2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 x14ac:dyDescent="0.2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 x14ac:dyDescent="0.2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 x14ac:dyDescent="0.2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 x14ac:dyDescent="0.2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 x14ac:dyDescent="0.2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 x14ac:dyDescent="0.2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 x14ac:dyDescent="0.2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 x14ac:dyDescent="0.2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 x14ac:dyDescent="0.2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 x14ac:dyDescent="0.2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 x14ac:dyDescent="0.2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 x14ac:dyDescent="0.2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 x14ac:dyDescent="0.2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 x14ac:dyDescent="0.2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 x14ac:dyDescent="0.2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 x14ac:dyDescent="0.2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 x14ac:dyDescent="0.2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 x14ac:dyDescent="0.2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 x14ac:dyDescent="0.2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 x14ac:dyDescent="0.2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 x14ac:dyDescent="0.2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 x14ac:dyDescent="0.2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 x14ac:dyDescent="0.2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 x14ac:dyDescent="0.2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 x14ac:dyDescent="0.2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 x14ac:dyDescent="0.2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 x14ac:dyDescent="0.2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 x14ac:dyDescent="0.2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 x14ac:dyDescent="0.2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 x14ac:dyDescent="0.2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 x14ac:dyDescent="0.2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 x14ac:dyDescent="0.2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 x14ac:dyDescent="0.2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 x14ac:dyDescent="0.2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 x14ac:dyDescent="0.2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 x14ac:dyDescent="0.2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 x14ac:dyDescent="0.2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 x14ac:dyDescent="0.2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 x14ac:dyDescent="0.2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 x14ac:dyDescent="0.2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 x14ac:dyDescent="0.2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 x14ac:dyDescent="0.2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 x14ac:dyDescent="0.2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 x14ac:dyDescent="0.2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 x14ac:dyDescent="0.2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 x14ac:dyDescent="0.2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 x14ac:dyDescent="0.2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 x14ac:dyDescent="0.2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 x14ac:dyDescent="0.2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 x14ac:dyDescent="0.2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 x14ac:dyDescent="0.2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 x14ac:dyDescent="0.2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 x14ac:dyDescent="0.2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 x14ac:dyDescent="0.2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 x14ac:dyDescent="0.2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 x14ac:dyDescent="0.2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 x14ac:dyDescent="0.2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 x14ac:dyDescent="0.2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 x14ac:dyDescent="0.2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 x14ac:dyDescent="0.2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 x14ac:dyDescent="0.2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 x14ac:dyDescent="0.2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 x14ac:dyDescent="0.2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 x14ac:dyDescent="0.2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 x14ac:dyDescent="0.2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 x14ac:dyDescent="0.2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 x14ac:dyDescent="0.2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 x14ac:dyDescent="0.2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 x14ac:dyDescent="0.2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 x14ac:dyDescent="0.2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 x14ac:dyDescent="0.2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 x14ac:dyDescent="0.2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 x14ac:dyDescent="0.2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 x14ac:dyDescent="0.2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 x14ac:dyDescent="0.2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 x14ac:dyDescent="0.2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 x14ac:dyDescent="0.2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 x14ac:dyDescent="0.2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 x14ac:dyDescent="0.2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 x14ac:dyDescent="0.2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 x14ac:dyDescent="0.2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 x14ac:dyDescent="0.2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 x14ac:dyDescent="0.2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 x14ac:dyDescent="0.2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 x14ac:dyDescent="0.2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 x14ac:dyDescent="0.2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 x14ac:dyDescent="0.2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 x14ac:dyDescent="0.2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 x14ac:dyDescent="0.2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 x14ac:dyDescent="0.2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 x14ac:dyDescent="0.2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 x14ac:dyDescent="0.2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 x14ac:dyDescent="0.2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 x14ac:dyDescent="0.2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 x14ac:dyDescent="0.2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 x14ac:dyDescent="0.2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 x14ac:dyDescent="0.2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 x14ac:dyDescent="0.2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 x14ac:dyDescent="0.2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 x14ac:dyDescent="0.2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 x14ac:dyDescent="0.2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 x14ac:dyDescent="0.2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 x14ac:dyDescent="0.2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 x14ac:dyDescent="0.2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 x14ac:dyDescent="0.2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 x14ac:dyDescent="0.2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 x14ac:dyDescent="0.2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 x14ac:dyDescent="0.2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 x14ac:dyDescent="0.2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 x14ac:dyDescent="0.2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 x14ac:dyDescent="0.2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 x14ac:dyDescent="0.2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 x14ac:dyDescent="0.2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 x14ac:dyDescent="0.2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 x14ac:dyDescent="0.2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 x14ac:dyDescent="0.2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 x14ac:dyDescent="0.2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 x14ac:dyDescent="0.2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 x14ac:dyDescent="0.2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 x14ac:dyDescent="0.2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 x14ac:dyDescent="0.2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 x14ac:dyDescent="0.2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 x14ac:dyDescent="0.2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 x14ac:dyDescent="0.2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 x14ac:dyDescent="0.2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 x14ac:dyDescent="0.2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 x14ac:dyDescent="0.2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 x14ac:dyDescent="0.2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 x14ac:dyDescent="0.2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 x14ac:dyDescent="0.2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 x14ac:dyDescent="0.2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 x14ac:dyDescent="0.2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 x14ac:dyDescent="0.2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 x14ac:dyDescent="0.2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 x14ac:dyDescent="0.2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 x14ac:dyDescent="0.2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 x14ac:dyDescent="0.2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 x14ac:dyDescent="0.2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 x14ac:dyDescent="0.2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 x14ac:dyDescent="0.2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 x14ac:dyDescent="0.2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 x14ac:dyDescent="0.2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 x14ac:dyDescent="0.2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 x14ac:dyDescent="0.2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 x14ac:dyDescent="0.2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 x14ac:dyDescent="0.2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 x14ac:dyDescent="0.2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 x14ac:dyDescent="0.2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 x14ac:dyDescent="0.2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 x14ac:dyDescent="0.2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 x14ac:dyDescent="0.2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 x14ac:dyDescent="0.2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 x14ac:dyDescent="0.2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 x14ac:dyDescent="0.2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 x14ac:dyDescent="0.2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 x14ac:dyDescent="0.2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 x14ac:dyDescent="0.2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 x14ac:dyDescent="0.2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 x14ac:dyDescent="0.2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 x14ac:dyDescent="0.2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 x14ac:dyDescent="0.2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 x14ac:dyDescent="0.2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 x14ac:dyDescent="0.2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 x14ac:dyDescent="0.2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 x14ac:dyDescent="0.2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 x14ac:dyDescent="0.2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 x14ac:dyDescent="0.2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 x14ac:dyDescent="0.2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 x14ac:dyDescent="0.2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 x14ac:dyDescent="0.2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 x14ac:dyDescent="0.2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 x14ac:dyDescent="0.2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 x14ac:dyDescent="0.2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 x14ac:dyDescent="0.2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 x14ac:dyDescent="0.2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 x14ac:dyDescent="0.2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 x14ac:dyDescent="0.2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 x14ac:dyDescent="0.2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 x14ac:dyDescent="0.2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 x14ac:dyDescent="0.2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 x14ac:dyDescent="0.2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 x14ac:dyDescent="0.2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 x14ac:dyDescent="0.2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 x14ac:dyDescent="0.2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 x14ac:dyDescent="0.2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 x14ac:dyDescent="0.2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 x14ac:dyDescent="0.2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 x14ac:dyDescent="0.2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 x14ac:dyDescent="0.2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 x14ac:dyDescent="0.2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 x14ac:dyDescent="0.2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 x14ac:dyDescent="0.2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 x14ac:dyDescent="0.2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 x14ac:dyDescent="0.2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 x14ac:dyDescent="0.2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 x14ac:dyDescent="0.2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 x14ac:dyDescent="0.2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 x14ac:dyDescent="0.2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 x14ac:dyDescent="0.2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 x14ac:dyDescent="0.2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 x14ac:dyDescent="0.2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 x14ac:dyDescent="0.2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 x14ac:dyDescent="0.2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 x14ac:dyDescent="0.2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 x14ac:dyDescent="0.2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 x14ac:dyDescent="0.2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 x14ac:dyDescent="0.2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 x14ac:dyDescent="0.2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 x14ac:dyDescent="0.2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 x14ac:dyDescent="0.2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 x14ac:dyDescent="0.2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 x14ac:dyDescent="0.2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 x14ac:dyDescent="0.2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 x14ac:dyDescent="0.2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 x14ac:dyDescent="0.2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 x14ac:dyDescent="0.2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 x14ac:dyDescent="0.2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 x14ac:dyDescent="0.2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 x14ac:dyDescent="0.2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 x14ac:dyDescent="0.2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 x14ac:dyDescent="0.2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 x14ac:dyDescent="0.2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 x14ac:dyDescent="0.2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 x14ac:dyDescent="0.2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 x14ac:dyDescent="0.2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 x14ac:dyDescent="0.2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 x14ac:dyDescent="0.2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 x14ac:dyDescent="0.2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 x14ac:dyDescent="0.2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 x14ac:dyDescent="0.2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 x14ac:dyDescent="0.2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 x14ac:dyDescent="0.2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 x14ac:dyDescent="0.2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 x14ac:dyDescent="0.2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 x14ac:dyDescent="0.2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 x14ac:dyDescent="0.2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 x14ac:dyDescent="0.2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 x14ac:dyDescent="0.2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 x14ac:dyDescent="0.2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 x14ac:dyDescent="0.2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 x14ac:dyDescent="0.2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 x14ac:dyDescent="0.2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 x14ac:dyDescent="0.2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 x14ac:dyDescent="0.2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 x14ac:dyDescent="0.2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 x14ac:dyDescent="0.2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 x14ac:dyDescent="0.2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 x14ac:dyDescent="0.2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 x14ac:dyDescent="0.2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 x14ac:dyDescent="0.2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 x14ac:dyDescent="0.2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 x14ac:dyDescent="0.2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 x14ac:dyDescent="0.2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 x14ac:dyDescent="0.2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 x14ac:dyDescent="0.2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 x14ac:dyDescent="0.2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 x14ac:dyDescent="0.2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 x14ac:dyDescent="0.2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 x14ac:dyDescent="0.2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 x14ac:dyDescent="0.2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 x14ac:dyDescent="0.2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 x14ac:dyDescent="0.2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 x14ac:dyDescent="0.2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 x14ac:dyDescent="0.2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 x14ac:dyDescent="0.2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 x14ac:dyDescent="0.2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 x14ac:dyDescent="0.2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 x14ac:dyDescent="0.2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 x14ac:dyDescent="0.2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 x14ac:dyDescent="0.2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 x14ac:dyDescent="0.2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 x14ac:dyDescent="0.2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 x14ac:dyDescent="0.2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 x14ac:dyDescent="0.2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 x14ac:dyDescent="0.2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 x14ac:dyDescent="0.2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 x14ac:dyDescent="0.2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 x14ac:dyDescent="0.2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 x14ac:dyDescent="0.2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 x14ac:dyDescent="0.2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 x14ac:dyDescent="0.2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 x14ac:dyDescent="0.2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 x14ac:dyDescent="0.2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 x14ac:dyDescent="0.2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 x14ac:dyDescent="0.2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 x14ac:dyDescent="0.2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 x14ac:dyDescent="0.2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 x14ac:dyDescent="0.2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 x14ac:dyDescent="0.2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 x14ac:dyDescent="0.2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 x14ac:dyDescent="0.2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 x14ac:dyDescent="0.2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 x14ac:dyDescent="0.2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 x14ac:dyDescent="0.2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 x14ac:dyDescent="0.2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 x14ac:dyDescent="0.2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 x14ac:dyDescent="0.2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 x14ac:dyDescent="0.2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 x14ac:dyDescent="0.2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 x14ac:dyDescent="0.2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 x14ac:dyDescent="0.2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 x14ac:dyDescent="0.2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 x14ac:dyDescent="0.2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 x14ac:dyDescent="0.2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 x14ac:dyDescent="0.2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 x14ac:dyDescent="0.2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 x14ac:dyDescent="0.2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 x14ac:dyDescent="0.2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 x14ac:dyDescent="0.2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 x14ac:dyDescent="0.2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 x14ac:dyDescent="0.2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 x14ac:dyDescent="0.2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 x14ac:dyDescent="0.2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 x14ac:dyDescent="0.2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 x14ac:dyDescent="0.2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 x14ac:dyDescent="0.2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 x14ac:dyDescent="0.2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 x14ac:dyDescent="0.2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 x14ac:dyDescent="0.2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 x14ac:dyDescent="0.2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 x14ac:dyDescent="0.2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 x14ac:dyDescent="0.2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 x14ac:dyDescent="0.2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 x14ac:dyDescent="0.2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 x14ac:dyDescent="0.2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 x14ac:dyDescent="0.2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 x14ac:dyDescent="0.2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 x14ac:dyDescent="0.2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 x14ac:dyDescent="0.2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 x14ac:dyDescent="0.2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 x14ac:dyDescent="0.2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 x14ac:dyDescent="0.2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 x14ac:dyDescent="0.2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 x14ac:dyDescent="0.2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 x14ac:dyDescent="0.2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 x14ac:dyDescent="0.2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 x14ac:dyDescent="0.2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 x14ac:dyDescent="0.2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 x14ac:dyDescent="0.2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 x14ac:dyDescent="0.2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 x14ac:dyDescent="0.2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 x14ac:dyDescent="0.2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 x14ac:dyDescent="0.2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 x14ac:dyDescent="0.2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 x14ac:dyDescent="0.2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 x14ac:dyDescent="0.2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 x14ac:dyDescent="0.2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 x14ac:dyDescent="0.2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 x14ac:dyDescent="0.2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 x14ac:dyDescent="0.2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 x14ac:dyDescent="0.2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 x14ac:dyDescent="0.2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 x14ac:dyDescent="0.2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 x14ac:dyDescent="0.2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 x14ac:dyDescent="0.2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 x14ac:dyDescent="0.2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 x14ac:dyDescent="0.2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 x14ac:dyDescent="0.2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 x14ac:dyDescent="0.2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 x14ac:dyDescent="0.2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 x14ac:dyDescent="0.2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 x14ac:dyDescent="0.2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 x14ac:dyDescent="0.2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 x14ac:dyDescent="0.2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 x14ac:dyDescent="0.2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 x14ac:dyDescent="0.2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 x14ac:dyDescent="0.2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 x14ac:dyDescent="0.2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 x14ac:dyDescent="0.2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 x14ac:dyDescent="0.2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 x14ac:dyDescent="0.2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 x14ac:dyDescent="0.2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 x14ac:dyDescent="0.2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 x14ac:dyDescent="0.2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 x14ac:dyDescent="0.2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 x14ac:dyDescent="0.2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 x14ac:dyDescent="0.2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 x14ac:dyDescent="0.2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 x14ac:dyDescent="0.2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 x14ac:dyDescent="0.2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 x14ac:dyDescent="0.2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 x14ac:dyDescent="0.2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 x14ac:dyDescent="0.2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 x14ac:dyDescent="0.2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 x14ac:dyDescent="0.2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 x14ac:dyDescent="0.2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 x14ac:dyDescent="0.2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 x14ac:dyDescent="0.2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 x14ac:dyDescent="0.2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 x14ac:dyDescent="0.2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 x14ac:dyDescent="0.2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 x14ac:dyDescent="0.2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 x14ac:dyDescent="0.2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 x14ac:dyDescent="0.2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 x14ac:dyDescent="0.2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 x14ac:dyDescent="0.2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 x14ac:dyDescent="0.2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 x14ac:dyDescent="0.2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 x14ac:dyDescent="0.2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 x14ac:dyDescent="0.2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 x14ac:dyDescent="0.2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 x14ac:dyDescent="0.2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 x14ac:dyDescent="0.2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 x14ac:dyDescent="0.2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 x14ac:dyDescent="0.2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 x14ac:dyDescent="0.2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 x14ac:dyDescent="0.2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 x14ac:dyDescent="0.2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 x14ac:dyDescent="0.2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 x14ac:dyDescent="0.2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 x14ac:dyDescent="0.2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 x14ac:dyDescent="0.2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 x14ac:dyDescent="0.2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 x14ac:dyDescent="0.2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 x14ac:dyDescent="0.2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 x14ac:dyDescent="0.2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 x14ac:dyDescent="0.2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 x14ac:dyDescent="0.2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 x14ac:dyDescent="0.2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 x14ac:dyDescent="0.2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 x14ac:dyDescent="0.2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 x14ac:dyDescent="0.2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 x14ac:dyDescent="0.2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 x14ac:dyDescent="0.2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 x14ac:dyDescent="0.2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 x14ac:dyDescent="0.2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 x14ac:dyDescent="0.2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 x14ac:dyDescent="0.2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 x14ac:dyDescent="0.2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 x14ac:dyDescent="0.2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 x14ac:dyDescent="0.2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 x14ac:dyDescent="0.2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 x14ac:dyDescent="0.2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 x14ac:dyDescent="0.2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 x14ac:dyDescent="0.2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 x14ac:dyDescent="0.2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 x14ac:dyDescent="0.2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 x14ac:dyDescent="0.2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 x14ac:dyDescent="0.2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 x14ac:dyDescent="0.2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 x14ac:dyDescent="0.2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 x14ac:dyDescent="0.2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 x14ac:dyDescent="0.2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 x14ac:dyDescent="0.2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 x14ac:dyDescent="0.2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 x14ac:dyDescent="0.2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 x14ac:dyDescent="0.2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 x14ac:dyDescent="0.2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 x14ac:dyDescent="0.2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 x14ac:dyDescent="0.2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 x14ac:dyDescent="0.2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 x14ac:dyDescent="0.2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 x14ac:dyDescent="0.2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 x14ac:dyDescent="0.2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 x14ac:dyDescent="0.2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 x14ac:dyDescent="0.2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 x14ac:dyDescent="0.2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 x14ac:dyDescent="0.2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 x14ac:dyDescent="0.2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 x14ac:dyDescent="0.2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 x14ac:dyDescent="0.2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 x14ac:dyDescent="0.2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 x14ac:dyDescent="0.2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 x14ac:dyDescent="0.2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 x14ac:dyDescent="0.2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 x14ac:dyDescent="0.2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 x14ac:dyDescent="0.2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 x14ac:dyDescent="0.2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 x14ac:dyDescent="0.2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 x14ac:dyDescent="0.2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 x14ac:dyDescent="0.2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 x14ac:dyDescent="0.2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 x14ac:dyDescent="0.2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 x14ac:dyDescent="0.2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 x14ac:dyDescent="0.2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 x14ac:dyDescent="0.2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 x14ac:dyDescent="0.2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 x14ac:dyDescent="0.2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 x14ac:dyDescent="0.2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 x14ac:dyDescent="0.2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 x14ac:dyDescent="0.2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 x14ac:dyDescent="0.2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 x14ac:dyDescent="0.2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 x14ac:dyDescent="0.2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 x14ac:dyDescent="0.2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 x14ac:dyDescent="0.2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 x14ac:dyDescent="0.2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 x14ac:dyDescent="0.2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 x14ac:dyDescent="0.2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 x14ac:dyDescent="0.2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 x14ac:dyDescent="0.2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 x14ac:dyDescent="0.2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 x14ac:dyDescent="0.2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 x14ac:dyDescent="0.2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 x14ac:dyDescent="0.2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 x14ac:dyDescent="0.2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 x14ac:dyDescent="0.2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 x14ac:dyDescent="0.2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 x14ac:dyDescent="0.2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 x14ac:dyDescent="0.2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 x14ac:dyDescent="0.2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 x14ac:dyDescent="0.2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 x14ac:dyDescent="0.2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 x14ac:dyDescent="0.2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 x14ac:dyDescent="0.2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 x14ac:dyDescent="0.2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 x14ac:dyDescent="0.2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 x14ac:dyDescent="0.2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 x14ac:dyDescent="0.2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 x14ac:dyDescent="0.2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 x14ac:dyDescent="0.2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 x14ac:dyDescent="0.2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 x14ac:dyDescent="0.2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 x14ac:dyDescent="0.2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 x14ac:dyDescent="0.2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 x14ac:dyDescent="0.2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 x14ac:dyDescent="0.2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 x14ac:dyDescent="0.2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 x14ac:dyDescent="0.2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 x14ac:dyDescent="0.2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 x14ac:dyDescent="0.2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 x14ac:dyDescent="0.2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 x14ac:dyDescent="0.2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 x14ac:dyDescent="0.2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 x14ac:dyDescent="0.2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 x14ac:dyDescent="0.2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 x14ac:dyDescent="0.2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 x14ac:dyDescent="0.2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 x14ac:dyDescent="0.2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 x14ac:dyDescent="0.2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 x14ac:dyDescent="0.2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 x14ac:dyDescent="0.2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 x14ac:dyDescent="0.2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 x14ac:dyDescent="0.2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 x14ac:dyDescent="0.2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 x14ac:dyDescent="0.2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 x14ac:dyDescent="0.2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 x14ac:dyDescent="0.2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 x14ac:dyDescent="0.2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 x14ac:dyDescent="0.2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 x14ac:dyDescent="0.2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 x14ac:dyDescent="0.2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 x14ac:dyDescent="0.2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 x14ac:dyDescent="0.2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 x14ac:dyDescent="0.2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 x14ac:dyDescent="0.2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 x14ac:dyDescent="0.2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 x14ac:dyDescent="0.2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 x14ac:dyDescent="0.2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 x14ac:dyDescent="0.2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 x14ac:dyDescent="0.2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 x14ac:dyDescent="0.2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 x14ac:dyDescent="0.2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 x14ac:dyDescent="0.2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 x14ac:dyDescent="0.2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 x14ac:dyDescent="0.2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 x14ac:dyDescent="0.2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 x14ac:dyDescent="0.2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 x14ac:dyDescent="0.2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 x14ac:dyDescent="0.2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 x14ac:dyDescent="0.2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 x14ac:dyDescent="0.2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 x14ac:dyDescent="0.2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 x14ac:dyDescent="0.2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 x14ac:dyDescent="0.2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 x14ac:dyDescent="0.2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 x14ac:dyDescent="0.2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 x14ac:dyDescent="0.2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 x14ac:dyDescent="0.2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 x14ac:dyDescent="0.2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 x14ac:dyDescent="0.2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 x14ac:dyDescent="0.2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 x14ac:dyDescent="0.2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 x14ac:dyDescent="0.2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 x14ac:dyDescent="0.2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 x14ac:dyDescent="0.2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 x14ac:dyDescent="0.2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 x14ac:dyDescent="0.2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 x14ac:dyDescent="0.2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 x14ac:dyDescent="0.2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 x14ac:dyDescent="0.2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 x14ac:dyDescent="0.2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 x14ac:dyDescent="0.2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 x14ac:dyDescent="0.2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 x14ac:dyDescent="0.2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 x14ac:dyDescent="0.2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 x14ac:dyDescent="0.2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 x14ac:dyDescent="0.2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 x14ac:dyDescent="0.2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 x14ac:dyDescent="0.2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 x14ac:dyDescent="0.2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 x14ac:dyDescent="0.2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 x14ac:dyDescent="0.2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 x14ac:dyDescent="0.2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 x14ac:dyDescent="0.2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 x14ac:dyDescent="0.2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 x14ac:dyDescent="0.2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 x14ac:dyDescent="0.2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 x14ac:dyDescent="0.2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 x14ac:dyDescent="0.2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 x14ac:dyDescent="0.2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 x14ac:dyDescent="0.2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 x14ac:dyDescent="0.2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 x14ac:dyDescent="0.2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 x14ac:dyDescent="0.2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 x14ac:dyDescent="0.2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 x14ac:dyDescent="0.2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 x14ac:dyDescent="0.2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 x14ac:dyDescent="0.2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 x14ac:dyDescent="0.2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 x14ac:dyDescent="0.2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 x14ac:dyDescent="0.2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 x14ac:dyDescent="0.2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 x14ac:dyDescent="0.2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 x14ac:dyDescent="0.2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 x14ac:dyDescent="0.2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 x14ac:dyDescent="0.2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 x14ac:dyDescent="0.2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 x14ac:dyDescent="0.2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 x14ac:dyDescent="0.2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 x14ac:dyDescent="0.2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 x14ac:dyDescent="0.2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 x14ac:dyDescent="0.2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 x14ac:dyDescent="0.2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 x14ac:dyDescent="0.2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 x14ac:dyDescent="0.2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 x14ac:dyDescent="0.2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 x14ac:dyDescent="0.2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 x14ac:dyDescent="0.2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 x14ac:dyDescent="0.2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 x14ac:dyDescent="0.2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 x14ac:dyDescent="0.2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 x14ac:dyDescent="0.2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 x14ac:dyDescent="0.2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 x14ac:dyDescent="0.2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 x14ac:dyDescent="0.2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 x14ac:dyDescent="0.2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 x14ac:dyDescent="0.2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 x14ac:dyDescent="0.2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 x14ac:dyDescent="0.2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 x14ac:dyDescent="0.2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 x14ac:dyDescent="0.2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 x14ac:dyDescent="0.2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 x14ac:dyDescent="0.2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 x14ac:dyDescent="0.2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 x14ac:dyDescent="0.2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 x14ac:dyDescent="0.2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 x14ac:dyDescent="0.2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 x14ac:dyDescent="0.2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 x14ac:dyDescent="0.2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 x14ac:dyDescent="0.2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 x14ac:dyDescent="0.2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 x14ac:dyDescent="0.2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 x14ac:dyDescent="0.2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 x14ac:dyDescent="0.2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 x14ac:dyDescent="0.2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 x14ac:dyDescent="0.2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 x14ac:dyDescent="0.2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 x14ac:dyDescent="0.2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 x14ac:dyDescent="0.2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 x14ac:dyDescent="0.2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 x14ac:dyDescent="0.2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 x14ac:dyDescent="0.2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 x14ac:dyDescent="0.2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 x14ac:dyDescent="0.2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 x14ac:dyDescent="0.2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 x14ac:dyDescent="0.2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 x14ac:dyDescent="0.2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 x14ac:dyDescent="0.2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 x14ac:dyDescent="0.2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 x14ac:dyDescent="0.2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 x14ac:dyDescent="0.2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 x14ac:dyDescent="0.2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 x14ac:dyDescent="0.2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 x14ac:dyDescent="0.2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 x14ac:dyDescent="0.2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 x14ac:dyDescent="0.2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 x14ac:dyDescent="0.2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 x14ac:dyDescent="0.2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 x14ac:dyDescent="0.2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 x14ac:dyDescent="0.2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 x14ac:dyDescent="0.2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 x14ac:dyDescent="0.2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 x14ac:dyDescent="0.2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 x14ac:dyDescent="0.2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 x14ac:dyDescent="0.2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 x14ac:dyDescent="0.2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 x14ac:dyDescent="0.2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 x14ac:dyDescent="0.2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 x14ac:dyDescent="0.2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 x14ac:dyDescent="0.2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 x14ac:dyDescent="0.2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 x14ac:dyDescent="0.2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 x14ac:dyDescent="0.2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 x14ac:dyDescent="0.2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 x14ac:dyDescent="0.2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 x14ac:dyDescent="0.2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 x14ac:dyDescent="0.2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 x14ac:dyDescent="0.2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 x14ac:dyDescent="0.2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 x14ac:dyDescent="0.2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 x14ac:dyDescent="0.2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 x14ac:dyDescent="0.2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 x14ac:dyDescent="0.2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 x14ac:dyDescent="0.2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 x14ac:dyDescent="0.2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 x14ac:dyDescent="0.2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 x14ac:dyDescent="0.2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 x14ac:dyDescent="0.2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 x14ac:dyDescent="0.2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 x14ac:dyDescent="0.2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 x14ac:dyDescent="0.2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 x14ac:dyDescent="0.2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 x14ac:dyDescent="0.2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 x14ac:dyDescent="0.2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 x14ac:dyDescent="0.2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 x14ac:dyDescent="0.2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 x14ac:dyDescent="0.2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 x14ac:dyDescent="0.2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 x14ac:dyDescent="0.2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 x14ac:dyDescent="0.2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 x14ac:dyDescent="0.2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 x14ac:dyDescent="0.2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 x14ac:dyDescent="0.2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 x14ac:dyDescent="0.2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 x14ac:dyDescent="0.2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 x14ac:dyDescent="0.2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 x14ac:dyDescent="0.2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 x14ac:dyDescent="0.2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 x14ac:dyDescent="0.2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 x14ac:dyDescent="0.2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 x14ac:dyDescent="0.2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 x14ac:dyDescent="0.2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 x14ac:dyDescent="0.2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 x14ac:dyDescent="0.2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 x14ac:dyDescent="0.2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 x14ac:dyDescent="0.2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 x14ac:dyDescent="0.2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 x14ac:dyDescent="0.2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 x14ac:dyDescent="0.2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 x14ac:dyDescent="0.2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 x14ac:dyDescent="0.2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 x14ac:dyDescent="0.2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 x14ac:dyDescent="0.2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 x14ac:dyDescent="0.2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 x14ac:dyDescent="0.2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 x14ac:dyDescent="0.2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 x14ac:dyDescent="0.2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 x14ac:dyDescent="0.2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 x14ac:dyDescent="0.2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 x14ac:dyDescent="0.2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 x14ac:dyDescent="0.2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 x14ac:dyDescent="0.2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 x14ac:dyDescent="0.2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 x14ac:dyDescent="0.2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 x14ac:dyDescent="0.2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 x14ac:dyDescent="0.2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 x14ac:dyDescent="0.2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 x14ac:dyDescent="0.2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 x14ac:dyDescent="0.2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 x14ac:dyDescent="0.2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 x14ac:dyDescent="0.2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 x14ac:dyDescent="0.2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 x14ac:dyDescent="0.2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 x14ac:dyDescent="0.2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 x14ac:dyDescent="0.2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 x14ac:dyDescent="0.2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 x14ac:dyDescent="0.2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 x14ac:dyDescent="0.2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 x14ac:dyDescent="0.2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 x14ac:dyDescent="0.2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 x14ac:dyDescent="0.2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 x14ac:dyDescent="0.2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 x14ac:dyDescent="0.2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 x14ac:dyDescent="0.2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 x14ac:dyDescent="0.2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 x14ac:dyDescent="0.2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 x14ac:dyDescent="0.2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 x14ac:dyDescent="0.2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 x14ac:dyDescent="0.2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 x14ac:dyDescent="0.2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 x14ac:dyDescent="0.2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 x14ac:dyDescent="0.2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 x14ac:dyDescent="0.2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 x14ac:dyDescent="0.2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 x14ac:dyDescent="0.2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 x14ac:dyDescent="0.2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 x14ac:dyDescent="0.2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 x14ac:dyDescent="0.2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 x14ac:dyDescent="0.2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 x14ac:dyDescent="0.2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 x14ac:dyDescent="0.2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 x14ac:dyDescent="0.2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 x14ac:dyDescent="0.2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 x14ac:dyDescent="0.2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 x14ac:dyDescent="0.2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 x14ac:dyDescent="0.2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 x14ac:dyDescent="0.2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 x14ac:dyDescent="0.2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 x14ac:dyDescent="0.2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 x14ac:dyDescent="0.2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 x14ac:dyDescent="0.2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 x14ac:dyDescent="0.2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 x14ac:dyDescent="0.2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 x14ac:dyDescent="0.2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 x14ac:dyDescent="0.2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 x14ac:dyDescent="0.2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 x14ac:dyDescent="0.2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 x14ac:dyDescent="0.2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 x14ac:dyDescent="0.2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 x14ac:dyDescent="0.2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 x14ac:dyDescent="0.2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 x14ac:dyDescent="0.2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 x14ac:dyDescent="0.2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 x14ac:dyDescent="0.2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 x14ac:dyDescent="0.2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 x14ac:dyDescent="0.2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 x14ac:dyDescent="0.2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 x14ac:dyDescent="0.2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 x14ac:dyDescent="0.2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 x14ac:dyDescent="0.2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 x14ac:dyDescent="0.2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 x14ac:dyDescent="0.2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 x14ac:dyDescent="0.2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 x14ac:dyDescent="0.2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 x14ac:dyDescent="0.2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 x14ac:dyDescent="0.2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 x14ac:dyDescent="0.2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 x14ac:dyDescent="0.2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 x14ac:dyDescent="0.2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 x14ac:dyDescent="0.2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 x14ac:dyDescent="0.2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 x14ac:dyDescent="0.2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 x14ac:dyDescent="0.2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 x14ac:dyDescent="0.2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 x14ac:dyDescent="0.2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 x14ac:dyDescent="0.2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 x14ac:dyDescent="0.2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 x14ac:dyDescent="0.2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 x14ac:dyDescent="0.2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 x14ac:dyDescent="0.2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 x14ac:dyDescent="0.2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 x14ac:dyDescent="0.2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 x14ac:dyDescent="0.2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 x14ac:dyDescent="0.2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 x14ac:dyDescent="0.2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 x14ac:dyDescent="0.2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 x14ac:dyDescent="0.2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 x14ac:dyDescent="0.2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 x14ac:dyDescent="0.2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 x14ac:dyDescent="0.2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 x14ac:dyDescent="0.2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 x14ac:dyDescent="0.2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 x14ac:dyDescent="0.2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 x14ac:dyDescent="0.2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 x14ac:dyDescent="0.2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 x14ac:dyDescent="0.2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 x14ac:dyDescent="0.2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 x14ac:dyDescent="0.2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 x14ac:dyDescent="0.2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 x14ac:dyDescent="0.2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 x14ac:dyDescent="0.2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 x14ac:dyDescent="0.2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 x14ac:dyDescent="0.2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 x14ac:dyDescent="0.2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 x14ac:dyDescent="0.2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 x14ac:dyDescent="0.2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 x14ac:dyDescent="0.2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 x14ac:dyDescent="0.2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 x14ac:dyDescent="0.2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 x14ac:dyDescent="0.2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 x14ac:dyDescent="0.2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 x14ac:dyDescent="0.2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 x14ac:dyDescent="0.2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 x14ac:dyDescent="0.2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 x14ac:dyDescent="0.2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 x14ac:dyDescent="0.2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 x14ac:dyDescent="0.2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 x14ac:dyDescent="0.2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 x14ac:dyDescent="0.2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 x14ac:dyDescent="0.2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 x14ac:dyDescent="0.2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 x14ac:dyDescent="0.2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 x14ac:dyDescent="0.2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 x14ac:dyDescent="0.2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 x14ac:dyDescent="0.2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 x14ac:dyDescent="0.2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 x14ac:dyDescent="0.2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 x14ac:dyDescent="0.2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 x14ac:dyDescent="0.2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 x14ac:dyDescent="0.2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 x14ac:dyDescent="0.2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 x14ac:dyDescent="0.2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 x14ac:dyDescent="0.2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 x14ac:dyDescent="0.2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 x14ac:dyDescent="0.2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 x14ac:dyDescent="0.2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 x14ac:dyDescent="0.2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 x14ac:dyDescent="0.2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 x14ac:dyDescent="0.2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 x14ac:dyDescent="0.2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 x14ac:dyDescent="0.2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 x14ac:dyDescent="0.2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 x14ac:dyDescent="0.2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 x14ac:dyDescent="0.2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 x14ac:dyDescent="0.2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 x14ac:dyDescent="0.2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 x14ac:dyDescent="0.2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 x14ac:dyDescent="0.2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 x14ac:dyDescent="0.2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 x14ac:dyDescent="0.2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 x14ac:dyDescent="0.2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 x14ac:dyDescent="0.2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 x14ac:dyDescent="0.2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 x14ac:dyDescent="0.2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 x14ac:dyDescent="0.2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 x14ac:dyDescent="0.2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 x14ac:dyDescent="0.2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 x14ac:dyDescent="0.2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 x14ac:dyDescent="0.2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 x14ac:dyDescent="0.2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 x14ac:dyDescent="0.2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 x14ac:dyDescent="0.2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 x14ac:dyDescent="0.2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 x14ac:dyDescent="0.2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 x14ac:dyDescent="0.2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 x14ac:dyDescent="0.2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 x14ac:dyDescent="0.2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 x14ac:dyDescent="0.2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 x14ac:dyDescent="0.2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 x14ac:dyDescent="0.2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 x14ac:dyDescent="0.2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 x14ac:dyDescent="0.2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 x14ac:dyDescent="0.2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 x14ac:dyDescent="0.2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 x14ac:dyDescent="0.2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 x14ac:dyDescent="0.2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 x14ac:dyDescent="0.2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 x14ac:dyDescent="0.2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 x14ac:dyDescent="0.2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 x14ac:dyDescent="0.2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 x14ac:dyDescent="0.2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 x14ac:dyDescent="0.2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 x14ac:dyDescent="0.2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 x14ac:dyDescent="0.2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 x14ac:dyDescent="0.2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 x14ac:dyDescent="0.2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 x14ac:dyDescent="0.2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 x14ac:dyDescent="0.2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 x14ac:dyDescent="0.2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 x14ac:dyDescent="0.2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 x14ac:dyDescent="0.2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 x14ac:dyDescent="0.2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 x14ac:dyDescent="0.2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 x14ac:dyDescent="0.2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 x14ac:dyDescent="0.2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 x14ac:dyDescent="0.2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 x14ac:dyDescent="0.2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 x14ac:dyDescent="0.2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 x14ac:dyDescent="0.2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 x14ac:dyDescent="0.2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 x14ac:dyDescent="0.2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 x14ac:dyDescent="0.2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 x14ac:dyDescent="0.2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 x14ac:dyDescent="0.2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 x14ac:dyDescent="0.2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 x14ac:dyDescent="0.2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 x14ac:dyDescent="0.2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 x14ac:dyDescent="0.2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 x14ac:dyDescent="0.2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 x14ac:dyDescent="0.2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 x14ac:dyDescent="0.2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 x14ac:dyDescent="0.2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 x14ac:dyDescent="0.2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 x14ac:dyDescent="0.2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 x14ac:dyDescent="0.2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 x14ac:dyDescent="0.2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 x14ac:dyDescent="0.2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 x14ac:dyDescent="0.2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 x14ac:dyDescent="0.2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 x14ac:dyDescent="0.2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 x14ac:dyDescent="0.2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 x14ac:dyDescent="0.2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 x14ac:dyDescent="0.2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 x14ac:dyDescent="0.2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 x14ac:dyDescent="0.2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 x14ac:dyDescent="0.2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 x14ac:dyDescent="0.2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 x14ac:dyDescent="0.2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 x14ac:dyDescent="0.2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 x14ac:dyDescent="0.2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 x14ac:dyDescent="0.2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 x14ac:dyDescent="0.2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 x14ac:dyDescent="0.2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 x14ac:dyDescent="0.2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 x14ac:dyDescent="0.2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 x14ac:dyDescent="0.2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 x14ac:dyDescent="0.2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 x14ac:dyDescent="0.2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 x14ac:dyDescent="0.2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 x14ac:dyDescent="0.2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 x14ac:dyDescent="0.2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 x14ac:dyDescent="0.2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 x14ac:dyDescent="0.2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 x14ac:dyDescent="0.2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 x14ac:dyDescent="0.2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 x14ac:dyDescent="0.2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 x14ac:dyDescent="0.2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 x14ac:dyDescent="0.2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 x14ac:dyDescent="0.2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 x14ac:dyDescent="0.2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 x14ac:dyDescent="0.2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 x14ac:dyDescent="0.2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 x14ac:dyDescent="0.2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 x14ac:dyDescent="0.2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 x14ac:dyDescent="0.2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 x14ac:dyDescent="0.2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 x14ac:dyDescent="0.2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 x14ac:dyDescent="0.2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 x14ac:dyDescent="0.2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 x14ac:dyDescent="0.2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 x14ac:dyDescent="0.2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 x14ac:dyDescent="0.2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 x14ac:dyDescent="0.2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 x14ac:dyDescent="0.2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 x14ac:dyDescent="0.2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 x14ac:dyDescent="0.2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 x14ac:dyDescent="0.2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 x14ac:dyDescent="0.2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 x14ac:dyDescent="0.2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 x14ac:dyDescent="0.2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 x14ac:dyDescent="0.2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 x14ac:dyDescent="0.2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 x14ac:dyDescent="0.2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 x14ac:dyDescent="0.2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 x14ac:dyDescent="0.2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 x14ac:dyDescent="0.2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 x14ac:dyDescent="0.2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 x14ac:dyDescent="0.2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 x14ac:dyDescent="0.2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 x14ac:dyDescent="0.2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 x14ac:dyDescent="0.2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 x14ac:dyDescent="0.2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 x14ac:dyDescent="0.2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 x14ac:dyDescent="0.2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 x14ac:dyDescent="0.2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 x14ac:dyDescent="0.2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 x14ac:dyDescent="0.2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 x14ac:dyDescent="0.2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 x14ac:dyDescent="0.2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 x14ac:dyDescent="0.2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 x14ac:dyDescent="0.2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 x14ac:dyDescent="0.2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 x14ac:dyDescent="0.2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 x14ac:dyDescent="0.2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 x14ac:dyDescent="0.2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 x14ac:dyDescent="0.2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 x14ac:dyDescent="0.2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 x14ac:dyDescent="0.2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 x14ac:dyDescent="0.2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 x14ac:dyDescent="0.2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 x14ac:dyDescent="0.2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 x14ac:dyDescent="0.2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 x14ac:dyDescent="0.2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 x14ac:dyDescent="0.2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 x14ac:dyDescent="0.2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 x14ac:dyDescent="0.2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 x14ac:dyDescent="0.2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 x14ac:dyDescent="0.2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 x14ac:dyDescent="0.2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 x14ac:dyDescent="0.2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 x14ac:dyDescent="0.2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 x14ac:dyDescent="0.2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 x14ac:dyDescent="0.2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 x14ac:dyDescent="0.2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 x14ac:dyDescent="0.2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 x14ac:dyDescent="0.2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 x14ac:dyDescent="0.2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 x14ac:dyDescent="0.2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 x14ac:dyDescent="0.2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 x14ac:dyDescent="0.2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 x14ac:dyDescent="0.2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 x14ac:dyDescent="0.2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 x14ac:dyDescent="0.2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 x14ac:dyDescent="0.2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 x14ac:dyDescent="0.2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 x14ac:dyDescent="0.2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 x14ac:dyDescent="0.2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 x14ac:dyDescent="0.2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 x14ac:dyDescent="0.2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 x14ac:dyDescent="0.2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 x14ac:dyDescent="0.2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 x14ac:dyDescent="0.2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 x14ac:dyDescent="0.2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 x14ac:dyDescent="0.2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 x14ac:dyDescent="0.2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 x14ac:dyDescent="0.2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 x14ac:dyDescent="0.2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 x14ac:dyDescent="0.2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 x14ac:dyDescent="0.2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 x14ac:dyDescent="0.2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 x14ac:dyDescent="0.2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 x14ac:dyDescent="0.2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 x14ac:dyDescent="0.2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 x14ac:dyDescent="0.2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 x14ac:dyDescent="0.2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 x14ac:dyDescent="0.2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 x14ac:dyDescent="0.2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 x14ac:dyDescent="0.2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 x14ac:dyDescent="0.2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 x14ac:dyDescent="0.2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 x14ac:dyDescent="0.2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 x14ac:dyDescent="0.2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 x14ac:dyDescent="0.2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 x14ac:dyDescent="0.2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 x14ac:dyDescent="0.2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 x14ac:dyDescent="0.2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 x14ac:dyDescent="0.2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 x14ac:dyDescent="0.2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 x14ac:dyDescent="0.2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 x14ac:dyDescent="0.2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 x14ac:dyDescent="0.2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 x14ac:dyDescent="0.2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 x14ac:dyDescent="0.2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 x14ac:dyDescent="0.2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 x14ac:dyDescent="0.2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 x14ac:dyDescent="0.2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 x14ac:dyDescent="0.2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 x14ac:dyDescent="0.2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 x14ac:dyDescent="0.2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 x14ac:dyDescent="0.2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 x14ac:dyDescent="0.2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 x14ac:dyDescent="0.2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 x14ac:dyDescent="0.2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 x14ac:dyDescent="0.2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 x14ac:dyDescent="0.2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 x14ac:dyDescent="0.2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 x14ac:dyDescent="0.2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 x14ac:dyDescent="0.2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 x14ac:dyDescent="0.2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 x14ac:dyDescent="0.2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 x14ac:dyDescent="0.2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 x14ac:dyDescent="0.2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 x14ac:dyDescent="0.2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 x14ac:dyDescent="0.2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 x14ac:dyDescent="0.2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 x14ac:dyDescent="0.2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 x14ac:dyDescent="0.2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 x14ac:dyDescent="0.2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 x14ac:dyDescent="0.2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 x14ac:dyDescent="0.2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 x14ac:dyDescent="0.2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 x14ac:dyDescent="0.2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 x14ac:dyDescent="0.2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 x14ac:dyDescent="0.2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 x14ac:dyDescent="0.2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 x14ac:dyDescent="0.2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 x14ac:dyDescent="0.2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 x14ac:dyDescent="0.2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 x14ac:dyDescent="0.2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 x14ac:dyDescent="0.2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 x14ac:dyDescent="0.2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 x14ac:dyDescent="0.2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 x14ac:dyDescent="0.2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 x14ac:dyDescent="0.2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 x14ac:dyDescent="0.2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 x14ac:dyDescent="0.2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 x14ac:dyDescent="0.2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 x14ac:dyDescent="0.2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 x14ac:dyDescent="0.2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 x14ac:dyDescent="0.2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 x14ac:dyDescent="0.2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 x14ac:dyDescent="0.2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 x14ac:dyDescent="0.2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 x14ac:dyDescent="0.2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 x14ac:dyDescent="0.2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 x14ac:dyDescent="0.2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 x14ac:dyDescent="0.2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 x14ac:dyDescent="0.2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 x14ac:dyDescent="0.2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 x14ac:dyDescent="0.2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 x14ac:dyDescent="0.2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 x14ac:dyDescent="0.2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 x14ac:dyDescent="0.2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 x14ac:dyDescent="0.2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 x14ac:dyDescent="0.2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 x14ac:dyDescent="0.2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 x14ac:dyDescent="0.2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 x14ac:dyDescent="0.2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 x14ac:dyDescent="0.2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 x14ac:dyDescent="0.2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 x14ac:dyDescent="0.2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 x14ac:dyDescent="0.2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 x14ac:dyDescent="0.2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 x14ac:dyDescent="0.2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 x14ac:dyDescent="0.2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 x14ac:dyDescent="0.2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 x14ac:dyDescent="0.2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 x14ac:dyDescent="0.2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 x14ac:dyDescent="0.2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 x14ac:dyDescent="0.2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 x14ac:dyDescent="0.2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 x14ac:dyDescent="0.2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 x14ac:dyDescent="0.2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 x14ac:dyDescent="0.2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 x14ac:dyDescent="0.2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 x14ac:dyDescent="0.2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 x14ac:dyDescent="0.2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 x14ac:dyDescent="0.2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 x14ac:dyDescent="0.2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 x14ac:dyDescent="0.2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 x14ac:dyDescent="0.2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 x14ac:dyDescent="0.2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 x14ac:dyDescent="0.2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 x14ac:dyDescent="0.2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 x14ac:dyDescent="0.2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 x14ac:dyDescent="0.2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 x14ac:dyDescent="0.2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 x14ac:dyDescent="0.2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 x14ac:dyDescent="0.2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 x14ac:dyDescent="0.2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 x14ac:dyDescent="0.2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 x14ac:dyDescent="0.2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 x14ac:dyDescent="0.2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 x14ac:dyDescent="0.2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 x14ac:dyDescent="0.2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 x14ac:dyDescent="0.2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 x14ac:dyDescent="0.2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 x14ac:dyDescent="0.2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 x14ac:dyDescent="0.2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 x14ac:dyDescent="0.2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 x14ac:dyDescent="0.2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 x14ac:dyDescent="0.2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 x14ac:dyDescent="0.2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 x14ac:dyDescent="0.2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 x14ac:dyDescent="0.2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 x14ac:dyDescent="0.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 x14ac:dyDescent="0.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 x14ac:dyDescent="0.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 x14ac:dyDescent="0.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 x14ac:dyDescent="0.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 x14ac:dyDescent="0.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 x14ac:dyDescent="0.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 x14ac:dyDescent="0.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 x14ac:dyDescent="0.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 x14ac:dyDescent="0.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 x14ac:dyDescent="0.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 x14ac:dyDescent="0.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 x14ac:dyDescent="0.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 x14ac:dyDescent="0.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 x14ac:dyDescent="0.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 x14ac:dyDescent="0.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 x14ac:dyDescent="0.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 x14ac:dyDescent="0.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 x14ac:dyDescent="0.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 x14ac:dyDescent="0.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 x14ac:dyDescent="0.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 x14ac:dyDescent="0.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 x14ac:dyDescent="0.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 x14ac:dyDescent="0.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 x14ac:dyDescent="0.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 x14ac:dyDescent="0.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 x14ac:dyDescent="0.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 x14ac:dyDescent="0.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 x14ac:dyDescent="0.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 x14ac:dyDescent="0.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 x14ac:dyDescent="0.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 x14ac:dyDescent="0.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 x14ac:dyDescent="0.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 x14ac:dyDescent="0.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 x14ac:dyDescent="0.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 x14ac:dyDescent="0.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 x14ac:dyDescent="0.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 x14ac:dyDescent="0.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 x14ac:dyDescent="0.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 x14ac:dyDescent="0.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 x14ac:dyDescent="0.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 x14ac:dyDescent="0.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 x14ac:dyDescent="0.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 x14ac:dyDescent="0.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 x14ac:dyDescent="0.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 x14ac:dyDescent="0.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 x14ac:dyDescent="0.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 x14ac:dyDescent="0.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 x14ac:dyDescent="0.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 x14ac:dyDescent="0.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 x14ac:dyDescent="0.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 x14ac:dyDescent="0.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 x14ac:dyDescent="0.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 x14ac:dyDescent="0.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 x14ac:dyDescent="0.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 x14ac:dyDescent="0.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 x14ac:dyDescent="0.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 x14ac:dyDescent="0.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 x14ac:dyDescent="0.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 x14ac:dyDescent="0.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 x14ac:dyDescent="0.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 x14ac:dyDescent="0.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 x14ac:dyDescent="0.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 x14ac:dyDescent="0.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 x14ac:dyDescent="0.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 x14ac:dyDescent="0.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 x14ac:dyDescent="0.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 x14ac:dyDescent="0.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 x14ac:dyDescent="0.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 x14ac:dyDescent="0.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 x14ac:dyDescent="0.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 x14ac:dyDescent="0.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 x14ac:dyDescent="0.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 x14ac:dyDescent="0.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 x14ac:dyDescent="0.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 x14ac:dyDescent="0.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 x14ac:dyDescent="0.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 x14ac:dyDescent="0.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 x14ac:dyDescent="0.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 x14ac:dyDescent="0.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 x14ac:dyDescent="0.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 x14ac:dyDescent="0.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 x14ac:dyDescent="0.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 x14ac:dyDescent="0.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 x14ac:dyDescent="0.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 x14ac:dyDescent="0.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 x14ac:dyDescent="0.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 x14ac:dyDescent="0.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 x14ac:dyDescent="0.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 x14ac:dyDescent="0.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 x14ac:dyDescent="0.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 x14ac:dyDescent="0.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 x14ac:dyDescent="0.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 x14ac:dyDescent="0.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 x14ac:dyDescent="0.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 x14ac:dyDescent="0.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 x14ac:dyDescent="0.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 x14ac:dyDescent="0.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 x14ac:dyDescent="0.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 x14ac:dyDescent="0.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 x14ac:dyDescent="0.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 x14ac:dyDescent="0.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 x14ac:dyDescent="0.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 x14ac:dyDescent="0.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 x14ac:dyDescent="0.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 x14ac:dyDescent="0.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 x14ac:dyDescent="0.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 x14ac:dyDescent="0.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 x14ac:dyDescent="0.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 x14ac:dyDescent="0.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 x14ac:dyDescent="0.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 x14ac:dyDescent="0.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 x14ac:dyDescent="0.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 x14ac:dyDescent="0.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 x14ac:dyDescent="0.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 x14ac:dyDescent="0.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 x14ac:dyDescent="0.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 x14ac:dyDescent="0.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 x14ac:dyDescent="0.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 x14ac:dyDescent="0.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 x14ac:dyDescent="0.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 x14ac:dyDescent="0.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 x14ac:dyDescent="0.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 x14ac:dyDescent="0.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 x14ac:dyDescent="0.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 x14ac:dyDescent="0.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 x14ac:dyDescent="0.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 x14ac:dyDescent="0.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 x14ac:dyDescent="0.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 x14ac:dyDescent="0.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 x14ac:dyDescent="0.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 x14ac:dyDescent="0.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 x14ac:dyDescent="0.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 x14ac:dyDescent="0.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 x14ac:dyDescent="0.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 x14ac:dyDescent="0.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 x14ac:dyDescent="0.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 x14ac:dyDescent="0.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 x14ac:dyDescent="0.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 x14ac:dyDescent="0.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 x14ac:dyDescent="0.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 x14ac:dyDescent="0.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 x14ac:dyDescent="0.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 x14ac:dyDescent="0.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 x14ac:dyDescent="0.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 x14ac:dyDescent="0.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 x14ac:dyDescent="0.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 x14ac:dyDescent="0.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 x14ac:dyDescent="0.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 x14ac:dyDescent="0.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 x14ac:dyDescent="0.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 x14ac:dyDescent="0.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 x14ac:dyDescent="0.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 x14ac:dyDescent="0.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 x14ac:dyDescent="0.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 x14ac:dyDescent="0.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 x14ac:dyDescent="0.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 x14ac:dyDescent="0.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 x14ac:dyDescent="0.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 x14ac:dyDescent="0.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 x14ac:dyDescent="0.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 x14ac:dyDescent="0.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 x14ac:dyDescent="0.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 x14ac:dyDescent="0.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 x14ac:dyDescent="0.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 x14ac:dyDescent="0.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 x14ac:dyDescent="0.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 x14ac:dyDescent="0.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 x14ac:dyDescent="0.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 x14ac:dyDescent="0.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 x14ac:dyDescent="0.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 x14ac:dyDescent="0.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 x14ac:dyDescent="0.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 x14ac:dyDescent="0.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 x14ac:dyDescent="0.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 x14ac:dyDescent="0.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 x14ac:dyDescent="0.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 x14ac:dyDescent="0.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 x14ac:dyDescent="0.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 x14ac:dyDescent="0.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 x14ac:dyDescent="0.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 x14ac:dyDescent="0.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 x14ac:dyDescent="0.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 x14ac:dyDescent="0.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 x14ac:dyDescent="0.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 x14ac:dyDescent="0.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 x14ac:dyDescent="0.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 x14ac:dyDescent="0.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 x14ac:dyDescent="0.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 x14ac:dyDescent="0.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 x14ac:dyDescent="0.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 x14ac:dyDescent="0.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 x14ac:dyDescent="0.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 x14ac:dyDescent="0.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 x14ac:dyDescent="0.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 x14ac:dyDescent="0.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 x14ac:dyDescent="0.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 x14ac:dyDescent="0.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 x14ac:dyDescent="0.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 x14ac:dyDescent="0.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 x14ac:dyDescent="0.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 x14ac:dyDescent="0.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 x14ac:dyDescent="0.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 x14ac:dyDescent="0.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 x14ac:dyDescent="0.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 x14ac:dyDescent="0.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 x14ac:dyDescent="0.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 x14ac:dyDescent="0.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 x14ac:dyDescent="0.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 x14ac:dyDescent="0.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 x14ac:dyDescent="0.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 x14ac:dyDescent="0.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 x14ac:dyDescent="0.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 x14ac:dyDescent="0.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 x14ac:dyDescent="0.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 x14ac:dyDescent="0.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 x14ac:dyDescent="0.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 x14ac:dyDescent="0.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 x14ac:dyDescent="0.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 x14ac:dyDescent="0.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 x14ac:dyDescent="0.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 x14ac:dyDescent="0.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 x14ac:dyDescent="0.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 x14ac:dyDescent="0.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 x14ac:dyDescent="0.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 x14ac:dyDescent="0.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 x14ac:dyDescent="0.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 x14ac:dyDescent="0.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 x14ac:dyDescent="0.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 x14ac:dyDescent="0.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 x14ac:dyDescent="0.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 x14ac:dyDescent="0.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 x14ac:dyDescent="0.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 x14ac:dyDescent="0.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 x14ac:dyDescent="0.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 x14ac:dyDescent="0.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 x14ac:dyDescent="0.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 x14ac:dyDescent="0.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 x14ac:dyDescent="0.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 x14ac:dyDescent="0.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 x14ac:dyDescent="0.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 x14ac:dyDescent="0.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 x14ac:dyDescent="0.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 x14ac:dyDescent="0.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 x14ac:dyDescent="0.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 x14ac:dyDescent="0.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 x14ac:dyDescent="0.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 x14ac:dyDescent="0.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 x14ac:dyDescent="0.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 x14ac:dyDescent="0.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 x14ac:dyDescent="0.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 x14ac:dyDescent="0.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 x14ac:dyDescent="0.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 x14ac:dyDescent="0.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 x14ac:dyDescent="0.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 x14ac:dyDescent="0.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 x14ac:dyDescent="0.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 x14ac:dyDescent="0.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 x14ac:dyDescent="0.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 x14ac:dyDescent="0.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 x14ac:dyDescent="0.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 x14ac:dyDescent="0.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 x14ac:dyDescent="0.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 x14ac:dyDescent="0.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 x14ac:dyDescent="0.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 x14ac:dyDescent="0.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 x14ac:dyDescent="0.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 x14ac:dyDescent="0.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 x14ac:dyDescent="0.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 x14ac:dyDescent="0.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 x14ac:dyDescent="0.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 x14ac:dyDescent="0.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 x14ac:dyDescent="0.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 x14ac:dyDescent="0.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 x14ac:dyDescent="0.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 x14ac:dyDescent="0.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 x14ac:dyDescent="0.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 x14ac:dyDescent="0.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 x14ac:dyDescent="0.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 x14ac:dyDescent="0.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 x14ac:dyDescent="0.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 x14ac:dyDescent="0.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 x14ac:dyDescent="0.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 x14ac:dyDescent="0.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 x14ac:dyDescent="0.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 x14ac:dyDescent="0.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 x14ac:dyDescent="0.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 x14ac:dyDescent="0.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 x14ac:dyDescent="0.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 x14ac:dyDescent="0.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 x14ac:dyDescent="0.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 x14ac:dyDescent="0.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 x14ac:dyDescent="0.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 x14ac:dyDescent="0.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 x14ac:dyDescent="0.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 x14ac:dyDescent="0.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 x14ac:dyDescent="0.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 x14ac:dyDescent="0.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 x14ac:dyDescent="0.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 x14ac:dyDescent="0.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 x14ac:dyDescent="0.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 x14ac:dyDescent="0.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 x14ac:dyDescent="0.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 x14ac:dyDescent="0.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 x14ac:dyDescent="0.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 x14ac:dyDescent="0.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 x14ac:dyDescent="0.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 x14ac:dyDescent="0.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 x14ac:dyDescent="0.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 x14ac:dyDescent="0.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 x14ac:dyDescent="0.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 x14ac:dyDescent="0.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 x14ac:dyDescent="0.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 x14ac:dyDescent="0.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 x14ac:dyDescent="0.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 x14ac:dyDescent="0.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 x14ac:dyDescent="0.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 x14ac:dyDescent="0.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 x14ac:dyDescent="0.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 x14ac:dyDescent="0.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 x14ac:dyDescent="0.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 x14ac:dyDescent="0.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 x14ac:dyDescent="0.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 x14ac:dyDescent="0.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818"/>
  <sheetViews>
    <sheetView zoomScaleNormal="100" workbookViewId="0">
      <selection activeCell="M3" sqref="M3:S418"/>
    </sheetView>
  </sheetViews>
  <sheetFormatPr defaultRowHeight="11.25" x14ac:dyDescent="0.1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 x14ac:dyDescent="0.25">
      <c r="A1" s="14"/>
      <c r="B1" s="13"/>
      <c r="C1" s="11"/>
      <c r="D1" s="29"/>
      <c r="E1" s="128" t="s">
        <v>2</v>
      </c>
      <c r="F1" s="128"/>
      <c r="G1" s="128"/>
      <c r="H1" s="128"/>
      <c r="I1" s="128"/>
      <c r="J1" s="128"/>
      <c r="K1" s="129"/>
      <c r="L1" s="11"/>
      <c r="M1" s="127" t="s">
        <v>3</v>
      </c>
      <c r="N1" s="128"/>
      <c r="O1" s="128"/>
      <c r="P1" s="128"/>
      <c r="Q1" s="128"/>
      <c r="R1" s="128"/>
      <c r="S1" s="129"/>
      <c r="T1" s="34"/>
      <c r="U1" s="127" t="s">
        <v>10</v>
      </c>
      <c r="V1" s="128"/>
      <c r="W1" s="129"/>
      <c r="X1" s="29"/>
      <c r="Y1" s="130" t="s">
        <v>1</v>
      </c>
      <c r="Z1" s="130"/>
      <c r="AA1" s="131"/>
      <c r="AC1" s="127" t="s">
        <v>62</v>
      </c>
      <c r="AD1" s="128"/>
      <c r="AE1" s="128"/>
      <c r="AF1" s="128"/>
      <c r="AG1" s="128"/>
      <c r="AH1" s="128"/>
      <c r="AI1" s="129"/>
    </row>
    <row r="2" spans="1:35" ht="12.75" thickBot="1" x14ac:dyDescent="0.25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 x14ac:dyDescent="0.2">
      <c r="A3" s="26" t="s">
        <v>18</v>
      </c>
      <c r="B3" s="35" t="s">
        <v>11</v>
      </c>
      <c r="C3" s="28" t="s">
        <v>26</v>
      </c>
      <c r="D3" s="31">
        <v>25</v>
      </c>
      <c r="E3" s="45">
        <v>878.15440000000001</v>
      </c>
      <c r="F3" s="45">
        <v>43.095199999999998</v>
      </c>
      <c r="G3" s="45">
        <v>43.402000000000001</v>
      </c>
      <c r="H3" s="45">
        <v>43.971200000000003</v>
      </c>
      <c r="I3" s="79"/>
      <c r="J3" s="79"/>
      <c r="K3" s="80"/>
      <c r="L3" s="29"/>
      <c r="M3" s="45">
        <v>878.15440000000001</v>
      </c>
      <c r="N3" s="45">
        <v>43.095199999999998</v>
      </c>
      <c r="O3" s="45">
        <v>43.402000000000001</v>
      </c>
      <c r="P3" s="45">
        <v>43.971200000000003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 x14ac:dyDescent="0.2">
      <c r="A4" s="27"/>
      <c r="B4" s="36"/>
      <c r="C4" s="29"/>
      <c r="D4" s="32">
        <v>30</v>
      </c>
      <c r="E4" s="46">
        <v>481.56639999999999</v>
      </c>
      <c r="F4" s="46">
        <v>41.045999999999999</v>
      </c>
      <c r="G4" s="46">
        <v>42.140300000000003</v>
      </c>
      <c r="H4" s="46">
        <v>42.332299999999996</v>
      </c>
      <c r="I4" s="66"/>
      <c r="J4" s="66"/>
      <c r="K4" s="67"/>
      <c r="L4" s="29"/>
      <c r="M4" s="46">
        <v>481.56639999999999</v>
      </c>
      <c r="N4" s="46">
        <v>41.045999999999999</v>
      </c>
      <c r="O4" s="46">
        <v>42.140300000000003</v>
      </c>
      <c r="P4" s="46">
        <v>42.332299999999996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 x14ac:dyDescent="0.2">
      <c r="A5" s="27"/>
      <c r="B5" s="36"/>
      <c r="C5" s="29"/>
      <c r="D5" s="32">
        <v>35</v>
      </c>
      <c r="E5" s="46">
        <v>277.18239999999997</v>
      </c>
      <c r="F5" s="46">
        <v>38.456600000000002</v>
      </c>
      <c r="G5" s="46">
        <v>40.6462</v>
      </c>
      <c r="H5" s="46">
        <v>40.521599999999999</v>
      </c>
      <c r="I5" s="66"/>
      <c r="J5" s="66"/>
      <c r="K5" s="67"/>
      <c r="L5" s="29"/>
      <c r="M5" s="46">
        <v>277.18239999999997</v>
      </c>
      <c r="N5" s="46">
        <v>38.456600000000002</v>
      </c>
      <c r="O5" s="46">
        <v>40.6462</v>
      </c>
      <c r="P5" s="46">
        <v>40.521599999999999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 x14ac:dyDescent="0.25">
      <c r="A6" s="27"/>
      <c r="B6" s="36"/>
      <c r="C6" s="29"/>
      <c r="D6" s="32">
        <v>40</v>
      </c>
      <c r="E6" s="46">
        <v>167.7</v>
      </c>
      <c r="F6" s="46">
        <v>35.633899999999997</v>
      </c>
      <c r="G6" s="46">
        <v>39.5593</v>
      </c>
      <c r="H6" s="46">
        <v>39.209499999999998</v>
      </c>
      <c r="I6" s="66"/>
      <c r="J6" s="66"/>
      <c r="K6" s="67"/>
      <c r="L6" s="29"/>
      <c r="M6" s="46">
        <v>167.7</v>
      </c>
      <c r="N6" s="46">
        <v>35.633899999999997</v>
      </c>
      <c r="O6" s="46">
        <v>39.5593</v>
      </c>
      <c r="P6" s="46">
        <v>39.209499999999998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 x14ac:dyDescent="0.2">
      <c r="A7" s="27"/>
      <c r="B7" s="36"/>
      <c r="C7" s="28" t="s">
        <v>27</v>
      </c>
      <c r="D7" s="31">
        <v>25</v>
      </c>
      <c r="E7" s="45">
        <v>271.3648</v>
      </c>
      <c r="F7" s="45">
        <v>42.231299999999997</v>
      </c>
      <c r="G7" s="45">
        <v>43.100700000000003</v>
      </c>
      <c r="H7" s="45">
        <v>43.132300000000001</v>
      </c>
      <c r="I7" s="79"/>
      <c r="J7" s="79"/>
      <c r="K7" s="80"/>
      <c r="L7" s="29"/>
      <c r="M7" s="45">
        <v>270.72640000000001</v>
      </c>
      <c r="N7" s="45">
        <v>42.229100000000003</v>
      </c>
      <c r="O7" s="45">
        <v>43.100099999999998</v>
      </c>
      <c r="P7" s="45">
        <v>43.129600000000003</v>
      </c>
      <c r="Q7" s="79"/>
      <c r="R7" s="79"/>
      <c r="S7" s="80"/>
      <c r="U7" s="8">
        <f>bdrate($E7:$E10,F7:F10,$M7:$M10,N7:N10)</f>
        <v>-2.0419738752153194E-4</v>
      </c>
      <c r="V7" s="9">
        <f>bdrate($E7:$E10,G7:G10,$M7:$M10,O7:O10)</f>
        <v>-8.876028192245089E-4</v>
      </c>
      <c r="W7" s="10">
        <f>bdrate($E7:$E10,H7:H10,$M7:$M10,P7:P10)</f>
        <v>-4.350791818574784E-5</v>
      </c>
      <c r="X7" s="29"/>
      <c r="Y7" s="24"/>
      <c r="Z7" s="24"/>
      <c r="AA7" s="27"/>
      <c r="AC7" s="45">
        <f t="shared" si="0"/>
        <v>0.63839999999999009</v>
      </c>
      <c r="AD7" s="45">
        <f t="shared" si="0"/>
        <v>2.1999999999948727E-3</v>
      </c>
      <c r="AE7" s="45">
        <f t="shared" si="0"/>
        <v>6.0000000000570708E-4</v>
      </c>
      <c r="AF7" s="45">
        <f t="shared" si="0"/>
        <v>2.6999999999972601E-3</v>
      </c>
      <c r="AG7" s="79"/>
      <c r="AH7" s="79"/>
      <c r="AI7" s="80"/>
    </row>
    <row r="8" spans="1:35" ht="12" x14ac:dyDescent="0.2">
      <c r="A8" s="27"/>
      <c r="B8" s="36"/>
      <c r="C8" s="29"/>
      <c r="D8" s="32">
        <v>30</v>
      </c>
      <c r="E8" s="46">
        <v>123.68640000000001</v>
      </c>
      <c r="F8" s="46">
        <v>39.918700000000001</v>
      </c>
      <c r="G8" s="46">
        <v>41.823799999999999</v>
      </c>
      <c r="H8" s="46">
        <v>41.531199999999998</v>
      </c>
      <c r="I8" s="66"/>
      <c r="J8" s="66"/>
      <c r="K8" s="67"/>
      <c r="L8" s="29"/>
      <c r="M8" s="46">
        <v>123.37520000000001</v>
      </c>
      <c r="N8" s="46">
        <v>39.9178</v>
      </c>
      <c r="O8" s="46">
        <v>41.822600000000001</v>
      </c>
      <c r="P8" s="46">
        <v>41.525100000000002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0.31119999999999948</v>
      </c>
      <c r="AD8" s="46">
        <f t="shared" si="0"/>
        <v>9.0000000000145519E-4</v>
      </c>
      <c r="AE8" s="46">
        <f t="shared" si="0"/>
        <v>1.1999999999972033E-3</v>
      </c>
      <c r="AF8" s="46">
        <f t="shared" si="0"/>
        <v>6.0999999999964416E-3</v>
      </c>
      <c r="AG8" s="66"/>
      <c r="AH8" s="66"/>
      <c r="AI8" s="67"/>
    </row>
    <row r="9" spans="1:35" ht="12" x14ac:dyDescent="0.2">
      <c r="A9" s="27"/>
      <c r="B9" s="36"/>
      <c r="C9" s="29"/>
      <c r="D9" s="32">
        <v>35</v>
      </c>
      <c r="E9" s="46">
        <v>64.501599999999996</v>
      </c>
      <c r="F9" s="46">
        <v>37.316499999999998</v>
      </c>
      <c r="G9" s="46">
        <v>40.5687</v>
      </c>
      <c r="H9" s="46">
        <v>40.043300000000002</v>
      </c>
      <c r="I9" s="66"/>
      <c r="J9" s="66"/>
      <c r="K9" s="67"/>
      <c r="L9" s="29"/>
      <c r="M9" s="46">
        <v>64.612799999999993</v>
      </c>
      <c r="N9" s="46">
        <v>37.314900000000002</v>
      </c>
      <c r="O9" s="46">
        <v>40.570900000000002</v>
      </c>
      <c r="P9" s="46">
        <v>40.045699999999997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-0.11119999999999663</v>
      </c>
      <c r="AD9" s="46">
        <f t="shared" si="0"/>
        <v>1.5999999999962711E-3</v>
      </c>
      <c r="AE9" s="46">
        <f t="shared" si="0"/>
        <v>-2.2000000000019782E-3</v>
      </c>
      <c r="AF9" s="46">
        <f t="shared" si="0"/>
        <v>-2.3999999999944066E-3</v>
      </c>
      <c r="AG9" s="66"/>
      <c r="AH9" s="66"/>
      <c r="AI9" s="67"/>
    </row>
    <row r="10" spans="1:35" ht="12.75" thickBot="1" x14ac:dyDescent="0.25">
      <c r="A10" s="27"/>
      <c r="B10" s="36"/>
      <c r="C10" s="29"/>
      <c r="D10" s="32">
        <v>40</v>
      </c>
      <c r="E10" s="46">
        <v>33.990400000000001</v>
      </c>
      <c r="F10" s="46">
        <v>34.587800000000001</v>
      </c>
      <c r="G10" s="46">
        <v>39.472900000000003</v>
      </c>
      <c r="H10" s="46">
        <v>38.8078</v>
      </c>
      <c r="I10" s="66"/>
      <c r="J10" s="66"/>
      <c r="K10" s="67"/>
      <c r="L10" s="29"/>
      <c r="M10" s="46">
        <v>33.957599999999999</v>
      </c>
      <c r="N10" s="46">
        <v>34.586599999999997</v>
      </c>
      <c r="O10" s="46">
        <v>39.4724</v>
      </c>
      <c r="P10" s="46">
        <v>38.809800000000003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3.2800000000001717E-2</v>
      </c>
      <c r="AD10" s="46">
        <f t="shared" si="0"/>
        <v>1.2000000000043087E-3</v>
      </c>
      <c r="AE10" s="46">
        <f t="shared" si="0"/>
        <v>5.0000000000238742E-4</v>
      </c>
      <c r="AF10" s="46">
        <f t="shared" si="0"/>
        <v>-2.0000000000024443E-3</v>
      </c>
      <c r="AG10" s="66"/>
      <c r="AH10" s="66"/>
      <c r="AI10" s="67"/>
    </row>
    <row r="11" spans="1:35" ht="12" x14ac:dyDescent="0.2">
      <c r="A11" s="27"/>
      <c r="B11" s="36"/>
      <c r="C11" s="28" t="s">
        <v>28</v>
      </c>
      <c r="D11" s="31">
        <v>25</v>
      </c>
      <c r="E11" s="45">
        <v>300.5136</v>
      </c>
      <c r="F11" s="45">
        <v>41.904000000000003</v>
      </c>
      <c r="G11" s="45">
        <v>42.547400000000003</v>
      </c>
      <c r="H11" s="45">
        <v>42.867899999999999</v>
      </c>
      <c r="I11" s="79"/>
      <c r="J11" s="79"/>
      <c r="K11" s="80"/>
      <c r="L11" s="29"/>
      <c r="M11" s="45">
        <v>300.0104</v>
      </c>
      <c r="N11" s="45">
        <v>41.902999999999999</v>
      </c>
      <c r="O11" s="45">
        <v>42.553100000000001</v>
      </c>
      <c r="P11" s="45">
        <v>42.8735</v>
      </c>
      <c r="Q11" s="79"/>
      <c r="R11" s="79"/>
      <c r="S11" s="80"/>
      <c r="U11" s="8">
        <f>bdrate($E11:$E14,F11:F14,$M11:$M14,N11:N14)</f>
        <v>-1.3304791837598362E-4</v>
      </c>
      <c r="V11" s="9">
        <f>bdrate($E11:$E14,G11:G14,$M11:$M14,O11:O14)</f>
        <v>-1.4920801663296235E-3</v>
      </c>
      <c r="W11" s="10">
        <f>bdrate($E11:$E14,H11:H14,$M11:$M14,P11:P14)</f>
        <v>-6.4539740230962206E-4</v>
      </c>
      <c r="X11" s="29"/>
      <c r="Y11" s="24"/>
      <c r="Z11" s="24"/>
      <c r="AA11" s="27"/>
      <c r="AC11" s="45">
        <f t="shared" si="0"/>
        <v>0.50319999999999254</v>
      </c>
      <c r="AD11" s="45">
        <f t="shared" si="0"/>
        <v>1.0000000000047748E-3</v>
      </c>
      <c r="AE11" s="45">
        <f t="shared" si="0"/>
        <v>-5.6999999999973738E-3</v>
      </c>
      <c r="AF11" s="45">
        <f t="shared" si="0"/>
        <v>-5.6000000000011596E-3</v>
      </c>
      <c r="AG11" s="79"/>
      <c r="AH11" s="79"/>
      <c r="AI11" s="80"/>
    </row>
    <row r="12" spans="1:35" ht="12" x14ac:dyDescent="0.2">
      <c r="A12" s="27"/>
      <c r="B12" s="36"/>
      <c r="C12" s="29"/>
      <c r="D12" s="32">
        <v>30</v>
      </c>
      <c r="E12" s="46">
        <v>136.1576</v>
      </c>
      <c r="F12" s="46">
        <v>39.671799999999998</v>
      </c>
      <c r="G12" s="46">
        <v>41.228299999999997</v>
      </c>
      <c r="H12" s="46">
        <v>41.300699999999999</v>
      </c>
      <c r="I12" s="66"/>
      <c r="J12" s="66"/>
      <c r="K12" s="67"/>
      <c r="L12" s="29"/>
      <c r="M12" s="46">
        <v>136.1224</v>
      </c>
      <c r="N12" s="46">
        <v>39.671999999999997</v>
      </c>
      <c r="O12" s="46">
        <v>41.2301</v>
      </c>
      <c r="P12" s="46">
        <v>41.301499999999997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3.5200000000003229E-2</v>
      </c>
      <c r="AD12" s="46">
        <f t="shared" si="0"/>
        <v>-1.9999999999953388E-4</v>
      </c>
      <c r="AE12" s="46">
        <f t="shared" si="0"/>
        <v>-1.8000000000029104E-3</v>
      </c>
      <c r="AF12" s="46">
        <f t="shared" si="0"/>
        <v>-7.9999999999813554E-4</v>
      </c>
      <c r="AG12" s="66"/>
      <c r="AH12" s="66"/>
      <c r="AI12" s="67"/>
    </row>
    <row r="13" spans="1:35" ht="12" x14ac:dyDescent="0.2">
      <c r="A13" s="27"/>
      <c r="B13" s="36"/>
      <c r="C13" s="29"/>
      <c r="D13" s="32">
        <v>35</v>
      </c>
      <c r="E13" s="46">
        <v>71.231200000000001</v>
      </c>
      <c r="F13" s="46">
        <v>37.108899999999998</v>
      </c>
      <c r="G13" s="46">
        <v>40.063299999999998</v>
      </c>
      <c r="H13" s="46">
        <v>39.855499999999999</v>
      </c>
      <c r="I13" s="66"/>
      <c r="J13" s="66"/>
      <c r="K13" s="67"/>
      <c r="L13" s="29"/>
      <c r="M13" s="46">
        <v>71.343199999999996</v>
      </c>
      <c r="N13" s="46">
        <v>37.113700000000001</v>
      </c>
      <c r="O13" s="46">
        <v>40.066000000000003</v>
      </c>
      <c r="P13" s="46">
        <v>39.857500000000002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-0.11199999999999477</v>
      </c>
      <c r="AD13" s="46">
        <f t="shared" si="0"/>
        <v>-4.8000000000030241E-3</v>
      </c>
      <c r="AE13" s="46">
        <f t="shared" si="0"/>
        <v>-2.7000000000043656E-3</v>
      </c>
      <c r="AF13" s="46">
        <f t="shared" si="0"/>
        <v>-2.0000000000024443E-3</v>
      </c>
      <c r="AG13" s="66"/>
      <c r="AH13" s="66"/>
      <c r="AI13" s="67"/>
    </row>
    <row r="14" spans="1:35" ht="12.75" thickBot="1" x14ac:dyDescent="0.25">
      <c r="A14" s="27"/>
      <c r="B14" s="36"/>
      <c r="C14" s="53"/>
      <c r="D14" s="71">
        <v>40</v>
      </c>
      <c r="E14" s="72">
        <v>37.706400000000002</v>
      </c>
      <c r="F14" s="72">
        <v>34.400199999999998</v>
      </c>
      <c r="G14" s="72">
        <v>38.994900000000001</v>
      </c>
      <c r="H14" s="72">
        <v>38.602899999999998</v>
      </c>
      <c r="I14" s="68"/>
      <c r="J14" s="68"/>
      <c r="K14" s="69"/>
      <c r="L14" s="29"/>
      <c r="M14" s="72">
        <v>37.715200000000003</v>
      </c>
      <c r="N14" s="72">
        <v>34.402999999999999</v>
      </c>
      <c r="O14" s="72">
        <v>38.998800000000003</v>
      </c>
      <c r="P14" s="72">
        <v>38.602499999999999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-8.8000000000008072E-3</v>
      </c>
      <c r="AD14" s="72">
        <f t="shared" si="0"/>
        <v>-2.8000000000005798E-3</v>
      </c>
      <c r="AE14" s="72">
        <f t="shared" si="0"/>
        <v>-3.9000000000015689E-3</v>
      </c>
      <c r="AF14" s="72">
        <f t="shared" si="0"/>
        <v>3.9999999999906777E-4</v>
      </c>
      <c r="AG14" s="68"/>
      <c r="AH14" s="68"/>
      <c r="AI14" s="69"/>
    </row>
    <row r="15" spans="1:35" ht="12" x14ac:dyDescent="0.2">
      <c r="A15" s="27"/>
      <c r="B15" s="36"/>
      <c r="C15" s="28" t="s">
        <v>29</v>
      </c>
      <c r="D15" s="31">
        <v>34</v>
      </c>
      <c r="E15" s="45">
        <v>116.8232</v>
      </c>
      <c r="F15" s="45">
        <v>39.599200000000003</v>
      </c>
      <c r="G15" s="78"/>
      <c r="H15" s="78"/>
      <c r="I15" s="79"/>
      <c r="J15" s="79"/>
      <c r="K15" s="80"/>
      <c r="L15" s="29"/>
      <c r="M15" s="45">
        <v>116.6264</v>
      </c>
      <c r="N15" s="45">
        <v>39.600299999999997</v>
      </c>
      <c r="O15" s="78"/>
      <c r="P15" s="78"/>
      <c r="Q15" s="79"/>
      <c r="R15" s="79"/>
      <c r="S15" s="80"/>
      <c r="U15" s="8">
        <f>bdrate($E15:$E18,F15:F18,$M15:$M18,N15:N18)</f>
        <v>6.485887101970178E-5</v>
      </c>
      <c r="V15" s="9"/>
      <c r="W15" s="10"/>
      <c r="X15" s="29"/>
      <c r="Y15" s="24"/>
      <c r="Z15" s="24"/>
      <c r="AA15" s="27"/>
      <c r="AC15" s="45">
        <f t="shared" si="0"/>
        <v>0.19679999999999609</v>
      </c>
      <c r="AD15" s="45">
        <f t="shared" si="0"/>
        <v>-1.0999999999938836E-3</v>
      </c>
      <c r="AE15" s="78"/>
      <c r="AF15" s="78"/>
      <c r="AG15" s="79"/>
      <c r="AH15" s="79"/>
      <c r="AI15" s="80"/>
    </row>
    <row r="16" spans="1:35" ht="12" x14ac:dyDescent="0.2">
      <c r="A16" s="27"/>
      <c r="B16" s="36"/>
      <c r="C16" s="29"/>
      <c r="D16" s="32">
        <v>39</v>
      </c>
      <c r="E16" s="46">
        <v>38.872799999999998</v>
      </c>
      <c r="F16" s="46">
        <v>36.445700000000002</v>
      </c>
      <c r="G16" s="70"/>
      <c r="H16" s="70"/>
      <c r="I16" s="66"/>
      <c r="J16" s="66"/>
      <c r="K16" s="67"/>
      <c r="L16" s="29"/>
      <c r="M16" s="46">
        <v>38.884</v>
      </c>
      <c r="N16" s="46">
        <v>36.444299999999998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-1.1200000000002319E-2</v>
      </c>
      <c r="AD16" s="46">
        <f t="shared" si="0"/>
        <v>1.4000000000038426E-3</v>
      </c>
      <c r="AE16" s="70"/>
      <c r="AF16" s="70"/>
      <c r="AG16" s="66"/>
      <c r="AH16" s="66"/>
      <c r="AI16" s="67"/>
    </row>
    <row r="17" spans="1:35" ht="12" x14ac:dyDescent="0.2">
      <c r="A17" s="27"/>
      <c r="B17" s="36"/>
      <c r="C17" s="29"/>
      <c r="D17" s="32">
        <v>42</v>
      </c>
      <c r="E17" s="46">
        <v>16.860800000000001</v>
      </c>
      <c r="F17" s="46">
        <v>34.017800000000001</v>
      </c>
      <c r="G17" s="70"/>
      <c r="H17" s="70"/>
      <c r="I17" s="66"/>
      <c r="J17" s="66"/>
      <c r="K17" s="67"/>
      <c r="L17" s="29"/>
      <c r="M17" s="46">
        <v>16.857600000000001</v>
      </c>
      <c r="N17" s="46">
        <v>34.017200000000003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3.1999999999996476E-3</v>
      </c>
      <c r="AD17" s="46">
        <f t="shared" si="0"/>
        <v>5.9999999999860165E-4</v>
      </c>
      <c r="AE17" s="70"/>
      <c r="AF17" s="70"/>
      <c r="AG17" s="66"/>
      <c r="AH17" s="66"/>
      <c r="AI17" s="67"/>
    </row>
    <row r="18" spans="1:35" ht="12.75" thickBot="1" x14ac:dyDescent="0.25">
      <c r="A18" s="27"/>
      <c r="B18" s="36"/>
      <c r="C18" s="29"/>
      <c r="D18" s="32">
        <v>45</v>
      </c>
      <c r="E18" s="46">
        <v>8.5007999999999999</v>
      </c>
      <c r="F18" s="46">
        <v>31.5244</v>
      </c>
      <c r="G18" s="70"/>
      <c r="H18" s="70"/>
      <c r="I18" s="66"/>
      <c r="J18" s="66"/>
      <c r="K18" s="67"/>
      <c r="L18" s="29"/>
      <c r="M18" s="46">
        <v>8.4984000000000002</v>
      </c>
      <c r="N18" s="46">
        <v>31.521100000000001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2.3999999999997357E-3</v>
      </c>
      <c r="AD18" s="46">
        <f t="shared" si="0"/>
        <v>3.2999999999994145E-3</v>
      </c>
      <c r="AE18" s="70"/>
      <c r="AF18" s="70"/>
      <c r="AG18" s="66"/>
      <c r="AH18" s="66"/>
      <c r="AI18" s="67"/>
    </row>
    <row r="19" spans="1:35" ht="12" x14ac:dyDescent="0.2">
      <c r="A19" s="27"/>
      <c r="B19" s="36"/>
      <c r="C19" s="28" t="s">
        <v>30</v>
      </c>
      <c r="D19" s="31">
        <v>34</v>
      </c>
      <c r="E19" s="45">
        <v>86.380799999999994</v>
      </c>
      <c r="F19" s="45">
        <v>37.459299999999999</v>
      </c>
      <c r="G19" s="78"/>
      <c r="H19" s="78"/>
      <c r="I19" s="79"/>
      <c r="J19" s="79"/>
      <c r="K19" s="80"/>
      <c r="L19" s="29"/>
      <c r="M19" s="45">
        <v>86.511200000000002</v>
      </c>
      <c r="N19" s="45">
        <v>37.478700000000003</v>
      </c>
      <c r="O19" s="78"/>
      <c r="P19" s="78"/>
      <c r="Q19" s="79"/>
      <c r="R19" s="79"/>
      <c r="S19" s="80"/>
      <c r="U19" s="8">
        <f>bdrate($E19:$E22,F19:F22,$M19:$M22,N19:N22)</f>
        <v>1.4077535575518496E-4</v>
      </c>
      <c r="V19" s="9"/>
      <c r="W19" s="10"/>
      <c r="X19" s="29"/>
      <c r="Y19" s="24"/>
      <c r="Z19" s="24"/>
      <c r="AA19" s="27"/>
      <c r="AC19" s="45">
        <f t="shared" si="0"/>
        <v>-0.13040000000000873</v>
      </c>
      <c r="AD19" s="45">
        <f t="shared" si="0"/>
        <v>-1.9400000000004525E-2</v>
      </c>
      <c r="AE19" s="78"/>
      <c r="AF19" s="78"/>
      <c r="AG19" s="79"/>
      <c r="AH19" s="79"/>
      <c r="AI19" s="80"/>
    </row>
    <row r="20" spans="1:35" ht="12" x14ac:dyDescent="0.2">
      <c r="A20" s="27"/>
      <c r="B20" s="36"/>
      <c r="C20" s="29"/>
      <c r="D20" s="32">
        <v>39</v>
      </c>
      <c r="E20" s="46">
        <v>28.202400000000001</v>
      </c>
      <c r="F20" s="46">
        <v>34.4574</v>
      </c>
      <c r="G20" s="70"/>
      <c r="H20" s="70"/>
      <c r="I20" s="66"/>
      <c r="J20" s="66"/>
      <c r="K20" s="67"/>
      <c r="L20" s="29"/>
      <c r="M20" s="46">
        <v>28.249600000000001</v>
      </c>
      <c r="N20" s="46">
        <v>34.464300000000001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-4.7200000000000131E-2</v>
      </c>
      <c r="AD20" s="46">
        <f t="shared" si="0"/>
        <v>-6.9000000000016826E-3</v>
      </c>
      <c r="AE20" s="70"/>
      <c r="AF20" s="70"/>
      <c r="AG20" s="66"/>
      <c r="AH20" s="66"/>
      <c r="AI20" s="67"/>
    </row>
    <row r="21" spans="1:35" ht="12" x14ac:dyDescent="0.2">
      <c r="A21" s="27"/>
      <c r="B21" s="36"/>
      <c r="C21" s="29"/>
      <c r="D21" s="32">
        <v>42</v>
      </c>
      <c r="E21" s="46">
        <v>12.1264</v>
      </c>
      <c r="F21" s="46">
        <v>32.007399999999997</v>
      </c>
      <c r="G21" s="70"/>
      <c r="H21" s="70"/>
      <c r="I21" s="66"/>
      <c r="J21" s="66"/>
      <c r="K21" s="67"/>
      <c r="L21" s="29"/>
      <c r="M21" s="46">
        <v>12.0672</v>
      </c>
      <c r="N21" s="46">
        <v>31.9678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5.9200000000000585E-2</v>
      </c>
      <c r="AD21" s="46">
        <f t="shared" si="0"/>
        <v>3.9599999999996527E-2</v>
      </c>
      <c r="AE21" s="70"/>
      <c r="AF21" s="70"/>
      <c r="AG21" s="66"/>
      <c r="AH21" s="66"/>
      <c r="AI21" s="67"/>
    </row>
    <row r="22" spans="1:35" ht="12.75" thickBot="1" x14ac:dyDescent="0.25">
      <c r="A22" s="27"/>
      <c r="B22" s="36"/>
      <c r="C22" s="29"/>
      <c r="D22" s="32">
        <v>45</v>
      </c>
      <c r="E22" s="46">
        <v>5.8743999999999996</v>
      </c>
      <c r="F22" s="46">
        <v>29.363600000000002</v>
      </c>
      <c r="G22" s="70"/>
      <c r="H22" s="70"/>
      <c r="I22" s="66"/>
      <c r="J22" s="66"/>
      <c r="K22" s="67"/>
      <c r="L22" s="29"/>
      <c r="M22" s="46">
        <v>5.8040000000000003</v>
      </c>
      <c r="N22" s="46">
        <v>29.355399999999999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7.0399999999999352E-2</v>
      </c>
      <c r="AD22" s="46">
        <f t="shared" si="0"/>
        <v>8.2000000000022055E-3</v>
      </c>
      <c r="AE22" s="70"/>
      <c r="AF22" s="70"/>
      <c r="AG22" s="66"/>
      <c r="AH22" s="66"/>
      <c r="AI22" s="67"/>
    </row>
    <row r="23" spans="1:35" ht="12" x14ac:dyDescent="0.2">
      <c r="A23" s="27"/>
      <c r="B23" s="36"/>
      <c r="C23" s="28" t="s">
        <v>31</v>
      </c>
      <c r="D23" s="31">
        <v>34</v>
      </c>
      <c r="E23" s="45">
        <v>96.391999999999996</v>
      </c>
      <c r="F23" s="45">
        <v>36.767099999999999</v>
      </c>
      <c r="G23" s="78"/>
      <c r="H23" s="78"/>
      <c r="I23" s="79"/>
      <c r="J23" s="79"/>
      <c r="K23" s="80"/>
      <c r="L23" s="29"/>
      <c r="M23" s="45">
        <v>95.987200000000001</v>
      </c>
      <c r="N23" s="45">
        <v>36.777200000000001</v>
      </c>
      <c r="O23" s="78"/>
      <c r="P23" s="78"/>
      <c r="Q23" s="79"/>
      <c r="R23" s="79"/>
      <c r="S23" s="80"/>
      <c r="U23" s="8">
        <f>bdrate($E23:$E26,F23:F26,$M23:$M26,N23:N26)</f>
        <v>-1.693478665305781E-3</v>
      </c>
      <c r="V23" s="9"/>
      <c r="W23" s="10"/>
      <c r="X23" s="29"/>
      <c r="Y23" s="24"/>
      <c r="Z23" s="24"/>
      <c r="AA23" s="27"/>
      <c r="AC23" s="45">
        <f t="shared" si="0"/>
        <v>0.4047999999999945</v>
      </c>
      <c r="AD23" s="45">
        <f t="shared" si="0"/>
        <v>-1.010000000000133E-2</v>
      </c>
      <c r="AE23" s="78"/>
      <c r="AF23" s="78"/>
      <c r="AG23" s="79"/>
      <c r="AH23" s="79"/>
      <c r="AI23" s="80"/>
    </row>
    <row r="24" spans="1:35" ht="12" x14ac:dyDescent="0.2">
      <c r="A24" s="27"/>
      <c r="B24" s="36"/>
      <c r="C24" s="29"/>
      <c r="D24" s="32">
        <v>39</v>
      </c>
      <c r="E24" s="46">
        <v>31.2624</v>
      </c>
      <c r="F24" s="46">
        <v>33.589700000000001</v>
      </c>
      <c r="G24" s="70"/>
      <c r="H24" s="70"/>
      <c r="I24" s="66"/>
      <c r="J24" s="66"/>
      <c r="K24" s="67"/>
      <c r="L24" s="29"/>
      <c r="M24" s="46">
        <v>31.246400000000001</v>
      </c>
      <c r="N24" s="46">
        <v>33.596600000000002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1.5999999999998238E-2</v>
      </c>
      <c r="AD24" s="46">
        <f t="shared" si="0"/>
        <v>-6.9000000000016826E-3</v>
      </c>
      <c r="AE24" s="70"/>
      <c r="AF24" s="70"/>
      <c r="AG24" s="66"/>
      <c r="AH24" s="66"/>
      <c r="AI24" s="67"/>
    </row>
    <row r="25" spans="1:35" ht="12" x14ac:dyDescent="0.2">
      <c r="A25" s="27"/>
      <c r="B25" s="36"/>
      <c r="C25" s="29"/>
      <c r="D25" s="32">
        <v>42</v>
      </c>
      <c r="E25" s="46">
        <v>13.297599999999999</v>
      </c>
      <c r="F25" s="46">
        <v>31.019600000000001</v>
      </c>
      <c r="G25" s="70"/>
      <c r="H25" s="70"/>
      <c r="I25" s="66"/>
      <c r="J25" s="66"/>
      <c r="K25" s="67"/>
      <c r="L25" s="29"/>
      <c r="M25" s="46">
        <v>13.327999999999999</v>
      </c>
      <c r="N25" s="46">
        <v>31.020199999999999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-3.0400000000000205E-2</v>
      </c>
      <c r="AD25" s="46">
        <f t="shared" si="0"/>
        <v>-5.9999999999860165E-4</v>
      </c>
      <c r="AE25" s="70"/>
      <c r="AF25" s="70"/>
      <c r="AG25" s="66"/>
      <c r="AH25" s="66"/>
      <c r="AI25" s="67"/>
    </row>
    <row r="26" spans="1:35" ht="12.75" thickBot="1" x14ac:dyDescent="0.25">
      <c r="A26" s="27"/>
      <c r="B26" s="36"/>
      <c r="C26" s="29"/>
      <c r="D26" s="32">
        <v>45</v>
      </c>
      <c r="E26" s="46">
        <v>6.3712</v>
      </c>
      <c r="F26" s="46">
        <v>28.144400000000001</v>
      </c>
      <c r="G26" s="70"/>
      <c r="H26" s="70"/>
      <c r="I26" s="66"/>
      <c r="J26" s="66"/>
      <c r="K26" s="67"/>
      <c r="L26" s="29"/>
      <c r="M26" s="46">
        <v>6.3928000000000003</v>
      </c>
      <c r="N26" s="46">
        <v>28.166499999999999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-2.1600000000000286E-2</v>
      </c>
      <c r="AD26" s="46">
        <f t="shared" si="0"/>
        <v>-2.2099999999998232E-2</v>
      </c>
      <c r="AE26" s="46"/>
      <c r="AF26" s="46"/>
      <c r="AG26" s="66"/>
      <c r="AH26" s="66"/>
      <c r="AI26" s="67"/>
    </row>
    <row r="27" spans="1:35" ht="12" x14ac:dyDescent="0.2">
      <c r="A27" s="27"/>
      <c r="B27" s="36"/>
      <c r="C27" s="28" t="s">
        <v>47</v>
      </c>
      <c r="D27" s="31">
        <v>25</v>
      </c>
      <c r="E27" s="78"/>
      <c r="F27" s="45">
        <v>42.327199999999998</v>
      </c>
      <c r="G27" s="45">
        <v>45.363500000000002</v>
      </c>
      <c r="H27" s="45">
        <v>45.079700000000003</v>
      </c>
      <c r="I27" s="79"/>
      <c r="J27" s="79"/>
      <c r="K27" s="80"/>
      <c r="L27" s="29"/>
      <c r="M27" s="78"/>
      <c r="N27" s="45">
        <v>42.324399999999997</v>
      </c>
      <c r="O27" s="45">
        <v>45.3596</v>
      </c>
      <c r="P27" s="45">
        <v>45.080199999999998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2.8000000000005798E-3</v>
      </c>
      <c r="AE27" s="45">
        <f>G27 -O27</f>
        <v>3.9000000000015689E-3</v>
      </c>
      <c r="AF27" s="45">
        <f>H27 -P27</f>
        <v>-4.99999999995282E-4</v>
      </c>
      <c r="AG27" s="79"/>
      <c r="AH27" s="79"/>
      <c r="AI27" s="80"/>
    </row>
    <row r="28" spans="1:35" ht="12" x14ac:dyDescent="0.2">
      <c r="A28" s="27"/>
      <c r="B28" s="36"/>
      <c r="C28" s="29"/>
      <c r="D28" s="32">
        <v>30</v>
      </c>
      <c r="E28" s="70"/>
      <c r="F28" s="46">
        <v>40.122</v>
      </c>
      <c r="G28" s="46">
        <v>43.7346</v>
      </c>
      <c r="H28" s="46">
        <v>43.134900000000002</v>
      </c>
      <c r="I28" s="66"/>
      <c r="J28" s="66"/>
      <c r="K28" s="67"/>
      <c r="L28" s="29"/>
      <c r="M28" s="70"/>
      <c r="N28" s="46">
        <v>40.1175</v>
      </c>
      <c r="O28" s="46">
        <v>43.731400000000001</v>
      </c>
      <c r="P28" s="46">
        <v>43.115699999999997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4.5000000000001705E-3</v>
      </c>
      <c r="AE28" s="46">
        <f t="shared" si="1"/>
        <v>3.1999999999996476E-3</v>
      </c>
      <c r="AF28" s="46">
        <f t="shared" si="1"/>
        <v>1.9200000000004991E-2</v>
      </c>
      <c r="AG28" s="66"/>
      <c r="AH28" s="66"/>
      <c r="AI28" s="67"/>
    </row>
    <row r="29" spans="1:35" ht="12" x14ac:dyDescent="0.2">
      <c r="A29" s="27"/>
      <c r="B29" s="36"/>
      <c r="C29" s="29"/>
      <c r="D29" s="32">
        <v>35</v>
      </c>
      <c r="E29" s="70"/>
      <c r="F29" s="46">
        <v>37.630299999999998</v>
      </c>
      <c r="G29" s="46">
        <v>42.067999999999998</v>
      </c>
      <c r="H29" s="46">
        <v>41.288699999999999</v>
      </c>
      <c r="I29" s="66"/>
      <c r="J29" s="66"/>
      <c r="K29" s="67"/>
      <c r="L29" s="29"/>
      <c r="M29" s="70"/>
      <c r="N29" s="46">
        <v>37.6295</v>
      </c>
      <c r="O29" s="46">
        <v>42.069899999999997</v>
      </c>
      <c r="P29" s="46">
        <v>41.287599999999998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7.9999999999813554E-4</v>
      </c>
      <c r="AE29" s="46">
        <f t="shared" si="1"/>
        <v>-1.8999999999991246E-3</v>
      </c>
      <c r="AF29" s="46">
        <f t="shared" si="1"/>
        <v>1.1000000000009891E-3</v>
      </c>
      <c r="AG29" s="66"/>
      <c r="AH29" s="66"/>
      <c r="AI29" s="67"/>
    </row>
    <row r="30" spans="1:35" ht="12.75" thickBot="1" x14ac:dyDescent="0.25">
      <c r="A30" s="27"/>
      <c r="B30" s="36"/>
      <c r="C30" s="53"/>
      <c r="D30" s="71">
        <v>40</v>
      </c>
      <c r="E30" s="81"/>
      <c r="F30" s="72">
        <v>34.930500000000002</v>
      </c>
      <c r="G30" s="72">
        <v>40.720500000000001</v>
      </c>
      <c r="H30" s="72">
        <v>39.829599999999999</v>
      </c>
      <c r="I30" s="68"/>
      <c r="J30" s="68"/>
      <c r="K30" s="69"/>
      <c r="L30" s="29"/>
      <c r="M30" s="81"/>
      <c r="N30" s="72">
        <v>34.927700000000002</v>
      </c>
      <c r="O30" s="72">
        <v>40.720599999999997</v>
      </c>
      <c r="P30" s="72">
        <v>39.831499999999998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2.8000000000005798E-3</v>
      </c>
      <c r="AE30" s="72">
        <f t="shared" si="1"/>
        <v>-9.9999999996214228E-5</v>
      </c>
      <c r="AF30" s="72">
        <f t="shared" si="1"/>
        <v>-1.8999999999991246E-3</v>
      </c>
      <c r="AG30" s="68"/>
      <c r="AH30" s="68"/>
      <c r="AI30" s="69"/>
    </row>
    <row r="31" spans="1:35" ht="12" x14ac:dyDescent="0.2">
      <c r="A31" s="27"/>
      <c r="B31" s="36"/>
      <c r="C31" s="29" t="s">
        <v>48</v>
      </c>
      <c r="D31" s="32">
        <v>25</v>
      </c>
      <c r="E31" s="70"/>
      <c r="F31" s="45">
        <v>42.932099999999998</v>
      </c>
      <c r="G31" s="45">
        <v>45.967399999999998</v>
      </c>
      <c r="H31" s="45">
        <v>45.773499999999999</v>
      </c>
      <c r="I31" s="66"/>
      <c r="J31" s="66"/>
      <c r="K31" s="67"/>
      <c r="L31" s="29"/>
      <c r="M31" s="70"/>
      <c r="N31" s="45">
        <v>42.917900000000003</v>
      </c>
      <c r="O31" s="45">
        <v>45.964799999999997</v>
      </c>
      <c r="P31" s="45">
        <v>45.771299999999997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1.4199999999995327E-2</v>
      </c>
      <c r="AE31" s="45">
        <f t="shared" si="1"/>
        <v>2.6000000000010459E-3</v>
      </c>
      <c r="AF31" s="45">
        <f t="shared" si="1"/>
        <v>2.2000000000019782E-3</v>
      </c>
      <c r="AG31" s="66"/>
      <c r="AH31" s="66"/>
      <c r="AI31" s="67"/>
    </row>
    <row r="32" spans="1:35" ht="12" x14ac:dyDescent="0.2">
      <c r="A32" s="27"/>
      <c r="B32" s="36"/>
      <c r="C32" s="29"/>
      <c r="D32" s="32">
        <v>30</v>
      </c>
      <c r="E32" s="70"/>
      <c r="F32" s="46">
        <v>40.641599999999997</v>
      </c>
      <c r="G32" s="46">
        <v>44.223399999999998</v>
      </c>
      <c r="H32" s="46">
        <v>43.698999999999998</v>
      </c>
      <c r="I32" s="66"/>
      <c r="J32" s="66"/>
      <c r="K32" s="67"/>
      <c r="L32" s="29"/>
      <c r="M32" s="70"/>
      <c r="N32" s="46">
        <v>40.6432</v>
      </c>
      <c r="O32" s="46">
        <v>44.222200000000001</v>
      </c>
      <c r="P32" s="46">
        <v>43.682400000000001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-1.6000000000033765E-3</v>
      </c>
      <c r="AE32" s="46">
        <f t="shared" si="1"/>
        <v>1.1999999999972033E-3</v>
      </c>
      <c r="AF32" s="46">
        <f t="shared" si="1"/>
        <v>1.659999999999684E-2</v>
      </c>
      <c r="AG32" s="66"/>
      <c r="AH32" s="66"/>
      <c r="AI32" s="67"/>
    </row>
    <row r="33" spans="1:35" ht="12" x14ac:dyDescent="0.2">
      <c r="A33" s="27"/>
      <c r="B33" s="36"/>
      <c r="C33" s="29"/>
      <c r="D33" s="32">
        <v>35</v>
      </c>
      <c r="E33" s="70"/>
      <c r="F33" s="46">
        <v>38.054200000000002</v>
      </c>
      <c r="G33" s="46">
        <v>42.367899999999999</v>
      </c>
      <c r="H33" s="46">
        <v>41.6464</v>
      </c>
      <c r="I33" s="66"/>
      <c r="J33" s="66"/>
      <c r="K33" s="67"/>
      <c r="L33" s="29"/>
      <c r="M33" s="70"/>
      <c r="N33" s="46">
        <v>38.052500000000002</v>
      </c>
      <c r="O33" s="46">
        <v>42.368400000000001</v>
      </c>
      <c r="P33" s="46">
        <v>41.643700000000003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1.6999999999995907E-3</v>
      </c>
      <c r="AE33" s="46">
        <f t="shared" si="1"/>
        <v>-5.0000000000238742E-4</v>
      </c>
      <c r="AF33" s="46">
        <f t="shared" si="1"/>
        <v>2.6999999999972601E-3</v>
      </c>
      <c r="AG33" s="66"/>
      <c r="AH33" s="66"/>
      <c r="AI33" s="67"/>
    </row>
    <row r="34" spans="1:35" ht="12.75" thickBot="1" x14ac:dyDescent="0.25">
      <c r="A34" s="27"/>
      <c r="B34" s="36"/>
      <c r="C34" s="53"/>
      <c r="D34" s="71">
        <v>40</v>
      </c>
      <c r="E34" s="81"/>
      <c r="F34" s="46">
        <v>35.275399999999998</v>
      </c>
      <c r="G34" s="72">
        <v>40.947899999999997</v>
      </c>
      <c r="H34" s="72">
        <v>40.1051</v>
      </c>
      <c r="I34" s="68"/>
      <c r="J34" s="68"/>
      <c r="K34" s="69"/>
      <c r="L34" s="29"/>
      <c r="M34" s="81"/>
      <c r="N34" s="46">
        <v>35.2727</v>
      </c>
      <c r="O34" s="72">
        <v>40.948300000000003</v>
      </c>
      <c r="P34" s="72">
        <v>40.103700000000003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2.6999999999972601E-3</v>
      </c>
      <c r="AE34" s="46">
        <f t="shared" si="1"/>
        <v>-4.000000000061732E-4</v>
      </c>
      <c r="AF34" s="46">
        <f t="shared" si="1"/>
        <v>1.3999999999967372E-3</v>
      </c>
      <c r="AG34" s="68"/>
      <c r="AH34" s="68"/>
      <c r="AI34" s="69"/>
    </row>
    <row r="35" spans="1:35" ht="12" x14ac:dyDescent="0.2">
      <c r="A35" s="27"/>
      <c r="B35" s="36"/>
      <c r="C35" s="29" t="s">
        <v>49</v>
      </c>
      <c r="D35" s="32">
        <v>25</v>
      </c>
      <c r="E35" s="70"/>
      <c r="F35" s="45">
        <v>43.055199999999999</v>
      </c>
      <c r="G35" s="45">
        <v>45.582700000000003</v>
      </c>
      <c r="H35" s="45">
        <v>45.705599999999997</v>
      </c>
      <c r="I35" s="66"/>
      <c r="J35" s="66"/>
      <c r="K35" s="67"/>
      <c r="L35" s="29"/>
      <c r="M35" s="70"/>
      <c r="N35" s="45">
        <v>43.055100000000003</v>
      </c>
      <c r="O35" s="45">
        <v>45.581400000000002</v>
      </c>
      <c r="P35" s="45">
        <v>45.704099999999997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9.9999999996214228E-5</v>
      </c>
      <c r="AE35" s="45">
        <f t="shared" si="1"/>
        <v>1.300000000000523E-3</v>
      </c>
      <c r="AF35" s="45">
        <f t="shared" si="1"/>
        <v>1.5000000000000568E-3</v>
      </c>
      <c r="AG35" s="66"/>
      <c r="AH35" s="66"/>
      <c r="AI35" s="67"/>
    </row>
    <row r="36" spans="1:35" ht="12" x14ac:dyDescent="0.2">
      <c r="A36" s="27"/>
      <c r="B36" s="36"/>
      <c r="C36" s="29"/>
      <c r="D36" s="32">
        <v>30</v>
      </c>
      <c r="E36" s="70"/>
      <c r="F36" s="46">
        <v>40.897599999999997</v>
      </c>
      <c r="G36" s="46">
        <v>43.968499999999999</v>
      </c>
      <c r="H36" s="46">
        <v>43.718200000000003</v>
      </c>
      <c r="I36" s="66"/>
      <c r="J36" s="66"/>
      <c r="K36" s="67"/>
      <c r="L36" s="29"/>
      <c r="M36" s="70"/>
      <c r="N36" s="46">
        <v>40.903399999999998</v>
      </c>
      <c r="O36" s="46">
        <v>43.967599999999997</v>
      </c>
      <c r="P36" s="46">
        <v>43.712800000000001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-5.8000000000006935E-3</v>
      </c>
      <c r="AE36" s="46">
        <f t="shared" si="1"/>
        <v>9.0000000000145519E-4</v>
      </c>
      <c r="AF36" s="46">
        <f t="shared" si="1"/>
        <v>5.4000000000016257E-3</v>
      </c>
      <c r="AG36" s="66"/>
      <c r="AH36" s="66"/>
      <c r="AI36" s="67"/>
    </row>
    <row r="37" spans="1:35" ht="12" x14ac:dyDescent="0.2">
      <c r="A37" s="27"/>
      <c r="B37" s="36"/>
      <c r="C37" s="29"/>
      <c r="D37" s="32">
        <v>35</v>
      </c>
      <c r="E37" s="70"/>
      <c r="F37" s="46">
        <v>38.342300000000002</v>
      </c>
      <c r="G37" s="46">
        <v>42.124899999999997</v>
      </c>
      <c r="H37" s="46">
        <v>41.632899999999999</v>
      </c>
      <c r="I37" s="66"/>
      <c r="J37" s="66"/>
      <c r="K37" s="67"/>
      <c r="L37" s="29"/>
      <c r="M37" s="70"/>
      <c r="N37" s="46">
        <v>38.343699999999998</v>
      </c>
      <c r="O37" s="46">
        <v>42.125500000000002</v>
      </c>
      <c r="P37" s="46">
        <v>41.6325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-1.3999999999967372E-3</v>
      </c>
      <c r="AE37" s="46">
        <f t="shared" si="1"/>
        <v>-6.0000000000570708E-4</v>
      </c>
      <c r="AF37" s="46">
        <f t="shared" si="1"/>
        <v>3.9999999999906777E-4</v>
      </c>
      <c r="AG37" s="66"/>
      <c r="AH37" s="66"/>
      <c r="AI37" s="67"/>
    </row>
    <row r="38" spans="1:35" ht="12.75" thickBot="1" x14ac:dyDescent="0.25">
      <c r="A38" s="27"/>
      <c r="B38" s="36"/>
      <c r="C38" s="53"/>
      <c r="D38" s="71">
        <v>40</v>
      </c>
      <c r="E38" s="81"/>
      <c r="F38" s="46">
        <v>35.549399999999999</v>
      </c>
      <c r="G38" s="72">
        <v>40.804000000000002</v>
      </c>
      <c r="H38" s="72">
        <v>40.1066</v>
      </c>
      <c r="I38" s="68"/>
      <c r="J38" s="68"/>
      <c r="K38" s="69"/>
      <c r="L38" s="29"/>
      <c r="M38" s="81"/>
      <c r="N38" s="46">
        <v>35.548000000000002</v>
      </c>
      <c r="O38" s="72">
        <v>40.804299999999998</v>
      </c>
      <c r="P38" s="72">
        <v>40.1066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1.3999999999967372E-3</v>
      </c>
      <c r="AE38" s="46">
        <f t="shared" si="1"/>
        <v>-2.9999999999574811E-4</v>
      </c>
      <c r="AF38" s="46">
        <f t="shared" si="1"/>
        <v>0</v>
      </c>
      <c r="AG38" s="68"/>
      <c r="AH38" s="68"/>
      <c r="AI38" s="69"/>
    </row>
    <row r="39" spans="1:35" ht="12" x14ac:dyDescent="0.2">
      <c r="A39" s="27"/>
      <c r="B39" s="36"/>
      <c r="C39" s="29" t="s">
        <v>50</v>
      </c>
      <c r="D39" s="32">
        <v>25</v>
      </c>
      <c r="E39" s="70"/>
      <c r="F39" s="45">
        <v>42.952100000000002</v>
      </c>
      <c r="G39" s="45">
        <v>45.588299999999997</v>
      </c>
      <c r="H39" s="45">
        <v>45.674599999999998</v>
      </c>
      <c r="I39" s="66"/>
      <c r="J39" s="66"/>
      <c r="K39" s="67"/>
      <c r="L39" s="29"/>
      <c r="M39" s="70"/>
      <c r="N39" s="45">
        <v>42.942</v>
      </c>
      <c r="O39" s="45">
        <v>45.592199999999998</v>
      </c>
      <c r="P39" s="45">
        <v>45.674300000000002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1.010000000000133E-2</v>
      </c>
      <c r="AE39" s="45">
        <f t="shared" si="1"/>
        <v>-3.9000000000015689E-3</v>
      </c>
      <c r="AF39" s="45">
        <f t="shared" si="1"/>
        <v>2.9999999999574811E-4</v>
      </c>
      <c r="AG39" s="66"/>
      <c r="AH39" s="66"/>
      <c r="AI39" s="67"/>
    </row>
    <row r="40" spans="1:35" ht="12" x14ac:dyDescent="0.2">
      <c r="A40" s="27"/>
      <c r="B40" s="36"/>
      <c r="C40" s="29"/>
      <c r="D40" s="32">
        <v>30</v>
      </c>
      <c r="E40" s="70"/>
      <c r="F40" s="46">
        <v>40.806100000000001</v>
      </c>
      <c r="G40" s="46">
        <v>43.9636</v>
      </c>
      <c r="H40" s="46">
        <v>43.689</v>
      </c>
      <c r="I40" s="66"/>
      <c r="J40" s="66"/>
      <c r="K40" s="67"/>
      <c r="L40" s="29"/>
      <c r="M40" s="70"/>
      <c r="N40" s="46">
        <v>40.802199999999999</v>
      </c>
      <c r="O40" s="46">
        <v>43.963799999999999</v>
      </c>
      <c r="P40" s="46">
        <v>43.689300000000003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3.9000000000015689E-3</v>
      </c>
      <c r="AE40" s="46">
        <f t="shared" si="1"/>
        <v>-1.9999999999953388E-4</v>
      </c>
      <c r="AF40" s="46">
        <f t="shared" si="1"/>
        <v>-3.0000000000285354E-4</v>
      </c>
      <c r="AG40" s="66"/>
      <c r="AH40" s="66"/>
      <c r="AI40" s="67"/>
    </row>
    <row r="41" spans="1:35" ht="12" x14ac:dyDescent="0.2">
      <c r="A41" s="27"/>
      <c r="B41" s="36"/>
      <c r="C41" s="29"/>
      <c r="D41" s="32">
        <v>35</v>
      </c>
      <c r="E41" s="70"/>
      <c r="F41" s="46">
        <v>38.254300000000001</v>
      </c>
      <c r="G41" s="46">
        <v>42.133600000000001</v>
      </c>
      <c r="H41" s="46">
        <v>41.621200000000002</v>
      </c>
      <c r="I41" s="66"/>
      <c r="J41" s="66"/>
      <c r="K41" s="67"/>
      <c r="L41" s="29"/>
      <c r="M41" s="70"/>
      <c r="N41" s="46">
        <v>38.2532</v>
      </c>
      <c r="O41" s="46">
        <v>42.134</v>
      </c>
      <c r="P41" s="46">
        <v>41.62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1.1000000000009891E-3</v>
      </c>
      <c r="AE41" s="46">
        <f t="shared" si="1"/>
        <v>-3.9999999999906777E-4</v>
      </c>
      <c r="AF41" s="46">
        <f t="shared" si="1"/>
        <v>1.2000000000043087E-3</v>
      </c>
      <c r="AG41" s="66"/>
      <c r="AH41" s="66"/>
      <c r="AI41" s="67"/>
    </row>
    <row r="42" spans="1:35" ht="12.75" thickBot="1" x14ac:dyDescent="0.25">
      <c r="A42" s="27"/>
      <c r="B42" s="36"/>
      <c r="C42" s="53"/>
      <c r="D42" s="71">
        <v>40</v>
      </c>
      <c r="E42" s="81"/>
      <c r="F42" s="46">
        <v>35.447899999999997</v>
      </c>
      <c r="G42" s="72">
        <v>40.798400000000001</v>
      </c>
      <c r="H42" s="72">
        <v>40.073599999999999</v>
      </c>
      <c r="I42" s="68"/>
      <c r="J42" s="68"/>
      <c r="K42" s="69"/>
      <c r="L42" s="29"/>
      <c r="M42" s="81"/>
      <c r="N42" s="46">
        <v>35.449100000000001</v>
      </c>
      <c r="O42" s="72">
        <v>40.799399999999999</v>
      </c>
      <c r="P42" s="72">
        <v>40.075099999999999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-1.2000000000043087E-3</v>
      </c>
      <c r="AE42" s="46">
        <f t="shared" si="1"/>
        <v>-9.9999999999766942E-4</v>
      </c>
      <c r="AF42" s="46">
        <f t="shared" si="1"/>
        <v>-1.5000000000000568E-3</v>
      </c>
      <c r="AG42" s="68"/>
      <c r="AH42" s="68"/>
      <c r="AI42" s="69"/>
    </row>
    <row r="43" spans="1:35" ht="12" x14ac:dyDescent="0.2">
      <c r="A43" s="27"/>
      <c r="B43" s="36"/>
      <c r="C43" s="29" t="s">
        <v>51</v>
      </c>
      <c r="D43" s="32">
        <v>25</v>
      </c>
      <c r="E43" s="70"/>
      <c r="F43" s="45">
        <v>42.758299999999998</v>
      </c>
      <c r="G43" s="45">
        <v>45.884300000000003</v>
      </c>
      <c r="H43" s="45">
        <v>45.655099999999997</v>
      </c>
      <c r="I43" s="66"/>
      <c r="J43" s="66"/>
      <c r="K43" s="67"/>
      <c r="L43" s="29"/>
      <c r="M43" s="70"/>
      <c r="N43" s="45">
        <v>42.766100000000002</v>
      </c>
      <c r="O43" s="45">
        <v>45.897199999999998</v>
      </c>
      <c r="P43" s="45">
        <v>45.655999999999999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-7.8000000000031378E-3</v>
      </c>
      <c r="AE43" s="45">
        <f t="shared" si="2"/>
        <v>-1.2899999999994805E-2</v>
      </c>
      <c r="AF43" s="45">
        <f t="shared" si="2"/>
        <v>-9.0000000000145519E-4</v>
      </c>
      <c r="AG43" s="66"/>
      <c r="AH43" s="66"/>
      <c r="AI43" s="67"/>
    </row>
    <row r="44" spans="1:35" ht="12" x14ac:dyDescent="0.2">
      <c r="A44" s="27"/>
      <c r="B44" s="36"/>
      <c r="C44" s="29"/>
      <c r="D44" s="32">
        <v>30</v>
      </c>
      <c r="E44" s="70"/>
      <c r="F44" s="46">
        <v>40.499200000000002</v>
      </c>
      <c r="G44" s="46">
        <v>44.137999999999998</v>
      </c>
      <c r="H44" s="46">
        <v>43.566600000000001</v>
      </c>
      <c r="I44" s="66"/>
      <c r="J44" s="66"/>
      <c r="K44" s="67"/>
      <c r="L44" s="29"/>
      <c r="M44" s="70"/>
      <c r="N44" s="46">
        <v>40.498800000000003</v>
      </c>
      <c r="O44" s="46">
        <v>44.138100000000001</v>
      </c>
      <c r="P44" s="46">
        <v>43.571100000000001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3.9999999999906777E-4</v>
      </c>
      <c r="AE44" s="46">
        <f t="shared" si="2"/>
        <v>-1.0000000000331966E-4</v>
      </c>
      <c r="AF44" s="46">
        <f t="shared" si="2"/>
        <v>-4.5000000000001705E-3</v>
      </c>
      <c r="AG44" s="66"/>
      <c r="AH44" s="66"/>
      <c r="AI44" s="67"/>
    </row>
    <row r="45" spans="1:35" ht="12" x14ac:dyDescent="0.2">
      <c r="A45" s="27"/>
      <c r="B45" s="36"/>
      <c r="C45" s="29"/>
      <c r="D45" s="32">
        <v>35</v>
      </c>
      <c r="E45" s="70"/>
      <c r="F45" s="46">
        <v>37.955100000000002</v>
      </c>
      <c r="G45" s="46">
        <v>42.306600000000003</v>
      </c>
      <c r="H45" s="46">
        <v>41.549199999999999</v>
      </c>
      <c r="I45" s="66"/>
      <c r="J45" s="66"/>
      <c r="K45" s="67"/>
      <c r="L45" s="29"/>
      <c r="M45" s="70"/>
      <c r="N45" s="46">
        <v>37.9587</v>
      </c>
      <c r="O45" s="46">
        <v>42.308199999999999</v>
      </c>
      <c r="P45" s="46">
        <v>41.548000000000002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-3.5999999999987153E-3</v>
      </c>
      <c r="AE45" s="46">
        <f t="shared" si="2"/>
        <v>-1.5999999999962711E-3</v>
      </c>
      <c r="AF45" s="46">
        <f t="shared" si="2"/>
        <v>1.1999999999972033E-3</v>
      </c>
      <c r="AG45" s="66"/>
      <c r="AH45" s="66"/>
      <c r="AI45" s="67"/>
    </row>
    <row r="46" spans="1:35" ht="12.75" thickBot="1" x14ac:dyDescent="0.25">
      <c r="A46" s="27"/>
      <c r="B46" s="36"/>
      <c r="C46" s="53"/>
      <c r="D46" s="71">
        <v>40</v>
      </c>
      <c r="E46" s="81"/>
      <c r="F46" s="72">
        <v>35.1721</v>
      </c>
      <c r="G46" s="72">
        <v>40.926499999999997</v>
      </c>
      <c r="H46" s="72">
        <v>39.97</v>
      </c>
      <c r="I46" s="68"/>
      <c r="J46" s="68"/>
      <c r="K46" s="69"/>
      <c r="L46" s="29"/>
      <c r="M46" s="81"/>
      <c r="N46" s="72">
        <v>35.172800000000002</v>
      </c>
      <c r="O46" s="72">
        <v>40.928899999999999</v>
      </c>
      <c r="P46" s="72">
        <v>39.973700000000001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-7.0000000000192131E-4</v>
      </c>
      <c r="AE46" s="72">
        <f t="shared" si="2"/>
        <v>-2.400000000001512E-3</v>
      </c>
      <c r="AF46" s="72">
        <f t="shared" si="2"/>
        <v>-3.700000000002035E-3</v>
      </c>
      <c r="AG46" s="68"/>
      <c r="AH46" s="68"/>
      <c r="AI46" s="69"/>
    </row>
    <row r="47" spans="1:35" ht="12" x14ac:dyDescent="0.2">
      <c r="A47" s="27"/>
      <c r="B47" s="36"/>
      <c r="C47" s="29" t="s">
        <v>52</v>
      </c>
      <c r="D47" s="32">
        <v>25</v>
      </c>
      <c r="E47" s="70"/>
      <c r="F47" s="45">
        <v>42.094999999999999</v>
      </c>
      <c r="G47" s="45">
        <v>45.130899999999997</v>
      </c>
      <c r="H47" s="45">
        <v>44.878100000000003</v>
      </c>
      <c r="I47" s="66"/>
      <c r="J47" s="66"/>
      <c r="K47" s="67"/>
      <c r="L47" s="29"/>
      <c r="M47" s="70"/>
      <c r="N47" s="45">
        <v>42.086100000000002</v>
      </c>
      <c r="O47" s="45">
        <v>45.150500000000001</v>
      </c>
      <c r="P47" s="45">
        <v>44.887300000000003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8.8999999999970214E-3</v>
      </c>
      <c r="AE47" s="45">
        <f t="shared" si="2"/>
        <v>-1.9600000000004059E-2</v>
      </c>
      <c r="AF47" s="45">
        <f t="shared" si="2"/>
        <v>-9.1999999999998749E-3</v>
      </c>
      <c r="AG47" s="45"/>
      <c r="AH47" s="66"/>
      <c r="AI47" s="67"/>
    </row>
    <row r="48" spans="1:35" ht="12" x14ac:dyDescent="0.2">
      <c r="A48" s="27"/>
      <c r="B48" s="36"/>
      <c r="C48" s="29"/>
      <c r="D48" s="32">
        <v>30</v>
      </c>
      <c r="E48" s="70"/>
      <c r="F48" s="46">
        <v>39.957000000000001</v>
      </c>
      <c r="G48" s="46">
        <v>43.476399999999998</v>
      </c>
      <c r="H48" s="46">
        <v>42.926600000000001</v>
      </c>
      <c r="I48" s="66"/>
      <c r="J48" s="66"/>
      <c r="K48" s="67"/>
      <c r="L48" s="29"/>
      <c r="M48" s="70"/>
      <c r="N48" s="46">
        <v>39.953000000000003</v>
      </c>
      <c r="O48" s="46">
        <v>43.477699999999999</v>
      </c>
      <c r="P48" s="46">
        <v>42.9358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3.9999999999977831E-3</v>
      </c>
      <c r="AE48" s="46">
        <f t="shared" si="2"/>
        <v>-1.300000000000523E-3</v>
      </c>
      <c r="AF48" s="46">
        <f t="shared" si="2"/>
        <v>-9.1999999999998749E-3</v>
      </c>
      <c r="AG48" s="66"/>
      <c r="AH48" s="66"/>
      <c r="AI48" s="67"/>
    </row>
    <row r="49" spans="1:35" ht="12" x14ac:dyDescent="0.2">
      <c r="A49" s="27"/>
      <c r="B49" s="36"/>
      <c r="C49" s="29"/>
      <c r="D49" s="32">
        <v>35</v>
      </c>
      <c r="E49" s="70"/>
      <c r="F49" s="46">
        <v>37.495100000000001</v>
      </c>
      <c r="G49" s="46">
        <v>41.862200000000001</v>
      </c>
      <c r="H49" s="46">
        <v>41.125599999999999</v>
      </c>
      <c r="I49" s="66"/>
      <c r="J49" s="66"/>
      <c r="K49" s="67"/>
      <c r="L49" s="29"/>
      <c r="M49" s="70"/>
      <c r="N49" s="46">
        <v>37.496099999999998</v>
      </c>
      <c r="O49" s="46">
        <v>41.866</v>
      </c>
      <c r="P49" s="46">
        <v>41.125799999999998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-9.9999999999766942E-4</v>
      </c>
      <c r="AE49" s="46">
        <f t="shared" si="2"/>
        <v>-3.7999999999982492E-3</v>
      </c>
      <c r="AF49" s="46">
        <f t="shared" si="2"/>
        <v>-1.9999999999953388E-4</v>
      </c>
      <c r="AG49" s="66"/>
      <c r="AH49" s="66"/>
      <c r="AI49" s="67"/>
    </row>
    <row r="50" spans="1:35" ht="12.75" thickBot="1" x14ac:dyDescent="0.25">
      <c r="A50" s="27"/>
      <c r="B50" s="36"/>
      <c r="C50" s="53"/>
      <c r="D50" s="71">
        <v>40</v>
      </c>
      <c r="E50" s="81"/>
      <c r="F50" s="72">
        <v>34.801200000000001</v>
      </c>
      <c r="G50" s="72">
        <v>40.583599999999997</v>
      </c>
      <c r="H50" s="72">
        <v>39.645400000000002</v>
      </c>
      <c r="I50" s="68"/>
      <c r="J50" s="68"/>
      <c r="K50" s="69"/>
      <c r="L50" s="29"/>
      <c r="M50" s="81"/>
      <c r="N50" s="72">
        <v>34.803100000000001</v>
      </c>
      <c r="O50" s="72">
        <v>40.5867</v>
      </c>
      <c r="P50" s="72">
        <v>39.6511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-1.8999999999991246E-3</v>
      </c>
      <c r="AE50" s="72">
        <f t="shared" si="2"/>
        <v>-3.1000000000034333E-3</v>
      </c>
      <c r="AF50" s="72">
        <f t="shared" si="2"/>
        <v>-5.6999999999973738E-3</v>
      </c>
      <c r="AG50" s="68"/>
      <c r="AH50" s="68"/>
      <c r="AI50" s="69"/>
    </row>
    <row r="51" spans="1:35" ht="12" x14ac:dyDescent="0.2">
      <c r="A51" s="27"/>
      <c r="B51" s="36"/>
      <c r="C51" s="29" t="s">
        <v>12</v>
      </c>
      <c r="D51" s="32">
        <v>25</v>
      </c>
      <c r="E51" s="45">
        <v>1755.4192</v>
      </c>
      <c r="F51" s="70"/>
      <c r="G51" s="70"/>
      <c r="H51" s="70"/>
      <c r="I51" s="45">
        <v>33294.296999999999</v>
      </c>
      <c r="J51" s="45">
        <v>67.718000000000004</v>
      </c>
      <c r="K51" s="45">
        <v>365.71899999999999</v>
      </c>
      <c r="L51" s="29"/>
      <c r="M51" s="45">
        <v>1753.8063999999999</v>
      </c>
      <c r="N51" s="70"/>
      <c r="O51" s="70"/>
      <c r="P51" s="70"/>
      <c r="Q51" s="45">
        <v>33208.75</v>
      </c>
      <c r="R51" s="45">
        <v>69.734999999999999</v>
      </c>
      <c r="S51" s="45">
        <v>392.84300000000002</v>
      </c>
      <c r="U51" s="8"/>
      <c r="V51" s="9"/>
      <c r="W51" s="10"/>
      <c r="X51" s="29"/>
      <c r="Y51" s="61">
        <f>GEOMEAN(Q51:Q54)/GEOMEAN(I51:I54)</f>
        <v>1.0023602059070889</v>
      </c>
      <c r="Z51" s="61">
        <f>GEOMEAN(R51:R54)/GEOMEAN(J51:J54)</f>
        <v>1.0235570076406173</v>
      </c>
      <c r="AA51" s="57">
        <f>GEOMEAN(S51:S54)/GEOMEAN(K51:K54)</f>
        <v>1.0488096184277396</v>
      </c>
      <c r="AC51" s="45">
        <f>E51 -M51</f>
        <v>1.6128000000001066</v>
      </c>
      <c r="AD51" s="70"/>
      <c r="AE51" s="70"/>
      <c r="AF51" s="70"/>
      <c r="AG51" s="45">
        <f t="shared" ref="AG51:AI54" si="3">I51 -Q51</f>
        <v>85.546999999998661</v>
      </c>
      <c r="AH51" s="45">
        <f t="shared" si="3"/>
        <v>-2.0169999999999959</v>
      </c>
      <c r="AI51" s="45">
        <f t="shared" si="3"/>
        <v>-27.124000000000024</v>
      </c>
    </row>
    <row r="52" spans="1:35" ht="12" x14ac:dyDescent="0.2">
      <c r="A52" s="27"/>
      <c r="B52" s="36"/>
      <c r="C52" s="29"/>
      <c r="D52" s="32">
        <v>30</v>
      </c>
      <c r="E52" s="46">
        <v>845.53840000000002</v>
      </c>
      <c r="F52" s="70"/>
      <c r="G52" s="70"/>
      <c r="H52" s="70"/>
      <c r="I52" s="46">
        <v>25703</v>
      </c>
      <c r="J52" s="46">
        <v>63.359000000000002</v>
      </c>
      <c r="K52" s="46">
        <v>363.5</v>
      </c>
      <c r="L52" s="29"/>
      <c r="M52" s="46">
        <v>845.23440000000005</v>
      </c>
      <c r="N52" s="70"/>
      <c r="O52" s="70"/>
      <c r="P52" s="70"/>
      <c r="Q52" s="46">
        <v>25637.641</v>
      </c>
      <c r="R52" s="46">
        <v>64.281000000000006</v>
      </c>
      <c r="S52" s="46">
        <v>383.625</v>
      </c>
      <c r="U52" s="41"/>
      <c r="V52" s="42"/>
      <c r="W52" s="43"/>
      <c r="X52" s="29"/>
      <c r="Y52" s="24"/>
      <c r="Z52" s="24"/>
      <c r="AA52" s="27"/>
      <c r="AC52" s="46">
        <f>E52 -M52</f>
        <v>0.30399999999997362</v>
      </c>
      <c r="AD52" s="70"/>
      <c r="AE52" s="70"/>
      <c r="AF52" s="70"/>
      <c r="AG52" s="46">
        <f t="shared" si="3"/>
        <v>65.359000000000378</v>
      </c>
      <c r="AH52" s="46">
        <f t="shared" si="3"/>
        <v>-0.92200000000000415</v>
      </c>
      <c r="AI52" s="46">
        <f t="shared" si="3"/>
        <v>-20.125</v>
      </c>
    </row>
    <row r="53" spans="1:35" ht="12" x14ac:dyDescent="0.2">
      <c r="A53" s="27"/>
      <c r="B53" s="36"/>
      <c r="C53" s="29"/>
      <c r="D53" s="32">
        <v>35</v>
      </c>
      <c r="E53" s="46">
        <v>460.99040000000002</v>
      </c>
      <c r="F53" s="70"/>
      <c r="G53" s="70"/>
      <c r="H53" s="70"/>
      <c r="I53" s="46">
        <v>21648.812999999998</v>
      </c>
      <c r="J53" s="46">
        <v>59.546999999999997</v>
      </c>
      <c r="K53" s="46">
        <v>370.875</v>
      </c>
      <c r="L53" s="29"/>
      <c r="M53" s="46">
        <v>461.1816</v>
      </c>
      <c r="N53" s="70"/>
      <c r="O53" s="70"/>
      <c r="P53" s="70"/>
      <c r="Q53" s="46">
        <v>21757.578000000001</v>
      </c>
      <c r="R53" s="46">
        <v>61.780999999999999</v>
      </c>
      <c r="S53" s="46">
        <v>385.48500000000001</v>
      </c>
      <c r="U53" s="17"/>
      <c r="V53" s="18"/>
      <c r="W53" s="19"/>
      <c r="X53" s="29"/>
      <c r="Y53" s="24"/>
      <c r="Z53" s="24"/>
      <c r="AA53" s="27"/>
      <c r="AC53" s="46">
        <f>E53 -M53</f>
        <v>-0.19119999999998072</v>
      </c>
      <c r="AD53" s="70"/>
      <c r="AE53" s="70"/>
      <c r="AF53" s="70"/>
      <c r="AG53" s="46">
        <f t="shared" si="3"/>
        <v>-108.76500000000306</v>
      </c>
      <c r="AH53" s="46">
        <f t="shared" si="3"/>
        <v>-2.2340000000000018</v>
      </c>
      <c r="AI53" s="46">
        <f t="shared" si="3"/>
        <v>-14.610000000000014</v>
      </c>
    </row>
    <row r="54" spans="1:35" ht="12.75" thickBot="1" x14ac:dyDescent="0.25">
      <c r="A54" s="27"/>
      <c r="B54" s="52"/>
      <c r="C54" s="53"/>
      <c r="D54" s="71">
        <v>40</v>
      </c>
      <c r="E54" s="72">
        <v>265.93360000000001</v>
      </c>
      <c r="F54" s="81"/>
      <c r="G54" s="81"/>
      <c r="H54" s="81"/>
      <c r="I54" s="72">
        <v>18863.766</v>
      </c>
      <c r="J54" s="72">
        <v>57.125</v>
      </c>
      <c r="K54" s="72">
        <v>382.67099999999999</v>
      </c>
      <c r="L54" s="29"/>
      <c r="M54" s="72">
        <v>265.85840000000002</v>
      </c>
      <c r="N54" s="81"/>
      <c r="O54" s="81"/>
      <c r="P54" s="81"/>
      <c r="Q54" s="72">
        <v>19044.530999999999</v>
      </c>
      <c r="R54" s="72">
        <v>57.844000000000001</v>
      </c>
      <c r="S54" s="72">
        <v>392.96899999999999</v>
      </c>
      <c r="U54" s="85"/>
      <c r="V54" s="86"/>
      <c r="W54" s="87"/>
      <c r="X54" s="29"/>
      <c r="Y54" s="49"/>
      <c r="Z54" s="49"/>
      <c r="AA54" s="54"/>
      <c r="AC54" s="72">
        <f>E54 -M54</f>
        <v>7.5199999999995271E-2</v>
      </c>
      <c r="AD54" s="81"/>
      <c r="AE54" s="81"/>
      <c r="AF54" s="81"/>
      <c r="AG54" s="72">
        <f t="shared" si="3"/>
        <v>-180.76499999999942</v>
      </c>
      <c r="AH54" s="72">
        <f t="shared" si="3"/>
        <v>-0.71900000000000119</v>
      </c>
      <c r="AI54" s="72">
        <f t="shared" si="3"/>
        <v>-10.298000000000002</v>
      </c>
    </row>
    <row r="55" spans="1:35" ht="12" x14ac:dyDescent="0.2">
      <c r="A55" s="27" t="s">
        <v>18</v>
      </c>
      <c r="B55" s="35" t="s">
        <v>13</v>
      </c>
      <c r="C55" s="28" t="s">
        <v>26</v>
      </c>
      <c r="D55" s="31">
        <v>25</v>
      </c>
      <c r="E55" s="45">
        <v>846.76080000000002</v>
      </c>
      <c r="F55" s="45">
        <v>43.604900000000001</v>
      </c>
      <c r="G55" s="45">
        <v>44.955800000000004</v>
      </c>
      <c r="H55" s="45">
        <v>44.934399999999997</v>
      </c>
      <c r="I55" s="79"/>
      <c r="J55" s="79"/>
      <c r="K55" s="80"/>
      <c r="L55" s="29"/>
      <c r="M55" s="45">
        <v>846.76080000000002</v>
      </c>
      <c r="N55" s="45">
        <v>43.604900000000001</v>
      </c>
      <c r="O55" s="45">
        <v>44.955800000000004</v>
      </c>
      <c r="P55" s="45">
        <v>44.934399999999997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 x14ac:dyDescent="0.2">
      <c r="A56" s="27"/>
      <c r="B56" s="36"/>
      <c r="C56" s="29"/>
      <c r="D56" s="32">
        <v>30</v>
      </c>
      <c r="E56" s="46">
        <v>450.83120000000002</v>
      </c>
      <c r="F56" s="46">
        <v>41.431699999999999</v>
      </c>
      <c r="G56" s="46">
        <v>44.111400000000003</v>
      </c>
      <c r="H56" s="46">
        <v>43.4435</v>
      </c>
      <c r="I56" s="66"/>
      <c r="J56" s="66"/>
      <c r="K56" s="67"/>
      <c r="L56" s="29"/>
      <c r="M56" s="46">
        <v>450.83120000000002</v>
      </c>
      <c r="N56" s="46">
        <v>41.431699999999999</v>
      </c>
      <c r="O56" s="46">
        <v>44.111400000000003</v>
      </c>
      <c r="P56" s="46">
        <v>43.4435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 x14ac:dyDescent="0.2">
      <c r="A57" s="27"/>
      <c r="B57" s="36"/>
      <c r="C57" s="29"/>
      <c r="D57" s="32">
        <v>35</v>
      </c>
      <c r="E57" s="46">
        <v>256.22320000000002</v>
      </c>
      <c r="F57" s="46">
        <v>38.945</v>
      </c>
      <c r="G57" s="46">
        <v>43.065899999999999</v>
      </c>
      <c r="H57" s="46">
        <v>41.777799999999999</v>
      </c>
      <c r="I57" s="66"/>
      <c r="J57" s="66"/>
      <c r="K57" s="67"/>
      <c r="L57" s="29"/>
      <c r="M57" s="46">
        <v>256.22320000000002</v>
      </c>
      <c r="N57" s="46">
        <v>38.945</v>
      </c>
      <c r="O57" s="46">
        <v>43.065899999999999</v>
      </c>
      <c r="P57" s="46">
        <v>41.777799999999999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 x14ac:dyDescent="0.25">
      <c r="A58" s="27"/>
      <c r="B58" s="36"/>
      <c r="C58" s="29"/>
      <c r="D58" s="32">
        <v>40</v>
      </c>
      <c r="E58" s="46">
        <v>153.95920000000001</v>
      </c>
      <c r="F58" s="46">
        <v>36.328800000000001</v>
      </c>
      <c r="G58" s="46">
        <v>42.261400000000002</v>
      </c>
      <c r="H58" s="46">
        <v>40.440199999999997</v>
      </c>
      <c r="I58" s="66"/>
      <c r="J58" s="66"/>
      <c r="K58" s="67"/>
      <c r="L58" s="29"/>
      <c r="M58" s="46">
        <v>153.95920000000001</v>
      </c>
      <c r="N58" s="46">
        <v>36.328800000000001</v>
      </c>
      <c r="O58" s="46">
        <v>42.261400000000002</v>
      </c>
      <c r="P58" s="46">
        <v>40.440199999999997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 x14ac:dyDescent="0.2">
      <c r="A59" s="27"/>
      <c r="B59" s="36"/>
      <c r="C59" s="28" t="s">
        <v>27</v>
      </c>
      <c r="D59" s="31">
        <v>25</v>
      </c>
      <c r="E59" s="45">
        <v>274.86799999999999</v>
      </c>
      <c r="F59" s="45">
        <v>42.695700000000002</v>
      </c>
      <c r="G59" s="45">
        <v>44.749499999999998</v>
      </c>
      <c r="H59" s="45">
        <v>44.147199999999998</v>
      </c>
      <c r="I59" s="79"/>
      <c r="J59" s="79"/>
      <c r="K59" s="80"/>
      <c r="L59" s="29"/>
      <c r="M59" s="45">
        <v>274.3904</v>
      </c>
      <c r="N59" s="45">
        <v>42.6935</v>
      </c>
      <c r="O59" s="45">
        <v>44.746099999999998</v>
      </c>
      <c r="P59" s="45">
        <v>44.148800000000001</v>
      </c>
      <c r="Q59" s="79"/>
      <c r="R59" s="79"/>
      <c r="S59" s="80"/>
      <c r="U59" s="8">
        <f>bdrate($E59:$E62,F59:F62,$M59:$M62,N59:N62)</f>
        <v>-1.9362668031308594E-4</v>
      </c>
      <c r="V59" s="9">
        <f>bdrate($E59:$E62,G59:G62,$M59:$M62,O59:O62)</f>
        <v>-1.2731772144338738E-3</v>
      </c>
      <c r="W59" s="10">
        <f>bdrate($E59:$E62,H59:H62,$M59:$M62,P59:P62)</f>
        <v>5.7642305742078292E-4</v>
      </c>
      <c r="X59" s="29"/>
      <c r="Y59" s="24"/>
      <c r="Z59" s="24"/>
      <c r="AA59" s="27"/>
      <c r="AC59" s="45">
        <f t="shared" si="5"/>
        <v>0.47759999999999536</v>
      </c>
      <c r="AD59" s="45">
        <f t="shared" si="4"/>
        <v>2.2000000000019782E-3</v>
      </c>
      <c r="AE59" s="45">
        <f t="shared" si="4"/>
        <v>3.3999999999991815E-3</v>
      </c>
      <c r="AF59" s="45">
        <f t="shared" si="4"/>
        <v>-1.6000000000033765E-3</v>
      </c>
      <c r="AG59" s="79"/>
      <c r="AH59" s="79"/>
      <c r="AI59" s="80"/>
    </row>
    <row r="60" spans="1:35" ht="12" x14ac:dyDescent="0.2">
      <c r="A60" s="27"/>
      <c r="B60" s="36"/>
      <c r="C60" s="29"/>
      <c r="D60" s="32">
        <v>30</v>
      </c>
      <c r="E60" s="46">
        <v>122.8</v>
      </c>
      <c r="F60" s="46">
        <v>40.3581</v>
      </c>
      <c r="G60" s="46">
        <v>43.8202</v>
      </c>
      <c r="H60" s="46">
        <v>42.654299999999999</v>
      </c>
      <c r="I60" s="66"/>
      <c r="J60" s="66"/>
      <c r="K60" s="67"/>
      <c r="L60" s="29"/>
      <c r="M60" s="46">
        <v>122.8096</v>
      </c>
      <c r="N60" s="46">
        <v>40.357700000000001</v>
      </c>
      <c r="O60" s="46">
        <v>43.824199999999998</v>
      </c>
      <c r="P60" s="46">
        <v>42.649099999999997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-9.6000000000060481E-3</v>
      </c>
      <c r="AD60" s="46">
        <f t="shared" si="4"/>
        <v>3.9999999999906777E-4</v>
      </c>
      <c r="AE60" s="46">
        <f t="shared" si="4"/>
        <v>-3.9999999999977831E-3</v>
      </c>
      <c r="AF60" s="46">
        <f t="shared" si="4"/>
        <v>5.2000000000020918E-3</v>
      </c>
      <c r="AG60" s="66"/>
      <c r="AH60" s="66"/>
      <c r="AI60" s="67"/>
    </row>
    <row r="61" spans="1:35" ht="12" x14ac:dyDescent="0.2">
      <c r="A61" s="27"/>
      <c r="B61" s="36"/>
      <c r="C61" s="29"/>
      <c r="D61" s="32">
        <v>35</v>
      </c>
      <c r="E61" s="46">
        <v>64.098399999999998</v>
      </c>
      <c r="F61" s="46">
        <v>37.9193</v>
      </c>
      <c r="G61" s="46">
        <v>42.886699999999998</v>
      </c>
      <c r="H61" s="46">
        <v>41.3065</v>
      </c>
      <c r="I61" s="66"/>
      <c r="J61" s="66"/>
      <c r="K61" s="67"/>
      <c r="L61" s="29"/>
      <c r="M61" s="46">
        <v>64.068799999999996</v>
      </c>
      <c r="N61" s="46">
        <v>37.918599999999998</v>
      </c>
      <c r="O61" s="46">
        <v>42.887099999999997</v>
      </c>
      <c r="P61" s="46">
        <v>41.307400000000001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2.9600000000002069E-2</v>
      </c>
      <c r="AD61" s="46">
        <f t="shared" si="4"/>
        <v>7.0000000000192131E-4</v>
      </c>
      <c r="AE61" s="46">
        <f t="shared" si="4"/>
        <v>-3.9999999999906777E-4</v>
      </c>
      <c r="AF61" s="46">
        <f t="shared" si="4"/>
        <v>-9.0000000000145519E-4</v>
      </c>
      <c r="AG61" s="66"/>
      <c r="AH61" s="66"/>
      <c r="AI61" s="67"/>
    </row>
    <row r="62" spans="1:35" ht="12.75" thickBot="1" x14ac:dyDescent="0.25">
      <c r="A62" s="27"/>
      <c r="B62" s="36"/>
      <c r="C62" s="29"/>
      <c r="D62" s="32">
        <v>40</v>
      </c>
      <c r="E62" s="46">
        <v>34.536000000000001</v>
      </c>
      <c r="F62" s="46">
        <v>35.376100000000001</v>
      </c>
      <c r="G62" s="46">
        <v>42.0015</v>
      </c>
      <c r="H62" s="46">
        <v>39.9968</v>
      </c>
      <c r="I62" s="66"/>
      <c r="J62" s="66"/>
      <c r="K62" s="67"/>
      <c r="L62" s="29"/>
      <c r="M62" s="46">
        <v>34.519199999999998</v>
      </c>
      <c r="N62" s="46">
        <v>35.375599999999999</v>
      </c>
      <c r="O62" s="46">
        <v>42.001300000000001</v>
      </c>
      <c r="P62" s="46">
        <v>39.9925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1.6800000000003479E-2</v>
      </c>
      <c r="AD62" s="46">
        <f t="shared" si="4"/>
        <v>5.0000000000238742E-4</v>
      </c>
      <c r="AE62" s="46">
        <f t="shared" si="4"/>
        <v>1.9999999999953388E-4</v>
      </c>
      <c r="AF62" s="46">
        <f t="shared" si="4"/>
        <v>4.3000000000006366E-3</v>
      </c>
      <c r="AG62" s="66"/>
      <c r="AH62" s="66"/>
      <c r="AI62" s="67"/>
    </row>
    <row r="63" spans="1:35" ht="12" x14ac:dyDescent="0.2">
      <c r="A63" s="27"/>
      <c r="B63" s="36"/>
      <c r="C63" s="28" t="s">
        <v>28</v>
      </c>
      <c r="D63" s="31">
        <v>25</v>
      </c>
      <c r="E63" s="45">
        <v>292.14479999999998</v>
      </c>
      <c r="F63" s="45">
        <v>42.331699999999998</v>
      </c>
      <c r="G63" s="45">
        <v>43.9634</v>
      </c>
      <c r="H63" s="45">
        <v>43.8812</v>
      </c>
      <c r="I63" s="79"/>
      <c r="J63" s="79"/>
      <c r="K63" s="80"/>
      <c r="L63" s="29"/>
      <c r="M63" s="45">
        <v>291.8768</v>
      </c>
      <c r="N63" s="45">
        <v>42.330300000000001</v>
      </c>
      <c r="O63" s="45">
        <v>43.959699999999998</v>
      </c>
      <c r="P63" s="45">
        <v>43.884700000000002</v>
      </c>
      <c r="Q63" s="79"/>
      <c r="R63" s="79"/>
      <c r="S63" s="80"/>
      <c r="U63" s="8">
        <f>bdrate($E63:$E66,F63:F66,$M63:$M66,N63:N66)</f>
        <v>-1.5010372384994808E-3</v>
      </c>
      <c r="V63" s="9">
        <f>bdrate($E63:$E66,G63:G66,$M63:$M66,O63:O66)</f>
        <v>2.0611886066683738E-3</v>
      </c>
      <c r="W63" s="10">
        <f>bdrate($E63:$E66,H63:H66,$M63:$M66,P63:P66)</f>
        <v>-2.885798070971779E-4</v>
      </c>
      <c r="X63" s="29"/>
      <c r="Y63" s="24"/>
      <c r="Z63" s="24"/>
      <c r="AA63" s="27"/>
      <c r="AC63" s="45">
        <f t="shared" si="5"/>
        <v>0.26799999999997226</v>
      </c>
      <c r="AD63" s="45">
        <f t="shared" si="4"/>
        <v>1.3999999999967372E-3</v>
      </c>
      <c r="AE63" s="45">
        <f t="shared" si="4"/>
        <v>3.700000000002035E-3</v>
      </c>
      <c r="AF63" s="45">
        <f t="shared" si="4"/>
        <v>-3.5000000000025011E-3</v>
      </c>
      <c r="AG63" s="79"/>
      <c r="AH63" s="79"/>
      <c r="AI63" s="80"/>
    </row>
    <row r="64" spans="1:35" ht="12" x14ac:dyDescent="0.2">
      <c r="A64" s="27"/>
      <c r="B64" s="36"/>
      <c r="C64" s="29"/>
      <c r="D64" s="32">
        <v>30</v>
      </c>
      <c r="E64" s="46">
        <v>129.11760000000001</v>
      </c>
      <c r="F64" s="46">
        <v>40.110300000000002</v>
      </c>
      <c r="G64" s="46">
        <v>42.9895</v>
      </c>
      <c r="H64" s="46">
        <v>42.451300000000003</v>
      </c>
      <c r="I64" s="66"/>
      <c r="J64" s="66"/>
      <c r="K64" s="67"/>
      <c r="L64" s="29"/>
      <c r="M64" s="46">
        <v>128.87520000000001</v>
      </c>
      <c r="N64" s="46">
        <v>40.108199999999997</v>
      </c>
      <c r="O64" s="46">
        <v>42.982500000000002</v>
      </c>
      <c r="P64" s="46">
        <v>42.447600000000001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0.2424000000000035</v>
      </c>
      <c r="AD64" s="46">
        <f t="shared" si="4"/>
        <v>2.1000000000057639E-3</v>
      </c>
      <c r="AE64" s="46">
        <f t="shared" si="4"/>
        <v>6.9999999999978968E-3</v>
      </c>
      <c r="AF64" s="46">
        <f t="shared" si="4"/>
        <v>3.700000000002035E-3</v>
      </c>
      <c r="AG64" s="66"/>
      <c r="AH64" s="66"/>
      <c r="AI64" s="67"/>
    </row>
    <row r="65" spans="1:35" ht="12" x14ac:dyDescent="0.2">
      <c r="A65" s="27"/>
      <c r="B65" s="36"/>
      <c r="C65" s="29"/>
      <c r="D65" s="32">
        <v>35</v>
      </c>
      <c r="E65" s="46">
        <v>67.233599999999996</v>
      </c>
      <c r="F65" s="46">
        <v>37.7363</v>
      </c>
      <c r="G65" s="46">
        <v>42.211599999999997</v>
      </c>
      <c r="H65" s="46">
        <v>41.211399999999998</v>
      </c>
      <c r="I65" s="66"/>
      <c r="J65" s="66"/>
      <c r="K65" s="67"/>
      <c r="L65" s="29"/>
      <c r="M65" s="46">
        <v>67.061599999999999</v>
      </c>
      <c r="N65" s="46">
        <v>37.735399999999998</v>
      </c>
      <c r="O65" s="46">
        <v>42.2072</v>
      </c>
      <c r="P65" s="46">
        <v>41.204300000000003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0.17199999999999704</v>
      </c>
      <c r="AD65" s="46">
        <f t="shared" si="4"/>
        <v>9.0000000000145519E-4</v>
      </c>
      <c r="AE65" s="46">
        <f t="shared" si="4"/>
        <v>4.3999999999968509E-3</v>
      </c>
      <c r="AF65" s="46">
        <f t="shared" si="4"/>
        <v>7.099999999994111E-3</v>
      </c>
      <c r="AG65" s="66"/>
      <c r="AH65" s="66"/>
      <c r="AI65" s="67"/>
    </row>
    <row r="66" spans="1:35" ht="12.75" thickBot="1" x14ac:dyDescent="0.25">
      <c r="A66" s="27"/>
      <c r="B66" s="36"/>
      <c r="C66" s="53"/>
      <c r="D66" s="71">
        <v>40</v>
      </c>
      <c r="E66" s="72">
        <v>35.808</v>
      </c>
      <c r="F66" s="72">
        <v>35.2241</v>
      </c>
      <c r="G66" s="72">
        <v>41.432099999999998</v>
      </c>
      <c r="H66" s="72">
        <v>39.954099999999997</v>
      </c>
      <c r="I66" s="68"/>
      <c r="J66" s="68"/>
      <c r="K66" s="69"/>
      <c r="L66" s="29"/>
      <c r="M66" s="72">
        <v>35.788800000000002</v>
      </c>
      <c r="N66" s="72">
        <v>35.2254</v>
      </c>
      <c r="O66" s="72">
        <v>41.434199999999997</v>
      </c>
      <c r="P66" s="72">
        <v>39.958199999999998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1.9199999999997885E-2</v>
      </c>
      <c r="AD66" s="72">
        <f t="shared" si="4"/>
        <v>-1.300000000000523E-3</v>
      </c>
      <c r="AE66" s="72">
        <f t="shared" si="4"/>
        <v>-2.0999999999986585E-3</v>
      </c>
      <c r="AF66" s="72">
        <f t="shared" si="4"/>
        <v>-4.1000000000011028E-3</v>
      </c>
      <c r="AG66" s="68"/>
      <c r="AH66" s="68"/>
      <c r="AI66" s="69"/>
    </row>
    <row r="67" spans="1:35" ht="12" x14ac:dyDescent="0.2">
      <c r="A67" s="27"/>
      <c r="B67" s="36"/>
      <c r="C67" s="28" t="s">
        <v>29</v>
      </c>
      <c r="D67" s="31">
        <v>34</v>
      </c>
      <c r="E67" s="45">
        <v>136.4144</v>
      </c>
      <c r="F67" s="45">
        <v>39.176299999999998</v>
      </c>
      <c r="G67" s="78"/>
      <c r="H67" s="78"/>
      <c r="I67" s="79"/>
      <c r="J67" s="79"/>
      <c r="K67" s="80"/>
      <c r="L67" s="29"/>
      <c r="M67" s="45">
        <v>136.6112</v>
      </c>
      <c r="N67" s="45">
        <v>39.179000000000002</v>
      </c>
      <c r="O67" s="78"/>
      <c r="P67" s="78"/>
      <c r="Q67" s="79"/>
      <c r="R67" s="79"/>
      <c r="S67" s="80"/>
      <c r="U67" s="8">
        <f>bdrate($E67:$E70,F67:F70,$M67:$M70,N67:N70)</f>
        <v>-2.2254750181238681E-4</v>
      </c>
      <c r="V67" s="9"/>
      <c r="W67" s="10"/>
      <c r="X67" s="29"/>
      <c r="Y67" s="24"/>
      <c r="Z67" s="24"/>
      <c r="AA67" s="27"/>
      <c r="AC67" s="45">
        <f t="shared" si="5"/>
        <v>-0.19679999999999609</v>
      </c>
      <c r="AD67" s="45">
        <f t="shared" si="4"/>
        <v>-2.7000000000043656E-3</v>
      </c>
      <c r="AE67" s="78"/>
      <c r="AF67" s="78"/>
      <c r="AG67" s="79"/>
      <c r="AH67" s="79"/>
      <c r="AI67" s="80"/>
    </row>
    <row r="68" spans="1:35" ht="12" x14ac:dyDescent="0.2">
      <c r="A68" s="27"/>
      <c r="B68" s="36"/>
      <c r="C68" s="29"/>
      <c r="D68" s="32">
        <v>39</v>
      </c>
      <c r="E68" s="46">
        <v>47.833599999999997</v>
      </c>
      <c r="F68" s="46">
        <v>35.190300000000001</v>
      </c>
      <c r="G68" s="70"/>
      <c r="H68" s="70"/>
      <c r="I68" s="66"/>
      <c r="J68" s="66"/>
      <c r="K68" s="67"/>
      <c r="L68" s="29"/>
      <c r="M68" s="46">
        <v>47.754399999999997</v>
      </c>
      <c r="N68" s="46">
        <v>35.188899999999997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7.9200000000000159E-2</v>
      </c>
      <c r="AD68" s="46">
        <f t="shared" si="4"/>
        <v>1.4000000000038426E-3</v>
      </c>
      <c r="AE68" s="70"/>
      <c r="AF68" s="70"/>
      <c r="AG68" s="66"/>
      <c r="AH68" s="66"/>
      <c r="AI68" s="67"/>
    </row>
    <row r="69" spans="1:35" ht="12" x14ac:dyDescent="0.2">
      <c r="A69" s="27"/>
      <c r="B69" s="36"/>
      <c r="C69" s="29"/>
      <c r="D69" s="32">
        <v>42</v>
      </c>
      <c r="E69" s="46">
        <v>20.571999999999999</v>
      </c>
      <c r="F69" s="46">
        <v>32.223599999999998</v>
      </c>
      <c r="G69" s="70"/>
      <c r="H69" s="70"/>
      <c r="I69" s="66"/>
      <c r="J69" s="66"/>
      <c r="K69" s="67"/>
      <c r="L69" s="29"/>
      <c r="M69" s="46">
        <v>20.574400000000001</v>
      </c>
      <c r="N69" s="46">
        <v>32.221400000000003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-2.400000000001512E-3</v>
      </c>
      <c r="AD69" s="46">
        <f t="shared" si="4"/>
        <v>2.1999999999948727E-3</v>
      </c>
      <c r="AE69" s="70"/>
      <c r="AF69" s="70"/>
      <c r="AG69" s="66"/>
      <c r="AH69" s="66"/>
      <c r="AI69" s="67"/>
    </row>
    <row r="70" spans="1:35" ht="12.75" thickBot="1" x14ac:dyDescent="0.25">
      <c r="A70" s="27"/>
      <c r="B70" s="36"/>
      <c r="C70" s="29"/>
      <c r="D70" s="32">
        <v>45</v>
      </c>
      <c r="E70" s="46">
        <v>9.8952000000000009</v>
      </c>
      <c r="F70" s="46">
        <v>29.705200000000001</v>
      </c>
      <c r="G70" s="70"/>
      <c r="H70" s="70"/>
      <c r="I70" s="66"/>
      <c r="J70" s="66"/>
      <c r="K70" s="67"/>
      <c r="L70" s="29"/>
      <c r="M70" s="46">
        <v>9.8943999999999992</v>
      </c>
      <c r="N70" s="46">
        <v>29.704899999999999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8.0000000000168825E-4</v>
      </c>
      <c r="AD70" s="46">
        <f t="shared" si="4"/>
        <v>3.0000000000285354E-4</v>
      </c>
      <c r="AE70" s="70"/>
      <c r="AF70" s="70"/>
      <c r="AG70" s="66"/>
      <c r="AH70" s="66"/>
      <c r="AI70" s="67"/>
    </row>
    <row r="71" spans="1:35" ht="12" x14ac:dyDescent="0.2">
      <c r="A71" s="27"/>
      <c r="B71" s="36"/>
      <c r="C71" s="28" t="s">
        <v>30</v>
      </c>
      <c r="D71" s="31">
        <v>34</v>
      </c>
      <c r="E71" s="45">
        <v>108.24720000000001</v>
      </c>
      <c r="F71" s="45">
        <v>36.144399999999997</v>
      </c>
      <c r="G71" s="78"/>
      <c r="H71" s="78"/>
      <c r="I71" s="79"/>
      <c r="J71" s="79"/>
      <c r="K71" s="80"/>
      <c r="L71" s="29"/>
      <c r="M71" s="45">
        <v>107.54</v>
      </c>
      <c r="N71" s="45">
        <v>36.116500000000002</v>
      </c>
      <c r="O71" s="78"/>
      <c r="P71" s="78"/>
      <c r="Q71" s="79"/>
      <c r="R71" s="79"/>
      <c r="S71" s="80"/>
      <c r="U71" s="8">
        <f>bdrate($E71:$E74,F71:F74,$M71:$M74,N71:N74)</f>
        <v>-2.1061134658800773E-3</v>
      </c>
      <c r="V71" s="9"/>
      <c r="W71" s="10"/>
      <c r="X71" s="29"/>
      <c r="Y71" s="24"/>
      <c r="Z71" s="24"/>
      <c r="AA71" s="27"/>
      <c r="AC71" s="45">
        <f t="shared" si="5"/>
        <v>0.70720000000000027</v>
      </c>
      <c r="AD71" s="45">
        <f t="shared" si="4"/>
        <v>2.7899999999995373E-2</v>
      </c>
      <c r="AE71" s="78"/>
      <c r="AF71" s="78"/>
      <c r="AG71" s="79"/>
      <c r="AH71" s="79"/>
      <c r="AI71" s="80"/>
    </row>
    <row r="72" spans="1:35" ht="12" x14ac:dyDescent="0.2">
      <c r="A72" s="27"/>
      <c r="B72" s="36"/>
      <c r="C72" s="29"/>
      <c r="D72" s="32">
        <v>39</v>
      </c>
      <c r="E72" s="46">
        <v>35.851999999999997</v>
      </c>
      <c r="F72" s="46">
        <v>32.201700000000002</v>
      </c>
      <c r="G72" s="70"/>
      <c r="H72" s="70"/>
      <c r="I72" s="66"/>
      <c r="J72" s="66"/>
      <c r="K72" s="67"/>
      <c r="L72" s="29"/>
      <c r="M72" s="46">
        <v>35.863199999999999</v>
      </c>
      <c r="N72" s="46">
        <v>32.225000000000001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-1.1200000000002319E-2</v>
      </c>
      <c r="AD72" s="46">
        <f t="shared" si="4"/>
        <v>-2.3299999999998988E-2</v>
      </c>
      <c r="AE72" s="70"/>
      <c r="AF72" s="70"/>
      <c r="AG72" s="66"/>
      <c r="AH72" s="66"/>
      <c r="AI72" s="67"/>
    </row>
    <row r="73" spans="1:35" ht="12" x14ac:dyDescent="0.2">
      <c r="A73" s="27"/>
      <c r="B73" s="36"/>
      <c r="C73" s="29"/>
      <c r="D73" s="32">
        <v>42</v>
      </c>
      <c r="E73" s="46">
        <v>15.4544</v>
      </c>
      <c r="F73" s="46">
        <v>29.5</v>
      </c>
      <c r="G73" s="70"/>
      <c r="H73" s="70"/>
      <c r="I73" s="66"/>
      <c r="J73" s="66"/>
      <c r="K73" s="67"/>
      <c r="L73" s="29"/>
      <c r="M73" s="46">
        <v>15.507999999999999</v>
      </c>
      <c r="N73" s="46">
        <v>29.499400000000001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-5.3599999999999426E-2</v>
      </c>
      <c r="AD73" s="46">
        <f t="shared" si="4"/>
        <v>5.9999999999860165E-4</v>
      </c>
      <c r="AE73" s="70"/>
      <c r="AF73" s="70"/>
      <c r="AG73" s="66"/>
      <c r="AH73" s="66"/>
      <c r="AI73" s="67"/>
    </row>
    <row r="74" spans="1:35" ht="12.75" thickBot="1" x14ac:dyDescent="0.25">
      <c r="A74" s="27"/>
      <c r="B74" s="36"/>
      <c r="C74" s="29"/>
      <c r="D74" s="32">
        <v>45</v>
      </c>
      <c r="E74" s="46">
        <v>7.4311999999999996</v>
      </c>
      <c r="F74" s="46">
        <v>26.916499999999999</v>
      </c>
      <c r="G74" s="70"/>
      <c r="H74" s="70"/>
      <c r="I74" s="66"/>
      <c r="J74" s="66"/>
      <c r="K74" s="67"/>
      <c r="L74" s="29"/>
      <c r="M74" s="46">
        <v>7.3688000000000002</v>
      </c>
      <c r="N74" s="46">
        <v>26.899100000000001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6.2399999999999345E-2</v>
      </c>
      <c r="AD74" s="46">
        <f t="shared" si="4"/>
        <v>1.7399999999998528E-2</v>
      </c>
      <c r="AE74" s="70"/>
      <c r="AF74" s="70"/>
      <c r="AG74" s="66"/>
      <c r="AH74" s="66"/>
      <c r="AI74" s="67"/>
    </row>
    <row r="75" spans="1:35" ht="12" x14ac:dyDescent="0.2">
      <c r="A75" s="27"/>
      <c r="B75" s="36"/>
      <c r="C75" s="28" t="s">
        <v>31</v>
      </c>
      <c r="D75" s="31">
        <v>34</v>
      </c>
      <c r="E75" s="45">
        <v>125.4832</v>
      </c>
      <c r="F75" s="45">
        <v>35.293399999999998</v>
      </c>
      <c r="G75" s="78"/>
      <c r="H75" s="78"/>
      <c r="I75" s="79"/>
      <c r="J75" s="79"/>
      <c r="K75" s="80"/>
      <c r="L75" s="29"/>
      <c r="M75" s="45">
        <v>125.7704</v>
      </c>
      <c r="N75" s="45">
        <v>35.322800000000001</v>
      </c>
      <c r="O75" s="78"/>
      <c r="P75" s="78"/>
      <c r="Q75" s="79"/>
      <c r="R75" s="79"/>
      <c r="S75" s="80"/>
      <c r="U75" s="8">
        <f>bdrate($E75:$E78,F75:F78,$M75:$M78,N75:N78)</f>
        <v>-3.1867085335539613E-3</v>
      </c>
      <c r="V75" s="9"/>
      <c r="W75" s="10"/>
      <c r="X75" s="29"/>
      <c r="Y75" s="24"/>
      <c r="Z75" s="24"/>
      <c r="AA75" s="27"/>
      <c r="AC75" s="45">
        <f t="shared" si="5"/>
        <v>-0.28719999999999857</v>
      </c>
      <c r="AD75" s="45">
        <f t="shared" si="4"/>
        <v>-2.9400000000002535E-2</v>
      </c>
      <c r="AE75" s="78"/>
      <c r="AF75" s="78"/>
      <c r="AG75" s="79"/>
      <c r="AH75" s="79"/>
      <c r="AI75" s="80"/>
    </row>
    <row r="76" spans="1:35" ht="12" x14ac:dyDescent="0.2">
      <c r="A76" s="27"/>
      <c r="B76" s="36"/>
      <c r="C76" s="29"/>
      <c r="D76" s="32">
        <v>39</v>
      </c>
      <c r="E76" s="46">
        <v>41.005600000000001</v>
      </c>
      <c r="F76" s="46">
        <v>31.463799999999999</v>
      </c>
      <c r="G76" s="70"/>
      <c r="H76" s="70"/>
      <c r="I76" s="66"/>
      <c r="J76" s="66"/>
      <c r="K76" s="67"/>
      <c r="L76" s="29"/>
      <c r="M76" s="46">
        <v>40.851199999999999</v>
      </c>
      <c r="N76" s="46">
        <v>31.468800000000002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0.15440000000000254</v>
      </c>
      <c r="AD76" s="46">
        <f t="shared" si="4"/>
        <v>-5.000000000002558E-3</v>
      </c>
      <c r="AE76" s="70"/>
      <c r="AF76" s="70"/>
      <c r="AG76" s="66"/>
      <c r="AH76" s="66"/>
      <c r="AI76" s="67"/>
    </row>
    <row r="77" spans="1:35" ht="12" x14ac:dyDescent="0.2">
      <c r="A77" s="27"/>
      <c r="B77" s="36"/>
      <c r="C77" s="29"/>
      <c r="D77" s="32">
        <v>42</v>
      </c>
      <c r="E77" s="46">
        <v>17.428000000000001</v>
      </c>
      <c r="F77" s="46">
        <v>28.762599999999999</v>
      </c>
      <c r="G77" s="70"/>
      <c r="H77" s="70"/>
      <c r="I77" s="66"/>
      <c r="J77" s="66"/>
      <c r="K77" s="67"/>
      <c r="L77" s="29"/>
      <c r="M77" s="46">
        <v>17.423200000000001</v>
      </c>
      <c r="N77" s="46">
        <v>28.760899999999999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4.7999999999994714E-3</v>
      </c>
      <c r="AD77" s="46">
        <f t="shared" si="4"/>
        <v>1.6999999999995907E-3</v>
      </c>
      <c r="AE77" s="70"/>
      <c r="AF77" s="70"/>
      <c r="AG77" s="66"/>
      <c r="AH77" s="66"/>
      <c r="AI77" s="67"/>
    </row>
    <row r="78" spans="1:35" ht="12.75" thickBot="1" x14ac:dyDescent="0.25">
      <c r="A78" s="27"/>
      <c r="B78" s="36"/>
      <c r="C78" s="29"/>
      <c r="D78" s="32">
        <v>45</v>
      </c>
      <c r="E78" s="46">
        <v>8.2064000000000004</v>
      </c>
      <c r="F78" s="46">
        <v>26.153300000000002</v>
      </c>
      <c r="G78" s="70"/>
      <c r="H78" s="70"/>
      <c r="I78" s="66"/>
      <c r="J78" s="66"/>
      <c r="K78" s="67"/>
      <c r="L78" s="29"/>
      <c r="M78" s="46">
        <v>8.2352000000000007</v>
      </c>
      <c r="N78" s="46">
        <v>26.165500000000002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-2.8800000000000381E-2</v>
      </c>
      <c r="AD78" s="46">
        <f t="shared" si="4"/>
        <v>-1.2199999999999989E-2</v>
      </c>
      <c r="AE78" s="46"/>
      <c r="AF78" s="46"/>
      <c r="AG78" s="66"/>
      <c r="AH78" s="66"/>
      <c r="AI78" s="67"/>
    </row>
    <row r="79" spans="1:35" ht="12" x14ac:dyDescent="0.2">
      <c r="A79" s="27"/>
      <c r="B79" s="36"/>
      <c r="C79" s="28" t="s">
        <v>47</v>
      </c>
      <c r="D79" s="31">
        <v>25</v>
      </c>
      <c r="E79" s="78"/>
      <c r="F79" s="45">
        <v>42.7699</v>
      </c>
      <c r="G79" s="45">
        <v>46.996899999999997</v>
      </c>
      <c r="H79" s="45">
        <v>45.777700000000003</v>
      </c>
      <c r="I79" s="79"/>
      <c r="J79" s="79"/>
      <c r="K79" s="80"/>
      <c r="L79" s="29"/>
      <c r="M79" s="78"/>
      <c r="N79" s="45">
        <v>42.766300000000001</v>
      </c>
      <c r="O79" s="45">
        <v>46.997399999999999</v>
      </c>
      <c r="P79" s="45">
        <v>45.785299999999999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3.5999999999987153E-3</v>
      </c>
      <c r="AE79" s="45">
        <f t="shared" si="4"/>
        <v>-5.0000000000238742E-4</v>
      </c>
      <c r="AF79" s="45">
        <f t="shared" si="4"/>
        <v>-7.5999999999964984E-3</v>
      </c>
      <c r="AG79" s="79"/>
      <c r="AH79" s="79"/>
      <c r="AI79" s="80"/>
    </row>
    <row r="80" spans="1:35" ht="12" x14ac:dyDescent="0.2">
      <c r="A80" s="27"/>
      <c r="B80" s="36"/>
      <c r="C80" s="29"/>
      <c r="D80" s="32">
        <v>30</v>
      </c>
      <c r="E80" s="70"/>
      <c r="F80" s="46">
        <v>40.522100000000002</v>
      </c>
      <c r="G80" s="46">
        <v>45.848399999999998</v>
      </c>
      <c r="H80" s="46">
        <v>44.032200000000003</v>
      </c>
      <c r="I80" s="66"/>
      <c r="J80" s="66"/>
      <c r="K80" s="67"/>
      <c r="L80" s="29"/>
      <c r="M80" s="70"/>
      <c r="N80" s="46">
        <v>40.529600000000002</v>
      </c>
      <c r="O80" s="46">
        <v>45.855899999999998</v>
      </c>
      <c r="P80" s="46">
        <v>44.036299999999997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-7.5000000000002842E-3</v>
      </c>
      <c r="AE80" s="46">
        <f t="shared" si="4"/>
        <v>-7.5000000000002842E-3</v>
      </c>
      <c r="AF80" s="46">
        <f t="shared" si="4"/>
        <v>-4.0999999999939973E-3</v>
      </c>
      <c r="AG80" s="66"/>
      <c r="AH80" s="66"/>
      <c r="AI80" s="67"/>
    </row>
    <row r="81" spans="1:35" ht="12" x14ac:dyDescent="0.2">
      <c r="A81" s="27"/>
      <c r="B81" s="36"/>
      <c r="C81" s="29"/>
      <c r="D81" s="32">
        <v>35</v>
      </c>
      <c r="E81" s="70"/>
      <c r="F81" s="46">
        <v>38.179299999999998</v>
      </c>
      <c r="G81" s="46">
        <v>44.6342</v>
      </c>
      <c r="H81" s="46">
        <v>42.489199999999997</v>
      </c>
      <c r="I81" s="66"/>
      <c r="J81" s="66"/>
      <c r="K81" s="67"/>
      <c r="L81" s="29"/>
      <c r="M81" s="70"/>
      <c r="N81" s="46">
        <v>38.176499999999997</v>
      </c>
      <c r="O81" s="46">
        <v>44.645400000000002</v>
      </c>
      <c r="P81" s="46">
        <v>42.483800000000002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2.8000000000005798E-3</v>
      </c>
      <c r="AE81" s="46">
        <f t="shared" si="4"/>
        <v>-1.1200000000002319E-2</v>
      </c>
      <c r="AF81" s="46">
        <f t="shared" si="4"/>
        <v>5.3999999999945203E-3</v>
      </c>
      <c r="AG81" s="66"/>
      <c r="AH81" s="66"/>
      <c r="AI81" s="67"/>
    </row>
    <row r="82" spans="1:35" ht="12.75" thickBot="1" x14ac:dyDescent="0.25">
      <c r="A82" s="27"/>
      <c r="B82" s="36"/>
      <c r="C82" s="53"/>
      <c r="D82" s="71">
        <v>40</v>
      </c>
      <c r="E82" s="81"/>
      <c r="F82" s="72">
        <v>35.693199999999997</v>
      </c>
      <c r="G82" s="72">
        <v>43.635199999999998</v>
      </c>
      <c r="H82" s="72">
        <v>41.049900000000001</v>
      </c>
      <c r="I82" s="68"/>
      <c r="J82" s="68"/>
      <c r="K82" s="69"/>
      <c r="L82" s="29"/>
      <c r="M82" s="81"/>
      <c r="N82" s="72">
        <v>35.6892</v>
      </c>
      <c r="O82" s="72">
        <v>43.632199999999997</v>
      </c>
      <c r="P82" s="72">
        <v>41.047800000000002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3.9999999999977831E-3</v>
      </c>
      <c r="AE82" s="72">
        <f t="shared" si="4"/>
        <v>3.0000000000001137E-3</v>
      </c>
      <c r="AF82" s="72">
        <f t="shared" si="4"/>
        <v>2.0999999999986585E-3</v>
      </c>
      <c r="AG82" s="68"/>
      <c r="AH82" s="68"/>
      <c r="AI82" s="69"/>
    </row>
    <row r="83" spans="1:35" ht="12" x14ac:dyDescent="0.2">
      <c r="A83" s="27"/>
      <c r="B83" s="36"/>
      <c r="C83" s="29" t="s">
        <v>48</v>
      </c>
      <c r="D83" s="32">
        <v>25</v>
      </c>
      <c r="E83" s="70"/>
      <c r="F83" s="45">
        <v>43.4816</v>
      </c>
      <c r="G83" s="45">
        <v>47.591999999999999</v>
      </c>
      <c r="H83" s="45">
        <v>46.613300000000002</v>
      </c>
      <c r="I83" s="66"/>
      <c r="J83" s="66"/>
      <c r="K83" s="67"/>
      <c r="L83" s="29"/>
      <c r="M83" s="70"/>
      <c r="N83" s="45">
        <v>43.474800000000002</v>
      </c>
      <c r="O83" s="45">
        <v>47.595399999999998</v>
      </c>
      <c r="P83" s="45">
        <v>46.618099999999998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6.7999999999983629E-3</v>
      </c>
      <c r="AE83" s="45">
        <f t="shared" si="4"/>
        <v>-3.3999999999991815E-3</v>
      </c>
      <c r="AF83" s="45">
        <f t="shared" si="4"/>
        <v>-4.7999999999959186E-3</v>
      </c>
      <c r="AG83" s="66"/>
      <c r="AH83" s="66"/>
      <c r="AI83" s="67"/>
    </row>
    <row r="84" spans="1:35" ht="12" x14ac:dyDescent="0.2">
      <c r="A84" s="27"/>
      <c r="B84" s="36"/>
      <c r="C84" s="29"/>
      <c r="D84" s="32">
        <v>30</v>
      </c>
      <c r="E84" s="70"/>
      <c r="F84" s="46">
        <v>41.072800000000001</v>
      </c>
      <c r="G84" s="46">
        <v>46.348399999999998</v>
      </c>
      <c r="H84" s="46">
        <v>44.765000000000001</v>
      </c>
      <c r="I84" s="66"/>
      <c r="J84" s="66"/>
      <c r="K84" s="67"/>
      <c r="L84" s="29"/>
      <c r="M84" s="70"/>
      <c r="N84" s="46">
        <v>41.082299999999996</v>
      </c>
      <c r="O84" s="46">
        <v>46.356400000000001</v>
      </c>
      <c r="P84" s="46">
        <v>44.771000000000001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-9.4999999999956231E-3</v>
      </c>
      <c r="AE84" s="46">
        <f t="shared" si="4"/>
        <v>-8.0000000000026716E-3</v>
      </c>
      <c r="AF84" s="46">
        <f t="shared" si="4"/>
        <v>-6.0000000000002274E-3</v>
      </c>
      <c r="AG84" s="66"/>
      <c r="AH84" s="66"/>
      <c r="AI84" s="67"/>
    </row>
    <row r="85" spans="1:35" ht="12" x14ac:dyDescent="0.2">
      <c r="A85" s="27"/>
      <c r="B85" s="36"/>
      <c r="C85" s="29"/>
      <c r="D85" s="32">
        <v>35</v>
      </c>
      <c r="E85" s="70"/>
      <c r="F85" s="46">
        <v>38.603400000000001</v>
      </c>
      <c r="G85" s="46">
        <v>44.974699999999999</v>
      </c>
      <c r="H85" s="46">
        <v>42.983499999999999</v>
      </c>
      <c r="I85" s="66"/>
      <c r="J85" s="66"/>
      <c r="K85" s="67"/>
      <c r="L85" s="29"/>
      <c r="M85" s="70"/>
      <c r="N85" s="46">
        <v>38.601300000000002</v>
      </c>
      <c r="O85" s="46">
        <v>44.979900000000001</v>
      </c>
      <c r="P85" s="46">
        <v>42.980699999999999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2.0999999999986585E-3</v>
      </c>
      <c r="AE85" s="46">
        <f t="shared" si="4"/>
        <v>-5.2000000000020918E-3</v>
      </c>
      <c r="AF85" s="46">
        <f t="shared" si="4"/>
        <v>2.8000000000005798E-3</v>
      </c>
      <c r="AG85" s="66"/>
      <c r="AH85" s="66"/>
      <c r="AI85" s="67"/>
    </row>
    <row r="86" spans="1:35" ht="12.75" thickBot="1" x14ac:dyDescent="0.25">
      <c r="A86" s="27"/>
      <c r="B86" s="36"/>
      <c r="C86" s="53"/>
      <c r="D86" s="71">
        <v>40</v>
      </c>
      <c r="E86" s="81"/>
      <c r="F86" s="46">
        <v>36.013199999999998</v>
      </c>
      <c r="G86" s="72">
        <v>43.904699999999998</v>
      </c>
      <c r="H86" s="72">
        <v>41.453499999999998</v>
      </c>
      <c r="I86" s="68"/>
      <c r="J86" s="68"/>
      <c r="K86" s="69"/>
      <c r="L86" s="29"/>
      <c r="M86" s="81"/>
      <c r="N86" s="46">
        <v>36.01</v>
      </c>
      <c r="O86" s="72">
        <v>43.901600000000002</v>
      </c>
      <c r="P86" s="72">
        <v>41.453800000000001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3.1999999999996476E-3</v>
      </c>
      <c r="AE86" s="46">
        <f t="shared" si="4"/>
        <v>3.0999999999963279E-3</v>
      </c>
      <c r="AF86" s="46">
        <f t="shared" si="4"/>
        <v>-3.0000000000285354E-4</v>
      </c>
      <c r="AG86" s="68"/>
      <c r="AH86" s="68"/>
      <c r="AI86" s="69"/>
    </row>
    <row r="87" spans="1:35" ht="12" x14ac:dyDescent="0.2">
      <c r="A87" s="27"/>
      <c r="B87" s="36"/>
      <c r="C87" s="29" t="s">
        <v>49</v>
      </c>
      <c r="D87" s="32">
        <v>25</v>
      </c>
      <c r="E87" s="70"/>
      <c r="F87" s="45">
        <v>43.638100000000001</v>
      </c>
      <c r="G87" s="45">
        <v>47.050899999999999</v>
      </c>
      <c r="H87" s="45">
        <v>46.540700000000001</v>
      </c>
      <c r="I87" s="66"/>
      <c r="J87" s="66"/>
      <c r="K87" s="67"/>
      <c r="L87" s="29"/>
      <c r="M87" s="70"/>
      <c r="N87" s="45">
        <v>43.638500000000001</v>
      </c>
      <c r="O87" s="45">
        <v>47.051200000000001</v>
      </c>
      <c r="P87" s="45">
        <v>46.540999999999997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-3.9999999999906777E-4</v>
      </c>
      <c r="AE87" s="45">
        <f t="shared" si="4"/>
        <v>-3.0000000000285354E-4</v>
      </c>
      <c r="AF87" s="45">
        <f t="shared" si="4"/>
        <v>-2.9999999999574811E-4</v>
      </c>
      <c r="AG87" s="66"/>
      <c r="AH87" s="66"/>
      <c r="AI87" s="67"/>
    </row>
    <row r="88" spans="1:35" ht="12" x14ac:dyDescent="0.2">
      <c r="A88" s="27"/>
      <c r="B88" s="36"/>
      <c r="C88" s="29"/>
      <c r="D88" s="32">
        <v>30</v>
      </c>
      <c r="E88" s="70"/>
      <c r="F88" s="46">
        <v>41.343699999999998</v>
      </c>
      <c r="G88" s="46">
        <v>46.006999999999998</v>
      </c>
      <c r="H88" s="46">
        <v>44.8065</v>
      </c>
      <c r="I88" s="66"/>
      <c r="J88" s="66"/>
      <c r="K88" s="67"/>
      <c r="L88" s="29"/>
      <c r="M88" s="70"/>
      <c r="N88" s="46">
        <v>41.350900000000003</v>
      </c>
      <c r="O88" s="46">
        <v>46.008899999999997</v>
      </c>
      <c r="P88" s="46">
        <v>44.806399999999996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-7.2000000000045361E-3</v>
      </c>
      <c r="AE88" s="46">
        <f t="shared" si="4"/>
        <v>-1.8999999999991246E-3</v>
      </c>
      <c r="AF88" s="46">
        <f t="shared" si="4"/>
        <v>1.0000000000331966E-4</v>
      </c>
      <c r="AG88" s="66"/>
      <c r="AH88" s="66"/>
      <c r="AI88" s="67"/>
    </row>
    <row r="89" spans="1:35" ht="12" x14ac:dyDescent="0.2">
      <c r="A89" s="27"/>
      <c r="B89" s="36"/>
      <c r="C89" s="29"/>
      <c r="D89" s="32">
        <v>35</v>
      </c>
      <c r="E89" s="70"/>
      <c r="F89" s="46">
        <v>38.853900000000003</v>
      </c>
      <c r="G89" s="46">
        <v>44.720999999999997</v>
      </c>
      <c r="H89" s="46">
        <v>42.963200000000001</v>
      </c>
      <c r="I89" s="66"/>
      <c r="J89" s="66"/>
      <c r="K89" s="67"/>
      <c r="L89" s="29"/>
      <c r="M89" s="70"/>
      <c r="N89" s="46">
        <v>38.851300000000002</v>
      </c>
      <c r="O89" s="46">
        <v>44.720100000000002</v>
      </c>
      <c r="P89" s="46">
        <v>42.9621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2.6000000000010459E-3</v>
      </c>
      <c r="AE89" s="46">
        <f t="shared" si="4"/>
        <v>8.9999999999434976E-4</v>
      </c>
      <c r="AF89" s="46">
        <f t="shared" si="4"/>
        <v>1.1000000000009891E-3</v>
      </c>
      <c r="AG89" s="66"/>
      <c r="AH89" s="66"/>
      <c r="AI89" s="67"/>
    </row>
    <row r="90" spans="1:35" ht="12.75" thickBot="1" x14ac:dyDescent="0.25">
      <c r="A90" s="27"/>
      <c r="B90" s="36"/>
      <c r="C90" s="53"/>
      <c r="D90" s="71">
        <v>40</v>
      </c>
      <c r="E90" s="81"/>
      <c r="F90" s="46">
        <v>36.240699999999997</v>
      </c>
      <c r="G90" s="72">
        <v>43.764200000000002</v>
      </c>
      <c r="H90" s="72">
        <v>41.447800000000001</v>
      </c>
      <c r="I90" s="68"/>
      <c r="J90" s="68"/>
      <c r="K90" s="69"/>
      <c r="L90" s="29"/>
      <c r="M90" s="81"/>
      <c r="N90" s="46">
        <v>36.242100000000001</v>
      </c>
      <c r="O90" s="72">
        <v>43.762700000000002</v>
      </c>
      <c r="P90" s="72">
        <v>41.448099999999997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-1.4000000000038426E-3</v>
      </c>
      <c r="AE90" s="46">
        <f t="shared" si="4"/>
        <v>1.5000000000000568E-3</v>
      </c>
      <c r="AF90" s="46">
        <f t="shared" si="4"/>
        <v>-2.9999999999574811E-4</v>
      </c>
      <c r="AG90" s="68"/>
      <c r="AH90" s="68"/>
      <c r="AI90" s="69"/>
    </row>
    <row r="91" spans="1:35" ht="12" x14ac:dyDescent="0.2">
      <c r="A91" s="27"/>
      <c r="B91" s="36"/>
      <c r="C91" s="29" t="s">
        <v>50</v>
      </c>
      <c r="D91" s="32">
        <v>25</v>
      </c>
      <c r="E91" s="70"/>
      <c r="F91" s="45">
        <v>43.480699999999999</v>
      </c>
      <c r="G91" s="45">
        <v>47.042000000000002</v>
      </c>
      <c r="H91" s="45">
        <v>46.5914</v>
      </c>
      <c r="I91" s="66"/>
      <c r="J91" s="66"/>
      <c r="K91" s="67"/>
      <c r="L91" s="29"/>
      <c r="M91" s="70"/>
      <c r="N91" s="45">
        <v>43.486400000000003</v>
      </c>
      <c r="O91" s="45">
        <v>47.039700000000003</v>
      </c>
      <c r="P91" s="45">
        <v>46.5944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-5.7000000000044793E-3</v>
      </c>
      <c r="AE91" s="45">
        <f t="shared" si="4"/>
        <v>2.2999999999981924E-3</v>
      </c>
      <c r="AF91" s="45">
        <f t="shared" si="4"/>
        <v>-3.0000000000001137E-3</v>
      </c>
      <c r="AG91" s="66"/>
      <c r="AH91" s="66"/>
      <c r="AI91" s="67"/>
    </row>
    <row r="92" spans="1:35" ht="12" x14ac:dyDescent="0.2">
      <c r="A92" s="27"/>
      <c r="B92" s="36"/>
      <c r="C92" s="29"/>
      <c r="D92" s="32">
        <v>30</v>
      </c>
      <c r="E92" s="70"/>
      <c r="F92" s="46">
        <v>41.198399999999999</v>
      </c>
      <c r="G92" s="46">
        <v>46.026299999999999</v>
      </c>
      <c r="H92" s="46">
        <v>44.849899999999998</v>
      </c>
      <c r="I92" s="66"/>
      <c r="J92" s="66"/>
      <c r="K92" s="67"/>
      <c r="L92" s="29"/>
      <c r="M92" s="70"/>
      <c r="N92" s="46">
        <v>41.19</v>
      </c>
      <c r="O92" s="46">
        <v>46.024700000000003</v>
      </c>
      <c r="P92" s="46">
        <v>44.848399999999998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8.4000000000017394E-3</v>
      </c>
      <c r="AE92" s="46">
        <f t="shared" si="4"/>
        <v>1.5999999999962711E-3</v>
      </c>
      <c r="AF92" s="46">
        <f t="shared" si="4"/>
        <v>1.5000000000000568E-3</v>
      </c>
      <c r="AG92" s="66"/>
      <c r="AH92" s="66"/>
      <c r="AI92" s="67"/>
    </row>
    <row r="93" spans="1:35" ht="12" x14ac:dyDescent="0.2">
      <c r="A93" s="27"/>
      <c r="B93" s="36"/>
      <c r="C93" s="29"/>
      <c r="D93" s="32">
        <v>35</v>
      </c>
      <c r="E93" s="70"/>
      <c r="F93" s="46">
        <v>38.706499999999998</v>
      </c>
      <c r="G93" s="46">
        <v>44.773600000000002</v>
      </c>
      <c r="H93" s="46">
        <v>42.988700000000001</v>
      </c>
      <c r="I93" s="66"/>
      <c r="J93" s="66"/>
      <c r="K93" s="67"/>
      <c r="L93" s="29"/>
      <c r="M93" s="70"/>
      <c r="N93" s="46">
        <v>38.709299999999999</v>
      </c>
      <c r="O93" s="46">
        <v>44.770800000000001</v>
      </c>
      <c r="P93" s="46">
        <v>42.9878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-2.8000000000005798E-3</v>
      </c>
      <c r="AE93" s="46">
        <f t="shared" si="4"/>
        <v>2.8000000000005798E-3</v>
      </c>
      <c r="AF93" s="46">
        <f t="shared" si="4"/>
        <v>9.0000000000145519E-4</v>
      </c>
      <c r="AG93" s="66"/>
      <c r="AH93" s="66"/>
      <c r="AI93" s="67"/>
    </row>
    <row r="94" spans="1:35" ht="12.75" thickBot="1" x14ac:dyDescent="0.25">
      <c r="A94" s="27"/>
      <c r="B94" s="36"/>
      <c r="C94" s="53"/>
      <c r="D94" s="71">
        <v>40</v>
      </c>
      <c r="E94" s="81"/>
      <c r="F94" s="46">
        <v>36.103400000000001</v>
      </c>
      <c r="G94" s="72">
        <v>43.795099999999998</v>
      </c>
      <c r="H94" s="72">
        <v>41.440300000000001</v>
      </c>
      <c r="I94" s="68"/>
      <c r="J94" s="68"/>
      <c r="K94" s="69"/>
      <c r="L94" s="29"/>
      <c r="M94" s="81"/>
      <c r="N94" s="46">
        <v>36.106099999999998</v>
      </c>
      <c r="O94" s="72">
        <v>43.793900000000001</v>
      </c>
      <c r="P94" s="72">
        <v>41.442100000000003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-2.6999999999972601E-3</v>
      </c>
      <c r="AE94" s="46">
        <f t="shared" si="4"/>
        <v>1.1999999999972033E-3</v>
      </c>
      <c r="AF94" s="46">
        <f t="shared" si="4"/>
        <v>-1.8000000000029104E-3</v>
      </c>
      <c r="AG94" s="68"/>
      <c r="AH94" s="68"/>
      <c r="AI94" s="69"/>
    </row>
    <row r="95" spans="1:35" ht="12" x14ac:dyDescent="0.2">
      <c r="A95" s="27"/>
      <c r="B95" s="36"/>
      <c r="C95" s="29" t="s">
        <v>51</v>
      </c>
      <c r="D95" s="32">
        <v>25</v>
      </c>
      <c r="E95" s="70"/>
      <c r="F95" s="45">
        <v>43.212400000000002</v>
      </c>
      <c r="G95" s="45">
        <v>47.308</v>
      </c>
      <c r="H95" s="45">
        <v>46.594299999999997</v>
      </c>
      <c r="I95" s="66"/>
      <c r="J95" s="66"/>
      <c r="K95" s="67"/>
      <c r="L95" s="29"/>
      <c r="M95" s="70"/>
      <c r="N95" s="45">
        <v>43.222000000000001</v>
      </c>
      <c r="O95" s="45">
        <v>47.3</v>
      </c>
      <c r="P95" s="45">
        <v>46.601199999999999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-9.5999999999989427E-3</v>
      </c>
      <c r="AE95" s="45">
        <f t="shared" si="4"/>
        <v>8.0000000000026716E-3</v>
      </c>
      <c r="AF95" s="45">
        <f t="shared" si="4"/>
        <v>-6.9000000000016826E-3</v>
      </c>
      <c r="AG95" s="66"/>
      <c r="AH95" s="66"/>
      <c r="AI95" s="67"/>
    </row>
    <row r="96" spans="1:35" ht="12" x14ac:dyDescent="0.2">
      <c r="A96" s="27"/>
      <c r="B96" s="36"/>
      <c r="C96" s="29"/>
      <c r="D96" s="32">
        <v>30</v>
      </c>
      <c r="E96" s="70"/>
      <c r="F96" s="46">
        <v>40.860799999999998</v>
      </c>
      <c r="G96" s="46">
        <v>46.1539</v>
      </c>
      <c r="H96" s="46">
        <v>44.764299999999999</v>
      </c>
      <c r="I96" s="66"/>
      <c r="J96" s="66"/>
      <c r="K96" s="67"/>
      <c r="L96" s="29"/>
      <c r="M96" s="70"/>
      <c r="N96" s="46">
        <v>40.857199999999999</v>
      </c>
      <c r="O96" s="46">
        <v>46.144500000000001</v>
      </c>
      <c r="P96" s="46">
        <v>44.755899999999997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3.5999999999987153E-3</v>
      </c>
      <c r="AE96" s="46">
        <f t="shared" si="4"/>
        <v>9.3999999999994088E-3</v>
      </c>
      <c r="AF96" s="46">
        <f t="shared" si="4"/>
        <v>8.4000000000017394E-3</v>
      </c>
      <c r="AG96" s="66"/>
      <c r="AH96" s="66"/>
      <c r="AI96" s="67"/>
    </row>
    <row r="97" spans="1:35" ht="12" x14ac:dyDescent="0.2">
      <c r="A97" s="27"/>
      <c r="B97" s="36"/>
      <c r="C97" s="29"/>
      <c r="D97" s="32">
        <v>35</v>
      </c>
      <c r="E97" s="70"/>
      <c r="F97" s="46">
        <v>38.383400000000002</v>
      </c>
      <c r="G97" s="46">
        <v>44.943800000000003</v>
      </c>
      <c r="H97" s="46">
        <v>42.985500000000002</v>
      </c>
      <c r="I97" s="66"/>
      <c r="J97" s="66"/>
      <c r="K97" s="67"/>
      <c r="L97" s="29"/>
      <c r="M97" s="70"/>
      <c r="N97" s="46">
        <v>38.387999999999998</v>
      </c>
      <c r="O97" s="46">
        <v>44.938600000000001</v>
      </c>
      <c r="P97" s="46">
        <v>42.987099999999998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-4.5999999999963848E-3</v>
      </c>
      <c r="AE97" s="46">
        <f t="shared" si="4"/>
        <v>5.2000000000020918E-3</v>
      </c>
      <c r="AF97" s="46">
        <f t="shared" si="4"/>
        <v>-1.5999999999962711E-3</v>
      </c>
      <c r="AG97" s="66"/>
      <c r="AH97" s="66"/>
      <c r="AI97" s="67"/>
    </row>
    <row r="98" spans="1:35" ht="12.75" thickBot="1" x14ac:dyDescent="0.25">
      <c r="A98" s="27"/>
      <c r="B98" s="36"/>
      <c r="C98" s="53"/>
      <c r="D98" s="71">
        <v>40</v>
      </c>
      <c r="E98" s="81"/>
      <c r="F98" s="72">
        <v>35.811300000000003</v>
      </c>
      <c r="G98" s="72">
        <v>43.934199999999997</v>
      </c>
      <c r="H98" s="72">
        <v>41.4084</v>
      </c>
      <c r="I98" s="68"/>
      <c r="J98" s="68"/>
      <c r="K98" s="69"/>
      <c r="L98" s="29"/>
      <c r="M98" s="81"/>
      <c r="N98" s="72">
        <v>35.813499999999998</v>
      </c>
      <c r="O98" s="72">
        <v>43.933399999999999</v>
      </c>
      <c r="P98" s="72">
        <v>41.4069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-2.1999999999948727E-3</v>
      </c>
      <c r="AE98" s="72">
        <f t="shared" si="4"/>
        <v>7.9999999999813554E-4</v>
      </c>
      <c r="AF98" s="72">
        <f t="shared" si="4"/>
        <v>1.5000000000000568E-3</v>
      </c>
      <c r="AG98" s="68"/>
      <c r="AH98" s="68"/>
      <c r="AI98" s="69"/>
    </row>
    <row r="99" spans="1:35" ht="12" x14ac:dyDescent="0.2">
      <c r="A99" s="27"/>
      <c r="B99" s="36"/>
      <c r="C99" s="29" t="s">
        <v>52</v>
      </c>
      <c r="D99" s="32">
        <v>25</v>
      </c>
      <c r="E99" s="70"/>
      <c r="F99" s="45">
        <v>42.470399999999998</v>
      </c>
      <c r="G99" s="45">
        <v>46.361499999999999</v>
      </c>
      <c r="H99" s="45">
        <v>45.741399999999999</v>
      </c>
      <c r="I99" s="66"/>
      <c r="J99" s="66"/>
      <c r="K99" s="67"/>
      <c r="L99" s="29"/>
      <c r="M99" s="70"/>
      <c r="N99" s="45">
        <v>42.472900000000003</v>
      </c>
      <c r="O99" s="45">
        <v>46.354399999999998</v>
      </c>
      <c r="P99" s="45">
        <v>45.746400000000001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-2.5000000000048317E-3</v>
      </c>
      <c r="AE99" s="45">
        <f t="shared" si="4"/>
        <v>7.1000000000012164E-3</v>
      </c>
      <c r="AF99" s="45">
        <f t="shared" si="4"/>
        <v>-5.000000000002558E-3</v>
      </c>
      <c r="AG99" s="45"/>
      <c r="AH99" s="66"/>
      <c r="AI99" s="67"/>
    </row>
    <row r="100" spans="1:35" ht="12" x14ac:dyDescent="0.2">
      <c r="A100" s="27"/>
      <c r="B100" s="36"/>
      <c r="C100" s="29"/>
      <c r="D100" s="32">
        <v>30</v>
      </c>
      <c r="E100" s="70"/>
      <c r="F100" s="46">
        <v>40.281199999999998</v>
      </c>
      <c r="G100" s="46">
        <v>45.239699999999999</v>
      </c>
      <c r="H100" s="46">
        <v>44.0242</v>
      </c>
      <c r="I100" s="66"/>
      <c r="J100" s="66"/>
      <c r="K100" s="67"/>
      <c r="L100" s="29"/>
      <c r="M100" s="70"/>
      <c r="N100" s="46">
        <v>40.278399999999998</v>
      </c>
      <c r="O100" s="46">
        <v>45.2318</v>
      </c>
      <c r="P100" s="46">
        <v>44.021500000000003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2.8000000000005798E-3</v>
      </c>
      <c r="AE100" s="46">
        <f t="shared" si="4"/>
        <v>7.899999999999352E-3</v>
      </c>
      <c r="AF100" s="46">
        <f t="shared" si="4"/>
        <v>2.6999999999972601E-3</v>
      </c>
      <c r="AG100" s="66"/>
      <c r="AH100" s="66"/>
      <c r="AI100" s="67"/>
    </row>
    <row r="101" spans="1:35" ht="12" x14ac:dyDescent="0.2">
      <c r="A101" s="27"/>
      <c r="B101" s="36"/>
      <c r="C101" s="29"/>
      <c r="D101" s="32">
        <v>35</v>
      </c>
      <c r="E101" s="70"/>
      <c r="F101" s="46">
        <v>37.935000000000002</v>
      </c>
      <c r="G101" s="46">
        <v>44.231499999999997</v>
      </c>
      <c r="H101" s="46">
        <v>42.491199999999999</v>
      </c>
      <c r="I101" s="66"/>
      <c r="J101" s="66"/>
      <c r="K101" s="67"/>
      <c r="L101" s="29"/>
      <c r="M101" s="70"/>
      <c r="N101" s="46">
        <v>37.939700000000002</v>
      </c>
      <c r="O101" s="46">
        <v>44.227400000000003</v>
      </c>
      <c r="P101" s="46">
        <v>42.487299999999998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-4.6999999999997044E-3</v>
      </c>
      <c r="AE101" s="46">
        <f t="shared" si="4"/>
        <v>4.0999999999939973E-3</v>
      </c>
      <c r="AF101" s="46">
        <f t="shared" si="4"/>
        <v>3.9000000000015689E-3</v>
      </c>
      <c r="AG101" s="66"/>
      <c r="AH101" s="66"/>
      <c r="AI101" s="67"/>
    </row>
    <row r="102" spans="1:35" ht="12.75" thickBot="1" x14ac:dyDescent="0.25">
      <c r="A102" s="27"/>
      <c r="B102" s="36"/>
      <c r="C102" s="53"/>
      <c r="D102" s="71">
        <v>40</v>
      </c>
      <c r="E102" s="81"/>
      <c r="F102" s="72">
        <v>35.452500000000001</v>
      </c>
      <c r="G102" s="72">
        <v>43.345100000000002</v>
      </c>
      <c r="H102" s="72">
        <v>41.0154</v>
      </c>
      <c r="I102" s="68"/>
      <c r="J102" s="68"/>
      <c r="K102" s="69"/>
      <c r="L102" s="29"/>
      <c r="M102" s="81"/>
      <c r="N102" s="72">
        <v>35.455599999999997</v>
      </c>
      <c r="O102" s="72">
        <v>43.339799999999997</v>
      </c>
      <c r="P102" s="72">
        <v>41.009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-3.0999999999963279E-3</v>
      </c>
      <c r="AE102" s="72">
        <f t="shared" si="4"/>
        <v>5.3000000000054115E-3</v>
      </c>
      <c r="AF102" s="72">
        <f t="shared" si="4"/>
        <v>6.3999999999992951E-3</v>
      </c>
      <c r="AG102" s="68"/>
      <c r="AH102" s="68"/>
      <c r="AI102" s="69"/>
    </row>
    <row r="103" spans="1:35" ht="12" x14ac:dyDescent="0.2">
      <c r="A103" s="27"/>
      <c r="B103" s="36"/>
      <c r="C103" s="29" t="s">
        <v>12</v>
      </c>
      <c r="D103" s="32">
        <v>25</v>
      </c>
      <c r="E103" s="45">
        <v>1789.7088000000001</v>
      </c>
      <c r="F103" s="70"/>
      <c r="G103" s="70"/>
      <c r="H103" s="70"/>
      <c r="I103" s="45">
        <v>37840.313000000002</v>
      </c>
      <c r="J103" s="45">
        <v>62.438000000000002</v>
      </c>
      <c r="K103" s="45">
        <v>361.40600000000001</v>
      </c>
      <c r="L103" s="29"/>
      <c r="M103" s="45">
        <v>1788.74</v>
      </c>
      <c r="N103" s="70"/>
      <c r="O103" s="70"/>
      <c r="P103" s="70"/>
      <c r="Q103" s="45">
        <v>36829.5</v>
      </c>
      <c r="R103" s="45">
        <v>62.188000000000002</v>
      </c>
      <c r="S103" s="45">
        <v>365.54700000000003</v>
      </c>
      <c r="U103" s="8"/>
      <c r="V103" s="9"/>
      <c r="W103" s="10"/>
      <c r="X103" s="29"/>
      <c r="Y103" s="61">
        <f>GEOMEAN(Q103:Q106)/GEOMEAN(I103:I106)</f>
        <v>0.99851942329936738</v>
      </c>
      <c r="Z103" s="61">
        <f>GEOMEAN(R103:R106)/GEOMEAN(J103:J106)</f>
        <v>1.0197937986442289</v>
      </c>
      <c r="AA103" s="57">
        <f>GEOMEAN(S103:S106)/GEOMEAN(K103:K106)</f>
        <v>1.0280676923830392</v>
      </c>
      <c r="AC103" s="45">
        <f>E103 -M103</f>
        <v>0.96880000000010114</v>
      </c>
      <c r="AD103" s="70"/>
      <c r="AE103" s="70"/>
      <c r="AF103" s="70"/>
      <c r="AG103" s="45">
        <f t="shared" ref="AG103:AI106" si="6">I103 -Q103</f>
        <v>1010.8130000000019</v>
      </c>
      <c r="AH103" s="45">
        <f t="shared" si="6"/>
        <v>0.25</v>
      </c>
      <c r="AI103" s="45">
        <f t="shared" si="6"/>
        <v>-4.1410000000000196</v>
      </c>
    </row>
    <row r="104" spans="1:35" ht="12" x14ac:dyDescent="0.2">
      <c r="A104" s="27"/>
      <c r="B104" s="36"/>
      <c r="C104" s="29"/>
      <c r="D104" s="32">
        <v>30</v>
      </c>
      <c r="E104" s="46">
        <v>833.23040000000003</v>
      </c>
      <c r="F104" s="70"/>
      <c r="G104" s="70"/>
      <c r="H104" s="70"/>
      <c r="I104" s="46">
        <v>29012.687999999998</v>
      </c>
      <c r="J104" s="46">
        <v>61.203000000000003</v>
      </c>
      <c r="K104" s="46">
        <v>367.85899999999998</v>
      </c>
      <c r="L104" s="29"/>
      <c r="M104" s="46">
        <v>832.77520000000004</v>
      </c>
      <c r="N104" s="70"/>
      <c r="O104" s="70"/>
      <c r="P104" s="70"/>
      <c r="Q104" s="46">
        <v>28970.030999999999</v>
      </c>
      <c r="R104" s="46">
        <v>57.578000000000003</v>
      </c>
      <c r="S104" s="46">
        <v>370.60899999999998</v>
      </c>
      <c r="U104" s="41"/>
      <c r="V104" s="42"/>
      <c r="W104" s="43"/>
      <c r="X104" s="29"/>
      <c r="Y104" s="24"/>
      <c r="Z104" s="24"/>
      <c r="AA104" s="27"/>
      <c r="AC104" s="46">
        <f>E104 -M104</f>
        <v>0.45519999999999072</v>
      </c>
      <c r="AD104" s="70"/>
      <c r="AE104" s="70"/>
      <c r="AF104" s="70"/>
      <c r="AG104" s="46">
        <f t="shared" si="6"/>
        <v>42.656999999999243</v>
      </c>
      <c r="AH104" s="46">
        <f t="shared" si="6"/>
        <v>3.625</v>
      </c>
      <c r="AI104" s="46">
        <f t="shared" si="6"/>
        <v>-2.75</v>
      </c>
    </row>
    <row r="105" spans="1:35" ht="12" x14ac:dyDescent="0.2">
      <c r="A105" s="27"/>
      <c r="B105" s="36"/>
      <c r="C105" s="29"/>
      <c r="D105" s="32">
        <v>35</v>
      </c>
      <c r="E105" s="46">
        <v>446.8</v>
      </c>
      <c r="F105" s="70"/>
      <c r="G105" s="70"/>
      <c r="H105" s="70"/>
      <c r="I105" s="46">
        <v>23979.546999999999</v>
      </c>
      <c r="J105" s="46">
        <v>58.155999999999999</v>
      </c>
      <c r="K105" s="46">
        <v>382.96899999999999</v>
      </c>
      <c r="L105" s="29"/>
      <c r="M105" s="46">
        <v>446.64960000000002</v>
      </c>
      <c r="N105" s="70"/>
      <c r="O105" s="70"/>
      <c r="P105" s="70"/>
      <c r="Q105" s="46">
        <v>24566.094000000001</v>
      </c>
      <c r="R105" s="46">
        <v>61.704000000000001</v>
      </c>
      <c r="S105" s="46">
        <v>387.14</v>
      </c>
      <c r="U105" s="17"/>
      <c r="V105" s="18"/>
      <c r="W105" s="19"/>
      <c r="X105" s="29"/>
      <c r="Y105" s="24"/>
      <c r="Z105" s="24"/>
      <c r="AA105" s="27"/>
      <c r="AC105" s="46">
        <f>E105 -M105</f>
        <v>0.15039999999999054</v>
      </c>
      <c r="AD105" s="70"/>
      <c r="AE105" s="70"/>
      <c r="AF105" s="70"/>
      <c r="AG105" s="46">
        <f t="shared" si="6"/>
        <v>-586.5470000000023</v>
      </c>
      <c r="AH105" s="46">
        <f t="shared" si="6"/>
        <v>-3.5480000000000018</v>
      </c>
      <c r="AI105" s="46">
        <f t="shared" si="6"/>
        <v>-4.1709999999999923</v>
      </c>
    </row>
    <row r="106" spans="1:35" ht="12.75" thickBot="1" x14ac:dyDescent="0.25">
      <c r="A106" s="27"/>
      <c r="B106" s="52"/>
      <c r="C106" s="53"/>
      <c r="D106" s="71">
        <v>40</v>
      </c>
      <c r="E106" s="72">
        <v>255.62639999999999</v>
      </c>
      <c r="F106" s="81"/>
      <c r="G106" s="81"/>
      <c r="H106" s="81"/>
      <c r="I106" s="72">
        <v>21218.594000000001</v>
      </c>
      <c r="J106" s="72">
        <v>54.390999999999998</v>
      </c>
      <c r="K106" s="72">
        <v>364.04599999999999</v>
      </c>
      <c r="L106" s="29"/>
      <c r="M106" s="72">
        <v>255.55600000000001</v>
      </c>
      <c r="N106" s="81"/>
      <c r="O106" s="81"/>
      <c r="P106" s="81"/>
      <c r="Q106" s="72">
        <v>21185.828000000001</v>
      </c>
      <c r="R106" s="72">
        <v>59.171999999999997</v>
      </c>
      <c r="S106" s="72">
        <v>394.78100000000001</v>
      </c>
      <c r="U106" s="85"/>
      <c r="V106" s="86"/>
      <c r="W106" s="87"/>
      <c r="X106" s="29"/>
      <c r="Y106" s="49"/>
      <c r="Z106" s="49"/>
      <c r="AA106" s="54"/>
      <c r="AC106" s="72">
        <f>E106 -M106</f>
        <v>7.0399999999978036E-2</v>
      </c>
      <c r="AD106" s="81"/>
      <c r="AE106" s="81"/>
      <c r="AF106" s="81"/>
      <c r="AG106" s="72">
        <f t="shared" si="6"/>
        <v>32.765999999999622</v>
      </c>
      <c r="AH106" s="72">
        <f t="shared" si="6"/>
        <v>-4.7809999999999988</v>
      </c>
      <c r="AI106" s="72">
        <f t="shared" si="6"/>
        <v>-30.735000000000014</v>
      </c>
    </row>
    <row r="107" spans="1:35" ht="12" x14ac:dyDescent="0.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949.88480000000004</v>
      </c>
      <c r="F107" s="45">
        <v>41.355600000000003</v>
      </c>
      <c r="G107" s="45">
        <v>44.1509</v>
      </c>
      <c r="H107" s="45">
        <v>44.212299999999999</v>
      </c>
      <c r="I107" s="79"/>
      <c r="J107" s="79"/>
      <c r="K107" s="80"/>
      <c r="L107" s="29"/>
      <c r="M107" s="45">
        <v>949.88480000000004</v>
      </c>
      <c r="N107" s="45">
        <v>41.355600000000003</v>
      </c>
      <c r="O107" s="45">
        <v>44.1509</v>
      </c>
      <c r="P107" s="45">
        <v>44.212299999999999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 x14ac:dyDescent="0.2">
      <c r="A108" s="27"/>
      <c r="B108" s="36"/>
      <c r="C108" s="29"/>
      <c r="D108" s="32">
        <v>30</v>
      </c>
      <c r="E108" s="46">
        <v>499.77760000000001</v>
      </c>
      <c r="F108" s="46">
        <v>38.9893</v>
      </c>
      <c r="G108" s="46">
        <v>42.521000000000001</v>
      </c>
      <c r="H108" s="46">
        <v>42.537199999999999</v>
      </c>
      <c r="I108" s="66"/>
      <c r="J108" s="66"/>
      <c r="K108" s="67"/>
      <c r="L108" s="29"/>
      <c r="M108" s="46">
        <v>499.77760000000001</v>
      </c>
      <c r="N108" s="46">
        <v>38.9893</v>
      </c>
      <c r="O108" s="46">
        <v>42.521000000000001</v>
      </c>
      <c r="P108" s="46">
        <v>42.537199999999999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 x14ac:dyDescent="0.2">
      <c r="A109" s="27"/>
      <c r="B109" s="36"/>
      <c r="C109" s="29"/>
      <c r="D109" s="32">
        <v>35</v>
      </c>
      <c r="E109" s="46">
        <v>275.01679999999999</v>
      </c>
      <c r="F109" s="46">
        <v>36.447499999999998</v>
      </c>
      <c r="G109" s="46">
        <v>40.752600000000001</v>
      </c>
      <c r="H109" s="46">
        <v>40.702300000000001</v>
      </c>
      <c r="I109" s="66"/>
      <c r="J109" s="66"/>
      <c r="K109" s="67"/>
      <c r="L109" s="29"/>
      <c r="M109" s="46">
        <v>275.01679999999999</v>
      </c>
      <c r="N109" s="46">
        <v>36.447499999999998</v>
      </c>
      <c r="O109" s="46">
        <v>40.752600000000001</v>
      </c>
      <c r="P109" s="46">
        <v>40.702300000000001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 x14ac:dyDescent="0.25">
      <c r="A110" s="27"/>
      <c r="B110" s="36"/>
      <c r="C110" s="29"/>
      <c r="D110" s="32">
        <v>40</v>
      </c>
      <c r="E110" s="46">
        <v>159.2824</v>
      </c>
      <c r="F110" s="46">
        <v>33.871200000000002</v>
      </c>
      <c r="G110" s="46">
        <v>39.508099999999999</v>
      </c>
      <c r="H110" s="46">
        <v>39.403799999999997</v>
      </c>
      <c r="I110" s="66"/>
      <c r="J110" s="66"/>
      <c r="K110" s="67"/>
      <c r="L110" s="29"/>
      <c r="M110" s="46">
        <v>159.2824</v>
      </c>
      <c r="N110" s="46">
        <v>33.871200000000002</v>
      </c>
      <c r="O110" s="46">
        <v>39.508099999999999</v>
      </c>
      <c r="P110" s="46">
        <v>39.403799999999997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 x14ac:dyDescent="0.2">
      <c r="A111" s="27"/>
      <c r="B111" s="36"/>
      <c r="C111" s="28" t="s">
        <v>27</v>
      </c>
      <c r="D111" s="31">
        <v>25</v>
      </c>
      <c r="E111" s="45">
        <v>304.79360000000003</v>
      </c>
      <c r="F111" s="45">
        <v>40.302199999999999</v>
      </c>
      <c r="G111" s="45">
        <v>42.9589</v>
      </c>
      <c r="H111" s="45">
        <v>43.068100000000001</v>
      </c>
      <c r="I111" s="79"/>
      <c r="J111" s="79"/>
      <c r="K111" s="80"/>
      <c r="L111" s="29"/>
      <c r="M111" s="45">
        <v>304.57679999999999</v>
      </c>
      <c r="N111" s="45">
        <v>40.303899999999999</v>
      </c>
      <c r="O111" s="45">
        <v>42.957700000000003</v>
      </c>
      <c r="P111" s="45">
        <v>43.067</v>
      </c>
      <c r="Q111" s="79"/>
      <c r="R111" s="79"/>
      <c r="S111" s="80"/>
      <c r="U111" s="8">
        <f>bdrate($E111:$E114,F111:F114,$M111:$M114,N111:N114)</f>
        <v>7.1916884090716948E-4</v>
      </c>
      <c r="V111" s="9">
        <f>bdrate($E111:$E114,G111:G114,$M111:$M114,O111:O114)</f>
        <v>-1.257722333497524E-3</v>
      </c>
      <c r="W111" s="10">
        <f>bdrate($E111:$E114,H111:H114,$M111:$M114,P111:P114)</f>
        <v>-8.5477351529861245E-4</v>
      </c>
      <c r="X111" s="29"/>
      <c r="Y111" s="24"/>
      <c r="Z111" s="24"/>
      <c r="AA111" s="27"/>
      <c r="AC111" s="45">
        <f t="shared" si="8"/>
        <v>0.21680000000003474</v>
      </c>
      <c r="AD111" s="45">
        <f t="shared" si="7"/>
        <v>-1.6999999999995907E-3</v>
      </c>
      <c r="AE111" s="45">
        <f t="shared" si="7"/>
        <v>1.1999999999972033E-3</v>
      </c>
      <c r="AF111" s="45">
        <f t="shared" si="7"/>
        <v>1.1000000000009891E-3</v>
      </c>
      <c r="AG111" s="79"/>
      <c r="AH111" s="79"/>
      <c r="AI111" s="80"/>
    </row>
    <row r="112" spans="1:35" ht="12" x14ac:dyDescent="0.2">
      <c r="A112" s="27"/>
      <c r="B112" s="36"/>
      <c r="C112" s="29"/>
      <c r="D112" s="32">
        <v>30</v>
      </c>
      <c r="E112" s="46">
        <v>129.4872</v>
      </c>
      <c r="F112" s="46">
        <v>37.960999999999999</v>
      </c>
      <c r="G112" s="46">
        <v>41.304000000000002</v>
      </c>
      <c r="H112" s="46">
        <v>41.434699999999999</v>
      </c>
      <c r="I112" s="66"/>
      <c r="J112" s="66"/>
      <c r="K112" s="67"/>
      <c r="L112" s="29"/>
      <c r="M112" s="46">
        <v>129.58240000000001</v>
      </c>
      <c r="N112" s="46">
        <v>37.96</v>
      </c>
      <c r="O112" s="46">
        <v>41.308999999999997</v>
      </c>
      <c r="P112" s="46">
        <v>41.4392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-9.5200000000005502E-2</v>
      </c>
      <c r="AD112" s="46">
        <f t="shared" si="7"/>
        <v>9.9999999999766942E-4</v>
      </c>
      <c r="AE112" s="46">
        <f t="shared" si="7"/>
        <v>-4.9999999999954525E-3</v>
      </c>
      <c r="AF112" s="46">
        <f t="shared" si="7"/>
        <v>-4.5000000000001705E-3</v>
      </c>
      <c r="AG112" s="66"/>
      <c r="AH112" s="66"/>
      <c r="AI112" s="67"/>
    </row>
    <row r="113" spans="1:35" ht="12" x14ac:dyDescent="0.2">
      <c r="A113" s="27"/>
      <c r="B113" s="36"/>
      <c r="C113" s="29"/>
      <c r="D113" s="32">
        <v>35</v>
      </c>
      <c r="E113" s="46">
        <v>64.191199999999995</v>
      </c>
      <c r="F113" s="46">
        <v>35.520600000000002</v>
      </c>
      <c r="G113" s="46">
        <v>40.025500000000001</v>
      </c>
      <c r="H113" s="46">
        <v>40.053899999999999</v>
      </c>
      <c r="I113" s="66"/>
      <c r="J113" s="66"/>
      <c r="K113" s="67"/>
      <c r="L113" s="29"/>
      <c r="M113" s="46">
        <v>64.329599999999999</v>
      </c>
      <c r="N113" s="46">
        <v>35.525100000000002</v>
      </c>
      <c r="O113" s="46">
        <v>40.032200000000003</v>
      </c>
      <c r="P113" s="46">
        <v>40.059699999999999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-0.1384000000000043</v>
      </c>
      <c r="AD113" s="46">
        <f t="shared" si="7"/>
        <v>-4.5000000000001705E-3</v>
      </c>
      <c r="AE113" s="46">
        <f t="shared" si="7"/>
        <v>-6.7000000000021487E-3</v>
      </c>
      <c r="AF113" s="46">
        <f t="shared" si="7"/>
        <v>-5.8000000000006935E-3</v>
      </c>
      <c r="AG113" s="66"/>
      <c r="AH113" s="66"/>
      <c r="AI113" s="67"/>
    </row>
    <row r="114" spans="1:35" ht="12.75" thickBot="1" x14ac:dyDescent="0.25">
      <c r="A114" s="27"/>
      <c r="B114" s="36"/>
      <c r="C114" s="29"/>
      <c r="D114" s="32">
        <v>40</v>
      </c>
      <c r="E114" s="46">
        <v>34.433599999999998</v>
      </c>
      <c r="F114" s="46">
        <v>33.106699999999996</v>
      </c>
      <c r="G114" s="46">
        <v>38.9756</v>
      </c>
      <c r="H114" s="46">
        <v>38.958500000000001</v>
      </c>
      <c r="I114" s="66"/>
      <c r="J114" s="66"/>
      <c r="K114" s="67"/>
      <c r="L114" s="29"/>
      <c r="M114" s="46">
        <v>34.479199999999999</v>
      </c>
      <c r="N114" s="46">
        <v>33.107599999999998</v>
      </c>
      <c r="O114" s="46">
        <v>38.975700000000003</v>
      </c>
      <c r="P114" s="46">
        <v>38.958100000000002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-4.5600000000000307E-2</v>
      </c>
      <c r="AD114" s="46">
        <f t="shared" si="7"/>
        <v>-9.0000000000145519E-4</v>
      </c>
      <c r="AE114" s="46">
        <f t="shared" si="7"/>
        <v>-1.0000000000331966E-4</v>
      </c>
      <c r="AF114" s="46">
        <f t="shared" si="7"/>
        <v>3.9999999999906777E-4</v>
      </c>
      <c r="AG114" s="66"/>
      <c r="AH114" s="66"/>
      <c r="AI114" s="67"/>
    </row>
    <row r="115" spans="1:35" ht="12" x14ac:dyDescent="0.2">
      <c r="A115" s="27"/>
      <c r="B115" s="36"/>
      <c r="C115" s="28" t="s">
        <v>28</v>
      </c>
      <c r="D115" s="31">
        <v>25</v>
      </c>
      <c r="E115" s="45">
        <v>348.16640000000001</v>
      </c>
      <c r="F115" s="45">
        <v>39.902900000000002</v>
      </c>
      <c r="G115" s="45">
        <v>42.856200000000001</v>
      </c>
      <c r="H115" s="45">
        <v>42.747100000000003</v>
      </c>
      <c r="I115" s="79"/>
      <c r="J115" s="79"/>
      <c r="K115" s="80"/>
      <c r="L115" s="29"/>
      <c r="M115" s="45">
        <v>348.00080000000003</v>
      </c>
      <c r="N115" s="45">
        <v>39.9024</v>
      </c>
      <c r="O115" s="45">
        <v>42.856699999999996</v>
      </c>
      <c r="P115" s="45">
        <v>42.749699999999997</v>
      </c>
      <c r="Q115" s="79"/>
      <c r="R115" s="79"/>
      <c r="S115" s="80"/>
      <c r="U115" s="8">
        <f>bdrate($E115:$E118,F115:F118,$M115:$M118,N115:N118)</f>
        <v>-9.8256411501895791E-4</v>
      </c>
      <c r="V115" s="9">
        <f>bdrate($E115:$E118,G115:G118,$M115:$M118,O115:O118)</f>
        <v>-1.6344087599436952E-3</v>
      </c>
      <c r="W115" s="10">
        <f>bdrate($E115:$E118,H115:H118,$M115:$M118,P115:P118)</f>
        <v>-1.5661308553397424E-3</v>
      </c>
      <c r="X115" s="29"/>
      <c r="Y115" s="24"/>
      <c r="Z115" s="24"/>
      <c r="AA115" s="27"/>
      <c r="AC115" s="45">
        <f t="shared" si="8"/>
        <v>0.16559999999998354</v>
      </c>
      <c r="AD115" s="45">
        <f t="shared" si="7"/>
        <v>5.0000000000238742E-4</v>
      </c>
      <c r="AE115" s="45">
        <f t="shared" si="7"/>
        <v>-4.99999999995282E-4</v>
      </c>
      <c r="AF115" s="45">
        <f t="shared" si="7"/>
        <v>-2.5999999999939405E-3</v>
      </c>
      <c r="AG115" s="79"/>
      <c r="AH115" s="79"/>
      <c r="AI115" s="80"/>
    </row>
    <row r="116" spans="1:35" ht="12" x14ac:dyDescent="0.2">
      <c r="A116" s="27"/>
      <c r="B116" s="36"/>
      <c r="C116" s="29"/>
      <c r="D116" s="32">
        <v>30</v>
      </c>
      <c r="E116" s="46">
        <v>150.56880000000001</v>
      </c>
      <c r="F116" s="46">
        <v>37.517699999999998</v>
      </c>
      <c r="G116" s="46">
        <v>41.367899999999999</v>
      </c>
      <c r="H116" s="46">
        <v>41.088700000000003</v>
      </c>
      <c r="I116" s="66"/>
      <c r="J116" s="66"/>
      <c r="K116" s="67"/>
      <c r="L116" s="29"/>
      <c r="M116" s="46">
        <v>150.36959999999999</v>
      </c>
      <c r="N116" s="46">
        <v>37.518300000000004</v>
      </c>
      <c r="O116" s="46">
        <v>41.371099999999998</v>
      </c>
      <c r="P116" s="46">
        <v>41.089500000000001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0.19920000000001892</v>
      </c>
      <c r="AD116" s="46">
        <f t="shared" si="7"/>
        <v>-6.0000000000570708E-4</v>
      </c>
      <c r="AE116" s="46">
        <f t="shared" si="7"/>
        <v>-3.1999999999996476E-3</v>
      </c>
      <c r="AF116" s="46">
        <f t="shared" si="7"/>
        <v>-7.9999999999813554E-4</v>
      </c>
      <c r="AG116" s="66"/>
      <c r="AH116" s="66"/>
      <c r="AI116" s="67"/>
    </row>
    <row r="117" spans="1:35" ht="12" x14ac:dyDescent="0.2">
      <c r="A117" s="27"/>
      <c r="B117" s="36"/>
      <c r="C117" s="29"/>
      <c r="D117" s="32">
        <v>35</v>
      </c>
      <c r="E117" s="46">
        <v>75.456800000000001</v>
      </c>
      <c r="F117" s="46">
        <v>35.063899999999997</v>
      </c>
      <c r="G117" s="46">
        <v>40.078000000000003</v>
      </c>
      <c r="H117" s="46">
        <v>39.666200000000003</v>
      </c>
      <c r="I117" s="66"/>
      <c r="J117" s="66"/>
      <c r="K117" s="67"/>
      <c r="L117" s="29"/>
      <c r="M117" s="46">
        <v>75.403999999999996</v>
      </c>
      <c r="N117" s="46">
        <v>35.066299999999998</v>
      </c>
      <c r="O117" s="46">
        <v>40.076999999999998</v>
      </c>
      <c r="P117" s="46">
        <v>39.6678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5.2800000000004843E-2</v>
      </c>
      <c r="AD117" s="46">
        <f t="shared" si="7"/>
        <v>-2.400000000001512E-3</v>
      </c>
      <c r="AE117" s="46">
        <f t="shared" si="7"/>
        <v>1.0000000000047748E-3</v>
      </c>
      <c r="AF117" s="46">
        <f t="shared" si="7"/>
        <v>-1.5999999999962711E-3</v>
      </c>
      <c r="AG117" s="66"/>
      <c r="AH117" s="66"/>
      <c r="AI117" s="67"/>
    </row>
    <row r="118" spans="1:35" ht="12.75" thickBot="1" x14ac:dyDescent="0.25">
      <c r="A118" s="27"/>
      <c r="B118" s="36"/>
      <c r="C118" s="53"/>
      <c r="D118" s="71">
        <v>40</v>
      </c>
      <c r="E118" s="72">
        <v>40.165599999999998</v>
      </c>
      <c r="F118" s="72">
        <v>32.5533</v>
      </c>
      <c r="G118" s="72">
        <v>39.084899999999998</v>
      </c>
      <c r="H118" s="72">
        <v>38.599400000000003</v>
      </c>
      <c r="I118" s="68"/>
      <c r="J118" s="68"/>
      <c r="K118" s="69"/>
      <c r="L118" s="29"/>
      <c r="M118" s="72">
        <v>40.177599999999998</v>
      </c>
      <c r="N118" s="72">
        <v>32.550699999999999</v>
      </c>
      <c r="O118" s="72">
        <v>39.087499999999999</v>
      </c>
      <c r="P118" s="72">
        <v>38.6006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-1.2000000000000455E-2</v>
      </c>
      <c r="AD118" s="72">
        <f t="shared" si="7"/>
        <v>2.6000000000010459E-3</v>
      </c>
      <c r="AE118" s="72">
        <f t="shared" si="7"/>
        <v>-2.6000000000010459E-3</v>
      </c>
      <c r="AF118" s="72">
        <f t="shared" si="7"/>
        <v>-1.1999999999972033E-3</v>
      </c>
      <c r="AG118" s="68"/>
      <c r="AH118" s="68"/>
      <c r="AI118" s="69"/>
    </row>
    <row r="119" spans="1:35" ht="12" x14ac:dyDescent="0.2">
      <c r="A119" s="27"/>
      <c r="B119" s="36"/>
      <c r="C119" s="28" t="s">
        <v>29</v>
      </c>
      <c r="D119" s="31">
        <v>34</v>
      </c>
      <c r="E119" s="45">
        <v>189.2064</v>
      </c>
      <c r="F119" s="45">
        <v>38.347000000000001</v>
      </c>
      <c r="G119" s="78"/>
      <c r="H119" s="78"/>
      <c r="I119" s="79"/>
      <c r="J119" s="79"/>
      <c r="K119" s="80"/>
      <c r="L119" s="29"/>
      <c r="M119" s="45">
        <v>189.36879999999999</v>
      </c>
      <c r="N119" s="45">
        <v>38.3491</v>
      </c>
      <c r="O119" s="78"/>
      <c r="P119" s="78"/>
      <c r="Q119" s="79"/>
      <c r="R119" s="79"/>
      <c r="S119" s="80"/>
      <c r="U119" s="8">
        <f>bdrate($E119:$E122,F119:F122,$M119:$M122,N119:N122)</f>
        <v>-5.3106963439719657E-4</v>
      </c>
      <c r="V119" s="9"/>
      <c r="W119" s="10"/>
      <c r="X119" s="29"/>
      <c r="Y119" s="24"/>
      <c r="Z119" s="24"/>
      <c r="AA119" s="27"/>
      <c r="AC119" s="45">
        <f t="shared" si="8"/>
        <v>-0.162399999999991</v>
      </c>
      <c r="AD119" s="45">
        <f t="shared" si="7"/>
        <v>-2.0999999999986585E-3</v>
      </c>
      <c r="AE119" s="78"/>
      <c r="AF119" s="78"/>
      <c r="AG119" s="79"/>
      <c r="AH119" s="79"/>
      <c r="AI119" s="80"/>
    </row>
    <row r="120" spans="1:35" ht="12" x14ac:dyDescent="0.2">
      <c r="A120" s="27"/>
      <c r="B120" s="36"/>
      <c r="C120" s="29"/>
      <c r="D120" s="32">
        <v>39</v>
      </c>
      <c r="E120" s="46">
        <v>64.327200000000005</v>
      </c>
      <c r="F120" s="46">
        <v>35.070599999999999</v>
      </c>
      <c r="G120" s="70"/>
      <c r="H120" s="70"/>
      <c r="I120" s="66"/>
      <c r="J120" s="66"/>
      <c r="K120" s="67"/>
      <c r="L120" s="29"/>
      <c r="M120" s="46">
        <v>64.152799999999999</v>
      </c>
      <c r="N120" s="46">
        <v>35.0657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0.17440000000000566</v>
      </c>
      <c r="AD120" s="46">
        <f t="shared" si="7"/>
        <v>4.8999999999992383E-3</v>
      </c>
      <c r="AE120" s="70"/>
      <c r="AF120" s="70"/>
      <c r="AG120" s="66"/>
      <c r="AH120" s="66"/>
      <c r="AI120" s="67"/>
    </row>
    <row r="121" spans="1:35" ht="12" x14ac:dyDescent="0.2">
      <c r="A121" s="27"/>
      <c r="B121" s="36"/>
      <c r="C121" s="29"/>
      <c r="D121" s="32">
        <v>42</v>
      </c>
      <c r="E121" s="46">
        <v>26.0624</v>
      </c>
      <c r="F121" s="46">
        <v>32.467700000000001</v>
      </c>
      <c r="G121" s="70"/>
      <c r="H121" s="70"/>
      <c r="I121" s="66"/>
      <c r="J121" s="66"/>
      <c r="K121" s="67"/>
      <c r="L121" s="29"/>
      <c r="M121" s="46">
        <v>26.06</v>
      </c>
      <c r="N121" s="46">
        <v>32.468899999999998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2.400000000001512E-3</v>
      </c>
      <c r="AD121" s="46">
        <f t="shared" si="7"/>
        <v>-1.1999999999972033E-3</v>
      </c>
      <c r="AE121" s="70"/>
      <c r="AF121" s="70"/>
      <c r="AG121" s="66"/>
      <c r="AH121" s="66"/>
      <c r="AI121" s="67"/>
    </row>
    <row r="122" spans="1:35" ht="12.75" thickBot="1" x14ac:dyDescent="0.25">
      <c r="A122" s="27"/>
      <c r="B122" s="36"/>
      <c r="C122" s="29"/>
      <c r="D122" s="32">
        <v>45</v>
      </c>
      <c r="E122" s="46">
        <v>11.7224</v>
      </c>
      <c r="F122" s="46">
        <v>29.5151</v>
      </c>
      <c r="G122" s="70"/>
      <c r="H122" s="70"/>
      <c r="I122" s="66"/>
      <c r="J122" s="66"/>
      <c r="K122" s="67"/>
      <c r="L122" s="29"/>
      <c r="M122" s="46">
        <v>11.7224</v>
      </c>
      <c r="N122" s="46">
        <v>29.5151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 ht="12" x14ac:dyDescent="0.2">
      <c r="A123" s="27"/>
      <c r="B123" s="36"/>
      <c r="C123" s="28" t="s">
        <v>30</v>
      </c>
      <c r="D123" s="31">
        <v>34</v>
      </c>
      <c r="E123" s="45">
        <v>123.9328</v>
      </c>
      <c r="F123" s="45">
        <v>37.205300000000001</v>
      </c>
      <c r="G123" s="78"/>
      <c r="H123" s="78"/>
      <c r="I123" s="79"/>
      <c r="J123" s="79"/>
      <c r="K123" s="80"/>
      <c r="L123" s="29"/>
      <c r="M123" s="45">
        <v>124.1152</v>
      </c>
      <c r="N123" s="45">
        <v>37.226199999999999</v>
      </c>
      <c r="O123" s="78"/>
      <c r="P123" s="78"/>
      <c r="Q123" s="79"/>
      <c r="R123" s="79"/>
      <c r="S123" s="80"/>
      <c r="U123" s="8">
        <f>bdrate($E123:$E126,F123:F126,$M123:$M126,N123:N126)</f>
        <v>2.5171409341662176E-4</v>
      </c>
      <c r="V123" s="9"/>
      <c r="W123" s="10"/>
      <c r="X123" s="29"/>
      <c r="Y123" s="24"/>
      <c r="Z123" s="24"/>
      <c r="AA123" s="27"/>
      <c r="AC123" s="45">
        <f t="shared" si="8"/>
        <v>-0.18240000000000123</v>
      </c>
      <c r="AD123" s="45">
        <f t="shared" si="7"/>
        <v>-2.0899999999997476E-2</v>
      </c>
      <c r="AE123" s="78"/>
      <c r="AF123" s="78"/>
      <c r="AG123" s="79"/>
      <c r="AH123" s="79"/>
      <c r="AI123" s="80"/>
    </row>
    <row r="124" spans="1:35" ht="12" x14ac:dyDescent="0.2">
      <c r="A124" s="27"/>
      <c r="B124" s="36"/>
      <c r="C124" s="29"/>
      <c r="D124" s="32">
        <v>39</v>
      </c>
      <c r="E124" s="46">
        <v>43.796799999999998</v>
      </c>
      <c r="F124" s="46">
        <v>34.129300000000001</v>
      </c>
      <c r="G124" s="70"/>
      <c r="H124" s="70"/>
      <c r="I124" s="66"/>
      <c r="J124" s="66"/>
      <c r="K124" s="67"/>
      <c r="L124" s="29"/>
      <c r="M124" s="46">
        <v>43.898400000000002</v>
      </c>
      <c r="N124" s="46">
        <v>34.134399999999999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-0.1016000000000048</v>
      </c>
      <c r="AD124" s="46">
        <f t="shared" si="7"/>
        <v>-5.0999999999987722E-3</v>
      </c>
      <c r="AE124" s="70"/>
      <c r="AF124" s="70"/>
      <c r="AG124" s="66"/>
      <c r="AH124" s="66"/>
      <c r="AI124" s="67"/>
    </row>
    <row r="125" spans="1:35" ht="12" x14ac:dyDescent="0.2">
      <c r="A125" s="27"/>
      <c r="B125" s="36"/>
      <c r="C125" s="29"/>
      <c r="D125" s="32">
        <v>42</v>
      </c>
      <c r="E125" s="46">
        <v>18.778400000000001</v>
      </c>
      <c r="F125" s="46">
        <v>31.5763</v>
      </c>
      <c r="G125" s="70"/>
      <c r="H125" s="70"/>
      <c r="I125" s="66"/>
      <c r="J125" s="66"/>
      <c r="K125" s="67"/>
      <c r="L125" s="29"/>
      <c r="M125" s="46">
        <v>18.9968</v>
      </c>
      <c r="N125" s="46">
        <v>31.611699999999999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-0.21839999999999904</v>
      </c>
      <c r="AD125" s="46">
        <f t="shared" si="7"/>
        <v>-3.539999999999921E-2</v>
      </c>
      <c r="AE125" s="70"/>
      <c r="AF125" s="70"/>
      <c r="AG125" s="66"/>
      <c r="AH125" s="66"/>
      <c r="AI125" s="67"/>
    </row>
    <row r="126" spans="1:35" ht="12.75" thickBot="1" x14ac:dyDescent="0.25">
      <c r="A126" s="27"/>
      <c r="B126" s="36"/>
      <c r="C126" s="29"/>
      <c r="D126" s="32">
        <v>45</v>
      </c>
      <c r="E126" s="46">
        <v>8.5511999999999997</v>
      </c>
      <c r="F126" s="46">
        <v>28.351400000000002</v>
      </c>
      <c r="G126" s="70"/>
      <c r="H126" s="70"/>
      <c r="I126" s="66"/>
      <c r="J126" s="66"/>
      <c r="K126" s="67"/>
      <c r="L126" s="29"/>
      <c r="M126" s="46">
        <v>8.5472000000000001</v>
      </c>
      <c r="N126" s="46">
        <v>28.337700000000002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3.9999999999995595E-3</v>
      </c>
      <c r="AD126" s="46">
        <f t="shared" si="7"/>
        <v>1.3700000000000045E-2</v>
      </c>
      <c r="AE126" s="70"/>
      <c r="AF126" s="70"/>
      <c r="AG126" s="66"/>
      <c r="AH126" s="66"/>
      <c r="AI126" s="67"/>
    </row>
    <row r="127" spans="1:35" ht="12" x14ac:dyDescent="0.2">
      <c r="A127" s="27"/>
      <c r="B127" s="36"/>
      <c r="C127" s="28" t="s">
        <v>31</v>
      </c>
      <c r="D127" s="31">
        <v>34</v>
      </c>
      <c r="E127" s="45">
        <v>111.1408</v>
      </c>
      <c r="F127" s="45">
        <v>37.158700000000003</v>
      </c>
      <c r="G127" s="78"/>
      <c r="H127" s="78"/>
      <c r="I127" s="79"/>
      <c r="J127" s="79"/>
      <c r="K127" s="80"/>
      <c r="L127" s="29"/>
      <c r="M127" s="45">
        <v>111.23520000000001</v>
      </c>
      <c r="N127" s="45">
        <v>37.127600000000001</v>
      </c>
      <c r="O127" s="78"/>
      <c r="P127" s="78"/>
      <c r="Q127" s="79"/>
      <c r="R127" s="79"/>
      <c r="S127" s="80"/>
      <c r="U127" s="8">
        <f>bdrate($E127:$E130,F127:F130,$M127:$M130,N127:N130)</f>
        <v>-1.3422419855505519E-3</v>
      </c>
      <c r="V127" s="9"/>
      <c r="W127" s="10"/>
      <c r="X127" s="29"/>
      <c r="Y127" s="24"/>
      <c r="Z127" s="24"/>
      <c r="AA127" s="27"/>
      <c r="AC127" s="45">
        <f t="shared" si="8"/>
        <v>-9.4400000000007367E-2</v>
      </c>
      <c r="AD127" s="45">
        <f t="shared" si="7"/>
        <v>3.1100000000002126E-2</v>
      </c>
      <c r="AE127" s="78"/>
      <c r="AF127" s="78"/>
      <c r="AG127" s="79"/>
      <c r="AH127" s="79"/>
      <c r="AI127" s="80"/>
    </row>
    <row r="128" spans="1:35" ht="12" x14ac:dyDescent="0.2">
      <c r="A128" s="27"/>
      <c r="B128" s="36"/>
      <c r="C128" s="29"/>
      <c r="D128" s="32">
        <v>39</v>
      </c>
      <c r="E128" s="46">
        <v>36.834400000000002</v>
      </c>
      <c r="F128" s="46">
        <v>34.125799999999998</v>
      </c>
      <c r="G128" s="70"/>
      <c r="H128" s="70"/>
      <c r="I128" s="66"/>
      <c r="J128" s="66"/>
      <c r="K128" s="67"/>
      <c r="L128" s="29"/>
      <c r="M128" s="46">
        <v>36.7712</v>
      </c>
      <c r="N128" s="46">
        <v>34.141199999999998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6.3200000000001921E-2</v>
      </c>
      <c r="AD128" s="46">
        <f t="shared" si="7"/>
        <v>-1.5399999999999636E-2</v>
      </c>
      <c r="AE128" s="70"/>
      <c r="AF128" s="70"/>
      <c r="AG128" s="66"/>
      <c r="AH128" s="66"/>
      <c r="AI128" s="67"/>
    </row>
    <row r="129" spans="1:35" ht="12" x14ac:dyDescent="0.2">
      <c r="A129" s="27"/>
      <c r="B129" s="36"/>
      <c r="C129" s="29"/>
      <c r="D129" s="32">
        <v>42</v>
      </c>
      <c r="E129" s="46">
        <v>15.7936</v>
      </c>
      <c r="F129" s="46">
        <v>31.573499999999999</v>
      </c>
      <c r="G129" s="70"/>
      <c r="H129" s="70"/>
      <c r="I129" s="66"/>
      <c r="J129" s="66"/>
      <c r="K129" s="67"/>
      <c r="L129" s="29"/>
      <c r="M129" s="46">
        <v>15.804</v>
      </c>
      <c r="N129" s="46">
        <v>31.579699999999999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-1.0400000000000631E-2</v>
      </c>
      <c r="AD129" s="46">
        <f t="shared" si="7"/>
        <v>-6.1999999999997613E-3</v>
      </c>
      <c r="AE129" s="70"/>
      <c r="AF129" s="70"/>
      <c r="AG129" s="66"/>
      <c r="AH129" s="66"/>
      <c r="AI129" s="67"/>
    </row>
    <row r="130" spans="1:35" ht="12.75" thickBot="1" x14ac:dyDescent="0.25">
      <c r="A130" s="27"/>
      <c r="B130" s="36"/>
      <c r="C130" s="29"/>
      <c r="D130" s="32">
        <v>45</v>
      </c>
      <c r="E130" s="46">
        <v>7.6167999999999996</v>
      </c>
      <c r="F130" s="46">
        <v>29.0185</v>
      </c>
      <c r="G130" s="70"/>
      <c r="H130" s="70"/>
      <c r="I130" s="66"/>
      <c r="J130" s="66"/>
      <c r="K130" s="67"/>
      <c r="L130" s="29"/>
      <c r="M130" s="46">
        <v>7.6208</v>
      </c>
      <c r="N130" s="46">
        <v>29.0168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-4.0000000000004476E-3</v>
      </c>
      <c r="AD130" s="46">
        <f t="shared" si="7"/>
        <v>1.6999999999995907E-3</v>
      </c>
      <c r="AE130" s="46"/>
      <c r="AF130" s="46"/>
      <c r="AG130" s="66"/>
      <c r="AH130" s="66"/>
      <c r="AI130" s="67"/>
    </row>
    <row r="131" spans="1:35" ht="12" x14ac:dyDescent="0.2">
      <c r="A131" s="27"/>
      <c r="B131" s="36"/>
      <c r="C131" s="28" t="s">
        <v>47</v>
      </c>
      <c r="D131" s="31">
        <v>25</v>
      </c>
      <c r="E131" s="78"/>
      <c r="F131" s="45">
        <v>39.917900000000003</v>
      </c>
      <c r="G131" s="45">
        <v>45.269399999999997</v>
      </c>
      <c r="H131" s="45">
        <v>45.442399999999999</v>
      </c>
      <c r="I131" s="79"/>
      <c r="J131" s="79"/>
      <c r="K131" s="80"/>
      <c r="L131" s="29"/>
      <c r="M131" s="78"/>
      <c r="N131" s="45">
        <v>39.922400000000003</v>
      </c>
      <c r="O131" s="45">
        <v>45.258400000000002</v>
      </c>
      <c r="P131" s="45">
        <v>45.448500000000003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-4.5000000000001705E-3</v>
      </c>
      <c r="AE131" s="45">
        <f t="shared" si="7"/>
        <v>1.099999999999568E-2</v>
      </c>
      <c r="AF131" s="45">
        <f t="shared" si="7"/>
        <v>-6.100000000003547E-3</v>
      </c>
      <c r="AG131" s="79"/>
      <c r="AH131" s="79"/>
      <c r="AI131" s="80"/>
    </row>
    <row r="132" spans="1:35" ht="12" x14ac:dyDescent="0.2">
      <c r="A132" s="27"/>
      <c r="B132" s="36"/>
      <c r="C132" s="29"/>
      <c r="D132" s="32">
        <v>30</v>
      </c>
      <c r="E132" s="70"/>
      <c r="F132" s="46">
        <v>37.778500000000001</v>
      </c>
      <c r="G132" s="46">
        <v>43.469499999999996</v>
      </c>
      <c r="H132" s="46">
        <v>43.619300000000003</v>
      </c>
      <c r="I132" s="66"/>
      <c r="J132" s="66"/>
      <c r="K132" s="67"/>
      <c r="L132" s="29"/>
      <c r="M132" s="70"/>
      <c r="N132" s="46">
        <v>37.781500000000001</v>
      </c>
      <c r="O132" s="46">
        <v>43.473700000000001</v>
      </c>
      <c r="P132" s="46">
        <v>43.626199999999997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-3.0000000000001137E-3</v>
      </c>
      <c r="AE132" s="46">
        <f t="shared" si="7"/>
        <v>-4.2000000000044224E-3</v>
      </c>
      <c r="AF132" s="46">
        <f t="shared" si="7"/>
        <v>-6.8999999999945771E-3</v>
      </c>
      <c r="AG132" s="66"/>
      <c r="AH132" s="66"/>
      <c r="AI132" s="67"/>
    </row>
    <row r="133" spans="1:35" ht="12" x14ac:dyDescent="0.2">
      <c r="A133" s="27"/>
      <c r="B133" s="36"/>
      <c r="C133" s="29"/>
      <c r="D133" s="32">
        <v>35</v>
      </c>
      <c r="E133" s="70"/>
      <c r="F133" s="46">
        <v>35.497900000000001</v>
      </c>
      <c r="G133" s="46">
        <v>41.869399999999999</v>
      </c>
      <c r="H133" s="46">
        <v>41.902799999999999</v>
      </c>
      <c r="I133" s="66"/>
      <c r="J133" s="66"/>
      <c r="K133" s="67"/>
      <c r="L133" s="29"/>
      <c r="M133" s="70"/>
      <c r="N133" s="46">
        <v>35.506900000000002</v>
      </c>
      <c r="O133" s="46">
        <v>41.881900000000002</v>
      </c>
      <c r="P133" s="46">
        <v>41.905000000000001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-9.0000000000003411E-3</v>
      </c>
      <c r="AE133" s="46">
        <f t="shared" si="7"/>
        <v>-1.2500000000002842E-2</v>
      </c>
      <c r="AF133" s="46">
        <f t="shared" si="7"/>
        <v>-2.2000000000019782E-3</v>
      </c>
      <c r="AG133" s="66"/>
      <c r="AH133" s="66"/>
      <c r="AI133" s="67"/>
    </row>
    <row r="134" spans="1:35" ht="12.75" thickBot="1" x14ac:dyDescent="0.25">
      <c r="A134" s="27"/>
      <c r="B134" s="36"/>
      <c r="C134" s="53"/>
      <c r="D134" s="71">
        <v>40</v>
      </c>
      <c r="E134" s="81"/>
      <c r="F134" s="72">
        <v>33.137500000000003</v>
      </c>
      <c r="G134" s="72">
        <v>40.5411</v>
      </c>
      <c r="H134" s="72">
        <v>40.5413</v>
      </c>
      <c r="I134" s="68"/>
      <c r="J134" s="68"/>
      <c r="K134" s="69"/>
      <c r="L134" s="29"/>
      <c r="M134" s="81"/>
      <c r="N134" s="72">
        <v>33.138100000000001</v>
      </c>
      <c r="O134" s="72">
        <v>40.540399999999998</v>
      </c>
      <c r="P134" s="72">
        <v>40.539700000000003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-5.9999999999860165E-4</v>
      </c>
      <c r="AE134" s="72">
        <f t="shared" si="7"/>
        <v>7.0000000000192131E-4</v>
      </c>
      <c r="AF134" s="72">
        <f t="shared" si="7"/>
        <v>1.5999999999962711E-3</v>
      </c>
      <c r="AG134" s="68"/>
      <c r="AH134" s="68"/>
      <c r="AI134" s="69"/>
    </row>
    <row r="135" spans="1:35" ht="12" x14ac:dyDescent="0.2">
      <c r="A135" s="27"/>
      <c r="B135" s="36"/>
      <c r="C135" s="29" t="s">
        <v>48</v>
      </c>
      <c r="D135" s="32">
        <v>25</v>
      </c>
      <c r="E135" s="70"/>
      <c r="F135" s="45">
        <v>40.463799999999999</v>
      </c>
      <c r="G135" s="45">
        <v>46.126800000000003</v>
      </c>
      <c r="H135" s="45">
        <v>46.170699999999997</v>
      </c>
      <c r="I135" s="66"/>
      <c r="J135" s="66"/>
      <c r="K135" s="67"/>
      <c r="L135" s="29"/>
      <c r="M135" s="70"/>
      <c r="N135" s="45">
        <v>40.4619</v>
      </c>
      <c r="O135" s="45">
        <v>46.117899999999999</v>
      </c>
      <c r="P135" s="45">
        <v>46.171199999999999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1.8999999999991246E-3</v>
      </c>
      <c r="AE135" s="45">
        <f t="shared" si="7"/>
        <v>8.9000000000041268E-3</v>
      </c>
      <c r="AF135" s="45">
        <f t="shared" si="7"/>
        <v>-5.0000000000238742E-4</v>
      </c>
      <c r="AG135" s="66"/>
      <c r="AH135" s="66"/>
      <c r="AI135" s="67"/>
    </row>
    <row r="136" spans="1:35" ht="12" x14ac:dyDescent="0.2">
      <c r="A136" s="27"/>
      <c r="B136" s="36"/>
      <c r="C136" s="29"/>
      <c r="D136" s="32">
        <v>30</v>
      </c>
      <c r="E136" s="70"/>
      <c r="F136" s="46">
        <v>38.192799999999998</v>
      </c>
      <c r="G136" s="46">
        <v>44.238999999999997</v>
      </c>
      <c r="H136" s="46">
        <v>44.236699999999999</v>
      </c>
      <c r="I136" s="66"/>
      <c r="J136" s="66"/>
      <c r="K136" s="67"/>
      <c r="L136" s="29"/>
      <c r="M136" s="70"/>
      <c r="N136" s="46">
        <v>38.192</v>
      </c>
      <c r="O136" s="46">
        <v>44.241700000000002</v>
      </c>
      <c r="P136" s="46">
        <v>44.239400000000003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7.9999999999813554E-4</v>
      </c>
      <c r="AE136" s="46">
        <f t="shared" si="7"/>
        <v>-2.7000000000043656E-3</v>
      </c>
      <c r="AF136" s="46">
        <f t="shared" si="7"/>
        <v>-2.7000000000043656E-3</v>
      </c>
      <c r="AG136" s="66"/>
      <c r="AH136" s="66"/>
      <c r="AI136" s="67"/>
    </row>
    <row r="137" spans="1:35" ht="12" x14ac:dyDescent="0.2">
      <c r="A137" s="27"/>
      <c r="B137" s="36"/>
      <c r="C137" s="29"/>
      <c r="D137" s="32">
        <v>35</v>
      </c>
      <c r="E137" s="70"/>
      <c r="F137" s="46">
        <v>35.795499999999997</v>
      </c>
      <c r="G137" s="46">
        <v>42.381799999999998</v>
      </c>
      <c r="H137" s="46">
        <v>42.266399999999997</v>
      </c>
      <c r="I137" s="66"/>
      <c r="J137" s="66"/>
      <c r="K137" s="67"/>
      <c r="L137" s="29"/>
      <c r="M137" s="70"/>
      <c r="N137" s="46">
        <v>35.798200000000001</v>
      </c>
      <c r="O137" s="46">
        <v>42.389600000000002</v>
      </c>
      <c r="P137" s="46">
        <v>42.269799999999996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-2.7000000000043656E-3</v>
      </c>
      <c r="AE137" s="46">
        <f t="shared" si="7"/>
        <v>-7.8000000000031378E-3</v>
      </c>
      <c r="AF137" s="46">
        <f t="shared" si="7"/>
        <v>-3.3999999999991815E-3</v>
      </c>
      <c r="AG137" s="66"/>
      <c r="AH137" s="66"/>
      <c r="AI137" s="67"/>
    </row>
    <row r="138" spans="1:35" ht="12.75" thickBot="1" x14ac:dyDescent="0.25">
      <c r="A138" s="27"/>
      <c r="B138" s="36"/>
      <c r="C138" s="53"/>
      <c r="D138" s="71">
        <v>40</v>
      </c>
      <c r="E138" s="81"/>
      <c r="F138" s="46">
        <v>33.344999999999999</v>
      </c>
      <c r="G138" s="72">
        <v>40.915999999999997</v>
      </c>
      <c r="H138" s="72">
        <v>40.770899999999997</v>
      </c>
      <c r="I138" s="68"/>
      <c r="J138" s="68"/>
      <c r="K138" s="69"/>
      <c r="L138" s="29"/>
      <c r="M138" s="81"/>
      <c r="N138" s="46">
        <v>33.345799999999997</v>
      </c>
      <c r="O138" s="72">
        <v>40.9161</v>
      </c>
      <c r="P138" s="72">
        <v>40.769300000000001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-7.9999999999813554E-4</v>
      </c>
      <c r="AE138" s="46">
        <f t="shared" si="7"/>
        <v>-1.0000000000331966E-4</v>
      </c>
      <c r="AF138" s="46">
        <f t="shared" si="7"/>
        <v>1.5999999999962711E-3</v>
      </c>
      <c r="AG138" s="68"/>
      <c r="AH138" s="68"/>
      <c r="AI138" s="69"/>
    </row>
    <row r="139" spans="1:35" ht="12" x14ac:dyDescent="0.2">
      <c r="A139" s="27"/>
      <c r="B139" s="36"/>
      <c r="C139" s="29" t="s">
        <v>49</v>
      </c>
      <c r="D139" s="32">
        <v>25</v>
      </c>
      <c r="E139" s="70"/>
      <c r="F139" s="45">
        <v>40.943399999999997</v>
      </c>
      <c r="G139" s="45">
        <v>46.032499999999999</v>
      </c>
      <c r="H139" s="45">
        <v>46.093000000000004</v>
      </c>
      <c r="I139" s="66"/>
      <c r="J139" s="66"/>
      <c r="K139" s="67"/>
      <c r="L139" s="29"/>
      <c r="M139" s="70"/>
      <c r="N139" s="45">
        <v>40.948300000000003</v>
      </c>
      <c r="O139" s="45">
        <v>46.029499999999999</v>
      </c>
      <c r="P139" s="45">
        <v>46.093400000000003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-4.9000000000063437E-3</v>
      </c>
      <c r="AE139" s="45">
        <f t="shared" si="7"/>
        <v>3.0000000000001137E-3</v>
      </c>
      <c r="AF139" s="45">
        <f t="shared" si="7"/>
        <v>-3.9999999999906777E-4</v>
      </c>
      <c r="AG139" s="66"/>
      <c r="AH139" s="66"/>
      <c r="AI139" s="67"/>
    </row>
    <row r="140" spans="1:35" ht="12" x14ac:dyDescent="0.2">
      <c r="A140" s="27"/>
      <c r="B140" s="36"/>
      <c r="C140" s="29"/>
      <c r="D140" s="32">
        <v>30</v>
      </c>
      <c r="E140" s="70"/>
      <c r="F140" s="46">
        <v>38.6526</v>
      </c>
      <c r="G140" s="46">
        <v>44.262999999999998</v>
      </c>
      <c r="H140" s="46">
        <v>44.229900000000001</v>
      </c>
      <c r="I140" s="66"/>
      <c r="J140" s="66"/>
      <c r="K140" s="67"/>
      <c r="L140" s="29"/>
      <c r="M140" s="70"/>
      <c r="N140" s="46">
        <v>38.649500000000003</v>
      </c>
      <c r="O140" s="46">
        <v>44.260399999999997</v>
      </c>
      <c r="P140" s="46">
        <v>44.229500000000002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3.0999999999963279E-3</v>
      </c>
      <c r="AE140" s="46">
        <f t="shared" si="7"/>
        <v>2.6000000000010459E-3</v>
      </c>
      <c r="AF140" s="46">
        <f t="shared" si="7"/>
        <v>3.9999999999906777E-4</v>
      </c>
      <c r="AG140" s="66"/>
      <c r="AH140" s="66"/>
      <c r="AI140" s="67"/>
    </row>
    <row r="141" spans="1:35" ht="12" x14ac:dyDescent="0.2">
      <c r="A141" s="27"/>
      <c r="B141" s="36"/>
      <c r="C141" s="29"/>
      <c r="D141" s="32">
        <v>35</v>
      </c>
      <c r="E141" s="70"/>
      <c r="F141" s="46">
        <v>36.201099999999997</v>
      </c>
      <c r="G141" s="46">
        <v>42.3172</v>
      </c>
      <c r="H141" s="46">
        <v>42.195099999999996</v>
      </c>
      <c r="I141" s="66"/>
      <c r="J141" s="66"/>
      <c r="K141" s="67"/>
      <c r="L141" s="29"/>
      <c r="M141" s="70"/>
      <c r="N141" s="46">
        <v>36.199300000000001</v>
      </c>
      <c r="O141" s="46">
        <v>42.317</v>
      </c>
      <c r="P141" s="46">
        <v>42.198900000000002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1.799999999995805E-3</v>
      </c>
      <c r="AE141" s="46">
        <f t="shared" si="7"/>
        <v>1.9999999999953388E-4</v>
      </c>
      <c r="AF141" s="46">
        <f t="shared" si="7"/>
        <v>-3.8000000000053547E-3</v>
      </c>
      <c r="AG141" s="66"/>
      <c r="AH141" s="66"/>
      <c r="AI141" s="67"/>
    </row>
    <row r="142" spans="1:35" ht="12.75" thickBot="1" x14ac:dyDescent="0.25">
      <c r="A142" s="27"/>
      <c r="B142" s="36"/>
      <c r="C142" s="53"/>
      <c r="D142" s="71">
        <v>40</v>
      </c>
      <c r="E142" s="81"/>
      <c r="F142" s="46">
        <v>33.679200000000002</v>
      </c>
      <c r="G142" s="72">
        <v>40.848599999999998</v>
      </c>
      <c r="H142" s="72">
        <v>40.704000000000001</v>
      </c>
      <c r="I142" s="68"/>
      <c r="J142" s="68"/>
      <c r="K142" s="69"/>
      <c r="L142" s="29"/>
      <c r="M142" s="81"/>
      <c r="N142" s="46">
        <v>33.678600000000003</v>
      </c>
      <c r="O142" s="72">
        <v>40.850200000000001</v>
      </c>
      <c r="P142" s="72">
        <v>40.704599999999999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5.9999999999860165E-4</v>
      </c>
      <c r="AE142" s="46">
        <f t="shared" si="7"/>
        <v>-1.6000000000033765E-3</v>
      </c>
      <c r="AF142" s="46">
        <f t="shared" si="7"/>
        <v>-5.9999999999860165E-4</v>
      </c>
      <c r="AG142" s="68"/>
      <c r="AH142" s="68"/>
      <c r="AI142" s="69"/>
    </row>
    <row r="143" spans="1:35" ht="12" x14ac:dyDescent="0.2">
      <c r="A143" s="27"/>
      <c r="B143" s="36"/>
      <c r="C143" s="29" t="s">
        <v>50</v>
      </c>
      <c r="D143" s="32">
        <v>25</v>
      </c>
      <c r="E143" s="70"/>
      <c r="F143" s="45">
        <v>40.930300000000003</v>
      </c>
      <c r="G143" s="45">
        <v>45.872700000000002</v>
      </c>
      <c r="H143" s="45">
        <v>45.944899999999997</v>
      </c>
      <c r="I143" s="66"/>
      <c r="J143" s="66"/>
      <c r="K143" s="67"/>
      <c r="L143" s="29"/>
      <c r="M143" s="70"/>
      <c r="N143" s="45">
        <v>40.923699999999997</v>
      </c>
      <c r="O143" s="45">
        <v>45.871899999999997</v>
      </c>
      <c r="P143" s="45">
        <v>45.944400000000002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6.6000000000059345E-3</v>
      </c>
      <c r="AE143" s="45">
        <f t="shared" si="7"/>
        <v>8.0000000000524096E-4</v>
      </c>
      <c r="AF143" s="45">
        <f t="shared" si="7"/>
        <v>4.99999999995282E-4</v>
      </c>
      <c r="AG143" s="66"/>
      <c r="AH143" s="66"/>
      <c r="AI143" s="67"/>
    </row>
    <row r="144" spans="1:35" ht="12" x14ac:dyDescent="0.2">
      <c r="B144" s="36"/>
      <c r="C144" s="29"/>
      <c r="D144" s="32">
        <v>30</v>
      </c>
      <c r="E144" s="70"/>
      <c r="F144" s="46">
        <v>38.597799999999999</v>
      </c>
      <c r="G144" s="46">
        <v>44.070300000000003</v>
      </c>
      <c r="H144" s="46">
        <v>44.045499999999997</v>
      </c>
      <c r="I144" s="66"/>
      <c r="J144" s="66"/>
      <c r="K144" s="67"/>
      <c r="L144" s="29"/>
      <c r="M144" s="70"/>
      <c r="N144" s="46">
        <v>38.587899999999998</v>
      </c>
      <c r="O144" s="46">
        <v>44.0717</v>
      </c>
      <c r="P144" s="46">
        <v>44.042200000000001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9.9000000000017963E-3</v>
      </c>
      <c r="AE144" s="46">
        <f t="shared" si="7"/>
        <v>-1.3999999999967372E-3</v>
      </c>
      <c r="AF144" s="46">
        <f t="shared" si="7"/>
        <v>3.2999999999958618E-3</v>
      </c>
      <c r="AG144" s="66"/>
      <c r="AH144" s="66"/>
      <c r="AI144" s="67"/>
    </row>
    <row r="145" spans="1:35" ht="12" x14ac:dyDescent="0.2">
      <c r="B145" s="36"/>
      <c r="C145" s="29"/>
      <c r="D145" s="32">
        <v>35</v>
      </c>
      <c r="E145" s="70"/>
      <c r="F145" s="46">
        <v>36.116599999999998</v>
      </c>
      <c r="G145" s="46">
        <v>42.1479</v>
      </c>
      <c r="H145" s="46">
        <v>41.9724</v>
      </c>
      <c r="I145" s="66"/>
      <c r="J145" s="66"/>
      <c r="K145" s="67"/>
      <c r="L145" s="29"/>
      <c r="M145" s="70"/>
      <c r="N145" s="46">
        <v>36.117699999999999</v>
      </c>
      <c r="O145" s="46">
        <v>42.147399999999998</v>
      </c>
      <c r="P145" s="46">
        <v>41.974600000000002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-1.1000000000009891E-3</v>
      </c>
      <c r="AE145" s="46">
        <f t="shared" si="7"/>
        <v>5.0000000000238742E-4</v>
      </c>
      <c r="AF145" s="46">
        <f t="shared" si="7"/>
        <v>-2.2000000000019782E-3</v>
      </c>
      <c r="AG145" s="66"/>
      <c r="AH145" s="66"/>
      <c r="AI145" s="67"/>
    </row>
    <row r="146" spans="1:35" ht="12.75" thickBot="1" x14ac:dyDescent="0.25">
      <c r="B146" s="36"/>
      <c r="C146" s="53"/>
      <c r="D146" s="71">
        <v>40</v>
      </c>
      <c r="E146" s="81"/>
      <c r="F146" s="46">
        <v>33.601300000000002</v>
      </c>
      <c r="G146" s="72">
        <v>40.714399999999998</v>
      </c>
      <c r="H146" s="72">
        <v>40.497</v>
      </c>
      <c r="I146" s="68"/>
      <c r="J146" s="68"/>
      <c r="K146" s="69"/>
      <c r="L146" s="29"/>
      <c r="M146" s="81"/>
      <c r="N146" s="46">
        <v>33.601399999999998</v>
      </c>
      <c r="O146" s="72">
        <v>40.714399999999998</v>
      </c>
      <c r="P146" s="72">
        <v>40.497999999999998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-9.9999999996214228E-5</v>
      </c>
      <c r="AE146" s="46">
        <f t="shared" si="7"/>
        <v>0</v>
      </c>
      <c r="AF146" s="46">
        <f t="shared" si="7"/>
        <v>-9.9999999999766942E-4</v>
      </c>
      <c r="AG146" s="68"/>
      <c r="AH146" s="68"/>
      <c r="AI146" s="69"/>
    </row>
    <row r="147" spans="1:35" ht="12" x14ac:dyDescent="0.2">
      <c r="B147" s="36"/>
      <c r="C147" s="29" t="s">
        <v>51</v>
      </c>
      <c r="D147" s="32">
        <v>25</v>
      </c>
      <c r="E147" s="70"/>
      <c r="F147" s="45">
        <v>40.311500000000002</v>
      </c>
      <c r="G147" s="45">
        <v>45.899299999999997</v>
      </c>
      <c r="H147" s="45">
        <v>45.868699999999997</v>
      </c>
      <c r="I147" s="66"/>
      <c r="J147" s="66"/>
      <c r="K147" s="67"/>
      <c r="L147" s="29"/>
      <c r="M147" s="70"/>
      <c r="N147" s="45">
        <v>40.287700000000001</v>
      </c>
      <c r="O147" s="45">
        <v>45.900300000000001</v>
      </c>
      <c r="P147" s="45">
        <v>45.863500000000002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2.3800000000001376E-2</v>
      </c>
      <c r="AE147" s="45">
        <f t="shared" si="7"/>
        <v>-1.0000000000047748E-3</v>
      </c>
      <c r="AF147" s="45">
        <f t="shared" si="7"/>
        <v>5.1999999999949864E-3</v>
      </c>
      <c r="AG147" s="66"/>
      <c r="AH147" s="66"/>
      <c r="AI147" s="67"/>
    </row>
    <row r="148" spans="1:35" ht="12" x14ac:dyDescent="0.2">
      <c r="B148" s="36"/>
      <c r="C148" s="29"/>
      <c r="D148" s="32">
        <v>30</v>
      </c>
      <c r="E148" s="70"/>
      <c r="F148" s="46">
        <v>37.982399999999998</v>
      </c>
      <c r="G148" s="46">
        <v>44.056800000000003</v>
      </c>
      <c r="H148" s="46">
        <v>43.867199999999997</v>
      </c>
      <c r="I148" s="66"/>
      <c r="J148" s="66"/>
      <c r="K148" s="67"/>
      <c r="L148" s="29"/>
      <c r="M148" s="70"/>
      <c r="N148" s="46">
        <v>37.9724</v>
      </c>
      <c r="O148" s="46">
        <v>44.058799999999998</v>
      </c>
      <c r="P148" s="46">
        <v>43.863500000000002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9.9999999999980105E-3</v>
      </c>
      <c r="AE148" s="46">
        <f t="shared" si="7"/>
        <v>-1.9999999999953388E-3</v>
      </c>
      <c r="AF148" s="46">
        <f t="shared" si="7"/>
        <v>3.6999999999949296E-3</v>
      </c>
      <c r="AG148" s="66"/>
      <c r="AH148" s="66"/>
      <c r="AI148" s="67"/>
    </row>
    <row r="149" spans="1:35" ht="12" x14ac:dyDescent="0.2">
      <c r="B149" s="36"/>
      <c r="C149" s="29"/>
      <c r="D149" s="32">
        <v>35</v>
      </c>
      <c r="E149" s="70"/>
      <c r="F149" s="46">
        <v>35.5642</v>
      </c>
      <c r="G149" s="46">
        <v>42.216700000000003</v>
      </c>
      <c r="H149" s="46">
        <v>41.844299999999997</v>
      </c>
      <c r="I149" s="66"/>
      <c r="J149" s="66"/>
      <c r="K149" s="67"/>
      <c r="L149" s="29"/>
      <c r="M149" s="70"/>
      <c r="N149" s="46">
        <v>35.565300000000001</v>
      </c>
      <c r="O149" s="46">
        <v>42.216799999999999</v>
      </c>
      <c r="P149" s="46">
        <v>41.848999999999997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-1.1000000000009891E-3</v>
      </c>
      <c r="AE149" s="46">
        <f t="shared" si="7"/>
        <v>-9.9999999996214228E-5</v>
      </c>
      <c r="AF149" s="46">
        <f t="shared" si="7"/>
        <v>-4.6999999999997044E-3</v>
      </c>
      <c r="AG149" s="66"/>
      <c r="AH149" s="66"/>
      <c r="AI149" s="67"/>
    </row>
    <row r="150" spans="1:35" ht="12.75" thickBot="1" x14ac:dyDescent="0.25">
      <c r="B150" s="36"/>
      <c r="C150" s="53"/>
      <c r="D150" s="71">
        <v>40</v>
      </c>
      <c r="E150" s="81"/>
      <c r="F150" s="72">
        <v>33.073099999999997</v>
      </c>
      <c r="G150" s="72">
        <v>40.792999999999999</v>
      </c>
      <c r="H150" s="72">
        <v>40.393599999999999</v>
      </c>
      <c r="I150" s="68"/>
      <c r="J150" s="68"/>
      <c r="K150" s="69"/>
      <c r="L150" s="29"/>
      <c r="M150" s="81"/>
      <c r="N150" s="72">
        <v>33.070999999999998</v>
      </c>
      <c r="O150" s="72">
        <v>40.793100000000003</v>
      </c>
      <c r="P150" s="72">
        <v>40.3962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2.0999999999986585E-3</v>
      </c>
      <c r="AE150" s="72">
        <f t="shared" si="7"/>
        <v>-1.0000000000331966E-4</v>
      </c>
      <c r="AF150" s="72">
        <f t="shared" si="7"/>
        <v>-2.6000000000010459E-3</v>
      </c>
      <c r="AG150" s="68"/>
      <c r="AH150" s="68"/>
      <c r="AI150" s="69"/>
    </row>
    <row r="151" spans="1:35" ht="12" x14ac:dyDescent="0.2">
      <c r="B151" s="36"/>
      <c r="C151" s="29" t="s">
        <v>52</v>
      </c>
      <c r="D151" s="32">
        <v>25</v>
      </c>
      <c r="E151" s="70"/>
      <c r="F151" s="45">
        <v>39.945900000000002</v>
      </c>
      <c r="G151" s="45">
        <v>45.085700000000003</v>
      </c>
      <c r="H151" s="45">
        <v>45.043799999999997</v>
      </c>
      <c r="I151" s="66"/>
      <c r="J151" s="66"/>
      <c r="K151" s="67"/>
      <c r="L151" s="29"/>
      <c r="M151" s="70"/>
      <c r="N151" s="45">
        <v>39.935200000000002</v>
      </c>
      <c r="O151" s="45">
        <v>45.086199999999998</v>
      </c>
      <c r="P151" s="45">
        <v>45.035400000000003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1.0699999999999932E-2</v>
      </c>
      <c r="AE151" s="45">
        <f t="shared" si="7"/>
        <v>-4.99999999995282E-4</v>
      </c>
      <c r="AF151" s="45">
        <f t="shared" si="7"/>
        <v>8.399999999994634E-3</v>
      </c>
      <c r="AG151" s="45"/>
      <c r="AH151" s="66"/>
      <c r="AI151" s="67"/>
    </row>
    <row r="152" spans="1:35" ht="12" x14ac:dyDescent="0.2">
      <c r="B152" s="36"/>
      <c r="C152" s="29"/>
      <c r="D152" s="32">
        <v>30</v>
      </c>
      <c r="E152" s="70"/>
      <c r="F152" s="46">
        <v>37.608899999999998</v>
      </c>
      <c r="G152" s="46">
        <v>43.3735</v>
      </c>
      <c r="H152" s="46">
        <v>43.115900000000003</v>
      </c>
      <c r="I152" s="66"/>
      <c r="J152" s="66"/>
      <c r="K152" s="67"/>
      <c r="L152" s="29"/>
      <c r="M152" s="70"/>
      <c r="N152" s="46">
        <v>37.610999999999997</v>
      </c>
      <c r="O152" s="46">
        <v>43.3765</v>
      </c>
      <c r="P152" s="46">
        <v>43.114699999999999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-2.0999999999986585E-3</v>
      </c>
      <c r="AE152" s="46">
        <f t="shared" si="7"/>
        <v>-3.0000000000001137E-3</v>
      </c>
      <c r="AF152" s="46">
        <f t="shared" si="7"/>
        <v>1.2000000000043087E-3</v>
      </c>
      <c r="AG152" s="66"/>
      <c r="AH152" s="66"/>
      <c r="AI152" s="67"/>
    </row>
    <row r="153" spans="1:35" ht="12" x14ac:dyDescent="0.2">
      <c r="B153" s="36"/>
      <c r="C153" s="29"/>
      <c r="D153" s="32">
        <v>35</v>
      </c>
      <c r="E153" s="70"/>
      <c r="F153" s="46">
        <v>35.1935</v>
      </c>
      <c r="G153" s="46">
        <v>41.775700000000001</v>
      </c>
      <c r="H153" s="46">
        <v>41.315199999999997</v>
      </c>
      <c r="I153" s="66"/>
      <c r="J153" s="66"/>
      <c r="K153" s="67"/>
      <c r="L153" s="29"/>
      <c r="M153" s="70"/>
      <c r="N153" s="46">
        <v>35.194800000000001</v>
      </c>
      <c r="O153" s="46">
        <v>41.777200000000001</v>
      </c>
      <c r="P153" s="46">
        <v>41.3215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-1.300000000000523E-3</v>
      </c>
      <c r="AE153" s="46">
        <f t="shared" si="7"/>
        <v>-1.5000000000000568E-3</v>
      </c>
      <c r="AF153" s="46">
        <f t="shared" si="7"/>
        <v>-6.3000000000030809E-3</v>
      </c>
      <c r="AG153" s="66"/>
      <c r="AH153" s="66"/>
      <c r="AI153" s="67"/>
    </row>
    <row r="154" spans="1:35" ht="12.75" thickBot="1" x14ac:dyDescent="0.25">
      <c r="B154" s="36"/>
      <c r="C154" s="53"/>
      <c r="D154" s="71">
        <v>40</v>
      </c>
      <c r="E154" s="81"/>
      <c r="F154" s="72">
        <v>32.695599999999999</v>
      </c>
      <c r="G154" s="72">
        <v>40.5002</v>
      </c>
      <c r="H154" s="72">
        <v>39.9863</v>
      </c>
      <c r="I154" s="68"/>
      <c r="J154" s="68"/>
      <c r="K154" s="69"/>
      <c r="L154" s="29"/>
      <c r="M154" s="81"/>
      <c r="N154" s="72">
        <v>32.692300000000003</v>
      </c>
      <c r="O154" s="72">
        <v>40.502200000000002</v>
      </c>
      <c r="P154" s="72">
        <v>39.9895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3.2999999999958618E-3</v>
      </c>
      <c r="AE154" s="72">
        <f t="shared" si="7"/>
        <v>-2.0000000000024443E-3</v>
      </c>
      <c r="AF154" s="72">
        <f t="shared" si="7"/>
        <v>-3.1999999999996476E-3</v>
      </c>
      <c r="AG154" s="68"/>
      <c r="AH154" s="68"/>
      <c r="AI154" s="69"/>
    </row>
    <row r="155" spans="1:35" ht="12" x14ac:dyDescent="0.2">
      <c r="B155" s="36"/>
      <c r="C155" s="29" t="s">
        <v>12</v>
      </c>
      <c r="D155" s="32">
        <v>25</v>
      </c>
      <c r="E155" s="45">
        <v>2032.9151999999999</v>
      </c>
      <c r="F155" s="70"/>
      <c r="G155" s="70"/>
      <c r="H155" s="70"/>
      <c r="I155" s="45">
        <v>30195.812000000002</v>
      </c>
      <c r="J155" s="45">
        <v>63.265999999999998</v>
      </c>
      <c r="K155" s="45">
        <v>364.96899999999999</v>
      </c>
      <c r="L155" s="29"/>
      <c r="M155" s="45">
        <v>2032.972</v>
      </c>
      <c r="N155" s="70"/>
      <c r="O155" s="70"/>
      <c r="P155" s="70"/>
      <c r="Q155" s="45">
        <v>30080.859</v>
      </c>
      <c r="R155" s="45">
        <v>56.421999999999997</v>
      </c>
      <c r="S155" s="45">
        <v>373.67200000000003</v>
      </c>
      <c r="T155" s="24"/>
      <c r="U155" s="8"/>
      <c r="V155" s="9"/>
      <c r="W155" s="10"/>
      <c r="X155" s="29"/>
      <c r="Y155" s="61">
        <f>GEOMEAN(Q155:Q158)/GEOMEAN(I155:I158)</f>
        <v>1.001802006597204</v>
      </c>
      <c r="Z155" s="61">
        <f>GEOMEAN(R155:R158)/GEOMEAN(J155:J158)</f>
        <v>1.0311579470577776</v>
      </c>
      <c r="AA155" s="57">
        <f>GEOMEAN(S155:S158)/GEOMEAN(K155:K158)</f>
        <v>1.051519513450248</v>
      </c>
      <c r="AB155" s="24"/>
      <c r="AC155" s="45">
        <f>E155 -M155</f>
        <v>-5.6800000000066575E-2</v>
      </c>
      <c r="AD155" s="70"/>
      <c r="AE155" s="70"/>
      <c r="AF155" s="70"/>
      <c r="AG155" s="45">
        <f t="shared" ref="AG155:AI158" si="9">I155 -Q155</f>
        <v>114.95300000000134</v>
      </c>
      <c r="AH155" s="45">
        <f t="shared" si="9"/>
        <v>6.8440000000000012</v>
      </c>
      <c r="AI155" s="45">
        <f t="shared" si="9"/>
        <v>-8.7030000000000314</v>
      </c>
    </row>
    <row r="156" spans="1:35" ht="12" x14ac:dyDescent="0.2">
      <c r="B156" s="36"/>
      <c r="C156" s="29"/>
      <c r="D156" s="32">
        <v>30</v>
      </c>
      <c r="E156" s="46">
        <v>930.58240000000001</v>
      </c>
      <c r="F156" s="70"/>
      <c r="G156" s="70"/>
      <c r="H156" s="70"/>
      <c r="I156" s="46">
        <v>24255.516</v>
      </c>
      <c r="J156" s="46">
        <v>51.828000000000003</v>
      </c>
      <c r="K156" s="46">
        <v>366.81200000000001</v>
      </c>
      <c r="L156" s="29"/>
      <c r="M156" s="46">
        <v>930.3424</v>
      </c>
      <c r="N156" s="70"/>
      <c r="O156" s="70"/>
      <c r="P156" s="70"/>
      <c r="Q156" s="46">
        <v>24244.405999999999</v>
      </c>
      <c r="R156" s="46">
        <v>56.046999999999997</v>
      </c>
      <c r="S156" s="46">
        <v>396.54700000000003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0.24000000000000909</v>
      </c>
      <c r="AD156" s="70"/>
      <c r="AE156" s="70"/>
      <c r="AF156" s="70"/>
      <c r="AG156" s="46">
        <f t="shared" si="9"/>
        <v>11.110000000000582</v>
      </c>
      <c r="AH156" s="46">
        <f t="shared" si="9"/>
        <v>-4.2189999999999941</v>
      </c>
      <c r="AI156" s="46">
        <f t="shared" si="9"/>
        <v>-29.735000000000014</v>
      </c>
    </row>
    <row r="157" spans="1:35" ht="12" x14ac:dyDescent="0.2">
      <c r="B157" s="36"/>
      <c r="C157" s="29"/>
      <c r="D157" s="32">
        <v>35</v>
      </c>
      <c r="E157" s="46">
        <v>481.08960000000002</v>
      </c>
      <c r="F157" s="70"/>
      <c r="G157" s="70"/>
      <c r="H157" s="70"/>
      <c r="I157" s="46">
        <v>21434.859</v>
      </c>
      <c r="J157" s="46">
        <v>49.295999999999999</v>
      </c>
      <c r="K157" s="46">
        <v>360.43700000000001</v>
      </c>
      <c r="L157" s="29"/>
      <c r="M157" s="46">
        <v>481.40159999999997</v>
      </c>
      <c r="N157" s="70"/>
      <c r="O157" s="70"/>
      <c r="P157" s="70"/>
      <c r="Q157" s="46">
        <v>21130.594000000001</v>
      </c>
      <c r="R157" s="46">
        <v>54.094000000000001</v>
      </c>
      <c r="S157" s="46">
        <v>398.56200000000001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-0.31199999999995498</v>
      </c>
      <c r="AD157" s="70"/>
      <c r="AE157" s="70"/>
      <c r="AF157" s="70"/>
      <c r="AG157" s="46">
        <f t="shared" si="9"/>
        <v>304.26499999999942</v>
      </c>
      <c r="AH157" s="46">
        <f t="shared" si="9"/>
        <v>-4.7980000000000018</v>
      </c>
      <c r="AI157" s="46">
        <f t="shared" si="9"/>
        <v>-38.125</v>
      </c>
    </row>
    <row r="158" spans="1:35" ht="12.75" thickBot="1" x14ac:dyDescent="0.25">
      <c r="B158" s="52"/>
      <c r="C158" s="53"/>
      <c r="D158" s="71">
        <v>40</v>
      </c>
      <c r="E158" s="72">
        <v>267.56240000000003</v>
      </c>
      <c r="F158" s="81"/>
      <c r="G158" s="81"/>
      <c r="H158" s="81"/>
      <c r="I158" s="72">
        <v>18278.687000000002</v>
      </c>
      <c r="J158" s="72">
        <v>48.719000000000001</v>
      </c>
      <c r="K158" s="72">
        <v>394.14100000000002</v>
      </c>
      <c r="L158" s="29"/>
      <c r="M158" s="72">
        <v>267.62</v>
      </c>
      <c r="N158" s="81"/>
      <c r="O158" s="81"/>
      <c r="P158" s="81"/>
      <c r="Q158" s="72">
        <v>18755.859</v>
      </c>
      <c r="R158" s="72">
        <v>52.046999999999997</v>
      </c>
      <c r="S158" s="72">
        <v>393.70299999999997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-5.7599999999979445E-2</v>
      </c>
      <c r="AD158" s="81"/>
      <c r="AE158" s="81"/>
      <c r="AF158" s="81"/>
      <c r="AG158" s="72">
        <f t="shared" si="9"/>
        <v>-477.17199999999866</v>
      </c>
      <c r="AH158" s="72">
        <f t="shared" si="9"/>
        <v>-3.3279999999999959</v>
      </c>
      <c r="AI158" s="72">
        <f t="shared" si="9"/>
        <v>0.43800000000004502</v>
      </c>
    </row>
    <row r="159" spans="1:35" ht="12" x14ac:dyDescent="0.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3712.6183999999998</v>
      </c>
      <c r="F159" s="45">
        <v>40.253799999999998</v>
      </c>
      <c r="G159" s="45">
        <v>45.457700000000003</v>
      </c>
      <c r="H159" s="45">
        <v>46.298400000000001</v>
      </c>
      <c r="I159" s="79"/>
      <c r="J159" s="79"/>
      <c r="K159" s="80"/>
      <c r="L159" s="29"/>
      <c r="M159" s="45">
        <v>3712.6183999999998</v>
      </c>
      <c r="N159" s="45">
        <v>40.253799999999998</v>
      </c>
      <c r="O159" s="45">
        <v>45.457700000000003</v>
      </c>
      <c r="P159" s="45">
        <v>46.298400000000001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 x14ac:dyDescent="0.2">
      <c r="B160" s="36"/>
      <c r="C160" s="29"/>
      <c r="D160" s="32">
        <v>30</v>
      </c>
      <c r="E160" s="46">
        <v>1616.4760000000001</v>
      </c>
      <c r="F160" s="46">
        <v>37.82</v>
      </c>
      <c r="G160" s="46">
        <v>43.627600000000001</v>
      </c>
      <c r="H160" s="46">
        <v>44.459200000000003</v>
      </c>
      <c r="I160" s="66"/>
      <c r="J160" s="66"/>
      <c r="K160" s="67"/>
      <c r="L160" s="29"/>
      <c r="M160" s="46">
        <v>1616.4760000000001</v>
      </c>
      <c r="N160" s="46">
        <v>37.82</v>
      </c>
      <c r="O160" s="46">
        <v>43.627600000000001</v>
      </c>
      <c r="P160" s="46">
        <v>44.459200000000003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 x14ac:dyDescent="0.2">
      <c r="B161" s="36"/>
      <c r="C161" s="29"/>
      <c r="D161" s="32">
        <v>35</v>
      </c>
      <c r="E161" s="46">
        <v>756.49919999999997</v>
      </c>
      <c r="F161" s="46">
        <v>35.621600000000001</v>
      </c>
      <c r="G161" s="46">
        <v>41.799100000000003</v>
      </c>
      <c r="H161" s="46">
        <v>42.621600000000001</v>
      </c>
      <c r="I161" s="66"/>
      <c r="J161" s="66"/>
      <c r="K161" s="67"/>
      <c r="L161" s="29"/>
      <c r="M161" s="46">
        <v>756.49919999999997</v>
      </c>
      <c r="N161" s="46">
        <v>35.621600000000001</v>
      </c>
      <c r="O161" s="46">
        <v>41.799100000000003</v>
      </c>
      <c r="P161" s="46">
        <v>42.621600000000001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 x14ac:dyDescent="0.25">
      <c r="B162" s="36"/>
      <c r="C162" s="29"/>
      <c r="D162" s="32">
        <v>40</v>
      </c>
      <c r="E162" s="46">
        <v>365.29599999999999</v>
      </c>
      <c r="F162" s="46">
        <v>33.462400000000002</v>
      </c>
      <c r="G162" s="46">
        <v>40.561100000000003</v>
      </c>
      <c r="H162" s="46">
        <v>41.389400000000002</v>
      </c>
      <c r="I162" s="66"/>
      <c r="J162" s="66"/>
      <c r="K162" s="67"/>
      <c r="L162" s="29"/>
      <c r="M162" s="46">
        <v>365.29599999999999</v>
      </c>
      <c r="N162" s="46">
        <v>33.462400000000002</v>
      </c>
      <c r="O162" s="46">
        <v>40.561100000000003</v>
      </c>
      <c r="P162" s="46">
        <v>41.389400000000002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 x14ac:dyDescent="0.2">
      <c r="B163" s="36"/>
      <c r="C163" s="28" t="s">
        <v>27</v>
      </c>
      <c r="D163" s="31">
        <v>25</v>
      </c>
      <c r="E163" s="45">
        <v>525.67280000000005</v>
      </c>
      <c r="F163" s="45">
        <v>39.744399999999999</v>
      </c>
      <c r="G163" s="45">
        <v>45.322600000000001</v>
      </c>
      <c r="H163" s="45">
        <v>46.173499999999997</v>
      </c>
      <c r="I163" s="79"/>
      <c r="J163" s="79"/>
      <c r="K163" s="80"/>
      <c r="L163" s="29"/>
      <c r="M163" s="45">
        <v>525.28560000000004</v>
      </c>
      <c r="N163" s="45">
        <v>39.744900000000001</v>
      </c>
      <c r="O163" s="45">
        <v>45.322899999999997</v>
      </c>
      <c r="P163" s="45">
        <v>46.174300000000002</v>
      </c>
      <c r="Q163" s="79"/>
      <c r="R163" s="79"/>
      <c r="S163" s="80"/>
      <c r="T163" s="24"/>
      <c r="U163" s="8">
        <f>bdrate($E163:$E166,F163:F166,$M163:$M166,N163:N166)</f>
        <v>8.131306113654535E-4</v>
      </c>
      <c r="V163" s="9">
        <f>bdrate($E163:$E166,G163:G166,$M163:$M166,O163:O166)</f>
        <v>1.1389878082621596E-3</v>
      </c>
      <c r="W163" s="10">
        <f>bdrate($E163:$E166,H163:H166,$M163:$M166,P163:P166)</f>
        <v>9.750384260642786E-4</v>
      </c>
      <c r="X163" s="29"/>
      <c r="Y163" s="24"/>
      <c r="Z163" s="24"/>
      <c r="AA163" s="27"/>
      <c r="AB163" s="24"/>
      <c r="AC163" s="45">
        <f t="shared" si="11"/>
        <v>0.38720000000000709</v>
      </c>
      <c r="AD163" s="45">
        <f t="shared" si="10"/>
        <v>-5.0000000000238742E-4</v>
      </c>
      <c r="AE163" s="45">
        <f t="shared" si="10"/>
        <v>-2.9999999999574811E-4</v>
      </c>
      <c r="AF163" s="45">
        <f t="shared" si="10"/>
        <v>-8.0000000000524096E-4</v>
      </c>
      <c r="AG163" s="79"/>
      <c r="AH163" s="79"/>
      <c r="AI163" s="80"/>
    </row>
    <row r="164" spans="1:35" ht="12" x14ac:dyDescent="0.2">
      <c r="A164" s="24"/>
      <c r="B164" s="36"/>
      <c r="C164" s="29"/>
      <c r="D164" s="32">
        <v>30</v>
      </c>
      <c r="E164" s="46">
        <v>183.56559999999999</v>
      </c>
      <c r="F164" s="46">
        <v>37.468699999999998</v>
      </c>
      <c r="G164" s="46">
        <v>43.567700000000002</v>
      </c>
      <c r="H164" s="46">
        <v>44.408000000000001</v>
      </c>
      <c r="I164" s="66"/>
      <c r="J164" s="66"/>
      <c r="K164" s="67"/>
      <c r="L164" s="29"/>
      <c r="M164" s="46">
        <v>183.636</v>
      </c>
      <c r="N164" s="46">
        <v>37.469799999999999</v>
      </c>
      <c r="O164" s="46">
        <v>43.567399999999999</v>
      </c>
      <c r="P164" s="46">
        <v>44.4084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-7.0400000000006457E-2</v>
      </c>
      <c r="AD164" s="46">
        <f t="shared" si="10"/>
        <v>-1.1000000000009891E-3</v>
      </c>
      <c r="AE164" s="46">
        <f t="shared" si="10"/>
        <v>3.0000000000285354E-4</v>
      </c>
      <c r="AF164" s="46">
        <f t="shared" si="10"/>
        <v>-3.9999999999906777E-4</v>
      </c>
      <c r="AG164" s="66"/>
      <c r="AH164" s="66"/>
      <c r="AI164" s="67"/>
    </row>
    <row r="165" spans="1:35" ht="12" x14ac:dyDescent="0.2">
      <c r="B165" s="36"/>
      <c r="C165" s="29"/>
      <c r="D165" s="32">
        <v>35</v>
      </c>
      <c r="E165" s="46">
        <v>74.801599999999993</v>
      </c>
      <c r="F165" s="46">
        <v>35.379800000000003</v>
      </c>
      <c r="G165" s="46">
        <v>41.795699999999997</v>
      </c>
      <c r="H165" s="46">
        <v>42.628399999999999</v>
      </c>
      <c r="I165" s="66"/>
      <c r="J165" s="66"/>
      <c r="K165" s="67"/>
      <c r="L165" s="29"/>
      <c r="M165" s="46">
        <v>75.016000000000005</v>
      </c>
      <c r="N165" s="46">
        <v>35.3812</v>
      </c>
      <c r="O165" s="46">
        <v>41.796199999999999</v>
      </c>
      <c r="P165" s="46">
        <v>42.628900000000002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-0.21440000000001191</v>
      </c>
      <c r="AD165" s="46">
        <f t="shared" si="10"/>
        <v>-1.3999999999967372E-3</v>
      </c>
      <c r="AE165" s="46">
        <f t="shared" si="10"/>
        <v>-5.0000000000238742E-4</v>
      </c>
      <c r="AF165" s="46">
        <f t="shared" si="10"/>
        <v>-5.0000000000238742E-4</v>
      </c>
      <c r="AG165" s="66"/>
      <c r="AH165" s="66"/>
      <c r="AI165" s="67"/>
    </row>
    <row r="166" spans="1:35" ht="12.75" thickBot="1" x14ac:dyDescent="0.25">
      <c r="B166" s="36"/>
      <c r="C166" s="29"/>
      <c r="D166" s="32">
        <v>40</v>
      </c>
      <c r="E166" s="46">
        <v>34.7376</v>
      </c>
      <c r="F166" s="46">
        <v>33.2928</v>
      </c>
      <c r="G166" s="46">
        <v>40.557099999999998</v>
      </c>
      <c r="H166" s="46">
        <v>41.3964</v>
      </c>
      <c r="I166" s="66"/>
      <c r="J166" s="66"/>
      <c r="K166" s="67"/>
      <c r="L166" s="29"/>
      <c r="M166" s="46">
        <v>34.802399999999999</v>
      </c>
      <c r="N166" s="46">
        <v>33.294400000000003</v>
      </c>
      <c r="O166" s="46">
        <v>40.557299999999998</v>
      </c>
      <c r="P166" s="46">
        <v>41.395800000000001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-6.4799999999998192E-2</v>
      </c>
      <c r="AD166" s="46">
        <f t="shared" si="10"/>
        <v>-1.6000000000033765E-3</v>
      </c>
      <c r="AE166" s="46">
        <f t="shared" si="10"/>
        <v>-1.9999999999953388E-4</v>
      </c>
      <c r="AF166" s="46">
        <f t="shared" si="10"/>
        <v>5.9999999999860165E-4</v>
      </c>
      <c r="AG166" s="66"/>
      <c r="AH166" s="66"/>
      <c r="AI166" s="67"/>
    </row>
    <row r="167" spans="1:35" ht="12" x14ac:dyDescent="0.2">
      <c r="B167" s="36"/>
      <c r="C167" s="28" t="s">
        <v>28</v>
      </c>
      <c r="D167" s="31">
        <v>25</v>
      </c>
      <c r="E167" s="45">
        <v>546.32719999999995</v>
      </c>
      <c r="F167" s="45">
        <v>39.707599999999999</v>
      </c>
      <c r="G167" s="45">
        <v>45.28</v>
      </c>
      <c r="H167" s="45">
        <v>46.136899999999997</v>
      </c>
      <c r="I167" s="79"/>
      <c r="J167" s="79"/>
      <c r="K167" s="80"/>
      <c r="L167" s="29"/>
      <c r="M167" s="45">
        <v>546.92160000000001</v>
      </c>
      <c r="N167" s="45">
        <v>39.709499999999998</v>
      </c>
      <c r="O167" s="45">
        <v>45.280799999999999</v>
      </c>
      <c r="P167" s="45">
        <v>46.137</v>
      </c>
      <c r="Q167" s="79"/>
      <c r="R167" s="79"/>
      <c r="S167" s="80"/>
      <c r="T167" s="65"/>
      <c r="U167" s="8">
        <f>bdrate($E167:$E170,F167:F170,$M167:$M170,N167:N170)</f>
        <v>-1.7449872243313624E-4</v>
      </c>
      <c r="V167" s="9">
        <f>bdrate($E167:$E170,G167:G170,$M167:$M170,O167:O170)</f>
        <v>2.0765907897679625E-4</v>
      </c>
      <c r="W167" s="10">
        <f>bdrate($E167:$E170,H167:H170,$M167:$M170,P167:P170)</f>
        <v>1.9767199080145126E-4</v>
      </c>
      <c r="X167" s="29"/>
      <c r="Y167" s="24"/>
      <c r="Z167" s="24"/>
      <c r="AA167" s="27"/>
      <c r="AB167" s="24"/>
      <c r="AC167" s="45">
        <f t="shared" si="11"/>
        <v>-0.59440000000006421</v>
      </c>
      <c r="AD167" s="45">
        <f t="shared" si="10"/>
        <v>-1.8999999999991246E-3</v>
      </c>
      <c r="AE167" s="45">
        <f t="shared" si="10"/>
        <v>-7.9999999999813554E-4</v>
      </c>
      <c r="AF167" s="45">
        <f t="shared" si="10"/>
        <v>-1.0000000000331966E-4</v>
      </c>
      <c r="AG167" s="79"/>
      <c r="AH167" s="79"/>
      <c r="AI167" s="80"/>
    </row>
    <row r="168" spans="1:35" ht="12" x14ac:dyDescent="0.2">
      <c r="B168" s="36"/>
      <c r="C168" s="29"/>
      <c r="D168" s="32">
        <v>30</v>
      </c>
      <c r="E168" s="46">
        <v>192.1688</v>
      </c>
      <c r="F168" s="46">
        <v>37.426400000000001</v>
      </c>
      <c r="G168" s="46">
        <v>43.523400000000002</v>
      </c>
      <c r="H168" s="46">
        <v>44.369300000000003</v>
      </c>
      <c r="I168" s="66"/>
      <c r="J168" s="66"/>
      <c r="K168" s="67"/>
      <c r="L168" s="29"/>
      <c r="M168" s="46">
        <v>192.51599999999999</v>
      </c>
      <c r="N168" s="46">
        <v>37.427700000000002</v>
      </c>
      <c r="O168" s="46">
        <v>43.523200000000003</v>
      </c>
      <c r="P168" s="46">
        <v>44.368899999999996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-0.34719999999998663</v>
      </c>
      <c r="AD168" s="46">
        <f t="shared" si="10"/>
        <v>-1.300000000000523E-3</v>
      </c>
      <c r="AE168" s="46">
        <f t="shared" si="10"/>
        <v>1.9999999999953388E-4</v>
      </c>
      <c r="AF168" s="46">
        <f t="shared" si="10"/>
        <v>4.000000000061732E-4</v>
      </c>
      <c r="AG168" s="66"/>
      <c r="AH168" s="66"/>
      <c r="AI168" s="67"/>
    </row>
    <row r="169" spans="1:35" ht="12" x14ac:dyDescent="0.2">
      <c r="B169" s="36"/>
      <c r="C169" s="29"/>
      <c r="D169" s="32">
        <v>35</v>
      </c>
      <c r="E169" s="46">
        <v>79.150400000000005</v>
      </c>
      <c r="F169" s="46">
        <v>35.337600000000002</v>
      </c>
      <c r="G169" s="46">
        <v>41.756999999999998</v>
      </c>
      <c r="H169" s="46">
        <v>42.593400000000003</v>
      </c>
      <c r="I169" s="66"/>
      <c r="J169" s="66"/>
      <c r="K169" s="67"/>
      <c r="L169" s="29"/>
      <c r="M169" s="46">
        <v>78.975200000000001</v>
      </c>
      <c r="N169" s="46">
        <v>35.337499999999999</v>
      </c>
      <c r="O169" s="46">
        <v>41.757100000000001</v>
      </c>
      <c r="P169" s="46">
        <v>42.594200000000001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0.1752000000000038</v>
      </c>
      <c r="AD169" s="46">
        <f t="shared" si="10"/>
        <v>1.0000000000331966E-4</v>
      </c>
      <c r="AE169" s="46">
        <f t="shared" si="10"/>
        <v>-1.0000000000331966E-4</v>
      </c>
      <c r="AF169" s="46">
        <f t="shared" si="10"/>
        <v>-7.9999999999813554E-4</v>
      </c>
      <c r="AG169" s="66"/>
      <c r="AH169" s="66"/>
      <c r="AI169" s="67"/>
    </row>
    <row r="170" spans="1:35" ht="12.75" thickBot="1" x14ac:dyDescent="0.25">
      <c r="B170" s="36"/>
      <c r="C170" s="53"/>
      <c r="D170" s="71">
        <v>40</v>
      </c>
      <c r="E170" s="72">
        <v>36.844799999999999</v>
      </c>
      <c r="F170" s="72">
        <v>33.244799999999998</v>
      </c>
      <c r="G170" s="72">
        <v>40.512599999999999</v>
      </c>
      <c r="H170" s="72">
        <v>41.354700000000001</v>
      </c>
      <c r="I170" s="68"/>
      <c r="J170" s="68"/>
      <c r="K170" s="69"/>
      <c r="L170" s="29"/>
      <c r="M170" s="72">
        <v>36.8752</v>
      </c>
      <c r="N170" s="72">
        <v>33.244700000000002</v>
      </c>
      <c r="O170" s="72">
        <v>40.512700000000002</v>
      </c>
      <c r="P170" s="72">
        <v>41.354700000000001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-3.0400000000000205E-2</v>
      </c>
      <c r="AD170" s="72">
        <f t="shared" si="10"/>
        <v>9.9999999996214228E-5</v>
      </c>
      <c r="AE170" s="72">
        <f t="shared" si="10"/>
        <v>-1.0000000000331966E-4</v>
      </c>
      <c r="AF170" s="72">
        <f t="shared" si="10"/>
        <v>0</v>
      </c>
      <c r="AG170" s="68"/>
      <c r="AH170" s="68"/>
      <c r="AI170" s="69"/>
    </row>
    <row r="171" spans="1:35" ht="12" x14ac:dyDescent="0.2">
      <c r="B171" s="36"/>
      <c r="C171" s="28" t="s">
        <v>29</v>
      </c>
      <c r="D171" s="31">
        <v>34</v>
      </c>
      <c r="E171" s="45">
        <v>288.81119999999999</v>
      </c>
      <c r="F171" s="45">
        <v>43.197000000000003</v>
      </c>
      <c r="G171" s="78"/>
      <c r="H171" s="78"/>
      <c r="I171" s="79"/>
      <c r="J171" s="79"/>
      <c r="K171" s="80"/>
      <c r="L171" s="29"/>
      <c r="M171" s="45">
        <v>288.07920000000001</v>
      </c>
      <c r="N171" s="45">
        <v>43.225099999999998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-4.2103968156685934E-3</v>
      </c>
      <c r="V171" s="9"/>
      <c r="W171" s="10"/>
      <c r="X171" s="29"/>
      <c r="Y171" s="24"/>
      <c r="Z171" s="24"/>
      <c r="AA171" s="27"/>
      <c r="AB171" s="24"/>
      <c r="AC171" s="45">
        <f t="shared" si="11"/>
        <v>0.7319999999999709</v>
      </c>
      <c r="AD171" s="45">
        <f t="shared" si="10"/>
        <v>-2.8099999999994907E-2</v>
      </c>
      <c r="AE171" s="78"/>
      <c r="AF171" s="78"/>
      <c r="AG171" s="79"/>
      <c r="AH171" s="79"/>
      <c r="AI171" s="80"/>
    </row>
    <row r="172" spans="1:35" ht="12" x14ac:dyDescent="0.2">
      <c r="B172" s="36"/>
      <c r="C172" s="29"/>
      <c r="D172" s="32">
        <v>39</v>
      </c>
      <c r="E172" s="46">
        <v>98.220799999999997</v>
      </c>
      <c r="F172" s="46">
        <v>38.846800000000002</v>
      </c>
      <c r="G172" s="70"/>
      <c r="H172" s="70"/>
      <c r="I172" s="66"/>
      <c r="J172" s="66"/>
      <c r="K172" s="67"/>
      <c r="L172" s="29"/>
      <c r="M172" s="46">
        <v>98.045599999999993</v>
      </c>
      <c r="N172" s="46">
        <v>38.859699999999997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0.1752000000000038</v>
      </c>
      <c r="AD172" s="46">
        <f t="shared" si="10"/>
        <v>-1.2899999999994805E-2</v>
      </c>
      <c r="AE172" s="70"/>
      <c r="AF172" s="70"/>
      <c r="AG172" s="66"/>
      <c r="AH172" s="66"/>
      <c r="AI172" s="67"/>
    </row>
    <row r="173" spans="1:35" ht="12" x14ac:dyDescent="0.2">
      <c r="B173" s="36"/>
      <c r="C173" s="29"/>
      <c r="D173" s="32">
        <v>42</v>
      </c>
      <c r="E173" s="46">
        <v>36.953600000000002</v>
      </c>
      <c r="F173" s="46">
        <v>34.937899999999999</v>
      </c>
      <c r="G173" s="70"/>
      <c r="H173" s="70"/>
      <c r="I173" s="66"/>
      <c r="J173" s="66"/>
      <c r="K173" s="67"/>
      <c r="L173" s="29"/>
      <c r="M173" s="46">
        <v>37.06</v>
      </c>
      <c r="N173" s="46">
        <v>34.9602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-0.10640000000000072</v>
      </c>
      <c r="AD173" s="46">
        <f t="shared" si="10"/>
        <v>-2.2300000000001319E-2</v>
      </c>
      <c r="AE173" s="70"/>
      <c r="AF173" s="70"/>
      <c r="AG173" s="66"/>
      <c r="AH173" s="66"/>
      <c r="AI173" s="67"/>
    </row>
    <row r="174" spans="1:35" ht="12.75" thickBot="1" x14ac:dyDescent="0.25">
      <c r="B174" s="36"/>
      <c r="C174" s="29"/>
      <c r="D174" s="32">
        <v>45</v>
      </c>
      <c r="E174" s="46">
        <v>14.8728</v>
      </c>
      <c r="F174" s="46">
        <v>31.410900000000002</v>
      </c>
      <c r="G174" s="70"/>
      <c r="H174" s="70"/>
      <c r="I174" s="66"/>
      <c r="J174" s="66"/>
      <c r="K174" s="67"/>
      <c r="L174" s="29"/>
      <c r="M174" s="46">
        <v>14.8696</v>
      </c>
      <c r="N174" s="46">
        <v>31.4071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3.1999999999996476E-3</v>
      </c>
      <c r="AD174" s="46">
        <f t="shared" si="10"/>
        <v>3.8000000000018019E-3</v>
      </c>
      <c r="AE174" s="70"/>
      <c r="AF174" s="70"/>
      <c r="AG174" s="66"/>
      <c r="AH174" s="66"/>
      <c r="AI174" s="67"/>
    </row>
    <row r="175" spans="1:35" ht="12" x14ac:dyDescent="0.2">
      <c r="B175" s="36"/>
      <c r="C175" s="28" t="s">
        <v>30</v>
      </c>
      <c r="D175" s="31">
        <v>34</v>
      </c>
      <c r="E175" s="45">
        <v>100.9472</v>
      </c>
      <c r="F175" s="45">
        <v>42.212000000000003</v>
      </c>
      <c r="G175" s="78"/>
      <c r="H175" s="78"/>
      <c r="I175" s="79"/>
      <c r="J175" s="79"/>
      <c r="K175" s="80"/>
      <c r="L175" s="29"/>
      <c r="M175" s="45">
        <v>100.7936</v>
      </c>
      <c r="N175" s="45">
        <v>42.271599999999999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2.9836318047071764E-4</v>
      </c>
      <c r="V175" s="9"/>
      <c r="W175" s="10"/>
      <c r="X175" s="29"/>
      <c r="Y175" s="24"/>
      <c r="Z175" s="24"/>
      <c r="AA175" s="27"/>
      <c r="AB175" s="24"/>
      <c r="AC175" s="45">
        <f t="shared" si="11"/>
        <v>0.15359999999999729</v>
      </c>
      <c r="AD175" s="45">
        <f t="shared" si="10"/>
        <v>-5.9599999999996101E-2</v>
      </c>
      <c r="AE175" s="78"/>
      <c r="AF175" s="78"/>
      <c r="AG175" s="79"/>
      <c r="AH175" s="79"/>
      <c r="AI175" s="80"/>
    </row>
    <row r="176" spans="1:35" ht="12" x14ac:dyDescent="0.2">
      <c r="B176" s="36"/>
      <c r="C176" s="29"/>
      <c r="D176" s="32">
        <v>39</v>
      </c>
      <c r="E176" s="46">
        <v>29.221599999999999</v>
      </c>
      <c r="F176" s="46">
        <v>38.0441</v>
      </c>
      <c r="G176" s="70"/>
      <c r="H176" s="70"/>
      <c r="I176" s="66"/>
      <c r="J176" s="66"/>
      <c r="K176" s="67"/>
      <c r="L176" s="29"/>
      <c r="M176" s="46">
        <v>29.556000000000001</v>
      </c>
      <c r="N176" s="46">
        <v>38.049700000000001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-0.33440000000000225</v>
      </c>
      <c r="AD176" s="46">
        <f t="shared" si="10"/>
        <v>-5.6000000000011596E-3</v>
      </c>
      <c r="AE176" s="70"/>
      <c r="AF176" s="70"/>
      <c r="AG176" s="66"/>
      <c r="AH176" s="66"/>
      <c r="AI176" s="67"/>
    </row>
    <row r="177" spans="2:35" ht="12" x14ac:dyDescent="0.2">
      <c r="B177" s="36"/>
      <c r="C177" s="29"/>
      <c r="D177" s="32">
        <v>42</v>
      </c>
      <c r="E177" s="46">
        <v>12.0168</v>
      </c>
      <c r="F177" s="46">
        <v>34.224400000000003</v>
      </c>
      <c r="G177" s="70"/>
      <c r="H177" s="70"/>
      <c r="I177" s="66"/>
      <c r="J177" s="66"/>
      <c r="K177" s="67"/>
      <c r="L177" s="29"/>
      <c r="M177" s="46">
        <v>11.958399999999999</v>
      </c>
      <c r="N177" s="46">
        <v>34.212000000000003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5.8400000000000674E-2</v>
      </c>
      <c r="AD177" s="46">
        <f t="shared" si="10"/>
        <v>1.2399999999999523E-2</v>
      </c>
      <c r="AE177" s="70"/>
      <c r="AF177" s="70"/>
      <c r="AG177" s="66"/>
      <c r="AH177" s="66"/>
      <c r="AI177" s="67"/>
    </row>
    <row r="178" spans="2:35" ht="12.75" thickBot="1" x14ac:dyDescent="0.25">
      <c r="B178" s="36"/>
      <c r="C178" s="29"/>
      <c r="D178" s="32">
        <v>45</v>
      </c>
      <c r="E178" s="46">
        <v>6.1055999999999999</v>
      </c>
      <c r="F178" s="46">
        <v>30.7347</v>
      </c>
      <c r="G178" s="70"/>
      <c r="H178" s="70"/>
      <c r="I178" s="66"/>
      <c r="J178" s="66"/>
      <c r="K178" s="67"/>
      <c r="L178" s="29"/>
      <c r="M178" s="46">
        <v>6.0839999999999996</v>
      </c>
      <c r="N178" s="46">
        <v>30.7196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2.1600000000000286E-2</v>
      </c>
      <c r="AD178" s="46">
        <f t="shared" si="10"/>
        <v>1.5100000000000335E-2</v>
      </c>
      <c r="AE178" s="70"/>
      <c r="AF178" s="70"/>
      <c r="AG178" s="66"/>
      <c r="AH178" s="66"/>
      <c r="AI178" s="67"/>
    </row>
    <row r="179" spans="2:35" ht="12" x14ac:dyDescent="0.2">
      <c r="B179" s="36"/>
      <c r="C179" s="28" t="s">
        <v>31</v>
      </c>
      <c r="D179" s="31">
        <v>34</v>
      </c>
      <c r="E179" s="45">
        <v>104.6768</v>
      </c>
      <c r="F179" s="45">
        <v>42.195999999999998</v>
      </c>
      <c r="G179" s="78"/>
      <c r="H179" s="78"/>
      <c r="I179" s="79"/>
      <c r="J179" s="79"/>
      <c r="K179" s="80"/>
      <c r="L179" s="29"/>
      <c r="M179" s="45">
        <v>104.7728</v>
      </c>
      <c r="N179" s="45">
        <v>42.226500000000001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2.7364022865534743E-3</v>
      </c>
      <c r="V179" s="9"/>
      <c r="W179" s="10"/>
      <c r="X179" s="29"/>
      <c r="Y179" s="24"/>
      <c r="Z179" s="24"/>
      <c r="AA179" s="27"/>
      <c r="AB179" s="24"/>
      <c r="AC179" s="45">
        <f t="shared" si="11"/>
        <v>-9.6000000000003638E-2</v>
      </c>
      <c r="AD179" s="45">
        <f t="shared" si="10"/>
        <v>-3.0500000000003524E-2</v>
      </c>
      <c r="AE179" s="78"/>
      <c r="AF179" s="78"/>
      <c r="AG179" s="79"/>
      <c r="AH179" s="79"/>
      <c r="AI179" s="80"/>
    </row>
    <row r="180" spans="2:35" ht="12" x14ac:dyDescent="0.2">
      <c r="B180" s="36"/>
      <c r="C180" s="29"/>
      <c r="D180" s="32">
        <v>39</v>
      </c>
      <c r="E180" s="46">
        <v>30.751999999999999</v>
      </c>
      <c r="F180" s="46">
        <v>37.975700000000003</v>
      </c>
      <c r="G180" s="70"/>
      <c r="H180" s="70"/>
      <c r="I180" s="66"/>
      <c r="J180" s="66"/>
      <c r="K180" s="67"/>
      <c r="L180" s="29"/>
      <c r="M180" s="46">
        <v>30.718399999999999</v>
      </c>
      <c r="N180" s="46">
        <v>37.9602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3.3599999999999852E-2</v>
      </c>
      <c r="AD180" s="46">
        <f t="shared" si="10"/>
        <v>1.5500000000002956E-2</v>
      </c>
      <c r="AE180" s="70"/>
      <c r="AF180" s="70"/>
      <c r="AG180" s="66"/>
      <c r="AH180" s="66"/>
      <c r="AI180" s="67"/>
    </row>
    <row r="181" spans="2:35" ht="12" x14ac:dyDescent="0.2">
      <c r="B181" s="36"/>
      <c r="C181" s="29"/>
      <c r="D181" s="32">
        <v>42</v>
      </c>
      <c r="E181" s="46">
        <v>12.5448</v>
      </c>
      <c r="F181" s="46">
        <v>34.255600000000001</v>
      </c>
      <c r="G181" s="70"/>
      <c r="H181" s="70"/>
      <c r="I181" s="66"/>
      <c r="J181" s="66"/>
      <c r="K181" s="67"/>
      <c r="L181" s="29"/>
      <c r="M181" s="46">
        <v>12.603199999999999</v>
      </c>
      <c r="N181" s="46">
        <v>34.252699999999997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-5.8399999999998897E-2</v>
      </c>
      <c r="AD181" s="46">
        <f t="shared" si="10"/>
        <v>2.9000000000038995E-3</v>
      </c>
      <c r="AE181" s="70"/>
      <c r="AF181" s="70"/>
      <c r="AG181" s="66"/>
      <c r="AH181" s="66"/>
      <c r="AI181" s="67"/>
    </row>
    <row r="182" spans="2:35" ht="12.75" thickBot="1" x14ac:dyDescent="0.25">
      <c r="B182" s="36"/>
      <c r="C182" s="29"/>
      <c r="D182" s="32">
        <v>45</v>
      </c>
      <c r="E182" s="46">
        <v>6.0663999999999998</v>
      </c>
      <c r="F182" s="46">
        <v>30.813700000000001</v>
      </c>
      <c r="G182" s="70"/>
      <c r="H182" s="70"/>
      <c r="I182" s="66"/>
      <c r="J182" s="66"/>
      <c r="K182" s="67"/>
      <c r="L182" s="29"/>
      <c r="M182" s="46">
        <v>6.1215999999999999</v>
      </c>
      <c r="N182" s="46">
        <v>30.8169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-5.5200000000000138E-2</v>
      </c>
      <c r="AD182" s="46">
        <f t="shared" si="10"/>
        <v>-3.1999999999996476E-3</v>
      </c>
      <c r="AE182" s="46"/>
      <c r="AF182" s="46"/>
      <c r="AG182" s="66"/>
      <c r="AH182" s="66"/>
      <c r="AI182" s="67"/>
    </row>
    <row r="183" spans="2:35" ht="12" x14ac:dyDescent="0.2">
      <c r="B183" s="36"/>
      <c r="C183" s="28" t="s">
        <v>47</v>
      </c>
      <c r="D183" s="31">
        <v>25</v>
      </c>
      <c r="E183" s="78"/>
      <c r="F183" s="45">
        <v>39.846800000000002</v>
      </c>
      <c r="G183" s="45">
        <v>46.514499999999998</v>
      </c>
      <c r="H183" s="45">
        <v>46.487900000000003</v>
      </c>
      <c r="I183" s="79"/>
      <c r="J183" s="79"/>
      <c r="K183" s="80"/>
      <c r="L183" s="29"/>
      <c r="M183" s="78"/>
      <c r="N183" s="45">
        <v>39.845799999999997</v>
      </c>
      <c r="O183" s="45">
        <v>46.508499999999998</v>
      </c>
      <c r="P183" s="45">
        <v>46.478200000000001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1.0000000000047748E-3</v>
      </c>
      <c r="AE183" s="45">
        <f t="shared" si="10"/>
        <v>6.0000000000002274E-3</v>
      </c>
      <c r="AF183" s="45">
        <f t="shared" si="10"/>
        <v>9.7000000000022624E-3</v>
      </c>
      <c r="AG183" s="79"/>
      <c r="AH183" s="79"/>
      <c r="AI183" s="80"/>
    </row>
    <row r="184" spans="2:35" ht="12" x14ac:dyDescent="0.2">
      <c r="B184" s="36"/>
      <c r="C184" s="29"/>
      <c r="D184" s="32">
        <v>30</v>
      </c>
      <c r="E184" s="70"/>
      <c r="F184" s="46">
        <v>37.590800000000002</v>
      </c>
      <c r="G184" s="46">
        <v>44.735300000000002</v>
      </c>
      <c r="H184" s="46">
        <v>45.0169</v>
      </c>
      <c r="I184" s="66"/>
      <c r="J184" s="66"/>
      <c r="K184" s="67"/>
      <c r="L184" s="29"/>
      <c r="M184" s="70"/>
      <c r="N184" s="46">
        <v>37.592799999999997</v>
      </c>
      <c r="O184" s="46">
        <v>44.7438</v>
      </c>
      <c r="P184" s="46">
        <v>45.020099999999999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-1.9999999999953388E-3</v>
      </c>
      <c r="AE184" s="46">
        <f t="shared" si="10"/>
        <v>-8.4999999999979536E-3</v>
      </c>
      <c r="AF184" s="46">
        <f t="shared" si="10"/>
        <v>-3.1999999999996476E-3</v>
      </c>
      <c r="AG184" s="66"/>
      <c r="AH184" s="66"/>
      <c r="AI184" s="67"/>
    </row>
    <row r="185" spans="2:35" ht="12" x14ac:dyDescent="0.2">
      <c r="B185" s="36"/>
      <c r="C185" s="29"/>
      <c r="D185" s="32">
        <v>35</v>
      </c>
      <c r="E185" s="70"/>
      <c r="F185" s="46">
        <v>35.512300000000003</v>
      </c>
      <c r="G185" s="46">
        <v>42.800600000000003</v>
      </c>
      <c r="H185" s="46">
        <v>43.379399999999997</v>
      </c>
      <c r="I185" s="66"/>
      <c r="J185" s="66"/>
      <c r="K185" s="67"/>
      <c r="L185" s="29"/>
      <c r="M185" s="70"/>
      <c r="N185" s="46">
        <v>35.514099999999999</v>
      </c>
      <c r="O185" s="46">
        <v>42.798400000000001</v>
      </c>
      <c r="P185" s="46">
        <v>43.386800000000001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-1.799999999995805E-3</v>
      </c>
      <c r="AE185" s="46">
        <f t="shared" si="10"/>
        <v>2.2000000000019782E-3</v>
      </c>
      <c r="AF185" s="46">
        <f t="shared" si="10"/>
        <v>-7.40000000000407E-3</v>
      </c>
      <c r="AG185" s="66"/>
      <c r="AH185" s="66"/>
      <c r="AI185" s="67"/>
    </row>
    <row r="186" spans="2:35" ht="12.75" thickBot="1" x14ac:dyDescent="0.25">
      <c r="B186" s="36"/>
      <c r="C186" s="53"/>
      <c r="D186" s="71">
        <v>40</v>
      </c>
      <c r="E186" s="81"/>
      <c r="F186" s="72">
        <v>33.414900000000003</v>
      </c>
      <c r="G186" s="72">
        <v>41.383800000000001</v>
      </c>
      <c r="H186" s="72">
        <v>42.110599999999998</v>
      </c>
      <c r="I186" s="68"/>
      <c r="J186" s="68"/>
      <c r="K186" s="69"/>
      <c r="L186" s="29"/>
      <c r="M186" s="81"/>
      <c r="N186" s="72">
        <v>33.416800000000002</v>
      </c>
      <c r="O186" s="72">
        <v>41.393799999999999</v>
      </c>
      <c r="P186" s="72">
        <v>42.113700000000001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-1.8999999999991246E-3</v>
      </c>
      <c r="AE186" s="72">
        <f t="shared" si="10"/>
        <v>-9.9999999999980105E-3</v>
      </c>
      <c r="AF186" s="72">
        <f t="shared" si="10"/>
        <v>-3.1000000000034333E-3</v>
      </c>
      <c r="AG186" s="68"/>
      <c r="AH186" s="68"/>
      <c r="AI186" s="69"/>
    </row>
    <row r="187" spans="2:35" ht="12" x14ac:dyDescent="0.2">
      <c r="B187" s="36"/>
      <c r="C187" s="29" t="s">
        <v>48</v>
      </c>
      <c r="D187" s="32">
        <v>25</v>
      </c>
      <c r="E187" s="70"/>
      <c r="F187" s="45">
        <v>40.032600000000002</v>
      </c>
      <c r="G187" s="45">
        <v>46.314900000000002</v>
      </c>
      <c r="H187" s="45">
        <v>46.746099999999998</v>
      </c>
      <c r="I187" s="66"/>
      <c r="J187" s="66"/>
      <c r="K187" s="67"/>
      <c r="L187" s="29"/>
      <c r="M187" s="70"/>
      <c r="N187" s="45">
        <v>40.035299999999999</v>
      </c>
      <c r="O187" s="45">
        <v>46.308399999999999</v>
      </c>
      <c r="P187" s="45">
        <v>46.751199999999997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-2.6999999999972601E-3</v>
      </c>
      <c r="AE187" s="45">
        <f t="shared" si="10"/>
        <v>6.5000000000026148E-3</v>
      </c>
      <c r="AF187" s="45">
        <f t="shared" si="10"/>
        <v>-5.0999999999987722E-3</v>
      </c>
      <c r="AG187" s="66"/>
      <c r="AH187" s="66"/>
      <c r="AI187" s="67"/>
    </row>
    <row r="188" spans="2:35" ht="12" x14ac:dyDescent="0.2">
      <c r="B188" s="36"/>
      <c r="C188" s="29"/>
      <c r="D188" s="32">
        <v>30</v>
      </c>
      <c r="E188" s="70"/>
      <c r="F188" s="46">
        <v>37.7468</v>
      </c>
      <c r="G188" s="46">
        <v>44.6584</v>
      </c>
      <c r="H188" s="46">
        <v>45.192900000000002</v>
      </c>
      <c r="I188" s="66"/>
      <c r="J188" s="66"/>
      <c r="K188" s="67"/>
      <c r="L188" s="29"/>
      <c r="M188" s="70"/>
      <c r="N188" s="46">
        <v>37.749299999999998</v>
      </c>
      <c r="O188" s="46">
        <v>44.663600000000002</v>
      </c>
      <c r="P188" s="46">
        <v>45.192799999999998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-2.4999999999977263E-3</v>
      </c>
      <c r="AE188" s="46">
        <f t="shared" si="10"/>
        <v>-5.2000000000020918E-3</v>
      </c>
      <c r="AF188" s="46">
        <f t="shared" si="10"/>
        <v>1.0000000000331966E-4</v>
      </c>
      <c r="AG188" s="66"/>
      <c r="AH188" s="66"/>
      <c r="AI188" s="67"/>
    </row>
    <row r="189" spans="2:35" ht="12" x14ac:dyDescent="0.2">
      <c r="B189" s="36"/>
      <c r="C189" s="29"/>
      <c r="D189" s="32">
        <v>35</v>
      </c>
      <c r="E189" s="70"/>
      <c r="F189" s="46">
        <v>35.618299999999998</v>
      </c>
      <c r="G189" s="46">
        <v>42.823099999999997</v>
      </c>
      <c r="H189" s="46">
        <v>43.450400000000002</v>
      </c>
      <c r="I189" s="66"/>
      <c r="J189" s="66"/>
      <c r="K189" s="67"/>
      <c r="L189" s="29"/>
      <c r="M189" s="70"/>
      <c r="N189" s="46">
        <v>35.618600000000001</v>
      </c>
      <c r="O189" s="46">
        <v>42.820599999999999</v>
      </c>
      <c r="P189" s="46">
        <v>43.453499999999998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-3.0000000000285354E-4</v>
      </c>
      <c r="AE189" s="46">
        <f t="shared" si="10"/>
        <v>2.4999999999977263E-3</v>
      </c>
      <c r="AF189" s="46">
        <f t="shared" si="10"/>
        <v>-3.0999999999963279E-3</v>
      </c>
      <c r="AG189" s="66"/>
      <c r="AH189" s="66"/>
      <c r="AI189" s="67"/>
    </row>
    <row r="190" spans="2:35" ht="12.75" thickBot="1" x14ac:dyDescent="0.25">
      <c r="B190" s="36"/>
      <c r="C190" s="53"/>
      <c r="D190" s="71">
        <v>40</v>
      </c>
      <c r="E190" s="81"/>
      <c r="F190" s="46">
        <v>33.4863</v>
      </c>
      <c r="G190" s="72">
        <v>41.475200000000001</v>
      </c>
      <c r="H190" s="72">
        <v>42.155299999999997</v>
      </c>
      <c r="I190" s="68"/>
      <c r="J190" s="68"/>
      <c r="K190" s="69"/>
      <c r="L190" s="29"/>
      <c r="M190" s="81"/>
      <c r="N190" s="46">
        <v>33.487499999999997</v>
      </c>
      <c r="O190" s="72">
        <v>41.483899999999998</v>
      </c>
      <c r="P190" s="72">
        <v>42.158000000000001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-1.1999999999972033E-3</v>
      </c>
      <c r="AE190" s="46">
        <f t="shared" si="10"/>
        <v>-8.6999999999974875E-3</v>
      </c>
      <c r="AF190" s="46">
        <f t="shared" si="10"/>
        <v>-2.7000000000043656E-3</v>
      </c>
      <c r="AG190" s="68"/>
      <c r="AH190" s="68"/>
      <c r="AI190" s="69"/>
    </row>
    <row r="191" spans="2:35" ht="12" x14ac:dyDescent="0.2">
      <c r="B191" s="36"/>
      <c r="C191" s="29" t="s">
        <v>49</v>
      </c>
      <c r="D191" s="32">
        <v>25</v>
      </c>
      <c r="E191" s="70"/>
      <c r="F191" s="45">
        <v>40.2851</v>
      </c>
      <c r="G191" s="45">
        <v>46.960599999999999</v>
      </c>
      <c r="H191" s="45">
        <v>47.795299999999997</v>
      </c>
      <c r="I191" s="66"/>
      <c r="J191" s="66"/>
      <c r="K191" s="67"/>
      <c r="L191" s="29"/>
      <c r="M191" s="70"/>
      <c r="N191" s="45">
        <v>40.285499999999999</v>
      </c>
      <c r="O191" s="45">
        <v>46.960799999999999</v>
      </c>
      <c r="P191" s="45">
        <v>47.795499999999997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-3.9999999999906777E-4</v>
      </c>
      <c r="AE191" s="45">
        <f t="shared" si="10"/>
        <v>-1.9999999999953388E-4</v>
      </c>
      <c r="AF191" s="45">
        <f t="shared" si="10"/>
        <v>-1.9999999999953388E-4</v>
      </c>
      <c r="AG191" s="66"/>
      <c r="AH191" s="66"/>
      <c r="AI191" s="67"/>
    </row>
    <row r="192" spans="2:35" ht="12" x14ac:dyDescent="0.2">
      <c r="B192" s="36"/>
      <c r="C192" s="29"/>
      <c r="D192" s="32">
        <v>30</v>
      </c>
      <c r="E192" s="70"/>
      <c r="F192" s="46">
        <v>37.877299999999998</v>
      </c>
      <c r="G192" s="46">
        <v>45.050899999999999</v>
      </c>
      <c r="H192" s="46">
        <v>45.866399999999999</v>
      </c>
      <c r="I192" s="66"/>
      <c r="J192" s="66"/>
      <c r="K192" s="67"/>
      <c r="L192" s="29"/>
      <c r="M192" s="70"/>
      <c r="N192" s="46">
        <v>37.876100000000001</v>
      </c>
      <c r="O192" s="46">
        <v>45.049700000000001</v>
      </c>
      <c r="P192" s="46">
        <v>45.866399999999999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1.1999999999972033E-3</v>
      </c>
      <c r="AE192" s="46">
        <f t="shared" si="10"/>
        <v>1.1999999999972033E-3</v>
      </c>
      <c r="AF192" s="46">
        <f t="shared" si="10"/>
        <v>0</v>
      </c>
      <c r="AG192" s="66"/>
      <c r="AH192" s="66"/>
      <c r="AI192" s="67"/>
    </row>
    <row r="193" spans="2:35" ht="12" x14ac:dyDescent="0.2">
      <c r="B193" s="36"/>
      <c r="C193" s="29"/>
      <c r="D193" s="32">
        <v>35</v>
      </c>
      <c r="E193" s="70"/>
      <c r="F193" s="46">
        <v>35.681899999999999</v>
      </c>
      <c r="G193" s="46">
        <v>43.039200000000001</v>
      </c>
      <c r="H193" s="46">
        <v>43.8292</v>
      </c>
      <c r="I193" s="66"/>
      <c r="J193" s="66"/>
      <c r="K193" s="67"/>
      <c r="L193" s="29"/>
      <c r="M193" s="70"/>
      <c r="N193" s="46">
        <v>35.682600000000001</v>
      </c>
      <c r="O193" s="46">
        <v>43.0383</v>
      </c>
      <c r="P193" s="46">
        <v>43.828699999999998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-7.0000000000192131E-4</v>
      </c>
      <c r="AE193" s="46">
        <f t="shared" si="10"/>
        <v>9.0000000000145519E-4</v>
      </c>
      <c r="AF193" s="46">
        <f t="shared" si="10"/>
        <v>5.0000000000238742E-4</v>
      </c>
      <c r="AG193" s="66"/>
      <c r="AH193" s="66"/>
      <c r="AI193" s="67"/>
    </row>
    <row r="194" spans="2:35" ht="12.75" thickBot="1" x14ac:dyDescent="0.25">
      <c r="B194" s="36"/>
      <c r="C194" s="53"/>
      <c r="D194" s="71">
        <v>40</v>
      </c>
      <c r="E194" s="81"/>
      <c r="F194" s="46">
        <v>33.519599999999997</v>
      </c>
      <c r="G194" s="72">
        <v>41.656700000000001</v>
      </c>
      <c r="H194" s="72">
        <v>42.438499999999998</v>
      </c>
      <c r="I194" s="68"/>
      <c r="J194" s="68"/>
      <c r="K194" s="69"/>
      <c r="L194" s="29"/>
      <c r="M194" s="81"/>
      <c r="N194" s="46">
        <v>33.520299999999999</v>
      </c>
      <c r="O194" s="72">
        <v>41.657499999999999</v>
      </c>
      <c r="P194" s="72">
        <v>42.439300000000003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-7.0000000000192131E-4</v>
      </c>
      <c r="AE194" s="46">
        <f t="shared" si="10"/>
        <v>-7.9999999999813554E-4</v>
      </c>
      <c r="AF194" s="46">
        <f t="shared" si="10"/>
        <v>-8.0000000000524096E-4</v>
      </c>
      <c r="AG194" s="68"/>
      <c r="AH194" s="68"/>
      <c r="AI194" s="69"/>
    </row>
    <row r="195" spans="2:35" ht="12" x14ac:dyDescent="0.2">
      <c r="B195" s="36"/>
      <c r="C195" s="29" t="s">
        <v>50</v>
      </c>
      <c r="D195" s="32">
        <v>25</v>
      </c>
      <c r="E195" s="70"/>
      <c r="F195" s="45">
        <v>40.266399999999997</v>
      </c>
      <c r="G195" s="45">
        <v>46.9602</v>
      </c>
      <c r="H195" s="45">
        <v>47.786099999999998</v>
      </c>
      <c r="I195" s="66"/>
      <c r="J195" s="66"/>
      <c r="K195" s="67"/>
      <c r="L195" s="29"/>
      <c r="M195" s="70"/>
      <c r="N195" s="45">
        <v>40.262799999999999</v>
      </c>
      <c r="O195" s="45">
        <v>46.961300000000001</v>
      </c>
      <c r="P195" s="45">
        <v>47.786299999999997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3.5999999999987153E-3</v>
      </c>
      <c r="AE195" s="45">
        <f t="shared" si="10"/>
        <v>-1.1000000000009891E-3</v>
      </c>
      <c r="AF195" s="45">
        <f t="shared" si="10"/>
        <v>-1.9999999999953388E-4</v>
      </c>
      <c r="AG195" s="66"/>
      <c r="AH195" s="66"/>
      <c r="AI195" s="67"/>
    </row>
    <row r="196" spans="2:35" ht="12" x14ac:dyDescent="0.2">
      <c r="B196" s="36"/>
      <c r="C196" s="29"/>
      <c r="D196" s="32">
        <v>30</v>
      </c>
      <c r="E196" s="70"/>
      <c r="F196" s="46">
        <v>37.861600000000003</v>
      </c>
      <c r="G196" s="46">
        <v>45.047899999999998</v>
      </c>
      <c r="H196" s="46">
        <v>45.851700000000001</v>
      </c>
      <c r="I196" s="66"/>
      <c r="J196" s="66"/>
      <c r="K196" s="67"/>
      <c r="L196" s="29"/>
      <c r="M196" s="70"/>
      <c r="N196" s="46">
        <v>37.860500000000002</v>
      </c>
      <c r="O196" s="46">
        <v>45.048400000000001</v>
      </c>
      <c r="P196" s="46">
        <v>45.851399999999998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1.1000000000009891E-3</v>
      </c>
      <c r="AE196" s="46">
        <f t="shared" si="10"/>
        <v>-5.0000000000238742E-4</v>
      </c>
      <c r="AF196" s="46">
        <f t="shared" si="10"/>
        <v>3.0000000000285354E-4</v>
      </c>
      <c r="AG196" s="66"/>
      <c r="AH196" s="66"/>
      <c r="AI196" s="67"/>
    </row>
    <row r="197" spans="2:35" ht="12" x14ac:dyDescent="0.2">
      <c r="B197" s="36"/>
      <c r="C197" s="29"/>
      <c r="D197" s="32">
        <v>35</v>
      </c>
      <c r="E197" s="70"/>
      <c r="F197" s="46">
        <v>35.673099999999998</v>
      </c>
      <c r="G197" s="46">
        <v>43.030200000000001</v>
      </c>
      <c r="H197" s="46">
        <v>43.8127</v>
      </c>
      <c r="I197" s="66"/>
      <c r="J197" s="66"/>
      <c r="K197" s="67"/>
      <c r="L197" s="29"/>
      <c r="M197" s="70"/>
      <c r="N197" s="46">
        <v>35.673699999999997</v>
      </c>
      <c r="O197" s="46">
        <v>43.030999999999999</v>
      </c>
      <c r="P197" s="46">
        <v>43.812100000000001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-5.9999999999860165E-4</v>
      </c>
      <c r="AE197" s="46">
        <f t="shared" si="10"/>
        <v>-7.9999999999813554E-4</v>
      </c>
      <c r="AF197" s="46">
        <f t="shared" si="10"/>
        <v>5.9999999999860165E-4</v>
      </c>
      <c r="AG197" s="66"/>
      <c r="AH197" s="66"/>
      <c r="AI197" s="67"/>
    </row>
    <row r="198" spans="2:35" ht="12.75" thickBot="1" x14ac:dyDescent="0.25">
      <c r="B198" s="36"/>
      <c r="C198" s="53"/>
      <c r="D198" s="71">
        <v>40</v>
      </c>
      <c r="E198" s="81"/>
      <c r="F198" s="46">
        <v>33.513599999999997</v>
      </c>
      <c r="G198" s="72">
        <v>41.650199999999998</v>
      </c>
      <c r="H198" s="72">
        <v>42.418300000000002</v>
      </c>
      <c r="I198" s="68"/>
      <c r="J198" s="68"/>
      <c r="K198" s="69"/>
      <c r="L198" s="29"/>
      <c r="M198" s="81"/>
      <c r="N198" s="46">
        <v>33.5139</v>
      </c>
      <c r="O198" s="72">
        <v>41.650599999999997</v>
      </c>
      <c r="P198" s="72">
        <v>42.419699999999999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-3.0000000000285354E-4</v>
      </c>
      <c r="AE198" s="46">
        <f t="shared" si="10"/>
        <v>-3.9999999999906777E-4</v>
      </c>
      <c r="AF198" s="46">
        <f t="shared" si="10"/>
        <v>-1.3999999999967372E-3</v>
      </c>
      <c r="AG198" s="68"/>
      <c r="AH198" s="68"/>
      <c r="AI198" s="69"/>
    </row>
    <row r="199" spans="2:35" ht="12" x14ac:dyDescent="0.2">
      <c r="B199" s="36"/>
      <c r="C199" s="29" t="s">
        <v>51</v>
      </c>
      <c r="D199" s="32">
        <v>25</v>
      </c>
      <c r="E199" s="70"/>
      <c r="F199" s="45">
        <v>40.035200000000003</v>
      </c>
      <c r="G199" s="45">
        <v>46.277299999999997</v>
      </c>
      <c r="H199" s="45">
        <v>47.002400000000002</v>
      </c>
      <c r="I199" s="66"/>
      <c r="J199" s="66"/>
      <c r="K199" s="67"/>
      <c r="L199" s="29"/>
      <c r="M199" s="70"/>
      <c r="N199" s="45">
        <v>40.039700000000003</v>
      </c>
      <c r="O199" s="45">
        <v>46.283799999999999</v>
      </c>
      <c r="P199" s="45">
        <v>47.010100000000001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-4.5000000000001705E-3</v>
      </c>
      <c r="AE199" s="45">
        <f t="shared" si="10"/>
        <v>-6.5000000000026148E-3</v>
      </c>
      <c r="AF199" s="45">
        <f t="shared" si="10"/>
        <v>-7.6999999999998181E-3</v>
      </c>
      <c r="AG199" s="66"/>
      <c r="AH199" s="66"/>
      <c r="AI199" s="67"/>
    </row>
    <row r="200" spans="2:35" ht="12" x14ac:dyDescent="0.2">
      <c r="B200" s="36"/>
      <c r="C200" s="29"/>
      <c r="D200" s="32">
        <v>30</v>
      </c>
      <c r="E200" s="70"/>
      <c r="F200" s="46">
        <v>37.720399999999998</v>
      </c>
      <c r="G200" s="46">
        <v>44.643000000000001</v>
      </c>
      <c r="H200" s="46">
        <v>45.312899999999999</v>
      </c>
      <c r="I200" s="66"/>
      <c r="J200" s="66"/>
      <c r="K200" s="67"/>
      <c r="L200" s="29"/>
      <c r="M200" s="70"/>
      <c r="N200" s="46">
        <v>37.718499999999999</v>
      </c>
      <c r="O200" s="46">
        <v>44.633899999999997</v>
      </c>
      <c r="P200" s="46">
        <v>45.294800000000002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1.8999999999991246E-3</v>
      </c>
      <c r="AE200" s="46">
        <f t="shared" si="10"/>
        <v>9.1000000000036607E-3</v>
      </c>
      <c r="AF200" s="46">
        <f t="shared" si="10"/>
        <v>1.8099999999996896E-2</v>
      </c>
      <c r="AG200" s="66"/>
      <c r="AH200" s="66"/>
      <c r="AI200" s="67"/>
    </row>
    <row r="201" spans="2:35" ht="12" x14ac:dyDescent="0.2">
      <c r="B201" s="36"/>
      <c r="C201" s="29"/>
      <c r="D201" s="32">
        <v>35</v>
      </c>
      <c r="E201" s="70"/>
      <c r="F201" s="46">
        <v>35.595399999999998</v>
      </c>
      <c r="G201" s="46">
        <v>42.760599999999997</v>
      </c>
      <c r="H201" s="46">
        <v>43.461599999999997</v>
      </c>
      <c r="I201" s="66"/>
      <c r="J201" s="66"/>
      <c r="K201" s="67"/>
      <c r="L201" s="29"/>
      <c r="M201" s="70"/>
      <c r="N201" s="46">
        <v>35.5976</v>
      </c>
      <c r="O201" s="46">
        <v>42.7697</v>
      </c>
      <c r="P201" s="46">
        <v>43.459200000000003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-2.2000000000019782E-3</v>
      </c>
      <c r="AE201" s="46">
        <f t="shared" si="10"/>
        <v>-9.1000000000036607E-3</v>
      </c>
      <c r="AF201" s="46">
        <f t="shared" si="10"/>
        <v>2.3999999999944066E-3</v>
      </c>
      <c r="AG201" s="66"/>
      <c r="AH201" s="66"/>
      <c r="AI201" s="67"/>
    </row>
    <row r="202" spans="2:35" ht="12.75" thickBot="1" x14ac:dyDescent="0.25">
      <c r="B202" s="36"/>
      <c r="C202" s="53"/>
      <c r="D202" s="71">
        <v>40</v>
      </c>
      <c r="E202" s="81"/>
      <c r="F202" s="72">
        <v>33.462200000000003</v>
      </c>
      <c r="G202" s="72">
        <v>41.447699999999998</v>
      </c>
      <c r="H202" s="72">
        <v>42.124600000000001</v>
      </c>
      <c r="I202" s="68"/>
      <c r="J202" s="68"/>
      <c r="K202" s="69"/>
      <c r="L202" s="29"/>
      <c r="M202" s="81"/>
      <c r="N202" s="72">
        <v>33.462800000000001</v>
      </c>
      <c r="O202" s="72">
        <v>41.45</v>
      </c>
      <c r="P202" s="72">
        <v>42.139899999999997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-5.9999999999860165E-4</v>
      </c>
      <c r="AE202" s="72">
        <f t="shared" si="10"/>
        <v>-2.3000000000052978E-3</v>
      </c>
      <c r="AF202" s="72">
        <f t="shared" si="10"/>
        <v>-1.5299999999996317E-2</v>
      </c>
      <c r="AG202" s="68"/>
      <c r="AH202" s="68"/>
      <c r="AI202" s="69"/>
    </row>
    <row r="203" spans="2:35" ht="12" x14ac:dyDescent="0.2">
      <c r="B203" s="36"/>
      <c r="C203" s="29" t="s">
        <v>52</v>
      </c>
      <c r="D203" s="32">
        <v>25</v>
      </c>
      <c r="E203" s="70"/>
      <c r="F203" s="45">
        <v>39.821899999999999</v>
      </c>
      <c r="G203" s="45">
        <v>46.340800000000002</v>
      </c>
      <c r="H203" s="45">
        <v>46.560899999999997</v>
      </c>
      <c r="I203" s="66"/>
      <c r="J203" s="66"/>
      <c r="K203" s="67"/>
      <c r="L203" s="29"/>
      <c r="M203" s="70"/>
      <c r="N203" s="45">
        <v>39.829500000000003</v>
      </c>
      <c r="O203" s="45">
        <v>46.337200000000003</v>
      </c>
      <c r="P203" s="45">
        <v>46.569000000000003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-7.6000000000036039E-3</v>
      </c>
      <c r="AE203" s="45">
        <f t="shared" si="10"/>
        <v>3.5999999999987153E-3</v>
      </c>
      <c r="AF203" s="45">
        <f t="shared" si="10"/>
        <v>-8.1000000000059913E-3</v>
      </c>
      <c r="AG203" s="45"/>
      <c r="AH203" s="66"/>
      <c r="AI203" s="67"/>
    </row>
    <row r="204" spans="2:35" ht="12" x14ac:dyDescent="0.2">
      <c r="B204" s="36"/>
      <c r="C204" s="29"/>
      <c r="D204" s="32">
        <v>30</v>
      </c>
      <c r="E204" s="70"/>
      <c r="F204" s="46">
        <v>37.544699999999999</v>
      </c>
      <c r="G204" s="46">
        <v>44.595999999999997</v>
      </c>
      <c r="H204" s="46">
        <v>45.085999999999999</v>
      </c>
      <c r="I204" s="66"/>
      <c r="J204" s="66"/>
      <c r="K204" s="67"/>
      <c r="L204" s="29"/>
      <c r="M204" s="70"/>
      <c r="N204" s="46">
        <v>37.5443</v>
      </c>
      <c r="O204" s="46">
        <v>44.616999999999997</v>
      </c>
      <c r="P204" s="46">
        <v>45.088999999999999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3.9999999999906777E-4</v>
      </c>
      <c r="AE204" s="46">
        <f t="shared" si="10"/>
        <v>-2.1000000000000796E-2</v>
      </c>
      <c r="AF204" s="46">
        <f t="shared" si="10"/>
        <v>-3.0000000000001137E-3</v>
      </c>
      <c r="AG204" s="66"/>
      <c r="AH204" s="66"/>
      <c r="AI204" s="67"/>
    </row>
    <row r="205" spans="2:35" ht="12" x14ac:dyDescent="0.2">
      <c r="B205" s="36"/>
      <c r="C205" s="29"/>
      <c r="D205" s="32">
        <v>35</v>
      </c>
      <c r="E205" s="70"/>
      <c r="F205" s="46">
        <v>35.463700000000003</v>
      </c>
      <c r="G205" s="46">
        <v>42.677</v>
      </c>
      <c r="H205" s="46">
        <v>43.268700000000003</v>
      </c>
      <c r="I205" s="66"/>
      <c r="J205" s="66"/>
      <c r="K205" s="67"/>
      <c r="L205" s="29"/>
      <c r="M205" s="70"/>
      <c r="N205" s="46">
        <v>35.465800000000002</v>
      </c>
      <c r="O205" s="46">
        <v>42.685099999999998</v>
      </c>
      <c r="P205" s="46">
        <v>43.255000000000003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-2.0999999999986585E-3</v>
      </c>
      <c r="AE205" s="46">
        <f t="shared" si="10"/>
        <v>-8.0999999999988859E-3</v>
      </c>
      <c r="AF205" s="46">
        <f t="shared" si="10"/>
        <v>1.3700000000000045E-2</v>
      </c>
      <c r="AG205" s="66"/>
      <c r="AH205" s="66"/>
      <c r="AI205" s="67"/>
    </row>
    <row r="206" spans="2:35" ht="12.75" thickBot="1" x14ac:dyDescent="0.25">
      <c r="B206" s="36"/>
      <c r="C206" s="53"/>
      <c r="D206" s="71">
        <v>40</v>
      </c>
      <c r="E206" s="81"/>
      <c r="F206" s="72">
        <v>33.367100000000001</v>
      </c>
      <c r="G206" s="72">
        <v>41.3352</v>
      </c>
      <c r="H206" s="72">
        <v>41.981699999999996</v>
      </c>
      <c r="I206" s="68"/>
      <c r="J206" s="68"/>
      <c r="K206" s="69"/>
      <c r="L206" s="29"/>
      <c r="M206" s="81"/>
      <c r="N206" s="72">
        <v>33.366500000000002</v>
      </c>
      <c r="O206" s="72">
        <v>41.332599999999999</v>
      </c>
      <c r="P206" s="72">
        <v>41.9908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5.9999999999860165E-4</v>
      </c>
      <c r="AE206" s="72">
        <f t="shared" si="10"/>
        <v>2.6000000000010459E-3</v>
      </c>
      <c r="AF206" s="72">
        <f t="shared" si="10"/>
        <v>-9.1000000000036607E-3</v>
      </c>
      <c r="AG206" s="68"/>
      <c r="AH206" s="68"/>
      <c r="AI206" s="69"/>
    </row>
    <row r="207" spans="2:35" ht="12" x14ac:dyDescent="0.2">
      <c r="B207" s="36"/>
      <c r="C207" s="29" t="s">
        <v>12</v>
      </c>
      <c r="D207" s="32">
        <v>25</v>
      </c>
      <c r="E207" s="45">
        <v>5283.884</v>
      </c>
      <c r="F207" s="70"/>
      <c r="G207" s="70"/>
      <c r="H207" s="70"/>
      <c r="I207" s="45">
        <v>75664.218999999997</v>
      </c>
      <c r="J207" s="45">
        <v>132.68700000000001</v>
      </c>
      <c r="K207" s="45">
        <v>825.79700000000003</v>
      </c>
      <c r="L207" s="29"/>
      <c r="M207" s="45">
        <v>5283.3015999999998</v>
      </c>
      <c r="N207" s="70"/>
      <c r="O207" s="70"/>
      <c r="P207" s="70"/>
      <c r="Q207" s="45">
        <v>75415.297000000006</v>
      </c>
      <c r="R207" s="45">
        <v>129.86000000000001</v>
      </c>
      <c r="S207" s="45">
        <v>842.14099999999996</v>
      </c>
      <c r="U207" s="8"/>
      <c r="V207" s="9"/>
      <c r="W207" s="10"/>
      <c r="X207" s="29"/>
      <c r="Y207" s="61">
        <f>GEOMEAN(Q207:Q210)/GEOMEAN(I207:I210)</f>
        <v>0.99911537381671467</v>
      </c>
      <c r="Z207" s="61">
        <f>GEOMEAN(R207:R210)/GEOMEAN(J207:J210)</f>
        <v>0.99107835292546209</v>
      </c>
      <c r="AA207" s="57">
        <f>GEOMEAN(S207:S210)/GEOMEAN(K207:K210)</f>
        <v>0.95277820348347808</v>
      </c>
      <c r="AC207" s="45">
        <f>E207 -M207</f>
        <v>0.58240000000023429</v>
      </c>
      <c r="AD207" s="70"/>
      <c r="AE207" s="70"/>
      <c r="AF207" s="70"/>
      <c r="AG207" s="45">
        <f t="shared" ref="AG207:AI210" si="12">I207 -Q207</f>
        <v>248.92199999999139</v>
      </c>
      <c r="AH207" s="45">
        <f t="shared" si="12"/>
        <v>2.8269999999999982</v>
      </c>
      <c r="AI207" s="45">
        <f t="shared" si="12"/>
        <v>-16.343999999999937</v>
      </c>
    </row>
    <row r="208" spans="2:35" ht="12" x14ac:dyDescent="0.2">
      <c r="B208" s="36"/>
      <c r="C208" s="29"/>
      <c r="D208" s="32">
        <v>30</v>
      </c>
      <c r="E208" s="46">
        <v>2155.2352000000001</v>
      </c>
      <c r="F208" s="70"/>
      <c r="G208" s="70"/>
      <c r="H208" s="70"/>
      <c r="I208" s="46">
        <v>55957.406000000003</v>
      </c>
      <c r="J208" s="46">
        <v>125.35899999999999</v>
      </c>
      <c r="K208" s="46">
        <v>817.15599999999995</v>
      </c>
      <c r="L208" s="29"/>
      <c r="M208" s="46">
        <v>2155.7784000000001</v>
      </c>
      <c r="N208" s="70"/>
      <c r="O208" s="70"/>
      <c r="P208" s="70"/>
      <c r="Q208" s="46">
        <v>55444.14</v>
      </c>
      <c r="R208" s="46">
        <v>121.922</v>
      </c>
      <c r="S208" s="46">
        <v>827.71900000000005</v>
      </c>
      <c r="U208" s="41"/>
      <c r="V208" s="42"/>
      <c r="W208" s="43"/>
      <c r="X208" s="29"/>
      <c r="Y208" s="24"/>
      <c r="Z208" s="24"/>
      <c r="AA208" s="27"/>
      <c r="AC208" s="46">
        <f>E208 -M208</f>
        <v>-0.54320000000006985</v>
      </c>
      <c r="AD208" s="70"/>
      <c r="AE208" s="70"/>
      <c r="AF208" s="70"/>
      <c r="AG208" s="46">
        <f t="shared" si="12"/>
        <v>513.26600000000326</v>
      </c>
      <c r="AH208" s="46">
        <f t="shared" si="12"/>
        <v>3.4369999999999976</v>
      </c>
      <c r="AI208" s="46">
        <f t="shared" si="12"/>
        <v>-10.563000000000102</v>
      </c>
    </row>
    <row r="209" spans="1:35" ht="12" x14ac:dyDescent="0.2">
      <c r="B209" s="36"/>
      <c r="C209" s="29"/>
      <c r="D209" s="32">
        <v>35</v>
      </c>
      <c r="E209" s="46">
        <v>976.79679999999996</v>
      </c>
      <c r="F209" s="70"/>
      <c r="G209" s="70"/>
      <c r="H209" s="70"/>
      <c r="I209" s="46">
        <v>45028.436999999998</v>
      </c>
      <c r="J209" s="46">
        <v>122.562</v>
      </c>
      <c r="K209" s="46">
        <v>883.01599999999996</v>
      </c>
      <c r="L209" s="29"/>
      <c r="M209" s="46">
        <v>976.94240000000002</v>
      </c>
      <c r="N209" s="70"/>
      <c r="O209" s="70"/>
      <c r="P209" s="70"/>
      <c r="Q209" s="46">
        <v>45139.046999999999</v>
      </c>
      <c r="R209" s="46">
        <v>126.328</v>
      </c>
      <c r="S209" s="46">
        <v>833.35900000000004</v>
      </c>
      <c r="U209" s="17"/>
      <c r="V209" s="18"/>
      <c r="W209" s="19"/>
      <c r="X209" s="29"/>
      <c r="Y209" s="24"/>
      <c r="Z209" s="24"/>
      <c r="AA209" s="27"/>
      <c r="AC209" s="46">
        <f>E209 -M209</f>
        <v>-0.14560000000005857</v>
      </c>
      <c r="AD209" s="70"/>
      <c r="AE209" s="70"/>
      <c r="AF209" s="70"/>
      <c r="AG209" s="46">
        <f t="shared" si="12"/>
        <v>-110.61000000000058</v>
      </c>
      <c r="AH209" s="46">
        <f t="shared" si="12"/>
        <v>-3.7660000000000053</v>
      </c>
      <c r="AI209" s="46">
        <f t="shared" si="12"/>
        <v>49.656999999999925</v>
      </c>
    </row>
    <row r="210" spans="1:35" ht="12.75" thickBot="1" x14ac:dyDescent="0.25">
      <c r="B210" s="52"/>
      <c r="C210" s="53"/>
      <c r="D210" s="71">
        <v>40</v>
      </c>
      <c r="E210" s="72">
        <v>468.75360000000001</v>
      </c>
      <c r="F210" s="81"/>
      <c r="G210" s="81"/>
      <c r="H210" s="81"/>
      <c r="I210" s="72">
        <v>38184.328000000001</v>
      </c>
      <c r="J210" s="72">
        <v>123.953</v>
      </c>
      <c r="K210" s="72">
        <v>1000.4690000000001</v>
      </c>
      <c r="L210" s="29"/>
      <c r="M210" s="72">
        <v>468.87920000000003</v>
      </c>
      <c r="N210" s="81"/>
      <c r="O210" s="81"/>
      <c r="P210" s="81"/>
      <c r="Q210" s="72">
        <v>38433.968999999997</v>
      </c>
      <c r="R210" s="72">
        <v>121.89100000000001</v>
      </c>
      <c r="S210" s="72">
        <v>845.70299999999997</v>
      </c>
      <c r="U210" s="85"/>
      <c r="V210" s="86"/>
      <c r="W210" s="87"/>
      <c r="X210" s="29"/>
      <c r="Y210" s="49"/>
      <c r="Z210" s="49"/>
      <c r="AA210" s="54"/>
      <c r="AC210" s="72">
        <f>E210 -M210</f>
        <v>-0.12560000000001992</v>
      </c>
      <c r="AD210" s="81"/>
      <c r="AE210" s="81"/>
      <c r="AF210" s="81"/>
      <c r="AG210" s="72">
        <f t="shared" si="12"/>
        <v>-249.64099999999598</v>
      </c>
      <c r="AH210" s="72">
        <f t="shared" si="12"/>
        <v>2.0619999999999976</v>
      </c>
      <c r="AI210" s="72">
        <f t="shared" si="12"/>
        <v>154.76600000000008</v>
      </c>
    </row>
    <row r="211" spans="1:35" ht="12" x14ac:dyDescent="0.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809.72</v>
      </c>
      <c r="F211" s="45">
        <v>42.115600000000001</v>
      </c>
      <c r="G211" s="45">
        <v>48.426699999999997</v>
      </c>
      <c r="H211" s="45">
        <v>48.135399999999997</v>
      </c>
      <c r="I211" s="79"/>
      <c r="J211" s="79"/>
      <c r="K211" s="80"/>
      <c r="L211" s="29"/>
      <c r="M211" s="45">
        <v>809.72</v>
      </c>
      <c r="N211" s="45">
        <v>42.115600000000001</v>
      </c>
      <c r="O211" s="45">
        <v>48.426699999999997</v>
      </c>
      <c r="P211" s="45">
        <v>48.135399999999997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 x14ac:dyDescent="0.2">
      <c r="B212" s="36"/>
      <c r="C212" s="29"/>
      <c r="D212" s="32">
        <v>30</v>
      </c>
      <c r="E212" s="46">
        <v>345.29300000000001</v>
      </c>
      <c r="F212" s="46">
        <v>41.150300000000001</v>
      </c>
      <c r="G212" s="46">
        <v>47.470199999999998</v>
      </c>
      <c r="H212" s="46">
        <v>47.2913</v>
      </c>
      <c r="I212" s="66"/>
      <c r="J212" s="66"/>
      <c r="K212" s="67"/>
      <c r="L212" s="29"/>
      <c r="M212" s="46">
        <v>345.29300000000001</v>
      </c>
      <c r="N212" s="46">
        <v>41.150300000000001</v>
      </c>
      <c r="O212" s="46">
        <v>47.470199999999998</v>
      </c>
      <c r="P212" s="46">
        <v>47.2913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 x14ac:dyDescent="0.2">
      <c r="B213" s="36"/>
      <c r="C213" s="29"/>
      <c r="D213" s="32">
        <v>35</v>
      </c>
      <c r="E213" s="46">
        <v>177.04900000000001</v>
      </c>
      <c r="F213" s="46">
        <v>39.7547</v>
      </c>
      <c r="G213" s="46">
        <v>46.049300000000002</v>
      </c>
      <c r="H213" s="46">
        <v>45.935699999999997</v>
      </c>
      <c r="I213" s="66"/>
      <c r="J213" s="66"/>
      <c r="K213" s="67"/>
      <c r="L213" s="29"/>
      <c r="M213" s="46">
        <v>177.04900000000001</v>
      </c>
      <c r="N213" s="46">
        <v>39.7547</v>
      </c>
      <c r="O213" s="46">
        <v>46.049300000000002</v>
      </c>
      <c r="P213" s="46">
        <v>45.935699999999997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 x14ac:dyDescent="0.25">
      <c r="B214" s="36"/>
      <c r="C214" s="29"/>
      <c r="D214" s="32">
        <v>40</v>
      </c>
      <c r="E214" s="46">
        <v>98.628</v>
      </c>
      <c r="F214" s="46">
        <v>38.012099999999997</v>
      </c>
      <c r="G214" s="46">
        <v>44.870800000000003</v>
      </c>
      <c r="H214" s="46">
        <v>44.774999999999999</v>
      </c>
      <c r="I214" s="66"/>
      <c r="J214" s="66"/>
      <c r="K214" s="67"/>
      <c r="L214" s="29"/>
      <c r="M214" s="46">
        <v>98.628</v>
      </c>
      <c r="N214" s="46">
        <v>38.012099999999997</v>
      </c>
      <c r="O214" s="46">
        <v>44.870800000000003</v>
      </c>
      <c r="P214" s="46">
        <v>44.774999999999999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 x14ac:dyDescent="0.2">
      <c r="B215" s="36"/>
      <c r="C215" s="28" t="s">
        <v>27</v>
      </c>
      <c r="D215" s="31">
        <v>25</v>
      </c>
      <c r="E215" s="45">
        <v>249.31100000000001</v>
      </c>
      <c r="F215" s="45">
        <v>41.833199999999998</v>
      </c>
      <c r="G215" s="45">
        <v>48.172899999999998</v>
      </c>
      <c r="H215" s="45">
        <v>47.512700000000002</v>
      </c>
      <c r="I215" s="79"/>
      <c r="J215" s="79"/>
      <c r="K215" s="80"/>
      <c r="L215" s="29"/>
      <c r="M215" s="45">
        <v>249.72300000000001</v>
      </c>
      <c r="N215" s="45">
        <v>41.832000000000001</v>
      </c>
      <c r="O215" s="45">
        <v>48.17</v>
      </c>
      <c r="P215" s="45">
        <v>47.5122</v>
      </c>
      <c r="Q215" s="79"/>
      <c r="R215" s="79"/>
      <c r="S215" s="80"/>
      <c r="U215" s="8">
        <f>bdrate($E215:$E218,F215:F218,$M215:$M218,N215:N218)</f>
        <v>7.2477749469013197E-4</v>
      </c>
      <c r="V215" s="9">
        <f>bdrate($E215:$E218,G215:G218,$M215:$M218,O215:O218)</f>
        <v>7.7713925197997469E-4</v>
      </c>
      <c r="W215" s="10">
        <f>bdrate($E215:$E218,H215:H218,$M215:$M218,P215:P218)</f>
        <v>2.2058040789381117E-3</v>
      </c>
      <c r="X215" s="29"/>
      <c r="Y215" s="24"/>
      <c r="Z215" s="24"/>
      <c r="AA215" s="27"/>
      <c r="AC215" s="45">
        <f t="shared" si="14"/>
        <v>-0.41200000000000614</v>
      </c>
      <c r="AD215" s="45">
        <f t="shared" si="13"/>
        <v>1.1999999999972033E-3</v>
      </c>
      <c r="AE215" s="45">
        <f t="shared" si="13"/>
        <v>2.899999999996794E-3</v>
      </c>
      <c r="AF215" s="45">
        <f t="shared" si="13"/>
        <v>5.0000000000238742E-4</v>
      </c>
      <c r="AG215" s="79"/>
      <c r="AH215" s="79"/>
      <c r="AI215" s="80"/>
    </row>
    <row r="216" spans="1:35" ht="12" x14ac:dyDescent="0.2">
      <c r="B216" s="36"/>
      <c r="C216" s="29"/>
      <c r="D216" s="32">
        <v>30</v>
      </c>
      <c r="E216" s="46">
        <v>96.222999999999999</v>
      </c>
      <c r="F216" s="46">
        <v>40.832299999999996</v>
      </c>
      <c r="G216" s="46">
        <v>47.081299999999999</v>
      </c>
      <c r="H216" s="46">
        <v>46.583799999999997</v>
      </c>
      <c r="I216" s="66"/>
      <c r="J216" s="66"/>
      <c r="K216" s="67"/>
      <c r="L216" s="29"/>
      <c r="M216" s="46">
        <v>96.305999999999997</v>
      </c>
      <c r="N216" s="46">
        <v>40.832900000000002</v>
      </c>
      <c r="O216" s="46">
        <v>47.083199999999998</v>
      </c>
      <c r="P216" s="46">
        <v>46.584499999999998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-8.2999999999998408E-2</v>
      </c>
      <c r="AD216" s="46">
        <f t="shared" si="13"/>
        <v>-6.0000000000570708E-4</v>
      </c>
      <c r="AE216" s="46">
        <f t="shared" si="13"/>
        <v>-1.8999999999991246E-3</v>
      </c>
      <c r="AF216" s="46">
        <f t="shared" si="13"/>
        <v>-7.0000000000192131E-4</v>
      </c>
      <c r="AG216" s="66"/>
      <c r="AH216" s="66"/>
      <c r="AI216" s="67"/>
    </row>
    <row r="217" spans="1:35" ht="12" x14ac:dyDescent="0.2">
      <c r="B217" s="36"/>
      <c r="C217" s="29"/>
      <c r="D217" s="32">
        <v>35</v>
      </c>
      <c r="E217" s="46">
        <v>47.796999999999997</v>
      </c>
      <c r="F217" s="46">
        <v>39.411000000000001</v>
      </c>
      <c r="G217" s="46">
        <v>45.899299999999997</v>
      </c>
      <c r="H217" s="46">
        <v>45.560200000000002</v>
      </c>
      <c r="I217" s="66"/>
      <c r="J217" s="66"/>
      <c r="K217" s="67"/>
      <c r="L217" s="29"/>
      <c r="M217" s="46">
        <v>47.835000000000001</v>
      </c>
      <c r="N217" s="46">
        <v>39.4131</v>
      </c>
      <c r="O217" s="46">
        <v>45.901000000000003</v>
      </c>
      <c r="P217" s="46">
        <v>45.557499999999997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-3.8000000000003809E-2</v>
      </c>
      <c r="AD217" s="46">
        <f t="shared" si="13"/>
        <v>-2.0999999999986585E-3</v>
      </c>
      <c r="AE217" s="46">
        <f t="shared" si="13"/>
        <v>-1.7000000000066962E-3</v>
      </c>
      <c r="AF217" s="46">
        <f t="shared" si="13"/>
        <v>2.7000000000043656E-3</v>
      </c>
      <c r="AG217" s="66"/>
      <c r="AH217" s="66"/>
      <c r="AI217" s="67"/>
    </row>
    <row r="218" spans="1:35" ht="12.75" thickBot="1" x14ac:dyDescent="0.25">
      <c r="B218" s="36"/>
      <c r="C218" s="29"/>
      <c r="D218" s="32">
        <v>40</v>
      </c>
      <c r="E218" s="46">
        <v>25.530999999999999</v>
      </c>
      <c r="F218" s="46">
        <v>37.626199999999997</v>
      </c>
      <c r="G218" s="46">
        <v>44.823700000000002</v>
      </c>
      <c r="H218" s="46">
        <v>44.512099999999997</v>
      </c>
      <c r="I218" s="66"/>
      <c r="J218" s="66"/>
      <c r="K218" s="67"/>
      <c r="L218" s="29"/>
      <c r="M218" s="46">
        <v>25.623000000000001</v>
      </c>
      <c r="N218" s="46">
        <v>37.631</v>
      </c>
      <c r="O218" s="46">
        <v>44.823</v>
      </c>
      <c r="P218" s="46">
        <v>44.506799999999998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-9.2000000000002302E-2</v>
      </c>
      <c r="AD218" s="46">
        <f t="shared" si="13"/>
        <v>-4.8000000000030241E-3</v>
      </c>
      <c r="AE218" s="46">
        <f t="shared" si="13"/>
        <v>7.0000000000192131E-4</v>
      </c>
      <c r="AF218" s="46">
        <f t="shared" si="13"/>
        <v>5.2999999999983061E-3</v>
      </c>
      <c r="AG218" s="66"/>
      <c r="AH218" s="66"/>
      <c r="AI218" s="67"/>
    </row>
    <row r="219" spans="1:35" ht="12" x14ac:dyDescent="0.2">
      <c r="B219" s="36"/>
      <c r="C219" s="28" t="s">
        <v>28</v>
      </c>
      <c r="D219" s="31">
        <v>25</v>
      </c>
      <c r="E219" s="45">
        <v>259.77</v>
      </c>
      <c r="F219" s="45">
        <v>41.686500000000002</v>
      </c>
      <c r="G219" s="45">
        <v>47.256700000000002</v>
      </c>
      <c r="H219" s="45">
        <v>46.660400000000003</v>
      </c>
      <c r="I219" s="79"/>
      <c r="J219" s="79"/>
      <c r="K219" s="80"/>
      <c r="L219" s="29"/>
      <c r="M219" s="45">
        <v>259.55099999999999</v>
      </c>
      <c r="N219" s="45">
        <v>41.686</v>
      </c>
      <c r="O219" s="45">
        <v>47.253399999999999</v>
      </c>
      <c r="P219" s="45">
        <v>46.662999999999997</v>
      </c>
      <c r="Q219" s="79"/>
      <c r="R219" s="79"/>
      <c r="S219" s="80"/>
      <c r="U219" s="8">
        <f>bdrate($E219:$E222,F219:F222,$M219:$M222,N219:N222)</f>
        <v>-3.0814837614745461E-4</v>
      </c>
      <c r="V219" s="9">
        <f>bdrate($E219:$E222,G219:G222,$M219:$M222,O219:O222)</f>
        <v>3.719232715458709E-3</v>
      </c>
      <c r="W219" s="10">
        <f>bdrate($E219:$E222,H219:H222,$M219:$M222,P219:P222)</f>
        <v>1.2933593440933588E-3</v>
      </c>
      <c r="X219" s="29"/>
      <c r="Y219" s="24"/>
      <c r="Z219" s="24"/>
      <c r="AA219" s="27"/>
      <c r="AC219" s="45">
        <f t="shared" si="14"/>
        <v>0.21899999999999409</v>
      </c>
      <c r="AD219" s="45">
        <f t="shared" si="13"/>
        <v>5.0000000000238742E-4</v>
      </c>
      <c r="AE219" s="45">
        <f t="shared" si="13"/>
        <v>3.3000000000029672E-3</v>
      </c>
      <c r="AF219" s="45">
        <f t="shared" si="13"/>
        <v>-2.5999999999939405E-3</v>
      </c>
      <c r="AG219" s="79"/>
      <c r="AH219" s="79"/>
      <c r="AI219" s="80"/>
    </row>
    <row r="220" spans="1:35" ht="12" x14ac:dyDescent="0.2">
      <c r="B220" s="36"/>
      <c r="C220" s="29"/>
      <c r="D220" s="32">
        <v>30</v>
      </c>
      <c r="E220" s="46">
        <v>97.215999999999994</v>
      </c>
      <c r="F220" s="46">
        <v>40.746200000000002</v>
      </c>
      <c r="G220" s="46">
        <v>46.301000000000002</v>
      </c>
      <c r="H220" s="46">
        <v>45.539099999999998</v>
      </c>
      <c r="I220" s="66"/>
      <c r="J220" s="66"/>
      <c r="K220" s="67"/>
      <c r="L220" s="29"/>
      <c r="M220" s="46">
        <v>97.350999999999999</v>
      </c>
      <c r="N220" s="46">
        <v>40.744</v>
      </c>
      <c r="O220" s="46">
        <v>46.296100000000003</v>
      </c>
      <c r="P220" s="46">
        <v>45.539400000000001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-0.13500000000000512</v>
      </c>
      <c r="AD220" s="46">
        <f t="shared" si="13"/>
        <v>2.2000000000019782E-3</v>
      </c>
      <c r="AE220" s="46">
        <f t="shared" si="13"/>
        <v>4.8999999999992383E-3</v>
      </c>
      <c r="AF220" s="46">
        <f t="shared" si="13"/>
        <v>-3.0000000000285354E-4</v>
      </c>
      <c r="AG220" s="66"/>
      <c r="AH220" s="66"/>
      <c r="AI220" s="67"/>
    </row>
    <row r="221" spans="1:35" ht="12" x14ac:dyDescent="0.2">
      <c r="B221" s="36"/>
      <c r="C221" s="29"/>
      <c r="D221" s="32">
        <v>35</v>
      </c>
      <c r="E221" s="46">
        <v>48.572000000000003</v>
      </c>
      <c r="F221" s="46">
        <v>39.395800000000001</v>
      </c>
      <c r="G221" s="46">
        <v>45.383699999999997</v>
      </c>
      <c r="H221" s="46">
        <v>44.6006</v>
      </c>
      <c r="I221" s="66"/>
      <c r="J221" s="66"/>
      <c r="K221" s="67"/>
      <c r="L221" s="29"/>
      <c r="M221" s="46">
        <v>48.433</v>
      </c>
      <c r="N221" s="46">
        <v>39.3949</v>
      </c>
      <c r="O221" s="46">
        <v>45.375399999999999</v>
      </c>
      <c r="P221" s="46">
        <v>44.592100000000002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0.1390000000000029</v>
      </c>
      <c r="AD221" s="46">
        <f t="shared" si="13"/>
        <v>9.0000000000145519E-4</v>
      </c>
      <c r="AE221" s="46">
        <f t="shared" si="13"/>
        <v>8.2999999999984198E-3</v>
      </c>
      <c r="AF221" s="46">
        <f t="shared" si="13"/>
        <v>8.4999999999979536E-3</v>
      </c>
      <c r="AG221" s="66"/>
      <c r="AH221" s="66"/>
      <c r="AI221" s="67"/>
    </row>
    <row r="222" spans="1:35" ht="12.75" thickBot="1" x14ac:dyDescent="0.25">
      <c r="B222" s="36"/>
      <c r="C222" s="53"/>
      <c r="D222" s="71">
        <v>40</v>
      </c>
      <c r="E222" s="72">
        <v>25.553000000000001</v>
      </c>
      <c r="F222" s="72">
        <v>37.656199999999998</v>
      </c>
      <c r="G222" s="72">
        <v>44.414900000000003</v>
      </c>
      <c r="H222" s="72">
        <v>43.483800000000002</v>
      </c>
      <c r="I222" s="68"/>
      <c r="J222" s="68"/>
      <c r="K222" s="69"/>
      <c r="L222" s="29"/>
      <c r="M222" s="72">
        <v>25.571000000000002</v>
      </c>
      <c r="N222" s="72">
        <v>37.658099999999997</v>
      </c>
      <c r="O222" s="72">
        <v>44.414700000000003</v>
      </c>
      <c r="P222" s="72">
        <v>43.4803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-1.8000000000000682E-2</v>
      </c>
      <c r="AD222" s="72">
        <f t="shared" si="13"/>
        <v>-1.8999999999991246E-3</v>
      </c>
      <c r="AE222" s="72">
        <f t="shared" si="13"/>
        <v>1.9999999999953388E-4</v>
      </c>
      <c r="AF222" s="72">
        <f t="shared" si="13"/>
        <v>3.5000000000025011E-3</v>
      </c>
      <c r="AG222" s="68"/>
      <c r="AH222" s="68"/>
      <c r="AI222" s="69"/>
    </row>
    <row r="223" spans="1:35" ht="12" x14ac:dyDescent="0.2">
      <c r="B223" s="36"/>
      <c r="C223" s="28" t="s">
        <v>29</v>
      </c>
      <c r="D223" s="31">
        <v>34</v>
      </c>
      <c r="E223" s="45">
        <v>72.643000000000001</v>
      </c>
      <c r="F223" s="45">
        <v>46.164200000000001</v>
      </c>
      <c r="G223" s="78"/>
      <c r="H223" s="78"/>
      <c r="I223" s="79"/>
      <c r="J223" s="79"/>
      <c r="K223" s="80"/>
      <c r="L223" s="29"/>
      <c r="M223" s="45">
        <v>72.701999999999998</v>
      </c>
      <c r="N223" s="45">
        <v>46.143999999999998</v>
      </c>
      <c r="O223" s="78"/>
      <c r="P223" s="78"/>
      <c r="Q223" s="79"/>
      <c r="R223" s="79"/>
      <c r="S223" s="80"/>
      <c r="U223" s="8">
        <f>bdrate($E223:$E226,F223:F226,$M223:$M226,N223:N226)</f>
        <v>-3.128584442435578E-5</v>
      </c>
      <c r="V223" s="9"/>
      <c r="W223" s="10"/>
      <c r="X223" s="29"/>
      <c r="Y223" s="24"/>
      <c r="Z223" s="24"/>
      <c r="AA223" s="27"/>
      <c r="AC223" s="45">
        <f t="shared" si="14"/>
        <v>-5.8999999999997499E-2</v>
      </c>
      <c r="AD223" s="45">
        <f t="shared" si="13"/>
        <v>2.020000000000266E-2</v>
      </c>
      <c r="AE223" s="78"/>
      <c r="AF223" s="78"/>
      <c r="AG223" s="79"/>
      <c r="AH223" s="79"/>
      <c r="AI223" s="80"/>
    </row>
    <row r="224" spans="1:35" ht="12" x14ac:dyDescent="0.2">
      <c r="B224" s="36"/>
      <c r="C224" s="29"/>
      <c r="D224" s="32">
        <v>39</v>
      </c>
      <c r="E224" s="46">
        <v>29.962</v>
      </c>
      <c r="F224" s="46">
        <v>42.717700000000001</v>
      </c>
      <c r="G224" s="70"/>
      <c r="H224" s="70"/>
      <c r="I224" s="66"/>
      <c r="J224" s="66"/>
      <c r="K224" s="67"/>
      <c r="L224" s="29"/>
      <c r="M224" s="46">
        <v>29.937000000000001</v>
      </c>
      <c r="N224" s="46">
        <v>42.724400000000003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2.4999999999998579E-2</v>
      </c>
      <c r="AD224" s="46">
        <f t="shared" si="13"/>
        <v>-6.7000000000021487E-3</v>
      </c>
      <c r="AE224" s="70"/>
      <c r="AF224" s="70"/>
      <c r="AG224" s="66"/>
      <c r="AH224" s="66"/>
      <c r="AI224" s="67"/>
    </row>
    <row r="225" spans="2:35" ht="12" x14ac:dyDescent="0.2">
      <c r="B225" s="36"/>
      <c r="C225" s="29"/>
      <c r="D225" s="32">
        <v>42</v>
      </c>
      <c r="E225" s="46">
        <v>15.007</v>
      </c>
      <c r="F225" s="46">
        <v>40.047800000000002</v>
      </c>
      <c r="G225" s="70"/>
      <c r="H225" s="70"/>
      <c r="I225" s="66"/>
      <c r="J225" s="66"/>
      <c r="K225" s="67"/>
      <c r="L225" s="29"/>
      <c r="M225" s="46">
        <v>15.002000000000001</v>
      </c>
      <c r="N225" s="46">
        <v>40.044199999999996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4.9999999999990052E-3</v>
      </c>
      <c r="AD225" s="46">
        <f t="shared" si="13"/>
        <v>3.6000000000058208E-3</v>
      </c>
      <c r="AE225" s="70"/>
      <c r="AF225" s="70"/>
      <c r="AG225" s="66"/>
      <c r="AH225" s="66"/>
      <c r="AI225" s="67"/>
    </row>
    <row r="226" spans="2:35" ht="12.75" thickBot="1" x14ac:dyDescent="0.25">
      <c r="B226" s="36"/>
      <c r="C226" s="29"/>
      <c r="D226" s="32">
        <v>45</v>
      </c>
      <c r="E226" s="46">
        <v>8.3759999999999994</v>
      </c>
      <c r="F226" s="46">
        <v>36.841099999999997</v>
      </c>
      <c r="G226" s="70"/>
      <c r="H226" s="70"/>
      <c r="I226" s="66"/>
      <c r="J226" s="66"/>
      <c r="K226" s="67"/>
      <c r="L226" s="29"/>
      <c r="M226" s="46">
        <v>8.3719999999999999</v>
      </c>
      <c r="N226" s="46">
        <v>36.841099999999997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3.9999999999995595E-3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 ht="12" x14ac:dyDescent="0.2">
      <c r="B227" s="36"/>
      <c r="C227" s="28" t="s">
        <v>30</v>
      </c>
      <c r="D227" s="31">
        <v>34</v>
      </c>
      <c r="E227" s="45">
        <v>50.220999999999997</v>
      </c>
      <c r="F227" s="45">
        <v>44.680199999999999</v>
      </c>
      <c r="G227" s="78"/>
      <c r="H227" s="78"/>
      <c r="I227" s="79"/>
      <c r="J227" s="79"/>
      <c r="K227" s="80"/>
      <c r="L227" s="29"/>
      <c r="M227" s="45">
        <v>50.244999999999997</v>
      </c>
      <c r="N227" s="45">
        <v>44.661499999999997</v>
      </c>
      <c r="O227" s="78"/>
      <c r="P227" s="78"/>
      <c r="Q227" s="79"/>
      <c r="R227" s="79"/>
      <c r="S227" s="80"/>
      <c r="U227" s="8">
        <f>bdrate($E227:$E230,F227:F230,$M227:$M230,N227:N230)</f>
        <v>-4.5736410757069024E-3</v>
      </c>
      <c r="V227" s="9"/>
      <c r="W227" s="10"/>
      <c r="X227" s="29"/>
      <c r="Y227" s="24"/>
      <c r="Z227" s="24"/>
      <c r="AA227" s="27"/>
      <c r="AC227" s="45">
        <f t="shared" si="14"/>
        <v>-2.4000000000000909E-2</v>
      </c>
      <c r="AD227" s="45">
        <f t="shared" si="13"/>
        <v>1.8700000000002603E-2</v>
      </c>
      <c r="AE227" s="78"/>
      <c r="AF227" s="78"/>
      <c r="AG227" s="79"/>
      <c r="AH227" s="79"/>
      <c r="AI227" s="80"/>
    </row>
    <row r="228" spans="2:35" ht="12" x14ac:dyDescent="0.2">
      <c r="B228" s="36"/>
      <c r="C228" s="29"/>
      <c r="D228" s="32">
        <v>39</v>
      </c>
      <c r="E228" s="46">
        <v>19.588000000000001</v>
      </c>
      <c r="F228" s="46">
        <v>41.510899999999999</v>
      </c>
      <c r="G228" s="70"/>
      <c r="H228" s="70"/>
      <c r="I228" s="66"/>
      <c r="J228" s="66"/>
      <c r="K228" s="67"/>
      <c r="L228" s="29"/>
      <c r="M228" s="46">
        <v>19.456</v>
      </c>
      <c r="N228" s="46">
        <v>41.515500000000003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0.13200000000000145</v>
      </c>
      <c r="AD228" s="46">
        <f t="shared" si="13"/>
        <v>-4.6000000000034902E-3</v>
      </c>
      <c r="AE228" s="70"/>
      <c r="AF228" s="70"/>
      <c r="AG228" s="66"/>
      <c r="AH228" s="66"/>
      <c r="AI228" s="67"/>
    </row>
    <row r="229" spans="2:35" ht="12" x14ac:dyDescent="0.2">
      <c r="B229" s="36"/>
      <c r="C229" s="29"/>
      <c r="D229" s="32">
        <v>42</v>
      </c>
      <c r="E229" s="46">
        <v>9.5069999999999997</v>
      </c>
      <c r="F229" s="46">
        <v>38.383200000000002</v>
      </c>
      <c r="G229" s="70"/>
      <c r="H229" s="70"/>
      <c r="I229" s="66"/>
      <c r="J229" s="66"/>
      <c r="K229" s="67"/>
      <c r="L229" s="29"/>
      <c r="M229" s="46">
        <v>9.42</v>
      </c>
      <c r="N229" s="46">
        <v>38.366599999999998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8.6999999999999744E-2</v>
      </c>
      <c r="AD229" s="46">
        <f t="shared" si="13"/>
        <v>1.6600000000003945E-2</v>
      </c>
      <c r="AE229" s="70"/>
      <c r="AF229" s="70"/>
      <c r="AG229" s="66"/>
      <c r="AH229" s="66"/>
      <c r="AI229" s="67"/>
    </row>
    <row r="230" spans="2:35" ht="12.75" thickBot="1" x14ac:dyDescent="0.25">
      <c r="B230" s="36"/>
      <c r="C230" s="29"/>
      <c r="D230" s="32">
        <v>45</v>
      </c>
      <c r="E230" s="46">
        <v>5.2679999999999998</v>
      </c>
      <c r="F230" s="46">
        <v>35.322099999999999</v>
      </c>
      <c r="G230" s="70"/>
      <c r="H230" s="70"/>
      <c r="I230" s="66"/>
      <c r="J230" s="66"/>
      <c r="K230" s="67"/>
      <c r="L230" s="29"/>
      <c r="M230" s="46">
        <v>5.2629999999999999</v>
      </c>
      <c r="N230" s="46">
        <v>35.329700000000003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4.9999999999998934E-3</v>
      </c>
      <c r="AD230" s="46">
        <f t="shared" si="13"/>
        <v>-7.6000000000036039E-3</v>
      </c>
      <c r="AE230" s="70"/>
      <c r="AF230" s="70"/>
      <c r="AG230" s="66"/>
      <c r="AH230" s="66"/>
      <c r="AI230" s="67"/>
    </row>
    <row r="231" spans="2:35" ht="12" x14ac:dyDescent="0.2">
      <c r="B231" s="36"/>
      <c r="C231" s="28" t="s">
        <v>31</v>
      </c>
      <c r="D231" s="31">
        <v>34</v>
      </c>
      <c r="E231" s="45">
        <v>49.23</v>
      </c>
      <c r="F231" s="45">
        <v>44.510100000000001</v>
      </c>
      <c r="G231" s="78"/>
      <c r="H231" s="78"/>
      <c r="I231" s="79"/>
      <c r="J231" s="79"/>
      <c r="K231" s="80"/>
      <c r="L231" s="29"/>
      <c r="M231" s="45">
        <v>49.209000000000003</v>
      </c>
      <c r="N231" s="45">
        <v>44.449800000000003</v>
      </c>
      <c r="O231" s="78"/>
      <c r="P231" s="78"/>
      <c r="Q231" s="79"/>
      <c r="R231" s="79"/>
      <c r="S231" s="80"/>
      <c r="U231" s="8">
        <f>bdrate($E231:$E234,F231:F234,$M231:$M234,N231:N234)</f>
        <v>8.9063679945058372E-3</v>
      </c>
      <c r="V231" s="9"/>
      <c r="W231" s="10"/>
      <c r="X231" s="29"/>
      <c r="Y231" s="24"/>
      <c r="Z231" s="24"/>
      <c r="AA231" s="27"/>
      <c r="AC231" s="45">
        <f t="shared" si="14"/>
        <v>2.099999999999369E-2</v>
      </c>
      <c r="AD231" s="45">
        <f t="shared" si="13"/>
        <v>6.0299999999998022E-2</v>
      </c>
      <c r="AE231" s="78"/>
      <c r="AF231" s="78"/>
      <c r="AG231" s="79"/>
      <c r="AH231" s="79"/>
      <c r="AI231" s="80"/>
    </row>
    <row r="232" spans="2:35" ht="12" x14ac:dyDescent="0.2">
      <c r="B232" s="36"/>
      <c r="C232" s="29"/>
      <c r="D232" s="32">
        <v>39</v>
      </c>
      <c r="E232" s="46">
        <v>18.989999999999998</v>
      </c>
      <c r="F232" s="46">
        <v>41.4788</v>
      </c>
      <c r="G232" s="70"/>
      <c r="H232" s="70"/>
      <c r="I232" s="66"/>
      <c r="J232" s="66"/>
      <c r="K232" s="67"/>
      <c r="L232" s="29"/>
      <c r="M232" s="46">
        <v>18.951000000000001</v>
      </c>
      <c r="N232" s="46">
        <v>41.408499999999997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3.8999999999997925E-2</v>
      </c>
      <c r="AD232" s="46">
        <f t="shared" si="13"/>
        <v>7.0300000000003138E-2</v>
      </c>
      <c r="AE232" s="70"/>
      <c r="AF232" s="70"/>
      <c r="AG232" s="66"/>
      <c r="AH232" s="66"/>
      <c r="AI232" s="67"/>
    </row>
    <row r="233" spans="2:35" ht="12" x14ac:dyDescent="0.2">
      <c r="B233" s="36"/>
      <c r="C233" s="29"/>
      <c r="D233" s="32">
        <v>42</v>
      </c>
      <c r="E233" s="46">
        <v>9.1069999999999993</v>
      </c>
      <c r="F233" s="46">
        <v>38.724299999999999</v>
      </c>
      <c r="G233" s="70"/>
      <c r="H233" s="70"/>
      <c r="I233" s="66"/>
      <c r="J233" s="66"/>
      <c r="K233" s="67"/>
      <c r="L233" s="29"/>
      <c r="M233" s="46">
        <v>9.1080000000000005</v>
      </c>
      <c r="N233" s="46">
        <v>38.729700000000001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-1.0000000000012221E-3</v>
      </c>
      <c r="AD233" s="46">
        <f t="shared" si="13"/>
        <v>-5.4000000000016257E-3</v>
      </c>
      <c r="AE233" s="70"/>
      <c r="AF233" s="70"/>
      <c r="AG233" s="66"/>
      <c r="AH233" s="66"/>
      <c r="AI233" s="67"/>
    </row>
    <row r="234" spans="2:35" ht="12.75" thickBot="1" x14ac:dyDescent="0.25">
      <c r="B234" s="36"/>
      <c r="C234" s="29"/>
      <c r="D234" s="32">
        <v>45</v>
      </c>
      <c r="E234" s="46">
        <v>5.1920000000000002</v>
      </c>
      <c r="F234" s="46">
        <v>35.854300000000002</v>
      </c>
      <c r="G234" s="70"/>
      <c r="H234" s="70"/>
      <c r="I234" s="66"/>
      <c r="J234" s="66"/>
      <c r="K234" s="67"/>
      <c r="L234" s="29"/>
      <c r="M234" s="46">
        <v>5.1710000000000003</v>
      </c>
      <c r="N234" s="46">
        <v>35.849200000000003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2.0999999999999908E-2</v>
      </c>
      <c r="AD234" s="46">
        <f t="shared" si="13"/>
        <v>5.0999999999987722E-3</v>
      </c>
      <c r="AE234" s="46"/>
      <c r="AF234" s="46"/>
      <c r="AG234" s="66"/>
      <c r="AH234" s="66"/>
      <c r="AI234" s="67"/>
    </row>
    <row r="235" spans="2:35" ht="12" x14ac:dyDescent="0.2">
      <c r="B235" s="36"/>
      <c r="C235" s="28" t="s">
        <v>47</v>
      </c>
      <c r="D235" s="31">
        <v>25</v>
      </c>
      <c r="E235" s="78"/>
      <c r="F235" s="45">
        <v>42.877099999999999</v>
      </c>
      <c r="G235" s="45">
        <v>48.137900000000002</v>
      </c>
      <c r="H235" s="45">
        <v>47.290700000000001</v>
      </c>
      <c r="I235" s="79"/>
      <c r="J235" s="79"/>
      <c r="K235" s="80"/>
      <c r="L235" s="29"/>
      <c r="M235" s="78"/>
      <c r="N235" s="45">
        <v>42.874299999999998</v>
      </c>
      <c r="O235" s="45">
        <v>48.128300000000003</v>
      </c>
      <c r="P235" s="45">
        <v>47.273600000000002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2.8000000000005798E-3</v>
      </c>
      <c r="AE235" s="45">
        <f t="shared" si="13"/>
        <v>9.5999999999989427E-3</v>
      </c>
      <c r="AF235" s="45">
        <f t="shared" si="13"/>
        <v>1.7099999999999227E-2</v>
      </c>
      <c r="AG235" s="79"/>
      <c r="AH235" s="79"/>
      <c r="AI235" s="80"/>
    </row>
    <row r="236" spans="2:35" ht="12" x14ac:dyDescent="0.2">
      <c r="B236" s="36"/>
      <c r="C236" s="29"/>
      <c r="D236" s="32">
        <v>30</v>
      </c>
      <c r="E236" s="70"/>
      <c r="F236" s="46">
        <v>41.710999999999999</v>
      </c>
      <c r="G236" s="46">
        <v>46.988599999999998</v>
      </c>
      <c r="H236" s="46">
        <v>46.509900000000002</v>
      </c>
      <c r="I236" s="66"/>
      <c r="J236" s="66"/>
      <c r="K236" s="67"/>
      <c r="L236" s="29"/>
      <c r="M236" s="70"/>
      <c r="N236" s="46">
        <v>41.708799999999997</v>
      </c>
      <c r="O236" s="46">
        <v>47.003900000000002</v>
      </c>
      <c r="P236" s="46">
        <v>46.523000000000003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2.2000000000019782E-3</v>
      </c>
      <c r="AE236" s="46">
        <f t="shared" si="13"/>
        <v>-1.5300000000003422E-2</v>
      </c>
      <c r="AF236" s="46">
        <f t="shared" si="13"/>
        <v>-1.3100000000001444E-2</v>
      </c>
      <c r="AG236" s="66"/>
      <c r="AH236" s="66"/>
      <c r="AI236" s="67"/>
    </row>
    <row r="237" spans="2:35" ht="12" x14ac:dyDescent="0.2">
      <c r="B237" s="36"/>
      <c r="C237" s="29"/>
      <c r="D237" s="32">
        <v>35</v>
      </c>
      <c r="E237" s="70"/>
      <c r="F237" s="46">
        <v>40.122100000000003</v>
      </c>
      <c r="G237" s="46">
        <v>45.786200000000001</v>
      </c>
      <c r="H237" s="46">
        <v>45.580500000000001</v>
      </c>
      <c r="I237" s="66"/>
      <c r="J237" s="66"/>
      <c r="K237" s="67"/>
      <c r="L237" s="29"/>
      <c r="M237" s="70"/>
      <c r="N237" s="46">
        <v>40.1282</v>
      </c>
      <c r="O237" s="46">
        <v>45.792999999999999</v>
      </c>
      <c r="P237" s="46">
        <v>45.5715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-6.0999999999964416E-3</v>
      </c>
      <c r="AE237" s="46">
        <f t="shared" si="13"/>
        <v>-6.7999999999983629E-3</v>
      </c>
      <c r="AF237" s="46">
        <f t="shared" si="13"/>
        <v>9.0000000000003411E-3</v>
      </c>
      <c r="AG237" s="66"/>
      <c r="AH237" s="66"/>
      <c r="AI237" s="67"/>
    </row>
    <row r="238" spans="2:35" ht="12.75" thickBot="1" x14ac:dyDescent="0.25">
      <c r="B238" s="36"/>
      <c r="C238" s="53"/>
      <c r="D238" s="71">
        <v>40</v>
      </c>
      <c r="E238" s="81"/>
      <c r="F238" s="72">
        <v>38.197899999999997</v>
      </c>
      <c r="G238" s="72">
        <v>44.868400000000001</v>
      </c>
      <c r="H238" s="72">
        <v>44.435400000000001</v>
      </c>
      <c r="I238" s="68"/>
      <c r="J238" s="68"/>
      <c r="K238" s="69"/>
      <c r="L238" s="29"/>
      <c r="M238" s="81"/>
      <c r="N238" s="72">
        <v>38.200600000000001</v>
      </c>
      <c r="O238" s="72">
        <v>44.862699999999997</v>
      </c>
      <c r="P238" s="72">
        <v>44.436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-2.7000000000043656E-3</v>
      </c>
      <c r="AE238" s="72">
        <f t="shared" si="13"/>
        <v>5.7000000000044793E-3</v>
      </c>
      <c r="AF238" s="72">
        <f t="shared" si="13"/>
        <v>-5.9999999999860165E-4</v>
      </c>
      <c r="AG238" s="68"/>
      <c r="AH238" s="68"/>
      <c r="AI238" s="69"/>
    </row>
    <row r="239" spans="2:35" ht="12" x14ac:dyDescent="0.2">
      <c r="B239" s="36"/>
      <c r="C239" s="29" t="s">
        <v>48</v>
      </c>
      <c r="D239" s="32">
        <v>25</v>
      </c>
      <c r="E239" s="70"/>
      <c r="F239" s="45">
        <v>43.595599999999997</v>
      </c>
      <c r="G239" s="45">
        <v>49.047499999999999</v>
      </c>
      <c r="H239" s="45">
        <v>48.475700000000003</v>
      </c>
      <c r="I239" s="66"/>
      <c r="J239" s="66"/>
      <c r="K239" s="67"/>
      <c r="L239" s="29"/>
      <c r="M239" s="70"/>
      <c r="N239" s="45">
        <v>43.598500000000001</v>
      </c>
      <c r="O239" s="45">
        <v>49.041200000000003</v>
      </c>
      <c r="P239" s="45">
        <v>48.450499999999998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-2.9000000000038995E-3</v>
      </c>
      <c r="AE239" s="45">
        <f t="shared" si="13"/>
        <v>6.2999999999959755E-3</v>
      </c>
      <c r="AF239" s="45">
        <f t="shared" si="13"/>
        <v>2.5200000000005218E-2</v>
      </c>
      <c r="AG239" s="66"/>
      <c r="AH239" s="66"/>
      <c r="AI239" s="67"/>
    </row>
    <row r="240" spans="2:35" ht="12" x14ac:dyDescent="0.2">
      <c r="B240" s="36"/>
      <c r="C240" s="29"/>
      <c r="D240" s="32">
        <v>30</v>
      </c>
      <c r="E240" s="70"/>
      <c r="F240" s="46">
        <v>42.2956</v>
      </c>
      <c r="G240" s="46">
        <v>47.850700000000003</v>
      </c>
      <c r="H240" s="46">
        <v>47.505600000000001</v>
      </c>
      <c r="I240" s="66"/>
      <c r="J240" s="66"/>
      <c r="K240" s="67"/>
      <c r="L240" s="29"/>
      <c r="M240" s="70"/>
      <c r="N240" s="46">
        <v>42.2913</v>
      </c>
      <c r="O240" s="46">
        <v>47.8553</v>
      </c>
      <c r="P240" s="46">
        <v>47.525599999999997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4.3000000000006366E-3</v>
      </c>
      <c r="AE240" s="46">
        <f t="shared" si="13"/>
        <v>-4.5999999999963848E-3</v>
      </c>
      <c r="AF240" s="46">
        <f t="shared" si="13"/>
        <v>-1.9999999999996021E-2</v>
      </c>
      <c r="AG240" s="66"/>
      <c r="AH240" s="66"/>
      <c r="AI240" s="67"/>
    </row>
    <row r="241" spans="2:35" ht="12" x14ac:dyDescent="0.2">
      <c r="B241" s="36"/>
      <c r="C241" s="29"/>
      <c r="D241" s="32">
        <v>35</v>
      </c>
      <c r="E241" s="70"/>
      <c r="F241" s="46">
        <v>40.5929</v>
      </c>
      <c r="G241" s="46">
        <v>46.476100000000002</v>
      </c>
      <c r="H241" s="46">
        <v>46.256500000000003</v>
      </c>
      <c r="I241" s="66"/>
      <c r="J241" s="66"/>
      <c r="K241" s="67"/>
      <c r="L241" s="29"/>
      <c r="M241" s="70"/>
      <c r="N241" s="46">
        <v>40.587299999999999</v>
      </c>
      <c r="O241" s="46">
        <v>46.480200000000004</v>
      </c>
      <c r="P241" s="46">
        <v>46.255499999999998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5.6000000000011596E-3</v>
      </c>
      <c r="AE241" s="46">
        <f t="shared" si="13"/>
        <v>-4.1000000000011028E-3</v>
      </c>
      <c r="AF241" s="46">
        <f t="shared" si="13"/>
        <v>1.0000000000047748E-3</v>
      </c>
      <c r="AG241" s="66"/>
      <c r="AH241" s="66"/>
      <c r="AI241" s="67"/>
    </row>
    <row r="242" spans="2:35" ht="12.75" thickBot="1" x14ac:dyDescent="0.25">
      <c r="B242" s="36"/>
      <c r="C242" s="53"/>
      <c r="D242" s="71">
        <v>40</v>
      </c>
      <c r="E242" s="81"/>
      <c r="F242" s="46">
        <v>38.554299999999998</v>
      </c>
      <c r="G242" s="72">
        <v>45.321100000000001</v>
      </c>
      <c r="H242" s="72">
        <v>44.982199999999999</v>
      </c>
      <c r="I242" s="68"/>
      <c r="J242" s="68"/>
      <c r="K242" s="69"/>
      <c r="L242" s="29"/>
      <c r="M242" s="81"/>
      <c r="N242" s="46">
        <v>38.555100000000003</v>
      </c>
      <c r="O242" s="72">
        <v>45.3245</v>
      </c>
      <c r="P242" s="72">
        <v>44.982500000000002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-8.0000000000524096E-4</v>
      </c>
      <c r="AE242" s="46">
        <f t="shared" si="13"/>
        <v>-3.3999999999991815E-3</v>
      </c>
      <c r="AF242" s="46">
        <f t="shared" si="13"/>
        <v>-3.0000000000285354E-4</v>
      </c>
      <c r="AG242" s="68"/>
      <c r="AH242" s="68"/>
      <c r="AI242" s="69"/>
    </row>
    <row r="243" spans="2:35" ht="12" x14ac:dyDescent="0.2">
      <c r="B243" s="36"/>
      <c r="C243" s="29" t="s">
        <v>49</v>
      </c>
      <c r="D243" s="32">
        <v>25</v>
      </c>
      <c r="E243" s="70"/>
      <c r="F243" s="45">
        <v>43.147300000000001</v>
      </c>
      <c r="G243" s="45">
        <v>49.245100000000001</v>
      </c>
      <c r="H243" s="45">
        <v>48.791899999999998</v>
      </c>
      <c r="I243" s="66"/>
      <c r="J243" s="66"/>
      <c r="K243" s="67"/>
      <c r="L243" s="29"/>
      <c r="M243" s="70"/>
      <c r="N243" s="45">
        <v>43.1464</v>
      </c>
      <c r="O243" s="45">
        <v>49.242199999999997</v>
      </c>
      <c r="P243" s="45">
        <v>48.7866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9.0000000000145519E-4</v>
      </c>
      <c r="AE243" s="45">
        <f t="shared" si="13"/>
        <v>2.9000000000038995E-3</v>
      </c>
      <c r="AF243" s="45">
        <f t="shared" si="13"/>
        <v>5.2999999999983061E-3</v>
      </c>
      <c r="AG243" s="66"/>
      <c r="AH243" s="66"/>
      <c r="AI243" s="67"/>
    </row>
    <row r="244" spans="2:35" ht="12" x14ac:dyDescent="0.2">
      <c r="B244" s="36"/>
      <c r="C244" s="29"/>
      <c r="D244" s="32">
        <v>30</v>
      </c>
      <c r="E244" s="70"/>
      <c r="F244" s="46">
        <v>42.003999999999998</v>
      </c>
      <c r="G244" s="46">
        <v>48.228000000000002</v>
      </c>
      <c r="H244" s="46">
        <v>47.9131</v>
      </c>
      <c r="I244" s="66"/>
      <c r="J244" s="66"/>
      <c r="K244" s="67"/>
      <c r="L244" s="29"/>
      <c r="M244" s="70"/>
      <c r="N244" s="46">
        <v>41.999099999999999</v>
      </c>
      <c r="O244" s="46">
        <v>48.225700000000003</v>
      </c>
      <c r="P244" s="46">
        <v>47.9133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4.8999999999992383E-3</v>
      </c>
      <c r="AE244" s="46">
        <f t="shared" si="13"/>
        <v>2.2999999999981924E-3</v>
      </c>
      <c r="AF244" s="46">
        <f t="shared" si="13"/>
        <v>-1.9999999999953388E-4</v>
      </c>
      <c r="AG244" s="66"/>
      <c r="AH244" s="66"/>
      <c r="AI244" s="67"/>
    </row>
    <row r="245" spans="2:35" ht="12" x14ac:dyDescent="0.2">
      <c r="B245" s="36"/>
      <c r="C245" s="29"/>
      <c r="D245" s="32">
        <v>35</v>
      </c>
      <c r="E245" s="70"/>
      <c r="F245" s="46">
        <v>40.429000000000002</v>
      </c>
      <c r="G245" s="46">
        <v>46.756799999999998</v>
      </c>
      <c r="H245" s="46">
        <v>46.607799999999997</v>
      </c>
      <c r="I245" s="66"/>
      <c r="J245" s="66"/>
      <c r="K245" s="67"/>
      <c r="L245" s="29"/>
      <c r="M245" s="70"/>
      <c r="N245" s="46">
        <v>40.419899999999998</v>
      </c>
      <c r="O245" s="46">
        <v>46.756700000000002</v>
      </c>
      <c r="P245" s="46">
        <v>46.605600000000003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9.1000000000036607E-3</v>
      </c>
      <c r="AE245" s="46">
        <f t="shared" si="13"/>
        <v>9.9999999996214228E-5</v>
      </c>
      <c r="AF245" s="46">
        <f t="shared" si="13"/>
        <v>2.1999999999948727E-3</v>
      </c>
      <c r="AG245" s="66"/>
      <c r="AH245" s="66"/>
      <c r="AI245" s="67"/>
    </row>
    <row r="246" spans="2:35" ht="12.75" thickBot="1" x14ac:dyDescent="0.25">
      <c r="B246" s="36"/>
      <c r="C246" s="53"/>
      <c r="D246" s="71">
        <v>40</v>
      </c>
      <c r="E246" s="81"/>
      <c r="F246" s="46">
        <v>38.5137</v>
      </c>
      <c r="G246" s="72">
        <v>45.5884</v>
      </c>
      <c r="H246" s="72">
        <v>45.432400000000001</v>
      </c>
      <c r="I246" s="68"/>
      <c r="J246" s="68"/>
      <c r="K246" s="69"/>
      <c r="L246" s="29"/>
      <c r="M246" s="81"/>
      <c r="N246" s="46">
        <v>38.512999999999998</v>
      </c>
      <c r="O246" s="72">
        <v>45.585299999999997</v>
      </c>
      <c r="P246" s="72">
        <v>45.430700000000002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7.0000000000192131E-4</v>
      </c>
      <c r="AE246" s="46">
        <f t="shared" si="13"/>
        <v>3.1000000000034333E-3</v>
      </c>
      <c r="AF246" s="46">
        <f t="shared" si="13"/>
        <v>1.6999999999995907E-3</v>
      </c>
      <c r="AG246" s="68"/>
      <c r="AH246" s="68"/>
      <c r="AI246" s="69"/>
    </row>
    <row r="247" spans="2:35" ht="12" x14ac:dyDescent="0.2">
      <c r="B247" s="36"/>
      <c r="C247" s="29" t="s">
        <v>50</v>
      </c>
      <c r="D247" s="32">
        <v>25</v>
      </c>
      <c r="E247" s="70"/>
      <c r="F247" s="45">
        <v>43.262599999999999</v>
      </c>
      <c r="G247" s="45">
        <v>49.115900000000003</v>
      </c>
      <c r="H247" s="45">
        <v>49.013500000000001</v>
      </c>
      <c r="I247" s="66"/>
      <c r="J247" s="66"/>
      <c r="K247" s="67"/>
      <c r="L247" s="29"/>
      <c r="M247" s="70"/>
      <c r="N247" s="45">
        <v>43.259500000000003</v>
      </c>
      <c r="O247" s="45">
        <v>49.113399999999999</v>
      </c>
      <c r="P247" s="45">
        <v>49.014899999999997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3.0999999999963279E-3</v>
      </c>
      <c r="AE247" s="45">
        <f t="shared" si="13"/>
        <v>2.5000000000048317E-3</v>
      </c>
      <c r="AF247" s="45">
        <f t="shared" si="13"/>
        <v>-1.3999999999967372E-3</v>
      </c>
      <c r="AG247" s="66"/>
      <c r="AH247" s="66"/>
      <c r="AI247" s="67"/>
    </row>
    <row r="248" spans="2:35" ht="12" x14ac:dyDescent="0.2">
      <c r="B248" s="36"/>
      <c r="C248" s="29"/>
      <c r="D248" s="32">
        <v>30</v>
      </c>
      <c r="E248" s="70"/>
      <c r="F248" s="46">
        <v>42.113199999999999</v>
      </c>
      <c r="G248" s="46">
        <v>48.147399999999998</v>
      </c>
      <c r="H248" s="46">
        <v>48.118499999999997</v>
      </c>
      <c r="I248" s="66"/>
      <c r="J248" s="66"/>
      <c r="K248" s="67"/>
      <c r="L248" s="29"/>
      <c r="M248" s="70"/>
      <c r="N248" s="46">
        <v>42.116300000000003</v>
      </c>
      <c r="O248" s="46">
        <v>48.149000000000001</v>
      </c>
      <c r="P248" s="46">
        <v>48.117699999999999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-3.1000000000034333E-3</v>
      </c>
      <c r="AE248" s="46">
        <f t="shared" si="13"/>
        <v>-1.6000000000033765E-3</v>
      </c>
      <c r="AF248" s="46">
        <f t="shared" si="13"/>
        <v>7.9999999999813554E-4</v>
      </c>
      <c r="AG248" s="66"/>
      <c r="AH248" s="66"/>
      <c r="AI248" s="67"/>
    </row>
    <row r="249" spans="2:35" ht="12" x14ac:dyDescent="0.2">
      <c r="B249" s="36"/>
      <c r="C249" s="29"/>
      <c r="D249" s="32">
        <v>35</v>
      </c>
      <c r="E249" s="70"/>
      <c r="F249" s="46">
        <v>40.536099999999998</v>
      </c>
      <c r="G249" s="46">
        <v>46.755200000000002</v>
      </c>
      <c r="H249" s="46">
        <v>46.761000000000003</v>
      </c>
      <c r="I249" s="66"/>
      <c r="J249" s="66"/>
      <c r="K249" s="67"/>
      <c r="L249" s="29"/>
      <c r="M249" s="70"/>
      <c r="N249" s="46">
        <v>40.539400000000001</v>
      </c>
      <c r="O249" s="46">
        <v>46.753300000000003</v>
      </c>
      <c r="P249" s="46">
        <v>46.760199999999998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-3.3000000000029672E-3</v>
      </c>
      <c r="AE249" s="46">
        <f t="shared" si="13"/>
        <v>1.8999999999991246E-3</v>
      </c>
      <c r="AF249" s="46">
        <f t="shared" si="13"/>
        <v>8.0000000000524096E-4</v>
      </c>
      <c r="AG249" s="66"/>
      <c r="AH249" s="66"/>
      <c r="AI249" s="67"/>
    </row>
    <row r="250" spans="2:35" ht="12.75" thickBot="1" x14ac:dyDescent="0.25">
      <c r="B250" s="36"/>
      <c r="C250" s="53"/>
      <c r="D250" s="71">
        <v>40</v>
      </c>
      <c r="E250" s="81"/>
      <c r="F250" s="46">
        <v>38.594299999999997</v>
      </c>
      <c r="G250" s="72">
        <v>45.625</v>
      </c>
      <c r="H250" s="72">
        <v>45.552399999999999</v>
      </c>
      <c r="I250" s="68"/>
      <c r="J250" s="68"/>
      <c r="K250" s="69"/>
      <c r="L250" s="29"/>
      <c r="M250" s="81"/>
      <c r="N250" s="46">
        <v>38.595599999999997</v>
      </c>
      <c r="O250" s="72">
        <v>45.627200000000002</v>
      </c>
      <c r="P250" s="72">
        <v>45.551600000000001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-1.300000000000523E-3</v>
      </c>
      <c r="AE250" s="46">
        <f t="shared" si="13"/>
        <v>-2.2000000000019782E-3</v>
      </c>
      <c r="AF250" s="46">
        <f t="shared" si="13"/>
        <v>7.9999999999813554E-4</v>
      </c>
      <c r="AG250" s="68"/>
      <c r="AH250" s="68"/>
      <c r="AI250" s="69"/>
    </row>
    <row r="251" spans="2:35" ht="12" x14ac:dyDescent="0.2">
      <c r="B251" s="36"/>
      <c r="C251" s="29" t="s">
        <v>51</v>
      </c>
      <c r="D251" s="32">
        <v>25</v>
      </c>
      <c r="E251" s="70"/>
      <c r="F251" s="45">
        <v>43.726900000000001</v>
      </c>
      <c r="G251" s="45">
        <v>48.833199999999998</v>
      </c>
      <c r="H251" s="45">
        <v>49.201900000000002</v>
      </c>
      <c r="I251" s="66"/>
      <c r="J251" s="66"/>
      <c r="K251" s="67"/>
      <c r="L251" s="29"/>
      <c r="M251" s="70"/>
      <c r="N251" s="45">
        <v>43.735799999999998</v>
      </c>
      <c r="O251" s="45">
        <v>48.824100000000001</v>
      </c>
      <c r="P251" s="45">
        <v>49.185499999999998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-8.8999999999970214E-3</v>
      </c>
      <c r="AE251" s="45">
        <f t="shared" si="13"/>
        <v>9.0999999999965553E-3</v>
      </c>
      <c r="AF251" s="45">
        <f t="shared" si="13"/>
        <v>1.6400000000004411E-2</v>
      </c>
      <c r="AG251" s="66"/>
      <c r="AH251" s="66"/>
      <c r="AI251" s="67"/>
    </row>
    <row r="252" spans="2:35" ht="12" x14ac:dyDescent="0.2">
      <c r="B252" s="36"/>
      <c r="C252" s="29"/>
      <c r="D252" s="32">
        <v>30</v>
      </c>
      <c r="E252" s="70"/>
      <c r="F252" s="46">
        <v>42.469099999999997</v>
      </c>
      <c r="G252" s="46">
        <v>47.6584</v>
      </c>
      <c r="H252" s="46">
        <v>48.038699999999999</v>
      </c>
      <c r="I252" s="66"/>
      <c r="J252" s="66"/>
      <c r="K252" s="67"/>
      <c r="L252" s="29"/>
      <c r="M252" s="70"/>
      <c r="N252" s="46">
        <v>42.470999999999997</v>
      </c>
      <c r="O252" s="46">
        <v>47.656100000000002</v>
      </c>
      <c r="P252" s="46">
        <v>48.030700000000003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-1.8999999999991246E-3</v>
      </c>
      <c r="AE252" s="46">
        <f t="shared" si="13"/>
        <v>2.2999999999981924E-3</v>
      </c>
      <c r="AF252" s="46">
        <f t="shared" si="13"/>
        <v>7.9999999999955662E-3</v>
      </c>
      <c r="AG252" s="66"/>
      <c r="AH252" s="66"/>
      <c r="AI252" s="67"/>
    </row>
    <row r="253" spans="2:35" ht="12" x14ac:dyDescent="0.2">
      <c r="B253" s="36"/>
      <c r="C253" s="29"/>
      <c r="D253" s="32">
        <v>35</v>
      </c>
      <c r="E253" s="70"/>
      <c r="F253" s="46">
        <v>40.7926</v>
      </c>
      <c r="G253" s="46">
        <v>46.398499999999999</v>
      </c>
      <c r="H253" s="46">
        <v>46.738100000000003</v>
      </c>
      <c r="I253" s="66"/>
      <c r="J253" s="66"/>
      <c r="K253" s="67"/>
      <c r="L253" s="29"/>
      <c r="M253" s="70"/>
      <c r="N253" s="46">
        <v>40.800899999999999</v>
      </c>
      <c r="O253" s="46">
        <v>46.396700000000003</v>
      </c>
      <c r="P253" s="46">
        <v>46.733899999999998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-8.2999999999984198E-3</v>
      </c>
      <c r="AE253" s="46">
        <f t="shared" si="13"/>
        <v>1.799999999995805E-3</v>
      </c>
      <c r="AF253" s="46">
        <f t="shared" si="13"/>
        <v>4.2000000000044224E-3</v>
      </c>
      <c r="AG253" s="66"/>
      <c r="AH253" s="66"/>
      <c r="AI253" s="67"/>
    </row>
    <row r="254" spans="2:35" ht="12.75" thickBot="1" x14ac:dyDescent="0.25">
      <c r="B254" s="36"/>
      <c r="C254" s="53"/>
      <c r="D254" s="71">
        <v>40</v>
      </c>
      <c r="E254" s="81"/>
      <c r="F254" s="72">
        <v>38.797699999999999</v>
      </c>
      <c r="G254" s="72">
        <v>45.166899999999998</v>
      </c>
      <c r="H254" s="72">
        <v>45.429200000000002</v>
      </c>
      <c r="I254" s="68"/>
      <c r="J254" s="68"/>
      <c r="K254" s="69"/>
      <c r="L254" s="29"/>
      <c r="M254" s="81"/>
      <c r="N254" s="72">
        <v>38.797699999999999</v>
      </c>
      <c r="O254" s="72">
        <v>45.170699999999997</v>
      </c>
      <c r="P254" s="72">
        <v>45.431199999999997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0</v>
      </c>
      <c r="AE254" s="72">
        <f t="shared" si="13"/>
        <v>-3.7999999999982492E-3</v>
      </c>
      <c r="AF254" s="72">
        <f t="shared" si="13"/>
        <v>-1.9999999999953388E-3</v>
      </c>
      <c r="AG254" s="68"/>
      <c r="AH254" s="68"/>
      <c r="AI254" s="69"/>
    </row>
    <row r="255" spans="2:35" ht="12" x14ac:dyDescent="0.2">
      <c r="B255" s="36"/>
      <c r="C255" s="29" t="s">
        <v>52</v>
      </c>
      <c r="D255" s="32">
        <v>25</v>
      </c>
      <c r="E255" s="70"/>
      <c r="F255" s="45">
        <v>42.9236</v>
      </c>
      <c r="G255" s="45">
        <v>47.613700000000001</v>
      </c>
      <c r="H255" s="45">
        <v>48.142099999999999</v>
      </c>
      <c r="I255" s="66"/>
      <c r="J255" s="66"/>
      <c r="K255" s="67"/>
      <c r="L255" s="29"/>
      <c r="M255" s="70"/>
      <c r="N255" s="45">
        <v>42.927300000000002</v>
      </c>
      <c r="O255" s="45">
        <v>47.600299999999997</v>
      </c>
      <c r="P255" s="45">
        <v>48.119500000000002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-3.700000000002035E-3</v>
      </c>
      <c r="AE255" s="45">
        <f t="shared" si="13"/>
        <v>1.3400000000004297E-2</v>
      </c>
      <c r="AF255" s="45">
        <f t="shared" si="13"/>
        <v>2.2599999999997067E-2</v>
      </c>
      <c r="AG255" s="45"/>
      <c r="AH255" s="66"/>
      <c r="AI255" s="67"/>
    </row>
    <row r="256" spans="2:35" ht="12" x14ac:dyDescent="0.2">
      <c r="B256" s="36"/>
      <c r="C256" s="29"/>
      <c r="D256" s="32">
        <v>30</v>
      </c>
      <c r="E256" s="70"/>
      <c r="F256" s="46">
        <v>41.818899999999999</v>
      </c>
      <c r="G256" s="46">
        <v>46.608499999999999</v>
      </c>
      <c r="H256" s="46">
        <v>47.030099999999997</v>
      </c>
      <c r="I256" s="66"/>
      <c r="J256" s="66"/>
      <c r="K256" s="67"/>
      <c r="L256" s="29"/>
      <c r="M256" s="70"/>
      <c r="N256" s="46">
        <v>41.815899999999999</v>
      </c>
      <c r="O256" s="46">
        <v>46.596899999999998</v>
      </c>
      <c r="P256" s="46">
        <v>47.025700000000001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3.0000000000001137E-3</v>
      </c>
      <c r="AE256" s="46">
        <f t="shared" si="13"/>
        <v>1.1600000000001387E-2</v>
      </c>
      <c r="AF256" s="46">
        <f t="shared" si="13"/>
        <v>4.3999999999968509E-3</v>
      </c>
      <c r="AG256" s="66"/>
      <c r="AH256" s="66"/>
      <c r="AI256" s="67"/>
    </row>
    <row r="257" spans="1:35" ht="12" x14ac:dyDescent="0.2">
      <c r="B257" s="36"/>
      <c r="C257" s="29"/>
      <c r="D257" s="32">
        <v>35</v>
      </c>
      <c r="E257" s="70"/>
      <c r="F257" s="46">
        <v>40.294199999999996</v>
      </c>
      <c r="G257" s="46">
        <v>45.661299999999997</v>
      </c>
      <c r="H257" s="46">
        <v>46.017499999999998</v>
      </c>
      <c r="I257" s="66"/>
      <c r="J257" s="66"/>
      <c r="K257" s="67"/>
      <c r="L257" s="29"/>
      <c r="M257" s="70"/>
      <c r="N257" s="46">
        <v>40.296300000000002</v>
      </c>
      <c r="O257" s="46">
        <v>45.657800000000002</v>
      </c>
      <c r="P257" s="46">
        <v>46.012999999999998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-2.1000000000057639E-3</v>
      </c>
      <c r="AE257" s="46">
        <f t="shared" si="13"/>
        <v>3.4999999999953957E-3</v>
      </c>
      <c r="AF257" s="46">
        <f t="shared" si="13"/>
        <v>4.5000000000001705E-3</v>
      </c>
      <c r="AG257" s="66"/>
      <c r="AH257" s="66"/>
      <c r="AI257" s="67"/>
    </row>
    <row r="258" spans="1:35" ht="12.75" thickBot="1" x14ac:dyDescent="0.25">
      <c r="B258" s="36"/>
      <c r="C258" s="53"/>
      <c r="D258" s="71">
        <v>40</v>
      </c>
      <c r="E258" s="81"/>
      <c r="F258" s="72">
        <v>38.436599999999999</v>
      </c>
      <c r="G258" s="72">
        <v>44.665500000000002</v>
      </c>
      <c r="H258" s="72">
        <v>44.820599999999999</v>
      </c>
      <c r="I258" s="68"/>
      <c r="J258" s="68"/>
      <c r="K258" s="69"/>
      <c r="L258" s="29"/>
      <c r="M258" s="81"/>
      <c r="N258" s="72">
        <v>38.436399999999999</v>
      </c>
      <c r="O258" s="72">
        <v>44.669899999999998</v>
      </c>
      <c r="P258" s="72">
        <v>44.819099999999999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1.9999999999953388E-4</v>
      </c>
      <c r="AE258" s="72">
        <f t="shared" si="13"/>
        <v>-4.3999999999968509E-3</v>
      </c>
      <c r="AF258" s="72">
        <f t="shared" si="13"/>
        <v>1.5000000000000568E-3</v>
      </c>
      <c r="AG258" s="68"/>
      <c r="AH258" s="68"/>
      <c r="AI258" s="69"/>
    </row>
    <row r="259" spans="1:35" ht="12" x14ac:dyDescent="0.2">
      <c r="B259" s="36"/>
      <c r="C259" s="29" t="s">
        <v>12</v>
      </c>
      <c r="D259" s="32">
        <v>25</v>
      </c>
      <c r="E259" s="45">
        <v>1495.7329999999999</v>
      </c>
      <c r="F259" s="70"/>
      <c r="G259" s="70"/>
      <c r="H259" s="70"/>
      <c r="I259" s="45">
        <v>35921.421999999999</v>
      </c>
      <c r="J259" s="45">
        <v>109.5</v>
      </c>
      <c r="K259" s="45">
        <v>691.17200000000003</v>
      </c>
      <c r="L259" s="29"/>
      <c r="M259" s="45">
        <v>1495.9880000000001</v>
      </c>
      <c r="N259" s="70"/>
      <c r="O259" s="70"/>
      <c r="P259" s="70"/>
      <c r="Q259" s="45">
        <v>35678.608999999997</v>
      </c>
      <c r="R259" s="45">
        <v>105.89100000000001</v>
      </c>
      <c r="S259" s="45">
        <v>691.625</v>
      </c>
      <c r="U259" s="8"/>
      <c r="V259" s="9"/>
      <c r="W259" s="10"/>
      <c r="X259" s="29"/>
      <c r="Y259" s="61">
        <f>GEOMEAN(Q259:Q262)/GEOMEAN(I259:I262)</f>
        <v>0.99749628765988485</v>
      </c>
      <c r="Z259" s="61">
        <f>GEOMEAN(R259:R262)/GEOMEAN(J259:J262)</f>
        <v>1.0216743346028487</v>
      </c>
      <c r="AA259" s="57">
        <f>GEOMEAN(S259:S262)/GEOMEAN(K259:K262)</f>
        <v>0.99337351413189579</v>
      </c>
      <c r="AC259" s="45">
        <f>E259 -M259</f>
        <v>-0.25500000000010914</v>
      </c>
      <c r="AD259" s="70"/>
      <c r="AE259" s="70"/>
      <c r="AF259" s="70"/>
      <c r="AG259" s="45">
        <f t="shared" ref="AG259:AI262" si="15">I259 -Q259</f>
        <v>242.81300000000192</v>
      </c>
      <c r="AH259" s="45">
        <f t="shared" si="15"/>
        <v>3.6089999999999947</v>
      </c>
      <c r="AI259" s="45">
        <f t="shared" si="15"/>
        <v>-0.45299999999997453</v>
      </c>
    </row>
    <row r="260" spans="1:35" ht="12" x14ac:dyDescent="0.2">
      <c r="B260" s="36"/>
      <c r="C260" s="29"/>
      <c r="D260" s="32">
        <v>30</v>
      </c>
      <c r="E260" s="46">
        <v>612.11</v>
      </c>
      <c r="F260" s="70"/>
      <c r="G260" s="70"/>
      <c r="H260" s="70"/>
      <c r="I260" s="46">
        <v>28585.796999999999</v>
      </c>
      <c r="J260" s="46">
        <v>98.686999999999998</v>
      </c>
      <c r="K260" s="46">
        <v>660.21900000000005</v>
      </c>
      <c r="L260" s="29"/>
      <c r="M260" s="46">
        <v>612.13199999999995</v>
      </c>
      <c r="N260" s="70"/>
      <c r="O260" s="70"/>
      <c r="P260" s="70"/>
      <c r="Q260" s="46">
        <v>28410.531999999999</v>
      </c>
      <c r="R260" s="46">
        <v>103.938</v>
      </c>
      <c r="S260" s="46">
        <v>700.29700000000003</v>
      </c>
      <c r="U260" s="41"/>
      <c r="V260" s="42"/>
      <c r="W260" s="43"/>
      <c r="X260" s="29"/>
      <c r="Y260" s="24"/>
      <c r="Z260" s="24"/>
      <c r="AA260" s="27"/>
      <c r="AC260" s="46">
        <f>E260 -M260</f>
        <v>-2.1999999999934516E-2</v>
      </c>
      <c r="AD260" s="70"/>
      <c r="AE260" s="70"/>
      <c r="AF260" s="70"/>
      <c r="AG260" s="46">
        <f t="shared" si="15"/>
        <v>175.26499999999942</v>
      </c>
      <c r="AH260" s="46">
        <f t="shared" si="15"/>
        <v>-5.2510000000000048</v>
      </c>
      <c r="AI260" s="46">
        <f t="shared" si="15"/>
        <v>-40.077999999999975</v>
      </c>
    </row>
    <row r="261" spans="1:35" ht="12" x14ac:dyDescent="0.2">
      <c r="B261" s="36"/>
      <c r="C261" s="29"/>
      <c r="D261" s="32">
        <v>35</v>
      </c>
      <c r="E261" s="46">
        <v>311.87700000000001</v>
      </c>
      <c r="F261" s="70"/>
      <c r="G261" s="70"/>
      <c r="H261" s="70"/>
      <c r="I261" s="46">
        <v>25213.64</v>
      </c>
      <c r="J261" s="46">
        <v>100.485</v>
      </c>
      <c r="K261" s="46">
        <v>697.70299999999997</v>
      </c>
      <c r="L261" s="29"/>
      <c r="M261" s="46">
        <v>311.685</v>
      </c>
      <c r="N261" s="70"/>
      <c r="O261" s="70"/>
      <c r="P261" s="70"/>
      <c r="Q261" s="46">
        <v>25210.641</v>
      </c>
      <c r="R261" s="46">
        <v>101.203</v>
      </c>
      <c r="S261" s="46">
        <v>701.21900000000005</v>
      </c>
      <c r="U261" s="17"/>
      <c r="V261" s="18"/>
      <c r="W261" s="19"/>
      <c r="X261" s="29"/>
      <c r="Y261" s="24"/>
      <c r="Z261" s="24"/>
      <c r="AA261" s="27"/>
      <c r="AC261" s="46">
        <f>E261 -M261</f>
        <v>0.19200000000000728</v>
      </c>
      <c r="AD261" s="70"/>
      <c r="AE261" s="70"/>
      <c r="AF261" s="70"/>
      <c r="AG261" s="46">
        <f t="shared" si="15"/>
        <v>2.9989999999997963</v>
      </c>
      <c r="AH261" s="46">
        <f t="shared" si="15"/>
        <v>-0.71800000000000352</v>
      </c>
      <c r="AI261" s="46">
        <f t="shared" si="15"/>
        <v>-3.5160000000000764</v>
      </c>
    </row>
    <row r="262" spans="1:35" ht="12.75" thickBot="1" x14ac:dyDescent="0.25">
      <c r="B262" s="52"/>
      <c r="C262" s="53"/>
      <c r="D262" s="71">
        <v>40</v>
      </c>
      <c r="E262" s="72">
        <v>173.386</v>
      </c>
      <c r="F262" s="81"/>
      <c r="G262" s="81"/>
      <c r="H262" s="81"/>
      <c r="I262" s="72">
        <v>23179.296999999999</v>
      </c>
      <c r="J262" s="72">
        <v>93.983999999999995</v>
      </c>
      <c r="K262" s="72">
        <v>818.23400000000004</v>
      </c>
      <c r="L262" s="29"/>
      <c r="M262" s="72">
        <v>173.46600000000001</v>
      </c>
      <c r="N262" s="81"/>
      <c r="O262" s="81"/>
      <c r="P262" s="81"/>
      <c r="Q262" s="72">
        <v>23249.5</v>
      </c>
      <c r="R262" s="72">
        <v>99.828000000000003</v>
      </c>
      <c r="S262" s="72">
        <v>746.90599999999995</v>
      </c>
      <c r="U262" s="85"/>
      <c r="V262" s="86"/>
      <c r="W262" s="87"/>
      <c r="X262" s="29"/>
      <c r="Y262" s="49"/>
      <c r="Z262" s="49"/>
      <c r="AA262" s="54"/>
      <c r="AC262" s="72">
        <f>E262 -M262</f>
        <v>-8.0000000000012506E-2</v>
      </c>
      <c r="AD262" s="81"/>
      <c r="AE262" s="81"/>
      <c r="AF262" s="81"/>
      <c r="AG262" s="72">
        <f t="shared" si="15"/>
        <v>-70.203000000001339</v>
      </c>
      <c r="AH262" s="72">
        <f t="shared" si="15"/>
        <v>-5.8440000000000083</v>
      </c>
      <c r="AI262" s="72">
        <f t="shared" si="15"/>
        <v>71.328000000000088</v>
      </c>
    </row>
    <row r="263" spans="1:35" ht="12" x14ac:dyDescent="0.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2440.5952000000002</v>
      </c>
      <c r="F263" s="45">
        <v>39.861800000000002</v>
      </c>
      <c r="G263" s="45">
        <v>46.748800000000003</v>
      </c>
      <c r="H263" s="45">
        <v>46.033200000000001</v>
      </c>
      <c r="I263" s="79"/>
      <c r="J263" s="79"/>
      <c r="K263" s="80"/>
      <c r="L263" s="29"/>
      <c r="M263" s="45">
        <v>2440.5952000000002</v>
      </c>
      <c r="N263" s="45">
        <v>39.861800000000002</v>
      </c>
      <c r="O263" s="45">
        <v>46.748800000000003</v>
      </c>
      <c r="P263" s="45">
        <v>46.033200000000001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 x14ac:dyDescent="0.2">
      <c r="B264" s="36"/>
      <c r="C264" s="29"/>
      <c r="D264" s="32">
        <v>30</v>
      </c>
      <c r="E264" s="46">
        <v>956.43600000000004</v>
      </c>
      <c r="F264" s="46">
        <v>37.902799999999999</v>
      </c>
      <c r="G264" s="46">
        <v>45.311</v>
      </c>
      <c r="H264" s="46">
        <v>44.550199999999997</v>
      </c>
      <c r="I264" s="66"/>
      <c r="J264" s="66"/>
      <c r="K264" s="67"/>
      <c r="L264" s="29"/>
      <c r="M264" s="46">
        <v>956.43600000000004</v>
      </c>
      <c r="N264" s="46">
        <v>37.902799999999999</v>
      </c>
      <c r="O264" s="46">
        <v>45.311</v>
      </c>
      <c r="P264" s="46">
        <v>44.550199999999997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 x14ac:dyDescent="0.2">
      <c r="B265" s="36"/>
      <c r="C265" s="29"/>
      <c r="D265" s="32">
        <v>35</v>
      </c>
      <c r="E265" s="46">
        <v>461.7792</v>
      </c>
      <c r="F265" s="46">
        <v>35.882399999999997</v>
      </c>
      <c r="G265" s="46">
        <v>43.554200000000002</v>
      </c>
      <c r="H265" s="46">
        <v>42.8249</v>
      </c>
      <c r="I265" s="66"/>
      <c r="J265" s="66"/>
      <c r="K265" s="67"/>
      <c r="L265" s="29"/>
      <c r="M265" s="46">
        <v>461.7792</v>
      </c>
      <c r="N265" s="46">
        <v>35.882399999999997</v>
      </c>
      <c r="O265" s="46">
        <v>43.554200000000002</v>
      </c>
      <c r="P265" s="46">
        <v>42.8249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 x14ac:dyDescent="0.25">
      <c r="B266" s="36"/>
      <c r="C266" s="29"/>
      <c r="D266" s="32">
        <v>40</v>
      </c>
      <c r="E266" s="46">
        <v>241.52879999999999</v>
      </c>
      <c r="F266" s="46">
        <v>33.765900000000002</v>
      </c>
      <c r="G266" s="46">
        <v>42.314300000000003</v>
      </c>
      <c r="H266" s="46">
        <v>41.622700000000002</v>
      </c>
      <c r="I266" s="66"/>
      <c r="J266" s="66"/>
      <c r="K266" s="67"/>
      <c r="L266" s="29"/>
      <c r="M266" s="46">
        <v>241.52879999999999</v>
      </c>
      <c r="N266" s="46">
        <v>33.765900000000002</v>
      </c>
      <c r="O266" s="46">
        <v>42.314300000000003</v>
      </c>
      <c r="P266" s="46">
        <v>41.622700000000002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 x14ac:dyDescent="0.2">
      <c r="B267" s="36"/>
      <c r="C267" s="28" t="s">
        <v>27</v>
      </c>
      <c r="D267" s="31">
        <v>25</v>
      </c>
      <c r="E267" s="45">
        <v>701.52080000000001</v>
      </c>
      <c r="F267" s="45">
        <v>38.980899999999998</v>
      </c>
      <c r="G267" s="45">
        <v>46.597499999999997</v>
      </c>
      <c r="H267" s="45">
        <v>44.730400000000003</v>
      </c>
      <c r="I267" s="79"/>
      <c r="J267" s="79"/>
      <c r="K267" s="80"/>
      <c r="L267" s="29"/>
      <c r="M267" s="45">
        <v>701.56</v>
      </c>
      <c r="N267" s="45">
        <v>38.981200000000001</v>
      </c>
      <c r="O267" s="45">
        <v>46.595300000000002</v>
      </c>
      <c r="P267" s="45">
        <v>44.730899999999998</v>
      </c>
      <c r="Q267" s="79"/>
      <c r="R267" s="79"/>
      <c r="S267" s="80"/>
      <c r="U267" s="8">
        <f>bdrate($E267:$E270,F267:F270,$M267:$M270,N267:N270)</f>
        <v>-9.4024030381245627E-4</v>
      </c>
      <c r="V267" s="9">
        <f>bdrate($E267:$E270,G267:G270,$M267:$M270,O267:O270)</f>
        <v>1.4078505940509078E-3</v>
      </c>
      <c r="W267" s="10">
        <f>bdrate($E267:$E270,H267:H270,$M267:$M270,P267:P270)</f>
        <v>-2.400846041467064E-4</v>
      </c>
      <c r="X267" s="29"/>
      <c r="Y267" s="24"/>
      <c r="Z267" s="24"/>
      <c r="AA267" s="27"/>
      <c r="AC267" s="45">
        <f t="shared" si="17"/>
        <v>-3.9199999999937063E-2</v>
      </c>
      <c r="AD267" s="45">
        <f t="shared" si="16"/>
        <v>-3.0000000000285354E-4</v>
      </c>
      <c r="AE267" s="45">
        <f t="shared" si="16"/>
        <v>2.1999999999948727E-3</v>
      </c>
      <c r="AF267" s="45">
        <f t="shared" si="16"/>
        <v>-4.99999999995282E-4</v>
      </c>
      <c r="AG267" s="79"/>
      <c r="AH267" s="79"/>
      <c r="AI267" s="80"/>
    </row>
    <row r="268" spans="1:35" ht="12" x14ac:dyDescent="0.2">
      <c r="B268" s="36"/>
      <c r="C268" s="29"/>
      <c r="D268" s="32">
        <v>30</v>
      </c>
      <c r="E268" s="46">
        <v>195.49359999999999</v>
      </c>
      <c r="F268" s="46">
        <v>37.1342</v>
      </c>
      <c r="G268" s="46">
        <v>45.168900000000001</v>
      </c>
      <c r="H268" s="46">
        <v>43.107900000000001</v>
      </c>
      <c r="I268" s="66"/>
      <c r="J268" s="66"/>
      <c r="K268" s="67"/>
      <c r="L268" s="29"/>
      <c r="M268" s="46">
        <v>195.49600000000001</v>
      </c>
      <c r="N268" s="46">
        <v>37.135100000000001</v>
      </c>
      <c r="O268" s="46">
        <v>45.163600000000002</v>
      </c>
      <c r="P268" s="46">
        <v>43.1083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-2.4000000000228283E-3</v>
      </c>
      <c r="AD268" s="46">
        <f t="shared" si="16"/>
        <v>-9.0000000000145519E-4</v>
      </c>
      <c r="AE268" s="46">
        <f t="shared" si="16"/>
        <v>5.2999999999983061E-3</v>
      </c>
      <c r="AF268" s="46">
        <f t="shared" si="16"/>
        <v>-3.9999999999906777E-4</v>
      </c>
      <c r="AG268" s="66"/>
      <c r="AH268" s="66"/>
      <c r="AI268" s="67"/>
    </row>
    <row r="269" spans="1:35" ht="12" x14ac:dyDescent="0.2">
      <c r="B269" s="36"/>
      <c r="C269" s="29"/>
      <c r="D269" s="32">
        <v>35</v>
      </c>
      <c r="E269" s="46">
        <v>75.284000000000006</v>
      </c>
      <c r="F269" s="46">
        <v>35.241100000000003</v>
      </c>
      <c r="G269" s="46">
        <v>43.6798</v>
      </c>
      <c r="H269" s="46">
        <v>41.822699999999998</v>
      </c>
      <c r="I269" s="66"/>
      <c r="J269" s="66"/>
      <c r="K269" s="67"/>
      <c r="L269" s="29"/>
      <c r="M269" s="46">
        <v>75.147999999999996</v>
      </c>
      <c r="N269" s="46">
        <v>35.241</v>
      </c>
      <c r="O269" s="46">
        <v>43.678699999999999</v>
      </c>
      <c r="P269" s="46">
        <v>41.820700000000002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0.13600000000000989</v>
      </c>
      <c r="AD269" s="46">
        <f t="shared" si="16"/>
        <v>1.0000000000331966E-4</v>
      </c>
      <c r="AE269" s="46">
        <f t="shared" si="16"/>
        <v>1.1000000000009891E-3</v>
      </c>
      <c r="AF269" s="46">
        <f t="shared" si="16"/>
        <v>1.9999999999953388E-3</v>
      </c>
      <c r="AG269" s="66"/>
      <c r="AH269" s="66"/>
      <c r="AI269" s="67"/>
    </row>
    <row r="270" spans="1:35" ht="12.75" thickBot="1" x14ac:dyDescent="0.25">
      <c r="B270" s="36"/>
      <c r="C270" s="29"/>
      <c r="D270" s="32">
        <v>40</v>
      </c>
      <c r="E270" s="46">
        <v>33.458399999999997</v>
      </c>
      <c r="F270" s="46">
        <v>33.262900000000002</v>
      </c>
      <c r="G270" s="46">
        <v>42.492699999999999</v>
      </c>
      <c r="H270" s="46">
        <v>40.880299999999998</v>
      </c>
      <c r="I270" s="66"/>
      <c r="J270" s="66"/>
      <c r="K270" s="67"/>
      <c r="L270" s="29"/>
      <c r="M270" s="46">
        <v>33.441600000000001</v>
      </c>
      <c r="N270" s="46">
        <v>33.262599999999999</v>
      </c>
      <c r="O270" s="46">
        <v>42.493600000000001</v>
      </c>
      <c r="P270" s="46">
        <v>40.879600000000003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1.6799999999996373E-2</v>
      </c>
      <c r="AD270" s="46">
        <f t="shared" si="16"/>
        <v>3.0000000000285354E-4</v>
      </c>
      <c r="AE270" s="46">
        <f t="shared" si="16"/>
        <v>-9.0000000000145519E-4</v>
      </c>
      <c r="AF270" s="46">
        <f t="shared" si="16"/>
        <v>6.9999999999481588E-4</v>
      </c>
      <c r="AG270" s="66"/>
      <c r="AH270" s="66"/>
      <c r="AI270" s="67"/>
    </row>
    <row r="271" spans="1:35" ht="12" x14ac:dyDescent="0.2">
      <c r="B271" s="36"/>
      <c r="C271" s="28" t="s">
        <v>28</v>
      </c>
      <c r="D271" s="31">
        <v>25</v>
      </c>
      <c r="E271" s="45">
        <v>691.14639999999997</v>
      </c>
      <c r="F271" s="45">
        <v>38.912199999999999</v>
      </c>
      <c r="G271" s="45">
        <v>46.419600000000003</v>
      </c>
      <c r="H271" s="45">
        <v>46.1282</v>
      </c>
      <c r="I271" s="79"/>
      <c r="J271" s="79"/>
      <c r="K271" s="80"/>
      <c r="L271" s="29"/>
      <c r="M271" s="45">
        <v>691.4</v>
      </c>
      <c r="N271" s="45">
        <v>38.912700000000001</v>
      </c>
      <c r="O271" s="45">
        <v>46.420200000000001</v>
      </c>
      <c r="P271" s="45">
        <v>46.127899999999997</v>
      </c>
      <c r="Q271" s="79"/>
      <c r="R271" s="79"/>
      <c r="S271" s="80"/>
      <c r="U271" s="8">
        <f>bdrate($E271:$E274,F271:F274,$M271:$M274,N271:N274)</f>
        <v>2.4423481880275766E-4</v>
      </c>
      <c r="V271" s="9">
        <f>bdrate($E271:$E274,G271:G274,$M271:$M274,O271:O274)</f>
        <v>4.0986982684976248E-4</v>
      </c>
      <c r="W271" s="10">
        <f>bdrate($E271:$E274,H271:H274,$M271:$M274,P271:P274)</f>
        <v>1.1907850412546939E-3</v>
      </c>
      <c r="X271" s="29"/>
      <c r="Y271" s="24"/>
      <c r="Z271" s="24"/>
      <c r="AA271" s="27"/>
      <c r="AC271" s="45">
        <f t="shared" si="17"/>
        <v>-0.25360000000000582</v>
      </c>
      <c r="AD271" s="45">
        <f t="shared" si="16"/>
        <v>-5.0000000000238742E-4</v>
      </c>
      <c r="AE271" s="45">
        <f t="shared" si="16"/>
        <v>-5.9999999999860165E-4</v>
      </c>
      <c r="AF271" s="45">
        <f t="shared" si="16"/>
        <v>3.0000000000285354E-4</v>
      </c>
      <c r="AG271" s="79"/>
      <c r="AH271" s="79"/>
      <c r="AI271" s="80"/>
    </row>
    <row r="272" spans="1:35" ht="12" x14ac:dyDescent="0.2">
      <c r="B272" s="36"/>
      <c r="C272" s="29"/>
      <c r="D272" s="32">
        <v>30</v>
      </c>
      <c r="E272" s="46">
        <v>193.25919999999999</v>
      </c>
      <c r="F272" s="46">
        <v>36.948799999999999</v>
      </c>
      <c r="G272" s="46">
        <v>44.990699999999997</v>
      </c>
      <c r="H272" s="46">
        <v>44.715600000000002</v>
      </c>
      <c r="I272" s="66"/>
      <c r="J272" s="66"/>
      <c r="K272" s="67"/>
      <c r="L272" s="29"/>
      <c r="M272" s="46">
        <v>193.404</v>
      </c>
      <c r="N272" s="46">
        <v>36.950000000000003</v>
      </c>
      <c r="O272" s="46">
        <v>44.990900000000003</v>
      </c>
      <c r="P272" s="46">
        <v>44.714700000000001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-0.14480000000000359</v>
      </c>
      <c r="AD272" s="46">
        <f t="shared" si="16"/>
        <v>-1.2000000000043087E-3</v>
      </c>
      <c r="AE272" s="46">
        <f t="shared" si="16"/>
        <v>-2.0000000000663931E-4</v>
      </c>
      <c r="AF272" s="46">
        <f t="shared" si="16"/>
        <v>9.0000000000145519E-4</v>
      </c>
      <c r="AG272" s="66"/>
      <c r="AH272" s="66"/>
      <c r="AI272" s="67"/>
    </row>
    <row r="273" spans="2:35" ht="12" x14ac:dyDescent="0.2">
      <c r="B273" s="36"/>
      <c r="C273" s="29"/>
      <c r="D273" s="32">
        <v>35</v>
      </c>
      <c r="E273" s="46">
        <v>73.900000000000006</v>
      </c>
      <c r="F273" s="46">
        <v>34.975099999999998</v>
      </c>
      <c r="G273" s="46">
        <v>43.486600000000003</v>
      </c>
      <c r="H273" s="46">
        <v>43.13</v>
      </c>
      <c r="I273" s="66"/>
      <c r="J273" s="66"/>
      <c r="K273" s="67"/>
      <c r="L273" s="29"/>
      <c r="M273" s="46">
        <v>73.953599999999994</v>
      </c>
      <c r="N273" s="46">
        <v>34.975200000000001</v>
      </c>
      <c r="O273" s="46">
        <v>43.486499999999999</v>
      </c>
      <c r="P273" s="46">
        <v>43.128300000000003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-5.3599999999988768E-2</v>
      </c>
      <c r="AD273" s="46">
        <f t="shared" si="16"/>
        <v>-1.0000000000331966E-4</v>
      </c>
      <c r="AE273" s="46">
        <f t="shared" si="16"/>
        <v>1.0000000000331966E-4</v>
      </c>
      <c r="AF273" s="46">
        <f t="shared" si="16"/>
        <v>1.6999999999995907E-3</v>
      </c>
      <c r="AG273" s="66"/>
      <c r="AH273" s="66"/>
      <c r="AI273" s="67"/>
    </row>
    <row r="274" spans="2:35" ht="12.75" thickBot="1" x14ac:dyDescent="0.25">
      <c r="B274" s="36"/>
      <c r="C274" s="53"/>
      <c r="D274" s="71">
        <v>40</v>
      </c>
      <c r="E274" s="72">
        <v>31.484000000000002</v>
      </c>
      <c r="F274" s="72">
        <v>32.951000000000001</v>
      </c>
      <c r="G274" s="72">
        <v>42.309600000000003</v>
      </c>
      <c r="H274" s="72">
        <v>41.9178</v>
      </c>
      <c r="I274" s="68"/>
      <c r="J274" s="68"/>
      <c r="K274" s="69"/>
      <c r="L274" s="29"/>
      <c r="M274" s="72">
        <v>31.4712</v>
      </c>
      <c r="N274" s="72">
        <v>32.950800000000001</v>
      </c>
      <c r="O274" s="72">
        <v>42.310200000000002</v>
      </c>
      <c r="P274" s="72">
        <v>41.918900000000001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1.2800000000002143E-2</v>
      </c>
      <c r="AD274" s="72">
        <f t="shared" si="16"/>
        <v>1.9999999999953388E-4</v>
      </c>
      <c r="AE274" s="72">
        <f t="shared" si="16"/>
        <v>-5.9999999999860165E-4</v>
      </c>
      <c r="AF274" s="72">
        <f t="shared" si="16"/>
        <v>-1.1000000000009891E-3</v>
      </c>
      <c r="AG274" s="68"/>
      <c r="AH274" s="68"/>
      <c r="AI274" s="69"/>
    </row>
    <row r="275" spans="2:35" ht="12" x14ac:dyDescent="0.2">
      <c r="B275" s="36"/>
      <c r="C275" s="28" t="s">
        <v>29</v>
      </c>
      <c r="D275" s="31">
        <v>34</v>
      </c>
      <c r="E275" s="45">
        <v>163.95599999999999</v>
      </c>
      <c r="F275" s="45">
        <v>43.907899999999998</v>
      </c>
      <c r="G275" s="78"/>
      <c r="H275" s="78"/>
      <c r="I275" s="79"/>
      <c r="J275" s="79"/>
      <c r="K275" s="80"/>
      <c r="L275" s="29"/>
      <c r="M275" s="45">
        <v>164.3784</v>
      </c>
      <c r="N275" s="45">
        <v>43.912999999999997</v>
      </c>
      <c r="O275" s="78"/>
      <c r="P275" s="78"/>
      <c r="Q275" s="79"/>
      <c r="R275" s="79"/>
      <c r="S275" s="80"/>
      <c r="U275" s="8">
        <f>bdrate($E275:$E278,F275:F278,$M275:$M278,N275:N278)</f>
        <v>-1.9367847132245597E-4</v>
      </c>
      <c r="V275" s="9"/>
      <c r="W275" s="10"/>
      <c r="X275" s="29"/>
      <c r="Y275" s="24"/>
      <c r="Z275" s="24"/>
      <c r="AA275" s="27"/>
      <c r="AC275" s="45">
        <f t="shared" si="17"/>
        <v>-0.42240000000001032</v>
      </c>
      <c r="AD275" s="45">
        <f t="shared" si="16"/>
        <v>-5.0999999999987722E-3</v>
      </c>
      <c r="AE275" s="78"/>
      <c r="AF275" s="78"/>
      <c r="AG275" s="79"/>
      <c r="AH275" s="79"/>
      <c r="AI275" s="80"/>
    </row>
    <row r="276" spans="2:35" ht="12" x14ac:dyDescent="0.2">
      <c r="B276" s="36"/>
      <c r="C276" s="29"/>
      <c r="D276" s="32">
        <v>39</v>
      </c>
      <c r="E276" s="46">
        <v>49.742400000000004</v>
      </c>
      <c r="F276" s="46">
        <v>40.811300000000003</v>
      </c>
      <c r="G276" s="70"/>
      <c r="H276" s="70"/>
      <c r="I276" s="66"/>
      <c r="J276" s="66"/>
      <c r="K276" s="67"/>
      <c r="L276" s="29"/>
      <c r="M276" s="46">
        <v>49.718400000000003</v>
      </c>
      <c r="N276" s="46">
        <v>40.810299999999998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2.4000000000000909E-2</v>
      </c>
      <c r="AD276" s="46">
        <f t="shared" si="16"/>
        <v>1.0000000000047748E-3</v>
      </c>
      <c r="AE276" s="70"/>
      <c r="AF276" s="70"/>
      <c r="AG276" s="66"/>
      <c r="AH276" s="66"/>
      <c r="AI276" s="67"/>
    </row>
    <row r="277" spans="2:35" ht="12" x14ac:dyDescent="0.2">
      <c r="B277" s="36"/>
      <c r="C277" s="29"/>
      <c r="D277" s="32">
        <v>42</v>
      </c>
      <c r="E277" s="46">
        <v>20.512799999999999</v>
      </c>
      <c r="F277" s="46">
        <v>37.3185</v>
      </c>
      <c r="G277" s="70"/>
      <c r="H277" s="70"/>
      <c r="I277" s="66"/>
      <c r="J277" s="66"/>
      <c r="K277" s="67"/>
      <c r="L277" s="29"/>
      <c r="M277" s="46">
        <v>20.504000000000001</v>
      </c>
      <c r="N277" s="46">
        <v>37.318399999999997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8.7999999999972545E-3</v>
      </c>
      <c r="AD277" s="46">
        <f t="shared" si="16"/>
        <v>1.0000000000331966E-4</v>
      </c>
      <c r="AE277" s="70"/>
      <c r="AF277" s="70"/>
      <c r="AG277" s="66"/>
      <c r="AH277" s="66"/>
      <c r="AI277" s="67"/>
    </row>
    <row r="278" spans="2:35" ht="12.75" thickBot="1" x14ac:dyDescent="0.25">
      <c r="B278" s="36"/>
      <c r="C278" s="29"/>
      <c r="D278" s="32">
        <v>45</v>
      </c>
      <c r="E278" s="46">
        <v>9.7287999999999997</v>
      </c>
      <c r="F278" s="46">
        <v>33.9101</v>
      </c>
      <c r="G278" s="70"/>
      <c r="H278" s="70"/>
      <c r="I278" s="66"/>
      <c r="J278" s="66"/>
      <c r="K278" s="67"/>
      <c r="L278" s="29"/>
      <c r="M278" s="46">
        <v>9.7287999999999997</v>
      </c>
      <c r="N278" s="46">
        <v>33.9101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 ht="12" x14ac:dyDescent="0.2">
      <c r="B279" s="36"/>
      <c r="C279" s="28" t="s">
        <v>30</v>
      </c>
      <c r="D279" s="31">
        <v>34</v>
      </c>
      <c r="E279" s="45">
        <v>100.596</v>
      </c>
      <c r="F279" s="45">
        <v>42.291699999999999</v>
      </c>
      <c r="G279" s="78"/>
      <c r="H279" s="78"/>
      <c r="I279" s="79"/>
      <c r="J279" s="79"/>
      <c r="K279" s="80"/>
      <c r="L279" s="29"/>
      <c r="M279" s="45">
        <v>100.58159999999999</v>
      </c>
      <c r="N279" s="45">
        <v>42.280500000000004</v>
      </c>
      <c r="O279" s="78"/>
      <c r="P279" s="78"/>
      <c r="Q279" s="79"/>
      <c r="R279" s="79"/>
      <c r="S279" s="80"/>
      <c r="U279" s="8">
        <f>bdrate($E279:$E282,F279:F282,$M279:$M282,N279:N282)</f>
        <v>-6.4582810141777802E-4</v>
      </c>
      <c r="V279" s="9"/>
      <c r="W279" s="10"/>
      <c r="X279" s="29"/>
      <c r="Y279" s="24"/>
      <c r="Z279" s="24"/>
      <c r="AA279" s="27"/>
      <c r="AC279" s="45">
        <f t="shared" si="17"/>
        <v>1.4400000000009072E-2</v>
      </c>
      <c r="AD279" s="45">
        <f t="shared" si="16"/>
        <v>1.1199999999995214E-2</v>
      </c>
      <c r="AE279" s="78"/>
      <c r="AF279" s="78"/>
      <c r="AG279" s="79"/>
      <c r="AH279" s="79"/>
      <c r="AI279" s="80"/>
    </row>
    <row r="280" spans="2:35" ht="12" x14ac:dyDescent="0.2">
      <c r="B280" s="36"/>
      <c r="C280" s="29"/>
      <c r="D280" s="32">
        <v>39</v>
      </c>
      <c r="E280" s="46">
        <v>24.408799999999999</v>
      </c>
      <c r="F280" s="46">
        <v>39.485300000000002</v>
      </c>
      <c r="G280" s="70"/>
      <c r="H280" s="70"/>
      <c r="I280" s="66"/>
      <c r="J280" s="66"/>
      <c r="K280" s="67"/>
      <c r="L280" s="29"/>
      <c r="M280" s="46">
        <v>24.3888</v>
      </c>
      <c r="N280" s="46">
        <v>39.486899999999999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1.9999999999999574E-2</v>
      </c>
      <c r="AD280" s="46">
        <f t="shared" si="16"/>
        <v>-1.5999999999962711E-3</v>
      </c>
      <c r="AE280" s="70"/>
      <c r="AF280" s="70"/>
      <c r="AG280" s="66"/>
      <c r="AH280" s="66"/>
      <c r="AI280" s="67"/>
    </row>
    <row r="281" spans="2:35" ht="12" x14ac:dyDescent="0.2">
      <c r="B281" s="36"/>
      <c r="C281" s="29"/>
      <c r="D281" s="32">
        <v>42</v>
      </c>
      <c r="E281" s="46">
        <v>9.4391999999999996</v>
      </c>
      <c r="F281" s="46">
        <v>36.372</v>
      </c>
      <c r="G281" s="70"/>
      <c r="H281" s="70"/>
      <c r="I281" s="66"/>
      <c r="J281" s="66"/>
      <c r="K281" s="67"/>
      <c r="L281" s="29"/>
      <c r="M281" s="46">
        <v>9.4431999999999992</v>
      </c>
      <c r="N281" s="46">
        <v>36.3797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-3.9999999999995595E-3</v>
      </c>
      <c r="AD281" s="46">
        <f t="shared" si="16"/>
        <v>-7.6999999999998181E-3</v>
      </c>
      <c r="AE281" s="70"/>
      <c r="AF281" s="70"/>
      <c r="AG281" s="66"/>
      <c r="AH281" s="66"/>
      <c r="AI281" s="67"/>
    </row>
    <row r="282" spans="2:35" ht="12.75" thickBot="1" x14ac:dyDescent="0.25">
      <c r="B282" s="36"/>
      <c r="C282" s="29"/>
      <c r="D282" s="32">
        <v>45</v>
      </c>
      <c r="E282" s="46">
        <v>4.8319999999999999</v>
      </c>
      <c r="F282" s="46">
        <v>33.414099999999998</v>
      </c>
      <c r="G282" s="70"/>
      <c r="H282" s="70"/>
      <c r="I282" s="66"/>
      <c r="J282" s="66"/>
      <c r="K282" s="67"/>
      <c r="L282" s="29"/>
      <c r="M282" s="46">
        <v>4.8120000000000003</v>
      </c>
      <c r="N282" s="46">
        <v>33.404200000000003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1.9999999999999574E-2</v>
      </c>
      <c r="AD282" s="46">
        <f t="shared" si="16"/>
        <v>9.8999999999946908E-3</v>
      </c>
      <c r="AE282" s="70"/>
      <c r="AF282" s="70"/>
      <c r="AG282" s="66"/>
      <c r="AH282" s="66"/>
      <c r="AI282" s="67"/>
    </row>
    <row r="283" spans="2:35" ht="12" x14ac:dyDescent="0.2">
      <c r="B283" s="36"/>
      <c r="C283" s="28" t="s">
        <v>31</v>
      </c>
      <c r="D283" s="31">
        <v>34</v>
      </c>
      <c r="E283" s="45">
        <v>117.0864</v>
      </c>
      <c r="F283" s="45">
        <v>41.767200000000003</v>
      </c>
      <c r="G283" s="78"/>
      <c r="H283" s="78"/>
      <c r="I283" s="79"/>
      <c r="J283" s="79"/>
      <c r="K283" s="80"/>
      <c r="L283" s="29"/>
      <c r="M283" s="45">
        <v>117.0536</v>
      </c>
      <c r="N283" s="45">
        <v>41.7789</v>
      </c>
      <c r="O283" s="78"/>
      <c r="P283" s="78"/>
      <c r="Q283" s="79"/>
      <c r="R283" s="79"/>
      <c r="S283" s="80"/>
      <c r="U283" s="8">
        <f>bdrate($E283:$E286,F283:F286,$M283:$M286,N283:N286)</f>
        <v>-2.5844478489155387E-3</v>
      </c>
      <c r="V283" s="9"/>
      <c r="W283" s="10"/>
      <c r="X283" s="29"/>
      <c r="Y283" s="24"/>
      <c r="Z283" s="24"/>
      <c r="AA283" s="27"/>
      <c r="AC283" s="45">
        <f t="shared" si="17"/>
        <v>3.2799999999994611E-2</v>
      </c>
      <c r="AD283" s="45">
        <f t="shared" si="16"/>
        <v>-1.1699999999997601E-2</v>
      </c>
      <c r="AE283" s="78"/>
      <c r="AF283" s="78"/>
      <c r="AG283" s="79"/>
      <c r="AH283" s="79"/>
      <c r="AI283" s="80"/>
    </row>
    <row r="284" spans="2:35" ht="12" x14ac:dyDescent="0.2">
      <c r="B284" s="36"/>
      <c r="C284" s="29"/>
      <c r="D284" s="32">
        <v>39</v>
      </c>
      <c r="E284" s="46">
        <v>28.404</v>
      </c>
      <c r="F284" s="46">
        <v>38.9542</v>
      </c>
      <c r="G284" s="70"/>
      <c r="H284" s="70"/>
      <c r="I284" s="66"/>
      <c r="J284" s="66"/>
      <c r="K284" s="67"/>
      <c r="L284" s="29"/>
      <c r="M284" s="46">
        <v>28.5288</v>
      </c>
      <c r="N284" s="46">
        <v>38.966900000000003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-0.12480000000000047</v>
      </c>
      <c r="AD284" s="46">
        <f t="shared" si="16"/>
        <v>-1.2700000000002376E-2</v>
      </c>
      <c r="AE284" s="70"/>
      <c r="AF284" s="70"/>
      <c r="AG284" s="66"/>
      <c r="AH284" s="66"/>
      <c r="AI284" s="67"/>
    </row>
    <row r="285" spans="2:35" ht="12" x14ac:dyDescent="0.2">
      <c r="B285" s="36"/>
      <c r="C285" s="29"/>
      <c r="D285" s="32">
        <v>42</v>
      </c>
      <c r="E285" s="46">
        <v>10.2736</v>
      </c>
      <c r="F285" s="46">
        <v>36.027799999999999</v>
      </c>
      <c r="G285" s="70"/>
      <c r="H285" s="70"/>
      <c r="I285" s="66"/>
      <c r="J285" s="66"/>
      <c r="K285" s="67"/>
      <c r="L285" s="29"/>
      <c r="M285" s="46">
        <v>10.252800000000001</v>
      </c>
      <c r="N285" s="46">
        <v>36.032699999999998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2.0799999999999486E-2</v>
      </c>
      <c r="AD285" s="46">
        <f t="shared" si="16"/>
        <v>-4.8999999999992383E-3</v>
      </c>
      <c r="AE285" s="70"/>
      <c r="AF285" s="70"/>
      <c r="AG285" s="66"/>
      <c r="AH285" s="66"/>
      <c r="AI285" s="67"/>
    </row>
    <row r="286" spans="2:35" ht="12.75" thickBot="1" x14ac:dyDescent="0.25">
      <c r="B286" s="36"/>
      <c r="C286" s="29"/>
      <c r="D286" s="32">
        <v>45</v>
      </c>
      <c r="E286" s="46">
        <v>4.8159999999999998</v>
      </c>
      <c r="F286" s="46">
        <v>33.017499999999998</v>
      </c>
      <c r="G286" s="70"/>
      <c r="H286" s="70"/>
      <c r="I286" s="66"/>
      <c r="J286" s="66"/>
      <c r="K286" s="67"/>
      <c r="L286" s="29"/>
      <c r="M286" s="46">
        <v>4.8144</v>
      </c>
      <c r="N286" s="46">
        <v>33.017600000000002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1.5999999999998238E-3</v>
      </c>
      <c r="AD286" s="46">
        <f t="shared" si="16"/>
        <v>-1.0000000000331966E-4</v>
      </c>
      <c r="AE286" s="46"/>
      <c r="AF286" s="46"/>
      <c r="AG286" s="66"/>
      <c r="AH286" s="66"/>
      <c r="AI286" s="67"/>
    </row>
    <row r="287" spans="2:35" ht="12" x14ac:dyDescent="0.2">
      <c r="B287" s="36"/>
      <c r="C287" s="28" t="s">
        <v>47</v>
      </c>
      <c r="D287" s="31">
        <v>25</v>
      </c>
      <c r="E287" s="78"/>
      <c r="F287" s="45">
        <v>40.002099999999999</v>
      </c>
      <c r="G287" s="45">
        <v>46.657299999999999</v>
      </c>
      <c r="H287" s="45">
        <v>45.980899999999998</v>
      </c>
      <c r="I287" s="79"/>
      <c r="J287" s="79"/>
      <c r="K287" s="80"/>
      <c r="L287" s="29"/>
      <c r="M287" s="78"/>
      <c r="N287" s="45">
        <v>40.000500000000002</v>
      </c>
      <c r="O287" s="45">
        <v>46.6235</v>
      </c>
      <c r="P287" s="45">
        <v>45.984400000000001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1.5999999999962711E-3</v>
      </c>
      <c r="AE287" s="45">
        <f t="shared" si="16"/>
        <v>3.3799999999999386E-2</v>
      </c>
      <c r="AF287" s="45">
        <f t="shared" si="16"/>
        <v>-3.5000000000025011E-3</v>
      </c>
      <c r="AG287" s="79"/>
      <c r="AH287" s="79"/>
      <c r="AI287" s="80"/>
    </row>
    <row r="288" spans="2:35" ht="12" x14ac:dyDescent="0.2">
      <c r="B288" s="36"/>
      <c r="C288" s="29"/>
      <c r="D288" s="32">
        <v>30</v>
      </c>
      <c r="E288" s="70"/>
      <c r="F288" s="46">
        <v>37.929400000000001</v>
      </c>
      <c r="G288" s="46">
        <v>45.122599999999998</v>
      </c>
      <c r="H288" s="46">
        <v>44.344000000000001</v>
      </c>
      <c r="I288" s="66"/>
      <c r="J288" s="66"/>
      <c r="K288" s="67"/>
      <c r="L288" s="29"/>
      <c r="M288" s="70"/>
      <c r="N288" s="46">
        <v>37.928600000000003</v>
      </c>
      <c r="O288" s="46">
        <v>45.168500000000002</v>
      </c>
      <c r="P288" s="46">
        <v>44.352200000000003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7.9999999999813554E-4</v>
      </c>
      <c r="AE288" s="46">
        <f t="shared" si="16"/>
        <v>-4.590000000000316E-2</v>
      </c>
      <c r="AF288" s="46">
        <f t="shared" si="16"/>
        <v>-8.2000000000022055E-3</v>
      </c>
      <c r="AG288" s="66"/>
      <c r="AH288" s="66"/>
      <c r="AI288" s="67"/>
    </row>
    <row r="289" spans="2:35" ht="12" x14ac:dyDescent="0.2">
      <c r="B289" s="36"/>
      <c r="C289" s="29"/>
      <c r="D289" s="32">
        <v>35</v>
      </c>
      <c r="E289" s="70"/>
      <c r="F289" s="46">
        <v>35.886400000000002</v>
      </c>
      <c r="G289" s="46">
        <v>43.6691</v>
      </c>
      <c r="H289" s="46">
        <v>42.970199999999998</v>
      </c>
      <c r="I289" s="66"/>
      <c r="J289" s="66"/>
      <c r="K289" s="67"/>
      <c r="L289" s="29"/>
      <c r="M289" s="70"/>
      <c r="N289" s="46">
        <v>35.887099999999997</v>
      </c>
      <c r="O289" s="46">
        <v>43.673099999999998</v>
      </c>
      <c r="P289" s="46">
        <v>42.959800000000001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-6.9999999999481588E-4</v>
      </c>
      <c r="AE289" s="46">
        <f t="shared" si="16"/>
        <v>-3.9999999999977831E-3</v>
      </c>
      <c r="AF289" s="46">
        <f t="shared" si="16"/>
        <v>1.0399999999997078E-2</v>
      </c>
      <c r="AG289" s="66"/>
      <c r="AH289" s="66"/>
      <c r="AI289" s="67"/>
    </row>
    <row r="290" spans="2:35" ht="12.75" thickBot="1" x14ac:dyDescent="0.25">
      <c r="B290" s="36"/>
      <c r="C290" s="53"/>
      <c r="D290" s="71">
        <v>40</v>
      </c>
      <c r="E290" s="81"/>
      <c r="F290" s="72">
        <v>33.776600000000002</v>
      </c>
      <c r="G290" s="72">
        <v>42.4895</v>
      </c>
      <c r="H290" s="72">
        <v>42.006799999999998</v>
      </c>
      <c r="I290" s="68"/>
      <c r="J290" s="68"/>
      <c r="K290" s="69"/>
      <c r="L290" s="29"/>
      <c r="M290" s="81"/>
      <c r="N290" s="72">
        <v>33.774799999999999</v>
      </c>
      <c r="O290" s="72">
        <v>42.488999999999997</v>
      </c>
      <c r="P290" s="72">
        <v>42.004300000000001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1.8000000000029104E-3</v>
      </c>
      <c r="AE290" s="72">
        <f t="shared" si="16"/>
        <v>5.0000000000238742E-4</v>
      </c>
      <c r="AF290" s="72">
        <f t="shared" si="16"/>
        <v>2.4999999999977263E-3</v>
      </c>
      <c r="AG290" s="68"/>
      <c r="AH290" s="68"/>
      <c r="AI290" s="69"/>
    </row>
    <row r="291" spans="2:35" ht="12" x14ac:dyDescent="0.2">
      <c r="B291" s="36"/>
      <c r="C291" s="29" t="s">
        <v>48</v>
      </c>
      <c r="D291" s="32">
        <v>25</v>
      </c>
      <c r="E291" s="70"/>
      <c r="F291" s="45">
        <v>40.710099999999997</v>
      </c>
      <c r="G291" s="45">
        <v>47.373600000000003</v>
      </c>
      <c r="H291" s="45">
        <v>46.858400000000003</v>
      </c>
      <c r="I291" s="66"/>
      <c r="J291" s="66"/>
      <c r="K291" s="67"/>
      <c r="L291" s="29"/>
      <c r="M291" s="70"/>
      <c r="N291" s="45">
        <v>40.710700000000003</v>
      </c>
      <c r="O291" s="45">
        <v>47.3551</v>
      </c>
      <c r="P291" s="45">
        <v>46.8643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-6.0000000000570708E-4</v>
      </c>
      <c r="AE291" s="45">
        <f t="shared" si="16"/>
        <v>1.850000000000307E-2</v>
      </c>
      <c r="AF291" s="45">
        <f t="shared" si="16"/>
        <v>-5.8999999999969077E-3</v>
      </c>
      <c r="AG291" s="66"/>
      <c r="AH291" s="66"/>
      <c r="AI291" s="67"/>
    </row>
    <row r="292" spans="2:35" ht="12" x14ac:dyDescent="0.2">
      <c r="B292" s="36"/>
      <c r="C292" s="29"/>
      <c r="D292" s="32">
        <v>30</v>
      </c>
      <c r="E292" s="70"/>
      <c r="F292" s="46">
        <v>38.420400000000001</v>
      </c>
      <c r="G292" s="46">
        <v>45.688600000000001</v>
      </c>
      <c r="H292" s="46">
        <v>45.131100000000004</v>
      </c>
      <c r="I292" s="66"/>
      <c r="J292" s="66"/>
      <c r="K292" s="67"/>
      <c r="L292" s="29"/>
      <c r="M292" s="70"/>
      <c r="N292" s="46">
        <v>38.419499999999999</v>
      </c>
      <c r="O292" s="46">
        <v>45.716799999999999</v>
      </c>
      <c r="P292" s="46">
        <v>45.135300000000001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9.0000000000145519E-4</v>
      </c>
      <c r="AE292" s="46">
        <f t="shared" si="16"/>
        <v>-2.8199999999998226E-2</v>
      </c>
      <c r="AF292" s="46">
        <f t="shared" si="16"/>
        <v>-4.199999999997317E-3</v>
      </c>
      <c r="AG292" s="66"/>
      <c r="AH292" s="66"/>
      <c r="AI292" s="67"/>
    </row>
    <row r="293" spans="2:35" ht="12" x14ac:dyDescent="0.2">
      <c r="B293" s="36"/>
      <c r="C293" s="29"/>
      <c r="D293" s="32">
        <v>35</v>
      </c>
      <c r="E293" s="70"/>
      <c r="F293" s="46">
        <v>36.246099999999998</v>
      </c>
      <c r="G293" s="46">
        <v>44.012900000000002</v>
      </c>
      <c r="H293" s="46">
        <v>43.509900000000002</v>
      </c>
      <c r="I293" s="66"/>
      <c r="J293" s="66"/>
      <c r="K293" s="67"/>
      <c r="L293" s="29"/>
      <c r="M293" s="70"/>
      <c r="N293" s="46">
        <v>36.247300000000003</v>
      </c>
      <c r="O293" s="46">
        <v>44.016800000000003</v>
      </c>
      <c r="P293" s="46">
        <v>43.505600000000001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-1.2000000000043087E-3</v>
      </c>
      <c r="AE293" s="46">
        <f t="shared" si="16"/>
        <v>-3.9000000000015689E-3</v>
      </c>
      <c r="AF293" s="46">
        <f t="shared" si="16"/>
        <v>4.3000000000006366E-3</v>
      </c>
      <c r="AG293" s="66"/>
      <c r="AH293" s="66"/>
      <c r="AI293" s="67"/>
    </row>
    <row r="294" spans="2:35" ht="12.75" thickBot="1" x14ac:dyDescent="0.25">
      <c r="B294" s="36"/>
      <c r="C294" s="53"/>
      <c r="D294" s="71">
        <v>40</v>
      </c>
      <c r="E294" s="81"/>
      <c r="F294" s="46">
        <v>34.038499999999999</v>
      </c>
      <c r="G294" s="72">
        <v>42.7027</v>
      </c>
      <c r="H294" s="72">
        <v>42.3812</v>
      </c>
      <c r="I294" s="68"/>
      <c r="J294" s="68"/>
      <c r="K294" s="69"/>
      <c r="L294" s="29"/>
      <c r="M294" s="81"/>
      <c r="N294" s="46">
        <v>34.036900000000003</v>
      </c>
      <c r="O294" s="72">
        <v>42.703600000000002</v>
      </c>
      <c r="P294" s="72">
        <v>42.379800000000003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1.5999999999962711E-3</v>
      </c>
      <c r="AE294" s="46">
        <f t="shared" si="16"/>
        <v>-9.0000000000145519E-4</v>
      </c>
      <c r="AF294" s="46">
        <f t="shared" si="16"/>
        <v>1.3999999999967372E-3</v>
      </c>
      <c r="AG294" s="68"/>
      <c r="AH294" s="68"/>
      <c r="AI294" s="69"/>
    </row>
    <row r="295" spans="2:35" ht="12" x14ac:dyDescent="0.2">
      <c r="B295" s="36"/>
      <c r="C295" s="29" t="s">
        <v>49</v>
      </c>
      <c r="D295" s="32">
        <v>25</v>
      </c>
      <c r="E295" s="70"/>
      <c r="F295" s="45">
        <v>40.617100000000001</v>
      </c>
      <c r="G295" s="45">
        <v>47.561700000000002</v>
      </c>
      <c r="H295" s="45">
        <v>47.196800000000003</v>
      </c>
      <c r="I295" s="66"/>
      <c r="J295" s="66"/>
      <c r="K295" s="67"/>
      <c r="L295" s="29"/>
      <c r="M295" s="70"/>
      <c r="N295" s="45">
        <v>40.617899999999999</v>
      </c>
      <c r="O295" s="45">
        <v>47.560499999999998</v>
      </c>
      <c r="P295" s="45">
        <v>47.197099999999999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-7.9999999999813554E-4</v>
      </c>
      <c r="AE295" s="45">
        <f t="shared" si="16"/>
        <v>1.2000000000043087E-3</v>
      </c>
      <c r="AF295" s="45">
        <f t="shared" si="16"/>
        <v>-2.9999999999574811E-4</v>
      </c>
      <c r="AG295" s="66"/>
      <c r="AH295" s="66"/>
      <c r="AI295" s="67"/>
    </row>
    <row r="296" spans="2:35" ht="12" x14ac:dyDescent="0.2">
      <c r="B296" s="36"/>
      <c r="C296" s="29"/>
      <c r="D296" s="32">
        <v>30</v>
      </c>
      <c r="E296" s="70"/>
      <c r="F296" s="46">
        <v>38.409500000000001</v>
      </c>
      <c r="G296" s="46">
        <v>46.014699999999998</v>
      </c>
      <c r="H296" s="46">
        <v>45.584200000000003</v>
      </c>
      <c r="I296" s="66"/>
      <c r="J296" s="66"/>
      <c r="K296" s="67"/>
      <c r="L296" s="29"/>
      <c r="M296" s="70"/>
      <c r="N296" s="46">
        <v>38.408700000000003</v>
      </c>
      <c r="O296" s="46">
        <v>46.017099999999999</v>
      </c>
      <c r="P296" s="46">
        <v>45.582700000000003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7.9999999999813554E-4</v>
      </c>
      <c r="AE296" s="46">
        <f t="shared" si="16"/>
        <v>-2.400000000001512E-3</v>
      </c>
      <c r="AF296" s="46">
        <f t="shared" si="16"/>
        <v>1.5000000000000568E-3</v>
      </c>
      <c r="AG296" s="66"/>
      <c r="AH296" s="66"/>
      <c r="AI296" s="67"/>
    </row>
    <row r="297" spans="2:35" ht="12" x14ac:dyDescent="0.2">
      <c r="B297" s="36"/>
      <c r="C297" s="29"/>
      <c r="D297" s="32">
        <v>35</v>
      </c>
      <c r="E297" s="70"/>
      <c r="F297" s="46">
        <v>36.249699999999997</v>
      </c>
      <c r="G297" s="46">
        <v>44.188899999999997</v>
      </c>
      <c r="H297" s="46">
        <v>43.785499999999999</v>
      </c>
      <c r="I297" s="66"/>
      <c r="J297" s="66"/>
      <c r="K297" s="67"/>
      <c r="L297" s="29"/>
      <c r="M297" s="70"/>
      <c r="N297" s="46">
        <v>36.249200000000002</v>
      </c>
      <c r="O297" s="46">
        <v>44.1877</v>
      </c>
      <c r="P297" s="46">
        <v>43.784500000000001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4.99999999995282E-4</v>
      </c>
      <c r="AE297" s="46">
        <f t="shared" si="16"/>
        <v>1.1999999999972033E-3</v>
      </c>
      <c r="AF297" s="46">
        <f t="shared" si="16"/>
        <v>9.9999999999766942E-4</v>
      </c>
      <c r="AG297" s="66"/>
      <c r="AH297" s="66"/>
      <c r="AI297" s="67"/>
    </row>
    <row r="298" spans="2:35" ht="12.75" thickBot="1" x14ac:dyDescent="0.25">
      <c r="B298" s="36"/>
      <c r="C298" s="53"/>
      <c r="D298" s="71">
        <v>40</v>
      </c>
      <c r="E298" s="81"/>
      <c r="F298" s="46">
        <v>34.035800000000002</v>
      </c>
      <c r="G298" s="72">
        <v>42.878700000000002</v>
      </c>
      <c r="H298" s="72">
        <v>42.542400000000001</v>
      </c>
      <c r="I298" s="68"/>
      <c r="J298" s="68"/>
      <c r="K298" s="69"/>
      <c r="L298" s="29"/>
      <c r="M298" s="81"/>
      <c r="N298" s="46">
        <v>34.035200000000003</v>
      </c>
      <c r="O298" s="72">
        <v>42.878799999999998</v>
      </c>
      <c r="P298" s="72">
        <v>42.542000000000002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5.9999999999860165E-4</v>
      </c>
      <c r="AE298" s="46">
        <f t="shared" si="16"/>
        <v>-9.9999999996214228E-5</v>
      </c>
      <c r="AF298" s="46">
        <f t="shared" si="16"/>
        <v>3.9999999999906777E-4</v>
      </c>
      <c r="AG298" s="68"/>
      <c r="AH298" s="68"/>
      <c r="AI298" s="69"/>
    </row>
    <row r="299" spans="2:35" ht="12" x14ac:dyDescent="0.2">
      <c r="B299" s="36"/>
      <c r="C299" s="29" t="s">
        <v>50</v>
      </c>
      <c r="D299" s="32">
        <v>25</v>
      </c>
      <c r="E299" s="70"/>
      <c r="F299" s="45">
        <v>40.571300000000001</v>
      </c>
      <c r="G299" s="45">
        <v>47.482700000000001</v>
      </c>
      <c r="H299" s="45">
        <v>47.011499999999998</v>
      </c>
      <c r="I299" s="66"/>
      <c r="J299" s="66"/>
      <c r="K299" s="67"/>
      <c r="L299" s="29"/>
      <c r="M299" s="70"/>
      <c r="N299" s="45">
        <v>40.570900000000002</v>
      </c>
      <c r="O299" s="45">
        <v>47.482100000000003</v>
      </c>
      <c r="P299" s="45">
        <v>47.012099999999997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3.9999999999906777E-4</v>
      </c>
      <c r="AE299" s="45">
        <f t="shared" si="16"/>
        <v>5.9999999999860165E-4</v>
      </c>
      <c r="AF299" s="45">
        <f t="shared" si="16"/>
        <v>-5.9999999999860165E-4</v>
      </c>
      <c r="AG299" s="66"/>
      <c r="AH299" s="66"/>
      <c r="AI299" s="67"/>
    </row>
    <row r="300" spans="2:35" ht="12" x14ac:dyDescent="0.2">
      <c r="B300" s="36"/>
      <c r="C300" s="29"/>
      <c r="D300" s="32">
        <v>30</v>
      </c>
      <c r="E300" s="70"/>
      <c r="F300" s="46">
        <v>38.351100000000002</v>
      </c>
      <c r="G300" s="46">
        <v>45.923900000000003</v>
      </c>
      <c r="H300" s="46">
        <v>45.381</v>
      </c>
      <c r="I300" s="66"/>
      <c r="J300" s="66"/>
      <c r="K300" s="67"/>
      <c r="L300" s="29"/>
      <c r="M300" s="70"/>
      <c r="N300" s="46">
        <v>38.351700000000001</v>
      </c>
      <c r="O300" s="46">
        <v>45.924599999999998</v>
      </c>
      <c r="P300" s="46">
        <v>45.382599999999996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-5.9999999999860165E-4</v>
      </c>
      <c r="AE300" s="46">
        <f t="shared" si="16"/>
        <v>-6.9999999999481588E-4</v>
      </c>
      <c r="AF300" s="46">
        <f t="shared" si="16"/>
        <v>-1.5999999999962711E-3</v>
      </c>
      <c r="AG300" s="66"/>
      <c r="AH300" s="66"/>
      <c r="AI300" s="67"/>
    </row>
    <row r="301" spans="2:35" ht="12" x14ac:dyDescent="0.2">
      <c r="B301" s="36"/>
      <c r="C301" s="29"/>
      <c r="D301" s="32">
        <v>35</v>
      </c>
      <c r="E301" s="70"/>
      <c r="F301" s="46">
        <v>36.1875</v>
      </c>
      <c r="G301" s="46">
        <v>44.082700000000003</v>
      </c>
      <c r="H301" s="46">
        <v>43.555999999999997</v>
      </c>
      <c r="I301" s="66"/>
      <c r="J301" s="66"/>
      <c r="K301" s="67"/>
      <c r="L301" s="29"/>
      <c r="M301" s="70"/>
      <c r="N301" s="46">
        <v>36.186399999999999</v>
      </c>
      <c r="O301" s="46">
        <v>44.083100000000002</v>
      </c>
      <c r="P301" s="46">
        <v>43.555999999999997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1.1000000000009891E-3</v>
      </c>
      <c r="AE301" s="46">
        <f t="shared" si="16"/>
        <v>-3.9999999999906777E-4</v>
      </c>
      <c r="AF301" s="46">
        <f t="shared" si="16"/>
        <v>0</v>
      </c>
      <c r="AG301" s="66"/>
      <c r="AH301" s="66"/>
      <c r="AI301" s="67"/>
    </row>
    <row r="302" spans="2:35" ht="12.75" thickBot="1" x14ac:dyDescent="0.25">
      <c r="B302" s="36"/>
      <c r="C302" s="53"/>
      <c r="D302" s="71">
        <v>40</v>
      </c>
      <c r="E302" s="81"/>
      <c r="F302" s="46">
        <v>33.964100000000002</v>
      </c>
      <c r="G302" s="72">
        <v>42.752000000000002</v>
      </c>
      <c r="H302" s="72">
        <v>42.278599999999997</v>
      </c>
      <c r="I302" s="68"/>
      <c r="J302" s="68"/>
      <c r="K302" s="69"/>
      <c r="L302" s="29"/>
      <c r="M302" s="81"/>
      <c r="N302" s="46">
        <v>33.963900000000002</v>
      </c>
      <c r="O302" s="72">
        <v>42.752400000000002</v>
      </c>
      <c r="P302" s="72">
        <v>42.278300000000002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1.9999999999953388E-4</v>
      </c>
      <c r="AE302" s="46">
        <f t="shared" si="16"/>
        <v>-3.9999999999906777E-4</v>
      </c>
      <c r="AF302" s="46">
        <f t="shared" si="16"/>
        <v>2.9999999999574811E-4</v>
      </c>
      <c r="AG302" s="68"/>
      <c r="AH302" s="68"/>
      <c r="AI302" s="69"/>
    </row>
    <row r="303" spans="2:35" ht="12" x14ac:dyDescent="0.2">
      <c r="B303" s="36"/>
      <c r="C303" s="29" t="s">
        <v>51</v>
      </c>
      <c r="D303" s="32">
        <v>25</v>
      </c>
      <c r="E303" s="70"/>
      <c r="F303" s="45">
        <v>40.607900000000001</v>
      </c>
      <c r="G303" s="45">
        <v>47.041400000000003</v>
      </c>
      <c r="H303" s="45">
        <v>46.810299999999998</v>
      </c>
      <c r="I303" s="66"/>
      <c r="J303" s="66"/>
      <c r="K303" s="67"/>
      <c r="L303" s="29"/>
      <c r="M303" s="70"/>
      <c r="N303" s="45">
        <v>40.606699999999996</v>
      </c>
      <c r="O303" s="45">
        <v>47.040799999999997</v>
      </c>
      <c r="P303" s="45">
        <v>46.812199999999997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1.2000000000043087E-3</v>
      </c>
      <c r="AE303" s="45">
        <f t="shared" si="16"/>
        <v>6.0000000000570708E-4</v>
      </c>
      <c r="AF303" s="45">
        <f t="shared" si="16"/>
        <v>-1.8999999999991246E-3</v>
      </c>
      <c r="AG303" s="66"/>
      <c r="AH303" s="66"/>
      <c r="AI303" s="67"/>
    </row>
    <row r="304" spans="2:35" ht="12" x14ac:dyDescent="0.2">
      <c r="B304" s="36"/>
      <c r="C304" s="29"/>
      <c r="D304" s="32">
        <v>30</v>
      </c>
      <c r="E304" s="70"/>
      <c r="F304" s="46">
        <v>38.2714</v>
      </c>
      <c r="G304" s="46">
        <v>45.510599999999997</v>
      </c>
      <c r="H304" s="46">
        <v>45.197400000000002</v>
      </c>
      <c r="I304" s="66"/>
      <c r="J304" s="66"/>
      <c r="K304" s="67"/>
      <c r="L304" s="29"/>
      <c r="M304" s="70"/>
      <c r="N304" s="46">
        <v>38.274299999999997</v>
      </c>
      <c r="O304" s="46">
        <v>45.519500000000001</v>
      </c>
      <c r="P304" s="46">
        <v>45.197600000000001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-2.899999999996794E-3</v>
      </c>
      <c r="AE304" s="46">
        <f t="shared" si="16"/>
        <v>-8.9000000000041268E-3</v>
      </c>
      <c r="AF304" s="46">
        <f t="shared" si="16"/>
        <v>-1.9999999999953388E-4</v>
      </c>
      <c r="AG304" s="66"/>
      <c r="AH304" s="66"/>
      <c r="AI304" s="67"/>
    </row>
    <row r="305" spans="1:35" ht="12" x14ac:dyDescent="0.2">
      <c r="B305" s="36"/>
      <c r="C305" s="29"/>
      <c r="D305" s="32">
        <v>35</v>
      </c>
      <c r="E305" s="70"/>
      <c r="F305" s="46">
        <v>36.0809</v>
      </c>
      <c r="G305" s="46">
        <v>43.762700000000002</v>
      </c>
      <c r="H305" s="46">
        <v>43.398800000000001</v>
      </c>
      <c r="I305" s="66"/>
      <c r="J305" s="66"/>
      <c r="K305" s="67"/>
      <c r="L305" s="29"/>
      <c r="M305" s="70"/>
      <c r="N305" s="46">
        <v>36.0794</v>
      </c>
      <c r="O305" s="46">
        <v>43.761200000000002</v>
      </c>
      <c r="P305" s="46">
        <v>43.398200000000003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1.5000000000000568E-3</v>
      </c>
      <c r="AE305" s="46">
        <f t="shared" si="16"/>
        <v>1.5000000000000568E-3</v>
      </c>
      <c r="AF305" s="46">
        <f t="shared" si="16"/>
        <v>5.9999999999860165E-4</v>
      </c>
      <c r="AG305" s="66"/>
      <c r="AH305" s="66"/>
      <c r="AI305" s="67"/>
    </row>
    <row r="306" spans="1:35" ht="12.75" thickBot="1" x14ac:dyDescent="0.25">
      <c r="B306" s="36"/>
      <c r="C306" s="53"/>
      <c r="D306" s="71">
        <v>40</v>
      </c>
      <c r="E306" s="81"/>
      <c r="F306" s="72">
        <v>33.864600000000003</v>
      </c>
      <c r="G306" s="72">
        <v>42.479599999999998</v>
      </c>
      <c r="H306" s="72">
        <v>42.055799999999998</v>
      </c>
      <c r="I306" s="68"/>
      <c r="J306" s="68"/>
      <c r="K306" s="69"/>
      <c r="L306" s="29"/>
      <c r="M306" s="81"/>
      <c r="N306" s="72">
        <v>33.864199999999997</v>
      </c>
      <c r="O306" s="72">
        <v>42.481499999999997</v>
      </c>
      <c r="P306" s="72">
        <v>42.055599999999998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4.000000000061732E-4</v>
      </c>
      <c r="AE306" s="72">
        <f t="shared" si="16"/>
        <v>-1.8999999999991246E-3</v>
      </c>
      <c r="AF306" s="72">
        <f t="shared" si="16"/>
        <v>1.9999999999953388E-4</v>
      </c>
      <c r="AG306" s="68"/>
      <c r="AH306" s="68"/>
      <c r="AI306" s="69"/>
    </row>
    <row r="307" spans="1:35" ht="12" x14ac:dyDescent="0.2">
      <c r="B307" s="36"/>
      <c r="C307" s="29" t="s">
        <v>52</v>
      </c>
      <c r="D307" s="32">
        <v>25</v>
      </c>
      <c r="E307" s="70"/>
      <c r="F307" s="45">
        <v>39.907499999999999</v>
      </c>
      <c r="G307" s="45">
        <v>46.203099999999999</v>
      </c>
      <c r="H307" s="45">
        <v>46.392699999999998</v>
      </c>
      <c r="I307" s="66"/>
      <c r="J307" s="66"/>
      <c r="K307" s="67"/>
      <c r="L307" s="29"/>
      <c r="M307" s="70"/>
      <c r="N307" s="45">
        <v>39.906500000000001</v>
      </c>
      <c r="O307" s="45">
        <v>46.199800000000003</v>
      </c>
      <c r="P307" s="45">
        <v>46.395800000000001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9.9999999999766942E-4</v>
      </c>
      <c r="AE307" s="45">
        <f t="shared" si="16"/>
        <v>3.2999999999958618E-3</v>
      </c>
      <c r="AF307" s="45">
        <f t="shared" si="16"/>
        <v>-3.1000000000034333E-3</v>
      </c>
      <c r="AG307" s="45"/>
      <c r="AH307" s="66"/>
      <c r="AI307" s="67"/>
    </row>
    <row r="308" spans="1:35" ht="12" x14ac:dyDescent="0.2">
      <c r="B308" s="36"/>
      <c r="C308" s="29"/>
      <c r="D308" s="32">
        <v>30</v>
      </c>
      <c r="E308" s="70"/>
      <c r="F308" s="46">
        <v>37.746200000000002</v>
      </c>
      <c r="G308" s="46">
        <v>44.877899999999997</v>
      </c>
      <c r="H308" s="46">
        <v>44.878300000000003</v>
      </c>
      <c r="I308" s="66"/>
      <c r="J308" s="66"/>
      <c r="K308" s="67"/>
      <c r="L308" s="29"/>
      <c r="M308" s="70"/>
      <c r="N308" s="46">
        <v>37.746099999999998</v>
      </c>
      <c r="O308" s="46">
        <v>44.886600000000001</v>
      </c>
      <c r="P308" s="46">
        <v>44.876600000000003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1.0000000000331966E-4</v>
      </c>
      <c r="AE308" s="46">
        <f t="shared" si="16"/>
        <v>-8.7000000000045929E-3</v>
      </c>
      <c r="AF308" s="46">
        <f t="shared" si="16"/>
        <v>1.6999999999995907E-3</v>
      </c>
      <c r="AG308" s="66"/>
      <c r="AH308" s="66"/>
      <c r="AI308" s="67"/>
    </row>
    <row r="309" spans="1:35" ht="12" x14ac:dyDescent="0.2">
      <c r="B309" s="36"/>
      <c r="C309" s="29"/>
      <c r="D309" s="32">
        <v>35</v>
      </c>
      <c r="E309" s="70"/>
      <c r="F309" s="46">
        <v>35.664999999999999</v>
      </c>
      <c r="G309" s="46">
        <v>43.344299999999997</v>
      </c>
      <c r="H309" s="46">
        <v>43.213299999999997</v>
      </c>
      <c r="I309" s="66"/>
      <c r="J309" s="66"/>
      <c r="K309" s="67"/>
      <c r="L309" s="29"/>
      <c r="M309" s="70"/>
      <c r="N309" s="46">
        <v>35.664999999999999</v>
      </c>
      <c r="O309" s="46">
        <v>43.340699999999998</v>
      </c>
      <c r="P309" s="46">
        <v>43.214700000000001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0</v>
      </c>
      <c r="AE309" s="46">
        <f t="shared" si="16"/>
        <v>3.5999999999987153E-3</v>
      </c>
      <c r="AF309" s="46">
        <f t="shared" si="16"/>
        <v>-1.4000000000038426E-3</v>
      </c>
      <c r="AG309" s="66"/>
      <c r="AH309" s="66"/>
      <c r="AI309" s="67"/>
    </row>
    <row r="310" spans="1:35" ht="12.75" thickBot="1" x14ac:dyDescent="0.25">
      <c r="B310" s="36"/>
      <c r="C310" s="53"/>
      <c r="D310" s="71">
        <v>40</v>
      </c>
      <c r="E310" s="81"/>
      <c r="F310" s="72">
        <v>33.546599999999998</v>
      </c>
      <c r="G310" s="72">
        <v>42.154299999999999</v>
      </c>
      <c r="H310" s="72">
        <v>41.924599999999998</v>
      </c>
      <c r="I310" s="68"/>
      <c r="J310" s="68"/>
      <c r="K310" s="69"/>
      <c r="L310" s="29"/>
      <c r="M310" s="81"/>
      <c r="N310" s="72">
        <v>33.546599999999998</v>
      </c>
      <c r="O310" s="72">
        <v>42.156100000000002</v>
      </c>
      <c r="P310" s="72">
        <v>41.927100000000003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0</v>
      </c>
      <c r="AE310" s="72">
        <f t="shared" si="16"/>
        <v>-1.8000000000029104E-3</v>
      </c>
      <c r="AF310" s="72">
        <f t="shared" si="16"/>
        <v>-2.5000000000048317E-3</v>
      </c>
      <c r="AG310" s="68"/>
      <c r="AH310" s="68"/>
      <c r="AI310" s="69"/>
    </row>
    <row r="311" spans="1:35" ht="12" x14ac:dyDescent="0.2">
      <c r="B311" s="36"/>
      <c r="C311" s="29" t="s">
        <v>12</v>
      </c>
      <c r="D311" s="32">
        <v>25</v>
      </c>
      <c r="E311" s="45">
        <v>4219.7312000000002</v>
      </c>
      <c r="F311" s="70"/>
      <c r="G311" s="70"/>
      <c r="H311" s="70"/>
      <c r="I311" s="45">
        <v>53801.186999999998</v>
      </c>
      <c r="J311" s="45">
        <v>123.578</v>
      </c>
      <c r="K311" s="45">
        <v>810.11</v>
      </c>
      <c r="L311" s="29"/>
      <c r="M311" s="45">
        <v>4220.3991999999998</v>
      </c>
      <c r="N311" s="70"/>
      <c r="O311" s="70"/>
      <c r="P311" s="70"/>
      <c r="Q311" s="45">
        <v>54235.235000000001</v>
      </c>
      <c r="R311" s="45">
        <v>119.34399999999999</v>
      </c>
      <c r="S311" s="45">
        <v>813.79700000000003</v>
      </c>
      <c r="U311" s="8"/>
      <c r="V311" s="9"/>
      <c r="W311" s="10"/>
      <c r="X311" s="29"/>
      <c r="Y311" s="61">
        <f>GEOMEAN(Q311:Q314)/GEOMEAN(I311:I314)</f>
        <v>1.0058645017978998</v>
      </c>
      <c r="Z311" s="61">
        <f>GEOMEAN(R311:R314)/GEOMEAN(J311:J314)</f>
        <v>0.94487412724533515</v>
      </c>
      <c r="AA311" s="57">
        <f>GEOMEAN(S311:S314)/GEOMEAN(K311:K314)</f>
        <v>1.0125291434007648</v>
      </c>
      <c r="AC311" s="45">
        <f>E311 -M311</f>
        <v>-0.66799999999966531</v>
      </c>
      <c r="AD311" s="70"/>
      <c r="AE311" s="70"/>
      <c r="AF311" s="70"/>
      <c r="AG311" s="45">
        <f t="shared" ref="AG311:AI314" si="18">I311 -Q311</f>
        <v>-434.0480000000025</v>
      </c>
      <c r="AH311" s="45">
        <f t="shared" si="18"/>
        <v>4.2340000000000089</v>
      </c>
      <c r="AI311" s="45">
        <f t="shared" si="18"/>
        <v>-3.6870000000000118</v>
      </c>
    </row>
    <row r="312" spans="1:35" ht="12" x14ac:dyDescent="0.2">
      <c r="B312" s="36"/>
      <c r="C312" s="29"/>
      <c r="D312" s="32">
        <v>30</v>
      </c>
      <c r="E312" s="46">
        <v>1452.5744</v>
      </c>
      <c r="F312" s="70"/>
      <c r="G312" s="70"/>
      <c r="H312" s="70"/>
      <c r="I312" s="46">
        <v>41671.766000000003</v>
      </c>
      <c r="J312" s="46">
        <v>112.89</v>
      </c>
      <c r="K312" s="46">
        <v>827.98500000000001</v>
      </c>
      <c r="L312" s="29"/>
      <c r="M312" s="46">
        <v>1452.8024</v>
      </c>
      <c r="N312" s="70"/>
      <c r="O312" s="70"/>
      <c r="P312" s="70"/>
      <c r="Q312" s="46">
        <v>41766.671999999999</v>
      </c>
      <c r="R312" s="46">
        <v>118.375</v>
      </c>
      <c r="S312" s="46">
        <v>869.09299999999996</v>
      </c>
      <c r="U312" s="41"/>
      <c r="V312" s="42"/>
      <c r="W312" s="43"/>
      <c r="X312" s="29"/>
      <c r="Y312" s="24"/>
      <c r="Z312" s="24"/>
      <c r="AA312" s="27"/>
      <c r="AC312" s="46">
        <f>E312 -M312</f>
        <v>-0.22800000000006548</v>
      </c>
      <c r="AD312" s="70"/>
      <c r="AE312" s="70"/>
      <c r="AF312" s="70"/>
      <c r="AG312" s="46">
        <f t="shared" si="18"/>
        <v>-94.905999999995402</v>
      </c>
      <c r="AH312" s="46">
        <f t="shared" si="18"/>
        <v>-5.4849999999999994</v>
      </c>
      <c r="AI312" s="46">
        <f t="shared" si="18"/>
        <v>-41.107999999999947</v>
      </c>
    </row>
    <row r="313" spans="1:35" ht="12" x14ac:dyDescent="0.2">
      <c r="B313" s="36"/>
      <c r="C313" s="29"/>
      <c r="D313" s="32">
        <v>35</v>
      </c>
      <c r="E313" s="46">
        <v>656.01919999999996</v>
      </c>
      <c r="F313" s="70"/>
      <c r="G313" s="70"/>
      <c r="H313" s="70"/>
      <c r="I313" s="46">
        <v>36053.093999999997</v>
      </c>
      <c r="J313" s="46">
        <v>135.172</v>
      </c>
      <c r="K313" s="46">
        <v>908.36</v>
      </c>
      <c r="L313" s="29"/>
      <c r="M313" s="46">
        <v>655.91120000000001</v>
      </c>
      <c r="N313" s="70"/>
      <c r="O313" s="70"/>
      <c r="P313" s="70"/>
      <c r="Q313" s="46">
        <v>36313.141000000003</v>
      </c>
      <c r="R313" s="46">
        <v>117.90600000000001</v>
      </c>
      <c r="S313" s="46">
        <v>924.70299999999997</v>
      </c>
      <c r="U313" s="17"/>
      <c r="V313" s="18"/>
      <c r="W313" s="19"/>
      <c r="X313" s="29"/>
      <c r="Y313" s="24"/>
      <c r="Z313" s="24"/>
      <c r="AA313" s="27"/>
      <c r="AC313" s="46">
        <f>E313 -M313</f>
        <v>0.10799999999994725</v>
      </c>
      <c r="AD313" s="70"/>
      <c r="AE313" s="70"/>
      <c r="AF313" s="70"/>
      <c r="AG313" s="46">
        <f t="shared" si="18"/>
        <v>-260.04700000000594</v>
      </c>
      <c r="AH313" s="46">
        <f t="shared" si="18"/>
        <v>17.265999999999991</v>
      </c>
      <c r="AI313" s="46">
        <f t="shared" si="18"/>
        <v>-16.342999999999961</v>
      </c>
    </row>
    <row r="314" spans="1:35" ht="12.75" thickBot="1" x14ac:dyDescent="0.25">
      <c r="B314" s="52"/>
      <c r="C314" s="53"/>
      <c r="D314" s="71">
        <v>40</v>
      </c>
      <c r="E314" s="72">
        <v>330.67840000000001</v>
      </c>
      <c r="F314" s="81"/>
      <c r="G314" s="81"/>
      <c r="H314" s="81"/>
      <c r="I314" s="72">
        <v>32380.062999999998</v>
      </c>
      <c r="J314" s="72">
        <v>131.23500000000001</v>
      </c>
      <c r="K314" s="72">
        <v>961.39099999999996</v>
      </c>
      <c r="L314" s="29"/>
      <c r="M314" s="72">
        <v>330.62720000000002</v>
      </c>
      <c r="N314" s="81"/>
      <c r="O314" s="81"/>
      <c r="P314" s="81"/>
      <c r="Q314" s="72">
        <v>32571.420999999998</v>
      </c>
      <c r="R314" s="72">
        <v>118.422</v>
      </c>
      <c r="S314" s="72">
        <v>941.39099999999996</v>
      </c>
      <c r="U314" s="85"/>
      <c r="V314" s="86"/>
      <c r="W314" s="87"/>
      <c r="X314" s="29"/>
      <c r="Y314" s="49"/>
      <c r="Z314" s="49"/>
      <c r="AA314" s="54"/>
      <c r="AC314" s="72">
        <f>E314 -M314</f>
        <v>5.1199999999994361E-2</v>
      </c>
      <c r="AD314" s="81"/>
      <c r="AE314" s="81"/>
      <c r="AF314" s="81"/>
      <c r="AG314" s="72">
        <f t="shared" si="18"/>
        <v>-191.35800000000017</v>
      </c>
      <c r="AH314" s="72">
        <f t="shared" si="18"/>
        <v>12.813000000000017</v>
      </c>
      <c r="AI314" s="72">
        <f t="shared" si="18"/>
        <v>20</v>
      </c>
    </row>
    <row r="315" spans="1:35" ht="12" x14ac:dyDescent="0.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4630.7079999999996</v>
      </c>
      <c r="F315" s="45">
        <v>38.8048</v>
      </c>
      <c r="G315" s="45">
        <v>46.653799999999997</v>
      </c>
      <c r="H315" s="45">
        <v>45.9587</v>
      </c>
      <c r="I315" s="79"/>
      <c r="J315" s="79"/>
      <c r="K315" s="80"/>
      <c r="L315" s="29"/>
      <c r="M315" s="45">
        <v>4630.7079999999996</v>
      </c>
      <c r="N315" s="45">
        <v>38.8048</v>
      </c>
      <c r="O315" s="45">
        <v>46.653799999999997</v>
      </c>
      <c r="P315" s="45">
        <v>45.9587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 x14ac:dyDescent="0.2">
      <c r="B316" s="36"/>
      <c r="C316" s="29"/>
      <c r="D316" s="32">
        <v>30</v>
      </c>
      <c r="E316" s="46">
        <v>2006.9952000000001</v>
      </c>
      <c r="F316" s="46">
        <v>35.911999999999999</v>
      </c>
      <c r="G316" s="46">
        <v>45.149700000000003</v>
      </c>
      <c r="H316" s="46">
        <v>44.572000000000003</v>
      </c>
      <c r="I316" s="66"/>
      <c r="J316" s="66"/>
      <c r="K316" s="67"/>
      <c r="L316" s="29"/>
      <c r="M316" s="46">
        <v>2006.9952000000001</v>
      </c>
      <c r="N316" s="46">
        <v>35.911999999999999</v>
      </c>
      <c r="O316" s="46">
        <v>45.149700000000003</v>
      </c>
      <c r="P316" s="46">
        <v>44.572000000000003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 x14ac:dyDescent="0.2">
      <c r="B317" s="36"/>
      <c r="C317" s="29"/>
      <c r="D317" s="32">
        <v>35</v>
      </c>
      <c r="E317" s="46">
        <v>917.1232</v>
      </c>
      <c r="F317" s="46">
        <v>33.379800000000003</v>
      </c>
      <c r="G317" s="46">
        <v>43.7883</v>
      </c>
      <c r="H317" s="46">
        <v>43.339700000000001</v>
      </c>
      <c r="I317" s="66"/>
      <c r="J317" s="66"/>
      <c r="K317" s="67"/>
      <c r="L317" s="29"/>
      <c r="M317" s="46">
        <v>917.1232</v>
      </c>
      <c r="N317" s="46">
        <v>33.379800000000003</v>
      </c>
      <c r="O317" s="46">
        <v>43.7883</v>
      </c>
      <c r="P317" s="46">
        <v>43.339700000000001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 x14ac:dyDescent="0.25">
      <c r="B318" s="36"/>
      <c r="C318" s="29"/>
      <c r="D318" s="32">
        <v>40</v>
      </c>
      <c r="E318" s="46">
        <v>425.2296</v>
      </c>
      <c r="F318" s="46">
        <v>31.0777</v>
      </c>
      <c r="G318" s="46">
        <v>42.991799999999998</v>
      </c>
      <c r="H318" s="46">
        <v>42.585000000000001</v>
      </c>
      <c r="I318" s="66"/>
      <c r="J318" s="66"/>
      <c r="K318" s="67"/>
      <c r="L318" s="29"/>
      <c r="M318" s="46">
        <v>425.2296</v>
      </c>
      <c r="N318" s="46">
        <v>31.0777</v>
      </c>
      <c r="O318" s="46">
        <v>42.991799999999998</v>
      </c>
      <c r="P318" s="46">
        <v>42.585000000000001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 x14ac:dyDescent="0.2">
      <c r="B319" s="36"/>
      <c r="C319" s="28" t="s">
        <v>27</v>
      </c>
      <c r="D319" s="31">
        <v>25</v>
      </c>
      <c r="E319" s="45">
        <v>909.58640000000003</v>
      </c>
      <c r="F319" s="45">
        <v>37.974899999999998</v>
      </c>
      <c r="G319" s="45">
        <v>46.575899999999997</v>
      </c>
      <c r="H319" s="45">
        <v>45.974299999999999</v>
      </c>
      <c r="I319" s="79"/>
      <c r="J319" s="79"/>
      <c r="K319" s="80"/>
      <c r="L319" s="29"/>
      <c r="M319" s="45">
        <v>908.59199999999998</v>
      </c>
      <c r="N319" s="45">
        <v>37.9739</v>
      </c>
      <c r="O319" s="45">
        <v>46.577599999999997</v>
      </c>
      <c r="P319" s="45">
        <v>45.975000000000001</v>
      </c>
      <c r="Q319" s="79"/>
      <c r="R319" s="79"/>
      <c r="S319" s="80"/>
      <c r="U319" s="8">
        <f>bdrate($E319:$E322,F319:F322,$M319:$M322,N319:N322)</f>
        <v>-1.110072796631778E-4</v>
      </c>
      <c r="V319" s="9">
        <f>bdrate($E319:$E322,G319:G322,$M319:$M322,O319:O322)</f>
        <v>5.8507314460598536E-4</v>
      </c>
      <c r="W319" s="10">
        <f>bdrate($E319:$E322,H319:H322,$M319:$M322,P319:P322)</f>
        <v>-2.2854931244453702E-4</v>
      </c>
      <c r="X319" s="29"/>
      <c r="Y319" s="24"/>
      <c r="Z319" s="24"/>
      <c r="AA319" s="27"/>
      <c r="AC319" s="45">
        <f t="shared" si="20"/>
        <v>0.99440000000004147</v>
      </c>
      <c r="AD319" s="45">
        <f t="shared" si="19"/>
        <v>9.9999999999766942E-4</v>
      </c>
      <c r="AE319" s="45">
        <f t="shared" si="19"/>
        <v>-1.6999999999995907E-3</v>
      </c>
      <c r="AF319" s="45">
        <f t="shared" si="19"/>
        <v>-7.0000000000192131E-4</v>
      </c>
      <c r="AG319" s="79"/>
      <c r="AH319" s="79"/>
      <c r="AI319" s="80"/>
    </row>
    <row r="320" spans="1:35" ht="12" x14ac:dyDescent="0.2">
      <c r="B320" s="36"/>
      <c r="C320" s="29"/>
      <c r="D320" s="32">
        <v>30</v>
      </c>
      <c r="E320" s="46">
        <v>318.89920000000001</v>
      </c>
      <c r="F320" s="46">
        <v>35.3459</v>
      </c>
      <c r="G320" s="46">
        <v>45.114400000000003</v>
      </c>
      <c r="H320" s="46">
        <v>44.587600000000002</v>
      </c>
      <c r="I320" s="66"/>
      <c r="J320" s="66"/>
      <c r="K320" s="67"/>
      <c r="L320" s="29"/>
      <c r="M320" s="46">
        <v>318.78320000000002</v>
      </c>
      <c r="N320" s="46">
        <v>35.346800000000002</v>
      </c>
      <c r="O320" s="46">
        <v>45.113799999999998</v>
      </c>
      <c r="P320" s="46">
        <v>44.588299999999997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0.11599999999998545</v>
      </c>
      <c r="AD320" s="46">
        <f t="shared" si="19"/>
        <v>-9.0000000000145519E-4</v>
      </c>
      <c r="AE320" s="46">
        <f t="shared" si="19"/>
        <v>6.0000000000570708E-4</v>
      </c>
      <c r="AF320" s="46">
        <f t="shared" si="19"/>
        <v>-6.9999999999481588E-4</v>
      </c>
      <c r="AG320" s="66"/>
      <c r="AH320" s="66"/>
      <c r="AI320" s="67"/>
    </row>
    <row r="321" spans="2:35" ht="12" x14ac:dyDescent="0.2">
      <c r="B321" s="36"/>
      <c r="C321" s="29"/>
      <c r="D321" s="32">
        <v>35</v>
      </c>
      <c r="E321" s="46">
        <v>136.2688</v>
      </c>
      <c r="F321" s="46">
        <v>32.950000000000003</v>
      </c>
      <c r="G321" s="46">
        <v>43.850999999999999</v>
      </c>
      <c r="H321" s="46">
        <v>43.4071</v>
      </c>
      <c r="I321" s="66"/>
      <c r="J321" s="66"/>
      <c r="K321" s="67"/>
      <c r="L321" s="29"/>
      <c r="M321" s="46">
        <v>136.39359999999999</v>
      </c>
      <c r="N321" s="46">
        <v>32.950000000000003</v>
      </c>
      <c r="O321" s="46">
        <v>43.848999999999997</v>
      </c>
      <c r="P321" s="46">
        <v>43.406700000000001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-0.12479999999999336</v>
      </c>
      <c r="AD321" s="46">
        <f t="shared" si="19"/>
        <v>0</v>
      </c>
      <c r="AE321" s="46">
        <f t="shared" si="19"/>
        <v>2.0000000000024443E-3</v>
      </c>
      <c r="AF321" s="46">
        <f t="shared" si="19"/>
        <v>3.9999999999906777E-4</v>
      </c>
      <c r="AG321" s="66"/>
      <c r="AH321" s="66"/>
      <c r="AI321" s="67"/>
    </row>
    <row r="322" spans="2:35" ht="12.75" thickBot="1" x14ac:dyDescent="0.25">
      <c r="B322" s="36"/>
      <c r="C322" s="29"/>
      <c r="D322" s="32">
        <v>40</v>
      </c>
      <c r="E322" s="46">
        <v>63.244</v>
      </c>
      <c r="F322" s="46">
        <v>30.7301</v>
      </c>
      <c r="G322" s="46">
        <v>43.039299999999997</v>
      </c>
      <c r="H322" s="46">
        <v>42.653500000000001</v>
      </c>
      <c r="I322" s="66"/>
      <c r="J322" s="66"/>
      <c r="K322" s="67"/>
      <c r="L322" s="29"/>
      <c r="M322" s="46">
        <v>63.221600000000002</v>
      </c>
      <c r="N322" s="46">
        <v>30.730499999999999</v>
      </c>
      <c r="O322" s="46">
        <v>43.036700000000003</v>
      </c>
      <c r="P322" s="46">
        <v>42.6524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2.2399999999997533E-2</v>
      </c>
      <c r="AD322" s="46">
        <f t="shared" si="19"/>
        <v>-3.9999999999906777E-4</v>
      </c>
      <c r="AE322" s="46">
        <f t="shared" si="19"/>
        <v>2.5999999999939405E-3</v>
      </c>
      <c r="AF322" s="46">
        <f t="shared" si="19"/>
        <v>1.1000000000009891E-3</v>
      </c>
      <c r="AG322" s="66"/>
      <c r="AH322" s="66"/>
      <c r="AI322" s="67"/>
    </row>
    <row r="323" spans="2:35" ht="12" x14ac:dyDescent="0.2">
      <c r="B323" s="36"/>
      <c r="C323" s="28" t="s">
        <v>28</v>
      </c>
      <c r="D323" s="31">
        <v>25</v>
      </c>
      <c r="E323" s="45">
        <v>864.38720000000001</v>
      </c>
      <c r="F323" s="45">
        <v>38.140599999999999</v>
      </c>
      <c r="G323" s="45">
        <v>46.5154</v>
      </c>
      <c r="H323" s="45">
        <v>45.7759</v>
      </c>
      <c r="I323" s="79"/>
      <c r="J323" s="79"/>
      <c r="K323" s="80"/>
      <c r="L323" s="29"/>
      <c r="M323" s="45">
        <v>863.44560000000001</v>
      </c>
      <c r="N323" s="45">
        <v>38.140599999999999</v>
      </c>
      <c r="O323" s="45">
        <v>46.515000000000001</v>
      </c>
      <c r="P323" s="45">
        <v>45.777099999999997</v>
      </c>
      <c r="Q323" s="79"/>
      <c r="R323" s="79"/>
      <c r="S323" s="80"/>
      <c r="U323" s="8">
        <f>bdrate($E323:$E326,F323:F326,$M323:$M326,N323:N326)</f>
        <v>2.6332577492982345E-4</v>
      </c>
      <c r="V323" s="9">
        <f>bdrate($E323:$E326,G323:G326,$M323:$M326,O323:O326)</f>
        <v>5.7998887919019637E-4</v>
      </c>
      <c r="W323" s="10">
        <f>bdrate($E323:$E326,H323:H326,$M323:$M326,P323:P326)</f>
        <v>5.9172999394774273E-4</v>
      </c>
      <c r="X323" s="29"/>
      <c r="Y323" s="24"/>
      <c r="Z323" s="24"/>
      <c r="AA323" s="27"/>
      <c r="AC323" s="45">
        <f t="shared" si="20"/>
        <v>0.941599999999994</v>
      </c>
      <c r="AD323" s="45">
        <f t="shared" si="19"/>
        <v>0</v>
      </c>
      <c r="AE323" s="45">
        <f t="shared" si="19"/>
        <v>3.9999999999906777E-4</v>
      </c>
      <c r="AF323" s="45">
        <f t="shared" si="19"/>
        <v>-1.1999999999972033E-3</v>
      </c>
      <c r="AG323" s="79"/>
      <c r="AH323" s="79"/>
      <c r="AI323" s="80"/>
    </row>
    <row r="324" spans="2:35" ht="12" x14ac:dyDescent="0.2">
      <c r="B324" s="36"/>
      <c r="C324" s="29"/>
      <c r="D324" s="32">
        <v>30</v>
      </c>
      <c r="E324" s="46">
        <v>304.57920000000001</v>
      </c>
      <c r="F324" s="46">
        <v>35.533099999999997</v>
      </c>
      <c r="G324" s="46">
        <v>45.045000000000002</v>
      </c>
      <c r="H324" s="46">
        <v>44.432299999999998</v>
      </c>
      <c r="I324" s="66"/>
      <c r="J324" s="66"/>
      <c r="K324" s="67"/>
      <c r="L324" s="29"/>
      <c r="M324" s="46">
        <v>304.72559999999999</v>
      </c>
      <c r="N324" s="46">
        <v>35.533799999999999</v>
      </c>
      <c r="O324" s="46">
        <v>45.045299999999997</v>
      </c>
      <c r="P324" s="46">
        <v>44.4313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-0.14639999999997144</v>
      </c>
      <c r="AD324" s="46">
        <f t="shared" si="19"/>
        <v>-7.0000000000192131E-4</v>
      </c>
      <c r="AE324" s="46">
        <f t="shared" si="19"/>
        <v>-2.9999999999574811E-4</v>
      </c>
      <c r="AF324" s="46">
        <f t="shared" si="19"/>
        <v>9.9999999999766942E-4</v>
      </c>
      <c r="AG324" s="66"/>
      <c r="AH324" s="66"/>
      <c r="AI324" s="67"/>
    </row>
    <row r="325" spans="2:35" ht="12" x14ac:dyDescent="0.2">
      <c r="B325" s="36"/>
      <c r="C325" s="29"/>
      <c r="D325" s="32">
        <v>35</v>
      </c>
      <c r="E325" s="46">
        <v>130.53440000000001</v>
      </c>
      <c r="F325" s="46">
        <v>33.141800000000003</v>
      </c>
      <c r="G325" s="46">
        <v>43.755099999999999</v>
      </c>
      <c r="H325" s="46">
        <v>43.262</v>
      </c>
      <c r="I325" s="66"/>
      <c r="J325" s="66"/>
      <c r="K325" s="67"/>
      <c r="L325" s="29"/>
      <c r="M325" s="46">
        <v>130.68</v>
      </c>
      <c r="N325" s="46">
        <v>33.142099999999999</v>
      </c>
      <c r="O325" s="46">
        <v>43.7547</v>
      </c>
      <c r="P325" s="46">
        <v>43.262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-0.14560000000000173</v>
      </c>
      <c r="AD325" s="46">
        <f t="shared" si="19"/>
        <v>-2.9999999999574811E-4</v>
      </c>
      <c r="AE325" s="46">
        <f t="shared" si="19"/>
        <v>3.9999999999906777E-4</v>
      </c>
      <c r="AF325" s="46">
        <f t="shared" si="19"/>
        <v>0</v>
      </c>
      <c r="AG325" s="66"/>
      <c r="AH325" s="66"/>
      <c r="AI325" s="67"/>
    </row>
    <row r="326" spans="2:35" ht="12.75" thickBot="1" x14ac:dyDescent="0.25">
      <c r="B326" s="36"/>
      <c r="C326" s="53"/>
      <c r="D326" s="71">
        <v>40</v>
      </c>
      <c r="E326" s="72">
        <v>60.563200000000002</v>
      </c>
      <c r="F326" s="72">
        <v>30.905999999999999</v>
      </c>
      <c r="G326" s="72">
        <v>42.953099999999999</v>
      </c>
      <c r="H326" s="72">
        <v>42.502000000000002</v>
      </c>
      <c r="I326" s="68"/>
      <c r="J326" s="68"/>
      <c r="K326" s="69"/>
      <c r="L326" s="29"/>
      <c r="M326" s="72">
        <v>60.5336</v>
      </c>
      <c r="N326" s="72">
        <v>30.9053</v>
      </c>
      <c r="O326" s="72">
        <v>42.950899999999997</v>
      </c>
      <c r="P326" s="72">
        <v>42.501399999999997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2.9600000000002069E-2</v>
      </c>
      <c r="AD326" s="72">
        <f t="shared" si="19"/>
        <v>6.9999999999836859E-4</v>
      </c>
      <c r="AE326" s="72">
        <f t="shared" si="19"/>
        <v>2.2000000000019782E-3</v>
      </c>
      <c r="AF326" s="72">
        <f t="shared" si="19"/>
        <v>6.0000000000570708E-4</v>
      </c>
      <c r="AG326" s="68"/>
      <c r="AH326" s="68"/>
      <c r="AI326" s="69"/>
    </row>
    <row r="327" spans="2:35" ht="12" x14ac:dyDescent="0.2">
      <c r="B327" s="36"/>
      <c r="C327" s="28" t="s">
        <v>29</v>
      </c>
      <c r="D327" s="31">
        <v>34</v>
      </c>
      <c r="E327" s="45">
        <v>213.17679999999999</v>
      </c>
      <c r="F327" s="45">
        <v>47.753799999999998</v>
      </c>
      <c r="G327" s="78"/>
      <c r="H327" s="78"/>
      <c r="I327" s="79"/>
      <c r="J327" s="79"/>
      <c r="K327" s="80"/>
      <c r="L327" s="29"/>
      <c r="M327" s="45">
        <v>213.0008</v>
      </c>
      <c r="N327" s="45">
        <v>47.746200000000002</v>
      </c>
      <c r="O327" s="78"/>
      <c r="P327" s="78"/>
      <c r="Q327" s="79"/>
      <c r="R327" s="79"/>
      <c r="S327" s="80"/>
      <c r="U327" s="8">
        <f>bdrate($E327:$E330,F327:F330,$M327:$M330,N327:N330)</f>
        <v>-1.4406122661561049E-3</v>
      </c>
      <c r="V327" s="9"/>
      <c r="W327" s="10"/>
      <c r="X327" s="29"/>
      <c r="Y327" s="24"/>
      <c r="Z327" s="24"/>
      <c r="AA327" s="27"/>
      <c r="AC327" s="45">
        <f t="shared" si="20"/>
        <v>0.17599999999998772</v>
      </c>
      <c r="AD327" s="45">
        <f t="shared" si="19"/>
        <v>7.5999999999964984E-3</v>
      </c>
      <c r="AE327" s="78"/>
      <c r="AF327" s="78"/>
      <c r="AG327" s="79"/>
      <c r="AH327" s="79"/>
      <c r="AI327" s="80"/>
    </row>
    <row r="328" spans="2:35" ht="12" x14ac:dyDescent="0.2">
      <c r="B328" s="36"/>
      <c r="C328" s="29"/>
      <c r="D328" s="32">
        <v>39</v>
      </c>
      <c r="E328" s="46">
        <v>95.991200000000006</v>
      </c>
      <c r="F328" s="46">
        <v>43.088900000000002</v>
      </c>
      <c r="G328" s="70"/>
      <c r="H328" s="70"/>
      <c r="I328" s="66"/>
      <c r="J328" s="66"/>
      <c r="K328" s="67"/>
      <c r="L328" s="29"/>
      <c r="M328" s="46">
        <v>95.743200000000002</v>
      </c>
      <c r="N328" s="46">
        <v>43.093400000000003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0.24800000000000466</v>
      </c>
      <c r="AD328" s="46">
        <f t="shared" si="19"/>
        <v>-4.5000000000001705E-3</v>
      </c>
      <c r="AE328" s="70"/>
      <c r="AF328" s="70"/>
      <c r="AG328" s="66"/>
      <c r="AH328" s="66"/>
      <c r="AI328" s="67"/>
    </row>
    <row r="329" spans="2:35" ht="12" x14ac:dyDescent="0.2">
      <c r="B329" s="36"/>
      <c r="C329" s="29"/>
      <c r="D329" s="32">
        <v>42</v>
      </c>
      <c r="E329" s="46">
        <v>46.189599999999999</v>
      </c>
      <c r="F329" s="46">
        <v>39.378999999999998</v>
      </c>
      <c r="G329" s="70"/>
      <c r="H329" s="70"/>
      <c r="I329" s="66"/>
      <c r="J329" s="66"/>
      <c r="K329" s="67"/>
      <c r="L329" s="29"/>
      <c r="M329" s="46">
        <v>46.1432</v>
      </c>
      <c r="N329" s="46">
        <v>39.377299999999998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4.6399999999998442E-2</v>
      </c>
      <c r="AD329" s="46">
        <f t="shared" si="19"/>
        <v>1.6999999999995907E-3</v>
      </c>
      <c r="AE329" s="70"/>
      <c r="AF329" s="70"/>
      <c r="AG329" s="66"/>
      <c r="AH329" s="66"/>
      <c r="AI329" s="67"/>
    </row>
    <row r="330" spans="2:35" ht="12.75" thickBot="1" x14ac:dyDescent="0.25">
      <c r="B330" s="36"/>
      <c r="C330" s="29"/>
      <c r="D330" s="32">
        <v>45</v>
      </c>
      <c r="E330" s="46">
        <v>21.458400000000001</v>
      </c>
      <c r="F330" s="46">
        <v>35.411000000000001</v>
      </c>
      <c r="G330" s="70"/>
      <c r="H330" s="70"/>
      <c r="I330" s="66"/>
      <c r="J330" s="66"/>
      <c r="K330" s="67"/>
      <c r="L330" s="29"/>
      <c r="M330" s="46">
        <v>21.460799999999999</v>
      </c>
      <c r="N330" s="46">
        <v>35.408200000000001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-2.3999999999979593E-3</v>
      </c>
      <c r="AD330" s="46">
        <f t="shared" si="19"/>
        <v>2.8000000000005798E-3</v>
      </c>
      <c r="AE330" s="70"/>
      <c r="AF330" s="70"/>
      <c r="AG330" s="66"/>
      <c r="AH330" s="66"/>
      <c r="AI330" s="67"/>
    </row>
    <row r="331" spans="2:35" ht="12" x14ac:dyDescent="0.2">
      <c r="B331" s="36"/>
      <c r="C331" s="28" t="s">
        <v>30</v>
      </c>
      <c r="D331" s="31">
        <v>34</v>
      </c>
      <c r="E331" s="45">
        <v>94.106399999999994</v>
      </c>
      <c r="F331" s="45">
        <v>46.292999999999999</v>
      </c>
      <c r="G331" s="78"/>
      <c r="H331" s="78"/>
      <c r="I331" s="79"/>
      <c r="J331" s="79"/>
      <c r="K331" s="80"/>
      <c r="L331" s="29"/>
      <c r="M331" s="45">
        <v>94.350399999999993</v>
      </c>
      <c r="N331" s="45">
        <v>46.326000000000001</v>
      </c>
      <c r="O331" s="78"/>
      <c r="P331" s="78"/>
      <c r="Q331" s="79"/>
      <c r="R331" s="79"/>
      <c r="S331" s="80"/>
      <c r="U331" s="8">
        <f>bdrate($E331:$E334,F331:F334,$M331:$M334,N331:N334)</f>
        <v>2.0631668007511372E-3</v>
      </c>
      <c r="V331" s="9"/>
      <c r="W331" s="10"/>
      <c r="X331" s="29"/>
      <c r="Y331" s="24"/>
      <c r="Z331" s="24"/>
      <c r="AA331" s="27"/>
      <c r="AC331" s="45">
        <f t="shared" si="20"/>
        <v>-0.24399999999999977</v>
      </c>
      <c r="AD331" s="45">
        <f t="shared" si="19"/>
        <v>-3.3000000000001251E-2</v>
      </c>
      <c r="AE331" s="78"/>
      <c r="AF331" s="78"/>
      <c r="AG331" s="79"/>
      <c r="AH331" s="79"/>
      <c r="AI331" s="80"/>
    </row>
    <row r="332" spans="2:35" ht="12" x14ac:dyDescent="0.2">
      <c r="B332" s="36"/>
      <c r="C332" s="29"/>
      <c r="D332" s="32">
        <v>39</v>
      </c>
      <c r="E332" s="46">
        <v>37.435200000000002</v>
      </c>
      <c r="F332" s="46">
        <v>41.979300000000002</v>
      </c>
      <c r="G332" s="70"/>
      <c r="H332" s="70"/>
      <c r="I332" s="66"/>
      <c r="J332" s="66"/>
      <c r="K332" s="67"/>
      <c r="L332" s="29"/>
      <c r="M332" s="46">
        <v>37.288800000000002</v>
      </c>
      <c r="N332" s="46">
        <v>41.933700000000002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0.14639999999999986</v>
      </c>
      <c r="AD332" s="46">
        <f t="shared" si="19"/>
        <v>4.5600000000000307E-2</v>
      </c>
      <c r="AE332" s="70"/>
      <c r="AF332" s="70"/>
      <c r="AG332" s="66"/>
      <c r="AH332" s="66"/>
      <c r="AI332" s="67"/>
    </row>
    <row r="333" spans="2:35" ht="12" x14ac:dyDescent="0.2">
      <c r="B333" s="36"/>
      <c r="C333" s="29"/>
      <c r="D333" s="32">
        <v>42</v>
      </c>
      <c r="E333" s="46">
        <v>18.6768</v>
      </c>
      <c r="F333" s="46">
        <v>38.408900000000003</v>
      </c>
      <c r="G333" s="70"/>
      <c r="H333" s="70"/>
      <c r="I333" s="66"/>
      <c r="J333" s="66"/>
      <c r="K333" s="67"/>
      <c r="L333" s="29"/>
      <c r="M333" s="46">
        <v>18.747199999999999</v>
      </c>
      <c r="N333" s="46">
        <v>38.419600000000003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-7.0399999999999352E-2</v>
      </c>
      <c r="AD333" s="46">
        <f t="shared" si="19"/>
        <v>-1.0699999999999932E-2</v>
      </c>
      <c r="AE333" s="70"/>
      <c r="AF333" s="70"/>
      <c r="AG333" s="66"/>
      <c r="AH333" s="66"/>
      <c r="AI333" s="67"/>
    </row>
    <row r="334" spans="2:35" ht="12.75" thickBot="1" x14ac:dyDescent="0.25">
      <c r="B334" s="36"/>
      <c r="C334" s="29"/>
      <c r="D334" s="32">
        <v>45</v>
      </c>
      <c r="E334" s="46">
        <v>9.3423999999999996</v>
      </c>
      <c r="F334" s="46">
        <v>34.725900000000003</v>
      </c>
      <c r="G334" s="70"/>
      <c r="H334" s="70"/>
      <c r="I334" s="66"/>
      <c r="J334" s="66"/>
      <c r="K334" s="67"/>
      <c r="L334" s="29"/>
      <c r="M334" s="46">
        <v>9.3704000000000001</v>
      </c>
      <c r="N334" s="46">
        <v>34.7408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-2.8000000000000469E-2</v>
      </c>
      <c r="AD334" s="46">
        <f t="shared" si="19"/>
        <v>-1.4899999999997249E-2</v>
      </c>
      <c r="AE334" s="70"/>
      <c r="AF334" s="70"/>
      <c r="AG334" s="66"/>
      <c r="AH334" s="66"/>
      <c r="AI334" s="67"/>
    </row>
    <row r="335" spans="2:35" ht="12" x14ac:dyDescent="0.2">
      <c r="B335" s="36"/>
      <c r="C335" s="28" t="s">
        <v>31</v>
      </c>
      <c r="D335" s="31">
        <v>34</v>
      </c>
      <c r="E335" s="45">
        <v>94.465599999999995</v>
      </c>
      <c r="F335" s="45">
        <v>46.441600000000001</v>
      </c>
      <c r="G335" s="78"/>
      <c r="H335" s="78"/>
      <c r="I335" s="79"/>
      <c r="J335" s="79"/>
      <c r="K335" s="80"/>
      <c r="L335" s="29"/>
      <c r="M335" s="45">
        <v>94.7072</v>
      </c>
      <c r="N335" s="45">
        <v>46.444499999999998</v>
      </c>
      <c r="O335" s="78"/>
      <c r="P335" s="78"/>
      <c r="Q335" s="79"/>
      <c r="R335" s="79"/>
      <c r="S335" s="80"/>
      <c r="U335" s="8">
        <f>bdrate($E335:$E338,F335:F338,$M335:$M338,N335:N338)</f>
        <v>-1.5726150344297363E-4</v>
      </c>
      <c r="V335" s="9"/>
      <c r="W335" s="10"/>
      <c r="X335" s="29"/>
      <c r="Y335" s="24"/>
      <c r="Z335" s="24"/>
      <c r="AA335" s="27"/>
      <c r="AC335" s="45">
        <f t="shared" si="20"/>
        <v>-0.24160000000000537</v>
      </c>
      <c r="AD335" s="45">
        <f t="shared" si="19"/>
        <v>-2.899999999996794E-3</v>
      </c>
      <c r="AE335" s="78"/>
      <c r="AF335" s="78"/>
      <c r="AG335" s="79"/>
      <c r="AH335" s="79"/>
      <c r="AI335" s="80"/>
    </row>
    <row r="336" spans="2:35" ht="12" x14ac:dyDescent="0.2">
      <c r="B336" s="36"/>
      <c r="C336" s="29"/>
      <c r="D336" s="32">
        <v>39</v>
      </c>
      <c r="E336" s="46">
        <v>39.055999999999997</v>
      </c>
      <c r="F336" s="46">
        <v>42.101999999999997</v>
      </c>
      <c r="G336" s="70"/>
      <c r="H336" s="70"/>
      <c r="I336" s="66"/>
      <c r="J336" s="66"/>
      <c r="K336" s="67"/>
      <c r="L336" s="29"/>
      <c r="M336" s="46">
        <v>39.028799999999997</v>
      </c>
      <c r="N336" s="46">
        <v>42.086799999999997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2.7200000000000557E-2</v>
      </c>
      <c r="AD336" s="46">
        <f t="shared" si="19"/>
        <v>1.5200000000000102E-2</v>
      </c>
      <c r="AE336" s="70"/>
      <c r="AF336" s="70"/>
      <c r="AG336" s="66"/>
      <c r="AH336" s="66"/>
      <c r="AI336" s="67"/>
    </row>
    <row r="337" spans="2:35" ht="12" x14ac:dyDescent="0.2">
      <c r="B337" s="36"/>
      <c r="C337" s="29"/>
      <c r="D337" s="32">
        <v>42</v>
      </c>
      <c r="E337" s="46">
        <v>19.788</v>
      </c>
      <c r="F337" s="46">
        <v>38.425699999999999</v>
      </c>
      <c r="G337" s="70"/>
      <c r="H337" s="70"/>
      <c r="I337" s="66"/>
      <c r="J337" s="66"/>
      <c r="K337" s="67"/>
      <c r="L337" s="29"/>
      <c r="M337" s="46">
        <v>19.6936</v>
      </c>
      <c r="N337" s="46">
        <v>38.407200000000003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9.4400000000000261E-2</v>
      </c>
      <c r="AD337" s="46">
        <f t="shared" si="19"/>
        <v>1.8499999999995964E-2</v>
      </c>
      <c r="AE337" s="70"/>
      <c r="AF337" s="70"/>
      <c r="AG337" s="66"/>
      <c r="AH337" s="66"/>
      <c r="AI337" s="67"/>
    </row>
    <row r="338" spans="2:35" ht="12.75" thickBot="1" x14ac:dyDescent="0.25">
      <c r="B338" s="36"/>
      <c r="C338" s="29"/>
      <c r="D338" s="32">
        <v>45</v>
      </c>
      <c r="E338" s="46">
        <v>10.244</v>
      </c>
      <c r="F338" s="46">
        <v>34.769100000000002</v>
      </c>
      <c r="G338" s="70"/>
      <c r="H338" s="70"/>
      <c r="I338" s="66"/>
      <c r="J338" s="66"/>
      <c r="K338" s="67"/>
      <c r="L338" s="29"/>
      <c r="M338" s="46">
        <v>10.2088</v>
      </c>
      <c r="N338" s="46">
        <v>34.791200000000003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3.5199999999999676E-2</v>
      </c>
      <c r="AD338" s="46">
        <f t="shared" si="19"/>
        <v>-2.2100000000001785E-2</v>
      </c>
      <c r="AE338" s="46"/>
      <c r="AF338" s="46"/>
      <c r="AG338" s="66"/>
      <c r="AH338" s="66"/>
      <c r="AI338" s="67"/>
    </row>
    <row r="339" spans="2:35" ht="12" x14ac:dyDescent="0.2">
      <c r="B339" s="36"/>
      <c r="C339" s="28" t="s">
        <v>47</v>
      </c>
      <c r="D339" s="31">
        <v>25</v>
      </c>
      <c r="E339" s="78"/>
      <c r="F339" s="45">
        <v>38.524299999999997</v>
      </c>
      <c r="G339" s="45">
        <v>46.607799999999997</v>
      </c>
      <c r="H339" s="45">
        <v>45.603700000000003</v>
      </c>
      <c r="I339" s="79"/>
      <c r="J339" s="79"/>
      <c r="K339" s="80"/>
      <c r="L339" s="29"/>
      <c r="M339" s="78"/>
      <c r="N339" s="45">
        <v>38.523299999999999</v>
      </c>
      <c r="O339" s="45">
        <v>46.592799999999997</v>
      </c>
      <c r="P339" s="45">
        <v>45.575899999999997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9.9999999999766942E-4</v>
      </c>
      <c r="AE339" s="45">
        <f t="shared" si="19"/>
        <v>1.5000000000000568E-2</v>
      </c>
      <c r="AF339" s="45">
        <f t="shared" si="19"/>
        <v>2.7800000000006264E-2</v>
      </c>
      <c r="AG339" s="79"/>
      <c r="AH339" s="79"/>
      <c r="AI339" s="80"/>
    </row>
    <row r="340" spans="2:35" ht="12" x14ac:dyDescent="0.2">
      <c r="B340" s="36"/>
      <c r="C340" s="29"/>
      <c r="D340" s="32">
        <v>30</v>
      </c>
      <c r="E340" s="70"/>
      <c r="F340" s="46">
        <v>35.703299999999999</v>
      </c>
      <c r="G340" s="46">
        <v>45.250300000000003</v>
      </c>
      <c r="H340" s="46">
        <v>44.408700000000003</v>
      </c>
      <c r="I340" s="66"/>
      <c r="J340" s="66"/>
      <c r="K340" s="67"/>
      <c r="L340" s="29"/>
      <c r="M340" s="70"/>
      <c r="N340" s="46">
        <v>35.708199999999998</v>
      </c>
      <c r="O340" s="46">
        <v>45.267000000000003</v>
      </c>
      <c r="P340" s="46">
        <v>44.398299999999999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-4.8999999999992383E-3</v>
      </c>
      <c r="AE340" s="46">
        <f t="shared" si="19"/>
        <v>-1.6700000000000159E-2</v>
      </c>
      <c r="AF340" s="46">
        <f t="shared" si="19"/>
        <v>1.0400000000004184E-2</v>
      </c>
      <c r="AG340" s="66"/>
      <c r="AH340" s="66"/>
      <c r="AI340" s="67"/>
    </row>
    <row r="341" spans="2:35" ht="12" x14ac:dyDescent="0.2">
      <c r="B341" s="36"/>
      <c r="C341" s="29"/>
      <c r="D341" s="32">
        <v>35</v>
      </c>
      <c r="E341" s="70"/>
      <c r="F341" s="46">
        <v>33.1751</v>
      </c>
      <c r="G341" s="46">
        <v>44.004600000000003</v>
      </c>
      <c r="H341" s="46">
        <v>43.423999999999999</v>
      </c>
      <c r="I341" s="66"/>
      <c r="J341" s="66"/>
      <c r="K341" s="67"/>
      <c r="L341" s="29"/>
      <c r="M341" s="70"/>
      <c r="N341" s="46">
        <v>33.174599999999998</v>
      </c>
      <c r="O341" s="46">
        <v>43.997399999999999</v>
      </c>
      <c r="P341" s="46">
        <v>43.424300000000002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5.0000000000238742E-4</v>
      </c>
      <c r="AE341" s="46">
        <f t="shared" si="19"/>
        <v>7.2000000000045361E-3</v>
      </c>
      <c r="AF341" s="46">
        <f t="shared" si="19"/>
        <v>-3.0000000000285354E-4</v>
      </c>
      <c r="AG341" s="66"/>
      <c r="AH341" s="66"/>
      <c r="AI341" s="67"/>
    </row>
    <row r="342" spans="2:35" ht="12.75" thickBot="1" x14ac:dyDescent="0.25">
      <c r="B342" s="36"/>
      <c r="C342" s="53"/>
      <c r="D342" s="71">
        <v>40</v>
      </c>
      <c r="E342" s="81"/>
      <c r="F342" s="72">
        <v>30.868300000000001</v>
      </c>
      <c r="G342" s="72">
        <v>43.267000000000003</v>
      </c>
      <c r="H342" s="72">
        <v>42.776000000000003</v>
      </c>
      <c r="I342" s="68"/>
      <c r="J342" s="68"/>
      <c r="K342" s="69"/>
      <c r="L342" s="29"/>
      <c r="M342" s="81"/>
      <c r="N342" s="72">
        <v>30.868600000000001</v>
      </c>
      <c r="O342" s="72">
        <v>43.254899999999999</v>
      </c>
      <c r="P342" s="72">
        <v>42.775599999999997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-2.9999999999930083E-4</v>
      </c>
      <c r="AE342" s="72">
        <f t="shared" si="19"/>
        <v>1.2100000000003774E-2</v>
      </c>
      <c r="AF342" s="72">
        <f t="shared" si="19"/>
        <v>4.000000000061732E-4</v>
      </c>
      <c r="AG342" s="68"/>
      <c r="AH342" s="68"/>
      <c r="AI342" s="69"/>
    </row>
    <row r="343" spans="2:35" ht="12" x14ac:dyDescent="0.2">
      <c r="B343" s="36"/>
      <c r="C343" s="29" t="s">
        <v>48</v>
      </c>
      <c r="D343" s="32">
        <v>25</v>
      </c>
      <c r="E343" s="70"/>
      <c r="F343" s="45">
        <v>38.926099999999998</v>
      </c>
      <c r="G343" s="45">
        <v>46.957700000000003</v>
      </c>
      <c r="H343" s="45">
        <v>46.007300000000001</v>
      </c>
      <c r="I343" s="66"/>
      <c r="J343" s="66"/>
      <c r="K343" s="67"/>
      <c r="L343" s="29"/>
      <c r="M343" s="70"/>
      <c r="N343" s="45">
        <v>38.929400000000001</v>
      </c>
      <c r="O343" s="45">
        <v>46.953299999999999</v>
      </c>
      <c r="P343" s="45">
        <v>45.970500000000001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-3.3000000000029672E-3</v>
      </c>
      <c r="AE343" s="45">
        <f t="shared" si="19"/>
        <v>4.4000000000039563E-3</v>
      </c>
      <c r="AF343" s="45">
        <f t="shared" si="19"/>
        <v>3.67999999999995E-2</v>
      </c>
      <c r="AG343" s="66"/>
      <c r="AH343" s="66"/>
      <c r="AI343" s="67"/>
    </row>
    <row r="344" spans="2:35" ht="12" x14ac:dyDescent="0.2">
      <c r="B344" s="36"/>
      <c r="C344" s="29"/>
      <c r="D344" s="32">
        <v>30</v>
      </c>
      <c r="E344" s="70"/>
      <c r="F344" s="46">
        <v>35.9803</v>
      </c>
      <c r="G344" s="46">
        <v>45.528100000000002</v>
      </c>
      <c r="H344" s="46">
        <v>44.769100000000002</v>
      </c>
      <c r="I344" s="66"/>
      <c r="J344" s="66"/>
      <c r="K344" s="67"/>
      <c r="L344" s="29"/>
      <c r="M344" s="70"/>
      <c r="N344" s="46">
        <v>35.981299999999997</v>
      </c>
      <c r="O344" s="46">
        <v>45.543100000000003</v>
      </c>
      <c r="P344" s="46">
        <v>44.748899999999999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-9.9999999999766942E-4</v>
      </c>
      <c r="AE344" s="46">
        <f t="shared" si="19"/>
        <v>-1.5000000000000568E-2</v>
      </c>
      <c r="AF344" s="46">
        <f t="shared" si="19"/>
        <v>2.020000000000266E-2</v>
      </c>
      <c r="AG344" s="66"/>
      <c r="AH344" s="66"/>
      <c r="AI344" s="67"/>
    </row>
    <row r="345" spans="2:35" ht="12" x14ac:dyDescent="0.2">
      <c r="B345" s="36"/>
      <c r="C345" s="29"/>
      <c r="D345" s="32">
        <v>35</v>
      </c>
      <c r="E345" s="70"/>
      <c r="F345" s="46">
        <v>33.374200000000002</v>
      </c>
      <c r="G345" s="46">
        <v>44.218699999999998</v>
      </c>
      <c r="H345" s="46">
        <v>43.695799999999998</v>
      </c>
      <c r="I345" s="66"/>
      <c r="J345" s="66"/>
      <c r="K345" s="67"/>
      <c r="L345" s="29"/>
      <c r="M345" s="70"/>
      <c r="N345" s="46">
        <v>33.372799999999998</v>
      </c>
      <c r="O345" s="46">
        <v>44.202300000000001</v>
      </c>
      <c r="P345" s="46">
        <v>43.6843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1.4000000000038426E-3</v>
      </c>
      <c r="AE345" s="46">
        <f t="shared" si="19"/>
        <v>1.6399999999997306E-2</v>
      </c>
      <c r="AF345" s="46">
        <f t="shared" si="19"/>
        <v>1.1499999999998067E-2</v>
      </c>
      <c r="AG345" s="66"/>
      <c r="AH345" s="66"/>
      <c r="AI345" s="67"/>
    </row>
    <row r="346" spans="2:35" ht="12.75" thickBot="1" x14ac:dyDescent="0.25">
      <c r="B346" s="36"/>
      <c r="C346" s="53"/>
      <c r="D346" s="71">
        <v>40</v>
      </c>
      <c r="E346" s="81"/>
      <c r="F346" s="46">
        <v>31.0032</v>
      </c>
      <c r="G346" s="72">
        <v>43.429699999999997</v>
      </c>
      <c r="H346" s="72">
        <v>42.988900000000001</v>
      </c>
      <c r="I346" s="68"/>
      <c r="J346" s="68"/>
      <c r="K346" s="69"/>
      <c r="L346" s="29"/>
      <c r="M346" s="81"/>
      <c r="N346" s="46">
        <v>31.004000000000001</v>
      </c>
      <c r="O346" s="72">
        <v>43.424500000000002</v>
      </c>
      <c r="P346" s="72">
        <v>42.984200000000001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-8.0000000000168825E-4</v>
      </c>
      <c r="AE346" s="46">
        <f t="shared" si="19"/>
        <v>5.1999999999949864E-3</v>
      </c>
      <c r="AF346" s="46">
        <f t="shared" si="19"/>
        <v>4.6999999999997044E-3</v>
      </c>
      <c r="AG346" s="68"/>
      <c r="AH346" s="68"/>
      <c r="AI346" s="69"/>
    </row>
    <row r="347" spans="2:35" ht="12" x14ac:dyDescent="0.2">
      <c r="B347" s="36"/>
      <c r="C347" s="29" t="s">
        <v>49</v>
      </c>
      <c r="D347" s="32">
        <v>25</v>
      </c>
      <c r="E347" s="70"/>
      <c r="F347" s="45">
        <v>39.025399999999998</v>
      </c>
      <c r="G347" s="45">
        <v>47.399500000000003</v>
      </c>
      <c r="H347" s="45">
        <v>46.807499999999997</v>
      </c>
      <c r="I347" s="66"/>
      <c r="J347" s="66"/>
      <c r="K347" s="67"/>
      <c r="L347" s="29"/>
      <c r="M347" s="70"/>
      <c r="N347" s="45">
        <v>39.03</v>
      </c>
      <c r="O347" s="45">
        <v>47.400799999999997</v>
      </c>
      <c r="P347" s="45">
        <v>46.807400000000001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-4.6000000000034902E-3</v>
      </c>
      <c r="AE347" s="45">
        <f t="shared" si="19"/>
        <v>-1.2999999999934175E-3</v>
      </c>
      <c r="AF347" s="45">
        <f t="shared" si="19"/>
        <v>9.9999999996214228E-5</v>
      </c>
      <c r="AG347" s="66"/>
      <c r="AH347" s="66"/>
      <c r="AI347" s="67"/>
    </row>
    <row r="348" spans="2:35" ht="12" x14ac:dyDescent="0.2">
      <c r="B348" s="36"/>
      <c r="C348" s="29"/>
      <c r="D348" s="32">
        <v>30</v>
      </c>
      <c r="E348" s="70"/>
      <c r="F348" s="46">
        <v>36.047400000000003</v>
      </c>
      <c r="G348" s="46">
        <v>45.823599999999999</v>
      </c>
      <c r="H348" s="46">
        <v>45.290700000000001</v>
      </c>
      <c r="I348" s="66"/>
      <c r="J348" s="66"/>
      <c r="K348" s="67"/>
      <c r="L348" s="29"/>
      <c r="M348" s="70"/>
      <c r="N348" s="46">
        <v>36.047499999999999</v>
      </c>
      <c r="O348" s="46">
        <v>45.823300000000003</v>
      </c>
      <c r="P348" s="46">
        <v>45.290500000000002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-9.9999999996214228E-5</v>
      </c>
      <c r="AE348" s="46">
        <f t="shared" si="19"/>
        <v>2.9999999999574811E-4</v>
      </c>
      <c r="AF348" s="46">
        <f t="shared" si="19"/>
        <v>1.9999999999953388E-4</v>
      </c>
      <c r="AG348" s="66"/>
      <c r="AH348" s="66"/>
      <c r="AI348" s="67"/>
    </row>
    <row r="349" spans="2:35" ht="12" x14ac:dyDescent="0.2">
      <c r="B349" s="36"/>
      <c r="C349" s="29"/>
      <c r="D349" s="32">
        <v>35</v>
      </c>
      <c r="E349" s="70"/>
      <c r="F349" s="46">
        <v>33.423099999999998</v>
      </c>
      <c r="G349" s="46">
        <v>44.390700000000002</v>
      </c>
      <c r="H349" s="46">
        <v>43.960500000000003</v>
      </c>
      <c r="I349" s="66"/>
      <c r="J349" s="66"/>
      <c r="K349" s="67"/>
      <c r="L349" s="29"/>
      <c r="M349" s="70"/>
      <c r="N349" s="46">
        <v>33.421999999999997</v>
      </c>
      <c r="O349" s="46">
        <v>44.389299999999999</v>
      </c>
      <c r="P349" s="46">
        <v>43.960799999999999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1.1000000000009891E-3</v>
      </c>
      <c r="AE349" s="46">
        <f t="shared" si="19"/>
        <v>1.4000000000038426E-3</v>
      </c>
      <c r="AF349" s="46">
        <f t="shared" si="19"/>
        <v>-2.9999999999574811E-4</v>
      </c>
      <c r="AG349" s="66"/>
      <c r="AH349" s="66"/>
      <c r="AI349" s="67"/>
    </row>
    <row r="350" spans="2:35" ht="12.75" thickBot="1" x14ac:dyDescent="0.25">
      <c r="B350" s="36"/>
      <c r="C350" s="53"/>
      <c r="D350" s="71">
        <v>40</v>
      </c>
      <c r="E350" s="81"/>
      <c r="F350" s="46">
        <v>31.051300000000001</v>
      </c>
      <c r="G350" s="72">
        <v>43.5413</v>
      </c>
      <c r="H350" s="72">
        <v>43.155000000000001</v>
      </c>
      <c r="I350" s="68"/>
      <c r="J350" s="68"/>
      <c r="K350" s="69"/>
      <c r="L350" s="29"/>
      <c r="M350" s="81"/>
      <c r="N350" s="46">
        <v>31.051600000000001</v>
      </c>
      <c r="O350" s="72">
        <v>43.540199999999999</v>
      </c>
      <c r="P350" s="72">
        <v>43.153799999999997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-2.9999999999930083E-4</v>
      </c>
      <c r="AE350" s="46">
        <f t="shared" si="19"/>
        <v>1.1000000000009891E-3</v>
      </c>
      <c r="AF350" s="46">
        <f t="shared" si="19"/>
        <v>1.2000000000043087E-3</v>
      </c>
      <c r="AG350" s="68"/>
      <c r="AH350" s="68"/>
      <c r="AI350" s="69"/>
    </row>
    <row r="351" spans="2:35" ht="12" x14ac:dyDescent="0.2">
      <c r="B351" s="36"/>
      <c r="C351" s="29" t="s">
        <v>50</v>
      </c>
      <c r="D351" s="32">
        <v>25</v>
      </c>
      <c r="E351" s="70"/>
      <c r="F351" s="45">
        <v>39.034500000000001</v>
      </c>
      <c r="G351" s="45">
        <v>47.320599999999999</v>
      </c>
      <c r="H351" s="45">
        <v>46.803199999999997</v>
      </c>
      <c r="I351" s="66"/>
      <c r="J351" s="66"/>
      <c r="K351" s="67"/>
      <c r="L351" s="29"/>
      <c r="M351" s="70"/>
      <c r="N351" s="45">
        <v>39.034599999999998</v>
      </c>
      <c r="O351" s="45">
        <v>47.321100000000001</v>
      </c>
      <c r="P351" s="45">
        <v>46.803699999999999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-9.9999999996214228E-5</v>
      </c>
      <c r="AE351" s="45">
        <f t="shared" si="19"/>
        <v>-5.0000000000238742E-4</v>
      </c>
      <c r="AF351" s="45">
        <f t="shared" si="19"/>
        <v>-5.0000000000238742E-4</v>
      </c>
      <c r="AG351" s="66"/>
      <c r="AH351" s="66"/>
      <c r="AI351" s="67"/>
    </row>
    <row r="352" spans="2:35" ht="12" x14ac:dyDescent="0.2">
      <c r="B352" s="36"/>
      <c r="C352" s="29"/>
      <c r="D352" s="32">
        <v>30</v>
      </c>
      <c r="E352" s="70"/>
      <c r="F352" s="46">
        <v>36.0501</v>
      </c>
      <c r="G352" s="46">
        <v>45.7425</v>
      </c>
      <c r="H352" s="46">
        <v>45.269399999999997</v>
      </c>
      <c r="I352" s="66"/>
      <c r="J352" s="66"/>
      <c r="K352" s="67"/>
      <c r="L352" s="29"/>
      <c r="M352" s="70"/>
      <c r="N352" s="46">
        <v>36.052999999999997</v>
      </c>
      <c r="O352" s="46">
        <v>45.743499999999997</v>
      </c>
      <c r="P352" s="46">
        <v>45.269100000000002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-2.899999999996794E-3</v>
      </c>
      <c r="AE352" s="46">
        <f t="shared" si="19"/>
        <v>-9.9999999999766942E-4</v>
      </c>
      <c r="AF352" s="46">
        <f t="shared" si="19"/>
        <v>2.9999999999574811E-4</v>
      </c>
      <c r="AG352" s="66"/>
      <c r="AH352" s="66"/>
      <c r="AI352" s="67"/>
    </row>
    <row r="353" spans="1:35" ht="12" x14ac:dyDescent="0.2">
      <c r="B353" s="36"/>
      <c r="C353" s="29"/>
      <c r="D353" s="32">
        <v>35</v>
      </c>
      <c r="E353" s="70"/>
      <c r="F353" s="46">
        <v>33.432000000000002</v>
      </c>
      <c r="G353" s="46">
        <v>44.313699999999997</v>
      </c>
      <c r="H353" s="46">
        <v>43.915399999999998</v>
      </c>
      <c r="I353" s="66"/>
      <c r="J353" s="66"/>
      <c r="K353" s="67"/>
      <c r="L353" s="29"/>
      <c r="M353" s="70"/>
      <c r="N353" s="46">
        <v>33.430799999999998</v>
      </c>
      <c r="O353" s="46">
        <v>44.313800000000001</v>
      </c>
      <c r="P353" s="46">
        <v>43.914999999999999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1.2000000000043087E-3</v>
      </c>
      <c r="AE353" s="46">
        <f t="shared" si="19"/>
        <v>-1.0000000000331966E-4</v>
      </c>
      <c r="AF353" s="46">
        <f t="shared" si="19"/>
        <v>3.9999999999906777E-4</v>
      </c>
      <c r="AG353" s="66"/>
      <c r="AH353" s="66"/>
      <c r="AI353" s="67"/>
    </row>
    <row r="354" spans="1:35" ht="12.75" thickBot="1" x14ac:dyDescent="0.25">
      <c r="B354" s="36"/>
      <c r="C354" s="53"/>
      <c r="D354" s="71">
        <v>40</v>
      </c>
      <c r="E354" s="81"/>
      <c r="F354" s="46">
        <v>31.063500000000001</v>
      </c>
      <c r="G354" s="72">
        <v>43.472099999999998</v>
      </c>
      <c r="H354" s="72">
        <v>43.081299999999999</v>
      </c>
      <c r="I354" s="68"/>
      <c r="J354" s="68"/>
      <c r="K354" s="69"/>
      <c r="L354" s="29"/>
      <c r="M354" s="81"/>
      <c r="N354" s="46">
        <v>31.061</v>
      </c>
      <c r="O354" s="72">
        <v>43.471400000000003</v>
      </c>
      <c r="P354" s="72">
        <v>43.0809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2.500000000001279E-3</v>
      </c>
      <c r="AE354" s="46">
        <f t="shared" si="19"/>
        <v>6.9999999999481588E-4</v>
      </c>
      <c r="AF354" s="46">
        <f t="shared" si="19"/>
        <v>3.9999999999906777E-4</v>
      </c>
      <c r="AG354" s="68"/>
      <c r="AH354" s="68"/>
      <c r="AI354" s="69"/>
    </row>
    <row r="355" spans="1:35" ht="12" x14ac:dyDescent="0.2">
      <c r="B355" s="36"/>
      <c r="C355" s="29" t="s">
        <v>51</v>
      </c>
      <c r="D355" s="32">
        <v>25</v>
      </c>
      <c r="E355" s="70"/>
      <c r="F355" s="45">
        <v>38.959000000000003</v>
      </c>
      <c r="G355" s="45">
        <v>46.316600000000001</v>
      </c>
      <c r="H355" s="45">
        <v>46.555</v>
      </c>
      <c r="I355" s="66"/>
      <c r="J355" s="66"/>
      <c r="K355" s="67"/>
      <c r="L355" s="29"/>
      <c r="M355" s="70"/>
      <c r="N355" s="45">
        <v>38.961799999999997</v>
      </c>
      <c r="O355" s="45">
        <v>46.326999999999998</v>
      </c>
      <c r="P355" s="45">
        <v>46.556800000000003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-2.7999999999934744E-3</v>
      </c>
      <c r="AE355" s="45">
        <f t="shared" si="19"/>
        <v>-1.0399999999997078E-2</v>
      </c>
      <c r="AF355" s="45">
        <f t="shared" si="19"/>
        <v>-1.8000000000029104E-3</v>
      </c>
      <c r="AG355" s="66"/>
      <c r="AH355" s="66"/>
      <c r="AI355" s="67"/>
    </row>
    <row r="356" spans="1:35" ht="12" x14ac:dyDescent="0.2">
      <c r="B356" s="36"/>
      <c r="C356" s="29"/>
      <c r="D356" s="32">
        <v>30</v>
      </c>
      <c r="E356" s="70"/>
      <c r="F356" s="46">
        <v>36.025300000000001</v>
      </c>
      <c r="G356" s="46">
        <v>44.973100000000002</v>
      </c>
      <c r="H356" s="46">
        <v>45.048999999999999</v>
      </c>
      <c r="I356" s="66"/>
      <c r="J356" s="66"/>
      <c r="K356" s="67"/>
      <c r="L356" s="29"/>
      <c r="M356" s="70"/>
      <c r="N356" s="46">
        <v>36.0274</v>
      </c>
      <c r="O356" s="46">
        <v>44.989800000000002</v>
      </c>
      <c r="P356" s="46">
        <v>45.0625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-2.0999999999986585E-3</v>
      </c>
      <c r="AE356" s="46">
        <f t="shared" si="19"/>
        <v>-1.6700000000000159E-2</v>
      </c>
      <c r="AF356" s="46">
        <f t="shared" si="19"/>
        <v>-1.3500000000000512E-2</v>
      </c>
      <c r="AG356" s="66"/>
      <c r="AH356" s="66"/>
      <c r="AI356" s="67"/>
    </row>
    <row r="357" spans="1:35" ht="12" x14ac:dyDescent="0.2">
      <c r="B357" s="36"/>
      <c r="C357" s="29"/>
      <c r="D357" s="32">
        <v>35</v>
      </c>
      <c r="E357" s="70"/>
      <c r="F357" s="46">
        <v>33.43</v>
      </c>
      <c r="G357" s="46">
        <v>43.728400000000001</v>
      </c>
      <c r="H357" s="46">
        <v>43.5854</v>
      </c>
      <c r="I357" s="66"/>
      <c r="J357" s="66"/>
      <c r="K357" s="67"/>
      <c r="L357" s="29"/>
      <c r="M357" s="70"/>
      <c r="N357" s="46">
        <v>33.427900000000001</v>
      </c>
      <c r="O357" s="46">
        <v>43.723599999999998</v>
      </c>
      <c r="P357" s="46">
        <v>43.582900000000002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2.0999999999986585E-3</v>
      </c>
      <c r="AE357" s="46">
        <f t="shared" si="19"/>
        <v>4.8000000000030241E-3</v>
      </c>
      <c r="AF357" s="46">
        <f t="shared" si="19"/>
        <v>2.4999999999977263E-3</v>
      </c>
      <c r="AG357" s="66"/>
      <c r="AH357" s="66"/>
      <c r="AI357" s="67"/>
    </row>
    <row r="358" spans="1:35" ht="12.75" thickBot="1" x14ac:dyDescent="0.25">
      <c r="B358" s="36"/>
      <c r="C358" s="53"/>
      <c r="D358" s="71">
        <v>40</v>
      </c>
      <c r="E358" s="81"/>
      <c r="F358" s="72">
        <v>31.0474</v>
      </c>
      <c r="G358" s="72">
        <v>42.9831</v>
      </c>
      <c r="H358" s="72">
        <v>42.675199999999997</v>
      </c>
      <c r="I358" s="68"/>
      <c r="J358" s="68"/>
      <c r="K358" s="69"/>
      <c r="L358" s="29"/>
      <c r="M358" s="81"/>
      <c r="N358" s="72">
        <v>31.046199999999999</v>
      </c>
      <c r="O358" s="72">
        <v>42.976900000000001</v>
      </c>
      <c r="P358" s="72">
        <v>42.672499999999999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1.200000000000756E-3</v>
      </c>
      <c r="AE358" s="72">
        <f t="shared" si="19"/>
        <v>6.1999999999997613E-3</v>
      </c>
      <c r="AF358" s="72">
        <f t="shared" si="19"/>
        <v>2.6999999999972601E-3</v>
      </c>
      <c r="AG358" s="68"/>
      <c r="AH358" s="68"/>
      <c r="AI358" s="69"/>
    </row>
    <row r="359" spans="1:35" ht="12" x14ac:dyDescent="0.2">
      <c r="B359" s="36"/>
      <c r="C359" s="29" t="s">
        <v>52</v>
      </c>
      <c r="D359" s="32">
        <v>25</v>
      </c>
      <c r="E359" s="70"/>
      <c r="F359" s="45">
        <v>38.591299999999997</v>
      </c>
      <c r="G359" s="45">
        <v>45.941499999999998</v>
      </c>
      <c r="H359" s="45">
        <v>46.244100000000003</v>
      </c>
      <c r="I359" s="66"/>
      <c r="J359" s="66"/>
      <c r="K359" s="67"/>
      <c r="L359" s="29"/>
      <c r="M359" s="70"/>
      <c r="N359" s="45">
        <v>38.593899999999998</v>
      </c>
      <c r="O359" s="45">
        <v>45.949599999999997</v>
      </c>
      <c r="P359" s="45">
        <v>46.2468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-2.6000000000010459E-3</v>
      </c>
      <c r="AE359" s="45">
        <f t="shared" si="19"/>
        <v>-8.0999999999988859E-3</v>
      </c>
      <c r="AF359" s="45">
        <f t="shared" si="19"/>
        <v>-2.6999999999972601E-3</v>
      </c>
      <c r="AG359" s="45"/>
      <c r="AH359" s="66"/>
      <c r="AI359" s="67"/>
    </row>
    <row r="360" spans="1:35" ht="12" x14ac:dyDescent="0.2">
      <c r="B360" s="36"/>
      <c r="C360" s="29"/>
      <c r="D360" s="32">
        <v>30</v>
      </c>
      <c r="E360" s="70"/>
      <c r="F360" s="46">
        <v>35.8108</v>
      </c>
      <c r="G360" s="46">
        <v>44.645099999999999</v>
      </c>
      <c r="H360" s="46">
        <v>44.811</v>
      </c>
      <c r="I360" s="66"/>
      <c r="J360" s="66"/>
      <c r="K360" s="67"/>
      <c r="L360" s="29"/>
      <c r="M360" s="70"/>
      <c r="N360" s="46">
        <v>35.817900000000002</v>
      </c>
      <c r="O360" s="46">
        <v>44.6524</v>
      </c>
      <c r="P360" s="46">
        <v>44.826099999999997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-7.1000000000012164E-3</v>
      </c>
      <c r="AE360" s="46">
        <f t="shared" si="19"/>
        <v>-7.3000000000007503E-3</v>
      </c>
      <c r="AF360" s="46">
        <f t="shared" si="19"/>
        <v>-1.5099999999996783E-2</v>
      </c>
      <c r="AG360" s="66"/>
      <c r="AH360" s="66"/>
      <c r="AI360" s="67"/>
    </row>
    <row r="361" spans="1:35" ht="12" x14ac:dyDescent="0.2">
      <c r="B361" s="36"/>
      <c r="C361" s="29"/>
      <c r="D361" s="32">
        <v>35</v>
      </c>
      <c r="E361" s="70"/>
      <c r="F361" s="46">
        <v>33.295000000000002</v>
      </c>
      <c r="G361" s="46">
        <v>43.5443</v>
      </c>
      <c r="H361" s="46">
        <v>43.414900000000003</v>
      </c>
      <c r="I361" s="66"/>
      <c r="J361" s="66"/>
      <c r="K361" s="67"/>
      <c r="L361" s="29"/>
      <c r="M361" s="70"/>
      <c r="N361" s="46">
        <v>33.292099999999998</v>
      </c>
      <c r="O361" s="46">
        <v>43.531700000000001</v>
      </c>
      <c r="P361" s="46">
        <v>43.415300000000002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2.9000000000038995E-3</v>
      </c>
      <c r="AE361" s="46">
        <f t="shared" si="19"/>
        <v>1.2599999999999056E-2</v>
      </c>
      <c r="AF361" s="46">
        <f t="shared" si="19"/>
        <v>-3.9999999999906777E-4</v>
      </c>
      <c r="AG361" s="66"/>
      <c r="AH361" s="66"/>
      <c r="AI361" s="67"/>
    </row>
    <row r="362" spans="1:35" ht="12.75" thickBot="1" x14ac:dyDescent="0.25">
      <c r="B362" s="36"/>
      <c r="C362" s="53"/>
      <c r="D362" s="71">
        <v>40</v>
      </c>
      <c r="E362" s="81"/>
      <c r="F362" s="72">
        <v>30.965900000000001</v>
      </c>
      <c r="G362" s="72">
        <v>42.824399999999997</v>
      </c>
      <c r="H362" s="72">
        <v>42.461500000000001</v>
      </c>
      <c r="I362" s="68"/>
      <c r="J362" s="68"/>
      <c r="K362" s="69"/>
      <c r="L362" s="29"/>
      <c r="M362" s="81"/>
      <c r="N362" s="72">
        <v>30.965499999999999</v>
      </c>
      <c r="O362" s="72">
        <v>42.808199999999999</v>
      </c>
      <c r="P362" s="72">
        <v>42.466299999999997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4.0000000000262048E-4</v>
      </c>
      <c r="AE362" s="72">
        <f t="shared" si="19"/>
        <v>1.6199999999997772E-2</v>
      </c>
      <c r="AF362" s="72">
        <f t="shared" si="19"/>
        <v>-4.7999999999959186E-3</v>
      </c>
      <c r="AG362" s="68"/>
      <c r="AH362" s="68"/>
      <c r="AI362" s="69"/>
    </row>
    <row r="363" spans="1:35" ht="12" x14ac:dyDescent="0.2">
      <c r="B363" s="36"/>
      <c r="C363" s="29" t="s">
        <v>12</v>
      </c>
      <c r="D363" s="32">
        <v>25</v>
      </c>
      <c r="E363" s="45">
        <v>6811.2608</v>
      </c>
      <c r="F363" s="70"/>
      <c r="G363" s="70"/>
      <c r="H363" s="70"/>
      <c r="I363" s="45">
        <v>64309.875</v>
      </c>
      <c r="J363" s="45">
        <v>140.828</v>
      </c>
      <c r="K363" s="45">
        <v>808.89099999999996</v>
      </c>
      <c r="L363" s="29"/>
      <c r="M363" s="45">
        <v>6809.6343999999999</v>
      </c>
      <c r="N363" s="70"/>
      <c r="O363" s="70"/>
      <c r="P363" s="70"/>
      <c r="Q363" s="45">
        <v>64183.25</v>
      </c>
      <c r="R363" s="45">
        <v>145.203</v>
      </c>
      <c r="S363" s="45">
        <v>820.25</v>
      </c>
      <c r="U363" s="8"/>
      <c r="V363" s="9"/>
      <c r="W363" s="10"/>
      <c r="X363" s="29"/>
      <c r="Y363" s="61">
        <f>GEOMEAN(Q363:Q366)/GEOMEAN(I363:I366)</f>
        <v>1.0039223221528788</v>
      </c>
      <c r="Z363" s="61">
        <f>GEOMEAN(R363:R366)/GEOMEAN(J363:J366)</f>
        <v>1.026875024961613</v>
      </c>
      <c r="AA363" s="57">
        <f>GEOMEAN(S363:S366)/GEOMEAN(K363:K366)</f>
        <v>1.0386035434562628</v>
      </c>
      <c r="AC363" s="45">
        <f>E363 -M363</f>
        <v>1.6264000000001033</v>
      </c>
      <c r="AD363" s="70"/>
      <c r="AE363" s="70"/>
      <c r="AF363" s="70"/>
      <c r="AG363" s="45">
        <f t="shared" ref="AG363:AI366" si="21">I363 -Q363</f>
        <v>126.625</v>
      </c>
      <c r="AH363" s="45">
        <f t="shared" si="21"/>
        <v>-4.375</v>
      </c>
      <c r="AI363" s="45">
        <f t="shared" si="21"/>
        <v>-11.359000000000037</v>
      </c>
    </row>
    <row r="364" spans="1:35" ht="12" x14ac:dyDescent="0.2">
      <c r="B364" s="36"/>
      <c r="C364" s="29"/>
      <c r="D364" s="32">
        <v>30</v>
      </c>
      <c r="E364" s="46">
        <v>2807.7864</v>
      </c>
      <c r="F364" s="70"/>
      <c r="G364" s="70"/>
      <c r="H364" s="70"/>
      <c r="I364" s="46">
        <v>49904.266000000003</v>
      </c>
      <c r="J364" s="46">
        <v>133.672</v>
      </c>
      <c r="K364" s="46">
        <v>814.92100000000005</v>
      </c>
      <c r="L364" s="29"/>
      <c r="M364" s="46">
        <v>2807.3951999999999</v>
      </c>
      <c r="N364" s="70"/>
      <c r="O364" s="70"/>
      <c r="P364" s="70"/>
      <c r="Q364" s="46">
        <v>50173.313000000002</v>
      </c>
      <c r="R364" s="46">
        <v>131.15600000000001</v>
      </c>
      <c r="S364" s="46">
        <v>831.09299999999996</v>
      </c>
      <c r="U364" s="41"/>
      <c r="V364" s="42"/>
      <c r="W364" s="43"/>
      <c r="X364" s="29"/>
      <c r="Y364" s="24"/>
      <c r="Z364" s="24"/>
      <c r="AA364" s="27"/>
      <c r="AC364" s="46">
        <f>E364 -M364</f>
        <v>0.39120000000002619</v>
      </c>
      <c r="AD364" s="70"/>
      <c r="AE364" s="70"/>
      <c r="AF364" s="70"/>
      <c r="AG364" s="46">
        <f t="shared" si="21"/>
        <v>-269.04699999999866</v>
      </c>
      <c r="AH364" s="46">
        <f t="shared" si="21"/>
        <v>2.5159999999999911</v>
      </c>
      <c r="AI364" s="46">
        <f t="shared" si="21"/>
        <v>-16.171999999999912</v>
      </c>
    </row>
    <row r="365" spans="1:35" ht="12" x14ac:dyDescent="0.2">
      <c r="B365" s="36"/>
      <c r="C365" s="29"/>
      <c r="D365" s="32">
        <v>35</v>
      </c>
      <c r="E365" s="46">
        <v>1273.4112</v>
      </c>
      <c r="F365" s="70"/>
      <c r="G365" s="70"/>
      <c r="H365" s="70"/>
      <c r="I365" s="46">
        <v>41684.218999999997</v>
      </c>
      <c r="J365" s="46">
        <v>129.06200000000001</v>
      </c>
      <c r="K365" s="46">
        <v>829.18700000000001</v>
      </c>
      <c r="L365" s="29"/>
      <c r="M365" s="46">
        <v>1273.6112000000001</v>
      </c>
      <c r="N365" s="70"/>
      <c r="O365" s="70"/>
      <c r="P365" s="70"/>
      <c r="Q365" s="46">
        <v>42047.953000000001</v>
      </c>
      <c r="R365" s="46">
        <v>135.172</v>
      </c>
      <c r="S365" s="46">
        <v>871.15599999999995</v>
      </c>
      <c r="U365" s="17"/>
      <c r="V365" s="18"/>
      <c r="W365" s="19"/>
      <c r="X365" s="29"/>
      <c r="Y365" s="24"/>
      <c r="Z365" s="24"/>
      <c r="AA365" s="27"/>
      <c r="AC365" s="46">
        <f>E365 -M365</f>
        <v>-0.20000000000004547</v>
      </c>
      <c r="AD365" s="70"/>
      <c r="AE365" s="70"/>
      <c r="AF365" s="70"/>
      <c r="AG365" s="46">
        <f t="shared" si="21"/>
        <v>-363.73400000000402</v>
      </c>
      <c r="AH365" s="46">
        <f t="shared" si="21"/>
        <v>-6.1099999999999852</v>
      </c>
      <c r="AI365" s="46">
        <f t="shared" si="21"/>
        <v>-41.968999999999937</v>
      </c>
    </row>
    <row r="366" spans="1:35" ht="12.75" thickBot="1" x14ac:dyDescent="0.25">
      <c r="A366" s="54"/>
      <c r="B366" s="52"/>
      <c r="C366" s="53"/>
      <c r="D366" s="71">
        <v>40</v>
      </c>
      <c r="E366" s="72">
        <v>594.91200000000003</v>
      </c>
      <c r="F366" s="81"/>
      <c r="G366" s="81"/>
      <c r="H366" s="81"/>
      <c r="I366" s="72">
        <v>36771.360000000001</v>
      </c>
      <c r="J366" s="72">
        <v>128.703</v>
      </c>
      <c r="K366" s="72">
        <v>893.57799999999997</v>
      </c>
      <c r="L366" s="29"/>
      <c r="M366" s="72">
        <v>594.85519999999997</v>
      </c>
      <c r="N366" s="81"/>
      <c r="O366" s="81"/>
      <c r="P366" s="81"/>
      <c r="Q366" s="72">
        <v>36902.671000000002</v>
      </c>
      <c r="R366" s="72">
        <v>135.06299999999999</v>
      </c>
      <c r="S366" s="72">
        <v>956.96900000000005</v>
      </c>
      <c r="U366" s="85"/>
      <c r="V366" s="86"/>
      <c r="W366" s="87"/>
      <c r="X366" s="29"/>
      <c r="Y366" s="49"/>
      <c r="Z366" s="49"/>
      <c r="AA366" s="54"/>
      <c r="AC366" s="72">
        <f>E366 -M366</f>
        <v>5.6800000000066575E-2</v>
      </c>
      <c r="AD366" s="81"/>
      <c r="AE366" s="81"/>
      <c r="AF366" s="81"/>
      <c r="AG366" s="72">
        <f t="shared" si="21"/>
        <v>-131.31100000000151</v>
      </c>
      <c r="AH366" s="72">
        <f t="shared" si="21"/>
        <v>-6.3599999999999852</v>
      </c>
      <c r="AI366" s="72">
        <f t="shared" si="21"/>
        <v>-63.391000000000076</v>
      </c>
    </row>
    <row r="367" spans="1:35" ht="12" x14ac:dyDescent="0.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4180.3231999999998</v>
      </c>
      <c r="F367" s="45">
        <v>41.485900000000001</v>
      </c>
      <c r="G367" s="45">
        <v>46.598300000000002</v>
      </c>
      <c r="H367" s="45">
        <v>46.046999999999997</v>
      </c>
      <c r="I367" s="79"/>
      <c r="J367" s="79"/>
      <c r="K367" s="80"/>
      <c r="L367" s="29"/>
      <c r="M367" s="45">
        <v>4180.3231999999998</v>
      </c>
      <c r="N367" s="45">
        <v>41.485900000000001</v>
      </c>
      <c r="O367" s="45">
        <v>46.598300000000002</v>
      </c>
      <c r="P367" s="45">
        <v>46.046999999999997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 x14ac:dyDescent="0.2">
      <c r="B368" s="36"/>
      <c r="C368" s="29"/>
      <c r="D368" s="32">
        <v>30</v>
      </c>
      <c r="E368" s="46">
        <v>2104.3735999999999</v>
      </c>
      <c r="F368" s="46">
        <v>38.4925</v>
      </c>
      <c r="G368" s="46">
        <v>44.9009</v>
      </c>
      <c r="H368" s="46">
        <v>44.109400000000001</v>
      </c>
      <c r="I368" s="66"/>
      <c r="J368" s="66"/>
      <c r="K368" s="67"/>
      <c r="L368" s="29"/>
      <c r="M368" s="46">
        <v>2104.3735999999999</v>
      </c>
      <c r="N368" s="46">
        <v>38.4925</v>
      </c>
      <c r="O368" s="46">
        <v>44.9009</v>
      </c>
      <c r="P368" s="46">
        <v>44.109400000000001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 x14ac:dyDescent="0.2">
      <c r="B369" s="36"/>
      <c r="C369" s="29"/>
      <c r="D369" s="32">
        <v>35</v>
      </c>
      <c r="E369" s="46">
        <v>1035.5175999999999</v>
      </c>
      <c r="F369" s="46">
        <v>35.668199999999999</v>
      </c>
      <c r="G369" s="46">
        <v>43.259900000000002</v>
      </c>
      <c r="H369" s="46">
        <v>42.222999999999999</v>
      </c>
      <c r="I369" s="66"/>
      <c r="J369" s="66"/>
      <c r="K369" s="67"/>
      <c r="L369" s="29"/>
      <c r="M369" s="46">
        <v>1035.5175999999999</v>
      </c>
      <c r="N369" s="46">
        <v>35.668199999999999</v>
      </c>
      <c r="O369" s="46">
        <v>43.259900000000002</v>
      </c>
      <c r="P369" s="46">
        <v>42.222999999999999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 x14ac:dyDescent="0.25">
      <c r="B370" s="36"/>
      <c r="C370" s="29"/>
      <c r="D370" s="32">
        <v>40</v>
      </c>
      <c r="E370" s="46">
        <v>496.5992</v>
      </c>
      <c r="F370" s="46">
        <v>33.197800000000001</v>
      </c>
      <c r="G370" s="46">
        <v>42.278399999999998</v>
      </c>
      <c r="H370" s="46">
        <v>40.967799999999997</v>
      </c>
      <c r="I370" s="66"/>
      <c r="J370" s="66"/>
      <c r="K370" s="67"/>
      <c r="L370" s="29"/>
      <c r="M370" s="46">
        <v>496.5992</v>
      </c>
      <c r="N370" s="46">
        <v>33.197800000000001</v>
      </c>
      <c r="O370" s="46">
        <v>42.278399999999998</v>
      </c>
      <c r="P370" s="46">
        <v>40.967799999999997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 x14ac:dyDescent="0.2">
      <c r="B371" s="36"/>
      <c r="C371" s="28" t="s">
        <v>27</v>
      </c>
      <c r="D371" s="31">
        <v>25</v>
      </c>
      <c r="E371" s="45">
        <v>522.28319999999997</v>
      </c>
      <c r="F371" s="45">
        <v>40.9178</v>
      </c>
      <c r="G371" s="45">
        <v>46.504100000000001</v>
      </c>
      <c r="H371" s="45">
        <v>45.7956</v>
      </c>
      <c r="I371" s="79"/>
      <c r="J371" s="79"/>
      <c r="K371" s="80"/>
      <c r="L371" s="29"/>
      <c r="M371" s="45">
        <v>522.56640000000004</v>
      </c>
      <c r="N371" s="45">
        <v>40.918500000000002</v>
      </c>
      <c r="O371" s="45">
        <v>46.506300000000003</v>
      </c>
      <c r="P371" s="45">
        <v>45.7943</v>
      </c>
      <c r="Q371" s="79"/>
      <c r="R371" s="79"/>
      <c r="S371" s="80"/>
      <c r="U371" s="8">
        <f>bdrate($E371:$E374,F371:F374,$M371:$M374,N371:N374)</f>
        <v>-1.466525702368271E-4</v>
      </c>
      <c r="V371" s="9">
        <f>bdrate($E371:$E374,G371:G374,$M371:$M374,O371:O374)</f>
        <v>-5.0113966739095961E-4</v>
      </c>
      <c r="W371" s="10">
        <f>bdrate($E371:$E374,H371:H374,$M371:$M374,P371:P374)</f>
        <v>-9.2109580109411837E-5</v>
      </c>
      <c r="X371" s="29"/>
      <c r="Y371" s="24"/>
      <c r="Z371" s="24"/>
      <c r="AA371" s="27"/>
      <c r="AC371" s="45">
        <f t="shared" si="25"/>
        <v>-0.28320000000007894</v>
      </c>
      <c r="AD371" s="45">
        <f t="shared" si="22"/>
        <v>-7.0000000000192131E-4</v>
      </c>
      <c r="AE371" s="45">
        <f t="shared" si="23"/>
        <v>-2.2000000000019782E-3</v>
      </c>
      <c r="AF371" s="45">
        <f t="shared" si="24"/>
        <v>1.300000000000523E-3</v>
      </c>
      <c r="AG371" s="79"/>
      <c r="AH371" s="79"/>
      <c r="AI371" s="80"/>
    </row>
    <row r="372" spans="2:35" ht="12" x14ac:dyDescent="0.2">
      <c r="B372" s="36"/>
      <c r="C372" s="29"/>
      <c r="D372" s="32">
        <v>30</v>
      </c>
      <c r="E372" s="46">
        <v>216.87119999999999</v>
      </c>
      <c r="F372" s="46">
        <v>38.075499999999998</v>
      </c>
      <c r="G372" s="46">
        <v>44.845599999999997</v>
      </c>
      <c r="H372" s="46">
        <v>43.940800000000003</v>
      </c>
      <c r="I372" s="66"/>
      <c r="J372" s="66"/>
      <c r="K372" s="67"/>
      <c r="L372" s="29"/>
      <c r="M372" s="46">
        <v>216.74959999999999</v>
      </c>
      <c r="N372" s="46">
        <v>38.076700000000002</v>
      </c>
      <c r="O372" s="46">
        <v>44.846400000000003</v>
      </c>
      <c r="P372" s="46">
        <v>43.941800000000001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0.12160000000000082</v>
      </c>
      <c r="AD372" s="46">
        <f t="shared" si="22"/>
        <v>-1.2000000000043087E-3</v>
      </c>
      <c r="AE372" s="46">
        <f t="shared" si="23"/>
        <v>-8.0000000000524096E-4</v>
      </c>
      <c r="AF372" s="46">
        <f t="shared" si="24"/>
        <v>-9.9999999999766942E-4</v>
      </c>
      <c r="AG372" s="66"/>
      <c r="AH372" s="66"/>
      <c r="AI372" s="67"/>
    </row>
    <row r="373" spans="2:35" ht="12" x14ac:dyDescent="0.2">
      <c r="B373" s="36"/>
      <c r="C373" s="29"/>
      <c r="D373" s="32">
        <v>35</v>
      </c>
      <c r="E373" s="46">
        <v>101.91200000000001</v>
      </c>
      <c r="F373" s="46">
        <v>35.386000000000003</v>
      </c>
      <c r="G373" s="46">
        <v>43.255800000000001</v>
      </c>
      <c r="H373" s="46">
        <v>42.160899999999998</v>
      </c>
      <c r="I373" s="66"/>
      <c r="J373" s="66"/>
      <c r="K373" s="67"/>
      <c r="L373" s="29"/>
      <c r="M373" s="46">
        <v>101.9344</v>
      </c>
      <c r="N373" s="46">
        <v>35.386200000000002</v>
      </c>
      <c r="O373" s="46">
        <v>43.256599999999999</v>
      </c>
      <c r="P373" s="46">
        <v>42.161200000000001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-2.2399999999990428E-2</v>
      </c>
      <c r="AD373" s="46">
        <f t="shared" si="22"/>
        <v>-1.9999999999953388E-4</v>
      </c>
      <c r="AE373" s="46">
        <f t="shared" si="23"/>
        <v>-7.9999999999813554E-4</v>
      </c>
      <c r="AF373" s="46">
        <f t="shared" si="24"/>
        <v>-3.0000000000285354E-4</v>
      </c>
      <c r="AG373" s="66"/>
      <c r="AH373" s="66"/>
      <c r="AI373" s="67"/>
    </row>
    <row r="374" spans="2:35" ht="12.75" thickBot="1" x14ac:dyDescent="0.25">
      <c r="B374" s="36"/>
      <c r="C374" s="29"/>
      <c r="D374" s="32">
        <v>40</v>
      </c>
      <c r="E374" s="46">
        <v>49.509599999999999</v>
      </c>
      <c r="F374" s="46">
        <v>32.982999999999997</v>
      </c>
      <c r="G374" s="46">
        <v>42.268599999999999</v>
      </c>
      <c r="H374" s="46">
        <v>40.872399999999999</v>
      </c>
      <c r="I374" s="66"/>
      <c r="J374" s="66"/>
      <c r="K374" s="67"/>
      <c r="L374" s="29"/>
      <c r="M374" s="46">
        <v>49.567999999999998</v>
      </c>
      <c r="N374" s="46">
        <v>32.9833</v>
      </c>
      <c r="O374" s="46">
        <v>42.268300000000004</v>
      </c>
      <c r="P374" s="46">
        <v>40.871699999999997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-5.8399999999998897E-2</v>
      </c>
      <c r="AD374" s="46">
        <f t="shared" si="22"/>
        <v>-3.0000000000285354E-4</v>
      </c>
      <c r="AE374" s="46">
        <f t="shared" si="23"/>
        <v>2.9999999999574811E-4</v>
      </c>
      <c r="AF374" s="46">
        <f t="shared" si="24"/>
        <v>7.0000000000192131E-4</v>
      </c>
      <c r="AG374" s="66"/>
      <c r="AH374" s="66"/>
      <c r="AI374" s="67"/>
    </row>
    <row r="375" spans="2:35" ht="12" x14ac:dyDescent="0.2">
      <c r="B375" s="36"/>
      <c r="C375" s="28" t="s">
        <v>28</v>
      </c>
      <c r="D375" s="31">
        <v>25</v>
      </c>
      <c r="E375" s="45">
        <v>526.39200000000005</v>
      </c>
      <c r="F375" s="45">
        <v>40.926600000000001</v>
      </c>
      <c r="G375" s="45">
        <v>46.496400000000001</v>
      </c>
      <c r="H375" s="45">
        <v>45.802</v>
      </c>
      <c r="I375" s="79"/>
      <c r="J375" s="79"/>
      <c r="K375" s="80"/>
      <c r="L375" s="29"/>
      <c r="M375" s="45">
        <v>526.87279999999998</v>
      </c>
      <c r="N375" s="45">
        <v>40.927599999999998</v>
      </c>
      <c r="O375" s="45">
        <v>46.496600000000001</v>
      </c>
      <c r="P375" s="45">
        <v>45.802599999999998</v>
      </c>
      <c r="Q375" s="79"/>
      <c r="R375" s="79"/>
      <c r="S375" s="80"/>
      <c r="U375" s="8">
        <f>bdrate($E375:$E378,F375:F378,$M375:$M378,N375:N378)</f>
        <v>4.834931236801232E-4</v>
      </c>
      <c r="V375" s="9">
        <f>bdrate($E375:$E378,G375:G378,$M375:$M378,O375:O378)</f>
        <v>8.0175708837382231E-4</v>
      </c>
      <c r="W375" s="10">
        <f>bdrate($E375:$E378,H375:H378,$M375:$M378,P375:P378)</f>
        <v>1.412929278947761E-4</v>
      </c>
      <c r="X375" s="29"/>
      <c r="Y375" s="24"/>
      <c r="Z375" s="24"/>
      <c r="AA375" s="27"/>
      <c r="AB375" s="24"/>
      <c r="AC375" s="45">
        <f t="shared" si="25"/>
        <v>-0.48079999999993106</v>
      </c>
      <c r="AD375" s="45">
        <f t="shared" si="22"/>
        <v>-9.9999999999766942E-4</v>
      </c>
      <c r="AE375" s="45">
        <f t="shared" si="23"/>
        <v>-1.9999999999953388E-4</v>
      </c>
      <c r="AF375" s="45">
        <f t="shared" si="24"/>
        <v>-5.9999999999860165E-4</v>
      </c>
      <c r="AG375" s="79"/>
      <c r="AH375" s="79"/>
      <c r="AI375" s="80"/>
    </row>
    <row r="376" spans="2:35" ht="12" x14ac:dyDescent="0.2">
      <c r="B376" s="36"/>
      <c r="C376" s="29"/>
      <c r="D376" s="32">
        <v>30</v>
      </c>
      <c r="E376" s="46">
        <v>218.5848</v>
      </c>
      <c r="F376" s="46">
        <v>38.0869</v>
      </c>
      <c r="G376" s="46">
        <v>44.827399999999997</v>
      </c>
      <c r="H376" s="46">
        <v>43.948500000000003</v>
      </c>
      <c r="I376" s="66"/>
      <c r="J376" s="66"/>
      <c r="K376" s="67"/>
      <c r="L376" s="29"/>
      <c r="M376" s="46">
        <v>218.35919999999999</v>
      </c>
      <c r="N376" s="46">
        <v>38.086500000000001</v>
      </c>
      <c r="O376" s="46">
        <v>44.826000000000001</v>
      </c>
      <c r="P376" s="46">
        <v>43.9497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0.22560000000001423</v>
      </c>
      <c r="AD376" s="46">
        <f t="shared" si="22"/>
        <v>3.9999999999906777E-4</v>
      </c>
      <c r="AE376" s="46">
        <f t="shared" si="23"/>
        <v>1.3999999999967372E-3</v>
      </c>
      <c r="AF376" s="46">
        <f t="shared" si="24"/>
        <v>-1.1999999999972033E-3</v>
      </c>
      <c r="AG376" s="66"/>
      <c r="AH376" s="66"/>
      <c r="AI376" s="67"/>
    </row>
    <row r="377" spans="2:35" ht="12" x14ac:dyDescent="0.2">
      <c r="B377" s="36"/>
      <c r="C377" s="29"/>
      <c r="D377" s="32">
        <v>35</v>
      </c>
      <c r="E377" s="46">
        <v>103.9872</v>
      </c>
      <c r="F377" s="46">
        <v>35.399700000000003</v>
      </c>
      <c r="G377" s="46">
        <v>43.242400000000004</v>
      </c>
      <c r="H377" s="46">
        <v>42.167099999999998</v>
      </c>
      <c r="I377" s="66"/>
      <c r="J377" s="66"/>
      <c r="K377" s="67"/>
      <c r="L377" s="29"/>
      <c r="M377" s="46">
        <v>104.24</v>
      </c>
      <c r="N377" s="46">
        <v>35.400300000000001</v>
      </c>
      <c r="O377" s="46">
        <v>43.241700000000002</v>
      </c>
      <c r="P377" s="46">
        <v>42.166699999999999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-0.25279999999999347</v>
      </c>
      <c r="AD377" s="46">
        <f t="shared" si="22"/>
        <v>-5.9999999999860165E-4</v>
      </c>
      <c r="AE377" s="46">
        <f t="shared" si="23"/>
        <v>7.0000000000192131E-4</v>
      </c>
      <c r="AF377" s="46">
        <f t="shared" si="24"/>
        <v>3.9999999999906777E-4</v>
      </c>
      <c r="AG377" s="66"/>
      <c r="AH377" s="66"/>
      <c r="AI377" s="67"/>
    </row>
    <row r="378" spans="2:35" ht="12.75" thickBot="1" x14ac:dyDescent="0.25">
      <c r="B378" s="36"/>
      <c r="C378" s="53"/>
      <c r="D378" s="71">
        <v>40</v>
      </c>
      <c r="E378" s="72">
        <v>51.088000000000001</v>
      </c>
      <c r="F378" s="72">
        <v>32.9878</v>
      </c>
      <c r="G378" s="72">
        <v>42.237699999999997</v>
      </c>
      <c r="H378" s="72">
        <v>40.869999999999997</v>
      </c>
      <c r="I378" s="68"/>
      <c r="J378" s="68"/>
      <c r="K378" s="69"/>
      <c r="L378" s="29"/>
      <c r="M378" s="72">
        <v>51.063200000000002</v>
      </c>
      <c r="N378" s="72">
        <v>32.986800000000002</v>
      </c>
      <c r="O378" s="72">
        <v>42.237699999999997</v>
      </c>
      <c r="P378" s="72">
        <v>40.871600000000001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2.4799999999999045E-2</v>
      </c>
      <c r="AD378" s="72">
        <f t="shared" si="22"/>
        <v>9.9999999999766942E-4</v>
      </c>
      <c r="AE378" s="72">
        <f t="shared" si="23"/>
        <v>0</v>
      </c>
      <c r="AF378" s="72">
        <f t="shared" si="24"/>
        <v>-1.6000000000033765E-3</v>
      </c>
      <c r="AG378" s="68"/>
      <c r="AH378" s="68"/>
      <c r="AI378" s="69"/>
    </row>
    <row r="379" spans="2:35" ht="12" x14ac:dyDescent="0.2">
      <c r="B379" s="36"/>
      <c r="C379" s="28" t="s">
        <v>29</v>
      </c>
      <c r="D379" s="31">
        <v>34</v>
      </c>
      <c r="E379" s="45">
        <v>451.31360000000001</v>
      </c>
      <c r="F379" s="45">
        <v>38.746899999999997</v>
      </c>
      <c r="G379" s="78"/>
      <c r="H379" s="78"/>
      <c r="I379" s="79"/>
      <c r="J379" s="79"/>
      <c r="K379" s="80"/>
      <c r="L379" s="29"/>
      <c r="M379" s="45">
        <v>451.4384</v>
      </c>
      <c r="N379" s="45">
        <v>38.746400000000001</v>
      </c>
      <c r="O379" s="78"/>
      <c r="P379" s="78"/>
      <c r="Q379" s="79"/>
      <c r="R379" s="79"/>
      <c r="S379" s="80"/>
      <c r="U379" s="8">
        <f>bdrate($E379:$E382,F379:F382,$M379:$M382,N379:N382)</f>
        <v>5.2104370671202105E-4</v>
      </c>
      <c r="V379" s="9"/>
      <c r="W379" s="10"/>
      <c r="X379" s="29"/>
      <c r="Y379" s="24"/>
      <c r="Z379" s="24"/>
      <c r="AA379" s="27"/>
      <c r="AB379" s="24"/>
      <c r="AC379" s="45">
        <f t="shared" si="25"/>
        <v>-0.12479999999999336</v>
      </c>
      <c r="AD379" s="45">
        <f t="shared" si="22"/>
        <v>4.99999999995282E-4</v>
      </c>
      <c r="AE379" s="78"/>
      <c r="AF379" s="78"/>
      <c r="AG379" s="79"/>
      <c r="AH379" s="79"/>
      <c r="AI379" s="80"/>
    </row>
    <row r="380" spans="2:35" ht="12" x14ac:dyDescent="0.2">
      <c r="B380" s="36"/>
      <c r="C380" s="29"/>
      <c r="D380" s="32">
        <v>39</v>
      </c>
      <c r="E380" s="46">
        <v>147.77680000000001</v>
      </c>
      <c r="F380" s="46">
        <v>35.661900000000003</v>
      </c>
      <c r="G380" s="70"/>
      <c r="H380" s="70"/>
      <c r="I380" s="66"/>
      <c r="J380" s="66"/>
      <c r="K380" s="67"/>
      <c r="L380" s="29"/>
      <c r="M380" s="46">
        <v>147.9256</v>
      </c>
      <c r="N380" s="46">
        <v>35.661499999999997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-0.14879999999999427</v>
      </c>
      <c r="AD380" s="46">
        <f t="shared" si="22"/>
        <v>4.000000000061732E-4</v>
      </c>
      <c r="AE380" s="70"/>
      <c r="AF380" s="70"/>
      <c r="AG380" s="66"/>
      <c r="AH380" s="66"/>
      <c r="AI380" s="67"/>
    </row>
    <row r="381" spans="2:35" ht="12" x14ac:dyDescent="0.2">
      <c r="B381" s="36"/>
      <c r="C381" s="29"/>
      <c r="D381" s="32">
        <v>42</v>
      </c>
      <c r="E381" s="46">
        <v>54.623199999999997</v>
      </c>
      <c r="F381" s="46">
        <v>33.1342</v>
      </c>
      <c r="G381" s="70"/>
      <c r="H381" s="70"/>
      <c r="I381" s="66"/>
      <c r="J381" s="66"/>
      <c r="K381" s="67"/>
      <c r="L381" s="29"/>
      <c r="M381" s="46">
        <v>54.636000000000003</v>
      </c>
      <c r="N381" s="46">
        <v>33.134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-1.2800000000005696E-2</v>
      </c>
      <c r="AD381" s="46">
        <f t="shared" si="22"/>
        <v>1.9999999999953388E-4</v>
      </c>
      <c r="AE381" s="70"/>
      <c r="AF381" s="70"/>
      <c r="AG381" s="66"/>
      <c r="AH381" s="66"/>
      <c r="AI381" s="67"/>
    </row>
    <row r="382" spans="2:35" ht="12.75" thickBot="1" x14ac:dyDescent="0.25">
      <c r="B382" s="36"/>
      <c r="C382" s="29"/>
      <c r="D382" s="32">
        <v>45</v>
      </c>
      <c r="E382" s="46">
        <v>21.9176</v>
      </c>
      <c r="F382" s="46">
        <v>30.723199999999999</v>
      </c>
      <c r="G382" s="70"/>
      <c r="H382" s="70"/>
      <c r="I382" s="66"/>
      <c r="J382" s="66"/>
      <c r="K382" s="67"/>
      <c r="L382" s="29"/>
      <c r="M382" s="46">
        <v>21.923999999999999</v>
      </c>
      <c r="N382" s="46">
        <v>30.727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-6.3999999999992951E-3</v>
      </c>
      <c r="AD382" s="46">
        <f t="shared" si="22"/>
        <v>-3.8000000000018019E-3</v>
      </c>
      <c r="AE382" s="70"/>
      <c r="AF382" s="70"/>
      <c r="AG382" s="66"/>
      <c r="AH382" s="66"/>
      <c r="AI382" s="67"/>
    </row>
    <row r="383" spans="2:35" ht="12" x14ac:dyDescent="0.2">
      <c r="B383" s="36"/>
      <c r="C383" s="28" t="s">
        <v>30</v>
      </c>
      <c r="D383" s="31">
        <v>34</v>
      </c>
      <c r="E383" s="45">
        <v>192.09119999999999</v>
      </c>
      <c r="F383" s="45">
        <v>37.767600000000002</v>
      </c>
      <c r="G383" s="78"/>
      <c r="H383" s="78"/>
      <c r="I383" s="79"/>
      <c r="J383" s="79"/>
      <c r="K383" s="80"/>
      <c r="L383" s="29"/>
      <c r="M383" s="45">
        <v>192.3192</v>
      </c>
      <c r="N383" s="45">
        <v>37.788699999999999</v>
      </c>
      <c r="O383" s="78"/>
      <c r="P383" s="78"/>
      <c r="Q383" s="79"/>
      <c r="R383" s="79"/>
      <c r="S383" s="80"/>
      <c r="U383" s="8">
        <f>bdrate($E383:$E386,F383:F386,$M383:$M386,N383:N386)</f>
        <v>-1.3000895947307134E-3</v>
      </c>
      <c r="V383" s="9"/>
      <c r="W383" s="10"/>
      <c r="X383" s="29"/>
      <c r="Y383" s="24"/>
      <c r="Z383" s="24"/>
      <c r="AA383" s="27"/>
      <c r="AB383" s="24"/>
      <c r="AC383" s="45">
        <f t="shared" si="25"/>
        <v>-0.22800000000000864</v>
      </c>
      <c r="AD383" s="45">
        <f t="shared" si="22"/>
        <v>-2.109999999999701E-2</v>
      </c>
      <c r="AE383" s="78"/>
      <c r="AF383" s="78"/>
      <c r="AG383" s="79"/>
      <c r="AH383" s="79"/>
      <c r="AI383" s="80"/>
    </row>
    <row r="384" spans="2:35" ht="12" x14ac:dyDescent="0.2">
      <c r="B384" s="36"/>
      <c r="C384" s="29"/>
      <c r="D384" s="32">
        <v>39</v>
      </c>
      <c r="E384" s="46">
        <v>54.944000000000003</v>
      </c>
      <c r="F384" s="46">
        <v>34.972099999999998</v>
      </c>
      <c r="G384" s="70"/>
      <c r="H384" s="70"/>
      <c r="I384" s="66"/>
      <c r="J384" s="66"/>
      <c r="K384" s="67"/>
      <c r="L384" s="29"/>
      <c r="M384" s="46">
        <v>54.817599999999999</v>
      </c>
      <c r="N384" s="46">
        <v>34.9681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0.12640000000000384</v>
      </c>
      <c r="AD384" s="46">
        <f t="shared" si="22"/>
        <v>3.9999999999977831E-3</v>
      </c>
      <c r="AE384" s="70"/>
      <c r="AF384" s="70"/>
      <c r="AG384" s="66"/>
      <c r="AH384" s="66"/>
      <c r="AI384" s="67"/>
    </row>
    <row r="385" spans="2:35" ht="12" x14ac:dyDescent="0.2">
      <c r="B385" s="36"/>
      <c r="C385" s="29"/>
      <c r="D385" s="32">
        <v>42</v>
      </c>
      <c r="E385" s="46">
        <v>21.4528</v>
      </c>
      <c r="F385" s="46">
        <v>32.554400000000001</v>
      </c>
      <c r="G385" s="70"/>
      <c r="H385" s="70"/>
      <c r="I385" s="66"/>
      <c r="J385" s="66"/>
      <c r="K385" s="67"/>
      <c r="L385" s="29"/>
      <c r="M385" s="46">
        <v>21.505600000000001</v>
      </c>
      <c r="N385" s="46">
        <v>32.56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-5.280000000000129E-2</v>
      </c>
      <c r="AD385" s="46">
        <f t="shared" si="22"/>
        <v>-5.6000000000011596E-3</v>
      </c>
      <c r="AE385" s="70"/>
      <c r="AF385" s="70"/>
      <c r="AG385" s="66"/>
      <c r="AH385" s="66"/>
      <c r="AI385" s="67"/>
    </row>
    <row r="386" spans="2:35" ht="12.75" thickBot="1" x14ac:dyDescent="0.25">
      <c r="B386" s="36"/>
      <c r="C386" s="29"/>
      <c r="D386" s="32">
        <v>45</v>
      </c>
      <c r="E386" s="46">
        <v>10.0936</v>
      </c>
      <c r="F386" s="46">
        <v>30.256499999999999</v>
      </c>
      <c r="G386" s="70"/>
      <c r="H386" s="70"/>
      <c r="I386" s="66"/>
      <c r="J386" s="66"/>
      <c r="K386" s="67"/>
      <c r="L386" s="29"/>
      <c r="M386" s="46">
        <v>10.101599999999999</v>
      </c>
      <c r="N386" s="46">
        <v>30.2575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-7.9999999999991189E-3</v>
      </c>
      <c r="AD386" s="46">
        <f t="shared" si="22"/>
        <v>-1.0000000000012221E-3</v>
      </c>
      <c r="AE386" s="70"/>
      <c r="AF386" s="70"/>
      <c r="AG386" s="66"/>
      <c r="AH386" s="66"/>
      <c r="AI386" s="67"/>
    </row>
    <row r="387" spans="2:35" ht="12" x14ac:dyDescent="0.2">
      <c r="B387" s="36"/>
      <c r="C387" s="28" t="s">
        <v>31</v>
      </c>
      <c r="D387" s="31">
        <v>34</v>
      </c>
      <c r="E387" s="45">
        <v>191.37360000000001</v>
      </c>
      <c r="F387" s="45">
        <v>37.5518</v>
      </c>
      <c r="G387" s="78"/>
      <c r="H387" s="78"/>
      <c r="I387" s="79"/>
      <c r="J387" s="79"/>
      <c r="K387" s="80"/>
      <c r="L387" s="29"/>
      <c r="M387" s="45">
        <v>191.7704</v>
      </c>
      <c r="N387" s="45">
        <v>37.555399999999999</v>
      </c>
      <c r="O387" s="78"/>
      <c r="P387" s="78"/>
      <c r="Q387" s="79"/>
      <c r="R387" s="79"/>
      <c r="S387" s="80"/>
      <c r="U387" s="8">
        <f>bdrate($E387:$E390,F387:F390,$M387:$M390,N387:N390)</f>
        <v>7.0849480313239788E-4</v>
      </c>
      <c r="V387" s="9"/>
      <c r="W387" s="10"/>
      <c r="X387" s="29"/>
      <c r="Y387" s="24"/>
      <c r="Z387" s="24"/>
      <c r="AA387" s="27"/>
      <c r="AB387" s="24"/>
      <c r="AC387" s="45">
        <f t="shared" si="25"/>
        <v>-0.39679999999998472</v>
      </c>
      <c r="AD387" s="45">
        <f t="shared" si="22"/>
        <v>-3.5999999999987153E-3</v>
      </c>
      <c r="AE387" s="78"/>
      <c r="AF387" s="78"/>
      <c r="AG387" s="79"/>
      <c r="AH387" s="79"/>
      <c r="AI387" s="80"/>
    </row>
    <row r="388" spans="2:35" ht="12" x14ac:dyDescent="0.2">
      <c r="B388" s="36"/>
      <c r="C388" s="29"/>
      <c r="D388" s="32">
        <v>39</v>
      </c>
      <c r="E388" s="46">
        <v>54.537599999999998</v>
      </c>
      <c r="F388" s="46">
        <v>34.694400000000002</v>
      </c>
      <c r="G388" s="70"/>
      <c r="H388" s="70"/>
      <c r="I388" s="66"/>
      <c r="J388" s="66"/>
      <c r="K388" s="67"/>
      <c r="L388" s="29"/>
      <c r="M388" s="46">
        <v>54.584000000000003</v>
      </c>
      <c r="N388" s="46">
        <v>34.694800000000001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-4.6400000000005548E-2</v>
      </c>
      <c r="AD388" s="46">
        <f t="shared" si="22"/>
        <v>-3.9999999999906777E-4</v>
      </c>
      <c r="AE388" s="70"/>
      <c r="AF388" s="70"/>
      <c r="AG388" s="66"/>
      <c r="AH388" s="66"/>
      <c r="AI388" s="67"/>
    </row>
    <row r="389" spans="2:35" ht="12" x14ac:dyDescent="0.2">
      <c r="B389" s="36"/>
      <c r="C389" s="29"/>
      <c r="D389" s="32">
        <v>42</v>
      </c>
      <c r="E389" s="46">
        <v>21.753599999999999</v>
      </c>
      <c r="F389" s="46">
        <v>32.402099999999997</v>
      </c>
      <c r="G389" s="70"/>
      <c r="H389" s="70"/>
      <c r="I389" s="66"/>
      <c r="J389" s="66"/>
      <c r="K389" s="67"/>
      <c r="L389" s="29"/>
      <c r="M389" s="46">
        <v>21.7</v>
      </c>
      <c r="N389" s="46">
        <v>32.390799999999999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5.3599999999999426E-2</v>
      </c>
      <c r="AD389" s="46">
        <f t="shared" si="22"/>
        <v>1.1299999999998533E-2</v>
      </c>
      <c r="AE389" s="70"/>
      <c r="AF389" s="70"/>
      <c r="AG389" s="66"/>
      <c r="AH389" s="66"/>
      <c r="AI389" s="67"/>
    </row>
    <row r="390" spans="2:35" ht="12.75" thickBot="1" x14ac:dyDescent="0.25">
      <c r="B390" s="36"/>
      <c r="C390" s="29"/>
      <c r="D390" s="32">
        <v>45</v>
      </c>
      <c r="E390" s="46">
        <v>10.037599999999999</v>
      </c>
      <c r="F390" s="46">
        <v>30.046500000000002</v>
      </c>
      <c r="G390" s="70"/>
      <c r="H390" s="70"/>
      <c r="I390" s="66"/>
      <c r="J390" s="66"/>
      <c r="K390" s="67"/>
      <c r="L390" s="29"/>
      <c r="M390" s="46">
        <v>10.036</v>
      </c>
      <c r="N390" s="46">
        <v>30.051100000000002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1.5999999999998238E-3</v>
      </c>
      <c r="AD390" s="46">
        <f t="shared" si="22"/>
        <v>-4.5999999999999375E-3</v>
      </c>
      <c r="AE390" s="46"/>
      <c r="AF390" s="46"/>
      <c r="AG390" s="66"/>
      <c r="AH390" s="66"/>
      <c r="AI390" s="67"/>
    </row>
    <row r="391" spans="2:35" ht="12" x14ac:dyDescent="0.2">
      <c r="B391" s="36"/>
      <c r="C391" s="28" t="s">
        <v>47</v>
      </c>
      <c r="D391" s="31">
        <v>25</v>
      </c>
      <c r="E391" s="78"/>
      <c r="F391" s="45">
        <v>40.670400000000001</v>
      </c>
      <c r="G391" s="45">
        <v>46.631399999999999</v>
      </c>
      <c r="H391" s="45">
        <v>46.348300000000002</v>
      </c>
      <c r="I391" s="79"/>
      <c r="J391" s="79"/>
      <c r="K391" s="80"/>
      <c r="L391" s="29"/>
      <c r="M391" s="78"/>
      <c r="N391" s="45">
        <v>40.669699999999999</v>
      </c>
      <c r="O391" s="45">
        <v>46.6312</v>
      </c>
      <c r="P391" s="45">
        <v>46.3508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7.0000000000192131E-4</v>
      </c>
      <c r="AE391" s="45">
        <f t="shared" ref="AE391:AE414" si="26">G391 -O391</f>
        <v>1.9999999999953388E-4</v>
      </c>
      <c r="AF391" s="45">
        <f t="shared" ref="AF391:AF414" si="27">H391 -P391</f>
        <v>-2.4999999999977263E-3</v>
      </c>
      <c r="AG391" s="79"/>
      <c r="AH391" s="79"/>
      <c r="AI391" s="80"/>
    </row>
    <row r="392" spans="2:35" ht="12" x14ac:dyDescent="0.2">
      <c r="B392" s="36"/>
      <c r="C392" s="29"/>
      <c r="D392" s="32">
        <v>30</v>
      </c>
      <c r="E392" s="70"/>
      <c r="F392" s="46">
        <v>37.910600000000002</v>
      </c>
      <c r="G392" s="46">
        <v>45.069499999999998</v>
      </c>
      <c r="H392" s="46">
        <v>44.509500000000003</v>
      </c>
      <c r="I392" s="66"/>
      <c r="J392" s="66"/>
      <c r="K392" s="67"/>
      <c r="L392" s="29"/>
      <c r="M392" s="70"/>
      <c r="N392" s="46">
        <v>37.910400000000003</v>
      </c>
      <c r="O392" s="46">
        <v>45.067599999999999</v>
      </c>
      <c r="P392" s="46">
        <v>44.507800000000003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1.9999999999953388E-4</v>
      </c>
      <c r="AE392" s="46">
        <f t="shared" si="26"/>
        <v>1.8999999999991246E-3</v>
      </c>
      <c r="AF392" s="46">
        <f t="shared" si="27"/>
        <v>1.6999999999995907E-3</v>
      </c>
      <c r="AG392" s="66"/>
      <c r="AH392" s="66"/>
      <c r="AI392" s="67"/>
    </row>
    <row r="393" spans="2:35" ht="12" x14ac:dyDescent="0.2">
      <c r="B393" s="36"/>
      <c r="C393" s="29"/>
      <c r="D393" s="32">
        <v>35</v>
      </c>
      <c r="E393" s="70"/>
      <c r="F393" s="46">
        <v>35.260300000000001</v>
      </c>
      <c r="G393" s="46">
        <v>43.448099999999997</v>
      </c>
      <c r="H393" s="46">
        <v>42.576599999999999</v>
      </c>
      <c r="I393" s="66"/>
      <c r="J393" s="66"/>
      <c r="K393" s="67"/>
      <c r="L393" s="29"/>
      <c r="M393" s="70"/>
      <c r="N393" s="46">
        <v>35.260399999999997</v>
      </c>
      <c r="O393" s="46">
        <v>43.452399999999997</v>
      </c>
      <c r="P393" s="46">
        <v>42.577800000000003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-9.9999999996214228E-5</v>
      </c>
      <c r="AE393" s="46">
        <f t="shared" si="26"/>
        <v>-4.3000000000006366E-3</v>
      </c>
      <c r="AF393" s="46">
        <f t="shared" si="27"/>
        <v>-1.2000000000043087E-3</v>
      </c>
      <c r="AG393" s="66"/>
      <c r="AH393" s="66"/>
      <c r="AI393" s="67"/>
    </row>
    <row r="394" spans="2:35" ht="12.75" thickBot="1" x14ac:dyDescent="0.25">
      <c r="B394" s="36"/>
      <c r="C394" s="53"/>
      <c r="D394" s="71">
        <v>40</v>
      </c>
      <c r="E394" s="81"/>
      <c r="F394" s="72">
        <v>32.877800000000001</v>
      </c>
      <c r="G394" s="72">
        <v>42.409799999999997</v>
      </c>
      <c r="H394" s="72">
        <v>41.2044</v>
      </c>
      <c r="I394" s="68"/>
      <c r="J394" s="68"/>
      <c r="K394" s="69"/>
      <c r="L394" s="29"/>
      <c r="M394" s="81"/>
      <c r="N394" s="72">
        <v>32.877299999999998</v>
      </c>
      <c r="O394" s="72">
        <v>42.409300000000002</v>
      </c>
      <c r="P394" s="72">
        <v>41.204300000000003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5.0000000000238742E-4</v>
      </c>
      <c r="AE394" s="72">
        <f t="shared" si="26"/>
        <v>4.99999999995282E-4</v>
      </c>
      <c r="AF394" s="72">
        <f t="shared" si="27"/>
        <v>9.9999999996214228E-5</v>
      </c>
      <c r="AG394" s="68"/>
      <c r="AH394" s="68"/>
      <c r="AI394" s="69"/>
    </row>
    <row r="395" spans="2:35" ht="12" x14ac:dyDescent="0.2">
      <c r="B395" s="36"/>
      <c r="C395" s="29" t="s">
        <v>48</v>
      </c>
      <c r="D395" s="32">
        <v>25</v>
      </c>
      <c r="E395" s="70"/>
      <c r="F395" s="45">
        <v>40.859499999999997</v>
      </c>
      <c r="G395" s="45">
        <v>47.151000000000003</v>
      </c>
      <c r="H395" s="45">
        <v>46.456699999999998</v>
      </c>
      <c r="I395" s="66"/>
      <c r="J395" s="66"/>
      <c r="K395" s="67"/>
      <c r="L395" s="29"/>
      <c r="M395" s="70"/>
      <c r="N395" s="45">
        <v>40.86</v>
      </c>
      <c r="O395" s="45">
        <v>47.146000000000001</v>
      </c>
      <c r="P395" s="45">
        <v>46.454300000000003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-5.0000000000238742E-4</v>
      </c>
      <c r="AE395" s="45">
        <f t="shared" si="26"/>
        <v>5.000000000002558E-3</v>
      </c>
      <c r="AF395" s="45">
        <f t="shared" si="27"/>
        <v>2.3999999999944066E-3</v>
      </c>
      <c r="AG395" s="66"/>
      <c r="AH395" s="66"/>
      <c r="AI395" s="67"/>
    </row>
    <row r="396" spans="2:35" ht="12" x14ac:dyDescent="0.2">
      <c r="B396" s="36"/>
      <c r="C396" s="29"/>
      <c r="D396" s="32">
        <v>30</v>
      </c>
      <c r="E396" s="70"/>
      <c r="F396" s="46">
        <v>38.051000000000002</v>
      </c>
      <c r="G396" s="46">
        <v>45.468200000000003</v>
      </c>
      <c r="H396" s="46">
        <v>44.569699999999997</v>
      </c>
      <c r="I396" s="66"/>
      <c r="J396" s="66"/>
      <c r="K396" s="67"/>
      <c r="L396" s="29"/>
      <c r="M396" s="70"/>
      <c r="N396" s="46">
        <v>38.051600000000001</v>
      </c>
      <c r="O396" s="46">
        <v>45.463000000000001</v>
      </c>
      <c r="P396" s="46">
        <v>44.570500000000003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-5.9999999999860165E-4</v>
      </c>
      <c r="AE396" s="46">
        <f t="shared" si="26"/>
        <v>5.2000000000020918E-3</v>
      </c>
      <c r="AF396" s="46">
        <f t="shared" si="27"/>
        <v>-8.0000000000524096E-4</v>
      </c>
      <c r="AG396" s="66"/>
      <c r="AH396" s="66"/>
      <c r="AI396" s="67"/>
    </row>
    <row r="397" spans="2:35" ht="12" x14ac:dyDescent="0.2">
      <c r="B397" s="36"/>
      <c r="C397" s="29"/>
      <c r="D397" s="32">
        <v>35</v>
      </c>
      <c r="E397" s="70"/>
      <c r="F397" s="46">
        <v>35.345999999999997</v>
      </c>
      <c r="G397" s="46">
        <v>43.695900000000002</v>
      </c>
      <c r="H397" s="46">
        <v>42.651000000000003</v>
      </c>
      <c r="I397" s="66"/>
      <c r="J397" s="66"/>
      <c r="K397" s="67"/>
      <c r="L397" s="29"/>
      <c r="M397" s="70"/>
      <c r="N397" s="46">
        <v>35.346499999999999</v>
      </c>
      <c r="O397" s="46">
        <v>43.700099999999999</v>
      </c>
      <c r="P397" s="46">
        <v>42.651000000000003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-5.0000000000238742E-4</v>
      </c>
      <c r="AE397" s="46">
        <f t="shared" si="26"/>
        <v>-4.199999999997317E-3</v>
      </c>
      <c r="AF397" s="46">
        <f t="shared" si="27"/>
        <v>0</v>
      </c>
      <c r="AG397" s="66"/>
      <c r="AH397" s="66"/>
      <c r="AI397" s="67"/>
    </row>
    <row r="398" spans="2:35" ht="12.75" thickBot="1" x14ac:dyDescent="0.25">
      <c r="B398" s="36"/>
      <c r="C398" s="53"/>
      <c r="D398" s="71">
        <v>40</v>
      </c>
      <c r="E398" s="81"/>
      <c r="F398" s="46">
        <v>32.923900000000003</v>
      </c>
      <c r="G398" s="72">
        <v>42.5289</v>
      </c>
      <c r="H398" s="72">
        <v>41.284500000000001</v>
      </c>
      <c r="I398" s="68"/>
      <c r="J398" s="68"/>
      <c r="K398" s="69"/>
      <c r="L398" s="29"/>
      <c r="M398" s="81"/>
      <c r="N398" s="46">
        <v>32.922800000000002</v>
      </c>
      <c r="O398" s="72">
        <v>42.527999999999999</v>
      </c>
      <c r="P398" s="72">
        <v>41.284199999999998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1.1000000000009891E-3</v>
      </c>
      <c r="AE398" s="46">
        <f t="shared" si="26"/>
        <v>9.0000000000145519E-4</v>
      </c>
      <c r="AF398" s="46">
        <f t="shared" si="27"/>
        <v>3.0000000000285354E-4</v>
      </c>
      <c r="AG398" s="68"/>
      <c r="AH398" s="68"/>
      <c r="AI398" s="69"/>
    </row>
    <row r="399" spans="2:35" ht="12" x14ac:dyDescent="0.2">
      <c r="B399" s="36"/>
      <c r="C399" s="29" t="s">
        <v>49</v>
      </c>
      <c r="D399" s="32">
        <v>25</v>
      </c>
      <c r="E399" s="70"/>
      <c r="F399" s="45">
        <v>41.0794</v>
      </c>
      <c r="G399" s="45">
        <v>47.629399999999997</v>
      </c>
      <c r="H399" s="45">
        <v>47.214700000000001</v>
      </c>
      <c r="I399" s="66"/>
      <c r="J399" s="66"/>
      <c r="K399" s="67"/>
      <c r="L399" s="29"/>
      <c r="M399" s="70"/>
      <c r="N399" s="45">
        <v>41.079700000000003</v>
      </c>
      <c r="O399" s="45">
        <v>47.630600000000001</v>
      </c>
      <c r="P399" s="45">
        <v>47.212499999999999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-3.0000000000285354E-4</v>
      </c>
      <c r="AE399" s="45">
        <f t="shared" si="26"/>
        <v>-1.2000000000043087E-3</v>
      </c>
      <c r="AF399" s="45">
        <f t="shared" si="27"/>
        <v>2.2000000000019782E-3</v>
      </c>
      <c r="AG399" s="66"/>
      <c r="AH399" s="66"/>
      <c r="AI399" s="67"/>
    </row>
    <row r="400" spans="2:35" ht="12" x14ac:dyDescent="0.2">
      <c r="B400" s="36"/>
      <c r="C400" s="29"/>
      <c r="D400" s="32">
        <v>30</v>
      </c>
      <c r="E400" s="70"/>
      <c r="F400" s="46">
        <v>38.183399999999999</v>
      </c>
      <c r="G400" s="46">
        <v>45.807600000000001</v>
      </c>
      <c r="H400" s="46">
        <v>45.1282</v>
      </c>
      <c r="I400" s="66"/>
      <c r="J400" s="66"/>
      <c r="K400" s="67"/>
      <c r="L400" s="29"/>
      <c r="M400" s="70"/>
      <c r="N400" s="46">
        <v>38.182299999999998</v>
      </c>
      <c r="O400" s="46">
        <v>45.807200000000002</v>
      </c>
      <c r="P400" s="46">
        <v>45.128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1.1000000000009891E-3</v>
      </c>
      <c r="AE400" s="46">
        <f t="shared" si="26"/>
        <v>3.9999999999906777E-4</v>
      </c>
      <c r="AF400" s="46">
        <f t="shared" si="27"/>
        <v>1.9999999999953388E-4</v>
      </c>
      <c r="AG400" s="66"/>
      <c r="AH400" s="66"/>
      <c r="AI400" s="67"/>
    </row>
    <row r="401" spans="2:35" ht="12" x14ac:dyDescent="0.2">
      <c r="B401" s="36"/>
      <c r="C401" s="29"/>
      <c r="D401" s="32">
        <v>35</v>
      </c>
      <c r="E401" s="70"/>
      <c r="F401" s="46">
        <v>35.432600000000001</v>
      </c>
      <c r="G401" s="46">
        <v>43.981299999999997</v>
      </c>
      <c r="H401" s="46">
        <v>43.049799999999998</v>
      </c>
      <c r="I401" s="66"/>
      <c r="J401" s="66"/>
      <c r="K401" s="67"/>
      <c r="L401" s="29"/>
      <c r="M401" s="70"/>
      <c r="N401" s="46">
        <v>35.433100000000003</v>
      </c>
      <c r="O401" s="46">
        <v>43.982900000000001</v>
      </c>
      <c r="P401" s="46">
        <v>43.049399999999999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-5.0000000000238742E-4</v>
      </c>
      <c r="AE401" s="46">
        <f t="shared" si="26"/>
        <v>-1.6000000000033765E-3</v>
      </c>
      <c r="AF401" s="46">
        <f t="shared" si="27"/>
        <v>3.9999999999906777E-4</v>
      </c>
      <c r="AG401" s="66"/>
      <c r="AH401" s="66"/>
      <c r="AI401" s="67"/>
    </row>
    <row r="402" spans="2:35" ht="12.75" thickBot="1" x14ac:dyDescent="0.25">
      <c r="B402" s="36"/>
      <c r="C402" s="53"/>
      <c r="D402" s="71">
        <v>40</v>
      </c>
      <c r="E402" s="81"/>
      <c r="F402" s="46">
        <v>32.995199999999997</v>
      </c>
      <c r="G402" s="72">
        <v>42.777000000000001</v>
      </c>
      <c r="H402" s="72">
        <v>41.607599999999998</v>
      </c>
      <c r="I402" s="68"/>
      <c r="J402" s="68"/>
      <c r="K402" s="69"/>
      <c r="L402" s="29"/>
      <c r="M402" s="81"/>
      <c r="N402" s="46">
        <v>32.994799999999998</v>
      </c>
      <c r="O402" s="72">
        <v>42.775799999999997</v>
      </c>
      <c r="P402" s="72">
        <v>41.607700000000001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3.9999999999906777E-4</v>
      </c>
      <c r="AE402" s="46">
        <f t="shared" si="26"/>
        <v>1.2000000000043087E-3</v>
      </c>
      <c r="AF402" s="46">
        <f t="shared" si="27"/>
        <v>-1.0000000000331966E-4</v>
      </c>
      <c r="AG402" s="68"/>
      <c r="AH402" s="68"/>
      <c r="AI402" s="69"/>
    </row>
    <row r="403" spans="2:35" ht="12" x14ac:dyDescent="0.2">
      <c r="B403" s="36"/>
      <c r="C403" s="29" t="s">
        <v>50</v>
      </c>
      <c r="D403" s="32">
        <v>25</v>
      </c>
      <c r="E403" s="70"/>
      <c r="F403" s="45">
        <v>41.069299999999998</v>
      </c>
      <c r="G403" s="45">
        <v>47.684899999999999</v>
      </c>
      <c r="H403" s="45">
        <v>47.2363</v>
      </c>
      <c r="I403" s="66"/>
      <c r="J403" s="66"/>
      <c r="K403" s="67"/>
      <c r="L403" s="29"/>
      <c r="M403" s="70"/>
      <c r="N403" s="45">
        <v>41.0702</v>
      </c>
      <c r="O403" s="45">
        <v>47.684699999999999</v>
      </c>
      <c r="P403" s="45">
        <v>47.235300000000002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-9.0000000000145519E-4</v>
      </c>
      <c r="AE403" s="45">
        <f t="shared" si="26"/>
        <v>1.9999999999953388E-4</v>
      </c>
      <c r="AF403" s="45">
        <f t="shared" si="27"/>
        <v>9.9999999999766942E-4</v>
      </c>
      <c r="AG403" s="66"/>
      <c r="AH403" s="66"/>
      <c r="AI403" s="67"/>
    </row>
    <row r="404" spans="2:35" ht="12" x14ac:dyDescent="0.2">
      <c r="B404" s="36"/>
      <c r="C404" s="29"/>
      <c r="D404" s="32">
        <v>30</v>
      </c>
      <c r="E404" s="70"/>
      <c r="F404" s="46">
        <v>38.178800000000003</v>
      </c>
      <c r="G404" s="46">
        <v>45.873100000000001</v>
      </c>
      <c r="H404" s="46">
        <v>45.1601</v>
      </c>
      <c r="I404" s="66"/>
      <c r="J404" s="66"/>
      <c r="K404" s="67"/>
      <c r="L404" s="29"/>
      <c r="M404" s="70"/>
      <c r="N404" s="46">
        <v>38.178699999999999</v>
      </c>
      <c r="O404" s="46">
        <v>45.874499999999998</v>
      </c>
      <c r="P404" s="46">
        <v>45.160499999999999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1.0000000000331966E-4</v>
      </c>
      <c r="AE404" s="46">
        <f t="shared" si="26"/>
        <v>-1.3999999999967372E-3</v>
      </c>
      <c r="AF404" s="46">
        <f t="shared" si="27"/>
        <v>-3.9999999999906777E-4</v>
      </c>
      <c r="AG404" s="66"/>
      <c r="AH404" s="66"/>
      <c r="AI404" s="67"/>
    </row>
    <row r="405" spans="2:35" ht="12" x14ac:dyDescent="0.2">
      <c r="B405" s="36"/>
      <c r="C405" s="29"/>
      <c r="D405" s="32">
        <v>35</v>
      </c>
      <c r="E405" s="70"/>
      <c r="F405" s="46">
        <v>35.433900000000001</v>
      </c>
      <c r="G405" s="46">
        <v>44.052999999999997</v>
      </c>
      <c r="H405" s="46">
        <v>43.083300000000001</v>
      </c>
      <c r="I405" s="66"/>
      <c r="J405" s="66"/>
      <c r="K405" s="67"/>
      <c r="L405" s="29"/>
      <c r="M405" s="70"/>
      <c r="N405" s="46">
        <v>35.432499999999997</v>
      </c>
      <c r="O405" s="46">
        <v>44.053800000000003</v>
      </c>
      <c r="P405" s="46">
        <v>43.084299999999999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1.4000000000038426E-3</v>
      </c>
      <c r="AE405" s="46">
        <f t="shared" si="26"/>
        <v>-8.0000000000524096E-4</v>
      </c>
      <c r="AF405" s="46">
        <f t="shared" si="27"/>
        <v>-9.9999999999766942E-4</v>
      </c>
      <c r="AG405" s="66"/>
      <c r="AH405" s="66"/>
      <c r="AI405" s="67"/>
    </row>
    <row r="406" spans="2:35" ht="12.75" thickBot="1" x14ac:dyDescent="0.25">
      <c r="B406" s="36"/>
      <c r="C406" s="53"/>
      <c r="D406" s="71">
        <v>40</v>
      </c>
      <c r="E406" s="81"/>
      <c r="F406" s="46">
        <v>32.9893</v>
      </c>
      <c r="G406" s="72">
        <v>42.866999999999997</v>
      </c>
      <c r="H406" s="72">
        <v>41.630299999999998</v>
      </c>
      <c r="I406" s="68"/>
      <c r="J406" s="68"/>
      <c r="K406" s="69"/>
      <c r="L406" s="29"/>
      <c r="M406" s="81"/>
      <c r="N406" s="46">
        <v>32.9893</v>
      </c>
      <c r="O406" s="72">
        <v>42.867600000000003</v>
      </c>
      <c r="P406" s="72">
        <v>41.631100000000004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0</v>
      </c>
      <c r="AE406" s="46">
        <f t="shared" si="26"/>
        <v>-6.0000000000570708E-4</v>
      </c>
      <c r="AF406" s="46">
        <f t="shared" si="27"/>
        <v>-8.0000000000524096E-4</v>
      </c>
      <c r="AG406" s="68"/>
      <c r="AH406" s="68"/>
      <c r="AI406" s="69"/>
    </row>
    <row r="407" spans="2:35" ht="12" x14ac:dyDescent="0.2">
      <c r="B407" s="36"/>
      <c r="C407" s="29" t="s">
        <v>51</v>
      </c>
      <c r="D407" s="32">
        <v>25</v>
      </c>
      <c r="E407" s="70"/>
      <c r="F407" s="45">
        <v>40.8825</v>
      </c>
      <c r="G407" s="45">
        <v>46.755099999999999</v>
      </c>
      <c r="H407" s="45">
        <v>46.650700000000001</v>
      </c>
      <c r="I407" s="66"/>
      <c r="J407" s="66"/>
      <c r="K407" s="67"/>
      <c r="L407" s="29"/>
      <c r="M407" s="70"/>
      <c r="N407" s="45">
        <v>40.884599999999999</v>
      </c>
      <c r="O407" s="45">
        <v>46.749899999999997</v>
      </c>
      <c r="P407" s="45">
        <v>46.655700000000003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-2.0999999999986585E-3</v>
      </c>
      <c r="AE407" s="45">
        <f t="shared" si="26"/>
        <v>5.2000000000020918E-3</v>
      </c>
      <c r="AF407" s="45">
        <f t="shared" si="27"/>
        <v>-5.000000000002558E-3</v>
      </c>
      <c r="AG407" s="66"/>
      <c r="AH407" s="66"/>
      <c r="AI407" s="67"/>
    </row>
    <row r="408" spans="2:35" ht="12" x14ac:dyDescent="0.2">
      <c r="B408" s="36"/>
      <c r="C408" s="29"/>
      <c r="D408" s="32">
        <v>30</v>
      </c>
      <c r="E408" s="70"/>
      <c r="F408" s="46">
        <v>38.057899999999997</v>
      </c>
      <c r="G408" s="46">
        <v>45.208599999999997</v>
      </c>
      <c r="H408" s="46">
        <v>44.716000000000001</v>
      </c>
      <c r="I408" s="66"/>
      <c r="J408" s="66"/>
      <c r="K408" s="67"/>
      <c r="L408" s="29"/>
      <c r="M408" s="70"/>
      <c r="N408" s="46">
        <v>38.056600000000003</v>
      </c>
      <c r="O408" s="46">
        <v>45.2211</v>
      </c>
      <c r="P408" s="46">
        <v>44.719700000000003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1.2999999999934175E-3</v>
      </c>
      <c r="AE408" s="46">
        <f t="shared" si="26"/>
        <v>-1.2500000000002842E-2</v>
      </c>
      <c r="AF408" s="46">
        <f t="shared" si="27"/>
        <v>-3.700000000002035E-3</v>
      </c>
      <c r="AG408" s="66"/>
      <c r="AH408" s="66"/>
      <c r="AI408" s="67"/>
    </row>
    <row r="409" spans="2:35" ht="12" x14ac:dyDescent="0.2">
      <c r="B409" s="36"/>
      <c r="C409" s="29"/>
      <c r="D409" s="32">
        <v>35</v>
      </c>
      <c r="E409" s="70"/>
      <c r="F409" s="46">
        <v>35.352800000000002</v>
      </c>
      <c r="G409" s="46">
        <v>43.599400000000003</v>
      </c>
      <c r="H409" s="46">
        <v>42.765700000000002</v>
      </c>
      <c r="I409" s="66"/>
      <c r="J409" s="66"/>
      <c r="K409" s="67"/>
      <c r="L409" s="29"/>
      <c r="M409" s="70"/>
      <c r="N409" s="46">
        <v>35.353400000000001</v>
      </c>
      <c r="O409" s="46">
        <v>43.600499999999997</v>
      </c>
      <c r="P409" s="46">
        <v>42.767000000000003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-5.9999999999860165E-4</v>
      </c>
      <c r="AE409" s="46">
        <f t="shared" si="26"/>
        <v>-1.0999999999938836E-3</v>
      </c>
      <c r="AF409" s="46">
        <f t="shared" si="27"/>
        <v>-1.300000000000523E-3</v>
      </c>
      <c r="AG409" s="66"/>
      <c r="AH409" s="66"/>
      <c r="AI409" s="67"/>
    </row>
    <row r="410" spans="2:35" ht="12.75" thickBot="1" x14ac:dyDescent="0.25">
      <c r="B410" s="36"/>
      <c r="C410" s="53"/>
      <c r="D410" s="71">
        <v>40</v>
      </c>
      <c r="E410" s="81"/>
      <c r="F410" s="72">
        <v>32.919400000000003</v>
      </c>
      <c r="G410" s="72">
        <v>42.507100000000001</v>
      </c>
      <c r="H410" s="72">
        <v>41.347999999999999</v>
      </c>
      <c r="I410" s="68"/>
      <c r="J410" s="68"/>
      <c r="K410" s="69"/>
      <c r="L410" s="29"/>
      <c r="M410" s="81"/>
      <c r="N410" s="72">
        <v>32.918799999999997</v>
      </c>
      <c r="O410" s="72">
        <v>42.508299999999998</v>
      </c>
      <c r="P410" s="72">
        <v>41.351900000000001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6.0000000000570708E-4</v>
      </c>
      <c r="AE410" s="72">
        <f t="shared" si="26"/>
        <v>-1.1999999999972033E-3</v>
      </c>
      <c r="AF410" s="72">
        <f t="shared" si="27"/>
        <v>-3.9000000000015689E-3</v>
      </c>
      <c r="AG410" s="68"/>
      <c r="AH410" s="68"/>
      <c r="AI410" s="69"/>
    </row>
    <row r="411" spans="2:35" ht="12" x14ac:dyDescent="0.2">
      <c r="B411" s="36"/>
      <c r="C411" s="29" t="s">
        <v>52</v>
      </c>
      <c r="D411" s="32">
        <v>25</v>
      </c>
      <c r="E411" s="70"/>
      <c r="F411" s="45">
        <v>40.701300000000003</v>
      </c>
      <c r="G411" s="45">
        <v>46.532299999999999</v>
      </c>
      <c r="H411" s="45">
        <v>46.614199999999997</v>
      </c>
      <c r="I411" s="66"/>
      <c r="J411" s="66"/>
      <c r="K411" s="67"/>
      <c r="L411" s="29"/>
      <c r="M411" s="70"/>
      <c r="N411" s="45">
        <v>40.701900000000002</v>
      </c>
      <c r="O411" s="45">
        <v>46.513199999999998</v>
      </c>
      <c r="P411" s="45">
        <v>46.601100000000002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-5.9999999999860165E-4</v>
      </c>
      <c r="AE411" s="45">
        <f t="shared" si="26"/>
        <v>1.9100000000001671E-2</v>
      </c>
      <c r="AF411" s="45">
        <f t="shared" si="27"/>
        <v>1.3099999999994338E-2</v>
      </c>
      <c r="AG411" s="45"/>
      <c r="AH411" s="66"/>
      <c r="AI411" s="67"/>
    </row>
    <row r="412" spans="2:35" ht="12" x14ac:dyDescent="0.2">
      <c r="B412" s="36"/>
      <c r="C412" s="29"/>
      <c r="D412" s="32">
        <v>30</v>
      </c>
      <c r="E412" s="70"/>
      <c r="F412" s="46">
        <v>37.9255</v>
      </c>
      <c r="G412" s="46">
        <v>45.031999999999996</v>
      </c>
      <c r="H412" s="46">
        <v>44.6755</v>
      </c>
      <c r="I412" s="66"/>
      <c r="J412" s="66"/>
      <c r="K412" s="67"/>
      <c r="L412" s="29"/>
      <c r="M412" s="70"/>
      <c r="N412" s="46">
        <v>37.924399999999999</v>
      </c>
      <c r="O412" s="46">
        <v>45.044199999999996</v>
      </c>
      <c r="P412" s="46">
        <v>44.661000000000001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1.1000000000009891E-3</v>
      </c>
      <c r="AE412" s="46">
        <f t="shared" si="26"/>
        <v>-1.2199999999999989E-2</v>
      </c>
      <c r="AF412" s="46">
        <f t="shared" si="27"/>
        <v>1.4499999999998181E-2</v>
      </c>
      <c r="AG412" s="66"/>
      <c r="AH412" s="66"/>
      <c r="AI412" s="67"/>
    </row>
    <row r="413" spans="2:35" ht="12" x14ac:dyDescent="0.2">
      <c r="B413" s="36"/>
      <c r="C413" s="29"/>
      <c r="D413" s="32">
        <v>35</v>
      </c>
      <c r="E413" s="70"/>
      <c r="F413" s="46">
        <v>35.269100000000002</v>
      </c>
      <c r="G413" s="46">
        <v>43.497100000000003</v>
      </c>
      <c r="H413" s="46">
        <v>42.7042</v>
      </c>
      <c r="I413" s="66"/>
      <c r="J413" s="66"/>
      <c r="K413" s="67"/>
      <c r="L413" s="29"/>
      <c r="M413" s="70"/>
      <c r="N413" s="46">
        <v>35.268700000000003</v>
      </c>
      <c r="O413" s="46">
        <v>43.496499999999997</v>
      </c>
      <c r="P413" s="46">
        <v>42.697600000000001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3.9999999999906777E-4</v>
      </c>
      <c r="AE413" s="46">
        <f t="shared" si="26"/>
        <v>6.0000000000570708E-4</v>
      </c>
      <c r="AF413" s="46">
        <f t="shared" si="27"/>
        <v>6.599999999998829E-3</v>
      </c>
      <c r="AG413" s="66"/>
      <c r="AH413" s="66"/>
      <c r="AI413" s="67"/>
    </row>
    <row r="414" spans="2:35" ht="12.75" thickBot="1" x14ac:dyDescent="0.25">
      <c r="B414" s="36"/>
      <c r="C414" s="53"/>
      <c r="D414" s="71">
        <v>40</v>
      </c>
      <c r="E414" s="81"/>
      <c r="F414" s="72">
        <v>32.868899999999996</v>
      </c>
      <c r="G414" s="72">
        <v>42.452599999999997</v>
      </c>
      <c r="H414" s="72">
        <v>41.294800000000002</v>
      </c>
      <c r="I414" s="68"/>
      <c r="J414" s="68"/>
      <c r="K414" s="69"/>
      <c r="L414" s="29"/>
      <c r="M414" s="81"/>
      <c r="N414" s="72">
        <v>32.867800000000003</v>
      </c>
      <c r="O414" s="72">
        <v>42.455800000000004</v>
      </c>
      <c r="P414" s="72">
        <v>41.299900000000001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1.0999999999938836E-3</v>
      </c>
      <c r="AE414" s="72">
        <f t="shared" si="26"/>
        <v>-3.200000000006753E-3</v>
      </c>
      <c r="AF414" s="72">
        <f t="shared" si="27"/>
        <v>-5.0999999999987722E-3</v>
      </c>
      <c r="AG414" s="68"/>
      <c r="AH414" s="68"/>
      <c r="AI414" s="69"/>
    </row>
    <row r="415" spans="2:35" ht="12" x14ac:dyDescent="0.2">
      <c r="B415" s="36"/>
      <c r="C415" s="29" t="s">
        <v>12</v>
      </c>
      <c r="D415" s="32">
        <v>25</v>
      </c>
      <c r="E415" s="45">
        <v>6069.5672000000004</v>
      </c>
      <c r="F415" s="70"/>
      <c r="G415" s="70"/>
      <c r="H415" s="70"/>
      <c r="I415" s="45">
        <v>79916.25</v>
      </c>
      <c r="J415" s="45">
        <v>161.93700000000001</v>
      </c>
      <c r="K415" s="45">
        <v>976.26499999999999</v>
      </c>
      <c r="L415" s="29"/>
      <c r="M415" s="45">
        <v>6071.0807999999997</v>
      </c>
      <c r="N415" s="70"/>
      <c r="O415" s="70"/>
      <c r="P415" s="70"/>
      <c r="Q415" s="45">
        <v>79262.702999999994</v>
      </c>
      <c r="R415" s="45">
        <v>162.25</v>
      </c>
      <c r="S415" s="45">
        <v>986.57799999999997</v>
      </c>
      <c r="U415" s="8"/>
      <c r="V415" s="9"/>
      <c r="W415" s="10"/>
      <c r="X415" s="29"/>
      <c r="Y415" s="61">
        <f>GEOMEAN(Q415:Q418)/GEOMEAN(I415:I418)</f>
        <v>0.99566485201515231</v>
      </c>
      <c r="Z415" s="61">
        <f>GEOMEAN(R415:R418)/GEOMEAN(J415:J418)</f>
        <v>0.97395623682866639</v>
      </c>
      <c r="AA415" s="57">
        <f>GEOMEAN(S415:S418)/GEOMEAN(K415:K418)</f>
        <v>0.95970603192115511</v>
      </c>
      <c r="AB415" s="24"/>
      <c r="AC415" s="45">
        <f>E415 -M415</f>
        <v>-1.5135999999993146</v>
      </c>
      <c r="AD415" s="70"/>
      <c r="AE415" s="70"/>
      <c r="AF415" s="70"/>
      <c r="AG415" s="45">
        <f t="shared" ref="AG415:AI418" si="28">I415 -Q415</f>
        <v>653.54700000000594</v>
      </c>
      <c r="AH415" s="45">
        <f t="shared" si="28"/>
        <v>-0.31299999999998818</v>
      </c>
      <c r="AI415" s="45">
        <f t="shared" si="28"/>
        <v>-10.312999999999988</v>
      </c>
    </row>
    <row r="416" spans="2:35" ht="12" x14ac:dyDescent="0.2">
      <c r="B416" s="36"/>
      <c r="C416" s="29"/>
      <c r="D416" s="32">
        <v>30</v>
      </c>
      <c r="E416" s="46">
        <v>2802.8784000000001</v>
      </c>
      <c r="F416" s="70"/>
      <c r="G416" s="70"/>
      <c r="H416" s="70"/>
      <c r="I416" s="46">
        <v>61025.046999999999</v>
      </c>
      <c r="J416" s="46">
        <v>162.84399999999999</v>
      </c>
      <c r="K416" s="46">
        <v>1011.9690000000001</v>
      </c>
      <c r="L416" s="29"/>
      <c r="M416" s="46">
        <v>2802.6</v>
      </c>
      <c r="N416" s="70"/>
      <c r="O416" s="70"/>
      <c r="P416" s="70"/>
      <c r="Q416" s="46">
        <v>60617.36</v>
      </c>
      <c r="R416" s="46">
        <v>159.89099999999999</v>
      </c>
      <c r="S416" s="46">
        <v>984.17200000000003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0.27840000000014697</v>
      </c>
      <c r="AD416" s="70"/>
      <c r="AE416" s="70"/>
      <c r="AF416" s="70"/>
      <c r="AG416" s="46">
        <f t="shared" si="28"/>
        <v>407.68699999999808</v>
      </c>
      <c r="AH416" s="46">
        <f t="shared" si="28"/>
        <v>2.953000000000003</v>
      </c>
      <c r="AI416" s="46">
        <f t="shared" si="28"/>
        <v>27.797000000000025</v>
      </c>
    </row>
    <row r="417" spans="1:35" ht="12" x14ac:dyDescent="0.2">
      <c r="B417" s="36"/>
      <c r="C417" s="29"/>
      <c r="D417" s="32">
        <v>35</v>
      </c>
      <c r="E417" s="46">
        <v>1345.0368000000001</v>
      </c>
      <c r="F417" s="70"/>
      <c r="G417" s="70"/>
      <c r="H417" s="70"/>
      <c r="I417" s="46">
        <v>50422.093999999997</v>
      </c>
      <c r="J417" s="46">
        <v>154.88999999999999</v>
      </c>
      <c r="K417" s="46">
        <v>1058.1880000000001</v>
      </c>
      <c r="L417" s="29"/>
      <c r="M417" s="46">
        <v>1345.3240000000001</v>
      </c>
      <c r="N417" s="70"/>
      <c r="O417" s="70"/>
      <c r="P417" s="70"/>
      <c r="Q417" s="46">
        <v>50070.171000000002</v>
      </c>
      <c r="R417" s="46">
        <v>149.547</v>
      </c>
      <c r="S417" s="46">
        <v>1028.9059999999999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-0.28719999999998436</v>
      </c>
      <c r="AD417" s="70"/>
      <c r="AE417" s="70"/>
      <c r="AF417" s="70"/>
      <c r="AG417" s="46">
        <f t="shared" si="28"/>
        <v>351.92299999999523</v>
      </c>
      <c r="AH417" s="46">
        <f t="shared" si="28"/>
        <v>5.3429999999999893</v>
      </c>
      <c r="AI417" s="46">
        <f t="shared" si="28"/>
        <v>29.282000000000153</v>
      </c>
    </row>
    <row r="418" spans="1:35" ht="12.75" thickBot="1" x14ac:dyDescent="0.25">
      <c r="A418" s="54"/>
      <c r="B418" s="52"/>
      <c r="C418" s="53"/>
      <c r="D418" s="71">
        <v>40</v>
      </c>
      <c r="E418" s="72">
        <v>645.03599999999994</v>
      </c>
      <c r="F418" s="81"/>
      <c r="G418" s="81"/>
      <c r="H418" s="81"/>
      <c r="I418" s="72">
        <v>42617.593999999997</v>
      </c>
      <c r="J418" s="72">
        <v>167.68799999999999</v>
      </c>
      <c r="K418" s="72">
        <v>1152.875</v>
      </c>
      <c r="L418" s="29"/>
      <c r="M418" s="72">
        <v>645.08240000000001</v>
      </c>
      <c r="N418" s="81"/>
      <c r="O418" s="81"/>
      <c r="P418" s="81"/>
      <c r="Q418" s="72">
        <v>42811.531000000003</v>
      </c>
      <c r="R418" s="72">
        <v>158.86000000000001</v>
      </c>
      <c r="S418" s="72">
        <v>1023.422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-4.6400000000062391E-2</v>
      </c>
      <c r="AD418" s="81"/>
      <c r="AE418" s="81"/>
      <c r="AF418" s="81"/>
      <c r="AG418" s="72">
        <f t="shared" si="28"/>
        <v>-193.93700000000536</v>
      </c>
      <c r="AH418" s="72">
        <f t="shared" si="28"/>
        <v>8.8279999999999745</v>
      </c>
      <c r="AI418" s="72">
        <f t="shared" si="28"/>
        <v>129.45299999999997</v>
      </c>
    </row>
    <row r="419" spans="1:35" ht="12" thickBot="1" x14ac:dyDescent="0.2">
      <c r="AB419" s="24"/>
    </row>
    <row r="420" spans="1:35" ht="12" x14ac:dyDescent="0.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24871.096917567833</v>
      </c>
      <c r="J420" s="37">
        <f>GEOMEAN(J51:J54,J103:J106,J155:J158)</f>
        <v>57.796147351705443</v>
      </c>
      <c r="K420" s="39">
        <f>GEOMEAN(K51:K54,K103:K106,K155:K158)</f>
        <v>370.31688466995388</v>
      </c>
      <c r="M420" s="35"/>
      <c r="N420" s="22"/>
      <c r="O420" s="22"/>
      <c r="P420" s="22"/>
      <c r="Q420" s="37">
        <f>GEOMEAN(Q51:Q54,Q103:Q106,Q155:Q158)</f>
        <v>24893.292962719901</v>
      </c>
      <c r="R420" s="37">
        <f>GEOMEAN(R51:R54,R103:R106,R155:R158)</f>
        <v>59.23095772207752</v>
      </c>
      <c r="S420" s="39">
        <f>GEOMEAN(S51:S54,S103:S106,S155:S158)</f>
        <v>386.14648333862709</v>
      </c>
      <c r="AA420" s="20" t="s">
        <v>63</v>
      </c>
      <c r="AB420" s="35">
        <f>SUM(AD420:AI420)</f>
        <v>9206.1870000000108</v>
      </c>
      <c r="AC420" s="35">
        <f t="array" ref="AC420">SUM(ABS(AC3:AC418))</f>
        <v>32.589600000000033</v>
      </c>
      <c r="AD420" s="35">
        <f t="array" ref="AD420">SUM(ABS(AD3:AD418))</f>
        <v>1.6916000000000544</v>
      </c>
      <c r="AE420" s="35">
        <f t="array" ref="AE420">SUM(ABS(AE3:AE418))</f>
        <v>1.0342000000000766</v>
      </c>
      <c r="AF420" s="35">
        <f t="array" ref="AF420">SUM(ABS(AF3:AF418))</f>
        <v>0.92419999999994218</v>
      </c>
      <c r="AG420" s="35">
        <f t="array" ref="AG420">SUM(ABS(AG3:AG418))</f>
        <v>8112.6080000000111</v>
      </c>
      <c r="AH420" s="35">
        <f t="array" ref="AH420">SUM(ABS(AH3:AH418))</f>
        <v>141.39499999999992</v>
      </c>
      <c r="AI420" s="35">
        <f t="array" ref="AI420">SUM(ABS(AI3:AI418))</f>
        <v>948.53400000000033</v>
      </c>
    </row>
    <row r="421" spans="1:35" x14ac:dyDescent="0.1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40680.089982125319</v>
      </c>
      <c r="J421" s="38">
        <f>GEOMEAN(J207:J210,J259:J262,J311:J314,J363:J366)</f>
        <v>120.57429278467563</v>
      </c>
      <c r="K421" s="40">
        <f>GEOMEAN(K207:K210,K259:K262,K311:K314,K363:K366)</f>
        <v>823.15284443993949</v>
      </c>
      <c r="M421" s="36"/>
      <c r="N421" s="24"/>
      <c r="O421" s="24"/>
      <c r="P421" s="24"/>
      <c r="Q421" s="38">
        <f>GEOMEAN(Q207:Q210,Q259:Q262,Q311:Q314,Q363:Q366)</f>
        <v>40744.926193603751</v>
      </c>
      <c r="R421" s="38">
        <f>GEOMEAN(R207:R210,R259:R262,R311:R314,R363:R366)</f>
        <v>120.04186357107879</v>
      </c>
      <c r="S421" s="40">
        <f>GEOMEAN(S207:S210,S259:S262,S311:S314,S363:S366)</f>
        <v>822.18758325213969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 x14ac:dyDescent="0.2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32945.930430022701</v>
      </c>
      <c r="J422" s="73">
        <f>GEOMEAN(J51:J54,J103:J106,J155:J158,J207:J210,J259:J262,J311:J314,J363:J366)</f>
        <v>87.980806237439296</v>
      </c>
      <c r="K422" s="74">
        <f>GEOMEAN(K51:K54,K103:K106,K155:K158,K207:K210,K259:K262,K311:K314,K363:K366)</f>
        <v>584.52900733751665</v>
      </c>
      <c r="M422" s="52"/>
      <c r="N422" s="49"/>
      <c r="O422" s="49"/>
      <c r="P422" s="49"/>
      <c r="Q422" s="73">
        <f>GEOMEAN(Q51:Q54,Q103:Q106,Q155:Q158,Q207:Q210,Q259:Q262,Q311:Q314,Q363:Q366)</f>
        <v>32988.534868827926</v>
      </c>
      <c r="R422" s="73">
        <f>GEOMEAN(R51:R54,R103:R106,R155:R158,R207:R210,R259:R262,R311:R314,R363:R366)</f>
        <v>88.685758128813504</v>
      </c>
      <c r="S422" s="74">
        <f>GEOMEAN(S51:S54,S103:S106,S155:S158,S207:S210,S259:S262,S311:S314,S363:S366)</f>
        <v>594.71062967370949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 x14ac:dyDescent="0.1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1.000892443354052</v>
      </c>
      <c r="R423" s="47">
        <f t="shared" si="29"/>
        <v>1.0248253635599769</v>
      </c>
      <c r="S423" s="48">
        <f t="shared" si="29"/>
        <v>1.042746089427657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 x14ac:dyDescent="0.1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1.001593806982898</v>
      </c>
      <c r="R424" s="47">
        <f t="shared" si="29"/>
        <v>0.99558422279492309</v>
      </c>
      <c r="S424" s="48">
        <f t="shared" si="29"/>
        <v>0.99882736092777935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 x14ac:dyDescent="0.2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1.0012931624103232</v>
      </c>
      <c r="R425" s="50">
        <f t="shared" si="29"/>
        <v>1.008012564575411</v>
      </c>
      <c r="S425" s="51">
        <f t="shared" si="29"/>
        <v>1.0174185065383998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 x14ac:dyDescent="0.15">
      <c r="AB426" s="24"/>
      <c r="AC426" s="24"/>
    </row>
    <row r="427" spans="1:35" ht="12" thickBot="1" x14ac:dyDescent="0.2">
      <c r="A427" s="89" t="s">
        <v>38</v>
      </c>
      <c r="AB427" s="24"/>
      <c r="AC427" s="24"/>
    </row>
    <row r="428" spans="1:35" ht="12.75" thickBot="1" x14ac:dyDescent="0.25">
      <c r="A428" s="7"/>
      <c r="B428" s="88"/>
      <c r="C428" s="7"/>
      <c r="D428" s="28"/>
      <c r="E428" s="128" t="s">
        <v>2</v>
      </c>
      <c r="F428" s="128"/>
      <c r="G428" s="128"/>
      <c r="H428" s="128"/>
      <c r="I428" s="128"/>
      <c r="J428" s="128"/>
      <c r="K428" s="129"/>
      <c r="L428" s="11"/>
      <c r="M428" s="127" t="s">
        <v>3</v>
      </c>
      <c r="N428" s="128"/>
      <c r="O428" s="128"/>
      <c r="P428" s="128"/>
      <c r="Q428" s="128"/>
      <c r="R428" s="128"/>
      <c r="S428" s="129"/>
      <c r="T428" s="34"/>
      <c r="U428" s="127" t="s">
        <v>10</v>
      </c>
      <c r="V428" s="128"/>
      <c r="W428" s="129"/>
      <c r="Y428" s="24"/>
      <c r="Z428" s="24"/>
      <c r="AA428" s="24"/>
      <c r="AB428" s="24"/>
      <c r="AC428" s="24"/>
    </row>
    <row r="429" spans="1:35" ht="12.75" thickBot="1" x14ac:dyDescent="0.25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 x14ac:dyDescent="0.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1149.5192</v>
      </c>
      <c r="F430" s="78">
        <f t="shared" ref="F430:H433" si="30">AVERAGE(F3,F7)</f>
        <v>42.663249999999998</v>
      </c>
      <c r="G430" s="78">
        <f t="shared" si="30"/>
        <v>43.251350000000002</v>
      </c>
      <c r="H430" s="78">
        <f t="shared" si="30"/>
        <v>43.551749999999998</v>
      </c>
      <c r="I430" s="79"/>
      <c r="J430" s="79"/>
      <c r="K430" s="80"/>
      <c r="L430" s="29"/>
      <c r="M430" s="82">
        <f>M3+M7</f>
        <v>1148.8807999999999</v>
      </c>
      <c r="N430" s="78">
        <f t="shared" ref="N430:P433" si="31">AVERAGE(N3,N7)</f>
        <v>42.662149999999997</v>
      </c>
      <c r="O430" s="78">
        <f t="shared" si="31"/>
        <v>43.251049999999999</v>
      </c>
      <c r="P430" s="78">
        <f t="shared" si="31"/>
        <v>43.550400000000003</v>
      </c>
      <c r="Q430" s="79"/>
      <c r="R430" s="79"/>
      <c r="S430" s="80"/>
      <c r="U430" s="8">
        <f>bdrate($E430:$E433,F430:F433,$M430:$M433,N430:N433)</f>
        <v>3.8338287149164429E-5</v>
      </c>
      <c r="V430" s="9">
        <f>bdrate($E430:$E433,G430:G433,$M430:$M433,O430:O433)</f>
        <v>-2.0968400289456124E-4</v>
      </c>
      <c r="W430" s="10">
        <f>bdrate($E430:$E433,H430:H433,$M430:$M433,P430:P433)</f>
        <v>1.4593751122893295E-4</v>
      </c>
      <c r="Y430" s="24"/>
      <c r="Z430" s="24"/>
      <c r="AA430" s="24"/>
      <c r="AB430" s="24"/>
      <c r="AC430" s="24"/>
    </row>
    <row r="431" spans="1:35" ht="12" x14ac:dyDescent="0.2">
      <c r="A431" s="24"/>
      <c r="B431" s="29"/>
      <c r="C431" s="29"/>
      <c r="D431" s="32">
        <v>30</v>
      </c>
      <c r="E431" s="70">
        <f>E4+E8</f>
        <v>605.25279999999998</v>
      </c>
      <c r="F431" s="70">
        <f t="shared" si="30"/>
        <v>40.482349999999997</v>
      </c>
      <c r="G431" s="70">
        <f t="shared" si="30"/>
        <v>41.982050000000001</v>
      </c>
      <c r="H431" s="70">
        <f t="shared" si="30"/>
        <v>41.931749999999994</v>
      </c>
      <c r="I431" s="66"/>
      <c r="J431" s="66"/>
      <c r="K431" s="67"/>
      <c r="L431" s="29"/>
      <c r="M431" s="83">
        <f>M4+M8</f>
        <v>604.94159999999999</v>
      </c>
      <c r="N431" s="70">
        <f t="shared" si="31"/>
        <v>40.481899999999996</v>
      </c>
      <c r="O431" s="70">
        <f t="shared" si="31"/>
        <v>41.981450000000002</v>
      </c>
      <c r="P431" s="70">
        <f t="shared" si="31"/>
        <v>41.928699999999999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 x14ac:dyDescent="0.2">
      <c r="A432" s="24"/>
      <c r="B432" s="29"/>
      <c r="C432" s="29"/>
      <c r="D432" s="32">
        <v>35</v>
      </c>
      <c r="E432" s="70">
        <f>E5+E9</f>
        <v>341.68399999999997</v>
      </c>
      <c r="F432" s="70">
        <f t="shared" si="30"/>
        <v>37.88655</v>
      </c>
      <c r="G432" s="70">
        <f t="shared" si="30"/>
        <v>40.60745</v>
      </c>
      <c r="H432" s="70">
        <f t="shared" si="30"/>
        <v>40.282449999999997</v>
      </c>
      <c r="I432" s="66"/>
      <c r="J432" s="66"/>
      <c r="K432" s="67"/>
      <c r="L432" s="29"/>
      <c r="M432" s="83">
        <f>M5+M9</f>
        <v>341.79519999999997</v>
      </c>
      <c r="N432" s="70">
        <f t="shared" si="31"/>
        <v>37.885750000000002</v>
      </c>
      <c r="O432" s="70">
        <f t="shared" si="31"/>
        <v>40.608550000000001</v>
      </c>
      <c r="P432" s="70">
        <f t="shared" si="31"/>
        <v>40.283649999999994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 x14ac:dyDescent="0.25">
      <c r="A433" s="24"/>
      <c r="B433" s="29"/>
      <c r="C433" s="53"/>
      <c r="D433" s="71">
        <v>40</v>
      </c>
      <c r="E433" s="81">
        <f>E6+E10</f>
        <v>201.69039999999998</v>
      </c>
      <c r="F433" s="81">
        <f t="shared" si="30"/>
        <v>35.110849999999999</v>
      </c>
      <c r="G433" s="81">
        <f t="shared" si="30"/>
        <v>39.516100000000002</v>
      </c>
      <c r="H433" s="81">
        <f t="shared" si="30"/>
        <v>39.008650000000003</v>
      </c>
      <c r="I433" s="68"/>
      <c r="J433" s="68"/>
      <c r="K433" s="69"/>
      <c r="L433" s="29"/>
      <c r="M433" s="84">
        <f>M6+M10</f>
        <v>201.6576</v>
      </c>
      <c r="N433" s="81">
        <f t="shared" si="31"/>
        <v>35.110249999999994</v>
      </c>
      <c r="O433" s="81">
        <f t="shared" si="31"/>
        <v>39.51585</v>
      </c>
      <c r="P433" s="81">
        <f t="shared" si="31"/>
        <v>39.009650000000001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 x14ac:dyDescent="0.2">
      <c r="B434" s="29"/>
      <c r="C434" s="28" t="s">
        <v>36</v>
      </c>
      <c r="D434" s="31">
        <v>25</v>
      </c>
      <c r="E434" s="78">
        <f>E3+E7+E11</f>
        <v>1450.0328</v>
      </c>
      <c r="F434" s="78">
        <f t="shared" ref="F434:H437" si="32">AVERAGE(F3,F7,F11)</f>
        <v>42.410166666666669</v>
      </c>
      <c r="G434" s="78">
        <f t="shared" si="32"/>
        <v>43.016700000000007</v>
      </c>
      <c r="H434" s="78">
        <f t="shared" si="32"/>
        <v>43.323799999999999</v>
      </c>
      <c r="I434" s="79"/>
      <c r="J434" s="79"/>
      <c r="K434" s="80"/>
      <c r="L434" s="29"/>
      <c r="M434" s="78">
        <f>M3+M7+M11</f>
        <v>1448.8912</v>
      </c>
      <c r="N434" s="78">
        <f t="shared" ref="N434:P437" si="33">AVERAGE(N3,N7,N11)</f>
        <v>42.409099999999995</v>
      </c>
      <c r="O434" s="78">
        <f t="shared" si="33"/>
        <v>43.018400000000007</v>
      </c>
      <c r="P434" s="78">
        <f t="shared" si="33"/>
        <v>43.324766666666669</v>
      </c>
      <c r="Q434" s="79"/>
      <c r="R434" s="79"/>
      <c r="S434" s="80"/>
      <c r="U434" s="8">
        <f>bdrate($E434:$E437,F434:F437,$M434:$M437,N434:N437)</f>
        <v>-8.0703241383650592E-5</v>
      </c>
      <c r="V434" s="9">
        <f>bdrate($E434:$E437,G434:G437,$M434:$M437,O434:O437)</f>
        <v>-6.1079481986259232E-4</v>
      </c>
      <c r="W434" s="10">
        <f>bdrate($E434:$E437,H434:H437,$M434:$M437,P434:P437)</f>
        <v>-1.2328950914564096E-4</v>
      </c>
      <c r="Y434" s="24"/>
      <c r="Z434" s="24"/>
      <c r="AA434" s="24"/>
      <c r="AB434" s="24"/>
      <c r="AC434" s="24"/>
    </row>
    <row r="435" spans="1:29" ht="12" x14ac:dyDescent="0.2">
      <c r="B435" s="29"/>
      <c r="C435" s="29"/>
      <c r="D435" s="32">
        <v>30</v>
      </c>
      <c r="E435" s="70">
        <f>E4+E8+E12</f>
        <v>741.41039999999998</v>
      </c>
      <c r="F435" s="70">
        <f t="shared" si="32"/>
        <v>40.212166666666661</v>
      </c>
      <c r="G435" s="70">
        <f t="shared" si="32"/>
        <v>41.730799999999995</v>
      </c>
      <c r="H435" s="70">
        <f t="shared" si="32"/>
        <v>41.721399999999996</v>
      </c>
      <c r="I435" s="66"/>
      <c r="J435" s="66"/>
      <c r="K435" s="67"/>
      <c r="L435" s="29"/>
      <c r="M435" s="70">
        <f>M4+M8+M12</f>
        <v>741.06399999999996</v>
      </c>
      <c r="N435" s="70">
        <f t="shared" si="33"/>
        <v>40.211933333333327</v>
      </c>
      <c r="O435" s="70">
        <f t="shared" si="33"/>
        <v>41.731000000000002</v>
      </c>
      <c r="P435" s="70">
        <f t="shared" si="33"/>
        <v>41.719633333333327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 x14ac:dyDescent="0.2">
      <c r="B436" s="29"/>
      <c r="C436" s="29"/>
      <c r="D436" s="32">
        <v>35</v>
      </c>
      <c r="E436" s="70">
        <f>E5+E9+E13</f>
        <v>412.91519999999997</v>
      </c>
      <c r="F436" s="70">
        <f t="shared" si="32"/>
        <v>37.627333333333333</v>
      </c>
      <c r="G436" s="70">
        <f t="shared" si="32"/>
        <v>40.426066666666664</v>
      </c>
      <c r="H436" s="70">
        <f t="shared" si="32"/>
        <v>40.140133333333331</v>
      </c>
      <c r="I436" s="66"/>
      <c r="J436" s="66"/>
      <c r="K436" s="67"/>
      <c r="L436" s="29"/>
      <c r="M436" s="70">
        <f>M5+M9+M13</f>
        <v>413.13839999999993</v>
      </c>
      <c r="N436" s="70">
        <f t="shared" si="33"/>
        <v>37.628399999999999</v>
      </c>
      <c r="O436" s="70">
        <f t="shared" si="33"/>
        <v>40.427700000000002</v>
      </c>
      <c r="P436" s="70">
        <f t="shared" si="33"/>
        <v>40.141599999999997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 x14ac:dyDescent="0.25">
      <c r="B437" s="29"/>
      <c r="C437" s="53"/>
      <c r="D437" s="71">
        <v>40</v>
      </c>
      <c r="E437" s="81">
        <f>E6+E10+E14</f>
        <v>239.39679999999998</v>
      </c>
      <c r="F437" s="81">
        <f t="shared" si="32"/>
        <v>34.873966666666668</v>
      </c>
      <c r="G437" s="81">
        <f t="shared" si="32"/>
        <v>39.34236666666667</v>
      </c>
      <c r="H437" s="81">
        <f t="shared" si="32"/>
        <v>38.873400000000004</v>
      </c>
      <c r="I437" s="68"/>
      <c r="J437" s="68"/>
      <c r="K437" s="69"/>
      <c r="L437" s="29"/>
      <c r="M437" s="81">
        <f>M6+M10+M14</f>
        <v>239.37280000000001</v>
      </c>
      <c r="N437" s="81">
        <f t="shared" si="33"/>
        <v>34.874499999999991</v>
      </c>
      <c r="O437" s="81">
        <f t="shared" si="33"/>
        <v>39.343499999999999</v>
      </c>
      <c r="P437" s="81">
        <f t="shared" si="33"/>
        <v>38.873933333333333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 x14ac:dyDescent="0.2">
      <c r="B438" s="29"/>
      <c r="C438" s="28" t="s">
        <v>37</v>
      </c>
      <c r="D438" s="31">
        <v>25</v>
      </c>
      <c r="E438" s="82">
        <f>E3+E7+E15+E19</f>
        <v>1352.7231999999999</v>
      </c>
      <c r="F438" s="78">
        <f t="shared" ref="F438:H441" si="34">AVERAGE(F27,F31,F35)</f>
        <v>42.771500000000003</v>
      </c>
      <c r="G438" s="78">
        <f t="shared" si="34"/>
        <v>45.637866666666667</v>
      </c>
      <c r="H438" s="78">
        <f t="shared" si="34"/>
        <v>45.519599999999997</v>
      </c>
      <c r="I438" s="79"/>
      <c r="J438" s="79"/>
      <c r="K438" s="80"/>
      <c r="L438" s="29"/>
      <c r="M438" s="82">
        <f>M3+M7+M15+M19</f>
        <v>1352.0183999999999</v>
      </c>
      <c r="N438" s="78">
        <f t="shared" ref="N438:P441" si="35">AVERAGE(N27,N31,N35)</f>
        <v>42.765800000000006</v>
      </c>
      <c r="O438" s="78">
        <f t="shared" si="35"/>
        <v>45.635266666666666</v>
      </c>
      <c r="P438" s="78">
        <f t="shared" si="35"/>
        <v>45.518533333333323</v>
      </c>
      <c r="Q438" s="79"/>
      <c r="R438" s="79"/>
      <c r="S438" s="80"/>
      <c r="U438" s="8">
        <f>bdrate($E438:$E441,F438:F441,$M438:$M441,N438:N441)</f>
        <v>2.0449177574599631E-5</v>
      </c>
      <c r="V438" s="9">
        <f>bdrate($E438:$E441,G438:G441,$M438:$M441,O438:O441)</f>
        <v>5.8731700705694223E-5</v>
      </c>
      <c r="W438" s="10">
        <f>bdrate($E438:$E441,H438:H441,$M438:$M441,P438:P441)</f>
        <v>1.8125059908362662E-3</v>
      </c>
      <c r="Y438" s="24"/>
      <c r="Z438" s="24"/>
      <c r="AA438" s="24"/>
      <c r="AB438" s="24"/>
      <c r="AC438" s="24"/>
    </row>
    <row r="439" spans="1:29" ht="12" x14ac:dyDescent="0.2">
      <c r="B439" s="29"/>
      <c r="C439" s="29"/>
      <c r="D439" s="32">
        <v>30</v>
      </c>
      <c r="E439" s="83">
        <f>E4+E8+E16+E20</f>
        <v>672.32799999999997</v>
      </c>
      <c r="F439" s="70">
        <f t="shared" si="34"/>
        <v>40.553733333333334</v>
      </c>
      <c r="G439" s="70">
        <f t="shared" si="34"/>
        <v>43.975500000000004</v>
      </c>
      <c r="H439" s="70">
        <f t="shared" si="34"/>
        <v>43.517366666666668</v>
      </c>
      <c r="I439" s="66"/>
      <c r="J439" s="66"/>
      <c r="K439" s="67"/>
      <c r="L439" s="29"/>
      <c r="M439" s="83">
        <f>M4+M8+M16+M20</f>
        <v>672.0752</v>
      </c>
      <c r="N439" s="70">
        <f t="shared" si="35"/>
        <v>40.554699999999997</v>
      </c>
      <c r="O439" s="70">
        <f t="shared" si="35"/>
        <v>43.973733333333335</v>
      </c>
      <c r="P439" s="70">
        <f t="shared" si="35"/>
        <v>43.503633333333333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 x14ac:dyDescent="0.2">
      <c r="B440" s="29"/>
      <c r="C440" s="29"/>
      <c r="D440" s="32">
        <v>35</v>
      </c>
      <c r="E440" s="83">
        <f>E5+E9+E17+E21</f>
        <v>370.67119999999994</v>
      </c>
      <c r="F440" s="70">
        <f t="shared" si="34"/>
        <v>38.008933333333339</v>
      </c>
      <c r="G440" s="70">
        <f t="shared" si="34"/>
        <v>42.186933333333336</v>
      </c>
      <c r="H440" s="70">
        <f t="shared" si="34"/>
        <v>41.522666666666673</v>
      </c>
      <c r="I440" s="66"/>
      <c r="J440" s="66"/>
      <c r="K440" s="67"/>
      <c r="L440" s="29"/>
      <c r="M440" s="83">
        <f>M5+M9+M17+M21</f>
        <v>370.71999999999997</v>
      </c>
      <c r="N440" s="70">
        <f t="shared" si="35"/>
        <v>38.008566666666667</v>
      </c>
      <c r="O440" s="70">
        <f t="shared" si="35"/>
        <v>42.187933333333334</v>
      </c>
      <c r="P440" s="70">
        <f t="shared" si="35"/>
        <v>41.521266666666662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 x14ac:dyDescent="0.25">
      <c r="B441" s="29"/>
      <c r="C441" s="53"/>
      <c r="D441" s="71">
        <v>40</v>
      </c>
      <c r="E441" s="84">
        <f>E6+E10+E18+E22</f>
        <v>216.06559999999999</v>
      </c>
      <c r="F441" s="81">
        <f t="shared" si="34"/>
        <v>35.251766666666668</v>
      </c>
      <c r="G441" s="81">
        <f t="shared" si="34"/>
        <v>40.824133333333329</v>
      </c>
      <c r="H441" s="81">
        <f t="shared" si="34"/>
        <v>40.013766666666662</v>
      </c>
      <c r="I441" s="68"/>
      <c r="J441" s="68"/>
      <c r="K441" s="69"/>
      <c r="L441" s="29"/>
      <c r="M441" s="84">
        <f>M6+M10+M18+M22</f>
        <v>215.96</v>
      </c>
      <c r="N441" s="81">
        <f t="shared" si="35"/>
        <v>35.24946666666667</v>
      </c>
      <c r="O441" s="81">
        <f t="shared" si="35"/>
        <v>40.824400000000004</v>
      </c>
      <c r="P441" s="81">
        <f t="shared" si="35"/>
        <v>40.013933333333334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 x14ac:dyDescent="0.2">
      <c r="B442" s="29"/>
      <c r="C442" s="28" t="s">
        <v>39</v>
      </c>
      <c r="D442" s="31">
        <v>25</v>
      </c>
      <c r="E442" s="78">
        <f>E51</f>
        <v>1755.4192</v>
      </c>
      <c r="F442" s="78">
        <f t="shared" ref="F442:H445" si="36">AVERAGE(F27,F31,F35,F39,F43,F47)</f>
        <v>42.686650000000007</v>
      </c>
      <c r="G442" s="78">
        <f t="shared" si="36"/>
        <v>45.586183333333338</v>
      </c>
      <c r="H442" s="78">
        <f t="shared" si="36"/>
        <v>45.461099999999995</v>
      </c>
      <c r="I442" s="79"/>
      <c r="J442" s="79"/>
      <c r="K442" s="80"/>
      <c r="L442" s="29"/>
      <c r="M442" s="78">
        <f>M51</f>
        <v>1753.8063999999999</v>
      </c>
      <c r="N442" s="78">
        <f t="shared" ref="N442:P445" si="37">AVERAGE(N27,N31,N35,N39,N43,N47)</f>
        <v>42.68193333333334</v>
      </c>
      <c r="O442" s="78">
        <f t="shared" si="37"/>
        <v>45.590949999999999</v>
      </c>
      <c r="P442" s="78">
        <f t="shared" si="37"/>
        <v>45.462199999999996</v>
      </c>
      <c r="Q442" s="79"/>
      <c r="R442" s="79"/>
      <c r="S442" s="80"/>
      <c r="U442" s="8">
        <f>bdrate($E442:$E445,F442:F445,$M442:$M445,N442:N445)</f>
        <v>1.6679264695351748E-4</v>
      </c>
      <c r="V442" s="9">
        <f>bdrate($E442:$E445,G442:G445,$M442:$M445,O442:O445)</f>
        <v>-5.9658616365088069E-4</v>
      </c>
      <c r="W442" s="10">
        <f>bdrate($E442:$E445,H442:H445,$M442:$M445,P442:P445)</f>
        <v>4.5145331674700806E-4</v>
      </c>
      <c r="Y442" s="24"/>
      <c r="Z442" s="24"/>
      <c r="AA442" s="24"/>
      <c r="AB442" s="24"/>
      <c r="AC442" s="24"/>
    </row>
    <row r="443" spans="1:29" ht="12" x14ac:dyDescent="0.2">
      <c r="B443" s="29"/>
      <c r="C443" s="29"/>
      <c r="D443" s="32">
        <v>30</v>
      </c>
      <c r="E443" s="70">
        <f>E52</f>
        <v>845.53840000000002</v>
      </c>
      <c r="F443" s="70">
        <f t="shared" si="36"/>
        <v>40.487249999999996</v>
      </c>
      <c r="G443" s="70">
        <f t="shared" si="36"/>
        <v>43.917416666666668</v>
      </c>
      <c r="H443" s="70">
        <f t="shared" si="36"/>
        <v>43.45571666666666</v>
      </c>
      <c r="I443" s="66"/>
      <c r="J443" s="66"/>
      <c r="K443" s="67"/>
      <c r="L443" s="29"/>
      <c r="M443" s="70">
        <f>M52</f>
        <v>845.23440000000005</v>
      </c>
      <c r="N443" s="70">
        <f t="shared" si="37"/>
        <v>40.486350000000002</v>
      </c>
      <c r="O443" s="70">
        <f t="shared" si="37"/>
        <v>43.916800000000002</v>
      </c>
      <c r="P443" s="70">
        <f t="shared" si="37"/>
        <v>43.451183333333326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 x14ac:dyDescent="0.2">
      <c r="B444" s="29"/>
      <c r="C444" s="29"/>
      <c r="D444" s="32">
        <v>35</v>
      </c>
      <c r="E444" s="70">
        <f>E53</f>
        <v>460.99040000000002</v>
      </c>
      <c r="F444" s="70">
        <f t="shared" si="36"/>
        <v>37.955216666666665</v>
      </c>
      <c r="G444" s="70">
        <f t="shared" si="36"/>
        <v>42.143866666666668</v>
      </c>
      <c r="H444" s="70">
        <f t="shared" si="36"/>
        <v>41.477333333333334</v>
      </c>
      <c r="I444" s="66"/>
      <c r="J444" s="66"/>
      <c r="K444" s="67"/>
      <c r="L444" s="29"/>
      <c r="M444" s="70">
        <f>M53</f>
        <v>461.1816</v>
      </c>
      <c r="N444" s="70">
        <f t="shared" si="37"/>
        <v>37.955616666666664</v>
      </c>
      <c r="O444" s="70">
        <f t="shared" si="37"/>
        <v>42.145333333333333</v>
      </c>
      <c r="P444" s="70">
        <f t="shared" si="37"/>
        <v>41.476266666666668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 x14ac:dyDescent="0.25">
      <c r="B445" s="29"/>
      <c r="C445" s="53"/>
      <c r="D445" s="71">
        <v>40</v>
      </c>
      <c r="E445" s="81">
        <f>E54</f>
        <v>265.93360000000001</v>
      </c>
      <c r="F445" s="81">
        <f t="shared" si="36"/>
        <v>35.196083333333334</v>
      </c>
      <c r="G445" s="81">
        <f t="shared" si="36"/>
        <v>40.796816666666665</v>
      </c>
      <c r="H445" s="81">
        <f t="shared" si="36"/>
        <v>39.955049999999993</v>
      </c>
      <c r="I445" s="68"/>
      <c r="J445" s="68"/>
      <c r="K445" s="69"/>
      <c r="L445" s="29"/>
      <c r="M445" s="81">
        <f>M54</f>
        <v>265.85840000000002</v>
      </c>
      <c r="N445" s="81">
        <f t="shared" si="37"/>
        <v>35.195566666666664</v>
      </c>
      <c r="O445" s="81">
        <f t="shared" si="37"/>
        <v>40.798033333333336</v>
      </c>
      <c r="P445" s="81">
        <f t="shared" si="37"/>
        <v>39.956950000000006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 x14ac:dyDescent="0.2">
      <c r="B446" s="29"/>
      <c r="C446" s="28" t="s">
        <v>40</v>
      </c>
      <c r="D446" s="31">
        <v>25</v>
      </c>
      <c r="E446" s="78">
        <f t="shared" ref="E446:E453" si="38">E438</f>
        <v>1352.7231999999999</v>
      </c>
      <c r="F446" s="78">
        <f t="shared" ref="F446:H449" si="39">AVERAGE(F3,F7,F27,F31,F35)</f>
        <v>42.728199999999994</v>
      </c>
      <c r="G446" s="78">
        <f t="shared" si="39"/>
        <v>44.683259999999997</v>
      </c>
      <c r="H446" s="78">
        <f t="shared" si="39"/>
        <v>44.732460000000003</v>
      </c>
      <c r="I446" s="79"/>
      <c r="J446" s="79"/>
      <c r="K446" s="80"/>
      <c r="L446" s="29"/>
      <c r="M446" s="78">
        <f t="shared" ref="M446:M453" si="40">M438</f>
        <v>1352.0183999999999</v>
      </c>
      <c r="N446" s="78">
        <f t="shared" ref="N446:P449" si="41">AVERAGE(N3,N7,N27,N31,N35)</f>
        <v>42.724339999999998</v>
      </c>
      <c r="O446" s="78">
        <f t="shared" si="41"/>
        <v>44.681579999999997</v>
      </c>
      <c r="P446" s="78">
        <f t="shared" si="41"/>
        <v>44.731280000000005</v>
      </c>
      <c r="Q446" s="79"/>
      <c r="R446" s="79"/>
      <c r="S446" s="80"/>
      <c r="U446" s="8">
        <f>bdrate($E446:$E449,F446:F449,$M446:$M449,N446:N449)</f>
        <v>1.6977872276946471E-6</v>
      </c>
      <c r="V446" s="9">
        <f>bdrate($E446:$E449,G446:G449,$M446:$M449,O446:O449)</f>
        <v>-4.6403365343894443E-5</v>
      </c>
      <c r="W446" s="10">
        <f>bdrate($E446:$E449,H446:H449,$M446:$M449,P446:P449)</f>
        <v>1.2173724720505597E-3</v>
      </c>
      <c r="Y446" s="24"/>
      <c r="Z446" s="24"/>
      <c r="AA446" s="24"/>
      <c r="AB446" s="24"/>
      <c r="AC446" s="24"/>
    </row>
    <row r="447" spans="1:29" ht="12" x14ac:dyDescent="0.2">
      <c r="B447" s="29"/>
      <c r="C447" s="29"/>
      <c r="D447" s="32">
        <v>30</v>
      </c>
      <c r="E447" s="70">
        <f t="shared" si="38"/>
        <v>672.32799999999997</v>
      </c>
      <c r="F447" s="70">
        <f t="shared" si="39"/>
        <v>40.525179999999999</v>
      </c>
      <c r="G447" s="70">
        <f t="shared" si="39"/>
        <v>43.17812</v>
      </c>
      <c r="H447" s="70">
        <f t="shared" si="39"/>
        <v>42.883119999999998</v>
      </c>
      <c r="I447" s="66"/>
      <c r="J447" s="66"/>
      <c r="K447" s="67"/>
      <c r="L447" s="29"/>
      <c r="M447" s="70">
        <f t="shared" si="40"/>
        <v>672.0752</v>
      </c>
      <c r="N447" s="70">
        <f t="shared" si="41"/>
        <v>40.525580000000005</v>
      </c>
      <c r="O447" s="70">
        <f t="shared" si="41"/>
        <v>43.176819999999999</v>
      </c>
      <c r="P447" s="70">
        <f t="shared" si="41"/>
        <v>42.873659999999994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 x14ac:dyDescent="0.2">
      <c r="B448" s="29"/>
      <c r="C448" s="29"/>
      <c r="D448" s="32">
        <v>35</v>
      </c>
      <c r="E448" s="70">
        <f t="shared" si="38"/>
        <v>370.67119999999994</v>
      </c>
      <c r="F448" s="70">
        <f t="shared" si="39"/>
        <v>37.959980000000002</v>
      </c>
      <c r="G448" s="70">
        <f t="shared" si="39"/>
        <v>41.555140000000002</v>
      </c>
      <c r="H448" s="70">
        <f t="shared" si="39"/>
        <v>41.026580000000003</v>
      </c>
      <c r="I448" s="66"/>
      <c r="J448" s="66"/>
      <c r="K448" s="67"/>
      <c r="L448" s="29"/>
      <c r="M448" s="70">
        <f t="shared" si="40"/>
        <v>370.71999999999997</v>
      </c>
      <c r="N448" s="70">
        <f t="shared" si="41"/>
        <v>37.959440000000008</v>
      </c>
      <c r="O448" s="70">
        <f t="shared" si="41"/>
        <v>41.556180000000005</v>
      </c>
      <c r="P448" s="70">
        <f t="shared" si="41"/>
        <v>41.026219999999995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 x14ac:dyDescent="0.25">
      <c r="B449" s="29"/>
      <c r="C449" s="53"/>
      <c r="D449" s="71">
        <v>40</v>
      </c>
      <c r="E449" s="81">
        <f t="shared" si="38"/>
        <v>216.06559999999999</v>
      </c>
      <c r="F449" s="81">
        <f t="shared" si="39"/>
        <v>35.195399999999992</v>
      </c>
      <c r="G449" s="81">
        <f t="shared" si="39"/>
        <v>40.300920000000005</v>
      </c>
      <c r="H449" s="81">
        <f t="shared" si="39"/>
        <v>39.611720000000005</v>
      </c>
      <c r="I449" s="68"/>
      <c r="J449" s="68"/>
      <c r="K449" s="69"/>
      <c r="L449" s="29"/>
      <c r="M449" s="81">
        <f t="shared" si="40"/>
        <v>215.96</v>
      </c>
      <c r="N449" s="81">
        <f t="shared" si="41"/>
        <v>35.193779999999997</v>
      </c>
      <c r="O449" s="81">
        <f t="shared" si="41"/>
        <v>40.300980000000003</v>
      </c>
      <c r="P449" s="81">
        <f t="shared" si="41"/>
        <v>39.612220000000001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 x14ac:dyDescent="0.2">
      <c r="B450" s="29"/>
      <c r="C450" s="28" t="s">
        <v>41</v>
      </c>
      <c r="D450" s="31">
        <v>25</v>
      </c>
      <c r="E450" s="78">
        <f t="shared" si="38"/>
        <v>1755.4192</v>
      </c>
      <c r="F450" s="78">
        <f t="shared" ref="F450:H453" si="42">AVERAGE(F3,F7,F11,F27,F31,F35,F39,F43,F47)</f>
        <v>42.59448888888889</v>
      </c>
      <c r="G450" s="78">
        <f t="shared" si="42"/>
        <v>44.729688888888887</v>
      </c>
      <c r="H450" s="78">
        <f t="shared" si="42"/>
        <v>44.748666666666665</v>
      </c>
      <c r="I450" s="79"/>
      <c r="J450" s="79"/>
      <c r="K450" s="80"/>
      <c r="L450" s="29"/>
      <c r="M450" s="78">
        <f t="shared" si="40"/>
        <v>1753.8063999999999</v>
      </c>
      <c r="N450" s="78">
        <f t="shared" ref="N450:P453" si="43">AVERAGE(N3,N7,N11,N27,N31,N35,N39,N43,N47)</f>
        <v>42.590988888888887</v>
      </c>
      <c r="O450" s="78">
        <f t="shared" si="43"/>
        <v>44.733433333333338</v>
      </c>
      <c r="P450" s="78">
        <f t="shared" si="43"/>
        <v>44.749722222222225</v>
      </c>
      <c r="Q450" s="79"/>
      <c r="R450" s="79"/>
      <c r="S450" s="80"/>
      <c r="U450" s="8">
        <f>bdrate($E450:$E453,F450:F453,$M450:$M453,N450:N453)</f>
        <v>6.715286863068215E-5</v>
      </c>
      <c r="V450" s="9">
        <f>bdrate($E450:$E453,G450:G453,$M450:$M453,O450:O453)</f>
        <v>-6.1651409191143536E-4</v>
      </c>
      <c r="W450" s="10">
        <f>bdrate($E450:$E453,H450:H453,$M450:$M453,P450:P453)</f>
        <v>2.7805264713753886E-4</v>
      </c>
      <c r="Y450" s="24"/>
      <c r="Z450" s="24"/>
      <c r="AA450" s="24"/>
      <c r="AB450" s="24"/>
      <c r="AC450" s="24"/>
    </row>
    <row r="451" spans="2:29" ht="12" x14ac:dyDescent="0.2">
      <c r="B451" s="29"/>
      <c r="C451" s="29"/>
      <c r="D451" s="32">
        <v>30</v>
      </c>
      <c r="E451" s="70">
        <f t="shared" si="38"/>
        <v>845.53840000000002</v>
      </c>
      <c r="F451" s="70">
        <f t="shared" si="42"/>
        <v>40.395555555555546</v>
      </c>
      <c r="G451" s="70">
        <f t="shared" si="42"/>
        <v>43.188544444444439</v>
      </c>
      <c r="H451" s="70">
        <f t="shared" si="42"/>
        <v>42.877611111111115</v>
      </c>
      <c r="I451" s="66"/>
      <c r="J451" s="66"/>
      <c r="K451" s="67"/>
      <c r="L451" s="29"/>
      <c r="M451" s="70">
        <f t="shared" si="40"/>
        <v>845.23440000000005</v>
      </c>
      <c r="N451" s="70">
        <f t="shared" si="43"/>
        <v>40.394877777777779</v>
      </c>
      <c r="O451" s="70">
        <f t="shared" si="43"/>
        <v>43.188200000000002</v>
      </c>
      <c r="P451" s="70">
        <f t="shared" si="43"/>
        <v>42.873999999999995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 x14ac:dyDescent="0.2">
      <c r="B452" s="29"/>
      <c r="C452" s="29"/>
      <c r="D452" s="32">
        <v>35</v>
      </c>
      <c r="E452" s="70">
        <f t="shared" si="38"/>
        <v>460.99040000000002</v>
      </c>
      <c r="F452" s="70">
        <f t="shared" si="42"/>
        <v>37.845922222222221</v>
      </c>
      <c r="G452" s="70">
        <f t="shared" si="42"/>
        <v>41.571266666666666</v>
      </c>
      <c r="H452" s="70">
        <f t="shared" si="42"/>
        <v>41.031599999999997</v>
      </c>
      <c r="I452" s="66"/>
      <c r="J452" s="66"/>
      <c r="K452" s="67"/>
      <c r="L452" s="29"/>
      <c r="M452" s="70">
        <f t="shared" si="40"/>
        <v>461.1816</v>
      </c>
      <c r="N452" s="70">
        <f t="shared" si="43"/>
        <v>37.846544444444447</v>
      </c>
      <c r="O452" s="70">
        <f t="shared" si="43"/>
        <v>41.572788888888887</v>
      </c>
      <c r="P452" s="70">
        <f t="shared" si="43"/>
        <v>41.03137777777777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 x14ac:dyDescent="0.25">
      <c r="B453" s="53"/>
      <c r="C453" s="53"/>
      <c r="D453" s="71">
        <v>40</v>
      </c>
      <c r="E453" s="81">
        <f t="shared" si="38"/>
        <v>265.93360000000001</v>
      </c>
      <c r="F453" s="81">
        <f t="shared" si="42"/>
        <v>35.08871111111111</v>
      </c>
      <c r="G453" s="81">
        <f t="shared" si="42"/>
        <v>40.311999999999998</v>
      </c>
      <c r="H453" s="81">
        <f t="shared" si="42"/>
        <v>39.594500000000004</v>
      </c>
      <c r="I453" s="68"/>
      <c r="J453" s="68"/>
      <c r="K453" s="69"/>
      <c r="L453" s="29"/>
      <c r="M453" s="81">
        <f t="shared" si="40"/>
        <v>265.85840000000002</v>
      </c>
      <c r="N453" s="81">
        <f t="shared" si="43"/>
        <v>35.088544444444437</v>
      </c>
      <c r="O453" s="81">
        <f t="shared" si="43"/>
        <v>40.313188888888895</v>
      </c>
      <c r="P453" s="81">
        <f t="shared" si="43"/>
        <v>39.595944444444449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 x14ac:dyDescent="0.2">
      <c r="B454" s="28" t="str">
        <f>B55</f>
        <v>Kendo</v>
      </c>
      <c r="C454" s="28" t="s">
        <v>35</v>
      </c>
      <c r="D454" s="31">
        <v>25</v>
      </c>
      <c r="E454" s="78">
        <f>E55+E59</f>
        <v>1121.6288</v>
      </c>
      <c r="F454" s="78">
        <f t="shared" ref="F454:H457" si="44">AVERAGE(F55,F59)</f>
        <v>43.150300000000001</v>
      </c>
      <c r="G454" s="78">
        <f t="shared" si="44"/>
        <v>44.852649999999997</v>
      </c>
      <c r="H454" s="78">
        <f t="shared" si="44"/>
        <v>44.540799999999997</v>
      </c>
      <c r="I454" s="79"/>
      <c r="J454" s="79"/>
      <c r="K454" s="80"/>
      <c r="L454" s="29"/>
      <c r="M454" s="78">
        <f>M55+M59</f>
        <v>1121.1512</v>
      </c>
      <c r="N454" s="78">
        <f t="shared" ref="N454:P457" si="45">AVERAGE(N55,N59)</f>
        <v>43.1492</v>
      </c>
      <c r="O454" s="78">
        <f t="shared" si="45"/>
        <v>44.850949999999997</v>
      </c>
      <c r="P454" s="78">
        <f t="shared" si="45"/>
        <v>44.541600000000003</v>
      </c>
      <c r="Q454" s="79"/>
      <c r="R454" s="79"/>
      <c r="S454" s="80"/>
      <c r="U454" s="8">
        <f>bdrate($E454:$E457,F454:F457,$M454:$M457,N454:N457)</f>
        <v>5.6648157817917877E-6</v>
      </c>
      <c r="V454" s="9">
        <f>bdrate($E454:$E457,G454:G457,$M454:$M457,O454:O457)</f>
        <v>-4.6693747347470449E-4</v>
      </c>
      <c r="W454" s="10">
        <f>bdrate($E454:$E457,H454:H457,$M454:$M457,P454:P457)</f>
        <v>3.1870074867823561E-4</v>
      </c>
      <c r="Y454" s="24"/>
      <c r="Z454" s="24"/>
      <c r="AA454" s="24"/>
      <c r="AB454" s="24"/>
      <c r="AC454" s="24"/>
    </row>
    <row r="455" spans="2:29" ht="12" x14ac:dyDescent="0.2">
      <c r="B455" s="29"/>
      <c r="C455" s="29"/>
      <c r="D455" s="32">
        <v>30</v>
      </c>
      <c r="E455" s="70">
        <f>E56+E60</f>
        <v>573.63120000000004</v>
      </c>
      <c r="F455" s="70">
        <f t="shared" si="44"/>
        <v>40.8949</v>
      </c>
      <c r="G455" s="70">
        <f t="shared" si="44"/>
        <v>43.965800000000002</v>
      </c>
      <c r="H455" s="70">
        <f t="shared" si="44"/>
        <v>43.048900000000003</v>
      </c>
      <c r="I455" s="66"/>
      <c r="J455" s="66"/>
      <c r="K455" s="67"/>
      <c r="L455" s="29"/>
      <c r="M455" s="70">
        <f>M56+M60</f>
        <v>573.64080000000001</v>
      </c>
      <c r="N455" s="70">
        <f t="shared" si="45"/>
        <v>40.8947</v>
      </c>
      <c r="O455" s="70">
        <f t="shared" si="45"/>
        <v>43.967799999999997</v>
      </c>
      <c r="P455" s="70">
        <f t="shared" si="45"/>
        <v>43.046300000000002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 x14ac:dyDescent="0.2">
      <c r="B456" s="29"/>
      <c r="C456" s="29"/>
      <c r="D456" s="32">
        <v>35</v>
      </c>
      <c r="E456" s="70">
        <f>E57+E61</f>
        <v>320.32159999999999</v>
      </c>
      <c r="F456" s="70">
        <f t="shared" si="44"/>
        <v>38.43215</v>
      </c>
      <c r="G456" s="70">
        <f t="shared" si="44"/>
        <v>42.976299999999995</v>
      </c>
      <c r="H456" s="70">
        <f t="shared" si="44"/>
        <v>41.542149999999999</v>
      </c>
      <c r="I456" s="66"/>
      <c r="J456" s="66"/>
      <c r="K456" s="67"/>
      <c r="L456" s="29"/>
      <c r="M456" s="70">
        <f>M57+M61</f>
        <v>320.29200000000003</v>
      </c>
      <c r="N456" s="70">
        <f t="shared" si="45"/>
        <v>38.431799999999996</v>
      </c>
      <c r="O456" s="70">
        <f t="shared" si="45"/>
        <v>42.976500000000001</v>
      </c>
      <c r="P456" s="70">
        <f t="shared" si="45"/>
        <v>41.5426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 x14ac:dyDescent="0.25">
      <c r="B457" s="29"/>
      <c r="C457" s="53"/>
      <c r="D457" s="71">
        <v>40</v>
      </c>
      <c r="E457" s="81">
        <f>E58+E62</f>
        <v>188.49520000000001</v>
      </c>
      <c r="F457" s="81">
        <f t="shared" si="44"/>
        <v>35.852450000000005</v>
      </c>
      <c r="G457" s="81">
        <f t="shared" si="44"/>
        <v>42.131450000000001</v>
      </c>
      <c r="H457" s="81">
        <f t="shared" si="44"/>
        <v>40.218499999999999</v>
      </c>
      <c r="I457" s="68"/>
      <c r="J457" s="68"/>
      <c r="K457" s="69"/>
      <c r="L457" s="29"/>
      <c r="M457" s="81">
        <f>M58+M62</f>
        <v>188.47840000000002</v>
      </c>
      <c r="N457" s="81">
        <f t="shared" si="45"/>
        <v>35.852199999999996</v>
      </c>
      <c r="O457" s="81">
        <f t="shared" si="45"/>
        <v>42.131349999999998</v>
      </c>
      <c r="P457" s="81">
        <f t="shared" si="45"/>
        <v>40.216349999999998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 x14ac:dyDescent="0.2">
      <c r="B458" s="29"/>
      <c r="C458" s="28" t="s">
        <v>36</v>
      </c>
      <c r="D458" s="31">
        <v>25</v>
      </c>
      <c r="E458" s="78">
        <f>E55+E59+E63</f>
        <v>1413.7736</v>
      </c>
      <c r="F458" s="78">
        <f t="shared" ref="F458:H461" si="46">AVERAGE(F55,F59,F63)</f>
        <v>42.877433333333329</v>
      </c>
      <c r="G458" s="78">
        <f t="shared" si="46"/>
        <v>44.556233333333331</v>
      </c>
      <c r="H458" s="78">
        <f t="shared" si="46"/>
        <v>44.320933333333329</v>
      </c>
      <c r="I458" s="79"/>
      <c r="J458" s="79"/>
      <c r="K458" s="80"/>
      <c r="L458" s="29"/>
      <c r="M458" s="78">
        <f>M55+M59+M63</f>
        <v>1413.028</v>
      </c>
      <c r="N458" s="78">
        <f t="shared" ref="N458:P461" si="47">AVERAGE(N55,N59,N63)</f>
        <v>42.876233333333339</v>
      </c>
      <c r="O458" s="78">
        <f t="shared" si="47"/>
        <v>44.553866666666664</v>
      </c>
      <c r="P458" s="78">
        <f t="shared" si="47"/>
        <v>44.322633333333336</v>
      </c>
      <c r="Q458" s="79"/>
      <c r="R458" s="79"/>
      <c r="S458" s="80"/>
      <c r="U458" s="8">
        <f>bdrate($E458:$E461,F458:F461,$M458:$M461,N458:N461)</f>
        <v>-2.3554317343843501E-4</v>
      </c>
      <c r="V458" s="9">
        <f>bdrate($E458:$E461,G458:G461,$M458:$M461,O458:O461)</f>
        <v>3.8583245816914413E-4</v>
      </c>
      <c r="W458" s="10">
        <f>bdrate($E458:$E461,H458:H461,$M458:$M461,P458:P461)</f>
        <v>3.1355621168449588E-4</v>
      </c>
      <c r="Y458" s="24"/>
      <c r="Z458" s="24"/>
      <c r="AA458" s="24"/>
      <c r="AB458" s="24"/>
      <c r="AC458" s="24"/>
    </row>
    <row r="459" spans="2:29" ht="12" x14ac:dyDescent="0.2">
      <c r="B459" s="29"/>
      <c r="C459" s="29"/>
      <c r="D459" s="32">
        <v>30</v>
      </c>
      <c r="E459" s="70">
        <f>E56+E60+E64</f>
        <v>702.74880000000007</v>
      </c>
      <c r="F459" s="70">
        <f t="shared" si="46"/>
        <v>40.633366666666667</v>
      </c>
      <c r="G459" s="70">
        <f t="shared" si="46"/>
        <v>43.640366666666665</v>
      </c>
      <c r="H459" s="70">
        <f t="shared" si="46"/>
        <v>42.849700000000006</v>
      </c>
      <c r="I459" s="66"/>
      <c r="J459" s="66"/>
      <c r="K459" s="67"/>
      <c r="L459" s="29"/>
      <c r="M459" s="70">
        <f>M56+M60+M64</f>
        <v>702.51600000000008</v>
      </c>
      <c r="N459" s="70">
        <f t="shared" si="47"/>
        <v>40.632533333333335</v>
      </c>
      <c r="O459" s="70">
        <f t="shared" si="47"/>
        <v>43.63936666666666</v>
      </c>
      <c r="P459" s="70">
        <f t="shared" si="47"/>
        <v>42.846733333333333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 x14ac:dyDescent="0.2">
      <c r="B460" s="29"/>
      <c r="C460" s="29"/>
      <c r="D460" s="32">
        <v>35</v>
      </c>
      <c r="E460" s="70">
        <f>E57+E61+E65</f>
        <v>387.55520000000001</v>
      </c>
      <c r="F460" s="70">
        <f t="shared" si="46"/>
        <v>38.200200000000002</v>
      </c>
      <c r="G460" s="70">
        <f t="shared" si="46"/>
        <v>42.721399999999996</v>
      </c>
      <c r="H460" s="70">
        <f t="shared" si="46"/>
        <v>41.431899999999999</v>
      </c>
      <c r="I460" s="66"/>
      <c r="J460" s="66"/>
      <c r="K460" s="67"/>
      <c r="L460" s="29"/>
      <c r="M460" s="70">
        <f>M57+M61+M65</f>
        <v>387.35360000000003</v>
      </c>
      <c r="N460" s="70">
        <f t="shared" si="47"/>
        <v>38.199666666666666</v>
      </c>
      <c r="O460" s="70">
        <f t="shared" si="47"/>
        <v>42.720066666666668</v>
      </c>
      <c r="P460" s="70">
        <f t="shared" si="47"/>
        <v>41.429833333333335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 x14ac:dyDescent="0.25">
      <c r="B461" s="29"/>
      <c r="C461" s="53"/>
      <c r="D461" s="71">
        <v>40</v>
      </c>
      <c r="E461" s="81">
        <f>E58+E62+E66</f>
        <v>224.3032</v>
      </c>
      <c r="F461" s="81">
        <f t="shared" si="46"/>
        <v>35.643000000000001</v>
      </c>
      <c r="G461" s="81">
        <f t="shared" si="46"/>
        <v>41.898333333333333</v>
      </c>
      <c r="H461" s="81">
        <f t="shared" si="46"/>
        <v>40.130366666666667</v>
      </c>
      <c r="I461" s="68"/>
      <c r="J461" s="68"/>
      <c r="K461" s="69"/>
      <c r="L461" s="29"/>
      <c r="M461" s="81">
        <f>M58+M62+M66</f>
        <v>224.26720000000003</v>
      </c>
      <c r="N461" s="81">
        <f t="shared" si="47"/>
        <v>35.643266666666669</v>
      </c>
      <c r="O461" s="81">
        <f t="shared" si="47"/>
        <v>41.898966666666666</v>
      </c>
      <c r="P461" s="81">
        <f t="shared" si="47"/>
        <v>40.130299999999998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 x14ac:dyDescent="0.2">
      <c r="B462" s="29"/>
      <c r="C462" s="28" t="s">
        <v>37</v>
      </c>
      <c r="D462" s="31">
        <v>25</v>
      </c>
      <c r="E462" s="78">
        <f>E55+E59+E67+E71</f>
        <v>1366.2904000000001</v>
      </c>
      <c r="F462" s="78">
        <f t="shared" ref="F462:H465" si="48">AVERAGE(F79,F83,F87)</f>
        <v>43.296533333333336</v>
      </c>
      <c r="G462" s="78">
        <f t="shared" si="48"/>
        <v>47.213266666666662</v>
      </c>
      <c r="H462" s="78">
        <f t="shared" si="48"/>
        <v>46.310566666666666</v>
      </c>
      <c r="I462" s="79"/>
      <c r="J462" s="79"/>
      <c r="K462" s="80"/>
      <c r="L462" s="29"/>
      <c r="M462" s="78">
        <f>M55+M59+M67+M71</f>
        <v>1365.3024</v>
      </c>
      <c r="N462" s="78">
        <f t="shared" ref="N462:P465" si="49">AVERAGE(N79,N83,N87)</f>
        <v>43.293200000000006</v>
      </c>
      <c r="O462" s="78">
        <f t="shared" si="49"/>
        <v>47.214666666666666</v>
      </c>
      <c r="P462" s="78">
        <f t="shared" si="49"/>
        <v>46.314799999999998</v>
      </c>
      <c r="Q462" s="79"/>
      <c r="R462" s="79"/>
      <c r="S462" s="80"/>
      <c r="U462" s="8">
        <f>bdrate($E462:$E465,F462:F465,$M462:$M465,N462:N465)</f>
        <v>-5.4041016178429935E-4</v>
      </c>
      <c r="V462" s="9">
        <f>bdrate($E462:$E465,G462:G465,$M462:$M465,O462:O465)</f>
        <v>-2.3113645823051865E-3</v>
      </c>
      <c r="W462" s="10">
        <f>bdrate($E462:$E465,H462:H465,$M462:$M465,P462:P465)</f>
        <v>-4.9649604058765728E-4</v>
      </c>
      <c r="Y462" s="24"/>
      <c r="Z462" s="24"/>
      <c r="AA462" s="24"/>
      <c r="AB462" s="24"/>
      <c r="AC462" s="24"/>
    </row>
    <row r="463" spans="2:29" ht="12" x14ac:dyDescent="0.2">
      <c r="B463" s="29"/>
      <c r="C463" s="29"/>
      <c r="D463" s="32">
        <v>30</v>
      </c>
      <c r="E463" s="70">
        <f>E56+E60+E68+E72</f>
        <v>657.31680000000006</v>
      </c>
      <c r="F463" s="70">
        <f t="shared" si="48"/>
        <v>40.979533333333329</v>
      </c>
      <c r="G463" s="70">
        <f t="shared" si="48"/>
        <v>46.067933333333336</v>
      </c>
      <c r="H463" s="70">
        <f t="shared" si="48"/>
        <v>44.53456666666667</v>
      </c>
      <c r="I463" s="66"/>
      <c r="J463" s="66"/>
      <c r="K463" s="67"/>
      <c r="L463" s="29"/>
      <c r="M463" s="70">
        <f>M56+M60+M68+M72</f>
        <v>657.25840000000005</v>
      </c>
      <c r="N463" s="70">
        <f t="shared" si="49"/>
        <v>40.987599999999993</v>
      </c>
      <c r="O463" s="70">
        <f t="shared" si="49"/>
        <v>46.073733333333337</v>
      </c>
      <c r="P463" s="70">
        <f t="shared" si="49"/>
        <v>44.5379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 x14ac:dyDescent="0.2">
      <c r="B464" s="29"/>
      <c r="C464" s="29"/>
      <c r="D464" s="32">
        <v>35</v>
      </c>
      <c r="E464" s="70">
        <f>E57+E61+E69+E73</f>
        <v>356.34800000000001</v>
      </c>
      <c r="F464" s="70">
        <f t="shared" si="48"/>
        <v>38.545533333333339</v>
      </c>
      <c r="G464" s="70">
        <f t="shared" si="48"/>
        <v>44.776633333333336</v>
      </c>
      <c r="H464" s="70">
        <f t="shared" si="48"/>
        <v>42.81196666666667</v>
      </c>
      <c r="I464" s="66"/>
      <c r="J464" s="66"/>
      <c r="K464" s="67"/>
      <c r="L464" s="29"/>
      <c r="M464" s="70">
        <f>M57+M61+M69+M73</f>
        <v>356.37440000000004</v>
      </c>
      <c r="N464" s="70">
        <f t="shared" si="49"/>
        <v>38.543033333333334</v>
      </c>
      <c r="O464" s="70">
        <f t="shared" si="49"/>
        <v>44.781800000000004</v>
      </c>
      <c r="P464" s="70">
        <f t="shared" si="49"/>
        <v>42.808866666666667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 x14ac:dyDescent="0.25">
      <c r="B465" s="29"/>
      <c r="C465" s="53"/>
      <c r="D465" s="71">
        <v>40</v>
      </c>
      <c r="E465" s="81">
        <f>E58+E62+E70+E74</f>
        <v>205.82159999999999</v>
      </c>
      <c r="F465" s="81">
        <f t="shared" si="48"/>
        <v>35.982366666666671</v>
      </c>
      <c r="G465" s="81">
        <f t="shared" si="48"/>
        <v>43.768033333333335</v>
      </c>
      <c r="H465" s="81">
        <f t="shared" si="48"/>
        <v>41.317066666666669</v>
      </c>
      <c r="I465" s="68"/>
      <c r="J465" s="68"/>
      <c r="K465" s="69"/>
      <c r="L465" s="29"/>
      <c r="M465" s="81">
        <f>M58+M62+M70+M74</f>
        <v>205.74160000000001</v>
      </c>
      <c r="N465" s="81">
        <f t="shared" si="49"/>
        <v>35.98043333333333</v>
      </c>
      <c r="O465" s="81">
        <f t="shared" si="49"/>
        <v>43.765500000000003</v>
      </c>
      <c r="P465" s="81">
        <f t="shared" si="49"/>
        <v>41.316566666666667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 x14ac:dyDescent="0.2">
      <c r="B466" s="29"/>
      <c r="C466" s="28" t="s">
        <v>39</v>
      </c>
      <c r="D466" s="31">
        <v>25</v>
      </c>
      <c r="E466" s="78">
        <f>E103</f>
        <v>1789.7088000000001</v>
      </c>
      <c r="F466" s="78">
        <f t="shared" ref="F466:H469" si="50">AVERAGE(F79,F83,F87,F91,F95,F99)</f>
        <v>43.17551666666666</v>
      </c>
      <c r="G466" s="78">
        <f t="shared" si="50"/>
        <v>47.058549999999997</v>
      </c>
      <c r="H466" s="78">
        <f t="shared" si="50"/>
        <v>46.309799999999996</v>
      </c>
      <c r="I466" s="79"/>
      <c r="J466" s="79"/>
      <c r="K466" s="80"/>
      <c r="L466" s="29"/>
      <c r="M466" s="78">
        <f>M103</f>
        <v>1788.74</v>
      </c>
      <c r="N466" s="78">
        <f t="shared" ref="N466:P469" si="51">AVERAGE(N79,N83,N87,N91,N95,N99)</f>
        <v>43.176816666666667</v>
      </c>
      <c r="O466" s="78">
        <f t="shared" si="51"/>
        <v>47.056350000000002</v>
      </c>
      <c r="P466" s="78">
        <f t="shared" si="51"/>
        <v>46.314400000000006</v>
      </c>
      <c r="Q466" s="79"/>
      <c r="R466" s="79"/>
      <c r="S466" s="80"/>
      <c r="U466" s="8">
        <f>bdrate($E466:$E469,F466:F469,$M466:$M469,N466:N469)</f>
        <v>-7.2814589617353764E-4</v>
      </c>
      <c r="V466" s="9">
        <f>bdrate($E466:$E469,G466:G469,$M466:$M469,O466:O469)</f>
        <v>-1.2338324113636556E-4</v>
      </c>
      <c r="W466" s="10">
        <f>bdrate($E466:$E469,H466:H469,$M466:$M469,P466:P469)</f>
        <v>-3.4006278250042765E-4</v>
      </c>
      <c r="Y466" s="24"/>
      <c r="Z466" s="24"/>
      <c r="AA466" s="24"/>
      <c r="AB466" s="24"/>
      <c r="AC466" s="24"/>
    </row>
    <row r="467" spans="2:29" ht="12" x14ac:dyDescent="0.2">
      <c r="B467" s="29"/>
      <c r="C467" s="29"/>
      <c r="D467" s="32">
        <v>30</v>
      </c>
      <c r="E467" s="70">
        <f>E104</f>
        <v>833.23040000000003</v>
      </c>
      <c r="F467" s="70">
        <f t="shared" si="50"/>
        <v>40.87983333333333</v>
      </c>
      <c r="G467" s="70">
        <f t="shared" si="50"/>
        <v>45.937283333333333</v>
      </c>
      <c r="H467" s="70">
        <f t="shared" si="50"/>
        <v>44.540349999999997</v>
      </c>
      <c r="I467" s="66"/>
      <c r="J467" s="66"/>
      <c r="K467" s="67"/>
      <c r="L467" s="29"/>
      <c r="M467" s="70">
        <f>M104</f>
        <v>832.77520000000004</v>
      </c>
      <c r="N467" s="70">
        <f t="shared" si="51"/>
        <v>40.881399999999999</v>
      </c>
      <c r="O467" s="70">
        <f t="shared" si="51"/>
        <v>45.937033333333339</v>
      </c>
      <c r="P467" s="70">
        <f t="shared" si="51"/>
        <v>44.53991666666667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 x14ac:dyDescent="0.2">
      <c r="B468" s="29"/>
      <c r="C468" s="29"/>
      <c r="D468" s="32">
        <v>35</v>
      </c>
      <c r="E468" s="70">
        <f>E105</f>
        <v>446.8</v>
      </c>
      <c r="F468" s="70">
        <f t="shared" si="50"/>
        <v>38.443583333333336</v>
      </c>
      <c r="G468" s="70">
        <f t="shared" si="50"/>
        <v>44.713133333333332</v>
      </c>
      <c r="H468" s="70">
        <f t="shared" si="50"/>
        <v>42.81688333333333</v>
      </c>
      <c r="I468" s="66"/>
      <c r="J468" s="66"/>
      <c r="K468" s="67"/>
      <c r="L468" s="29"/>
      <c r="M468" s="70">
        <f>M105</f>
        <v>446.64960000000002</v>
      </c>
      <c r="N468" s="70">
        <f t="shared" si="51"/>
        <v>38.444349999999993</v>
      </c>
      <c r="O468" s="70">
        <f t="shared" si="51"/>
        <v>44.71370000000001</v>
      </c>
      <c r="P468" s="70">
        <f t="shared" si="51"/>
        <v>42.814799999999998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 x14ac:dyDescent="0.25">
      <c r="B469" s="29"/>
      <c r="C469" s="53"/>
      <c r="D469" s="71">
        <v>40</v>
      </c>
      <c r="E469" s="81">
        <f>E106</f>
        <v>255.62639999999999</v>
      </c>
      <c r="F469" s="81">
        <f t="shared" si="50"/>
        <v>35.885716666666667</v>
      </c>
      <c r="G469" s="81">
        <f t="shared" si="50"/>
        <v>43.729750000000003</v>
      </c>
      <c r="H469" s="81">
        <f t="shared" si="50"/>
        <v>41.302550000000004</v>
      </c>
      <c r="I469" s="68"/>
      <c r="J469" s="68"/>
      <c r="K469" s="69"/>
      <c r="L469" s="29"/>
      <c r="M469" s="81">
        <f>M106</f>
        <v>255.55600000000001</v>
      </c>
      <c r="N469" s="81">
        <f t="shared" si="51"/>
        <v>35.886083333333332</v>
      </c>
      <c r="O469" s="81">
        <f t="shared" si="51"/>
        <v>43.727266666666672</v>
      </c>
      <c r="P469" s="81">
        <f t="shared" si="51"/>
        <v>41.301283333333338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 x14ac:dyDescent="0.2">
      <c r="B470" s="29"/>
      <c r="C470" s="28" t="s">
        <v>40</v>
      </c>
      <c r="D470" s="31">
        <v>25</v>
      </c>
      <c r="E470" s="78">
        <f t="shared" ref="E470:E477" si="52">E462</f>
        <v>1366.2904000000001</v>
      </c>
      <c r="F470" s="78">
        <f t="shared" ref="F470:H473" si="53">AVERAGE(F55,F59,F79,F83,F87)</f>
        <v>43.238039999999998</v>
      </c>
      <c r="G470" s="78">
        <f t="shared" si="53"/>
        <v>46.269019999999998</v>
      </c>
      <c r="H470" s="78">
        <f t="shared" si="53"/>
        <v>45.60266</v>
      </c>
      <c r="I470" s="79"/>
      <c r="J470" s="79"/>
      <c r="K470" s="80"/>
      <c r="L470" s="29"/>
      <c r="M470" s="78">
        <f t="shared" ref="M470:M477" si="54">M462</f>
        <v>1365.3024</v>
      </c>
      <c r="N470" s="78">
        <f t="shared" ref="N470:P473" si="55">AVERAGE(N55,N59,N79,N83,N87)</f>
        <v>43.235600000000005</v>
      </c>
      <c r="O470" s="78">
        <f t="shared" si="55"/>
        <v>46.269179999999992</v>
      </c>
      <c r="P470" s="78">
        <f t="shared" si="55"/>
        <v>45.605519999999999</v>
      </c>
      <c r="Q470" s="79"/>
      <c r="R470" s="79"/>
      <c r="S470" s="80"/>
      <c r="U470" s="8">
        <f>bdrate($E470:$E473,F470:F473,$M470:$M473,N470:N473)</f>
        <v>-3.3600360144114827E-4</v>
      </c>
      <c r="V470" s="9">
        <f>bdrate($E470:$E473,G470:G473,$M470:$M473,O470:O473)</f>
        <v>-1.7001222275423444E-3</v>
      </c>
      <c r="W470" s="10">
        <f>bdrate($E470:$E473,H470:H473,$M470:$M473,P470:P473)</f>
        <v>-2.0665968804811641E-4</v>
      </c>
      <c r="Y470" s="24"/>
      <c r="Z470" s="24"/>
      <c r="AA470" s="24"/>
      <c r="AB470" s="24"/>
      <c r="AC470" s="24"/>
    </row>
    <row r="471" spans="2:29" ht="12" x14ac:dyDescent="0.2">
      <c r="B471" s="29"/>
      <c r="C471" s="29"/>
      <c r="D471" s="32">
        <v>30</v>
      </c>
      <c r="E471" s="70">
        <f t="shared" si="52"/>
        <v>657.31680000000006</v>
      </c>
      <c r="F471" s="70">
        <f t="shared" si="53"/>
        <v>40.945680000000003</v>
      </c>
      <c r="G471" s="70">
        <f t="shared" si="53"/>
        <v>45.227080000000001</v>
      </c>
      <c r="H471" s="70">
        <f t="shared" si="53"/>
        <v>43.940299999999993</v>
      </c>
      <c r="I471" s="66"/>
      <c r="J471" s="66"/>
      <c r="K471" s="67"/>
      <c r="L471" s="29"/>
      <c r="M471" s="70">
        <f t="shared" si="54"/>
        <v>657.25840000000005</v>
      </c>
      <c r="N471" s="70">
        <f t="shared" si="55"/>
        <v>40.95044</v>
      </c>
      <c r="O471" s="70">
        <f t="shared" si="55"/>
        <v>45.231359999999995</v>
      </c>
      <c r="P471" s="70">
        <f t="shared" si="55"/>
        <v>43.94126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 x14ac:dyDescent="0.2">
      <c r="B472" s="29"/>
      <c r="C472" s="29"/>
      <c r="D472" s="32">
        <v>35</v>
      </c>
      <c r="E472" s="70">
        <f t="shared" si="52"/>
        <v>356.34800000000001</v>
      </c>
      <c r="F472" s="70">
        <f t="shared" si="53"/>
        <v>38.50018</v>
      </c>
      <c r="G472" s="70">
        <f t="shared" si="53"/>
        <v>44.056499999999993</v>
      </c>
      <c r="H472" s="70">
        <f t="shared" si="53"/>
        <v>42.304040000000001</v>
      </c>
      <c r="I472" s="66"/>
      <c r="J472" s="66"/>
      <c r="K472" s="67"/>
      <c r="L472" s="29"/>
      <c r="M472" s="70">
        <f t="shared" si="54"/>
        <v>356.37440000000004</v>
      </c>
      <c r="N472" s="70">
        <f t="shared" si="55"/>
        <v>38.498540000000006</v>
      </c>
      <c r="O472" s="70">
        <f t="shared" si="55"/>
        <v>44.05968</v>
      </c>
      <c r="P472" s="70">
        <f t="shared" si="55"/>
        <v>42.30236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 x14ac:dyDescent="0.25">
      <c r="B473" s="29"/>
      <c r="C473" s="53"/>
      <c r="D473" s="71">
        <v>40</v>
      </c>
      <c r="E473" s="81">
        <f t="shared" si="52"/>
        <v>205.82159999999999</v>
      </c>
      <c r="F473" s="81">
        <f t="shared" si="53"/>
        <v>35.930399999999999</v>
      </c>
      <c r="G473" s="81">
        <f t="shared" si="53"/>
        <v>43.113399999999999</v>
      </c>
      <c r="H473" s="81">
        <f t="shared" si="53"/>
        <v>40.87764</v>
      </c>
      <c r="I473" s="68"/>
      <c r="J473" s="68"/>
      <c r="K473" s="69"/>
      <c r="L473" s="29"/>
      <c r="M473" s="81">
        <f t="shared" si="54"/>
        <v>205.74160000000001</v>
      </c>
      <c r="N473" s="81">
        <f t="shared" si="55"/>
        <v>35.929139999999997</v>
      </c>
      <c r="O473" s="81">
        <f t="shared" si="55"/>
        <v>43.111839999999994</v>
      </c>
      <c r="P473" s="81">
        <f t="shared" si="55"/>
        <v>40.876480000000001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 x14ac:dyDescent="0.2">
      <c r="B474" s="29"/>
      <c r="C474" s="28" t="s">
        <v>41</v>
      </c>
      <c r="D474" s="31">
        <v>25</v>
      </c>
      <c r="E474" s="78">
        <f t="shared" si="52"/>
        <v>1789.7088000000001</v>
      </c>
      <c r="F474" s="78">
        <f t="shared" ref="F474:H477" si="56">AVERAGE(F55,F59,F63,F79,F83,F87,F91,F95,F99)</f>
        <v>43.076155555555559</v>
      </c>
      <c r="G474" s="78">
        <f t="shared" si="56"/>
        <v>46.224444444444444</v>
      </c>
      <c r="H474" s="78">
        <f t="shared" si="56"/>
        <v>45.64684444444444</v>
      </c>
      <c r="I474" s="79"/>
      <c r="J474" s="79"/>
      <c r="K474" s="80"/>
      <c r="L474" s="29"/>
      <c r="M474" s="78">
        <f t="shared" si="54"/>
        <v>1788.74</v>
      </c>
      <c r="N474" s="78">
        <f t="shared" ref="N474:P477" si="57">AVERAGE(N55,N59,N63,N79,N83,N87,N91,N95,N99)</f>
        <v>43.07662222222222</v>
      </c>
      <c r="O474" s="78">
        <f t="shared" si="57"/>
        <v>46.222188888888887</v>
      </c>
      <c r="P474" s="78">
        <f t="shared" si="57"/>
        <v>45.65047777777778</v>
      </c>
      <c r="Q474" s="79"/>
      <c r="R474" s="79"/>
      <c r="S474" s="80"/>
      <c r="U474" s="8">
        <f>bdrate($E474:$E477,F474:F477,$M474:$M477,N474:N477)</f>
        <v>-5.6741313714181452E-4</v>
      </c>
      <c r="V474" s="9">
        <f>bdrate($E474:$E477,G474:G477,$M474:$M477,O474:O477)</f>
        <v>2.742297593982812E-5</v>
      </c>
      <c r="W474" s="10">
        <f>bdrate($E474:$E477,H474:H477,$M474:$M477,P474:P477)</f>
        <v>-1.4779368438844198E-4</v>
      </c>
      <c r="Y474" s="24"/>
      <c r="Z474" s="24"/>
      <c r="AA474" s="24"/>
      <c r="AB474" s="24"/>
      <c r="AC474" s="24"/>
    </row>
    <row r="475" spans="2:29" ht="12" x14ac:dyDescent="0.2">
      <c r="B475" s="29"/>
      <c r="C475" s="29"/>
      <c r="D475" s="32">
        <v>30</v>
      </c>
      <c r="E475" s="70">
        <f t="shared" si="52"/>
        <v>833.23040000000003</v>
      </c>
      <c r="F475" s="70">
        <f t="shared" si="56"/>
        <v>40.797677777777778</v>
      </c>
      <c r="G475" s="70">
        <f t="shared" si="56"/>
        <v>45.171644444444446</v>
      </c>
      <c r="H475" s="70">
        <f t="shared" si="56"/>
        <v>43.976799999999997</v>
      </c>
      <c r="I475" s="66"/>
      <c r="J475" s="66"/>
      <c r="K475" s="67"/>
      <c r="L475" s="29"/>
      <c r="M475" s="70">
        <f t="shared" si="54"/>
        <v>832.77520000000004</v>
      </c>
      <c r="N475" s="70">
        <f t="shared" si="57"/>
        <v>40.798444444444435</v>
      </c>
      <c r="O475" s="70">
        <f t="shared" si="57"/>
        <v>45.171144444444444</v>
      </c>
      <c r="P475" s="70">
        <f t="shared" si="57"/>
        <v>43.975522222222224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 x14ac:dyDescent="0.2">
      <c r="B476" s="29"/>
      <c r="C476" s="29"/>
      <c r="D476" s="32">
        <v>35</v>
      </c>
      <c r="E476" s="70">
        <f t="shared" si="52"/>
        <v>446.8</v>
      </c>
      <c r="F476" s="70">
        <f t="shared" si="56"/>
        <v>38.362455555555556</v>
      </c>
      <c r="G476" s="70">
        <f t="shared" si="56"/>
        <v>44.04922222222222</v>
      </c>
      <c r="H476" s="70">
        <f t="shared" si="56"/>
        <v>42.355222222222224</v>
      </c>
      <c r="I476" s="66"/>
      <c r="J476" s="66"/>
      <c r="K476" s="67"/>
      <c r="L476" s="29"/>
      <c r="M476" s="70">
        <f t="shared" si="54"/>
        <v>446.64960000000002</v>
      </c>
      <c r="N476" s="70">
        <f t="shared" si="57"/>
        <v>38.362788888888893</v>
      </c>
      <c r="O476" s="70">
        <f t="shared" si="57"/>
        <v>44.049155555555558</v>
      </c>
      <c r="P476" s="70">
        <f t="shared" si="57"/>
        <v>42.353144444444446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 x14ac:dyDescent="0.25">
      <c r="B477" s="53"/>
      <c r="C477" s="53"/>
      <c r="D477" s="71">
        <v>40</v>
      </c>
      <c r="E477" s="81">
        <f t="shared" si="52"/>
        <v>255.62639999999999</v>
      </c>
      <c r="F477" s="81">
        <f t="shared" si="56"/>
        <v>35.804811111111107</v>
      </c>
      <c r="G477" s="81">
        <f t="shared" si="56"/>
        <v>43.119277777777775</v>
      </c>
      <c r="H477" s="81">
        <f t="shared" si="56"/>
        <v>40.911822222222227</v>
      </c>
      <c r="I477" s="68"/>
      <c r="J477" s="68"/>
      <c r="K477" s="69"/>
      <c r="L477" s="29"/>
      <c r="M477" s="81">
        <f t="shared" si="54"/>
        <v>255.55600000000001</v>
      </c>
      <c r="N477" s="81">
        <f t="shared" si="57"/>
        <v>35.805144444444437</v>
      </c>
      <c r="O477" s="81">
        <f t="shared" si="57"/>
        <v>43.117833333333337</v>
      </c>
      <c r="P477" s="81">
        <f t="shared" si="57"/>
        <v>40.910955555555553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 x14ac:dyDescent="0.2">
      <c r="B478" s="28" t="str">
        <f>B107</f>
        <v>Newspaper_CC</v>
      </c>
      <c r="C478" s="28" t="s">
        <v>35</v>
      </c>
      <c r="D478" s="31">
        <v>25</v>
      </c>
      <c r="E478" s="78">
        <f>E107+E111</f>
        <v>1254.6784</v>
      </c>
      <c r="F478" s="78">
        <f t="shared" ref="F478:H481" si="58">AVERAGE(F107,F111)</f>
        <v>40.828900000000004</v>
      </c>
      <c r="G478" s="78">
        <f t="shared" si="58"/>
        <v>43.554900000000004</v>
      </c>
      <c r="H478" s="78">
        <f t="shared" si="58"/>
        <v>43.6402</v>
      </c>
      <c r="I478" s="79"/>
      <c r="J478" s="79"/>
      <c r="K478" s="80"/>
      <c r="L478" s="29"/>
      <c r="M478" s="82">
        <f>M107+M111</f>
        <v>1254.4616000000001</v>
      </c>
      <c r="N478" s="78">
        <f t="shared" ref="N478:P481" si="59">AVERAGE(N107,N111)</f>
        <v>40.829750000000004</v>
      </c>
      <c r="O478" s="78">
        <f t="shared" si="59"/>
        <v>43.554299999999998</v>
      </c>
      <c r="P478" s="78">
        <f t="shared" si="59"/>
        <v>43.639650000000003</v>
      </c>
      <c r="Q478" s="79"/>
      <c r="R478" s="79"/>
      <c r="S478" s="80"/>
      <c r="U478" s="8">
        <f>bdrate($E478:$E481,F478:F481,$M478:$M481,N478:N481)</f>
        <v>2.3361956652090399E-5</v>
      </c>
      <c r="V478" s="9">
        <f>bdrate($E478:$E481,G478:G481,$M478:$M481,O478:O481)</f>
        <v>-6.9634650436645185E-4</v>
      </c>
      <c r="W478" s="10">
        <f>bdrate($E478:$E481,H478:H481,$M478:$M481,P478:P481)</f>
        <v>-5.4632842554125371E-4</v>
      </c>
      <c r="Y478" s="61"/>
      <c r="Z478" s="61"/>
      <c r="AA478" s="61"/>
      <c r="AB478" s="24"/>
      <c r="AC478" s="24"/>
    </row>
    <row r="479" spans="2:29" ht="12" x14ac:dyDescent="0.2">
      <c r="B479" s="29"/>
      <c r="C479" s="29"/>
      <c r="D479" s="32">
        <v>30</v>
      </c>
      <c r="E479" s="70">
        <f>E108+E112</f>
        <v>629.26480000000004</v>
      </c>
      <c r="F479" s="70">
        <f t="shared" si="58"/>
        <v>38.475149999999999</v>
      </c>
      <c r="G479" s="70">
        <f t="shared" si="58"/>
        <v>41.912500000000001</v>
      </c>
      <c r="H479" s="70">
        <f t="shared" si="58"/>
        <v>41.985950000000003</v>
      </c>
      <c r="I479" s="66"/>
      <c r="J479" s="66"/>
      <c r="K479" s="67"/>
      <c r="L479" s="29"/>
      <c r="M479" s="83">
        <f>M108+M112</f>
        <v>629.36</v>
      </c>
      <c r="N479" s="70">
        <f t="shared" si="59"/>
        <v>38.474649999999997</v>
      </c>
      <c r="O479" s="70">
        <f t="shared" si="59"/>
        <v>41.914999999999999</v>
      </c>
      <c r="P479" s="70">
        <f t="shared" si="59"/>
        <v>41.988199999999999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 x14ac:dyDescent="0.2">
      <c r="B480" s="29"/>
      <c r="C480" s="29"/>
      <c r="D480" s="32">
        <v>35</v>
      </c>
      <c r="E480" s="70">
        <f>E109+E113</f>
        <v>339.20799999999997</v>
      </c>
      <c r="F480" s="70">
        <f t="shared" si="58"/>
        <v>35.984049999999996</v>
      </c>
      <c r="G480" s="70">
        <f t="shared" si="58"/>
        <v>40.389049999999997</v>
      </c>
      <c r="H480" s="70">
        <f t="shared" si="58"/>
        <v>40.378100000000003</v>
      </c>
      <c r="I480" s="66"/>
      <c r="J480" s="66"/>
      <c r="K480" s="67"/>
      <c r="L480" s="29"/>
      <c r="M480" s="83">
        <f>M109+M113</f>
        <v>339.34640000000002</v>
      </c>
      <c r="N480" s="70">
        <f t="shared" si="59"/>
        <v>35.9863</v>
      </c>
      <c r="O480" s="70">
        <f t="shared" si="59"/>
        <v>40.392400000000002</v>
      </c>
      <c r="P480" s="70">
        <f t="shared" si="59"/>
        <v>40.381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 x14ac:dyDescent="0.25">
      <c r="B481" s="29"/>
      <c r="C481" s="53"/>
      <c r="D481" s="71">
        <v>40</v>
      </c>
      <c r="E481" s="81">
        <f>E110+E114</f>
        <v>193.71600000000001</v>
      </c>
      <c r="F481" s="81">
        <f t="shared" si="58"/>
        <v>33.488950000000003</v>
      </c>
      <c r="G481" s="81">
        <f t="shared" si="58"/>
        <v>39.241849999999999</v>
      </c>
      <c r="H481" s="81">
        <f t="shared" si="58"/>
        <v>39.181150000000002</v>
      </c>
      <c r="I481" s="68"/>
      <c r="J481" s="68"/>
      <c r="K481" s="69"/>
      <c r="L481" s="29"/>
      <c r="M481" s="84">
        <f>M110+M114</f>
        <v>193.76159999999999</v>
      </c>
      <c r="N481" s="81">
        <f t="shared" si="59"/>
        <v>33.489400000000003</v>
      </c>
      <c r="O481" s="81">
        <f t="shared" si="59"/>
        <v>39.241900000000001</v>
      </c>
      <c r="P481" s="81">
        <f t="shared" si="59"/>
        <v>39.180949999999996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 x14ac:dyDescent="0.2">
      <c r="B482" s="29"/>
      <c r="C482" s="28" t="s">
        <v>36</v>
      </c>
      <c r="D482" s="31">
        <v>25</v>
      </c>
      <c r="E482" s="78">
        <f>E107+E111+E115</f>
        <v>1602.8448000000001</v>
      </c>
      <c r="F482" s="78">
        <f t="shared" ref="F482:H485" si="60">AVERAGE(F107,F111,F115)</f>
        <v>40.520233333333337</v>
      </c>
      <c r="G482" s="78">
        <f t="shared" si="60"/>
        <v>43.322000000000003</v>
      </c>
      <c r="H482" s="78">
        <f t="shared" si="60"/>
        <v>43.342500000000001</v>
      </c>
      <c r="I482" s="79"/>
      <c r="J482" s="79"/>
      <c r="K482" s="80"/>
      <c r="L482" s="29"/>
      <c r="M482" s="78">
        <f>M107+M111+M115</f>
        <v>1602.4624000000001</v>
      </c>
      <c r="N482" s="78">
        <f t="shared" ref="N482:P485" si="61">AVERAGE(N107,N111,N115)</f>
        <v>40.520633333333336</v>
      </c>
      <c r="O482" s="78">
        <f t="shared" si="61"/>
        <v>43.321766666666662</v>
      </c>
      <c r="P482" s="78">
        <f t="shared" si="61"/>
        <v>43.342999999999996</v>
      </c>
      <c r="Q482" s="79"/>
      <c r="R482" s="79"/>
      <c r="S482" s="80"/>
      <c r="U482" s="8">
        <f>bdrate($E482:$E485,F482:F485,$M482:$M485,N482:N485)</f>
        <v>-1.6628332904722321E-4</v>
      </c>
      <c r="V482" s="9">
        <f>bdrate($E482:$E485,G482:G485,$M482:$M485,O482:O485)</f>
        <v>-8.4951014927392432E-4</v>
      </c>
      <c r="W482" s="10">
        <f>bdrate($E482:$E485,H482:H485,$M482:$M485,P482:P485)</f>
        <v>-7.2721567672362486E-4</v>
      </c>
      <c r="Y482" s="24"/>
      <c r="Z482" s="24"/>
      <c r="AA482" s="24"/>
      <c r="AB482" s="24"/>
      <c r="AC482" s="24"/>
    </row>
    <row r="483" spans="2:29" ht="12" x14ac:dyDescent="0.2">
      <c r="B483" s="29"/>
      <c r="C483" s="29"/>
      <c r="D483" s="32">
        <v>30</v>
      </c>
      <c r="E483" s="70">
        <f>E108+E112+E116</f>
        <v>779.83360000000005</v>
      </c>
      <c r="F483" s="70">
        <f t="shared" si="60"/>
        <v>38.155999999999999</v>
      </c>
      <c r="G483" s="70">
        <f t="shared" si="60"/>
        <v>41.730966666666667</v>
      </c>
      <c r="H483" s="70">
        <f t="shared" si="60"/>
        <v>41.686866666666667</v>
      </c>
      <c r="I483" s="66"/>
      <c r="J483" s="66"/>
      <c r="K483" s="67"/>
      <c r="L483" s="29"/>
      <c r="M483" s="70">
        <f>M108+M112+M116</f>
        <v>779.7296</v>
      </c>
      <c r="N483" s="70">
        <f t="shared" si="61"/>
        <v>38.155866666666668</v>
      </c>
      <c r="O483" s="70">
        <f t="shared" si="61"/>
        <v>41.733699999999999</v>
      </c>
      <c r="P483" s="70">
        <f t="shared" si="61"/>
        <v>41.688633333333335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 x14ac:dyDescent="0.2">
      <c r="B484" s="29"/>
      <c r="C484" s="29"/>
      <c r="D484" s="32">
        <v>35</v>
      </c>
      <c r="E484" s="70">
        <f>E109+E113+E117</f>
        <v>414.66479999999996</v>
      </c>
      <c r="F484" s="70">
        <f t="shared" si="60"/>
        <v>35.67733333333333</v>
      </c>
      <c r="G484" s="70">
        <f t="shared" si="60"/>
        <v>40.285366666666668</v>
      </c>
      <c r="H484" s="70">
        <f t="shared" si="60"/>
        <v>40.140800000000006</v>
      </c>
      <c r="I484" s="66"/>
      <c r="J484" s="66"/>
      <c r="K484" s="67"/>
      <c r="L484" s="29"/>
      <c r="M484" s="70">
        <f>M109+M113+M117</f>
        <v>414.75040000000001</v>
      </c>
      <c r="N484" s="70">
        <f t="shared" si="61"/>
        <v>35.679633333333335</v>
      </c>
      <c r="O484" s="70">
        <f t="shared" si="61"/>
        <v>40.287266666666667</v>
      </c>
      <c r="P484" s="70">
        <f t="shared" si="61"/>
        <v>40.143266666666669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 x14ac:dyDescent="0.25">
      <c r="B485" s="29"/>
      <c r="C485" s="53"/>
      <c r="D485" s="71">
        <v>40</v>
      </c>
      <c r="E485" s="81">
        <f>E110+E114+E118</f>
        <v>233.88159999999999</v>
      </c>
      <c r="F485" s="81">
        <f t="shared" si="60"/>
        <v>33.177066666666668</v>
      </c>
      <c r="G485" s="81">
        <f t="shared" si="60"/>
        <v>39.189533333333337</v>
      </c>
      <c r="H485" s="81">
        <f t="shared" si="60"/>
        <v>38.987233333333336</v>
      </c>
      <c r="I485" s="68"/>
      <c r="J485" s="68"/>
      <c r="K485" s="69"/>
      <c r="L485" s="29"/>
      <c r="M485" s="81">
        <f>M110+M114+M118</f>
        <v>233.93919999999997</v>
      </c>
      <c r="N485" s="81">
        <f t="shared" si="61"/>
        <v>33.176500000000004</v>
      </c>
      <c r="O485" s="81">
        <f t="shared" si="61"/>
        <v>39.190433333333338</v>
      </c>
      <c r="P485" s="81">
        <f t="shared" si="61"/>
        <v>38.987499999999997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 x14ac:dyDescent="0.2">
      <c r="B486" s="29"/>
      <c r="C486" s="28" t="s">
        <v>37</v>
      </c>
      <c r="D486" s="31">
        <v>25</v>
      </c>
      <c r="E486" s="78">
        <f>E107+E111+E119+E123</f>
        <v>1567.8176000000001</v>
      </c>
      <c r="F486" s="78">
        <f t="shared" ref="F486:H489" si="62">AVERAGE(F131,F135,F139)</f>
        <v>40.441699999999997</v>
      </c>
      <c r="G486" s="78">
        <f t="shared" si="62"/>
        <v>45.809566666666662</v>
      </c>
      <c r="H486" s="78">
        <f t="shared" si="62"/>
        <v>45.902033333333328</v>
      </c>
      <c r="I486" s="79"/>
      <c r="J486" s="79"/>
      <c r="K486" s="80"/>
      <c r="L486" s="29"/>
      <c r="M486" s="78">
        <f>M107+M111+M119+M123</f>
        <v>1567.9456</v>
      </c>
      <c r="N486" s="78">
        <f t="shared" ref="N486:P489" si="63">AVERAGE(N131,N135,N139)</f>
        <v>40.444200000000002</v>
      </c>
      <c r="O486" s="78">
        <f t="shared" si="63"/>
        <v>45.801933333333331</v>
      </c>
      <c r="P486" s="78">
        <f t="shared" si="63"/>
        <v>45.904366666666668</v>
      </c>
      <c r="Q486" s="79"/>
      <c r="R486" s="79"/>
      <c r="S486" s="80"/>
      <c r="U486" s="8">
        <f>bdrate($E486:$E489,F486:F489,$M486:$M489,N486:N489)</f>
        <v>-6.8040838998584263E-6</v>
      </c>
      <c r="V486" s="9">
        <f>bdrate($E486:$E489,G486:G489,$M486:$M489,O486:O489)</f>
        <v>-3.1129704499410771E-4</v>
      </c>
      <c r="W486" s="10">
        <f>bdrate($E486:$E489,H486:H489,$M486:$M489,P486:P489)</f>
        <v>-6.0192320390894949E-4</v>
      </c>
      <c r="Y486" s="24"/>
      <c r="Z486" s="24"/>
      <c r="AA486" s="24"/>
      <c r="AB486" s="24"/>
      <c r="AC486" s="24"/>
    </row>
    <row r="487" spans="2:29" ht="12" x14ac:dyDescent="0.2">
      <c r="B487" s="29"/>
      <c r="C487" s="29"/>
      <c r="D487" s="32">
        <v>30</v>
      </c>
      <c r="E487" s="70">
        <f>E108+E112+E120+E124</f>
        <v>737.38880000000006</v>
      </c>
      <c r="F487" s="70">
        <f t="shared" si="62"/>
        <v>38.207966666666664</v>
      </c>
      <c r="G487" s="70">
        <f t="shared" si="62"/>
        <v>43.990499999999997</v>
      </c>
      <c r="H487" s="70">
        <f t="shared" si="62"/>
        <v>44.028633333333325</v>
      </c>
      <c r="I487" s="66"/>
      <c r="J487" s="66"/>
      <c r="K487" s="67"/>
      <c r="L487" s="29"/>
      <c r="M487" s="70">
        <f>M108+M112+M120+M124</f>
        <v>737.41120000000001</v>
      </c>
      <c r="N487" s="70">
        <f t="shared" si="63"/>
        <v>38.207666666666668</v>
      </c>
      <c r="O487" s="70">
        <f t="shared" si="63"/>
        <v>43.991933333333328</v>
      </c>
      <c r="P487" s="70">
        <f t="shared" si="63"/>
        <v>44.031700000000001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 x14ac:dyDescent="0.2">
      <c r="B488" s="29"/>
      <c r="C488" s="29"/>
      <c r="D488" s="32">
        <v>35</v>
      </c>
      <c r="E488" s="70">
        <f>E109+E113+E121+E125</f>
        <v>384.04879999999997</v>
      </c>
      <c r="F488" s="70">
        <f t="shared" si="62"/>
        <v>35.831499999999998</v>
      </c>
      <c r="G488" s="70">
        <f t="shared" si="62"/>
        <v>42.189466666666668</v>
      </c>
      <c r="H488" s="70">
        <f t="shared" si="62"/>
        <v>42.121433333333329</v>
      </c>
      <c r="I488" s="66"/>
      <c r="J488" s="66"/>
      <c r="K488" s="67"/>
      <c r="L488" s="29"/>
      <c r="M488" s="70">
        <f>M109+M113+M121+M125</f>
        <v>384.40320000000003</v>
      </c>
      <c r="N488" s="70">
        <f t="shared" si="63"/>
        <v>35.834800000000001</v>
      </c>
      <c r="O488" s="70">
        <f t="shared" si="63"/>
        <v>42.19616666666667</v>
      </c>
      <c r="P488" s="70">
        <f t="shared" si="63"/>
        <v>42.124566666666674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 x14ac:dyDescent="0.25">
      <c r="B489" s="29"/>
      <c r="C489" s="53"/>
      <c r="D489" s="71">
        <v>40</v>
      </c>
      <c r="E489" s="81">
        <f>E110+E114+E122+E126</f>
        <v>213.9896</v>
      </c>
      <c r="F489" s="81">
        <f t="shared" si="62"/>
        <v>33.387233333333334</v>
      </c>
      <c r="G489" s="81">
        <f t="shared" si="62"/>
        <v>40.768566666666665</v>
      </c>
      <c r="H489" s="81">
        <f t="shared" si="62"/>
        <v>40.672066666666666</v>
      </c>
      <c r="I489" s="68"/>
      <c r="J489" s="68"/>
      <c r="K489" s="69"/>
      <c r="L489" s="29"/>
      <c r="M489" s="81">
        <f>M110+M114+M122+M126</f>
        <v>214.03119999999998</v>
      </c>
      <c r="N489" s="81">
        <f t="shared" si="63"/>
        <v>33.387500000000003</v>
      </c>
      <c r="O489" s="81">
        <f t="shared" si="63"/>
        <v>40.768900000000002</v>
      </c>
      <c r="P489" s="81">
        <f t="shared" si="63"/>
        <v>40.671199999999999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 x14ac:dyDescent="0.2">
      <c r="B490" s="29"/>
      <c r="C490" s="28" t="s">
        <v>39</v>
      </c>
      <c r="D490" s="31">
        <v>25</v>
      </c>
      <c r="E490" s="78">
        <f>E155</f>
        <v>2032.9151999999999</v>
      </c>
      <c r="F490" s="78">
        <f t="shared" ref="F490:H493" si="64">AVERAGE(F131,F135,F139,F143,F147,F151)</f>
        <v>40.418799999999997</v>
      </c>
      <c r="G490" s="78">
        <f t="shared" si="64"/>
        <v>45.714399999999991</v>
      </c>
      <c r="H490" s="78">
        <f t="shared" si="64"/>
        <v>45.760583333333329</v>
      </c>
      <c r="I490" s="79"/>
      <c r="J490" s="79"/>
      <c r="K490" s="80"/>
      <c r="L490" s="29"/>
      <c r="M490" s="78">
        <f>M155</f>
        <v>2032.972</v>
      </c>
      <c r="N490" s="78">
        <f t="shared" ref="N490:P493" si="65">AVERAGE(N131,N135,N139,N143,N147,N151)</f>
        <v>40.413200000000003</v>
      </c>
      <c r="O490" s="78">
        <f t="shared" si="65"/>
        <v>45.710700000000003</v>
      </c>
      <c r="P490" s="78">
        <f t="shared" si="65"/>
        <v>45.759399999999999</v>
      </c>
      <c r="Q490" s="79"/>
      <c r="R490" s="79"/>
      <c r="S490" s="80"/>
      <c r="U490" s="8">
        <f>bdrate($E490:$E493,F490:F493,$M490:$M493,N490:N493)</f>
        <v>5.8727550482018387E-4</v>
      </c>
      <c r="V490" s="9">
        <f>bdrate($E490:$E493,G490:G493,$M490:$M493,O490:O493)</f>
        <v>-4.1395105397823428E-4</v>
      </c>
      <c r="W490" s="10">
        <f>bdrate($E490:$E493,H490:H493,$M490:$M493,P490:P493)</f>
        <v>-3.229654474721233E-4</v>
      </c>
      <c r="Y490" s="24"/>
      <c r="Z490" s="24"/>
      <c r="AA490" s="24"/>
      <c r="AB490" s="24"/>
      <c r="AC490" s="24"/>
    </row>
    <row r="491" spans="2:29" ht="12" x14ac:dyDescent="0.2">
      <c r="B491" s="29"/>
      <c r="C491" s="29"/>
      <c r="D491" s="32">
        <v>30</v>
      </c>
      <c r="E491" s="70">
        <f>E156</f>
        <v>930.58240000000001</v>
      </c>
      <c r="F491" s="70">
        <f t="shared" si="64"/>
        <v>38.1355</v>
      </c>
      <c r="G491" s="70">
        <f t="shared" si="64"/>
        <v>43.912016666666666</v>
      </c>
      <c r="H491" s="70">
        <f t="shared" si="64"/>
        <v>43.852416666666663</v>
      </c>
      <c r="I491" s="66"/>
      <c r="J491" s="66"/>
      <c r="K491" s="67"/>
      <c r="L491" s="29"/>
      <c r="M491" s="70">
        <f>M156</f>
        <v>930.3424</v>
      </c>
      <c r="N491" s="70">
        <f t="shared" si="65"/>
        <v>38.13238333333333</v>
      </c>
      <c r="O491" s="70">
        <f t="shared" si="65"/>
        <v>43.913800000000002</v>
      </c>
      <c r="P491" s="70">
        <f t="shared" si="65"/>
        <v>43.852583333333335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 x14ac:dyDescent="0.2">
      <c r="B492" s="29"/>
      <c r="C492" s="29"/>
      <c r="D492" s="32">
        <v>35</v>
      </c>
      <c r="E492" s="70">
        <f>E157</f>
        <v>481.08960000000002</v>
      </c>
      <c r="F492" s="70">
        <f t="shared" si="64"/>
        <v>35.728133333333332</v>
      </c>
      <c r="G492" s="70">
        <f t="shared" si="64"/>
        <v>42.118116666666666</v>
      </c>
      <c r="H492" s="70">
        <f t="shared" si="64"/>
        <v>41.916033333333331</v>
      </c>
      <c r="I492" s="66"/>
      <c r="J492" s="66"/>
      <c r="K492" s="67"/>
      <c r="L492" s="29"/>
      <c r="M492" s="70">
        <f>M157</f>
        <v>481.40159999999997</v>
      </c>
      <c r="N492" s="70">
        <f t="shared" si="65"/>
        <v>35.730366666666669</v>
      </c>
      <c r="O492" s="70">
        <f t="shared" si="65"/>
        <v>42.121650000000002</v>
      </c>
      <c r="P492" s="70">
        <f t="shared" si="65"/>
        <v>41.919800000000002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 x14ac:dyDescent="0.25">
      <c r="B493" s="29"/>
      <c r="C493" s="53"/>
      <c r="D493" s="71">
        <v>40</v>
      </c>
      <c r="E493" s="81">
        <f>E158</f>
        <v>267.56240000000003</v>
      </c>
      <c r="F493" s="81">
        <f t="shared" si="64"/>
        <v>33.255283333333331</v>
      </c>
      <c r="G493" s="81">
        <f t="shared" si="64"/>
        <v>40.718883333333338</v>
      </c>
      <c r="H493" s="81">
        <f t="shared" si="64"/>
        <v>40.482183333333332</v>
      </c>
      <c r="I493" s="68"/>
      <c r="J493" s="68"/>
      <c r="K493" s="69"/>
      <c r="L493" s="29"/>
      <c r="M493" s="81">
        <f>M158</f>
        <v>267.62</v>
      </c>
      <c r="N493" s="81">
        <f t="shared" si="65"/>
        <v>33.254533333333335</v>
      </c>
      <c r="O493" s="81">
        <f t="shared" si="65"/>
        <v>40.7194</v>
      </c>
      <c r="P493" s="81">
        <f t="shared" si="65"/>
        <v>40.482883333333326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 x14ac:dyDescent="0.2">
      <c r="B494" s="29"/>
      <c r="C494" s="28" t="s">
        <v>40</v>
      </c>
      <c r="D494" s="31">
        <v>25</v>
      </c>
      <c r="E494" s="78">
        <f t="shared" ref="E494:E501" si="66">E486</f>
        <v>1567.8176000000001</v>
      </c>
      <c r="F494" s="78">
        <f t="shared" ref="F494:H497" si="67">AVERAGE(F107,F111,F131,F135,F139)</f>
        <v>40.596580000000003</v>
      </c>
      <c r="G494" s="78">
        <f t="shared" si="67"/>
        <v>44.907699999999998</v>
      </c>
      <c r="H494" s="78">
        <f t="shared" si="67"/>
        <v>44.99730000000001</v>
      </c>
      <c r="I494" s="79"/>
      <c r="J494" s="79"/>
      <c r="K494" s="80"/>
      <c r="L494" s="29"/>
      <c r="M494" s="78">
        <f t="shared" ref="M494:M501" si="68">M486</f>
        <v>1567.9456</v>
      </c>
      <c r="N494" s="78">
        <f t="shared" ref="N494:P497" si="69">AVERAGE(N107,N111,N131,N135,N139)</f>
        <v>40.598420000000011</v>
      </c>
      <c r="O494" s="78">
        <f t="shared" si="69"/>
        <v>44.902879999999996</v>
      </c>
      <c r="P494" s="78">
        <f t="shared" si="69"/>
        <v>44.998480000000001</v>
      </c>
      <c r="Q494" s="79"/>
      <c r="R494" s="79"/>
      <c r="S494" s="80"/>
      <c r="U494" s="8">
        <f>bdrate($E494:$E497,F494:F497,$M494:$M497,N494:N497)</f>
        <v>7.4950512070071085E-5</v>
      </c>
      <c r="V494" s="9">
        <f>bdrate($E494:$E497,G494:G497,$M494:$M497,O494:O497)</f>
        <v>-4.1483073287273964E-4</v>
      </c>
      <c r="W494" s="10">
        <f>bdrate($E494:$E497,H494:H497,$M494:$M497,P494:P497)</f>
        <v>-5.4170202806946843E-4</v>
      </c>
      <c r="Y494" s="24"/>
      <c r="Z494" s="24"/>
      <c r="AA494" s="24"/>
      <c r="AB494" s="24"/>
      <c r="AC494" s="24"/>
    </row>
    <row r="495" spans="2:29" ht="12" x14ac:dyDescent="0.2">
      <c r="B495" s="29"/>
      <c r="C495" s="29"/>
      <c r="D495" s="32">
        <v>30</v>
      </c>
      <c r="E495" s="70">
        <f t="shared" si="66"/>
        <v>737.38880000000006</v>
      </c>
      <c r="F495" s="70">
        <f t="shared" si="67"/>
        <v>38.314840000000004</v>
      </c>
      <c r="G495" s="70">
        <f t="shared" si="67"/>
        <v>43.159300000000002</v>
      </c>
      <c r="H495" s="70">
        <f t="shared" si="67"/>
        <v>43.211559999999999</v>
      </c>
      <c r="I495" s="66"/>
      <c r="J495" s="66"/>
      <c r="K495" s="67"/>
      <c r="L495" s="29"/>
      <c r="M495" s="70">
        <f t="shared" si="68"/>
        <v>737.41120000000001</v>
      </c>
      <c r="N495" s="70">
        <f t="shared" si="69"/>
        <v>38.314459999999997</v>
      </c>
      <c r="O495" s="70">
        <f t="shared" si="69"/>
        <v>43.161160000000002</v>
      </c>
      <c r="P495" s="70">
        <f t="shared" si="69"/>
        <v>43.214299999999994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 x14ac:dyDescent="0.2">
      <c r="B496" s="29"/>
      <c r="C496" s="29"/>
      <c r="D496" s="32">
        <v>35</v>
      </c>
      <c r="E496" s="70">
        <f t="shared" si="66"/>
        <v>384.04879999999997</v>
      </c>
      <c r="F496" s="70">
        <f t="shared" si="67"/>
        <v>35.892519999999998</v>
      </c>
      <c r="G496" s="70">
        <f t="shared" si="67"/>
        <v>41.469299999999997</v>
      </c>
      <c r="H496" s="70">
        <f t="shared" si="67"/>
        <v>41.424099999999996</v>
      </c>
      <c r="I496" s="66"/>
      <c r="J496" s="66"/>
      <c r="K496" s="67"/>
      <c r="L496" s="29"/>
      <c r="M496" s="70">
        <f t="shared" si="68"/>
        <v>384.40320000000003</v>
      </c>
      <c r="N496" s="70">
        <f t="shared" si="69"/>
        <v>35.895400000000002</v>
      </c>
      <c r="O496" s="70">
        <f t="shared" si="69"/>
        <v>41.474660000000007</v>
      </c>
      <c r="P496" s="70">
        <f t="shared" si="69"/>
        <v>41.427140000000001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 x14ac:dyDescent="0.25">
      <c r="B497" s="29"/>
      <c r="C497" s="53"/>
      <c r="D497" s="71">
        <v>40</v>
      </c>
      <c r="E497" s="81">
        <f t="shared" si="66"/>
        <v>213.9896</v>
      </c>
      <c r="F497" s="81">
        <f t="shared" si="67"/>
        <v>33.42792</v>
      </c>
      <c r="G497" s="81">
        <f t="shared" si="67"/>
        <v>40.157879999999999</v>
      </c>
      <c r="H497" s="81">
        <f t="shared" si="67"/>
        <v>40.075700000000005</v>
      </c>
      <c r="I497" s="68"/>
      <c r="J497" s="68"/>
      <c r="K497" s="69"/>
      <c r="L497" s="29"/>
      <c r="M497" s="81">
        <f t="shared" si="68"/>
        <v>214.03119999999998</v>
      </c>
      <c r="N497" s="81">
        <f t="shared" si="69"/>
        <v>33.428260000000002</v>
      </c>
      <c r="O497" s="81">
        <f t="shared" si="69"/>
        <v>40.158100000000005</v>
      </c>
      <c r="P497" s="81">
        <f t="shared" si="69"/>
        <v>40.075100000000006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 x14ac:dyDescent="0.2">
      <c r="B498" s="29"/>
      <c r="C498" s="28" t="s">
        <v>41</v>
      </c>
      <c r="D498" s="31">
        <v>25</v>
      </c>
      <c r="E498" s="78">
        <f t="shared" si="66"/>
        <v>2032.9151999999999</v>
      </c>
      <c r="F498" s="78">
        <f t="shared" ref="F498:H501" si="70">AVERAGE(F107,F111,F115,F131,F135,F139,F143,F147,F151)</f>
        <v>40.452611111111111</v>
      </c>
      <c r="G498" s="78">
        <f t="shared" si="70"/>
        <v>44.916933333333333</v>
      </c>
      <c r="H498" s="78">
        <f t="shared" si="70"/>
        <v>44.954555555555558</v>
      </c>
      <c r="I498" s="79"/>
      <c r="J498" s="79"/>
      <c r="K498" s="80"/>
      <c r="L498" s="29"/>
      <c r="M498" s="78">
        <f t="shared" si="68"/>
        <v>2032.972</v>
      </c>
      <c r="N498" s="78">
        <f t="shared" ref="N498:P501" si="71">AVERAGE(N107,N111,N115,N131,N135,N139,N143,N147,N151)</f>
        <v>40.449011111111112</v>
      </c>
      <c r="O498" s="78">
        <f t="shared" si="71"/>
        <v>44.914388888888887</v>
      </c>
      <c r="P498" s="78">
        <f t="shared" si="71"/>
        <v>44.953933333333332</v>
      </c>
      <c r="Q498" s="79"/>
      <c r="R498" s="79"/>
      <c r="S498" s="80"/>
      <c r="U498" s="8">
        <f>bdrate($E498:$E501,F498:F501,$M498:$M501,N498:N501)</f>
        <v>3.8119182433993259E-4</v>
      </c>
      <c r="V498" s="9">
        <f>bdrate($E498:$E501,G498:G501,$M498:$M501,O498:O501)</f>
        <v>-5.1617577119900115E-4</v>
      </c>
      <c r="W498" s="10">
        <f>bdrate($E498:$E501,H498:H501,$M498:$M501,P498:P501)</f>
        <v>-4.1360163526749094E-4</v>
      </c>
      <c r="Y498" s="24"/>
      <c r="Z498" s="24"/>
      <c r="AA498" s="24"/>
      <c r="AB498" s="24"/>
      <c r="AC498" s="24"/>
    </row>
    <row r="499" spans="2:29" ht="12" x14ac:dyDescent="0.2">
      <c r="B499" s="29"/>
      <c r="C499" s="29"/>
      <c r="D499" s="32">
        <v>30</v>
      </c>
      <c r="E499" s="70">
        <f t="shared" si="66"/>
        <v>930.58240000000001</v>
      </c>
      <c r="F499" s="70">
        <f t="shared" si="70"/>
        <v>38.142333333333333</v>
      </c>
      <c r="G499" s="70">
        <f t="shared" si="70"/>
        <v>43.184999999999995</v>
      </c>
      <c r="H499" s="70">
        <f t="shared" si="70"/>
        <v>43.130566666666674</v>
      </c>
      <c r="I499" s="66"/>
      <c r="J499" s="66"/>
      <c r="K499" s="67"/>
      <c r="L499" s="29"/>
      <c r="M499" s="70">
        <f t="shared" si="68"/>
        <v>930.3424</v>
      </c>
      <c r="N499" s="70">
        <f t="shared" si="71"/>
        <v>38.140211111111107</v>
      </c>
      <c r="O499" s="70">
        <f t="shared" si="71"/>
        <v>43.187100000000008</v>
      </c>
      <c r="P499" s="70">
        <f t="shared" si="71"/>
        <v>43.131266666666662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 x14ac:dyDescent="0.2">
      <c r="B500" s="29"/>
      <c r="C500" s="29"/>
      <c r="D500" s="32">
        <v>35</v>
      </c>
      <c r="E500" s="70">
        <f t="shared" si="66"/>
        <v>481.08960000000002</v>
      </c>
      <c r="F500" s="70">
        <f t="shared" si="70"/>
        <v>35.711199999999998</v>
      </c>
      <c r="G500" s="70">
        <f t="shared" si="70"/>
        <v>41.507199999999997</v>
      </c>
      <c r="H500" s="70">
        <f t="shared" si="70"/>
        <v>41.324288888888887</v>
      </c>
      <c r="I500" s="66"/>
      <c r="J500" s="66"/>
      <c r="K500" s="67"/>
      <c r="L500" s="29"/>
      <c r="M500" s="70">
        <f t="shared" si="68"/>
        <v>481.40159999999997</v>
      </c>
      <c r="N500" s="70">
        <f t="shared" si="71"/>
        <v>35.713455555555555</v>
      </c>
      <c r="O500" s="70">
        <f t="shared" si="71"/>
        <v>41.510188888888884</v>
      </c>
      <c r="P500" s="70">
        <f t="shared" si="71"/>
        <v>41.327622222222224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 x14ac:dyDescent="0.25">
      <c r="B501" s="53"/>
      <c r="C501" s="53"/>
      <c r="D501" s="71">
        <v>40</v>
      </c>
      <c r="E501" s="81">
        <f t="shared" si="66"/>
        <v>267.56240000000003</v>
      </c>
      <c r="F501" s="81">
        <f t="shared" si="70"/>
        <v>33.229211111111113</v>
      </c>
      <c r="G501" s="81">
        <f t="shared" si="70"/>
        <v>40.209100000000007</v>
      </c>
      <c r="H501" s="81">
        <f t="shared" si="70"/>
        <v>39.983866666666671</v>
      </c>
      <c r="I501" s="68"/>
      <c r="J501" s="68"/>
      <c r="K501" s="69"/>
      <c r="L501" s="29"/>
      <c r="M501" s="81">
        <f t="shared" si="68"/>
        <v>267.62</v>
      </c>
      <c r="N501" s="81">
        <f t="shared" si="71"/>
        <v>33.228522222222225</v>
      </c>
      <c r="O501" s="81">
        <f t="shared" si="71"/>
        <v>40.209744444444446</v>
      </c>
      <c r="P501" s="81">
        <f t="shared" si="71"/>
        <v>39.984422222222229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 x14ac:dyDescent="0.2">
      <c r="B502" s="28" t="str">
        <f>B159</f>
        <v>GT_Fly</v>
      </c>
      <c r="C502" s="28" t="s">
        <v>35</v>
      </c>
      <c r="D502" s="31">
        <v>25</v>
      </c>
      <c r="E502" s="78">
        <f>E159+E163</f>
        <v>4238.2911999999997</v>
      </c>
      <c r="F502" s="78">
        <f t="shared" ref="F502:H505" si="72">AVERAGE(F159,F163)</f>
        <v>39.999099999999999</v>
      </c>
      <c r="G502" s="78">
        <f t="shared" si="72"/>
        <v>45.390150000000006</v>
      </c>
      <c r="H502" s="78">
        <f t="shared" si="72"/>
        <v>46.235950000000003</v>
      </c>
      <c r="I502" s="79"/>
      <c r="J502" s="79"/>
      <c r="K502" s="80"/>
      <c r="L502" s="29"/>
      <c r="M502" s="82">
        <f>M159+M163</f>
        <v>4237.9039999999995</v>
      </c>
      <c r="N502" s="78">
        <f t="shared" ref="N502:P505" si="73">AVERAGE(N159,N163)</f>
        <v>39.99935</v>
      </c>
      <c r="O502" s="78">
        <f t="shared" si="73"/>
        <v>45.390299999999996</v>
      </c>
      <c r="P502" s="78">
        <f t="shared" si="73"/>
        <v>46.236350000000002</v>
      </c>
      <c r="Q502" s="79"/>
      <c r="R502" s="79"/>
      <c r="S502" s="80"/>
      <c r="U502" s="8">
        <f>bdrate($E502:$E505,F502:F505,$M502:$M505,N502:N505)</f>
        <v>-9.6165885863475076E-5</v>
      </c>
      <c r="V502" s="9">
        <f>bdrate($E502:$E505,G502:G505,$M502:$M505,O502:O505)</f>
        <v>7.5826024065861475E-5</v>
      </c>
      <c r="W502" s="10">
        <f>bdrate($E502:$E505,H502:H505,$M502:$M505,P502:P505)</f>
        <v>1.4642668497266698E-5</v>
      </c>
      <c r="Y502" s="24"/>
      <c r="Z502" s="24"/>
      <c r="AA502" s="24"/>
      <c r="AB502" s="24"/>
      <c r="AC502" s="24"/>
    </row>
    <row r="503" spans="2:29" ht="12" x14ac:dyDescent="0.2">
      <c r="B503" s="29"/>
      <c r="C503" s="29"/>
      <c r="D503" s="32">
        <v>30</v>
      </c>
      <c r="E503" s="70">
        <f>E160+E164</f>
        <v>1800.0416</v>
      </c>
      <c r="F503" s="70">
        <f t="shared" si="72"/>
        <v>37.644350000000003</v>
      </c>
      <c r="G503" s="70">
        <f t="shared" si="72"/>
        <v>43.597650000000002</v>
      </c>
      <c r="H503" s="70">
        <f t="shared" si="72"/>
        <v>44.433599999999998</v>
      </c>
      <c r="I503" s="66"/>
      <c r="J503" s="66"/>
      <c r="K503" s="67"/>
      <c r="L503" s="29"/>
      <c r="M503" s="83">
        <f>M160+M164</f>
        <v>1800.1120000000001</v>
      </c>
      <c r="N503" s="70">
        <f t="shared" si="73"/>
        <v>37.6449</v>
      </c>
      <c r="O503" s="70">
        <f t="shared" si="73"/>
        <v>43.597499999999997</v>
      </c>
      <c r="P503" s="70">
        <f t="shared" si="73"/>
        <v>44.433800000000005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 x14ac:dyDescent="0.2">
      <c r="B504" s="29"/>
      <c r="C504" s="29"/>
      <c r="D504" s="32">
        <v>35</v>
      </c>
      <c r="E504" s="70">
        <f>E161+E165</f>
        <v>831.30079999999998</v>
      </c>
      <c r="F504" s="70">
        <f t="shared" si="72"/>
        <v>35.500700000000002</v>
      </c>
      <c r="G504" s="70">
        <f t="shared" si="72"/>
        <v>41.797399999999996</v>
      </c>
      <c r="H504" s="70">
        <f t="shared" si="72"/>
        <v>42.625</v>
      </c>
      <c r="I504" s="66"/>
      <c r="J504" s="66"/>
      <c r="K504" s="67"/>
      <c r="L504" s="29"/>
      <c r="M504" s="83">
        <f>M161+M165</f>
        <v>831.51519999999994</v>
      </c>
      <c r="N504" s="70">
        <f t="shared" si="73"/>
        <v>35.501400000000004</v>
      </c>
      <c r="O504" s="70">
        <f t="shared" si="73"/>
        <v>41.797650000000004</v>
      </c>
      <c r="P504" s="70">
        <f t="shared" si="73"/>
        <v>42.625250000000001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 x14ac:dyDescent="0.25">
      <c r="B505" s="29"/>
      <c r="C505" s="53"/>
      <c r="D505" s="71">
        <v>40</v>
      </c>
      <c r="E505" s="81">
        <f>E162+E166</f>
        <v>400.03359999999998</v>
      </c>
      <c r="F505" s="81">
        <f t="shared" si="72"/>
        <v>33.377600000000001</v>
      </c>
      <c r="G505" s="81">
        <f t="shared" si="72"/>
        <v>40.559100000000001</v>
      </c>
      <c r="H505" s="81">
        <f t="shared" si="72"/>
        <v>41.392899999999997</v>
      </c>
      <c r="I505" s="68"/>
      <c r="J505" s="68"/>
      <c r="K505" s="69"/>
      <c r="L505" s="29"/>
      <c r="M505" s="84">
        <f>M162+M166</f>
        <v>400.09839999999997</v>
      </c>
      <c r="N505" s="81">
        <f t="shared" si="73"/>
        <v>33.378399999999999</v>
      </c>
      <c r="O505" s="81">
        <f t="shared" si="73"/>
        <v>40.559200000000004</v>
      </c>
      <c r="P505" s="81">
        <f t="shared" si="73"/>
        <v>41.392600000000002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 x14ac:dyDescent="0.2">
      <c r="B506" s="29"/>
      <c r="C506" s="28" t="s">
        <v>36</v>
      </c>
      <c r="D506" s="31">
        <v>25</v>
      </c>
      <c r="E506" s="78">
        <f>E159+E163+E167</f>
        <v>4784.6183999999994</v>
      </c>
      <c r="F506" s="78">
        <f t="shared" ref="F506:H509" si="74">AVERAGE(F159,F163,F167)</f>
        <v>39.901933333333332</v>
      </c>
      <c r="G506" s="78">
        <f t="shared" si="74"/>
        <v>45.353433333333335</v>
      </c>
      <c r="H506" s="78">
        <f t="shared" si="74"/>
        <v>46.202933333333334</v>
      </c>
      <c r="I506" s="79"/>
      <c r="J506" s="79"/>
      <c r="K506" s="80"/>
      <c r="L506" s="29"/>
      <c r="M506" s="78">
        <f>M159+M163+M167</f>
        <v>4784.8255999999992</v>
      </c>
      <c r="N506" s="78">
        <f t="shared" ref="N506:P509" si="75">AVERAGE(N159,N163,N167)</f>
        <v>39.902733333333337</v>
      </c>
      <c r="O506" s="78">
        <f t="shared" si="75"/>
        <v>45.3538</v>
      </c>
      <c r="P506" s="78">
        <f t="shared" si="75"/>
        <v>46.203233333333337</v>
      </c>
      <c r="Q506" s="79"/>
      <c r="R506" s="79"/>
      <c r="S506" s="80"/>
      <c r="U506" s="8">
        <f>bdrate($E506:$E509,F506:F509,$M506:$M509,N506:N509)</f>
        <v>-1.0361492698796049E-4</v>
      </c>
      <c r="V506" s="9">
        <f>bdrate($E506:$E509,G506:G509,$M506:$M509,O506:O509)</f>
        <v>9.8186557247359474E-5</v>
      </c>
      <c r="W506" s="10">
        <f>bdrate($E506:$E509,H506:H509,$M506:$M509,P506:P509)</f>
        <v>4.9153935899326484E-5</v>
      </c>
      <c r="Y506" s="24"/>
      <c r="Z506" s="24"/>
      <c r="AA506" s="24"/>
      <c r="AB506" s="24"/>
      <c r="AC506" s="24"/>
    </row>
    <row r="507" spans="2:29" ht="12" x14ac:dyDescent="0.2">
      <c r="B507" s="29"/>
      <c r="C507" s="29"/>
      <c r="D507" s="32">
        <v>30</v>
      </c>
      <c r="E507" s="70">
        <f>E160+E164+E168</f>
        <v>1992.2103999999999</v>
      </c>
      <c r="F507" s="70">
        <f t="shared" si="74"/>
        <v>37.5717</v>
      </c>
      <c r="G507" s="70">
        <f t="shared" si="74"/>
        <v>43.572900000000004</v>
      </c>
      <c r="H507" s="70">
        <f t="shared" si="74"/>
        <v>44.412166666666671</v>
      </c>
      <c r="I507" s="66"/>
      <c r="J507" s="66"/>
      <c r="K507" s="67"/>
      <c r="L507" s="29"/>
      <c r="M507" s="70">
        <f>M160+M164+M168</f>
        <v>1992.6280000000002</v>
      </c>
      <c r="N507" s="70">
        <f t="shared" si="75"/>
        <v>37.572499999999998</v>
      </c>
      <c r="O507" s="70">
        <f t="shared" si="75"/>
        <v>43.572733333333332</v>
      </c>
      <c r="P507" s="70">
        <f t="shared" si="75"/>
        <v>44.412166666666671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 x14ac:dyDescent="0.2">
      <c r="B508" s="29"/>
      <c r="C508" s="29"/>
      <c r="D508" s="32">
        <v>35</v>
      </c>
      <c r="E508" s="70">
        <f>E161+E165+E169</f>
        <v>910.45119999999997</v>
      </c>
      <c r="F508" s="70">
        <f t="shared" si="74"/>
        <v>35.446333333333335</v>
      </c>
      <c r="G508" s="70">
        <f t="shared" si="74"/>
        <v>41.78393333333333</v>
      </c>
      <c r="H508" s="70">
        <f t="shared" si="74"/>
        <v>42.614466666666665</v>
      </c>
      <c r="I508" s="66"/>
      <c r="J508" s="66"/>
      <c r="K508" s="67"/>
      <c r="L508" s="29"/>
      <c r="M508" s="70">
        <f>M161+M165+M169</f>
        <v>910.49039999999991</v>
      </c>
      <c r="N508" s="70">
        <f t="shared" si="75"/>
        <v>35.446766666666669</v>
      </c>
      <c r="O508" s="70">
        <f t="shared" si="75"/>
        <v>41.784133333333337</v>
      </c>
      <c r="P508" s="70">
        <f t="shared" si="75"/>
        <v>42.614899999999999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 x14ac:dyDescent="0.25">
      <c r="B509" s="29"/>
      <c r="C509" s="53"/>
      <c r="D509" s="71">
        <v>40</v>
      </c>
      <c r="E509" s="81">
        <f>E162+E166+E170</f>
        <v>436.8784</v>
      </c>
      <c r="F509" s="81">
        <f t="shared" si="74"/>
        <v>33.333333333333336</v>
      </c>
      <c r="G509" s="81">
        <f t="shared" si="74"/>
        <v>40.543599999999998</v>
      </c>
      <c r="H509" s="81">
        <f t="shared" si="74"/>
        <v>41.380166666666668</v>
      </c>
      <c r="I509" s="68"/>
      <c r="J509" s="68"/>
      <c r="K509" s="69"/>
      <c r="L509" s="29"/>
      <c r="M509" s="81">
        <f>M162+M166+M170</f>
        <v>436.97359999999998</v>
      </c>
      <c r="N509" s="81">
        <f t="shared" si="75"/>
        <v>33.333833333333331</v>
      </c>
      <c r="O509" s="81">
        <f t="shared" si="75"/>
        <v>40.543700000000001</v>
      </c>
      <c r="P509" s="81">
        <f t="shared" si="75"/>
        <v>41.379966666666668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 x14ac:dyDescent="0.2">
      <c r="B510" s="29"/>
      <c r="C510" s="28" t="s">
        <v>37</v>
      </c>
      <c r="D510" s="31">
        <v>25</v>
      </c>
      <c r="E510" s="78">
        <f>E159+E163+E171+E175</f>
        <v>4628.0495999999994</v>
      </c>
      <c r="F510" s="78">
        <f t="shared" ref="F510:H513" si="76">AVERAGE(F183,F187,F191)</f>
        <v>40.054833333333335</v>
      </c>
      <c r="G510" s="78">
        <f t="shared" si="76"/>
        <v>46.596666666666664</v>
      </c>
      <c r="H510" s="78">
        <f t="shared" si="76"/>
        <v>47.009766666666671</v>
      </c>
      <c r="I510" s="79"/>
      <c r="J510" s="79"/>
      <c r="K510" s="80"/>
      <c r="L510" s="29"/>
      <c r="M510" s="78">
        <f>M159+M163+M171+M175</f>
        <v>4626.7767999999996</v>
      </c>
      <c r="N510" s="78">
        <f t="shared" ref="N510:P513" si="77">AVERAGE(N183,N187,N191)</f>
        <v>40.055533333333337</v>
      </c>
      <c r="O510" s="78">
        <f t="shared" si="77"/>
        <v>46.59256666666667</v>
      </c>
      <c r="P510" s="78">
        <f t="shared" si="77"/>
        <v>47.008299999999998</v>
      </c>
      <c r="Q510" s="79"/>
      <c r="R510" s="79"/>
      <c r="S510" s="80"/>
      <c r="U510" s="8">
        <f>bdrate($E510:$E513,F510:F513,$M510:$M513,N510:N513)</f>
        <v>-2.3778964023468685E-4</v>
      </c>
      <c r="V510" s="9">
        <f>bdrate($E510:$E513,G510:G513,$M510:$M513,O510:O513)</f>
        <v>-4.1723838973928284E-4</v>
      </c>
      <c r="W510" s="10">
        <f>bdrate($E510:$E513,H510:H513,$M510:$M513,P510:P513)</f>
        <v>-6.700221513761262E-4</v>
      </c>
      <c r="Y510" s="24"/>
      <c r="Z510" s="24"/>
      <c r="AA510" s="24"/>
      <c r="AB510" s="24"/>
      <c r="AC510" s="24"/>
    </row>
    <row r="511" spans="2:29" ht="12" x14ac:dyDescent="0.2">
      <c r="B511" s="29"/>
      <c r="C511" s="29"/>
      <c r="D511" s="32">
        <v>30</v>
      </c>
      <c r="E511" s="70">
        <f>E160+E164+E172+E176</f>
        <v>1927.4840000000002</v>
      </c>
      <c r="F511" s="70">
        <f t="shared" si="76"/>
        <v>37.738300000000002</v>
      </c>
      <c r="G511" s="70">
        <f t="shared" si="76"/>
        <v>44.81486666666666</v>
      </c>
      <c r="H511" s="70">
        <f t="shared" si="76"/>
        <v>45.358733333333333</v>
      </c>
      <c r="I511" s="66"/>
      <c r="J511" s="66"/>
      <c r="K511" s="67"/>
      <c r="L511" s="29"/>
      <c r="M511" s="70">
        <f>M160+M164+M172+M176</f>
        <v>1927.7136</v>
      </c>
      <c r="N511" s="70">
        <f t="shared" si="77"/>
        <v>37.739399999999996</v>
      </c>
      <c r="O511" s="70">
        <f t="shared" si="77"/>
        <v>44.81903333333333</v>
      </c>
      <c r="P511" s="70">
        <f t="shared" si="77"/>
        <v>45.359766666666665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 x14ac:dyDescent="0.2">
      <c r="B512" s="29"/>
      <c r="C512" s="29"/>
      <c r="D512" s="32">
        <v>35</v>
      </c>
      <c r="E512" s="70">
        <f>E161+E165+E173+E177</f>
        <v>880.27120000000002</v>
      </c>
      <c r="F512" s="70">
        <f t="shared" si="76"/>
        <v>35.604166666666664</v>
      </c>
      <c r="G512" s="70">
        <f t="shared" si="76"/>
        <v>42.887633333333333</v>
      </c>
      <c r="H512" s="70">
        <f t="shared" si="76"/>
        <v>43.552999999999997</v>
      </c>
      <c r="I512" s="66"/>
      <c r="J512" s="66"/>
      <c r="K512" s="67"/>
      <c r="L512" s="29"/>
      <c r="M512" s="70">
        <f>M161+M165+M173+M177</f>
        <v>880.53359999999998</v>
      </c>
      <c r="N512" s="70">
        <f t="shared" si="77"/>
        <v>35.6051</v>
      </c>
      <c r="O512" s="70">
        <f t="shared" si="77"/>
        <v>42.885766666666662</v>
      </c>
      <c r="P512" s="70">
        <f t="shared" si="77"/>
        <v>43.556333333333328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 x14ac:dyDescent="0.25">
      <c r="B513" s="29"/>
      <c r="C513" s="53"/>
      <c r="D513" s="71">
        <v>40</v>
      </c>
      <c r="E513" s="81">
        <f>E162+E166+E174+E178</f>
        <v>421.01199999999994</v>
      </c>
      <c r="F513" s="81">
        <f t="shared" si="76"/>
        <v>33.473599999999998</v>
      </c>
      <c r="G513" s="81">
        <f t="shared" si="76"/>
        <v>41.505233333333337</v>
      </c>
      <c r="H513" s="81">
        <f t="shared" si="76"/>
        <v>42.2348</v>
      </c>
      <c r="I513" s="68"/>
      <c r="J513" s="68"/>
      <c r="K513" s="69"/>
      <c r="L513" s="29"/>
      <c r="M513" s="81">
        <f>M162+M166+M174+M178</f>
        <v>421.05199999999996</v>
      </c>
      <c r="N513" s="81">
        <f t="shared" si="77"/>
        <v>33.474866666666664</v>
      </c>
      <c r="O513" s="81">
        <f t="shared" si="77"/>
        <v>41.511733333333332</v>
      </c>
      <c r="P513" s="81">
        <f t="shared" si="77"/>
        <v>42.237000000000002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 x14ac:dyDescent="0.2">
      <c r="B514" s="29"/>
      <c r="C514" s="28" t="s">
        <v>39</v>
      </c>
      <c r="D514" s="31">
        <v>25</v>
      </c>
      <c r="E514" s="78">
        <f>E207</f>
        <v>5283.884</v>
      </c>
      <c r="F514" s="78">
        <f t="shared" ref="F514:H517" si="78">AVERAGE(F183,F187,F191,F195,F199,F203)</f>
        <v>40.048000000000002</v>
      </c>
      <c r="G514" s="78">
        <f t="shared" si="78"/>
        <v>46.561383333333332</v>
      </c>
      <c r="H514" s="78">
        <f t="shared" si="78"/>
        <v>47.063116666666666</v>
      </c>
      <c r="I514" s="79"/>
      <c r="J514" s="79"/>
      <c r="K514" s="80"/>
      <c r="L514" s="29"/>
      <c r="M514" s="78">
        <f>M207</f>
        <v>5283.3015999999998</v>
      </c>
      <c r="N514" s="78">
        <f t="shared" ref="N514:P517" si="79">AVERAGE(N183,N187,N191,N195,N199,N203)</f>
        <v>40.049766666666663</v>
      </c>
      <c r="O514" s="78">
        <f t="shared" si="79"/>
        <v>46.56</v>
      </c>
      <c r="P514" s="78">
        <f t="shared" si="79"/>
        <v>47.065049999999992</v>
      </c>
      <c r="Q514" s="79"/>
      <c r="R514" s="79"/>
      <c r="S514" s="80"/>
      <c r="U514" s="8">
        <f>bdrate($E514:$E517,F514:F517,$M514:$M517,N514:N517)</f>
        <v>-1.1397494098730476E-4</v>
      </c>
      <c r="V514" s="9">
        <f>bdrate($E514:$E517,G514:G517,$M514:$M517,O514:O517)</f>
        <v>-1.0262199259988281E-3</v>
      </c>
      <c r="W514" s="10">
        <f>bdrate($E514:$E517,H514:H517,$M514:$M517,P514:P517)</f>
        <v>2.9840857348850669E-4</v>
      </c>
      <c r="Y514" s="24"/>
      <c r="Z514" s="24"/>
      <c r="AA514" s="24"/>
      <c r="AB514" s="24"/>
      <c r="AC514" s="24"/>
    </row>
    <row r="515" spans="2:29" ht="12" x14ac:dyDescent="0.2">
      <c r="B515" s="29"/>
      <c r="C515" s="29"/>
      <c r="D515" s="32">
        <v>30</v>
      </c>
      <c r="E515" s="70">
        <f>E208</f>
        <v>2155.2352000000001</v>
      </c>
      <c r="F515" s="70">
        <f t="shared" si="78"/>
        <v>37.723599999999998</v>
      </c>
      <c r="G515" s="70">
        <f t="shared" si="78"/>
        <v>44.788583333333328</v>
      </c>
      <c r="H515" s="70">
        <f t="shared" si="78"/>
        <v>45.387799999999999</v>
      </c>
      <c r="I515" s="66"/>
      <c r="J515" s="66"/>
      <c r="K515" s="67"/>
      <c r="L515" s="29"/>
      <c r="M515" s="70">
        <f>M208</f>
        <v>2155.7784000000001</v>
      </c>
      <c r="N515" s="70">
        <f t="shared" si="79"/>
        <v>37.72358333333333</v>
      </c>
      <c r="O515" s="70">
        <f t="shared" si="79"/>
        <v>44.792733333333331</v>
      </c>
      <c r="P515" s="70">
        <f t="shared" si="79"/>
        <v>45.385750000000002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 x14ac:dyDescent="0.2">
      <c r="B516" s="29"/>
      <c r="C516" s="29"/>
      <c r="D516" s="32">
        <v>35</v>
      </c>
      <c r="E516" s="70">
        <f>E209</f>
        <v>976.79679999999996</v>
      </c>
      <c r="F516" s="70">
        <f t="shared" si="78"/>
        <v>35.590783333333341</v>
      </c>
      <c r="G516" s="70">
        <f t="shared" si="78"/>
        <v>42.855116666666675</v>
      </c>
      <c r="H516" s="70">
        <f t="shared" si="78"/>
        <v>43.533666666666669</v>
      </c>
      <c r="I516" s="66"/>
      <c r="J516" s="66"/>
      <c r="K516" s="67"/>
      <c r="L516" s="29"/>
      <c r="M516" s="70">
        <f>M209</f>
        <v>976.94240000000002</v>
      </c>
      <c r="N516" s="70">
        <f t="shared" si="79"/>
        <v>35.592066666666668</v>
      </c>
      <c r="O516" s="70">
        <f t="shared" si="79"/>
        <v>42.857183333333332</v>
      </c>
      <c r="P516" s="70">
        <f t="shared" si="79"/>
        <v>43.532549999999993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 x14ac:dyDescent="0.25">
      <c r="B517" s="29"/>
      <c r="C517" s="53"/>
      <c r="D517" s="71">
        <v>40</v>
      </c>
      <c r="E517" s="81">
        <f>E210</f>
        <v>468.75360000000001</v>
      </c>
      <c r="F517" s="81">
        <f t="shared" si="78"/>
        <v>33.46061666666666</v>
      </c>
      <c r="G517" s="81">
        <f t="shared" si="78"/>
        <v>41.491466666666668</v>
      </c>
      <c r="H517" s="81">
        <f t="shared" si="78"/>
        <v>42.204833333333333</v>
      </c>
      <c r="I517" s="68"/>
      <c r="J517" s="68"/>
      <c r="K517" s="69"/>
      <c r="L517" s="29"/>
      <c r="M517" s="81">
        <f>M210</f>
        <v>468.87920000000003</v>
      </c>
      <c r="N517" s="81">
        <f t="shared" si="79"/>
        <v>33.461300000000001</v>
      </c>
      <c r="O517" s="81">
        <f t="shared" si="79"/>
        <v>41.494733333333336</v>
      </c>
      <c r="P517" s="81">
        <f t="shared" si="79"/>
        <v>42.210233333333335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 x14ac:dyDescent="0.2">
      <c r="B518" s="29"/>
      <c r="C518" s="28" t="s">
        <v>40</v>
      </c>
      <c r="D518" s="31">
        <v>25</v>
      </c>
      <c r="E518" s="78">
        <f t="shared" ref="E518:E525" si="80">E510</f>
        <v>4628.0495999999994</v>
      </c>
      <c r="F518" s="78">
        <f t="shared" ref="F518:H521" si="81">AVERAGE(F159,F163,F183,F187,F191)</f>
        <v>40.032539999999997</v>
      </c>
      <c r="G518" s="78">
        <f t="shared" si="81"/>
        <v>46.114060000000002</v>
      </c>
      <c r="H518" s="78">
        <f t="shared" si="81"/>
        <v>46.700239999999994</v>
      </c>
      <c r="I518" s="79"/>
      <c r="J518" s="79"/>
      <c r="K518" s="80"/>
      <c r="L518" s="29"/>
      <c r="M518" s="78">
        <f t="shared" ref="M518:M525" si="82">M510</f>
        <v>4626.7767999999996</v>
      </c>
      <c r="N518" s="78">
        <f t="shared" ref="N518:P521" si="83">AVERAGE(N159,N163,N183,N187,N191)</f>
        <v>40.033059999999999</v>
      </c>
      <c r="O518" s="78">
        <f t="shared" si="83"/>
        <v>46.111660000000001</v>
      </c>
      <c r="P518" s="78">
        <f t="shared" si="83"/>
        <v>46.699519999999993</v>
      </c>
      <c r="Q518" s="79"/>
      <c r="R518" s="79"/>
      <c r="S518" s="80"/>
      <c r="U518" s="8">
        <f>bdrate($E518:$E521,F518:F521,$M518:$M521,N518:N521)</f>
        <v>-1.7709954782785253E-4</v>
      </c>
      <c r="V518" s="9">
        <f>bdrate($E518:$E521,G518:G521,$M518:$M521,O518:O521)</f>
        <v>-2.2512900725557561E-4</v>
      </c>
      <c r="W518" s="10">
        <f>bdrate($E518:$E521,H518:H521,$M518:$M521,P518:P521)</f>
        <v>-3.8761750367122261E-4</v>
      </c>
      <c r="Y518" s="24"/>
      <c r="Z518" s="24"/>
      <c r="AA518" s="24"/>
      <c r="AB518" s="24"/>
      <c r="AC518" s="24"/>
    </row>
    <row r="519" spans="2:29" ht="12" x14ac:dyDescent="0.2">
      <c r="B519" s="29"/>
      <c r="C519" s="29"/>
      <c r="D519" s="32">
        <v>30</v>
      </c>
      <c r="E519" s="70">
        <f t="shared" si="80"/>
        <v>1927.4840000000002</v>
      </c>
      <c r="F519" s="70">
        <f t="shared" si="81"/>
        <v>37.700720000000004</v>
      </c>
      <c r="G519" s="70">
        <f t="shared" si="81"/>
        <v>44.327980000000004</v>
      </c>
      <c r="H519" s="70">
        <f t="shared" si="81"/>
        <v>44.988680000000002</v>
      </c>
      <c r="I519" s="66"/>
      <c r="J519" s="66"/>
      <c r="K519" s="67"/>
      <c r="L519" s="29"/>
      <c r="M519" s="70">
        <f t="shared" si="82"/>
        <v>1927.7136</v>
      </c>
      <c r="N519" s="70">
        <f t="shared" si="83"/>
        <v>37.701599999999999</v>
      </c>
      <c r="O519" s="70">
        <f t="shared" si="83"/>
        <v>44.330419999999997</v>
      </c>
      <c r="P519" s="70">
        <f t="shared" si="83"/>
        <v>44.989379999999997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 x14ac:dyDescent="0.2">
      <c r="B520" s="29"/>
      <c r="C520" s="29"/>
      <c r="D520" s="32">
        <v>35</v>
      </c>
      <c r="E520" s="70">
        <f t="shared" si="80"/>
        <v>880.27120000000002</v>
      </c>
      <c r="F520" s="70">
        <f t="shared" si="81"/>
        <v>35.562779999999997</v>
      </c>
      <c r="G520" s="70">
        <f t="shared" si="81"/>
        <v>42.451540000000001</v>
      </c>
      <c r="H520" s="70">
        <f t="shared" si="81"/>
        <v>43.181799999999996</v>
      </c>
      <c r="I520" s="66"/>
      <c r="J520" s="66"/>
      <c r="K520" s="67"/>
      <c r="L520" s="29"/>
      <c r="M520" s="70">
        <f t="shared" si="82"/>
        <v>880.53359999999998</v>
      </c>
      <c r="N520" s="70">
        <f t="shared" si="83"/>
        <v>35.56362</v>
      </c>
      <c r="O520" s="70">
        <f t="shared" si="83"/>
        <v>42.450519999999997</v>
      </c>
      <c r="P520" s="70">
        <f t="shared" si="83"/>
        <v>43.183900000000001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 x14ac:dyDescent="0.25">
      <c r="B521" s="29"/>
      <c r="C521" s="53"/>
      <c r="D521" s="71">
        <v>40</v>
      </c>
      <c r="E521" s="81">
        <f t="shared" si="80"/>
        <v>421.01199999999994</v>
      </c>
      <c r="F521" s="81">
        <f t="shared" si="81"/>
        <v>33.435200000000002</v>
      </c>
      <c r="G521" s="81">
        <f t="shared" si="81"/>
        <v>41.126780000000004</v>
      </c>
      <c r="H521" s="81">
        <f t="shared" si="81"/>
        <v>41.898039999999995</v>
      </c>
      <c r="I521" s="68"/>
      <c r="J521" s="68"/>
      <c r="K521" s="69"/>
      <c r="L521" s="29"/>
      <c r="M521" s="81">
        <f t="shared" si="82"/>
        <v>421.05199999999996</v>
      </c>
      <c r="N521" s="81">
        <f t="shared" si="83"/>
        <v>33.436279999999996</v>
      </c>
      <c r="O521" s="81">
        <f t="shared" si="83"/>
        <v>41.130720000000004</v>
      </c>
      <c r="P521" s="81">
        <f t="shared" si="83"/>
        <v>41.899239999999999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 x14ac:dyDescent="0.2">
      <c r="B522" s="29"/>
      <c r="C522" s="28" t="s">
        <v>41</v>
      </c>
      <c r="D522" s="31">
        <v>25</v>
      </c>
      <c r="E522" s="78">
        <f t="shared" si="80"/>
        <v>5283.884</v>
      </c>
      <c r="F522" s="78">
        <f t="shared" ref="F522:H525" si="84">AVERAGE(F159,F163,F167,F183,F187,F191,F195,F199,F203)</f>
        <v>39.999311111111105</v>
      </c>
      <c r="G522" s="78">
        <f t="shared" si="84"/>
        <v>46.158733333333338</v>
      </c>
      <c r="H522" s="78">
        <f t="shared" si="84"/>
        <v>46.776388888888889</v>
      </c>
      <c r="I522" s="79"/>
      <c r="J522" s="79"/>
      <c r="K522" s="80"/>
      <c r="L522" s="29"/>
      <c r="M522" s="78">
        <f t="shared" si="82"/>
        <v>5283.3015999999998</v>
      </c>
      <c r="N522" s="78">
        <f t="shared" ref="N522:P525" si="85">AVERAGE(N159,N163,N167,N183,N187,N191,N195,N199,N203)</f>
        <v>40.000755555555557</v>
      </c>
      <c r="O522" s="78">
        <f t="shared" si="85"/>
        <v>46.157933333333325</v>
      </c>
      <c r="P522" s="78">
        <f t="shared" si="85"/>
        <v>46.777777777777779</v>
      </c>
      <c r="Q522" s="79"/>
      <c r="R522" s="79"/>
      <c r="S522" s="80"/>
      <c r="U522" s="8">
        <f>bdrate($E522:$E525,F522:F525,$M522:$M525,N522:N525)</f>
        <v>-9.8350142784364714E-5</v>
      </c>
      <c r="V522" s="9">
        <f>bdrate($E522:$E525,G522:G525,$M522:$M525,O522:O525)</f>
        <v>-6.5535282787165805E-4</v>
      </c>
      <c r="W522" s="10">
        <f>bdrate($E522:$E525,H522:H525,$M522:$M525,P522:P525)</f>
        <v>2.2834819706529785E-4</v>
      </c>
      <c r="Y522" s="24"/>
      <c r="Z522" s="24"/>
      <c r="AA522" s="24"/>
      <c r="AB522" s="24"/>
      <c r="AC522" s="24"/>
    </row>
    <row r="523" spans="2:29" ht="12" x14ac:dyDescent="0.2">
      <c r="B523" s="29"/>
      <c r="C523" s="29"/>
      <c r="D523" s="32">
        <v>30</v>
      </c>
      <c r="E523" s="70">
        <f t="shared" si="80"/>
        <v>2155.2352000000001</v>
      </c>
      <c r="F523" s="70">
        <f t="shared" si="84"/>
        <v>37.672966666666667</v>
      </c>
      <c r="G523" s="70">
        <f t="shared" si="84"/>
        <v>44.383355555555553</v>
      </c>
      <c r="H523" s="70">
        <f t="shared" si="84"/>
        <v>45.062588888888889</v>
      </c>
      <c r="I523" s="66"/>
      <c r="J523" s="66"/>
      <c r="K523" s="67"/>
      <c r="L523" s="29"/>
      <c r="M523" s="70">
        <f t="shared" si="82"/>
        <v>2155.7784000000001</v>
      </c>
      <c r="N523" s="70">
        <f t="shared" si="85"/>
        <v>37.673222222222222</v>
      </c>
      <c r="O523" s="70">
        <f t="shared" si="85"/>
        <v>44.386066666666665</v>
      </c>
      <c r="P523" s="70">
        <f t="shared" si="85"/>
        <v>45.06122222222222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 x14ac:dyDescent="0.2">
      <c r="B524" s="29"/>
      <c r="C524" s="29"/>
      <c r="D524" s="32">
        <v>35</v>
      </c>
      <c r="E524" s="70">
        <f t="shared" si="80"/>
        <v>976.79679999999996</v>
      </c>
      <c r="F524" s="70">
        <f t="shared" si="84"/>
        <v>35.542633333333335</v>
      </c>
      <c r="G524" s="70">
        <f t="shared" si="84"/>
        <v>42.49805555555556</v>
      </c>
      <c r="H524" s="70">
        <f t="shared" si="84"/>
        <v>43.227266666666672</v>
      </c>
      <c r="I524" s="66"/>
      <c r="J524" s="66"/>
      <c r="K524" s="67"/>
      <c r="L524" s="29"/>
      <c r="M524" s="70">
        <f t="shared" si="82"/>
        <v>976.94240000000002</v>
      </c>
      <c r="N524" s="70">
        <f t="shared" si="85"/>
        <v>35.543633333333339</v>
      </c>
      <c r="O524" s="70">
        <f t="shared" si="85"/>
        <v>42.499499999999998</v>
      </c>
      <c r="P524" s="70">
        <f t="shared" si="85"/>
        <v>43.226666666666659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 x14ac:dyDescent="0.25">
      <c r="B525" s="53"/>
      <c r="C525" s="53"/>
      <c r="D525" s="71">
        <v>40</v>
      </c>
      <c r="E525" s="81">
        <f t="shared" si="80"/>
        <v>468.75360000000001</v>
      </c>
      <c r="F525" s="81">
        <f t="shared" si="84"/>
        <v>33.418188888888885</v>
      </c>
      <c r="G525" s="81">
        <f t="shared" si="84"/>
        <v>41.175511111111106</v>
      </c>
      <c r="H525" s="81">
        <f t="shared" si="84"/>
        <v>41.929944444444445</v>
      </c>
      <c r="I525" s="68"/>
      <c r="J525" s="68"/>
      <c r="K525" s="69"/>
      <c r="L525" s="29"/>
      <c r="M525" s="81">
        <f t="shared" si="82"/>
        <v>468.87920000000003</v>
      </c>
      <c r="N525" s="81">
        <f t="shared" si="85"/>
        <v>33.418811111111118</v>
      </c>
      <c r="O525" s="81">
        <f t="shared" si="85"/>
        <v>41.177722222222229</v>
      </c>
      <c r="P525" s="81">
        <f t="shared" si="85"/>
        <v>41.933477777777775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 x14ac:dyDescent="0.2">
      <c r="B526" s="28" t="str">
        <f>B211</f>
        <v>Poznan_Hall2</v>
      </c>
      <c r="C526" s="28" t="s">
        <v>35</v>
      </c>
      <c r="D526" s="31">
        <v>25</v>
      </c>
      <c r="E526" s="78">
        <f>E211+E215</f>
        <v>1059.0309999999999</v>
      </c>
      <c r="F526" s="78">
        <f t="shared" ref="F526:H529" si="86">AVERAGE(F211,F215)</f>
        <v>41.974400000000003</v>
      </c>
      <c r="G526" s="78">
        <f t="shared" si="86"/>
        <v>48.299799999999998</v>
      </c>
      <c r="H526" s="78">
        <f t="shared" si="86"/>
        <v>47.82405</v>
      </c>
      <c r="I526" s="79"/>
      <c r="J526" s="79"/>
      <c r="K526" s="80"/>
      <c r="L526" s="29"/>
      <c r="M526" s="82">
        <f>M211+M215</f>
        <v>1059.443</v>
      </c>
      <c r="N526" s="78">
        <f t="shared" ref="N526:P529" si="87">AVERAGE(N211,N215)</f>
        <v>41.973799999999997</v>
      </c>
      <c r="O526" s="78">
        <f t="shared" si="87"/>
        <v>48.298349999999999</v>
      </c>
      <c r="P526" s="78">
        <f t="shared" si="87"/>
        <v>47.823799999999999</v>
      </c>
      <c r="Q526" s="79"/>
      <c r="R526" s="79"/>
      <c r="S526" s="80"/>
      <c r="U526" s="8">
        <f>bdrate($E526:$E529,F526:F529,$M526:$M529,N526:N529)</f>
        <v>-1.6065044397661765E-5</v>
      </c>
      <c r="V526" s="9">
        <f>bdrate($E526:$E529,G526:G529,$M526:$M529,O526:O529)</f>
        <v>4.7107745214880481E-5</v>
      </c>
      <c r="W526" s="10">
        <f>bdrate($E526:$E529,H526:H529,$M526:$M529,P526:P529)</f>
        <v>6.9020872707459269E-4</v>
      </c>
      <c r="Y526" s="24"/>
      <c r="Z526" s="24"/>
      <c r="AA526" s="24"/>
      <c r="AB526" s="24"/>
      <c r="AC526" s="24"/>
    </row>
    <row r="527" spans="2:29" ht="12" x14ac:dyDescent="0.2">
      <c r="B527" s="29"/>
      <c r="C527" s="29"/>
      <c r="D527" s="32">
        <v>30</v>
      </c>
      <c r="E527" s="70">
        <f>E212+E216</f>
        <v>441.51600000000002</v>
      </c>
      <c r="F527" s="70">
        <f t="shared" si="86"/>
        <v>40.991299999999995</v>
      </c>
      <c r="G527" s="70">
        <f t="shared" si="86"/>
        <v>47.275750000000002</v>
      </c>
      <c r="H527" s="70">
        <f t="shared" si="86"/>
        <v>46.937550000000002</v>
      </c>
      <c r="I527" s="66"/>
      <c r="J527" s="66"/>
      <c r="K527" s="67"/>
      <c r="L527" s="29"/>
      <c r="M527" s="83">
        <f>M212+M216</f>
        <v>441.59899999999999</v>
      </c>
      <c r="N527" s="70">
        <f t="shared" si="87"/>
        <v>40.991600000000005</v>
      </c>
      <c r="O527" s="70">
        <f t="shared" si="87"/>
        <v>47.276699999999998</v>
      </c>
      <c r="P527" s="70">
        <f t="shared" si="87"/>
        <v>46.937899999999999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 x14ac:dyDescent="0.2">
      <c r="B528" s="29"/>
      <c r="C528" s="29"/>
      <c r="D528" s="32">
        <v>35</v>
      </c>
      <c r="E528" s="70">
        <f>E213+E217</f>
        <v>224.846</v>
      </c>
      <c r="F528" s="70">
        <f t="shared" si="86"/>
        <v>39.582850000000001</v>
      </c>
      <c r="G528" s="70">
        <f t="shared" si="86"/>
        <v>45.974299999999999</v>
      </c>
      <c r="H528" s="70">
        <f t="shared" si="86"/>
        <v>45.747950000000003</v>
      </c>
      <c r="I528" s="66"/>
      <c r="J528" s="66"/>
      <c r="K528" s="67"/>
      <c r="L528" s="29"/>
      <c r="M528" s="83">
        <f>M213+M217</f>
        <v>224.88400000000001</v>
      </c>
      <c r="N528" s="70">
        <f t="shared" si="87"/>
        <v>39.5839</v>
      </c>
      <c r="O528" s="70">
        <f t="shared" si="87"/>
        <v>45.975149999999999</v>
      </c>
      <c r="P528" s="70">
        <f t="shared" si="87"/>
        <v>45.746600000000001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 x14ac:dyDescent="0.25">
      <c r="B529" s="29"/>
      <c r="C529" s="53"/>
      <c r="D529" s="71">
        <v>40</v>
      </c>
      <c r="E529" s="81">
        <f>E214+E218</f>
        <v>124.15899999999999</v>
      </c>
      <c r="F529" s="81">
        <f t="shared" si="86"/>
        <v>37.819149999999993</v>
      </c>
      <c r="G529" s="81">
        <f t="shared" si="86"/>
        <v>44.847250000000003</v>
      </c>
      <c r="H529" s="81">
        <f t="shared" si="86"/>
        <v>44.643549999999998</v>
      </c>
      <c r="I529" s="68"/>
      <c r="J529" s="68"/>
      <c r="K529" s="69"/>
      <c r="L529" s="29"/>
      <c r="M529" s="84">
        <f>M214+M218</f>
        <v>124.251</v>
      </c>
      <c r="N529" s="81">
        <f t="shared" si="87"/>
        <v>37.821550000000002</v>
      </c>
      <c r="O529" s="81">
        <f t="shared" si="87"/>
        <v>44.846900000000005</v>
      </c>
      <c r="P529" s="81">
        <f t="shared" si="87"/>
        <v>44.640900000000002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 x14ac:dyDescent="0.2">
      <c r="B530" s="29"/>
      <c r="C530" s="28" t="s">
        <v>36</v>
      </c>
      <c r="D530" s="31">
        <v>25</v>
      </c>
      <c r="E530" s="78">
        <f>E211+E215+E219</f>
        <v>1318.8009999999999</v>
      </c>
      <c r="F530" s="78">
        <f t="shared" ref="F530:H533" si="88">AVERAGE(F211,F215,F219)</f>
        <v>41.878433333333334</v>
      </c>
      <c r="G530" s="78">
        <f t="shared" si="88"/>
        <v>47.952100000000002</v>
      </c>
      <c r="H530" s="78">
        <f t="shared" si="88"/>
        <v>47.436166666666672</v>
      </c>
      <c r="I530" s="79"/>
      <c r="J530" s="79"/>
      <c r="K530" s="80"/>
      <c r="L530" s="29"/>
      <c r="M530" s="78">
        <f>M211+M215+M219</f>
        <v>1318.9939999999999</v>
      </c>
      <c r="N530" s="78">
        <f t="shared" ref="N530:P533" si="89">AVERAGE(N211,N215,N219)</f>
        <v>41.877866666666669</v>
      </c>
      <c r="O530" s="78">
        <f t="shared" si="89"/>
        <v>47.95003333333333</v>
      </c>
      <c r="P530" s="78">
        <f t="shared" si="89"/>
        <v>47.436866666666667</v>
      </c>
      <c r="Q530" s="79"/>
      <c r="R530" s="79"/>
      <c r="S530" s="80"/>
      <c r="U530" s="8">
        <f>bdrate($E530:$E533,F530:F533,$M530:$M533,N530:N533)</f>
        <v>5.8341797478211888E-5</v>
      </c>
      <c r="V530" s="9">
        <f>bdrate($E530:$E533,G530:G533,$M530:$M533,O530:O533)</f>
        <v>1.1239954060102697E-3</v>
      </c>
      <c r="W530" s="10">
        <f>bdrate($E530:$E533,H530:H533,$M530:$M533,P530:P533)</f>
        <v>9.7763707671050248E-4</v>
      </c>
      <c r="Y530" s="61"/>
      <c r="Z530" s="61"/>
      <c r="AA530" s="61"/>
      <c r="AB530" s="24"/>
      <c r="AC530" s="24"/>
    </row>
    <row r="531" spans="2:29" ht="12" x14ac:dyDescent="0.2">
      <c r="B531" s="29"/>
      <c r="C531" s="29"/>
      <c r="D531" s="32">
        <v>30</v>
      </c>
      <c r="E531" s="70">
        <f>E212+E216+E220</f>
        <v>538.73199999999997</v>
      </c>
      <c r="F531" s="70">
        <f t="shared" si="88"/>
        <v>40.909599999999998</v>
      </c>
      <c r="G531" s="70">
        <f t="shared" si="88"/>
        <v>46.950833333333343</v>
      </c>
      <c r="H531" s="70">
        <f t="shared" si="88"/>
        <v>46.471399999999996</v>
      </c>
      <c r="I531" s="66"/>
      <c r="J531" s="66"/>
      <c r="K531" s="67"/>
      <c r="L531" s="29"/>
      <c r="M531" s="70">
        <f>M212+M216+M220</f>
        <v>538.95000000000005</v>
      </c>
      <c r="N531" s="70">
        <f t="shared" si="89"/>
        <v>40.909066666666668</v>
      </c>
      <c r="O531" s="70">
        <f t="shared" si="89"/>
        <v>46.949833333333338</v>
      </c>
      <c r="P531" s="70">
        <f t="shared" si="89"/>
        <v>46.471733333333333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 x14ac:dyDescent="0.2">
      <c r="B532" s="29"/>
      <c r="C532" s="29"/>
      <c r="D532" s="32">
        <v>35</v>
      </c>
      <c r="E532" s="70">
        <f>E213+E217+E221</f>
        <v>273.41800000000001</v>
      </c>
      <c r="F532" s="70">
        <f t="shared" si="88"/>
        <v>39.520499999999998</v>
      </c>
      <c r="G532" s="70">
        <f t="shared" si="88"/>
        <v>45.777433333333335</v>
      </c>
      <c r="H532" s="70">
        <f t="shared" si="88"/>
        <v>45.365499999999997</v>
      </c>
      <c r="I532" s="66"/>
      <c r="J532" s="66"/>
      <c r="K532" s="67"/>
      <c r="L532" s="29"/>
      <c r="M532" s="70">
        <f>M213+M217+M221</f>
        <v>273.31700000000001</v>
      </c>
      <c r="N532" s="70">
        <f t="shared" si="89"/>
        <v>39.520900000000005</v>
      </c>
      <c r="O532" s="70">
        <f t="shared" si="89"/>
        <v>45.775233333333325</v>
      </c>
      <c r="P532" s="70">
        <f t="shared" si="89"/>
        <v>45.361766666666675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 x14ac:dyDescent="0.25">
      <c r="B533" s="29"/>
      <c r="C533" s="53"/>
      <c r="D533" s="71">
        <v>40</v>
      </c>
      <c r="E533" s="81">
        <f>E214+E218+E222</f>
        <v>149.71199999999999</v>
      </c>
      <c r="F533" s="81">
        <f t="shared" si="88"/>
        <v>37.764833333333328</v>
      </c>
      <c r="G533" s="81">
        <f t="shared" si="88"/>
        <v>44.703133333333334</v>
      </c>
      <c r="H533" s="81">
        <f t="shared" si="88"/>
        <v>44.256966666666663</v>
      </c>
      <c r="I533" s="68"/>
      <c r="J533" s="68"/>
      <c r="K533" s="69"/>
      <c r="L533" s="29"/>
      <c r="M533" s="81">
        <f>M214+M218+M222</f>
        <v>149.822</v>
      </c>
      <c r="N533" s="81">
        <f t="shared" si="89"/>
        <v>37.767066666666665</v>
      </c>
      <c r="O533" s="81">
        <f t="shared" si="89"/>
        <v>44.702833333333338</v>
      </c>
      <c r="P533" s="81">
        <f t="shared" si="89"/>
        <v>44.254033333333332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 x14ac:dyDescent="0.2">
      <c r="B534" s="29"/>
      <c r="C534" s="28" t="s">
        <v>37</v>
      </c>
      <c r="D534" s="31">
        <v>25</v>
      </c>
      <c r="E534" s="78">
        <f>E211+E215+E223+E227</f>
        <v>1181.895</v>
      </c>
      <c r="F534" s="78">
        <f t="shared" ref="F534:H537" si="90">AVERAGE(F235,F239,F243)</f>
        <v>43.206666666666671</v>
      </c>
      <c r="G534" s="78">
        <f t="shared" si="90"/>
        <v>48.810166666666667</v>
      </c>
      <c r="H534" s="78">
        <f t="shared" si="90"/>
        <v>48.186100000000003</v>
      </c>
      <c r="I534" s="79"/>
      <c r="J534" s="79"/>
      <c r="K534" s="80"/>
      <c r="L534" s="29"/>
      <c r="M534" s="78">
        <f>M211+M215+M223+M227</f>
        <v>1182.3899999999999</v>
      </c>
      <c r="N534" s="78">
        <f t="shared" ref="N534:P537" si="91">AVERAGE(N235,N239,N243)</f>
        <v>43.206400000000002</v>
      </c>
      <c r="O534" s="78">
        <f t="shared" si="91"/>
        <v>48.803899999999999</v>
      </c>
      <c r="P534" s="78">
        <f t="shared" si="91"/>
        <v>48.170233333333329</v>
      </c>
      <c r="Q534" s="79"/>
      <c r="R534" s="79"/>
      <c r="S534" s="80"/>
      <c r="U534" s="8">
        <f>bdrate($E534:$E537,F534:F537,$M534:$M537,N534:N537)</f>
        <v>1.0764581944016083E-3</v>
      </c>
      <c r="V534" s="9">
        <f>bdrate($E534:$E537,G534:G537,$M534:$M537,O534:O537)</f>
        <v>-1.3559514677018436E-3</v>
      </c>
      <c r="W534" s="10">
        <f>bdrate($E534:$E537,H534:H537,$M534:$M537,P534:P537)</f>
        <v>-5.9364720749077726E-5</v>
      </c>
      <c r="Y534" s="24"/>
      <c r="Z534" s="24"/>
      <c r="AA534" s="24"/>
      <c r="AB534" s="24"/>
      <c r="AC534" s="24"/>
    </row>
    <row r="535" spans="2:29" ht="12" x14ac:dyDescent="0.2">
      <c r="B535" s="29"/>
      <c r="C535" s="29"/>
      <c r="D535" s="32">
        <v>30</v>
      </c>
      <c r="E535" s="70">
        <f>E212+E216+E224+E228</f>
        <v>491.06600000000003</v>
      </c>
      <c r="F535" s="70">
        <f t="shared" si="90"/>
        <v>42.00353333333333</v>
      </c>
      <c r="G535" s="70">
        <f t="shared" si="90"/>
        <v>47.689100000000003</v>
      </c>
      <c r="H535" s="70">
        <f t="shared" si="90"/>
        <v>47.309533333333341</v>
      </c>
      <c r="I535" s="66"/>
      <c r="J535" s="66"/>
      <c r="K535" s="67"/>
      <c r="L535" s="29"/>
      <c r="M535" s="70">
        <f>M212+M216+M224+M228</f>
        <v>490.99200000000002</v>
      </c>
      <c r="N535" s="70">
        <f t="shared" si="91"/>
        <v>41.999733333333332</v>
      </c>
      <c r="O535" s="70">
        <f t="shared" si="91"/>
        <v>47.694966666666666</v>
      </c>
      <c r="P535" s="70">
        <f t="shared" si="91"/>
        <v>47.320633333333326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 x14ac:dyDescent="0.2">
      <c r="B536" s="29"/>
      <c r="C536" s="29"/>
      <c r="D536" s="32">
        <v>35</v>
      </c>
      <c r="E536" s="70">
        <f>E213+E217+E225+E229</f>
        <v>249.36</v>
      </c>
      <c r="F536" s="70">
        <f t="shared" si="90"/>
        <v>40.381333333333338</v>
      </c>
      <c r="G536" s="70">
        <f t="shared" si="90"/>
        <v>46.339700000000001</v>
      </c>
      <c r="H536" s="70">
        <f t="shared" si="90"/>
        <v>46.148266666666665</v>
      </c>
      <c r="I536" s="66"/>
      <c r="J536" s="66"/>
      <c r="K536" s="67"/>
      <c r="L536" s="29"/>
      <c r="M536" s="70">
        <f>M213+M217+M225+M229</f>
        <v>249.30600000000001</v>
      </c>
      <c r="N536" s="70">
        <f t="shared" si="91"/>
        <v>40.378466666666661</v>
      </c>
      <c r="O536" s="70">
        <f t="shared" si="91"/>
        <v>46.343299999999999</v>
      </c>
      <c r="P536" s="70">
        <f t="shared" si="91"/>
        <v>46.144200000000005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 x14ac:dyDescent="0.25">
      <c r="B537" s="29"/>
      <c r="C537" s="53"/>
      <c r="D537" s="71">
        <v>40</v>
      </c>
      <c r="E537" s="81">
        <f>E214+E218+E226+E230</f>
        <v>137.803</v>
      </c>
      <c r="F537" s="81">
        <f t="shared" si="90"/>
        <v>38.421966666666663</v>
      </c>
      <c r="G537" s="81">
        <f t="shared" si="90"/>
        <v>45.259300000000003</v>
      </c>
      <c r="H537" s="81">
        <f t="shared" si="90"/>
        <v>44.949999999999996</v>
      </c>
      <c r="I537" s="68"/>
      <c r="J537" s="68"/>
      <c r="K537" s="69"/>
      <c r="L537" s="29"/>
      <c r="M537" s="81">
        <f>M214+M218+M226+M230</f>
        <v>137.886</v>
      </c>
      <c r="N537" s="81">
        <f t="shared" si="91"/>
        <v>38.422899999999998</v>
      </c>
      <c r="O537" s="81">
        <f t="shared" si="91"/>
        <v>45.257499999999993</v>
      </c>
      <c r="P537" s="81">
        <f t="shared" si="91"/>
        <v>44.949733333333334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 x14ac:dyDescent="0.2">
      <c r="B538" s="29"/>
      <c r="C538" s="28" t="s">
        <v>39</v>
      </c>
      <c r="D538" s="31">
        <v>25</v>
      </c>
      <c r="E538" s="78">
        <f>E259</f>
        <v>1495.7329999999999</v>
      </c>
      <c r="F538" s="78">
        <f t="shared" ref="F538:H541" si="92">AVERAGE(F235,F239,F243,F247,F251,F255)</f>
        <v>43.255516666666665</v>
      </c>
      <c r="G538" s="78">
        <f t="shared" si="92"/>
        <v>48.665550000000003</v>
      </c>
      <c r="H538" s="78">
        <f t="shared" si="92"/>
        <v>48.485966666666663</v>
      </c>
      <c r="I538" s="79"/>
      <c r="J538" s="79"/>
      <c r="K538" s="80"/>
      <c r="L538" s="29"/>
      <c r="M538" s="78">
        <f>M259</f>
        <v>1495.9880000000001</v>
      </c>
      <c r="N538" s="78">
        <f t="shared" ref="N538:P541" si="93">AVERAGE(N235,N239,N243,N247,N251,N255)</f>
        <v>43.256966666666671</v>
      </c>
      <c r="O538" s="78">
        <f t="shared" si="93"/>
        <v>48.658250000000002</v>
      </c>
      <c r="P538" s="78">
        <f t="shared" si="93"/>
        <v>48.471766666666667</v>
      </c>
      <c r="Q538" s="79"/>
      <c r="R538" s="79"/>
      <c r="S538" s="80"/>
      <c r="U538" s="8">
        <f>bdrate($E538:$E541,F538:F541,$M538:$M541,N538:N541)</f>
        <v>-1.9330671527917342E-4</v>
      </c>
      <c r="V538" s="9">
        <f>bdrate($E538:$E541,G538:G541,$M538:$M541,O538:O541)</f>
        <v>2.7517186336534216E-4</v>
      </c>
      <c r="W538" s="10">
        <f>bdrate($E538:$E541,H538:H541,$M538:$M541,P538:P541)</f>
        <v>1.4196021407404391E-3</v>
      </c>
      <c r="Y538" s="24"/>
      <c r="Z538" s="24"/>
      <c r="AA538" s="24"/>
      <c r="AB538" s="24"/>
      <c r="AC538" s="24"/>
    </row>
    <row r="539" spans="2:29" ht="12" x14ac:dyDescent="0.2">
      <c r="B539" s="29"/>
      <c r="C539" s="29"/>
      <c r="D539" s="32">
        <v>30</v>
      </c>
      <c r="E539" s="70">
        <f>E260</f>
        <v>612.11</v>
      </c>
      <c r="F539" s="70">
        <f t="shared" si="92"/>
        <v>42.068633333333331</v>
      </c>
      <c r="G539" s="70">
        <f t="shared" si="92"/>
        <v>47.580266666666667</v>
      </c>
      <c r="H539" s="70">
        <f t="shared" si="92"/>
        <v>47.519316666666668</v>
      </c>
      <c r="I539" s="66"/>
      <c r="J539" s="66"/>
      <c r="K539" s="67"/>
      <c r="L539" s="29"/>
      <c r="M539" s="70">
        <f>M260</f>
        <v>612.13199999999995</v>
      </c>
      <c r="N539" s="70">
        <f t="shared" si="93"/>
        <v>42.067066666666669</v>
      </c>
      <c r="O539" s="70">
        <f t="shared" si="93"/>
        <v>47.581150000000001</v>
      </c>
      <c r="P539" s="70">
        <f t="shared" si="93"/>
        <v>47.522666666666659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 x14ac:dyDescent="0.2">
      <c r="B540" s="29"/>
      <c r="C540" s="29"/>
      <c r="D540" s="32">
        <v>35</v>
      </c>
      <c r="E540" s="70">
        <f>E261</f>
        <v>311.87700000000001</v>
      </c>
      <c r="F540" s="70">
        <f t="shared" si="92"/>
        <v>40.461149999999996</v>
      </c>
      <c r="G540" s="70">
        <f t="shared" si="92"/>
        <v>46.305683333333327</v>
      </c>
      <c r="H540" s="70">
        <f t="shared" si="92"/>
        <v>46.326899999999995</v>
      </c>
      <c r="I540" s="66"/>
      <c r="J540" s="66"/>
      <c r="K540" s="67"/>
      <c r="L540" s="29"/>
      <c r="M540" s="70">
        <f>M261</f>
        <v>311.685</v>
      </c>
      <c r="N540" s="70">
        <f t="shared" si="93"/>
        <v>40.462000000000003</v>
      </c>
      <c r="O540" s="70">
        <f t="shared" si="93"/>
        <v>46.306283333333333</v>
      </c>
      <c r="P540" s="70">
        <f t="shared" si="93"/>
        <v>46.323283333333336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 x14ac:dyDescent="0.25">
      <c r="B541" s="29"/>
      <c r="C541" s="53"/>
      <c r="D541" s="71">
        <v>40</v>
      </c>
      <c r="E541" s="81">
        <f>E262</f>
        <v>173.386</v>
      </c>
      <c r="F541" s="81">
        <f t="shared" si="92"/>
        <v>38.515749999999997</v>
      </c>
      <c r="G541" s="81">
        <f t="shared" si="92"/>
        <v>45.205883333333333</v>
      </c>
      <c r="H541" s="81">
        <f t="shared" si="92"/>
        <v>45.108699999999999</v>
      </c>
      <c r="I541" s="68"/>
      <c r="J541" s="68"/>
      <c r="K541" s="69"/>
      <c r="L541" s="29"/>
      <c r="M541" s="81">
        <f>M262</f>
        <v>173.46600000000001</v>
      </c>
      <c r="N541" s="81">
        <f t="shared" si="93"/>
        <v>38.516399999999997</v>
      </c>
      <c r="O541" s="81">
        <f t="shared" si="93"/>
        <v>45.206716666666665</v>
      </c>
      <c r="P541" s="81">
        <f t="shared" si="93"/>
        <v>45.108516666666667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 x14ac:dyDescent="0.2">
      <c r="B542" s="29"/>
      <c r="C542" s="28" t="s">
        <v>40</v>
      </c>
      <c r="D542" s="31">
        <v>25</v>
      </c>
      <c r="E542" s="78">
        <f t="shared" ref="E542:E549" si="94">E534</f>
        <v>1181.895</v>
      </c>
      <c r="F542" s="78">
        <f t="shared" ref="F542:H545" si="95">AVERAGE(F211,F215,F235,F239,F243)</f>
        <v>42.713760000000001</v>
      </c>
      <c r="G542" s="78">
        <f t="shared" si="95"/>
        <v>48.606020000000008</v>
      </c>
      <c r="H542" s="78">
        <f t="shared" si="95"/>
        <v>48.041280000000008</v>
      </c>
      <c r="I542" s="79"/>
      <c r="J542" s="79"/>
      <c r="K542" s="80"/>
      <c r="L542" s="29"/>
      <c r="M542" s="78">
        <f t="shared" ref="M542:M549" si="96">M534</f>
        <v>1182.3899999999999</v>
      </c>
      <c r="N542" s="78">
        <f t="shared" ref="N542:P545" si="97">AVERAGE(N211,N215,N235,N239,N243)</f>
        <v>42.713360000000002</v>
      </c>
      <c r="O542" s="78">
        <f t="shared" si="97"/>
        <v>48.601680000000002</v>
      </c>
      <c r="P542" s="78">
        <f t="shared" si="97"/>
        <v>48.031660000000002</v>
      </c>
      <c r="Q542" s="79"/>
      <c r="R542" s="79"/>
      <c r="S542" s="80"/>
      <c r="U542" s="8">
        <f>bdrate($E542:$E545,F542:F545,$M542:$M545,N542:N545)</f>
        <v>5.6727401652478804E-4</v>
      </c>
      <c r="V542" s="9">
        <f>bdrate($E542:$E545,G542:G545,$M542:$M545,O542:O545)</f>
        <v>-9.1773855552712558E-4</v>
      </c>
      <c r="W542" s="10">
        <f>bdrate($E542:$E545,H542:H545,$M542:$M545,P542:P545)</f>
        <v>1.1955970748456224E-4</v>
      </c>
      <c r="Y542" s="24"/>
      <c r="Z542" s="24"/>
      <c r="AA542" s="24"/>
      <c r="AB542" s="24"/>
      <c r="AC542" s="24"/>
    </row>
    <row r="543" spans="2:29" ht="12" x14ac:dyDescent="0.2">
      <c r="B543" s="29"/>
      <c r="C543" s="29"/>
      <c r="D543" s="32">
        <v>30</v>
      </c>
      <c r="E543" s="70">
        <f t="shared" si="94"/>
        <v>491.06600000000003</v>
      </c>
      <c r="F543" s="70">
        <f t="shared" si="95"/>
        <v>41.598639999999996</v>
      </c>
      <c r="G543" s="70">
        <f t="shared" si="95"/>
        <v>47.523760000000003</v>
      </c>
      <c r="H543" s="70">
        <f t="shared" si="95"/>
        <v>47.160739999999997</v>
      </c>
      <c r="I543" s="66"/>
      <c r="J543" s="66"/>
      <c r="K543" s="67"/>
      <c r="L543" s="29"/>
      <c r="M543" s="70">
        <f t="shared" si="96"/>
        <v>490.99200000000002</v>
      </c>
      <c r="N543" s="70">
        <f t="shared" si="97"/>
        <v>41.59648</v>
      </c>
      <c r="O543" s="70">
        <f t="shared" si="97"/>
        <v>47.527660000000004</v>
      </c>
      <c r="P543" s="70">
        <f t="shared" si="97"/>
        <v>47.167539999999995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 x14ac:dyDescent="0.2">
      <c r="B544" s="29"/>
      <c r="C544" s="29"/>
      <c r="D544" s="32">
        <v>35</v>
      </c>
      <c r="E544" s="70">
        <f t="shared" si="94"/>
        <v>249.36</v>
      </c>
      <c r="F544" s="70">
        <f t="shared" si="95"/>
        <v>40.06194</v>
      </c>
      <c r="G544" s="70">
        <f t="shared" si="95"/>
        <v>46.193539999999999</v>
      </c>
      <c r="H544" s="70">
        <f t="shared" si="95"/>
        <v>45.988140000000001</v>
      </c>
      <c r="I544" s="66"/>
      <c r="J544" s="66"/>
      <c r="K544" s="67"/>
      <c r="L544" s="29"/>
      <c r="M544" s="70">
        <f t="shared" si="96"/>
        <v>249.30600000000001</v>
      </c>
      <c r="N544" s="70">
        <f t="shared" si="97"/>
        <v>40.060639999999999</v>
      </c>
      <c r="O544" s="70">
        <f t="shared" si="97"/>
        <v>46.196039999999996</v>
      </c>
      <c r="P544" s="70">
        <f t="shared" si="97"/>
        <v>45.98516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 x14ac:dyDescent="0.25">
      <c r="B545" s="29"/>
      <c r="C545" s="53"/>
      <c r="D545" s="71">
        <v>40</v>
      </c>
      <c r="E545" s="81">
        <f t="shared" si="94"/>
        <v>137.803</v>
      </c>
      <c r="F545" s="81">
        <f t="shared" si="95"/>
        <v>38.180839999999996</v>
      </c>
      <c r="G545" s="81">
        <f t="shared" si="95"/>
        <v>45.094480000000004</v>
      </c>
      <c r="H545" s="81">
        <f t="shared" si="95"/>
        <v>44.827420000000004</v>
      </c>
      <c r="I545" s="68"/>
      <c r="J545" s="68"/>
      <c r="K545" s="69"/>
      <c r="L545" s="29"/>
      <c r="M545" s="81">
        <f t="shared" si="96"/>
        <v>137.886</v>
      </c>
      <c r="N545" s="81">
        <f t="shared" si="97"/>
        <v>38.182360000000003</v>
      </c>
      <c r="O545" s="81">
        <f t="shared" si="97"/>
        <v>45.093260000000001</v>
      </c>
      <c r="P545" s="81">
        <f t="shared" si="97"/>
        <v>44.826200000000007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 x14ac:dyDescent="0.2">
      <c r="B546" s="29"/>
      <c r="C546" s="28" t="s">
        <v>41</v>
      </c>
      <c r="D546" s="31">
        <v>25</v>
      </c>
      <c r="E546" s="78">
        <f t="shared" si="94"/>
        <v>1495.7329999999999</v>
      </c>
      <c r="F546" s="78">
        <f t="shared" ref="F546:H549" si="98">AVERAGE(F211,F215,F219,F235,F239,F243,F247,F251,F255)</f>
        <v>42.796488888888888</v>
      </c>
      <c r="G546" s="78">
        <f t="shared" si="98"/>
        <v>48.427733333333329</v>
      </c>
      <c r="H546" s="78">
        <f t="shared" si="98"/>
        <v>48.136033333333344</v>
      </c>
      <c r="I546" s="79"/>
      <c r="J546" s="79"/>
      <c r="K546" s="80"/>
      <c r="L546" s="29"/>
      <c r="M546" s="78">
        <f t="shared" si="96"/>
        <v>1495.9880000000001</v>
      </c>
      <c r="N546" s="78">
        <f t="shared" ref="N546:P549" si="99">AVERAGE(N211,N215,N219,N235,N239,N243,N247,N251,N255)</f>
        <v>42.797266666666665</v>
      </c>
      <c r="O546" s="78">
        <f t="shared" si="99"/>
        <v>48.422177777777776</v>
      </c>
      <c r="P546" s="78">
        <f t="shared" si="99"/>
        <v>48.126800000000003</v>
      </c>
      <c r="Q546" s="79"/>
      <c r="R546" s="79"/>
      <c r="S546" s="80"/>
      <c r="U546" s="8">
        <f>bdrate($E546:$E549,F546:F549,$M546:$M549,N546:N549)</f>
        <v>-1.9639289430062323E-4</v>
      </c>
      <c r="V546" s="9">
        <f>bdrate($E546:$E549,G546:G549,$M546:$M549,O546:O549)</f>
        <v>4.5928936744510374E-4</v>
      </c>
      <c r="W546" s="10">
        <f>bdrate($E546:$E549,H546:H549,$M546:$M549,P546:P549)</f>
        <v>1.1888675731952514E-3</v>
      </c>
      <c r="Y546" s="24"/>
      <c r="Z546" s="24"/>
      <c r="AA546" s="24"/>
      <c r="AB546" s="24"/>
      <c r="AC546" s="24"/>
    </row>
    <row r="547" spans="2:29" ht="12" x14ac:dyDescent="0.2">
      <c r="B547" s="29"/>
      <c r="C547" s="29"/>
      <c r="D547" s="32">
        <v>30</v>
      </c>
      <c r="E547" s="70">
        <f t="shared" si="94"/>
        <v>612.11</v>
      </c>
      <c r="F547" s="70">
        <f t="shared" si="98"/>
        <v>41.682288888888884</v>
      </c>
      <c r="G547" s="70">
        <f t="shared" si="98"/>
        <v>47.370455555555552</v>
      </c>
      <c r="H547" s="70">
        <f t="shared" si="98"/>
        <v>47.170011111111108</v>
      </c>
      <c r="I547" s="66"/>
      <c r="J547" s="66"/>
      <c r="K547" s="67"/>
      <c r="L547" s="29"/>
      <c r="M547" s="70">
        <f t="shared" si="96"/>
        <v>612.13199999999995</v>
      </c>
      <c r="N547" s="70">
        <f t="shared" si="99"/>
        <v>41.681066666666673</v>
      </c>
      <c r="O547" s="70">
        <f t="shared" si="99"/>
        <v>47.370711111111113</v>
      </c>
      <c r="P547" s="70">
        <f t="shared" si="99"/>
        <v>47.172355555555555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 x14ac:dyDescent="0.2">
      <c r="B548" s="29"/>
      <c r="C548" s="29"/>
      <c r="D548" s="32">
        <v>35</v>
      </c>
      <c r="E548" s="70">
        <f t="shared" si="94"/>
        <v>311.87700000000001</v>
      </c>
      <c r="F548" s="70">
        <f t="shared" si="98"/>
        <v>40.147599999999997</v>
      </c>
      <c r="G548" s="70">
        <f t="shared" si="98"/>
        <v>46.129600000000003</v>
      </c>
      <c r="H548" s="70">
        <f t="shared" si="98"/>
        <v>46.006433333333327</v>
      </c>
      <c r="I548" s="66"/>
      <c r="J548" s="66"/>
      <c r="K548" s="67"/>
      <c r="L548" s="29"/>
      <c r="M548" s="70">
        <f t="shared" si="96"/>
        <v>311.685</v>
      </c>
      <c r="N548" s="70">
        <f t="shared" si="99"/>
        <v>40.148299999999999</v>
      </c>
      <c r="O548" s="70">
        <f t="shared" si="99"/>
        <v>46.129266666666666</v>
      </c>
      <c r="P548" s="70">
        <f t="shared" si="99"/>
        <v>46.002777777777773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 x14ac:dyDescent="0.25">
      <c r="B549" s="53"/>
      <c r="C549" s="53"/>
      <c r="D549" s="71">
        <v>40</v>
      </c>
      <c r="E549" s="81">
        <f t="shared" si="94"/>
        <v>173.386</v>
      </c>
      <c r="F549" s="81">
        <f t="shared" si="98"/>
        <v>38.265444444444448</v>
      </c>
      <c r="G549" s="81">
        <f t="shared" si="98"/>
        <v>45.0383</v>
      </c>
      <c r="H549" s="81">
        <f t="shared" si="98"/>
        <v>44.824788888888889</v>
      </c>
      <c r="I549" s="68"/>
      <c r="J549" s="68"/>
      <c r="K549" s="69"/>
      <c r="L549" s="29"/>
      <c r="M549" s="81">
        <f t="shared" si="96"/>
        <v>173.46600000000001</v>
      </c>
      <c r="N549" s="81">
        <f t="shared" si="99"/>
        <v>38.266622222222225</v>
      </c>
      <c r="O549" s="81">
        <f t="shared" si="99"/>
        <v>45.038755555555561</v>
      </c>
      <c r="P549" s="81">
        <f t="shared" si="99"/>
        <v>44.823688888888888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 x14ac:dyDescent="0.2">
      <c r="B550" s="28" t="str">
        <f>B263</f>
        <v>Poznan_Street</v>
      </c>
      <c r="C550" s="28" t="s">
        <v>35</v>
      </c>
      <c r="D550" s="31">
        <v>25</v>
      </c>
      <c r="E550" s="78">
        <f>E263+E267</f>
        <v>3142.116</v>
      </c>
      <c r="F550" s="78">
        <f t="shared" ref="F550:H553" si="100">AVERAGE(F263,F267)</f>
        <v>39.421350000000004</v>
      </c>
      <c r="G550" s="78">
        <f t="shared" si="100"/>
        <v>46.67315</v>
      </c>
      <c r="H550" s="78">
        <f t="shared" si="100"/>
        <v>45.381799999999998</v>
      </c>
      <c r="I550" s="79"/>
      <c r="J550" s="79"/>
      <c r="K550" s="80"/>
      <c r="L550" s="29"/>
      <c r="M550" s="82">
        <f>M263+M267</f>
        <v>3142.1552000000001</v>
      </c>
      <c r="N550" s="78">
        <f t="shared" ref="N550:P553" si="101">AVERAGE(N263,N267)</f>
        <v>39.421500000000002</v>
      </c>
      <c r="O550" s="78">
        <f t="shared" si="101"/>
        <v>46.672049999999999</v>
      </c>
      <c r="P550" s="78">
        <f t="shared" si="101"/>
        <v>45.38205</v>
      </c>
      <c r="Q550" s="79"/>
      <c r="R550" s="79"/>
      <c r="S550" s="80"/>
      <c r="U550" s="8">
        <f>bdrate($E550:$E553,F550:F553,$M550:$M553,N550:N553)</f>
        <v>-1.7546898838682878E-4</v>
      </c>
      <c r="V550" s="9">
        <f>bdrate($E550:$E553,G550:G553,$M550:$M553,O550:O553)</f>
        <v>6.936720487940029E-4</v>
      </c>
      <c r="W550" s="10">
        <f>bdrate($E550:$E553,H550:H553,$M550:$M553,P550:P553)</f>
        <v>4.3999631911706416E-5</v>
      </c>
      <c r="Y550" s="24"/>
      <c r="Z550" s="24"/>
      <c r="AA550" s="24"/>
      <c r="AB550" s="24"/>
      <c r="AC550" s="24"/>
    </row>
    <row r="551" spans="2:29" ht="12" x14ac:dyDescent="0.2">
      <c r="B551" s="29"/>
      <c r="C551" s="29"/>
      <c r="D551" s="32">
        <v>30</v>
      </c>
      <c r="E551" s="70">
        <f>E264+E268</f>
        <v>1151.9295999999999</v>
      </c>
      <c r="F551" s="70">
        <f t="shared" si="100"/>
        <v>37.518500000000003</v>
      </c>
      <c r="G551" s="70">
        <f t="shared" si="100"/>
        <v>45.23995</v>
      </c>
      <c r="H551" s="70">
        <f t="shared" si="100"/>
        <v>43.829049999999995</v>
      </c>
      <c r="I551" s="66"/>
      <c r="J551" s="66"/>
      <c r="K551" s="67"/>
      <c r="L551" s="29"/>
      <c r="M551" s="83">
        <f>M264+M268</f>
        <v>1151.932</v>
      </c>
      <c r="N551" s="70">
        <f t="shared" si="101"/>
        <v>37.518950000000004</v>
      </c>
      <c r="O551" s="70">
        <f t="shared" si="101"/>
        <v>45.237300000000005</v>
      </c>
      <c r="P551" s="70">
        <f t="shared" si="101"/>
        <v>43.829250000000002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 x14ac:dyDescent="0.2">
      <c r="B552" s="29"/>
      <c r="C552" s="29"/>
      <c r="D552" s="32">
        <v>35</v>
      </c>
      <c r="E552" s="70">
        <f>E265+E269</f>
        <v>537.06320000000005</v>
      </c>
      <c r="F552" s="70">
        <f t="shared" si="100"/>
        <v>35.561750000000004</v>
      </c>
      <c r="G552" s="70">
        <f t="shared" si="100"/>
        <v>43.617000000000004</v>
      </c>
      <c r="H552" s="70">
        <f t="shared" si="100"/>
        <v>42.323799999999999</v>
      </c>
      <c r="I552" s="66"/>
      <c r="J552" s="66"/>
      <c r="K552" s="67"/>
      <c r="L552" s="29"/>
      <c r="M552" s="83">
        <f>M265+M269</f>
        <v>536.92719999999997</v>
      </c>
      <c r="N552" s="70">
        <f t="shared" si="101"/>
        <v>35.561700000000002</v>
      </c>
      <c r="O552" s="70">
        <f t="shared" si="101"/>
        <v>43.61645</v>
      </c>
      <c r="P552" s="70">
        <f t="shared" si="101"/>
        <v>42.322800000000001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 x14ac:dyDescent="0.25">
      <c r="B553" s="29"/>
      <c r="C553" s="53"/>
      <c r="D553" s="71">
        <v>40</v>
      </c>
      <c r="E553" s="81">
        <f>E266+E270</f>
        <v>274.98719999999997</v>
      </c>
      <c r="F553" s="81">
        <f t="shared" si="100"/>
        <v>33.514400000000002</v>
      </c>
      <c r="G553" s="81">
        <f t="shared" si="100"/>
        <v>42.403500000000001</v>
      </c>
      <c r="H553" s="81">
        <f t="shared" si="100"/>
        <v>41.2515</v>
      </c>
      <c r="I553" s="68"/>
      <c r="J553" s="68"/>
      <c r="K553" s="69"/>
      <c r="L553" s="29"/>
      <c r="M553" s="84">
        <f>M266+M270</f>
        <v>274.97039999999998</v>
      </c>
      <c r="N553" s="81">
        <f t="shared" si="101"/>
        <v>33.514250000000004</v>
      </c>
      <c r="O553" s="81">
        <f t="shared" si="101"/>
        <v>42.403950000000002</v>
      </c>
      <c r="P553" s="81">
        <f t="shared" si="101"/>
        <v>41.251150000000003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 x14ac:dyDescent="0.2">
      <c r="B554" s="29"/>
      <c r="C554" s="28" t="s">
        <v>36</v>
      </c>
      <c r="D554" s="31">
        <v>25</v>
      </c>
      <c r="E554" s="78">
        <f>E263+E267+E271</f>
        <v>3833.2624000000001</v>
      </c>
      <c r="F554" s="78">
        <f t="shared" ref="F554:H557" si="102">AVERAGE(F263,F267,F271)</f>
        <v>39.251633333333338</v>
      </c>
      <c r="G554" s="78">
        <f t="shared" si="102"/>
        <v>46.588633333333327</v>
      </c>
      <c r="H554" s="78">
        <f t="shared" si="102"/>
        <v>45.630599999999994</v>
      </c>
      <c r="I554" s="79"/>
      <c r="J554" s="79"/>
      <c r="K554" s="80"/>
      <c r="L554" s="29"/>
      <c r="M554" s="78">
        <f>M263+M267+M271</f>
        <v>3833.5552000000002</v>
      </c>
      <c r="N554" s="78">
        <f t="shared" ref="N554:P557" si="103">AVERAGE(N263,N267,N271)</f>
        <v>39.251899999999999</v>
      </c>
      <c r="O554" s="78">
        <f t="shared" si="103"/>
        <v>46.588099999999997</v>
      </c>
      <c r="P554" s="78">
        <f t="shared" si="103"/>
        <v>45.630666666666663</v>
      </c>
      <c r="Q554" s="79"/>
      <c r="R554" s="79"/>
      <c r="S554" s="80"/>
      <c r="U554" s="8">
        <f>bdrate($E554:$E557,F554:F557,$M554:$M557,N554:N557)</f>
        <v>-1.4775652652154747E-4</v>
      </c>
      <c r="V554" s="9">
        <f>bdrate($E554:$E557,G554:G557,$M554:$M557,O554:O557)</f>
        <v>5.0756168745991204E-4</v>
      </c>
      <c r="W554" s="10">
        <f>bdrate($E554:$E557,H554:H557,$M554:$M557,P554:P557)</f>
        <v>2.6136294445788799E-4</v>
      </c>
      <c r="Y554" s="24"/>
      <c r="Z554" s="24"/>
      <c r="AA554" s="24"/>
      <c r="AB554" s="24"/>
      <c r="AC554" s="24"/>
    </row>
    <row r="555" spans="2:29" ht="12" x14ac:dyDescent="0.2">
      <c r="B555" s="29"/>
      <c r="C555" s="29"/>
      <c r="D555" s="32">
        <v>30</v>
      </c>
      <c r="E555" s="70">
        <f>E264+E268+E272</f>
        <v>1345.1887999999999</v>
      </c>
      <c r="F555" s="70">
        <f t="shared" si="102"/>
        <v>37.328600000000002</v>
      </c>
      <c r="G555" s="70">
        <f t="shared" si="102"/>
        <v>45.156866666666666</v>
      </c>
      <c r="H555" s="70">
        <f t="shared" si="102"/>
        <v>44.124566666666659</v>
      </c>
      <c r="I555" s="66"/>
      <c r="J555" s="66"/>
      <c r="K555" s="67"/>
      <c r="L555" s="29"/>
      <c r="M555" s="70">
        <f>M264+M268+M272</f>
        <v>1345.336</v>
      </c>
      <c r="N555" s="70">
        <f t="shared" si="103"/>
        <v>37.329300000000003</v>
      </c>
      <c r="O555" s="70">
        <f t="shared" si="103"/>
        <v>45.155166666666673</v>
      </c>
      <c r="P555" s="70">
        <f t="shared" si="103"/>
        <v>44.124400000000001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 x14ac:dyDescent="0.2">
      <c r="B556" s="29"/>
      <c r="C556" s="29"/>
      <c r="D556" s="32">
        <v>35</v>
      </c>
      <c r="E556" s="70">
        <f>E265+E269+E273</f>
        <v>610.96320000000003</v>
      </c>
      <c r="F556" s="70">
        <f t="shared" si="102"/>
        <v>35.366199999999999</v>
      </c>
      <c r="G556" s="70">
        <f t="shared" si="102"/>
        <v>43.573533333333337</v>
      </c>
      <c r="H556" s="70">
        <f t="shared" si="102"/>
        <v>42.592533333333336</v>
      </c>
      <c r="I556" s="66"/>
      <c r="J556" s="66"/>
      <c r="K556" s="67"/>
      <c r="L556" s="29"/>
      <c r="M556" s="70">
        <f>M265+M269+M273</f>
        <v>610.88079999999991</v>
      </c>
      <c r="N556" s="70">
        <f t="shared" si="103"/>
        <v>35.366199999999999</v>
      </c>
      <c r="O556" s="70">
        <f t="shared" si="103"/>
        <v>43.573133333333338</v>
      </c>
      <c r="P556" s="70">
        <f t="shared" si="103"/>
        <v>42.591299999999997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 x14ac:dyDescent="0.25">
      <c r="B557" s="29"/>
      <c r="C557" s="53"/>
      <c r="D557" s="71">
        <v>40</v>
      </c>
      <c r="E557" s="81">
        <f>E266+E270+E274</f>
        <v>306.47119999999995</v>
      </c>
      <c r="F557" s="81">
        <f t="shared" si="102"/>
        <v>33.326600000000006</v>
      </c>
      <c r="G557" s="81">
        <f t="shared" si="102"/>
        <v>42.372199999999999</v>
      </c>
      <c r="H557" s="81">
        <f t="shared" si="102"/>
        <v>41.473599999999998</v>
      </c>
      <c r="I557" s="68"/>
      <c r="J557" s="68"/>
      <c r="K557" s="69"/>
      <c r="L557" s="29"/>
      <c r="M557" s="81">
        <f>M266+M270+M274</f>
        <v>306.44159999999999</v>
      </c>
      <c r="N557" s="81">
        <f t="shared" si="103"/>
        <v>33.326433333333334</v>
      </c>
      <c r="O557" s="81">
        <f t="shared" si="103"/>
        <v>42.372700000000002</v>
      </c>
      <c r="P557" s="81">
        <f t="shared" si="103"/>
        <v>41.473733333333335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 x14ac:dyDescent="0.2">
      <c r="B558" s="29"/>
      <c r="C558" s="28" t="s">
        <v>37</v>
      </c>
      <c r="D558" s="31">
        <v>25</v>
      </c>
      <c r="E558" s="78">
        <f>E263+E267+E275+E279</f>
        <v>3406.6680000000001</v>
      </c>
      <c r="F558" s="78">
        <f t="shared" ref="F558:H561" si="104">AVERAGE(F287,F291,F295)</f>
        <v>40.443099999999994</v>
      </c>
      <c r="G558" s="78">
        <f t="shared" si="104"/>
        <v>47.197533333333332</v>
      </c>
      <c r="H558" s="78">
        <f t="shared" si="104"/>
        <v>46.678699999999999</v>
      </c>
      <c r="I558" s="79"/>
      <c r="J558" s="79"/>
      <c r="K558" s="80"/>
      <c r="L558" s="29"/>
      <c r="M558" s="78">
        <f>M263+M267+M275+M279</f>
        <v>3407.1152000000002</v>
      </c>
      <c r="N558" s="78">
        <f t="shared" ref="N558:P561" si="105">AVERAGE(N287,N291,N295)</f>
        <v>40.443033333333339</v>
      </c>
      <c r="O558" s="78">
        <f t="shared" si="105"/>
        <v>47.179699999999997</v>
      </c>
      <c r="P558" s="78">
        <f t="shared" si="105"/>
        <v>46.68193333333334</v>
      </c>
      <c r="Q558" s="79"/>
      <c r="R558" s="79"/>
      <c r="S558" s="80"/>
      <c r="U558" s="8">
        <f>bdrate($E558:$E561,F558:F561,$M558:$M561,N558:N561)</f>
        <v>1.7660935773156083E-5</v>
      </c>
      <c r="V558" s="9">
        <f>bdrate($E558:$E561,G558:G561,$M558:$M561,O558:O561)</f>
        <v>-4.4373496251156608E-3</v>
      </c>
      <c r="W558" s="10">
        <f>bdrate($E558:$E561,H558:H561,$M558:$M561,P558:P561)</f>
        <v>-2.5828543638051205E-4</v>
      </c>
      <c r="Y558" s="24"/>
      <c r="Z558" s="24"/>
      <c r="AA558" s="24"/>
      <c r="AB558" s="24"/>
      <c r="AC558" s="24"/>
    </row>
    <row r="559" spans="2:29" ht="12" x14ac:dyDescent="0.2">
      <c r="B559" s="29"/>
      <c r="C559" s="29"/>
      <c r="D559" s="32">
        <v>30</v>
      </c>
      <c r="E559" s="70">
        <f>E264+E268+E276+E280</f>
        <v>1226.0808</v>
      </c>
      <c r="F559" s="70">
        <f t="shared" si="104"/>
        <v>38.253099999999996</v>
      </c>
      <c r="G559" s="70">
        <f t="shared" si="104"/>
        <v>45.60863333333333</v>
      </c>
      <c r="H559" s="70">
        <f t="shared" si="104"/>
        <v>45.019766666666669</v>
      </c>
      <c r="I559" s="66"/>
      <c r="J559" s="66"/>
      <c r="K559" s="67"/>
      <c r="L559" s="29"/>
      <c r="M559" s="70">
        <f>M264+M268+M276+M280</f>
        <v>1226.0391999999999</v>
      </c>
      <c r="N559" s="70">
        <f t="shared" si="105"/>
        <v>38.252266666666664</v>
      </c>
      <c r="O559" s="70">
        <f t="shared" si="105"/>
        <v>45.634133333333331</v>
      </c>
      <c r="P559" s="70">
        <f t="shared" si="105"/>
        <v>45.023400000000002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 x14ac:dyDescent="0.2">
      <c r="B560" s="29"/>
      <c r="C560" s="29"/>
      <c r="D560" s="32">
        <v>35</v>
      </c>
      <c r="E560" s="70">
        <f>E265+E269+E277+E281</f>
        <v>567.01520000000005</v>
      </c>
      <c r="F560" s="70">
        <f t="shared" si="104"/>
        <v>36.127399999999994</v>
      </c>
      <c r="G560" s="70">
        <f t="shared" si="104"/>
        <v>43.956966666666666</v>
      </c>
      <c r="H560" s="70">
        <f t="shared" si="104"/>
        <v>43.421866666666666</v>
      </c>
      <c r="I560" s="66"/>
      <c r="J560" s="66"/>
      <c r="K560" s="67"/>
      <c r="L560" s="29"/>
      <c r="M560" s="70">
        <f>M265+M269+M277+M281</f>
        <v>566.87440000000004</v>
      </c>
      <c r="N560" s="70">
        <f t="shared" si="105"/>
        <v>36.127866666666669</v>
      </c>
      <c r="O560" s="70">
        <f t="shared" si="105"/>
        <v>43.959200000000003</v>
      </c>
      <c r="P560" s="70">
        <f t="shared" si="105"/>
        <v>43.41663333333333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 x14ac:dyDescent="0.25">
      <c r="B561" s="29"/>
      <c r="C561" s="53"/>
      <c r="D561" s="71">
        <v>40</v>
      </c>
      <c r="E561" s="81">
        <f>E266+E270+E278+E282</f>
        <v>289.54799999999994</v>
      </c>
      <c r="F561" s="81">
        <f t="shared" si="104"/>
        <v>33.950299999999999</v>
      </c>
      <c r="G561" s="81">
        <f t="shared" si="104"/>
        <v>42.690300000000001</v>
      </c>
      <c r="H561" s="81">
        <f t="shared" si="104"/>
        <v>42.310133333333333</v>
      </c>
      <c r="I561" s="68"/>
      <c r="J561" s="68"/>
      <c r="K561" s="69"/>
      <c r="L561" s="29"/>
      <c r="M561" s="81">
        <f>M266+M270+M278+M282</f>
        <v>289.51119999999997</v>
      </c>
      <c r="N561" s="81">
        <f t="shared" si="105"/>
        <v>33.948966666666671</v>
      </c>
      <c r="O561" s="81">
        <f t="shared" si="105"/>
        <v>42.690466666666659</v>
      </c>
      <c r="P561" s="81">
        <f t="shared" si="105"/>
        <v>42.308700000000002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 x14ac:dyDescent="0.2">
      <c r="B562" s="29"/>
      <c r="C562" s="28" t="s">
        <v>39</v>
      </c>
      <c r="D562" s="31">
        <v>25</v>
      </c>
      <c r="E562" s="78">
        <f>E311</f>
        <v>4219.7312000000002</v>
      </c>
      <c r="F562" s="78">
        <f t="shared" ref="F562:H565" si="106">AVERAGE(F287,F291,F295,F299,F303,F307)</f>
        <v>40.402666666666669</v>
      </c>
      <c r="G562" s="78">
        <f t="shared" si="106"/>
        <v>47.0533</v>
      </c>
      <c r="H562" s="78">
        <f t="shared" si="106"/>
        <v>46.708433333333325</v>
      </c>
      <c r="I562" s="79"/>
      <c r="J562" s="79"/>
      <c r="K562" s="80"/>
      <c r="L562" s="29"/>
      <c r="M562" s="78">
        <f>M311</f>
        <v>4220.3991999999998</v>
      </c>
      <c r="N562" s="78">
        <f t="shared" ref="N562:P565" si="107">AVERAGE(N287,N291,N295,N299,N303,N307)</f>
        <v>40.402200000000001</v>
      </c>
      <c r="O562" s="78">
        <f t="shared" si="107"/>
        <v>47.043633333333332</v>
      </c>
      <c r="P562" s="78">
        <f t="shared" si="107"/>
        <v>46.710983333333331</v>
      </c>
      <c r="Q562" s="79"/>
      <c r="R562" s="79"/>
      <c r="S562" s="80"/>
      <c r="U562" s="8">
        <f>bdrate($E562:$E565,F562:F565,$M562:$M565,N562:N565)</f>
        <v>5.9922007901391794E-5</v>
      </c>
      <c r="V562" s="9">
        <f>bdrate($E562:$E565,G562:G565,$M562:$M565,O562:O565)</f>
        <v>-2.7304068990503527E-3</v>
      </c>
      <c r="W562" s="10">
        <f>bdrate($E562:$E565,H562:H565,$M562:$M565,P562:P565)</f>
        <v>-2.0822434445766369E-4</v>
      </c>
      <c r="Y562" s="24"/>
      <c r="Z562" s="24"/>
      <c r="AA562" s="24"/>
      <c r="AB562" s="24"/>
      <c r="AC562" s="24"/>
    </row>
    <row r="563" spans="2:29" ht="12" x14ac:dyDescent="0.2">
      <c r="B563" s="29"/>
      <c r="C563" s="29"/>
      <c r="D563" s="32">
        <v>30</v>
      </c>
      <c r="E563" s="70">
        <f>E312</f>
        <v>1452.5744</v>
      </c>
      <c r="F563" s="70">
        <f t="shared" si="106"/>
        <v>38.187999999999995</v>
      </c>
      <c r="G563" s="70">
        <f t="shared" si="106"/>
        <v>45.523050000000005</v>
      </c>
      <c r="H563" s="70">
        <f t="shared" si="106"/>
        <v>45.086000000000006</v>
      </c>
      <c r="I563" s="66"/>
      <c r="J563" s="66"/>
      <c r="K563" s="67"/>
      <c r="L563" s="29"/>
      <c r="M563" s="70">
        <f>M312</f>
        <v>1452.8024</v>
      </c>
      <c r="N563" s="70">
        <f t="shared" si="107"/>
        <v>38.18815</v>
      </c>
      <c r="O563" s="70">
        <f t="shared" si="107"/>
        <v>45.538849999999996</v>
      </c>
      <c r="P563" s="70">
        <f t="shared" si="107"/>
        <v>45.087833333333329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 x14ac:dyDescent="0.2">
      <c r="B564" s="29"/>
      <c r="C564" s="29"/>
      <c r="D564" s="32">
        <v>35</v>
      </c>
      <c r="E564" s="70">
        <f>E313</f>
        <v>656.01919999999996</v>
      </c>
      <c r="F564" s="70">
        <f t="shared" si="106"/>
        <v>36.052599999999998</v>
      </c>
      <c r="G564" s="70">
        <f t="shared" si="106"/>
        <v>43.84343333333333</v>
      </c>
      <c r="H564" s="70">
        <f t="shared" si="106"/>
        <v>43.405616666666667</v>
      </c>
      <c r="I564" s="66"/>
      <c r="J564" s="66"/>
      <c r="K564" s="67"/>
      <c r="L564" s="29"/>
      <c r="M564" s="70">
        <f>M313</f>
        <v>655.91120000000001</v>
      </c>
      <c r="N564" s="70">
        <f t="shared" si="107"/>
        <v>36.052399999999999</v>
      </c>
      <c r="O564" s="70">
        <f t="shared" si="107"/>
        <v>43.84376666666666</v>
      </c>
      <c r="P564" s="70">
        <f t="shared" si="107"/>
        <v>43.403133333333336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 x14ac:dyDescent="0.25">
      <c r="B565" s="29"/>
      <c r="C565" s="53"/>
      <c r="D565" s="71">
        <v>40</v>
      </c>
      <c r="E565" s="81">
        <f>E314</f>
        <v>330.67840000000001</v>
      </c>
      <c r="F565" s="81">
        <f t="shared" si="106"/>
        <v>33.871033333333337</v>
      </c>
      <c r="G565" s="81">
        <f t="shared" si="106"/>
        <v>42.576133333333338</v>
      </c>
      <c r="H565" s="81">
        <f t="shared" si="106"/>
        <v>42.198233333333334</v>
      </c>
      <c r="I565" s="68"/>
      <c r="J565" s="68"/>
      <c r="K565" s="69"/>
      <c r="L565" s="29"/>
      <c r="M565" s="81">
        <f>M314</f>
        <v>330.62720000000002</v>
      </c>
      <c r="N565" s="81">
        <f t="shared" si="107"/>
        <v>33.870266666666673</v>
      </c>
      <c r="O565" s="81">
        <f t="shared" si="107"/>
        <v>42.576900000000002</v>
      </c>
      <c r="P565" s="81">
        <f t="shared" si="107"/>
        <v>42.197850000000003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 x14ac:dyDescent="0.2">
      <c r="B566" s="29"/>
      <c r="C566" s="28" t="s">
        <v>40</v>
      </c>
      <c r="D566" s="31">
        <v>25</v>
      </c>
      <c r="E566" s="78">
        <f t="shared" ref="E566:E573" si="108">E558</f>
        <v>3406.6680000000001</v>
      </c>
      <c r="F566" s="78">
        <f t="shared" ref="F566:H569" si="109">AVERAGE(F263,F267,F287,F291,F295)</f>
        <v>40.034399999999998</v>
      </c>
      <c r="G566" s="78">
        <f t="shared" si="109"/>
        <v>46.987780000000001</v>
      </c>
      <c r="H566" s="78">
        <f t="shared" si="109"/>
        <v>46.159939999999992</v>
      </c>
      <c r="I566" s="79"/>
      <c r="J566" s="79"/>
      <c r="K566" s="80"/>
      <c r="L566" s="29"/>
      <c r="M566" s="78">
        <f t="shared" ref="M566:M573" si="110">M558</f>
        <v>3407.1152000000002</v>
      </c>
      <c r="N566" s="78">
        <f t="shared" ref="N566:P569" si="111">AVERAGE(N263,N267,N287,N291,N295)</f>
        <v>40.034419999999997</v>
      </c>
      <c r="O566" s="78">
        <f t="shared" si="111"/>
        <v>46.976639999999996</v>
      </c>
      <c r="P566" s="78">
        <f t="shared" si="111"/>
        <v>46.16198</v>
      </c>
      <c r="Q566" s="79"/>
      <c r="R566" s="79"/>
      <c r="S566" s="80"/>
      <c r="U566" s="8">
        <f>bdrate($E566:$E569,F566:F569,$M566:$M569,N566:N569)</f>
        <v>-5.8747734638986415E-5</v>
      </c>
      <c r="V566" s="9">
        <f>bdrate($E566:$E569,G566:G569,$M566:$M569,O566:O569)</f>
        <v>-2.4221998820475044E-3</v>
      </c>
      <c r="W566" s="10">
        <f>bdrate($E566:$E569,H566:H569,$M566:$M569,P566:P569)</f>
        <v>-1.4231867122083131E-4</v>
      </c>
      <c r="Y566" s="24"/>
      <c r="Z566" s="24"/>
      <c r="AA566" s="24"/>
      <c r="AB566" s="24"/>
      <c r="AC566" s="24"/>
    </row>
    <row r="567" spans="2:29" ht="12" x14ac:dyDescent="0.2">
      <c r="B567" s="29"/>
      <c r="C567" s="29"/>
      <c r="D567" s="32">
        <v>30</v>
      </c>
      <c r="E567" s="70">
        <f t="shared" si="108"/>
        <v>1226.0808</v>
      </c>
      <c r="F567" s="70">
        <f t="shared" si="109"/>
        <v>37.95926</v>
      </c>
      <c r="G567" s="70">
        <f t="shared" si="109"/>
        <v>45.46116</v>
      </c>
      <c r="H567" s="70">
        <f t="shared" si="109"/>
        <v>44.543480000000002</v>
      </c>
      <c r="I567" s="66"/>
      <c r="J567" s="66"/>
      <c r="K567" s="67"/>
      <c r="L567" s="29"/>
      <c r="M567" s="70">
        <f t="shared" si="110"/>
        <v>1226.0391999999999</v>
      </c>
      <c r="N567" s="70">
        <f t="shared" si="111"/>
        <v>37.958940000000005</v>
      </c>
      <c r="O567" s="70">
        <f t="shared" si="111"/>
        <v>45.4754</v>
      </c>
      <c r="P567" s="70">
        <f t="shared" si="111"/>
        <v>44.545740000000002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 x14ac:dyDescent="0.2">
      <c r="B568" s="29"/>
      <c r="C568" s="29"/>
      <c r="D568" s="32">
        <v>35</v>
      </c>
      <c r="E568" s="70">
        <f t="shared" si="108"/>
        <v>567.01520000000005</v>
      </c>
      <c r="F568" s="70">
        <f t="shared" si="109"/>
        <v>35.901140000000005</v>
      </c>
      <c r="G568" s="70">
        <f t="shared" si="109"/>
        <v>43.820979999999999</v>
      </c>
      <c r="H568" s="70">
        <f t="shared" si="109"/>
        <v>42.982640000000004</v>
      </c>
      <c r="I568" s="66"/>
      <c r="J568" s="66"/>
      <c r="K568" s="67"/>
      <c r="L568" s="29"/>
      <c r="M568" s="70">
        <f t="shared" si="110"/>
        <v>566.87440000000004</v>
      </c>
      <c r="N568" s="70">
        <f t="shared" si="111"/>
        <v>35.901400000000002</v>
      </c>
      <c r="O568" s="70">
        <f t="shared" si="111"/>
        <v>43.822099999999999</v>
      </c>
      <c r="P568" s="70">
        <f t="shared" si="111"/>
        <v>42.979100000000003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 x14ac:dyDescent="0.25">
      <c r="B569" s="29"/>
      <c r="C569" s="53"/>
      <c r="D569" s="71">
        <v>40</v>
      </c>
      <c r="E569" s="81">
        <f t="shared" si="108"/>
        <v>289.54799999999994</v>
      </c>
      <c r="F569" s="81">
        <f t="shared" si="109"/>
        <v>33.775940000000006</v>
      </c>
      <c r="G569" s="81">
        <f t="shared" si="109"/>
        <v>42.575580000000002</v>
      </c>
      <c r="H569" s="81">
        <f t="shared" si="109"/>
        <v>41.886679999999998</v>
      </c>
      <c r="I569" s="68"/>
      <c r="J569" s="68"/>
      <c r="K569" s="69"/>
      <c r="L569" s="29"/>
      <c r="M569" s="81">
        <f t="shared" si="110"/>
        <v>289.51119999999997</v>
      </c>
      <c r="N569" s="81">
        <f t="shared" si="111"/>
        <v>33.775080000000003</v>
      </c>
      <c r="O569" s="81">
        <f t="shared" si="111"/>
        <v>42.575859999999999</v>
      </c>
      <c r="P569" s="81">
        <f t="shared" si="111"/>
        <v>41.885680000000001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 x14ac:dyDescent="0.2">
      <c r="B570" s="29"/>
      <c r="C570" s="28" t="s">
        <v>41</v>
      </c>
      <c r="D570" s="31">
        <v>25</v>
      </c>
      <c r="E570" s="78">
        <f t="shared" si="108"/>
        <v>4219.7312000000002</v>
      </c>
      <c r="F570" s="78">
        <f t="shared" ref="F570:H573" si="112">AVERAGE(F263,F267,F271,F287,F291,F295,F299,F303,F307)</f>
        <v>40.018988888888899</v>
      </c>
      <c r="G570" s="78">
        <f t="shared" si="112"/>
        <v>46.898411111111116</v>
      </c>
      <c r="H570" s="78">
        <f t="shared" si="112"/>
        <v>46.349155555555548</v>
      </c>
      <c r="I570" s="79"/>
      <c r="J570" s="79"/>
      <c r="K570" s="80"/>
      <c r="L570" s="29"/>
      <c r="M570" s="78">
        <f t="shared" si="110"/>
        <v>4220.3991999999998</v>
      </c>
      <c r="N570" s="78">
        <f t="shared" ref="N570:P573" si="113">AVERAGE(N263,N267,N271,N287,N291,N295,N299,N303,N307)</f>
        <v>40.018766666666664</v>
      </c>
      <c r="O570" s="78">
        <f t="shared" si="113"/>
        <v>46.89178888888889</v>
      </c>
      <c r="P570" s="78">
        <f t="shared" si="113"/>
        <v>46.350877777777775</v>
      </c>
      <c r="Q570" s="79"/>
      <c r="R570" s="79"/>
      <c r="S570" s="80"/>
      <c r="U570" s="8">
        <f>bdrate($E570:$E573,F570:F573,$M570:$M573,N570:N573)</f>
        <v>-3.0548341165559378E-6</v>
      </c>
      <c r="V570" s="9">
        <f>bdrate($E570:$E573,G570:G573,$M570:$M573,O570:O573)</f>
        <v>-1.6862877699508338E-3</v>
      </c>
      <c r="W570" s="10">
        <f>bdrate($E570:$E573,H570:H573,$M570:$M573,P570:P573)</f>
        <v>-5.5283919304760509E-5</v>
      </c>
      <c r="Y570" s="24"/>
      <c r="Z570" s="24"/>
      <c r="AA570" s="24"/>
      <c r="AB570" s="24"/>
      <c r="AC570" s="24"/>
    </row>
    <row r="571" spans="2:29" ht="12" x14ac:dyDescent="0.2">
      <c r="B571" s="29"/>
      <c r="C571" s="29"/>
      <c r="D571" s="32">
        <v>30</v>
      </c>
      <c r="E571" s="70">
        <f t="shared" si="108"/>
        <v>1452.5744</v>
      </c>
      <c r="F571" s="70">
        <f t="shared" si="112"/>
        <v>37.901533333333333</v>
      </c>
      <c r="G571" s="70">
        <f t="shared" si="112"/>
        <v>45.40098888888889</v>
      </c>
      <c r="H571" s="70">
        <f t="shared" si="112"/>
        <v>44.765522222222224</v>
      </c>
      <c r="I571" s="66"/>
      <c r="J571" s="66"/>
      <c r="K571" s="67"/>
      <c r="L571" s="29"/>
      <c r="M571" s="70">
        <f t="shared" si="110"/>
        <v>1452.8024</v>
      </c>
      <c r="N571" s="70">
        <f t="shared" si="113"/>
        <v>37.90186666666667</v>
      </c>
      <c r="O571" s="70">
        <f t="shared" si="113"/>
        <v>45.410955555555553</v>
      </c>
      <c r="P571" s="70">
        <f t="shared" si="113"/>
        <v>44.766688888888893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 x14ac:dyDescent="0.2">
      <c r="B572" s="29"/>
      <c r="C572" s="29"/>
      <c r="D572" s="32">
        <v>35</v>
      </c>
      <c r="E572" s="70">
        <f t="shared" si="108"/>
        <v>656.01919999999996</v>
      </c>
      <c r="F572" s="70">
        <f t="shared" si="112"/>
        <v>35.823800000000006</v>
      </c>
      <c r="G572" s="70">
        <f t="shared" si="112"/>
        <v>43.753466666666661</v>
      </c>
      <c r="H572" s="70">
        <f t="shared" si="112"/>
        <v>43.134588888888885</v>
      </c>
      <c r="I572" s="66"/>
      <c r="J572" s="66"/>
      <c r="K572" s="67"/>
      <c r="L572" s="29"/>
      <c r="M572" s="70">
        <f t="shared" si="110"/>
        <v>655.91120000000001</v>
      </c>
      <c r="N572" s="70">
        <f t="shared" si="113"/>
        <v>35.823666666666668</v>
      </c>
      <c r="O572" s="70">
        <f t="shared" si="113"/>
        <v>43.753555555555558</v>
      </c>
      <c r="P572" s="70">
        <f t="shared" si="113"/>
        <v>43.132522222222214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 x14ac:dyDescent="0.25">
      <c r="B573" s="53"/>
      <c r="C573" s="53"/>
      <c r="D573" s="71">
        <v>40</v>
      </c>
      <c r="E573" s="81">
        <f t="shared" si="108"/>
        <v>330.67840000000001</v>
      </c>
      <c r="F573" s="81">
        <f t="shared" si="112"/>
        <v>33.689555555555557</v>
      </c>
      <c r="G573" s="81">
        <f t="shared" si="112"/>
        <v>42.508155555555554</v>
      </c>
      <c r="H573" s="81">
        <f t="shared" si="112"/>
        <v>41.956688888888884</v>
      </c>
      <c r="I573" s="68"/>
      <c r="J573" s="68"/>
      <c r="K573" s="69"/>
      <c r="L573" s="29"/>
      <c r="M573" s="81">
        <f t="shared" si="110"/>
        <v>330.62720000000002</v>
      </c>
      <c r="N573" s="81">
        <f t="shared" si="113"/>
        <v>33.688988888888886</v>
      </c>
      <c r="O573" s="81">
        <f t="shared" si="113"/>
        <v>42.508833333333335</v>
      </c>
      <c r="P573" s="81">
        <f t="shared" si="113"/>
        <v>41.956477777777778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 x14ac:dyDescent="0.2">
      <c r="B574" s="28" t="str">
        <f>B315</f>
        <v>Undo_Dancer</v>
      </c>
      <c r="C574" s="28" t="s">
        <v>35</v>
      </c>
      <c r="D574" s="31">
        <v>25</v>
      </c>
      <c r="E574" s="78">
        <f>E315+E319</f>
        <v>5540.2943999999998</v>
      </c>
      <c r="F574" s="78">
        <f t="shared" ref="F574:H577" si="114">AVERAGE(F315,F319)</f>
        <v>38.389849999999996</v>
      </c>
      <c r="G574" s="78">
        <f t="shared" si="114"/>
        <v>46.614849999999997</v>
      </c>
      <c r="H574" s="78">
        <f t="shared" si="114"/>
        <v>45.966499999999996</v>
      </c>
      <c r="I574" s="79"/>
      <c r="J574" s="79"/>
      <c r="K574" s="80"/>
      <c r="L574" s="29"/>
      <c r="M574" s="82">
        <f>M315+M319</f>
        <v>5539.2999999999993</v>
      </c>
      <c r="N574" s="78">
        <f t="shared" ref="N574:P577" si="115">AVERAGE(N315,N319)</f>
        <v>38.38935</v>
      </c>
      <c r="O574" s="78">
        <f t="shared" si="115"/>
        <v>46.615699999999997</v>
      </c>
      <c r="P574" s="78">
        <f t="shared" si="115"/>
        <v>45.966850000000001</v>
      </c>
      <c r="Q574" s="79"/>
      <c r="R574" s="79"/>
      <c r="S574" s="80"/>
      <c r="U574" s="8">
        <f>bdrate($E574:$E577,F574:F577,$M574:$M577,N574:N577)</f>
        <v>-5.3926159039985322E-5</v>
      </c>
      <c r="V574" s="9">
        <f>bdrate($E574:$E577,G574:G577,$M574:$M577,O574:O577)</f>
        <v>3.2214480367964704E-4</v>
      </c>
      <c r="W574" s="10">
        <f>bdrate($E574:$E577,H574:H577,$M574:$M577,P574:P577)</f>
        <v>-5.8142602851196656E-5</v>
      </c>
      <c r="Y574" s="24"/>
      <c r="Z574" s="24"/>
      <c r="AA574" s="24"/>
      <c r="AB574" s="24"/>
      <c r="AC574" s="24"/>
    </row>
    <row r="575" spans="2:29" ht="12" x14ac:dyDescent="0.2">
      <c r="B575" s="29"/>
      <c r="C575" s="29"/>
      <c r="D575" s="32">
        <v>30</v>
      </c>
      <c r="E575" s="70">
        <f>E316+E320</f>
        <v>2325.8944000000001</v>
      </c>
      <c r="F575" s="70">
        <f t="shared" si="114"/>
        <v>35.628950000000003</v>
      </c>
      <c r="G575" s="70">
        <f t="shared" si="114"/>
        <v>45.132050000000007</v>
      </c>
      <c r="H575" s="70">
        <f t="shared" si="114"/>
        <v>44.579800000000006</v>
      </c>
      <c r="I575" s="66"/>
      <c r="J575" s="66"/>
      <c r="K575" s="67"/>
      <c r="L575" s="29"/>
      <c r="M575" s="83">
        <f>M316+M320</f>
        <v>2325.7784000000001</v>
      </c>
      <c r="N575" s="70">
        <f t="shared" si="115"/>
        <v>35.629400000000004</v>
      </c>
      <c r="O575" s="70">
        <f t="shared" si="115"/>
        <v>45.131749999999997</v>
      </c>
      <c r="P575" s="70">
        <f t="shared" si="115"/>
        <v>44.580150000000003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 x14ac:dyDescent="0.2">
      <c r="B576" s="29"/>
      <c r="C576" s="29"/>
      <c r="D576" s="32">
        <v>35</v>
      </c>
      <c r="E576" s="70">
        <f>E317+E321</f>
        <v>1053.3920000000001</v>
      </c>
      <c r="F576" s="70">
        <f t="shared" si="114"/>
        <v>33.164900000000003</v>
      </c>
      <c r="G576" s="70">
        <f t="shared" si="114"/>
        <v>43.819649999999996</v>
      </c>
      <c r="H576" s="70">
        <f t="shared" si="114"/>
        <v>43.373400000000004</v>
      </c>
      <c r="I576" s="66"/>
      <c r="J576" s="66"/>
      <c r="K576" s="67"/>
      <c r="L576" s="29"/>
      <c r="M576" s="83">
        <f>M317+M321</f>
        <v>1053.5167999999999</v>
      </c>
      <c r="N576" s="70">
        <f t="shared" si="115"/>
        <v>33.164900000000003</v>
      </c>
      <c r="O576" s="70">
        <f t="shared" si="115"/>
        <v>43.818649999999998</v>
      </c>
      <c r="P576" s="70">
        <f t="shared" si="115"/>
        <v>43.373199999999997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 x14ac:dyDescent="0.25">
      <c r="B577" s="29"/>
      <c r="C577" s="53"/>
      <c r="D577" s="71">
        <v>40</v>
      </c>
      <c r="E577" s="81">
        <f>E318+E322</f>
        <v>488.47360000000003</v>
      </c>
      <c r="F577" s="81">
        <f t="shared" si="114"/>
        <v>30.9039</v>
      </c>
      <c r="G577" s="81">
        <f t="shared" si="114"/>
        <v>43.015549999999998</v>
      </c>
      <c r="H577" s="81">
        <f t="shared" si="114"/>
        <v>42.619250000000001</v>
      </c>
      <c r="I577" s="68"/>
      <c r="J577" s="68"/>
      <c r="K577" s="69"/>
      <c r="L577" s="29"/>
      <c r="M577" s="84">
        <f>M318+M322</f>
        <v>488.45120000000003</v>
      </c>
      <c r="N577" s="81">
        <f t="shared" si="115"/>
        <v>30.9041</v>
      </c>
      <c r="O577" s="81">
        <f t="shared" si="115"/>
        <v>43.014250000000004</v>
      </c>
      <c r="P577" s="81">
        <f t="shared" si="115"/>
        <v>42.618700000000004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 x14ac:dyDescent="0.2">
      <c r="B578" s="29"/>
      <c r="C578" s="28" t="s">
        <v>36</v>
      </c>
      <c r="D578" s="31">
        <v>25</v>
      </c>
      <c r="E578" s="78">
        <f>E315+E319+E323</f>
        <v>6404.6815999999999</v>
      </c>
      <c r="F578" s="78">
        <f t="shared" ref="F578:H581" si="116">AVERAGE(F315,F319,F323)</f>
        <v>38.306766666666668</v>
      </c>
      <c r="G578" s="78">
        <f t="shared" si="116"/>
        <v>46.581699999999991</v>
      </c>
      <c r="H578" s="78">
        <f t="shared" si="116"/>
        <v>45.902966666666664</v>
      </c>
      <c r="I578" s="79"/>
      <c r="J578" s="79"/>
      <c r="K578" s="80"/>
      <c r="L578" s="29"/>
      <c r="M578" s="78">
        <f>M315+M319+M323</f>
        <v>6402.7455999999993</v>
      </c>
      <c r="N578" s="78">
        <f t="shared" ref="N578:P581" si="117">AVERAGE(N315,N319,N323)</f>
        <v>38.306433333333331</v>
      </c>
      <c r="O578" s="78">
        <f t="shared" si="117"/>
        <v>46.582133333333331</v>
      </c>
      <c r="P578" s="78">
        <f t="shared" si="117"/>
        <v>45.903600000000004</v>
      </c>
      <c r="Q578" s="79"/>
      <c r="R578" s="79"/>
      <c r="S578" s="80"/>
      <c r="U578" s="8">
        <f>bdrate($E578:$E581,F578:F581,$M578:$M581,N578:N581)</f>
        <v>-3.2028992645094512E-5</v>
      </c>
      <c r="V578" s="9">
        <f>bdrate($E578:$E581,G578:G581,$M578:$M581,O578:O581)</f>
        <v>3.2432284920158594E-4</v>
      </c>
      <c r="W578" s="10">
        <f>bdrate($E578:$E581,H578:H581,$M578:$M581,P578:P581)</f>
        <v>6.9228154262912511E-5</v>
      </c>
      <c r="Y578" s="24"/>
      <c r="Z578" s="24"/>
      <c r="AA578" s="24"/>
      <c r="AB578" s="24"/>
      <c r="AC578" s="24"/>
    </row>
    <row r="579" spans="2:29" ht="12" x14ac:dyDescent="0.2">
      <c r="B579" s="29"/>
      <c r="C579" s="29"/>
      <c r="D579" s="32">
        <v>30</v>
      </c>
      <c r="E579" s="70">
        <f>E316+E320+E324</f>
        <v>2630.4736000000003</v>
      </c>
      <c r="F579" s="70">
        <f t="shared" si="116"/>
        <v>35.597000000000001</v>
      </c>
      <c r="G579" s="70">
        <f t="shared" si="116"/>
        <v>45.103033333333336</v>
      </c>
      <c r="H579" s="70">
        <f t="shared" si="116"/>
        <v>44.530633333333334</v>
      </c>
      <c r="I579" s="66"/>
      <c r="J579" s="66"/>
      <c r="K579" s="67"/>
      <c r="L579" s="29"/>
      <c r="M579" s="70">
        <f>M316+M320+M324</f>
        <v>2630.5039999999999</v>
      </c>
      <c r="N579" s="70">
        <f t="shared" si="117"/>
        <v>35.597533333333338</v>
      </c>
      <c r="O579" s="70">
        <f t="shared" si="117"/>
        <v>45.102933333333333</v>
      </c>
      <c r="P579" s="70">
        <f t="shared" si="117"/>
        <v>44.530533333333331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 x14ac:dyDescent="0.2">
      <c r="B580" s="29"/>
      <c r="C580" s="29"/>
      <c r="D580" s="32">
        <v>35</v>
      </c>
      <c r="E580" s="70">
        <f>E317+E321+E325</f>
        <v>1183.9264000000001</v>
      </c>
      <c r="F580" s="70">
        <f t="shared" si="116"/>
        <v>33.157200000000003</v>
      </c>
      <c r="G580" s="70">
        <f t="shared" si="116"/>
        <v>43.798133333333332</v>
      </c>
      <c r="H580" s="70">
        <f t="shared" si="116"/>
        <v>43.336266666666667</v>
      </c>
      <c r="I580" s="66"/>
      <c r="J580" s="66"/>
      <c r="K580" s="67"/>
      <c r="L580" s="29"/>
      <c r="M580" s="70">
        <f>M317+M321+M325</f>
        <v>1184.1967999999999</v>
      </c>
      <c r="N580" s="70">
        <f t="shared" si="117"/>
        <v>33.157299999999999</v>
      </c>
      <c r="O580" s="70">
        <f t="shared" si="117"/>
        <v>43.797333333333334</v>
      </c>
      <c r="P580" s="70">
        <f t="shared" si="117"/>
        <v>43.336133333333329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 x14ac:dyDescent="0.25">
      <c r="B581" s="29"/>
      <c r="C581" s="53"/>
      <c r="D581" s="71">
        <v>40</v>
      </c>
      <c r="E581" s="81">
        <f>E318+E322+E326</f>
        <v>549.03680000000008</v>
      </c>
      <c r="F581" s="81">
        <f t="shared" si="116"/>
        <v>30.904599999999999</v>
      </c>
      <c r="G581" s="81">
        <f t="shared" si="116"/>
        <v>42.994733333333329</v>
      </c>
      <c r="H581" s="81">
        <f t="shared" si="116"/>
        <v>42.580166666666663</v>
      </c>
      <c r="I581" s="68"/>
      <c r="J581" s="68"/>
      <c r="K581" s="69"/>
      <c r="L581" s="29"/>
      <c r="M581" s="81">
        <f>M318+M322+M326</f>
        <v>548.98480000000006</v>
      </c>
      <c r="N581" s="81">
        <f t="shared" si="117"/>
        <v>30.904499999999999</v>
      </c>
      <c r="O581" s="81">
        <f t="shared" si="117"/>
        <v>42.993133333333333</v>
      </c>
      <c r="P581" s="81">
        <f t="shared" si="117"/>
        <v>42.579599999999999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 x14ac:dyDescent="0.2">
      <c r="B582" s="29"/>
      <c r="C582" s="28" t="s">
        <v>37</v>
      </c>
      <c r="D582" s="31">
        <v>25</v>
      </c>
      <c r="E582" s="78">
        <f>E315+E319+E327+E331</f>
        <v>5847.5775999999996</v>
      </c>
      <c r="F582" s="78">
        <f t="shared" ref="F582:H585" si="118">AVERAGE(F339,F343,F347)</f>
        <v>38.825266666666664</v>
      </c>
      <c r="G582" s="78">
        <f t="shared" si="118"/>
        <v>46.988333333333337</v>
      </c>
      <c r="H582" s="78">
        <f t="shared" si="118"/>
        <v>46.139499999999998</v>
      </c>
      <c r="I582" s="79"/>
      <c r="J582" s="79"/>
      <c r="K582" s="80"/>
      <c r="L582" s="29"/>
      <c r="M582" s="78">
        <f>M315+M319+M327+M331</f>
        <v>5846.6511999999993</v>
      </c>
      <c r="N582" s="78">
        <f t="shared" ref="N582:P585" si="119">AVERAGE(N339,N343,N347)</f>
        <v>38.827566666666662</v>
      </c>
      <c r="O582" s="78">
        <f t="shared" si="119"/>
        <v>46.982300000000002</v>
      </c>
      <c r="P582" s="78">
        <f t="shared" si="119"/>
        <v>46.117933333333333</v>
      </c>
      <c r="Q582" s="79"/>
      <c r="R582" s="79"/>
      <c r="S582" s="80"/>
      <c r="U582" s="8">
        <f>bdrate($E582:$E585,F582:F585,$M582:$M585,N582:N585)</f>
        <v>-3.1120363160308528E-4</v>
      </c>
      <c r="V582" s="9">
        <f>bdrate($E582:$E585,G582:G585,$M582:$M585,O582:O585)</f>
        <v>8.3688954340299659E-5</v>
      </c>
      <c r="W582" s="10">
        <f>bdrate($E582:$E585,H582:H585,$M582:$M585,P582:P585)</f>
        <v>6.449174331228047E-3</v>
      </c>
      <c r="Y582" s="61"/>
      <c r="Z582" s="61"/>
      <c r="AA582" s="61"/>
      <c r="AB582" s="24"/>
      <c r="AC582" s="24"/>
    </row>
    <row r="583" spans="2:29" ht="12" x14ac:dyDescent="0.2">
      <c r="B583" s="29"/>
      <c r="C583" s="29"/>
      <c r="D583" s="32">
        <v>30</v>
      </c>
      <c r="E583" s="70">
        <f>E316+E320+E328+E332</f>
        <v>2459.3208</v>
      </c>
      <c r="F583" s="70">
        <f t="shared" si="118"/>
        <v>35.910333333333334</v>
      </c>
      <c r="G583" s="70">
        <f t="shared" si="118"/>
        <v>45.533999999999999</v>
      </c>
      <c r="H583" s="70">
        <f t="shared" si="118"/>
        <v>44.822833333333335</v>
      </c>
      <c r="I583" s="66"/>
      <c r="J583" s="66"/>
      <c r="K583" s="67"/>
      <c r="L583" s="29"/>
      <c r="M583" s="70">
        <f>M316+M320+M328+M332</f>
        <v>2458.8103999999998</v>
      </c>
      <c r="N583" s="70">
        <f t="shared" si="119"/>
        <v>35.912333333333329</v>
      </c>
      <c r="O583" s="70">
        <f t="shared" si="119"/>
        <v>45.544466666666665</v>
      </c>
      <c r="P583" s="70">
        <f t="shared" si="119"/>
        <v>44.812566666666669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 x14ac:dyDescent="0.2">
      <c r="B584" s="29"/>
      <c r="C584" s="29"/>
      <c r="D584" s="32">
        <v>35</v>
      </c>
      <c r="E584" s="70">
        <f>E317+E321+E329+E333</f>
        <v>1118.2583999999999</v>
      </c>
      <c r="F584" s="70">
        <f t="shared" si="118"/>
        <v>33.324133333333329</v>
      </c>
      <c r="G584" s="70">
        <f t="shared" si="118"/>
        <v>44.204666666666668</v>
      </c>
      <c r="H584" s="70">
        <f t="shared" si="118"/>
        <v>43.693433333333331</v>
      </c>
      <c r="I584" s="66"/>
      <c r="J584" s="66"/>
      <c r="K584" s="67"/>
      <c r="L584" s="29"/>
      <c r="M584" s="70">
        <f>M317+M321+M329+M333</f>
        <v>1118.4071999999999</v>
      </c>
      <c r="N584" s="70">
        <f t="shared" si="119"/>
        <v>33.323133333333331</v>
      </c>
      <c r="O584" s="70">
        <f t="shared" si="119"/>
        <v>44.196333333333335</v>
      </c>
      <c r="P584" s="70">
        <f t="shared" si="119"/>
        <v>43.689799999999998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 x14ac:dyDescent="0.25">
      <c r="B585" s="29"/>
      <c r="C585" s="53"/>
      <c r="D585" s="71">
        <v>40</v>
      </c>
      <c r="E585" s="81">
        <f>E318+E322+E330+E334</f>
        <v>519.27440000000001</v>
      </c>
      <c r="F585" s="81">
        <f t="shared" si="118"/>
        <v>30.974266666666665</v>
      </c>
      <c r="G585" s="81">
        <f t="shared" si="118"/>
        <v>43.412666666666667</v>
      </c>
      <c r="H585" s="81">
        <f t="shared" si="118"/>
        <v>42.973300000000002</v>
      </c>
      <c r="I585" s="68"/>
      <c r="J585" s="68"/>
      <c r="K585" s="69"/>
      <c r="L585" s="29"/>
      <c r="M585" s="81">
        <f>M318+M322+M330+M334</f>
        <v>519.28240000000005</v>
      </c>
      <c r="N585" s="81">
        <f t="shared" si="119"/>
        <v>30.974733333333337</v>
      </c>
      <c r="O585" s="81">
        <f t="shared" si="119"/>
        <v>43.406533333333336</v>
      </c>
      <c r="P585" s="81">
        <f t="shared" si="119"/>
        <v>42.971200000000003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 x14ac:dyDescent="0.2">
      <c r="B586" s="29"/>
      <c r="C586" s="28" t="s">
        <v>39</v>
      </c>
      <c r="D586" s="31">
        <v>25</v>
      </c>
      <c r="E586" s="78">
        <f>E363</f>
        <v>6811.2608</v>
      </c>
      <c r="F586" s="78">
        <f t="shared" ref="F586:H589" si="120">AVERAGE(F339,F343,F347,F351,F355,F359)</f>
        <v>38.84343333333333</v>
      </c>
      <c r="G586" s="78">
        <f t="shared" si="120"/>
        <v>46.757283333333334</v>
      </c>
      <c r="H586" s="78">
        <f t="shared" si="120"/>
        <v>46.336800000000004</v>
      </c>
      <c r="I586" s="79"/>
      <c r="J586" s="79"/>
      <c r="K586" s="80"/>
      <c r="L586" s="29"/>
      <c r="M586" s="78">
        <f>M363</f>
        <v>6809.6343999999999</v>
      </c>
      <c r="N586" s="78">
        <f t="shared" ref="N586:P589" si="121">AVERAGE(N339,N343,N347,N351,N355,N359)</f>
        <v>38.845499999999994</v>
      </c>
      <c r="O586" s="78">
        <f t="shared" si="121"/>
        <v>46.757433333333331</v>
      </c>
      <c r="P586" s="78">
        <f t="shared" si="121"/>
        <v>46.32685</v>
      </c>
      <c r="Q586" s="79"/>
      <c r="R586" s="79"/>
      <c r="S586" s="80"/>
      <c r="U586" s="8">
        <f>bdrate($E586:$E589,F586:F589,$M586:$M589,N586:N589)</f>
        <v>-3.3039414937852118E-4</v>
      </c>
      <c r="V586" s="9">
        <f>bdrate($E586:$E589,G586:G589,$M586:$M589,O586:O589)</f>
        <v>-4.7324054769881663E-4</v>
      </c>
      <c r="W586" s="10">
        <f>bdrate($E586:$E589,H586:H589,$M586:$M589,P586:P589)</f>
        <v>1.6137634031347936E-3</v>
      </c>
      <c r="Y586" s="24"/>
      <c r="Z586" s="24"/>
      <c r="AA586" s="24"/>
      <c r="AB586" s="24"/>
      <c r="AC586" s="24"/>
    </row>
    <row r="587" spans="2:29" ht="12" x14ac:dyDescent="0.2">
      <c r="B587" s="29"/>
      <c r="C587" s="29"/>
      <c r="D587" s="32">
        <v>30</v>
      </c>
      <c r="E587" s="70">
        <f>E364</f>
        <v>2807.7864</v>
      </c>
      <c r="F587" s="70">
        <f t="shared" si="120"/>
        <v>35.936199999999999</v>
      </c>
      <c r="G587" s="70">
        <f t="shared" si="120"/>
        <v>45.327116666666676</v>
      </c>
      <c r="H587" s="70">
        <f t="shared" si="120"/>
        <v>44.932983333333333</v>
      </c>
      <c r="I587" s="66"/>
      <c r="J587" s="66"/>
      <c r="K587" s="67"/>
      <c r="L587" s="29"/>
      <c r="M587" s="70">
        <f>M364</f>
        <v>2807.3951999999999</v>
      </c>
      <c r="N587" s="70">
        <f t="shared" si="121"/>
        <v>35.939216666666667</v>
      </c>
      <c r="O587" s="70">
        <f t="shared" si="121"/>
        <v>45.336516666666661</v>
      </c>
      <c r="P587" s="70">
        <f t="shared" si="121"/>
        <v>44.932566666666673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 x14ac:dyDescent="0.2">
      <c r="B588" s="29"/>
      <c r="C588" s="29"/>
      <c r="D588" s="32">
        <v>35</v>
      </c>
      <c r="E588" s="70">
        <f>E365</f>
        <v>1273.4112</v>
      </c>
      <c r="F588" s="70">
        <f t="shared" si="120"/>
        <v>33.354900000000008</v>
      </c>
      <c r="G588" s="70">
        <f t="shared" si="120"/>
        <v>44.0334</v>
      </c>
      <c r="H588" s="70">
        <f t="shared" si="120"/>
        <v>43.665999999999997</v>
      </c>
      <c r="I588" s="66"/>
      <c r="J588" s="66"/>
      <c r="K588" s="67"/>
      <c r="L588" s="29"/>
      <c r="M588" s="70">
        <f>M365</f>
        <v>1273.6112000000001</v>
      </c>
      <c r="N588" s="70">
        <f t="shared" si="121"/>
        <v>33.353366666666666</v>
      </c>
      <c r="O588" s="70">
        <f t="shared" si="121"/>
        <v>44.026350000000001</v>
      </c>
      <c r="P588" s="70">
        <f t="shared" si="121"/>
        <v>43.663766666666668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 x14ac:dyDescent="0.25">
      <c r="B589" s="29"/>
      <c r="C589" s="53"/>
      <c r="D589" s="71">
        <v>40</v>
      </c>
      <c r="E589" s="81">
        <f>E366</f>
        <v>594.91200000000003</v>
      </c>
      <c r="F589" s="81">
        <f t="shared" si="120"/>
        <v>30.999933333333335</v>
      </c>
      <c r="G589" s="81">
        <f t="shared" si="120"/>
        <v>43.252933333333338</v>
      </c>
      <c r="H589" s="81">
        <f t="shared" si="120"/>
        <v>42.856316666666665</v>
      </c>
      <c r="I589" s="68"/>
      <c r="J589" s="68"/>
      <c r="K589" s="69"/>
      <c r="L589" s="29"/>
      <c r="M589" s="81">
        <f>M366</f>
        <v>594.85519999999997</v>
      </c>
      <c r="N589" s="81">
        <f t="shared" si="121"/>
        <v>30.999483333333334</v>
      </c>
      <c r="O589" s="81">
        <f t="shared" si="121"/>
        <v>43.246016666666669</v>
      </c>
      <c r="P589" s="81">
        <f t="shared" si="121"/>
        <v>42.855550000000001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 x14ac:dyDescent="0.2">
      <c r="B590" s="29"/>
      <c r="C590" s="28" t="s">
        <v>40</v>
      </c>
      <c r="D590" s="31">
        <v>25</v>
      </c>
      <c r="E590" s="78">
        <f t="shared" ref="E590:E597" si="122">E582</f>
        <v>5847.5775999999996</v>
      </c>
      <c r="F590" s="78">
        <f t="shared" ref="F590:H593" si="123">AVERAGE(F315,F319,F339,F343,F347)</f>
        <v>38.6511</v>
      </c>
      <c r="G590" s="78">
        <f t="shared" si="123"/>
        <v>46.838939999999994</v>
      </c>
      <c r="H590" s="78">
        <f t="shared" si="123"/>
        <v>46.070299999999996</v>
      </c>
      <c r="I590" s="79"/>
      <c r="J590" s="79"/>
      <c r="K590" s="80"/>
      <c r="L590" s="29"/>
      <c r="M590" s="78">
        <f t="shared" ref="M590:M597" si="124">M582</f>
        <v>5846.6511999999993</v>
      </c>
      <c r="N590" s="78">
        <f t="shared" ref="N590:P593" si="125">AVERAGE(N315,N319,N339,N343,N347)</f>
        <v>38.652280000000005</v>
      </c>
      <c r="O590" s="78">
        <f t="shared" si="125"/>
        <v>46.835659999999997</v>
      </c>
      <c r="P590" s="78">
        <f t="shared" si="125"/>
        <v>46.057499999999997</v>
      </c>
      <c r="Q590" s="79"/>
      <c r="R590" s="79"/>
      <c r="S590" s="80"/>
      <c r="U590" s="8">
        <f>bdrate($E590:$E593,F590:F593,$M590:$M593,N590:N593)</f>
        <v>-2.3016588180446718E-4</v>
      </c>
      <c r="V590" s="9">
        <f>bdrate($E590:$E593,G590:G593,$M590:$M593,O590:O593)</f>
        <v>1.4222878657332849E-4</v>
      </c>
      <c r="W590" s="10">
        <f>bdrate($E590:$E593,H590:H593,$M590:$M593,P590:P593)</f>
        <v>3.7294172502804201E-3</v>
      </c>
      <c r="Y590" s="24"/>
      <c r="Z590" s="24"/>
      <c r="AA590" s="24"/>
      <c r="AB590" s="24"/>
      <c r="AC590" s="24"/>
    </row>
    <row r="591" spans="2:29" ht="12" x14ac:dyDescent="0.2">
      <c r="B591" s="29"/>
      <c r="C591" s="29"/>
      <c r="D591" s="32">
        <v>30</v>
      </c>
      <c r="E591" s="70">
        <f t="shared" si="122"/>
        <v>2459.3208</v>
      </c>
      <c r="F591" s="70">
        <f t="shared" si="123"/>
        <v>35.797780000000003</v>
      </c>
      <c r="G591" s="70">
        <f t="shared" si="123"/>
        <v>45.373220000000003</v>
      </c>
      <c r="H591" s="70">
        <f t="shared" si="123"/>
        <v>44.725620000000006</v>
      </c>
      <c r="I591" s="66"/>
      <c r="J591" s="66"/>
      <c r="K591" s="67"/>
      <c r="L591" s="29"/>
      <c r="M591" s="70">
        <f t="shared" si="124"/>
        <v>2458.8103999999998</v>
      </c>
      <c r="N591" s="70">
        <f t="shared" si="125"/>
        <v>35.799160000000008</v>
      </c>
      <c r="O591" s="70">
        <f t="shared" si="125"/>
        <v>45.379380000000005</v>
      </c>
      <c r="P591" s="70">
        <f t="shared" si="125"/>
        <v>44.7196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 x14ac:dyDescent="0.2">
      <c r="B592" s="29"/>
      <c r="C592" s="29"/>
      <c r="D592" s="32">
        <v>35</v>
      </c>
      <c r="E592" s="70">
        <f t="shared" si="122"/>
        <v>1118.2583999999999</v>
      </c>
      <c r="F592" s="70">
        <f t="shared" si="123"/>
        <v>33.260440000000003</v>
      </c>
      <c r="G592" s="70">
        <f t="shared" si="123"/>
        <v>44.050660000000001</v>
      </c>
      <c r="H592" s="70">
        <f t="shared" si="123"/>
        <v>43.565420000000003</v>
      </c>
      <c r="I592" s="66"/>
      <c r="J592" s="66"/>
      <c r="K592" s="67"/>
      <c r="L592" s="29"/>
      <c r="M592" s="70">
        <f t="shared" si="124"/>
        <v>1118.4071999999999</v>
      </c>
      <c r="N592" s="70">
        <f t="shared" si="125"/>
        <v>33.259840000000004</v>
      </c>
      <c r="O592" s="70">
        <f t="shared" si="125"/>
        <v>44.045259999999999</v>
      </c>
      <c r="P592" s="70">
        <f t="shared" si="125"/>
        <v>43.563160000000003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 x14ac:dyDescent="0.25">
      <c r="B593" s="29"/>
      <c r="C593" s="53"/>
      <c r="D593" s="71">
        <v>40</v>
      </c>
      <c r="E593" s="81">
        <f t="shared" si="122"/>
        <v>519.27440000000001</v>
      </c>
      <c r="F593" s="81">
        <f t="shared" si="123"/>
        <v>30.946120000000001</v>
      </c>
      <c r="G593" s="81">
        <f t="shared" si="123"/>
        <v>43.253820000000005</v>
      </c>
      <c r="H593" s="81">
        <f t="shared" si="123"/>
        <v>42.831679999999999</v>
      </c>
      <c r="I593" s="68"/>
      <c r="J593" s="68"/>
      <c r="K593" s="69"/>
      <c r="L593" s="29"/>
      <c r="M593" s="81">
        <f t="shared" si="124"/>
        <v>519.28240000000005</v>
      </c>
      <c r="N593" s="81">
        <f t="shared" si="125"/>
        <v>30.946480000000001</v>
      </c>
      <c r="O593" s="81">
        <f t="shared" si="125"/>
        <v>43.24962</v>
      </c>
      <c r="P593" s="81">
        <f t="shared" si="125"/>
        <v>42.830200000000005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 x14ac:dyDescent="0.2">
      <c r="B594" s="29"/>
      <c r="C594" s="28" t="s">
        <v>41</v>
      </c>
      <c r="D594" s="31">
        <v>25</v>
      </c>
      <c r="E594" s="78">
        <f t="shared" si="122"/>
        <v>6811.2608</v>
      </c>
      <c r="F594" s="78">
        <f t="shared" ref="F594:H597" si="126">AVERAGE(F315,F319,F323,F339,F343,F347,F351,F355,F359)</f>
        <v>38.664544444444438</v>
      </c>
      <c r="G594" s="78">
        <f t="shared" si="126"/>
        <v>46.69875555555555</v>
      </c>
      <c r="H594" s="78">
        <f t="shared" si="126"/>
        <v>46.192188888888893</v>
      </c>
      <c r="I594" s="79"/>
      <c r="J594" s="79"/>
      <c r="K594" s="80"/>
      <c r="L594" s="29"/>
      <c r="M594" s="78">
        <f t="shared" si="124"/>
        <v>6809.6343999999999</v>
      </c>
      <c r="N594" s="78">
        <f t="shared" ref="N594:P597" si="127">AVERAGE(N315,N319,N323,N339,N343,N347,N351,N355,N359)</f>
        <v>38.665811111111111</v>
      </c>
      <c r="O594" s="78">
        <f t="shared" si="127"/>
        <v>46.698999999999998</v>
      </c>
      <c r="P594" s="78">
        <f t="shared" si="127"/>
        <v>46.185766666666673</v>
      </c>
      <c r="Q594" s="79"/>
      <c r="R594" s="79"/>
      <c r="S594" s="80"/>
      <c r="U594" s="8">
        <f>bdrate($E594:$E597,F594:F597,$M594:$M597,N594:N597)</f>
        <v>-2.5882589913550635E-4</v>
      </c>
      <c r="V594" s="9">
        <f>bdrate($E594:$E597,G594:G597,$M594:$M597,O594:O597)</f>
        <v>-2.3853790137229325E-4</v>
      </c>
      <c r="W594" s="10">
        <f>bdrate($E594:$E597,H594:H597,$M594:$M597,P594:P597)</f>
        <v>1.0848476398668261E-3</v>
      </c>
      <c r="Y594" s="24"/>
      <c r="Z594" s="24"/>
      <c r="AA594" s="24"/>
      <c r="AB594" s="24"/>
      <c r="AC594" s="24"/>
    </row>
    <row r="595" spans="2:29" ht="12" x14ac:dyDescent="0.2">
      <c r="B595" s="29"/>
      <c r="C595" s="29"/>
      <c r="D595" s="32">
        <v>30</v>
      </c>
      <c r="E595" s="70">
        <f t="shared" si="122"/>
        <v>2807.7864</v>
      </c>
      <c r="F595" s="70">
        <f t="shared" si="126"/>
        <v>35.823133333333345</v>
      </c>
      <c r="G595" s="70">
        <f t="shared" si="126"/>
        <v>45.252422222222229</v>
      </c>
      <c r="H595" s="70">
        <f t="shared" si="126"/>
        <v>44.798866666666669</v>
      </c>
      <c r="I595" s="66"/>
      <c r="J595" s="66"/>
      <c r="K595" s="67"/>
      <c r="L595" s="29"/>
      <c r="M595" s="70">
        <f t="shared" si="124"/>
        <v>2807.3951999999999</v>
      </c>
      <c r="N595" s="70">
        <f t="shared" si="127"/>
        <v>35.825322222222226</v>
      </c>
      <c r="O595" s="70">
        <f t="shared" si="127"/>
        <v>45.258655555555556</v>
      </c>
      <c r="P595" s="70">
        <f t="shared" si="127"/>
        <v>44.798555555555552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 x14ac:dyDescent="0.2">
      <c r="B596" s="29"/>
      <c r="C596" s="29"/>
      <c r="D596" s="32">
        <v>35</v>
      </c>
      <c r="E596" s="70">
        <f t="shared" si="122"/>
        <v>1273.4112</v>
      </c>
      <c r="F596" s="70">
        <f t="shared" si="126"/>
        <v>33.289000000000009</v>
      </c>
      <c r="G596" s="70">
        <f t="shared" si="126"/>
        <v>43.954977777777778</v>
      </c>
      <c r="H596" s="70">
        <f t="shared" si="126"/>
        <v>43.556088888888887</v>
      </c>
      <c r="I596" s="66"/>
      <c r="J596" s="66"/>
      <c r="K596" s="67"/>
      <c r="L596" s="29"/>
      <c r="M596" s="70">
        <f t="shared" si="124"/>
        <v>1273.6112000000001</v>
      </c>
      <c r="N596" s="70">
        <f t="shared" si="127"/>
        <v>33.288011111111111</v>
      </c>
      <c r="O596" s="70">
        <f t="shared" si="127"/>
        <v>43.95001111111111</v>
      </c>
      <c r="P596" s="70">
        <f t="shared" si="127"/>
        <v>43.554555555555559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 x14ac:dyDescent="0.25">
      <c r="B597" s="53"/>
      <c r="C597" s="53"/>
      <c r="D597" s="71">
        <v>40</v>
      </c>
      <c r="E597" s="81">
        <f t="shared" si="122"/>
        <v>594.91200000000003</v>
      </c>
      <c r="F597" s="81">
        <f t="shared" si="126"/>
        <v>30.968155555555555</v>
      </c>
      <c r="G597" s="81">
        <f t="shared" si="126"/>
        <v>43.166866666666664</v>
      </c>
      <c r="H597" s="81">
        <f t="shared" si="126"/>
        <v>42.764266666666664</v>
      </c>
      <c r="I597" s="68"/>
      <c r="J597" s="68"/>
      <c r="K597" s="69"/>
      <c r="L597" s="29"/>
      <c r="M597" s="81">
        <f t="shared" si="124"/>
        <v>594.85519999999997</v>
      </c>
      <c r="N597" s="81">
        <f t="shared" si="127"/>
        <v>30.967822222222221</v>
      </c>
      <c r="O597" s="81">
        <f t="shared" si="127"/>
        <v>43.161722222222217</v>
      </c>
      <c r="P597" s="81">
        <f t="shared" si="127"/>
        <v>42.763566666666662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 x14ac:dyDescent="0.2">
      <c r="B598" s="28" t="str">
        <f>B367</f>
        <v>Shark</v>
      </c>
      <c r="C598" s="28" t="s">
        <v>35</v>
      </c>
      <c r="D598" s="31">
        <v>25</v>
      </c>
      <c r="E598" s="78">
        <f>E367+E371</f>
        <v>4702.6063999999997</v>
      </c>
      <c r="F598" s="78">
        <f t="shared" ref="F598:H601" si="128">AVERAGE(F367,F371)</f>
        <v>41.20185</v>
      </c>
      <c r="G598" s="78">
        <f t="shared" si="128"/>
        <v>46.551200000000001</v>
      </c>
      <c r="H598" s="78">
        <f t="shared" si="128"/>
        <v>45.921300000000002</v>
      </c>
      <c r="I598" s="79"/>
      <c r="J598" s="79"/>
      <c r="K598" s="80"/>
      <c r="L598" s="29"/>
      <c r="M598" s="78">
        <f>M367+M371</f>
        <v>4702.8895999999995</v>
      </c>
      <c r="N598" s="78">
        <f t="shared" ref="N598:P601" si="129">AVERAGE(N367,N371)</f>
        <v>41.202200000000005</v>
      </c>
      <c r="O598" s="78">
        <f t="shared" si="129"/>
        <v>46.552300000000002</v>
      </c>
      <c r="P598" s="78">
        <f t="shared" si="129"/>
        <v>45.920649999999995</v>
      </c>
      <c r="Q598" s="79"/>
      <c r="R598" s="79"/>
      <c r="S598" s="80"/>
      <c r="U598" s="8">
        <f>bdrate($E598:$E601,F598:F601,$M598:$M601,N598:N601)</f>
        <v>-8.0990284661464074E-5</v>
      </c>
      <c r="V598" s="9">
        <f>bdrate($E598:$E601,G598:G601,$M598:$M601,O598:O601)</f>
        <v>-2.0583193371936925E-4</v>
      </c>
      <c r="W598" s="10">
        <f>bdrate($E598:$E601,H598:H601,$M598:$M601,P598:P601)</f>
        <v>-4.9101771003701167E-5</v>
      </c>
      <c r="Y598" s="24"/>
      <c r="Z598" s="24"/>
      <c r="AA598" s="24"/>
      <c r="AB598" s="24"/>
      <c r="AC598" s="24"/>
    </row>
    <row r="599" spans="2:29" ht="12" x14ac:dyDescent="0.2">
      <c r="B599" s="29"/>
      <c r="C599" s="29"/>
      <c r="D599" s="32">
        <v>30</v>
      </c>
      <c r="E599" s="70">
        <f>E368+E372</f>
        <v>2321.2447999999999</v>
      </c>
      <c r="F599" s="70">
        <f t="shared" si="128"/>
        <v>38.283999999999999</v>
      </c>
      <c r="G599" s="70">
        <f t="shared" si="128"/>
        <v>44.873249999999999</v>
      </c>
      <c r="H599" s="70">
        <f t="shared" si="128"/>
        <v>44.025100000000002</v>
      </c>
      <c r="I599" s="66"/>
      <c r="J599" s="66"/>
      <c r="K599" s="67"/>
      <c r="L599" s="29"/>
      <c r="M599" s="70">
        <f>M368+M372</f>
        <v>2321.1232</v>
      </c>
      <c r="N599" s="70">
        <f t="shared" si="129"/>
        <v>38.284599999999998</v>
      </c>
      <c r="O599" s="70">
        <f t="shared" si="129"/>
        <v>44.873649999999998</v>
      </c>
      <c r="P599" s="70">
        <f t="shared" si="129"/>
        <v>44.025599999999997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 x14ac:dyDescent="0.2">
      <c r="B600" s="29"/>
      <c r="C600" s="29"/>
      <c r="D600" s="32">
        <v>35</v>
      </c>
      <c r="E600" s="70">
        <f>E369+E373</f>
        <v>1137.4295999999999</v>
      </c>
      <c r="F600" s="70">
        <f t="shared" si="128"/>
        <v>35.527100000000004</v>
      </c>
      <c r="G600" s="70">
        <f t="shared" si="128"/>
        <v>43.257850000000005</v>
      </c>
      <c r="H600" s="70">
        <f t="shared" si="128"/>
        <v>42.191949999999999</v>
      </c>
      <c r="I600" s="66"/>
      <c r="J600" s="66"/>
      <c r="K600" s="67"/>
      <c r="L600" s="29"/>
      <c r="M600" s="70">
        <f>M369+M373</f>
        <v>1137.452</v>
      </c>
      <c r="N600" s="70">
        <f t="shared" si="129"/>
        <v>35.527200000000001</v>
      </c>
      <c r="O600" s="70">
        <f t="shared" si="129"/>
        <v>43.258250000000004</v>
      </c>
      <c r="P600" s="70">
        <f t="shared" si="129"/>
        <v>42.192099999999996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 x14ac:dyDescent="0.25">
      <c r="B601" s="29"/>
      <c r="C601" s="53"/>
      <c r="D601" s="71">
        <v>40</v>
      </c>
      <c r="E601" s="81">
        <f>E370+E374</f>
        <v>546.10879999999997</v>
      </c>
      <c r="F601" s="81">
        <f t="shared" si="128"/>
        <v>33.090400000000002</v>
      </c>
      <c r="G601" s="81">
        <f t="shared" si="128"/>
        <v>42.273499999999999</v>
      </c>
      <c r="H601" s="81">
        <f t="shared" si="128"/>
        <v>40.920099999999998</v>
      </c>
      <c r="I601" s="68"/>
      <c r="J601" s="68"/>
      <c r="K601" s="69"/>
      <c r="L601" s="29"/>
      <c r="M601" s="81">
        <f>M370+M374</f>
        <v>546.16719999999998</v>
      </c>
      <c r="N601" s="81">
        <f t="shared" si="129"/>
        <v>33.09055</v>
      </c>
      <c r="O601" s="81">
        <f t="shared" si="129"/>
        <v>42.273350000000001</v>
      </c>
      <c r="P601" s="81">
        <f t="shared" si="129"/>
        <v>40.919749999999993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 x14ac:dyDescent="0.2">
      <c r="B602" s="29"/>
      <c r="C602" s="28" t="s">
        <v>36</v>
      </c>
      <c r="D602" s="31">
        <v>25</v>
      </c>
      <c r="E602" s="78">
        <f>E367+E371+E375</f>
        <v>5228.9983999999995</v>
      </c>
      <c r="F602" s="78">
        <f t="shared" ref="F602:H605" si="130">AVERAGE(F367,F371,F375)</f>
        <v>41.110099999999996</v>
      </c>
      <c r="G602" s="78">
        <f t="shared" si="130"/>
        <v>46.532933333333339</v>
      </c>
      <c r="H602" s="78">
        <f t="shared" si="130"/>
        <v>45.88153333333333</v>
      </c>
      <c r="I602" s="79"/>
      <c r="J602" s="79"/>
      <c r="K602" s="80"/>
      <c r="L602" s="29"/>
      <c r="M602" s="78">
        <f>M367+M371+M375</f>
        <v>5229.7623999999996</v>
      </c>
      <c r="N602" s="78">
        <f t="shared" ref="N602:P605" si="131">AVERAGE(N367,N371,N375)</f>
        <v>41.110666666666667</v>
      </c>
      <c r="O602" s="78">
        <f t="shared" si="131"/>
        <v>46.533733333333338</v>
      </c>
      <c r="P602" s="78">
        <f t="shared" si="131"/>
        <v>45.881299999999989</v>
      </c>
      <c r="Q602" s="79"/>
      <c r="R602" s="79"/>
      <c r="S602" s="80"/>
      <c r="U602" s="8">
        <f>bdrate($E602:$E605,F602:F605,$M602:$M605,N602:N605)</f>
        <v>-1.5563296698495321E-5</v>
      </c>
      <c r="V602" s="9">
        <f>bdrate($E602:$E605,G602:G605,$M602:$M605,O602:O605)</f>
        <v>2.2174842951638851E-5</v>
      </c>
      <c r="W602" s="10">
        <f>bdrate($E602:$E605,H602:H605,$M602:$M605,P602:P605)</f>
        <v>-8.4300504227696749E-5</v>
      </c>
      <c r="Y602" s="24"/>
      <c r="Z602" s="24"/>
      <c r="AA602" s="24"/>
      <c r="AB602" s="24"/>
      <c r="AC602" s="24"/>
    </row>
    <row r="603" spans="2:29" ht="12" x14ac:dyDescent="0.2">
      <c r="B603" s="29"/>
      <c r="C603" s="29"/>
      <c r="D603" s="32">
        <v>30</v>
      </c>
      <c r="E603" s="70">
        <f>E368+E372+E376</f>
        <v>2539.8296</v>
      </c>
      <c r="F603" s="70">
        <f t="shared" si="130"/>
        <v>38.218299999999999</v>
      </c>
      <c r="G603" s="70">
        <f t="shared" si="130"/>
        <v>44.857966666666663</v>
      </c>
      <c r="H603" s="70">
        <f t="shared" si="130"/>
        <v>43.999566666666674</v>
      </c>
      <c r="I603" s="66"/>
      <c r="J603" s="66"/>
      <c r="K603" s="67"/>
      <c r="L603" s="29"/>
      <c r="M603" s="70">
        <f>M368+M372+M376</f>
        <v>2539.4823999999999</v>
      </c>
      <c r="N603" s="70">
        <f t="shared" si="131"/>
        <v>38.218566666666668</v>
      </c>
      <c r="O603" s="70">
        <f t="shared" si="131"/>
        <v>44.857766666666663</v>
      </c>
      <c r="P603" s="70">
        <f t="shared" si="131"/>
        <v>44.000300000000003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 x14ac:dyDescent="0.2">
      <c r="B604" s="29"/>
      <c r="C604" s="29"/>
      <c r="D604" s="32">
        <v>35</v>
      </c>
      <c r="E604" s="70">
        <f>E369+E373+E377</f>
        <v>1241.4168</v>
      </c>
      <c r="F604" s="70">
        <f t="shared" si="130"/>
        <v>35.484633333333335</v>
      </c>
      <c r="G604" s="70">
        <f t="shared" si="130"/>
        <v>43.252700000000004</v>
      </c>
      <c r="H604" s="70">
        <f t="shared" si="130"/>
        <v>42.18366666666666</v>
      </c>
      <c r="I604" s="66"/>
      <c r="J604" s="66"/>
      <c r="K604" s="67"/>
      <c r="L604" s="29"/>
      <c r="M604" s="70">
        <f>M369+M373+M377</f>
        <v>1241.692</v>
      </c>
      <c r="N604" s="70">
        <f t="shared" si="131"/>
        <v>35.484900000000003</v>
      </c>
      <c r="O604" s="70">
        <f t="shared" si="131"/>
        <v>43.252733333333339</v>
      </c>
      <c r="P604" s="70">
        <f t="shared" si="131"/>
        <v>42.183633333333326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 x14ac:dyDescent="0.25">
      <c r="B605" s="29"/>
      <c r="C605" s="53"/>
      <c r="D605" s="71">
        <v>40</v>
      </c>
      <c r="E605" s="81">
        <f>E370+E374+E378</f>
        <v>597.19679999999994</v>
      </c>
      <c r="F605" s="81">
        <f t="shared" si="130"/>
        <v>33.056199999999997</v>
      </c>
      <c r="G605" s="81">
        <f t="shared" si="130"/>
        <v>42.26156666666666</v>
      </c>
      <c r="H605" s="81">
        <f t="shared" si="130"/>
        <v>40.903399999999998</v>
      </c>
      <c r="I605" s="68"/>
      <c r="J605" s="68"/>
      <c r="K605" s="69"/>
      <c r="L605" s="29"/>
      <c r="M605" s="81">
        <f>M370+M374+M378</f>
        <v>597.23040000000003</v>
      </c>
      <c r="N605" s="81">
        <f t="shared" si="131"/>
        <v>33.05596666666667</v>
      </c>
      <c r="O605" s="81">
        <f t="shared" si="131"/>
        <v>42.261466666666671</v>
      </c>
      <c r="P605" s="81">
        <f t="shared" si="131"/>
        <v>40.903699999999994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 x14ac:dyDescent="0.2">
      <c r="B606" s="29"/>
      <c r="C606" s="28" t="s">
        <v>37</v>
      </c>
      <c r="D606" s="31">
        <v>25</v>
      </c>
      <c r="E606" s="78">
        <f>E367+E371+E379+E383</f>
        <v>5346.0111999999999</v>
      </c>
      <c r="F606" s="78">
        <f t="shared" ref="F606:H609" si="132">AVERAGE(F391,F395,F399)</f>
        <v>40.869766666666663</v>
      </c>
      <c r="G606" s="78">
        <f t="shared" si="132"/>
        <v>47.137266666666669</v>
      </c>
      <c r="H606" s="78">
        <f t="shared" si="132"/>
        <v>46.673233333333336</v>
      </c>
      <c r="I606" s="79"/>
      <c r="J606" s="79"/>
      <c r="K606" s="80"/>
      <c r="L606" s="29"/>
      <c r="M606" s="78">
        <f>M367+M371+M379+M383</f>
        <v>5346.6471999999994</v>
      </c>
      <c r="N606" s="78">
        <f t="shared" ref="N606:P609" si="133">AVERAGE(N391,N395,N399)</f>
        <v>40.869799999999998</v>
      </c>
      <c r="O606" s="78">
        <f t="shared" si="133"/>
        <v>47.135933333333334</v>
      </c>
      <c r="P606" s="78">
        <f t="shared" si="133"/>
        <v>46.672533333333341</v>
      </c>
      <c r="Q606" s="79"/>
      <c r="R606" s="79"/>
      <c r="S606" s="80"/>
      <c r="U606" s="8">
        <f>bdrate($E606:$E609,F606:F609,$M606:$M609,N606:N609)</f>
        <v>5.0731537903025981E-5</v>
      </c>
      <c r="V606" s="9">
        <f>bdrate($E606:$E609,G606:G609,$M606:$M609,O606:O609)</f>
        <v>5.6701832705119415E-5</v>
      </c>
      <c r="W606" s="10">
        <f>bdrate($E606:$E609,H606:H609,$M606:$M609,P606:P609)</f>
        <v>9.7590525061974631E-5</v>
      </c>
      <c r="Y606" s="61"/>
      <c r="Z606" s="61"/>
      <c r="AA606" s="61"/>
      <c r="AB606" s="24"/>
      <c r="AC606" s="24"/>
    </row>
    <row r="607" spans="2:29" ht="12" x14ac:dyDescent="0.2">
      <c r="B607" s="29"/>
      <c r="C607" s="29"/>
      <c r="D607" s="32">
        <v>30</v>
      </c>
      <c r="E607" s="70">
        <f>E368+E372+E380+E384</f>
        <v>2523.9656</v>
      </c>
      <c r="F607" s="70">
        <f t="shared" si="132"/>
        <v>38.048333333333339</v>
      </c>
      <c r="G607" s="70">
        <f t="shared" si="132"/>
        <v>45.448433333333334</v>
      </c>
      <c r="H607" s="70">
        <f t="shared" si="132"/>
        <v>44.735800000000005</v>
      </c>
      <c r="I607" s="66"/>
      <c r="J607" s="66"/>
      <c r="K607" s="67"/>
      <c r="L607" s="29"/>
      <c r="M607" s="70">
        <f>M368+M372+M380+M384</f>
        <v>2523.8663999999999</v>
      </c>
      <c r="N607" s="70">
        <f t="shared" si="133"/>
        <v>38.048099999999998</v>
      </c>
      <c r="O607" s="70">
        <f t="shared" si="133"/>
        <v>45.445933333333329</v>
      </c>
      <c r="P607" s="70">
        <f t="shared" si="133"/>
        <v>44.735433333333333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 x14ac:dyDescent="0.2">
      <c r="B608" s="29"/>
      <c r="C608" s="29"/>
      <c r="D608" s="32">
        <v>35</v>
      </c>
      <c r="E608" s="70">
        <f>E369+E373+E381+E385</f>
        <v>1213.5056</v>
      </c>
      <c r="F608" s="70">
        <f t="shared" si="132"/>
        <v>35.346300000000006</v>
      </c>
      <c r="G608" s="70">
        <f t="shared" si="132"/>
        <v>43.708433333333339</v>
      </c>
      <c r="H608" s="70">
        <f t="shared" si="132"/>
        <v>42.759133333333331</v>
      </c>
      <c r="I608" s="66"/>
      <c r="J608" s="66"/>
      <c r="K608" s="67"/>
      <c r="L608" s="29"/>
      <c r="M608" s="70">
        <f>M369+M373+M381+M385</f>
        <v>1213.5935999999999</v>
      </c>
      <c r="N608" s="70">
        <f t="shared" si="133"/>
        <v>35.346666666666664</v>
      </c>
      <c r="O608" s="70">
        <f t="shared" si="133"/>
        <v>43.711800000000004</v>
      </c>
      <c r="P608" s="70">
        <f t="shared" si="133"/>
        <v>42.759399999999999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 x14ac:dyDescent="0.25">
      <c r="B609" s="29"/>
      <c r="C609" s="53"/>
      <c r="D609" s="71">
        <v>40</v>
      </c>
      <c r="E609" s="81">
        <f>E370+E374+E382+E386</f>
        <v>578.12</v>
      </c>
      <c r="F609" s="81">
        <f t="shared" si="132"/>
        <v>32.932300000000005</v>
      </c>
      <c r="G609" s="81">
        <f t="shared" si="132"/>
        <v>42.571899999999999</v>
      </c>
      <c r="H609" s="81">
        <f t="shared" si="132"/>
        <v>41.365499999999997</v>
      </c>
      <c r="I609" s="68"/>
      <c r="J609" s="68"/>
      <c r="K609" s="69"/>
      <c r="L609" s="29"/>
      <c r="M609" s="81">
        <f>M370+M374+M382+M386</f>
        <v>578.19279999999992</v>
      </c>
      <c r="N609" s="81">
        <f t="shared" si="133"/>
        <v>32.93163333333333</v>
      </c>
      <c r="O609" s="81">
        <f t="shared" si="133"/>
        <v>42.571033333333332</v>
      </c>
      <c r="P609" s="81">
        <f t="shared" si="133"/>
        <v>41.365400000000001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 x14ac:dyDescent="0.2">
      <c r="B610" s="29"/>
      <c r="C610" s="28" t="s">
        <v>39</v>
      </c>
      <c r="D610" s="31">
        <v>25</v>
      </c>
      <c r="E610" s="78">
        <f>E415</f>
        <v>6069.5672000000004</v>
      </c>
      <c r="F610" s="78">
        <f t="shared" ref="F610:H613" si="134">AVERAGE(F391,F395,F399,F403,F407,F411)</f>
        <v>40.877066666666664</v>
      </c>
      <c r="G610" s="78">
        <f t="shared" si="134"/>
        <v>47.064016666666667</v>
      </c>
      <c r="H610" s="78">
        <f t="shared" si="134"/>
        <v>46.753483333333328</v>
      </c>
      <c r="I610" s="79"/>
      <c r="J610" s="79"/>
      <c r="K610" s="80"/>
      <c r="L610" s="29"/>
      <c r="M610" s="78">
        <f>M415</f>
        <v>6071.0807999999997</v>
      </c>
      <c r="N610" s="78">
        <f t="shared" ref="N610:P613" si="135">AVERAGE(N391,N395,N399,N403,N407,N411)</f>
        <v>40.87768333333333</v>
      </c>
      <c r="O610" s="78">
        <f t="shared" si="135"/>
        <v>47.059266666666666</v>
      </c>
      <c r="P610" s="78">
        <f t="shared" si="135"/>
        <v>46.751616666666671</v>
      </c>
      <c r="Q610" s="79"/>
      <c r="R610" s="79"/>
      <c r="S610" s="80"/>
      <c r="U610" s="8">
        <f>bdrate($E610:$E613,F610:F613,$M610:$M613,N610:N613)</f>
        <v>1.3599189863500172E-4</v>
      </c>
      <c r="V610" s="9">
        <f>bdrate($E610:$E613,G610:G613,$M610:$M613,O610:O613)</f>
        <v>-5.7110235875790227E-4</v>
      </c>
      <c r="W610" s="10">
        <f>bdrate($E610:$E613,H610:H613,$M610:$M613,P610:P613)</f>
        <v>4.8014688854514098E-4</v>
      </c>
      <c r="Y610" s="24"/>
      <c r="Z610" s="24"/>
      <c r="AA610" s="24"/>
      <c r="AB610" s="24"/>
      <c r="AC610" s="24"/>
    </row>
    <row r="611" spans="2:29" ht="12" x14ac:dyDescent="0.2">
      <c r="B611" s="29"/>
      <c r="C611" s="29"/>
      <c r="D611" s="32">
        <v>30</v>
      </c>
      <c r="E611" s="70">
        <f>E416</f>
        <v>2802.8784000000001</v>
      </c>
      <c r="F611" s="70">
        <f t="shared" si="134"/>
        <v>38.051200000000001</v>
      </c>
      <c r="G611" s="70">
        <f t="shared" si="134"/>
        <v>45.409833333333331</v>
      </c>
      <c r="H611" s="70">
        <f t="shared" si="134"/>
        <v>44.793166666666671</v>
      </c>
      <c r="I611" s="66"/>
      <c r="J611" s="66"/>
      <c r="K611" s="67"/>
      <c r="L611" s="29"/>
      <c r="M611" s="70">
        <f>M416</f>
        <v>2802.6</v>
      </c>
      <c r="N611" s="70">
        <f t="shared" si="135"/>
        <v>38.050666666666665</v>
      </c>
      <c r="O611" s="70">
        <f t="shared" si="135"/>
        <v>45.412933333333335</v>
      </c>
      <c r="P611" s="70">
        <f t="shared" si="135"/>
        <v>44.791249999999998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 x14ac:dyDescent="0.2">
      <c r="B612" s="29"/>
      <c r="C612" s="29"/>
      <c r="D612" s="32">
        <v>35</v>
      </c>
      <c r="E612" s="70">
        <f>E417</f>
        <v>1345.0368000000001</v>
      </c>
      <c r="F612" s="70">
        <f t="shared" si="134"/>
        <v>35.349116666666667</v>
      </c>
      <c r="G612" s="70">
        <f t="shared" si="134"/>
        <v>43.712466666666671</v>
      </c>
      <c r="H612" s="70">
        <f t="shared" si="134"/>
        <v>42.805100000000003</v>
      </c>
      <c r="I612" s="66"/>
      <c r="J612" s="66"/>
      <c r="K612" s="67"/>
      <c r="L612" s="29"/>
      <c r="M612" s="70">
        <f>M417</f>
        <v>1345.3240000000001</v>
      </c>
      <c r="N612" s="70">
        <f t="shared" si="135"/>
        <v>35.3491</v>
      </c>
      <c r="O612" s="70">
        <f t="shared" si="135"/>
        <v>43.71436666666667</v>
      </c>
      <c r="P612" s="70">
        <f t="shared" si="135"/>
        <v>42.804516666666672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 x14ac:dyDescent="0.25">
      <c r="B613" s="29"/>
      <c r="C613" s="53"/>
      <c r="D613" s="71">
        <v>40</v>
      </c>
      <c r="E613" s="81">
        <f>E418</f>
        <v>645.03599999999994</v>
      </c>
      <c r="F613" s="81">
        <f t="shared" si="134"/>
        <v>32.929083333333331</v>
      </c>
      <c r="G613" s="81">
        <f t="shared" si="134"/>
        <v>42.590399999999995</v>
      </c>
      <c r="H613" s="81">
        <f t="shared" si="134"/>
        <v>41.394933333333334</v>
      </c>
      <c r="I613" s="68"/>
      <c r="J613" s="68"/>
      <c r="K613" s="69"/>
      <c r="L613" s="29"/>
      <c r="M613" s="81">
        <f>M418</f>
        <v>645.08240000000001</v>
      </c>
      <c r="N613" s="81">
        <f t="shared" si="135"/>
        <v>32.928466666666672</v>
      </c>
      <c r="O613" s="81">
        <f t="shared" si="135"/>
        <v>42.590800000000002</v>
      </c>
      <c r="P613" s="81">
        <f t="shared" si="135"/>
        <v>41.39651666666667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 x14ac:dyDescent="0.2">
      <c r="B614" s="29"/>
      <c r="C614" s="28" t="s">
        <v>40</v>
      </c>
      <c r="D614" s="31">
        <v>25</v>
      </c>
      <c r="E614" s="78">
        <f t="shared" ref="E614:E621" si="136">E606</f>
        <v>5346.0111999999999</v>
      </c>
      <c r="F614" s="78">
        <f t="shared" ref="F614:H617" si="137">AVERAGE(F367,F371,F391,F395,F399)</f>
        <v>41.002600000000001</v>
      </c>
      <c r="G614" s="78">
        <f t="shared" si="137"/>
        <v>46.902840000000005</v>
      </c>
      <c r="H614" s="78">
        <f t="shared" si="137"/>
        <v>46.372460000000004</v>
      </c>
      <c r="I614" s="79"/>
      <c r="J614" s="79"/>
      <c r="K614" s="80"/>
      <c r="L614" s="29"/>
      <c r="M614" s="78">
        <f t="shared" ref="M614:M621" si="138">M606</f>
        <v>5346.6471999999994</v>
      </c>
      <c r="N614" s="78">
        <f t="shared" ref="N614:P617" si="139">AVERAGE(N367,N371,N391,N395,N399)</f>
        <v>41.002760000000002</v>
      </c>
      <c r="O614" s="78">
        <f t="shared" si="139"/>
        <v>46.902480000000004</v>
      </c>
      <c r="P614" s="78">
        <f t="shared" si="139"/>
        <v>46.371779999999994</v>
      </c>
      <c r="Q614" s="79"/>
      <c r="R614" s="79"/>
      <c r="S614" s="80"/>
      <c r="U614" s="8">
        <f>bdrate($E614:$E617,F614:F617,$M614:$M617,N614:N617)</f>
        <v>9.6636632622715268E-6</v>
      </c>
      <c r="V614" s="9">
        <f>bdrate($E614:$E617,G614:G617,$M614:$M617,O614:O617)</f>
        <v>-3.3247550940362913E-5</v>
      </c>
      <c r="W614" s="10">
        <f>bdrate($E614:$E617,H614:H617,$M614:$M617,P614:P617)</f>
        <v>5.3783643196858577E-5</v>
      </c>
      <c r="Y614" s="24"/>
      <c r="Z614" s="24"/>
      <c r="AA614" s="24"/>
      <c r="AB614" s="24"/>
      <c r="AC614" s="24"/>
    </row>
    <row r="615" spans="2:29" ht="12" x14ac:dyDescent="0.2">
      <c r="B615" s="29"/>
      <c r="C615" s="29"/>
      <c r="D615" s="32">
        <v>30</v>
      </c>
      <c r="E615" s="70">
        <f t="shared" si="136"/>
        <v>2523.9656</v>
      </c>
      <c r="F615" s="70">
        <f t="shared" si="137"/>
        <v>38.142600000000002</v>
      </c>
      <c r="G615" s="70">
        <f t="shared" si="137"/>
        <v>45.218360000000004</v>
      </c>
      <c r="H615" s="70">
        <f t="shared" si="137"/>
        <v>44.451520000000002</v>
      </c>
      <c r="I615" s="66"/>
      <c r="J615" s="66"/>
      <c r="K615" s="67"/>
      <c r="L615" s="29"/>
      <c r="M615" s="70">
        <f t="shared" si="138"/>
        <v>2523.8663999999999</v>
      </c>
      <c r="N615" s="70">
        <f t="shared" si="139"/>
        <v>38.142700000000005</v>
      </c>
      <c r="O615" s="70">
        <f t="shared" si="139"/>
        <v>45.217019999999998</v>
      </c>
      <c r="P615" s="70">
        <f t="shared" si="139"/>
        <v>44.451499999999996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 x14ac:dyDescent="0.2">
      <c r="B616" s="29"/>
      <c r="C616" s="29"/>
      <c r="D616" s="32">
        <v>35</v>
      </c>
      <c r="E616" s="70">
        <f t="shared" si="136"/>
        <v>1213.5056</v>
      </c>
      <c r="F616" s="70">
        <f t="shared" si="137"/>
        <v>35.418620000000004</v>
      </c>
      <c r="G616" s="70">
        <f t="shared" si="137"/>
        <v>43.528199999999998</v>
      </c>
      <c r="H616" s="70">
        <f t="shared" si="137"/>
        <v>42.532260000000001</v>
      </c>
      <c r="I616" s="66"/>
      <c r="J616" s="66"/>
      <c r="K616" s="67"/>
      <c r="L616" s="29"/>
      <c r="M616" s="70">
        <f t="shared" si="138"/>
        <v>1213.5935999999999</v>
      </c>
      <c r="N616" s="70">
        <f t="shared" si="139"/>
        <v>35.418879999999994</v>
      </c>
      <c r="O616" s="70">
        <f t="shared" si="139"/>
        <v>43.530380000000001</v>
      </c>
      <c r="P616" s="70">
        <f t="shared" si="139"/>
        <v>42.53248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 x14ac:dyDescent="0.25">
      <c r="B617" s="29"/>
      <c r="C617" s="53"/>
      <c r="D617" s="71">
        <v>40</v>
      </c>
      <c r="E617" s="81">
        <f t="shared" si="136"/>
        <v>578.12</v>
      </c>
      <c r="F617" s="81">
        <f t="shared" si="137"/>
        <v>32.995540000000005</v>
      </c>
      <c r="G617" s="81">
        <f t="shared" si="137"/>
        <v>42.452539999999999</v>
      </c>
      <c r="H617" s="81">
        <f t="shared" si="137"/>
        <v>41.187339999999999</v>
      </c>
      <c r="I617" s="68"/>
      <c r="J617" s="68"/>
      <c r="K617" s="69"/>
      <c r="L617" s="29"/>
      <c r="M617" s="81">
        <f t="shared" si="138"/>
        <v>578.19279999999992</v>
      </c>
      <c r="N617" s="81">
        <f t="shared" si="139"/>
        <v>32.995199999999997</v>
      </c>
      <c r="O617" s="81">
        <f t="shared" si="139"/>
        <v>42.45196</v>
      </c>
      <c r="P617" s="81">
        <f t="shared" si="139"/>
        <v>41.187139999999992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 x14ac:dyDescent="0.2">
      <c r="B618" s="29"/>
      <c r="C618" s="28" t="s">
        <v>41</v>
      </c>
      <c r="D618" s="31">
        <v>25</v>
      </c>
      <c r="E618" s="78">
        <f t="shared" si="136"/>
        <v>6069.5672000000004</v>
      </c>
      <c r="F618" s="78">
        <f t="shared" ref="F618:H621" si="140">AVERAGE(F367,F371,F375,F391,F395,F399,F403,F407,F411)</f>
        <v>40.954744444444444</v>
      </c>
      <c r="G618" s="78">
        <f t="shared" si="140"/>
        <v>46.886988888888894</v>
      </c>
      <c r="H618" s="78">
        <f t="shared" si="140"/>
        <v>46.462833333333329</v>
      </c>
      <c r="I618" s="79"/>
      <c r="J618" s="79"/>
      <c r="K618" s="80"/>
      <c r="L618" s="29"/>
      <c r="M618" s="78">
        <f t="shared" si="138"/>
        <v>6071.0807999999997</v>
      </c>
      <c r="N618" s="78">
        <f t="shared" ref="N618:P621" si="141">AVERAGE(N367,N371,N375,N391,N395,N399,N403,N407,N411)</f>
        <v>40.955344444444442</v>
      </c>
      <c r="O618" s="78">
        <f t="shared" si="141"/>
        <v>46.884088888888897</v>
      </c>
      <c r="P618" s="78">
        <f t="shared" si="141"/>
        <v>46.461511111111108</v>
      </c>
      <c r="Q618" s="79"/>
      <c r="R618" s="79"/>
      <c r="S618" s="80"/>
      <c r="U618" s="8">
        <f>bdrate($E618:$E621,F618:F621,$M618:$M621,N618:N621)</f>
        <v>9.3344791946448069E-5</v>
      </c>
      <c r="V618" s="9">
        <f>bdrate($E618:$E621,G618:G621,$M618:$M621,O618:O621)</f>
        <v>-3.7302782590631356E-4</v>
      </c>
      <c r="W618" s="10">
        <f>bdrate($E618:$E621,H618:H621,$M618:$M621,P618:P621)</f>
        <v>3.0977877229454442E-4</v>
      </c>
      <c r="Y618" s="24"/>
      <c r="Z618" s="24"/>
      <c r="AA618" s="24"/>
      <c r="AB618" s="24"/>
      <c r="AC618" s="24"/>
    </row>
    <row r="619" spans="2:29" ht="12" x14ac:dyDescent="0.2">
      <c r="B619" s="29"/>
      <c r="C619" s="29"/>
      <c r="D619" s="32">
        <v>30</v>
      </c>
      <c r="E619" s="70">
        <f t="shared" si="136"/>
        <v>2802.8784000000001</v>
      </c>
      <c r="F619" s="70">
        <f t="shared" si="140"/>
        <v>38.106900000000003</v>
      </c>
      <c r="G619" s="70">
        <f t="shared" si="140"/>
        <v>45.225877777777775</v>
      </c>
      <c r="H619" s="70">
        <f t="shared" si="140"/>
        <v>44.528633333333332</v>
      </c>
      <c r="I619" s="66"/>
      <c r="J619" s="66"/>
      <c r="K619" s="67"/>
      <c r="L619" s="29"/>
      <c r="M619" s="70">
        <f t="shared" si="138"/>
        <v>2802.6</v>
      </c>
      <c r="N619" s="70">
        <f t="shared" si="141"/>
        <v>38.106633333333335</v>
      </c>
      <c r="O619" s="70">
        <f t="shared" si="141"/>
        <v>45.227877777777771</v>
      </c>
      <c r="P619" s="70">
        <f t="shared" si="141"/>
        <v>44.5276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 x14ac:dyDescent="0.2">
      <c r="B620" s="29"/>
      <c r="C620" s="29"/>
      <c r="D620" s="32">
        <v>35</v>
      </c>
      <c r="E620" s="70">
        <f t="shared" si="136"/>
        <v>1345.0368000000001</v>
      </c>
      <c r="F620" s="70">
        <f t="shared" si="140"/>
        <v>35.394288888888887</v>
      </c>
      <c r="G620" s="70">
        <f t="shared" si="140"/>
        <v>43.559211111111111</v>
      </c>
      <c r="H620" s="70">
        <f t="shared" si="140"/>
        <v>42.597955555555558</v>
      </c>
      <c r="I620" s="66"/>
      <c r="J620" s="66"/>
      <c r="K620" s="67"/>
      <c r="L620" s="29"/>
      <c r="M620" s="70">
        <f t="shared" si="138"/>
        <v>1345.3240000000001</v>
      </c>
      <c r="N620" s="70">
        <f t="shared" si="141"/>
        <v>35.39436666666667</v>
      </c>
      <c r="O620" s="70">
        <f t="shared" si="141"/>
        <v>43.560488888888891</v>
      </c>
      <c r="P620" s="70">
        <f t="shared" si="141"/>
        <v>42.597555555555552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 x14ac:dyDescent="0.25">
      <c r="B621" s="53"/>
      <c r="C621" s="53"/>
      <c r="D621" s="71">
        <v>40</v>
      </c>
      <c r="E621" s="81">
        <f t="shared" si="136"/>
        <v>645.03599999999994</v>
      </c>
      <c r="F621" s="81">
        <f t="shared" si="140"/>
        <v>32.971455555555558</v>
      </c>
      <c r="G621" s="81">
        <f t="shared" si="140"/>
        <v>42.480788888888888</v>
      </c>
      <c r="H621" s="81">
        <f t="shared" si="140"/>
        <v>41.231088888888884</v>
      </c>
      <c r="I621" s="68"/>
      <c r="J621" s="68"/>
      <c r="K621" s="69"/>
      <c r="L621" s="29"/>
      <c r="M621" s="81">
        <f t="shared" si="138"/>
        <v>645.08240000000001</v>
      </c>
      <c r="N621" s="81">
        <f t="shared" si="141"/>
        <v>32.970966666666662</v>
      </c>
      <c r="O621" s="81">
        <f t="shared" si="141"/>
        <v>42.481022222222222</v>
      </c>
      <c r="P621" s="81">
        <f t="shared" si="141"/>
        <v>41.23224444444444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 x14ac:dyDescent="0.15">
      <c r="Y622" s="24"/>
      <c r="Z622" s="24"/>
      <c r="AA622" s="24"/>
      <c r="AB622" s="24"/>
      <c r="AC622" s="24"/>
    </row>
    <row r="623" spans="2:29" x14ac:dyDescent="0.15">
      <c r="Y623" s="24"/>
      <c r="Z623" s="24"/>
      <c r="AA623" s="24"/>
      <c r="AB623" s="24"/>
      <c r="AC623" s="24"/>
    </row>
    <row r="624" spans="2:29" x14ac:dyDescent="0.15">
      <c r="Y624" s="24"/>
      <c r="Z624" s="24"/>
      <c r="AA624" s="24"/>
      <c r="AB624" s="24"/>
      <c r="AC624" s="24"/>
    </row>
    <row r="625" spans="25:29" x14ac:dyDescent="0.15">
      <c r="Y625" s="61"/>
      <c r="Z625" s="61"/>
      <c r="AA625" s="61"/>
      <c r="AB625" s="24"/>
      <c r="AC625" s="24"/>
    </row>
    <row r="626" spans="25:29" x14ac:dyDescent="0.15">
      <c r="Y626" s="24"/>
      <c r="Z626" s="24"/>
      <c r="AA626" s="24"/>
      <c r="AB626" s="24"/>
      <c r="AC626" s="24"/>
    </row>
    <row r="627" spans="25:29" x14ac:dyDescent="0.15">
      <c r="Y627" s="24"/>
      <c r="Z627" s="24"/>
      <c r="AA627" s="24"/>
      <c r="AB627" s="24"/>
      <c r="AC627" s="24"/>
    </row>
    <row r="628" spans="25:29" x14ac:dyDescent="0.15">
      <c r="Y628" s="24"/>
      <c r="Z628" s="24"/>
      <c r="AA628" s="24"/>
      <c r="AB628" s="24"/>
      <c r="AC628" s="24"/>
    </row>
    <row r="629" spans="25:29" x14ac:dyDescent="0.15">
      <c r="Y629" s="24"/>
      <c r="Z629" s="24"/>
      <c r="AA629" s="24"/>
      <c r="AB629" s="24"/>
      <c r="AC629" s="24"/>
    </row>
    <row r="630" spans="25:29" x14ac:dyDescent="0.15">
      <c r="Y630" s="24"/>
      <c r="Z630" s="24"/>
      <c r="AA630" s="24"/>
      <c r="AB630" s="24"/>
      <c r="AC630" s="24"/>
    </row>
    <row r="631" spans="25:29" x14ac:dyDescent="0.15">
      <c r="Y631" s="24"/>
      <c r="Z631" s="24"/>
      <c r="AA631" s="24"/>
      <c r="AB631" s="24"/>
      <c r="AC631" s="24"/>
    </row>
    <row r="632" spans="25:29" x14ac:dyDescent="0.15">
      <c r="Y632" s="24"/>
      <c r="Z632" s="24"/>
      <c r="AA632" s="24"/>
      <c r="AB632" s="24"/>
      <c r="AC632" s="24"/>
    </row>
    <row r="633" spans="25:29" x14ac:dyDescent="0.15">
      <c r="Y633" s="24"/>
      <c r="Z633" s="24"/>
      <c r="AA633" s="24"/>
      <c r="AB633" s="24"/>
      <c r="AC633" s="24"/>
    </row>
    <row r="634" spans="25:29" x14ac:dyDescent="0.15">
      <c r="Y634" s="24"/>
      <c r="Z634" s="24"/>
      <c r="AA634" s="24"/>
      <c r="AB634" s="24"/>
      <c r="AC634" s="24"/>
    </row>
    <row r="635" spans="25:29" x14ac:dyDescent="0.15">
      <c r="Y635" s="24"/>
      <c r="Z635" s="24"/>
      <c r="AA635" s="24"/>
      <c r="AB635" s="24"/>
      <c r="AC635" s="24"/>
    </row>
    <row r="636" spans="25:29" x14ac:dyDescent="0.15">
      <c r="Y636" s="24"/>
      <c r="Z636" s="24"/>
      <c r="AA636" s="24"/>
      <c r="AB636" s="24"/>
      <c r="AC636" s="24"/>
    </row>
    <row r="637" spans="25:29" x14ac:dyDescent="0.15">
      <c r="Y637" s="24"/>
      <c r="Z637" s="24"/>
      <c r="AA637" s="24"/>
      <c r="AB637" s="24"/>
      <c r="AC637" s="24"/>
    </row>
    <row r="638" spans="25:29" x14ac:dyDescent="0.15">
      <c r="Y638" s="24"/>
      <c r="Z638" s="24"/>
      <c r="AA638" s="24"/>
      <c r="AB638" s="24"/>
      <c r="AC638" s="24"/>
    </row>
    <row r="639" spans="25:29" x14ac:dyDescent="0.15">
      <c r="Y639" s="24"/>
      <c r="Z639" s="24"/>
      <c r="AA639" s="24"/>
      <c r="AB639" s="24"/>
      <c r="AC639" s="24"/>
    </row>
    <row r="640" spans="25:29" x14ac:dyDescent="0.15">
      <c r="Y640" s="24"/>
      <c r="Z640" s="24"/>
      <c r="AA640" s="24"/>
      <c r="AB640" s="24"/>
      <c r="AC640" s="24"/>
    </row>
    <row r="641" spans="25:29" x14ac:dyDescent="0.15">
      <c r="Y641" s="24"/>
      <c r="Z641" s="24"/>
      <c r="AA641" s="24"/>
      <c r="AB641" s="24"/>
      <c r="AC641" s="24"/>
    </row>
    <row r="642" spans="25:29" x14ac:dyDescent="0.15">
      <c r="Y642" s="24"/>
      <c r="Z642" s="24"/>
      <c r="AA642" s="24"/>
      <c r="AB642" s="24"/>
      <c r="AC642" s="24"/>
    </row>
    <row r="643" spans="25:29" x14ac:dyDescent="0.15">
      <c r="Y643" s="24"/>
      <c r="Z643" s="24"/>
      <c r="AA643" s="24"/>
      <c r="AB643" s="24"/>
      <c r="AC643" s="24"/>
    </row>
    <row r="644" spans="25:29" x14ac:dyDescent="0.15">
      <c r="Y644" s="24"/>
      <c r="Z644" s="24"/>
      <c r="AA644" s="24"/>
      <c r="AB644" s="24"/>
      <c r="AC644" s="24"/>
    </row>
    <row r="645" spans="25:29" x14ac:dyDescent="0.15">
      <c r="Y645" s="24"/>
      <c r="Z645" s="61"/>
      <c r="AA645" s="61"/>
      <c r="AB645" s="24"/>
      <c r="AC645" s="24"/>
    </row>
    <row r="646" spans="25:29" x14ac:dyDescent="0.15">
      <c r="Y646" s="24"/>
      <c r="Z646" s="24"/>
      <c r="AA646" s="24"/>
      <c r="AB646" s="24"/>
      <c r="AC646" s="24"/>
    </row>
    <row r="647" spans="25:29" x14ac:dyDescent="0.15">
      <c r="Y647" s="24"/>
      <c r="Z647" s="24"/>
      <c r="AA647" s="24"/>
      <c r="AB647" s="24"/>
      <c r="AC647" s="24"/>
    </row>
    <row r="648" spans="25:29" x14ac:dyDescent="0.15">
      <c r="Y648" s="24"/>
      <c r="Z648" s="24"/>
      <c r="AA648" s="24"/>
      <c r="AB648" s="24"/>
      <c r="AC648" s="24"/>
    </row>
    <row r="649" spans="25:29" x14ac:dyDescent="0.15">
      <c r="Y649" s="24"/>
      <c r="Z649" s="24"/>
      <c r="AA649" s="24"/>
      <c r="AB649" s="24"/>
      <c r="AC649" s="24"/>
    </row>
    <row r="650" spans="25:29" x14ac:dyDescent="0.15">
      <c r="Y650" s="24"/>
      <c r="Z650" s="24"/>
      <c r="AA650" s="24"/>
      <c r="AB650" s="24"/>
      <c r="AC650" s="24"/>
    </row>
    <row r="651" spans="25:29" x14ac:dyDescent="0.15">
      <c r="Y651" s="24"/>
      <c r="Z651" s="24"/>
      <c r="AA651" s="24"/>
      <c r="AB651" s="24"/>
      <c r="AC651" s="24"/>
    </row>
    <row r="652" spans="25:29" x14ac:dyDescent="0.15">
      <c r="Y652" s="24"/>
      <c r="Z652" s="24"/>
      <c r="AA652" s="24"/>
      <c r="AB652" s="24"/>
      <c r="AC652" s="24"/>
    </row>
    <row r="653" spans="25:29" x14ac:dyDescent="0.15">
      <c r="Y653" s="24"/>
      <c r="Z653" s="24"/>
      <c r="AA653" s="24"/>
      <c r="AB653" s="24"/>
      <c r="AC653" s="24"/>
    </row>
    <row r="654" spans="25:29" x14ac:dyDescent="0.15">
      <c r="Y654" s="24"/>
      <c r="Z654" s="24"/>
      <c r="AA654" s="24"/>
      <c r="AB654" s="24"/>
      <c r="AC654" s="24"/>
    </row>
    <row r="655" spans="25:29" x14ac:dyDescent="0.15">
      <c r="Y655" s="24"/>
      <c r="Z655" s="24"/>
      <c r="AA655" s="24"/>
      <c r="AB655" s="24"/>
      <c r="AC655" s="24"/>
    </row>
    <row r="656" spans="25:29" x14ac:dyDescent="0.15">
      <c r="Y656" s="24"/>
      <c r="Z656" s="24"/>
      <c r="AA656" s="24"/>
      <c r="AB656" s="24"/>
      <c r="AC656" s="24"/>
    </row>
    <row r="657" spans="25:29" x14ac:dyDescent="0.15">
      <c r="Y657" s="24"/>
      <c r="Z657" s="24"/>
      <c r="AA657" s="24"/>
      <c r="AB657" s="24"/>
      <c r="AC657" s="24"/>
    </row>
    <row r="658" spans="25:29" x14ac:dyDescent="0.15">
      <c r="Y658" s="61"/>
      <c r="Z658" s="61"/>
      <c r="AA658" s="61"/>
      <c r="AB658" s="24"/>
      <c r="AC658" s="24"/>
    </row>
    <row r="659" spans="25:29" x14ac:dyDescent="0.15">
      <c r="Y659" s="24"/>
      <c r="Z659" s="24"/>
      <c r="AA659" s="24"/>
      <c r="AB659" s="24"/>
      <c r="AC659" s="24"/>
    </row>
    <row r="660" spans="25:29" x14ac:dyDescent="0.15">
      <c r="Y660" s="24"/>
      <c r="Z660" s="24"/>
      <c r="AA660" s="24"/>
      <c r="AB660" s="24"/>
      <c r="AC660" s="24"/>
    </row>
    <row r="661" spans="25:29" x14ac:dyDescent="0.15">
      <c r="Y661" s="24"/>
      <c r="Z661" s="24"/>
      <c r="AA661" s="24"/>
      <c r="AB661" s="24"/>
      <c r="AC661" s="24"/>
    </row>
    <row r="662" spans="25:29" x14ac:dyDescent="0.15">
      <c r="Y662" s="24"/>
      <c r="Z662" s="24"/>
      <c r="AA662" s="24"/>
      <c r="AB662" s="24"/>
      <c r="AC662" s="24"/>
    </row>
    <row r="663" spans="25:29" x14ac:dyDescent="0.15">
      <c r="Y663" s="24"/>
      <c r="Z663" s="24"/>
      <c r="AA663" s="24"/>
      <c r="AB663" s="24"/>
      <c r="AC663" s="24"/>
    </row>
    <row r="664" spans="25:29" x14ac:dyDescent="0.15">
      <c r="Y664" s="24"/>
      <c r="Z664" s="24"/>
      <c r="AA664" s="24"/>
      <c r="AB664" s="24"/>
      <c r="AC664" s="24"/>
    </row>
    <row r="665" spans="25:29" x14ac:dyDescent="0.15">
      <c r="Y665" s="24"/>
      <c r="Z665" s="24"/>
      <c r="AA665" s="24"/>
      <c r="AB665" s="24"/>
      <c r="AC665" s="24"/>
    </row>
    <row r="666" spans="25:29" x14ac:dyDescent="0.15">
      <c r="Y666" s="24"/>
      <c r="Z666" s="24"/>
      <c r="AA666" s="24"/>
      <c r="AB666" s="24"/>
      <c r="AC666" s="24"/>
    </row>
    <row r="667" spans="25:29" x14ac:dyDescent="0.15">
      <c r="Y667" s="24"/>
      <c r="Z667" s="24"/>
      <c r="AA667" s="24"/>
      <c r="AB667" s="24"/>
      <c r="AC667" s="24"/>
    </row>
    <row r="668" spans="25:29" x14ac:dyDescent="0.15">
      <c r="Y668" s="24"/>
      <c r="Z668" s="24"/>
      <c r="AA668" s="24"/>
      <c r="AB668" s="24"/>
      <c r="AC668" s="24"/>
    </row>
    <row r="669" spans="25:29" x14ac:dyDescent="0.15">
      <c r="Y669" s="24"/>
      <c r="Z669" s="24"/>
      <c r="AA669" s="24"/>
      <c r="AB669" s="24"/>
      <c r="AC669" s="24"/>
    </row>
    <row r="670" spans="25:29" x14ac:dyDescent="0.15">
      <c r="Y670" s="24"/>
      <c r="Z670" s="24"/>
      <c r="AA670" s="24"/>
      <c r="AB670" s="24"/>
      <c r="AC670" s="24"/>
    </row>
    <row r="671" spans="25:29" x14ac:dyDescent="0.15">
      <c r="Y671" s="24"/>
      <c r="Z671" s="24"/>
      <c r="AA671" s="24"/>
      <c r="AB671" s="24"/>
      <c r="AC671" s="24"/>
    </row>
    <row r="672" spans="25:29" x14ac:dyDescent="0.15">
      <c r="Y672" s="24"/>
      <c r="Z672" s="24"/>
      <c r="AA672" s="24"/>
      <c r="AB672" s="24"/>
      <c r="AC672" s="24"/>
    </row>
    <row r="673" spans="25:29" x14ac:dyDescent="0.15">
      <c r="Y673" s="24"/>
      <c r="Z673" s="24"/>
      <c r="AA673" s="24"/>
      <c r="AB673" s="24"/>
      <c r="AC673" s="24"/>
    </row>
    <row r="674" spans="25:29" x14ac:dyDescent="0.15">
      <c r="Y674" s="24"/>
      <c r="Z674" s="24"/>
      <c r="AA674" s="24"/>
      <c r="AB674" s="24"/>
      <c r="AC674" s="24"/>
    </row>
    <row r="675" spans="25:29" x14ac:dyDescent="0.15">
      <c r="Y675" s="24"/>
      <c r="Z675" s="24"/>
      <c r="AA675" s="24"/>
      <c r="AB675" s="24"/>
      <c r="AC675" s="24"/>
    </row>
    <row r="676" spans="25:29" x14ac:dyDescent="0.15">
      <c r="Y676" s="24"/>
      <c r="Z676" s="24"/>
      <c r="AA676" s="24"/>
      <c r="AB676" s="24"/>
      <c r="AC676" s="24"/>
    </row>
    <row r="677" spans="25:29" x14ac:dyDescent="0.15">
      <c r="Y677" s="61"/>
      <c r="Z677" s="61"/>
      <c r="AA677" s="61"/>
      <c r="AB677" s="24"/>
      <c r="AC677" s="24"/>
    </row>
    <row r="678" spans="25:29" x14ac:dyDescent="0.15">
      <c r="Y678" s="24"/>
      <c r="Z678" s="24"/>
      <c r="AA678" s="24"/>
      <c r="AB678" s="24"/>
      <c r="AC678" s="24"/>
    </row>
    <row r="679" spans="25:29" x14ac:dyDescent="0.15">
      <c r="Y679" s="24"/>
      <c r="Z679" s="24"/>
      <c r="AA679" s="24"/>
      <c r="AB679" s="24"/>
      <c r="AC679" s="24"/>
    </row>
    <row r="680" spans="25:29" x14ac:dyDescent="0.15">
      <c r="Y680" s="24"/>
      <c r="Z680" s="24"/>
      <c r="AA680" s="24"/>
      <c r="AB680" s="24"/>
      <c r="AC680" s="24"/>
    </row>
    <row r="681" spans="25:29" x14ac:dyDescent="0.15">
      <c r="Y681" s="24"/>
      <c r="Z681" s="24"/>
      <c r="AA681" s="24"/>
      <c r="AB681" s="24"/>
      <c r="AC681" s="24"/>
    </row>
    <row r="682" spans="25:29" x14ac:dyDescent="0.15">
      <c r="Y682" s="24"/>
      <c r="Z682" s="24"/>
      <c r="AA682" s="24"/>
      <c r="AB682" s="24"/>
      <c r="AC682" s="24"/>
    </row>
    <row r="683" spans="25:29" x14ac:dyDescent="0.15">
      <c r="Y683" s="24"/>
      <c r="Z683" s="24"/>
      <c r="AA683" s="24"/>
      <c r="AB683" s="24"/>
      <c r="AC683" s="24"/>
    </row>
    <row r="684" spans="25:29" x14ac:dyDescent="0.15">
      <c r="Y684" s="24"/>
      <c r="Z684" s="24"/>
      <c r="AA684" s="24"/>
      <c r="AB684" s="24"/>
      <c r="AC684" s="24"/>
    </row>
    <row r="685" spans="25:29" x14ac:dyDescent="0.15">
      <c r="Y685" s="24"/>
      <c r="Z685" s="24"/>
      <c r="AA685" s="24"/>
      <c r="AB685" s="24"/>
      <c r="AC685" s="24"/>
    </row>
    <row r="686" spans="25:29" x14ac:dyDescent="0.15">
      <c r="Y686" s="24"/>
      <c r="Z686" s="24"/>
      <c r="AA686" s="24"/>
      <c r="AB686" s="24"/>
      <c r="AC686" s="24"/>
    </row>
    <row r="687" spans="25:29" x14ac:dyDescent="0.15">
      <c r="Y687" s="24"/>
      <c r="Z687" s="24"/>
      <c r="AA687" s="24"/>
      <c r="AB687" s="24"/>
      <c r="AC687" s="24"/>
    </row>
    <row r="688" spans="25:29" x14ac:dyDescent="0.15">
      <c r="Y688" s="24"/>
      <c r="Z688" s="24"/>
      <c r="AA688" s="24"/>
      <c r="AB688" s="24"/>
      <c r="AC688" s="24"/>
    </row>
    <row r="689" spans="25:29" x14ac:dyDescent="0.15">
      <c r="Y689" s="24"/>
      <c r="Z689" s="24"/>
      <c r="AA689" s="24"/>
      <c r="AB689" s="24"/>
      <c r="AC689" s="24"/>
    </row>
    <row r="690" spans="25:29" x14ac:dyDescent="0.15">
      <c r="Y690" s="24"/>
      <c r="Z690" s="24"/>
      <c r="AA690" s="24"/>
      <c r="AB690" s="24"/>
      <c r="AC690" s="24"/>
    </row>
    <row r="691" spans="25:29" x14ac:dyDescent="0.15">
      <c r="Y691" s="24"/>
      <c r="Z691" s="24"/>
      <c r="AA691" s="24"/>
      <c r="AB691" s="24"/>
      <c r="AC691" s="24"/>
    </row>
    <row r="692" spans="25:29" x14ac:dyDescent="0.15">
      <c r="Y692" s="24"/>
      <c r="Z692" s="24"/>
      <c r="AA692" s="24"/>
      <c r="AB692" s="24"/>
      <c r="AC692" s="24"/>
    </row>
    <row r="693" spans="25:29" x14ac:dyDescent="0.15">
      <c r="Y693" s="24"/>
      <c r="Z693" s="24"/>
      <c r="AA693" s="24"/>
      <c r="AB693" s="24"/>
      <c r="AC693" s="24"/>
    </row>
    <row r="694" spans="25:29" x14ac:dyDescent="0.15">
      <c r="Y694" s="24"/>
      <c r="Z694" s="24"/>
      <c r="AA694" s="24"/>
      <c r="AB694" s="24"/>
      <c r="AC694" s="24"/>
    </row>
    <row r="695" spans="25:29" x14ac:dyDescent="0.15">
      <c r="Y695" s="24"/>
      <c r="Z695" s="24"/>
      <c r="AA695" s="24"/>
      <c r="AB695" s="24"/>
      <c r="AC695" s="24"/>
    </row>
    <row r="696" spans="25:29" x14ac:dyDescent="0.15">
      <c r="Y696" s="24"/>
      <c r="Z696" s="24"/>
      <c r="AA696" s="24"/>
      <c r="AB696" s="24"/>
      <c r="AC696" s="24"/>
    </row>
    <row r="697" spans="25:29" x14ac:dyDescent="0.15">
      <c r="Y697" s="24"/>
      <c r="Z697" s="61"/>
      <c r="AA697" s="61"/>
      <c r="AB697" s="24"/>
      <c r="AC697" s="24"/>
    </row>
    <row r="698" spans="25:29" x14ac:dyDescent="0.15">
      <c r="Y698" s="24"/>
      <c r="Z698" s="24"/>
      <c r="AA698" s="24"/>
      <c r="AB698" s="24"/>
      <c r="AC698" s="24"/>
    </row>
    <row r="699" spans="25:29" x14ac:dyDescent="0.15">
      <c r="Y699" s="24"/>
      <c r="Z699" s="24"/>
      <c r="AA699" s="24"/>
      <c r="AB699" s="24"/>
      <c r="AC699" s="24"/>
    </row>
    <row r="700" spans="25:29" x14ac:dyDescent="0.15">
      <c r="Y700" s="24"/>
      <c r="Z700" s="24"/>
      <c r="AA700" s="24"/>
      <c r="AB700" s="24"/>
      <c r="AC700" s="24"/>
    </row>
    <row r="701" spans="25:29" x14ac:dyDescent="0.15">
      <c r="Y701" s="24"/>
      <c r="Z701" s="24"/>
      <c r="AA701" s="24"/>
      <c r="AB701" s="24"/>
      <c r="AC701" s="24"/>
    </row>
    <row r="702" spans="25:29" x14ac:dyDescent="0.15">
      <c r="Y702" s="24"/>
      <c r="Z702" s="24"/>
      <c r="AA702" s="24"/>
      <c r="AB702" s="24"/>
      <c r="AC702" s="24"/>
    </row>
    <row r="703" spans="25:29" x14ac:dyDescent="0.15">
      <c r="Y703" s="24"/>
      <c r="Z703" s="24"/>
      <c r="AA703" s="24"/>
      <c r="AB703" s="24"/>
      <c r="AC703" s="24"/>
    </row>
    <row r="704" spans="25:29" x14ac:dyDescent="0.15">
      <c r="Y704" s="24"/>
      <c r="Z704" s="24"/>
      <c r="AA704" s="24"/>
      <c r="AB704" s="24"/>
      <c r="AC704" s="24"/>
    </row>
    <row r="705" spans="25:29" x14ac:dyDescent="0.15">
      <c r="Y705" s="24"/>
      <c r="Z705" s="24"/>
      <c r="AA705" s="24"/>
      <c r="AB705" s="24"/>
      <c r="AC705" s="24"/>
    </row>
    <row r="706" spans="25:29" x14ac:dyDescent="0.15">
      <c r="Y706" s="24"/>
      <c r="Z706" s="24"/>
      <c r="AA706" s="24"/>
      <c r="AB706" s="24"/>
      <c r="AC706" s="24"/>
    </row>
    <row r="707" spans="25:29" x14ac:dyDescent="0.15">
      <c r="Y707" s="24"/>
      <c r="Z707" s="24"/>
      <c r="AA707" s="24"/>
      <c r="AB707" s="24"/>
      <c r="AC707" s="24"/>
    </row>
    <row r="708" spans="25:29" x14ac:dyDescent="0.15">
      <c r="Y708" s="24"/>
      <c r="Z708" s="24"/>
      <c r="AA708" s="24"/>
      <c r="AB708" s="24"/>
      <c r="AC708" s="24"/>
    </row>
    <row r="709" spans="25:29" x14ac:dyDescent="0.15">
      <c r="Y709" s="24"/>
      <c r="Z709" s="24"/>
      <c r="AA709" s="24"/>
      <c r="AB709" s="24"/>
      <c r="AC709" s="24"/>
    </row>
    <row r="710" spans="25:29" x14ac:dyDescent="0.15">
      <c r="Y710" s="61"/>
      <c r="Z710" s="61"/>
      <c r="AA710" s="61"/>
      <c r="AB710" s="24"/>
      <c r="AC710" s="24"/>
    </row>
    <row r="711" spans="25:29" x14ac:dyDescent="0.15">
      <c r="Y711" s="24"/>
      <c r="Z711" s="24"/>
      <c r="AA711" s="24"/>
      <c r="AB711" s="24"/>
      <c r="AC711" s="24"/>
    </row>
    <row r="712" spans="25:29" x14ac:dyDescent="0.15">
      <c r="Y712" s="24"/>
      <c r="Z712" s="24"/>
      <c r="AA712" s="24"/>
      <c r="AB712" s="24"/>
      <c r="AC712" s="24"/>
    </row>
    <row r="713" spans="25:29" x14ac:dyDescent="0.15">
      <c r="Y713" s="24"/>
      <c r="Z713" s="24"/>
      <c r="AA713" s="24"/>
      <c r="AB713" s="24"/>
      <c r="AC713" s="24"/>
    </row>
    <row r="714" spans="25:29" x14ac:dyDescent="0.15">
      <c r="Y714" s="24"/>
      <c r="Z714" s="24"/>
      <c r="AA714" s="24"/>
      <c r="AB714" s="24"/>
      <c r="AC714" s="24"/>
    </row>
    <row r="715" spans="25:29" x14ac:dyDescent="0.15">
      <c r="Y715" s="24"/>
      <c r="Z715" s="24"/>
      <c r="AA715" s="24"/>
      <c r="AB715" s="24"/>
      <c r="AC715" s="24"/>
    </row>
    <row r="716" spans="25:29" x14ac:dyDescent="0.15">
      <c r="Y716" s="24"/>
      <c r="Z716" s="24"/>
      <c r="AA716" s="24"/>
      <c r="AB716" s="24"/>
      <c r="AC716" s="24"/>
    </row>
    <row r="717" spans="25:29" x14ac:dyDescent="0.15">
      <c r="Y717" s="24"/>
      <c r="Z717" s="24"/>
      <c r="AA717" s="24"/>
      <c r="AB717" s="24"/>
      <c r="AC717" s="24"/>
    </row>
    <row r="718" spans="25:29" x14ac:dyDescent="0.15">
      <c r="Y718" s="24"/>
      <c r="Z718" s="24"/>
      <c r="AA718" s="24"/>
      <c r="AB718" s="24"/>
      <c r="AC718" s="24"/>
    </row>
    <row r="719" spans="25:29" x14ac:dyDescent="0.15">
      <c r="Y719" s="24"/>
      <c r="Z719" s="24"/>
      <c r="AA719" s="24"/>
      <c r="AB719" s="24"/>
      <c r="AC719" s="24"/>
    </row>
    <row r="720" spans="25:29" x14ac:dyDescent="0.15">
      <c r="Y720" s="24"/>
      <c r="Z720" s="24"/>
      <c r="AA720" s="24"/>
      <c r="AB720" s="24"/>
      <c r="AC720" s="24"/>
    </row>
    <row r="721" spans="25:29" x14ac:dyDescent="0.15">
      <c r="Y721" s="24"/>
      <c r="Z721" s="24"/>
      <c r="AA721" s="24"/>
      <c r="AB721" s="24"/>
      <c r="AC721" s="24"/>
    </row>
    <row r="722" spans="25:29" x14ac:dyDescent="0.15">
      <c r="Y722" s="24"/>
      <c r="Z722" s="24"/>
      <c r="AA722" s="24"/>
      <c r="AB722" s="24"/>
      <c r="AC722" s="24"/>
    </row>
    <row r="723" spans="25:29" x14ac:dyDescent="0.15">
      <c r="Y723" s="24"/>
      <c r="Z723" s="24"/>
      <c r="AA723" s="24"/>
      <c r="AB723" s="24"/>
      <c r="AC723" s="24"/>
    </row>
    <row r="724" spans="25:29" x14ac:dyDescent="0.15">
      <c r="Y724" s="24"/>
      <c r="Z724" s="24"/>
      <c r="AA724" s="24"/>
      <c r="AB724" s="24"/>
      <c r="AC724" s="24"/>
    </row>
    <row r="725" spans="25:29" x14ac:dyDescent="0.15">
      <c r="Y725" s="24"/>
      <c r="Z725" s="24"/>
      <c r="AA725" s="24"/>
      <c r="AB725" s="24"/>
      <c r="AC725" s="24"/>
    </row>
    <row r="726" spans="25:29" x14ac:dyDescent="0.15">
      <c r="Y726" s="24"/>
      <c r="Z726" s="24"/>
      <c r="AA726" s="24"/>
      <c r="AB726" s="24"/>
      <c r="AC726" s="24"/>
    </row>
    <row r="727" spans="25:29" x14ac:dyDescent="0.15">
      <c r="Y727" s="24"/>
      <c r="Z727" s="24"/>
      <c r="AA727" s="24"/>
      <c r="AB727" s="24"/>
      <c r="AC727" s="24"/>
    </row>
    <row r="728" spans="25:29" x14ac:dyDescent="0.15">
      <c r="Y728" s="24"/>
      <c r="Z728" s="24"/>
      <c r="AA728" s="24"/>
      <c r="AB728" s="24"/>
      <c r="AC728" s="24"/>
    </row>
    <row r="729" spans="25:29" x14ac:dyDescent="0.15">
      <c r="Y729" s="61"/>
      <c r="Z729" s="61"/>
      <c r="AA729" s="61"/>
      <c r="AB729" s="24"/>
      <c r="AC729" s="24"/>
    </row>
    <row r="730" spans="25:29" x14ac:dyDescent="0.15">
      <c r="Y730" s="24"/>
      <c r="Z730" s="24"/>
      <c r="AA730" s="24"/>
      <c r="AB730" s="24"/>
      <c r="AC730" s="24"/>
    </row>
    <row r="731" spans="25:29" x14ac:dyDescent="0.15">
      <c r="Y731" s="24"/>
      <c r="Z731" s="24"/>
      <c r="AA731" s="24"/>
      <c r="AB731" s="24"/>
      <c r="AC731" s="24"/>
    </row>
    <row r="732" spans="25:29" x14ac:dyDescent="0.15">
      <c r="Y732" s="24"/>
      <c r="Z732" s="24"/>
      <c r="AA732" s="24"/>
      <c r="AB732" s="24"/>
      <c r="AC732" s="24"/>
    </row>
    <row r="733" spans="25:29" x14ac:dyDescent="0.15">
      <c r="Y733" s="24"/>
      <c r="Z733" s="24"/>
      <c r="AA733" s="24"/>
      <c r="AB733" s="24"/>
      <c r="AC733" s="24"/>
    </row>
    <row r="734" spans="25:29" x14ac:dyDescent="0.15">
      <c r="Y734" s="24"/>
      <c r="Z734" s="24"/>
      <c r="AA734" s="24"/>
      <c r="AB734" s="24"/>
      <c r="AC734" s="24"/>
    </row>
    <row r="735" spans="25:29" x14ac:dyDescent="0.15">
      <c r="Y735" s="24"/>
      <c r="Z735" s="24"/>
      <c r="AA735" s="24"/>
      <c r="AB735" s="24"/>
      <c r="AC735" s="24"/>
    </row>
    <row r="736" spans="25:29" x14ac:dyDescent="0.15">
      <c r="Y736" s="24"/>
      <c r="Z736" s="24"/>
      <c r="AA736" s="24"/>
      <c r="AB736" s="24"/>
      <c r="AC736" s="24"/>
    </row>
    <row r="737" spans="25:29" x14ac:dyDescent="0.15">
      <c r="Y737" s="24"/>
      <c r="Z737" s="24"/>
      <c r="AA737" s="24"/>
      <c r="AB737" s="24"/>
      <c r="AC737" s="24"/>
    </row>
    <row r="738" spans="25:29" x14ac:dyDescent="0.15">
      <c r="Y738" s="24"/>
      <c r="Z738" s="24"/>
      <c r="AA738" s="24"/>
      <c r="AB738" s="24"/>
      <c r="AC738" s="24"/>
    </row>
    <row r="739" spans="25:29" x14ac:dyDescent="0.15">
      <c r="Y739" s="24"/>
      <c r="Z739" s="24"/>
      <c r="AA739" s="24"/>
      <c r="AB739" s="24"/>
      <c r="AC739" s="24"/>
    </row>
    <row r="740" spans="25:29" x14ac:dyDescent="0.15">
      <c r="Y740" s="24"/>
      <c r="Z740" s="24"/>
      <c r="AA740" s="24"/>
      <c r="AB740" s="24"/>
      <c r="AC740" s="24"/>
    </row>
    <row r="741" spans="25:29" x14ac:dyDescent="0.15">
      <c r="Y741" s="24"/>
      <c r="Z741" s="24"/>
      <c r="AA741" s="24"/>
      <c r="AB741" s="24"/>
      <c r="AC741" s="24"/>
    </row>
    <row r="742" spans="25:29" x14ac:dyDescent="0.15">
      <c r="Y742" s="24"/>
      <c r="Z742" s="24"/>
      <c r="AA742" s="24"/>
      <c r="AB742" s="24"/>
      <c r="AC742" s="24"/>
    </row>
    <row r="743" spans="25:29" x14ac:dyDescent="0.15">
      <c r="Y743" s="24"/>
      <c r="Z743" s="24"/>
      <c r="AA743" s="24"/>
      <c r="AB743" s="24"/>
    </row>
    <row r="744" spans="25:29" x14ac:dyDescent="0.15">
      <c r="Y744" s="24"/>
      <c r="Z744" s="24"/>
      <c r="AA744" s="24"/>
      <c r="AB744" s="24"/>
    </row>
    <row r="745" spans="25:29" x14ac:dyDescent="0.15">
      <c r="Y745" s="24"/>
      <c r="Z745" s="24"/>
      <c r="AA745" s="24"/>
      <c r="AB745" s="24"/>
    </row>
    <row r="746" spans="25:29" x14ac:dyDescent="0.15">
      <c r="Y746" s="24"/>
      <c r="Z746" s="24"/>
      <c r="AA746" s="24"/>
      <c r="AB746" s="24"/>
    </row>
    <row r="747" spans="25:29" x14ac:dyDescent="0.15">
      <c r="Y747" s="24"/>
      <c r="Z747" s="24"/>
      <c r="AA747" s="24"/>
      <c r="AB747" s="24"/>
    </row>
    <row r="748" spans="25:29" x14ac:dyDescent="0.15">
      <c r="Y748" s="24"/>
      <c r="Z748" s="24"/>
      <c r="AA748" s="24"/>
      <c r="AB748" s="24"/>
    </row>
    <row r="749" spans="25:29" x14ac:dyDescent="0.15">
      <c r="Y749" s="24"/>
      <c r="Z749" s="61"/>
      <c r="AA749" s="61"/>
      <c r="AB749" s="24"/>
    </row>
    <row r="750" spans="25:29" x14ac:dyDescent="0.15">
      <c r="Y750" s="24"/>
      <c r="Z750" s="24"/>
      <c r="AA750" s="24"/>
      <c r="AB750" s="24"/>
    </row>
    <row r="751" spans="25:29" x14ac:dyDescent="0.15">
      <c r="Y751" s="24"/>
      <c r="Z751" s="24"/>
      <c r="AA751" s="24"/>
      <c r="AB751" s="24"/>
    </row>
    <row r="752" spans="25:29" x14ac:dyDescent="0.15">
      <c r="Y752" s="24"/>
      <c r="Z752" s="24"/>
      <c r="AA752" s="24"/>
      <c r="AB752" s="24"/>
    </row>
    <row r="753" spans="25:28" x14ac:dyDescent="0.15">
      <c r="Y753" s="24"/>
      <c r="Z753" s="24"/>
      <c r="AA753" s="24"/>
      <c r="AB753" s="24"/>
    </row>
    <row r="754" spans="25:28" x14ac:dyDescent="0.15">
      <c r="Y754" s="24"/>
      <c r="Z754" s="24"/>
      <c r="AA754" s="24"/>
      <c r="AB754" s="24"/>
    </row>
    <row r="755" spans="25:28" x14ac:dyDescent="0.15">
      <c r="Y755" s="24"/>
      <c r="Z755" s="24"/>
      <c r="AA755" s="24"/>
      <c r="AB755" s="24"/>
    </row>
    <row r="756" spans="25:28" x14ac:dyDescent="0.15">
      <c r="Y756" s="24"/>
      <c r="Z756" s="24"/>
      <c r="AA756" s="24"/>
      <c r="AB756" s="24"/>
    </row>
    <row r="757" spans="25:28" x14ac:dyDescent="0.15">
      <c r="Y757" s="24"/>
      <c r="Z757" s="24"/>
      <c r="AA757" s="24"/>
      <c r="AB757" s="24"/>
    </row>
    <row r="758" spans="25:28" x14ac:dyDescent="0.15">
      <c r="Y758" s="24"/>
      <c r="Z758" s="24"/>
      <c r="AA758" s="24"/>
      <c r="AB758" s="24"/>
    </row>
    <row r="759" spans="25:28" x14ac:dyDescent="0.15">
      <c r="Y759" s="24"/>
      <c r="Z759" s="24"/>
      <c r="AA759" s="24"/>
      <c r="AB759" s="24"/>
    </row>
    <row r="760" spans="25:28" x14ac:dyDescent="0.15">
      <c r="Y760" s="24"/>
      <c r="Z760" s="24"/>
      <c r="AA760" s="24"/>
      <c r="AB760" s="24"/>
    </row>
    <row r="761" spans="25:28" x14ac:dyDescent="0.15">
      <c r="Y761" s="24"/>
      <c r="Z761" s="24"/>
      <c r="AA761" s="24"/>
      <c r="AB761" s="24"/>
    </row>
    <row r="762" spans="25:28" x14ac:dyDescent="0.15">
      <c r="Y762" s="61"/>
      <c r="Z762" s="61"/>
      <c r="AA762" s="61"/>
      <c r="AB762" s="24"/>
    </row>
    <row r="763" spans="25:28" x14ac:dyDescent="0.15">
      <c r="Y763" s="24"/>
      <c r="Z763" s="24"/>
      <c r="AA763" s="24"/>
      <c r="AB763" s="24"/>
    </row>
    <row r="764" spans="25:28" x14ac:dyDescent="0.15">
      <c r="Y764" s="24"/>
      <c r="Z764" s="24"/>
      <c r="AA764" s="24"/>
      <c r="AB764" s="24"/>
    </row>
    <row r="765" spans="25:28" x14ac:dyDescent="0.15">
      <c r="Y765" s="24"/>
      <c r="Z765" s="24"/>
      <c r="AA765" s="24"/>
      <c r="AB765" s="24"/>
    </row>
    <row r="766" spans="25:28" x14ac:dyDescent="0.15">
      <c r="Y766" s="24"/>
      <c r="Z766" s="24"/>
      <c r="AA766" s="24"/>
    </row>
    <row r="767" spans="25:28" x14ac:dyDescent="0.15">
      <c r="Y767" s="24"/>
      <c r="Z767" s="24"/>
      <c r="AA767" s="24"/>
    </row>
    <row r="768" spans="25:28" x14ac:dyDescent="0.15">
      <c r="Y768" s="24"/>
      <c r="Z768" s="24"/>
      <c r="AA768" s="24"/>
    </row>
    <row r="769" spans="25:27" x14ac:dyDescent="0.15">
      <c r="Y769" s="24"/>
      <c r="Z769" s="24"/>
      <c r="AA769" s="24"/>
    </row>
    <row r="770" spans="25:27" x14ac:dyDescent="0.15">
      <c r="Y770" s="24"/>
      <c r="Z770" s="24"/>
      <c r="AA770" s="24"/>
    </row>
    <row r="771" spans="25:27" x14ac:dyDescent="0.15">
      <c r="Y771" s="24"/>
      <c r="Z771" s="24"/>
      <c r="AA771" s="24"/>
    </row>
    <row r="772" spans="25:27" x14ac:dyDescent="0.15">
      <c r="Y772" s="24"/>
      <c r="Z772" s="24"/>
      <c r="AA772" s="24"/>
    </row>
    <row r="773" spans="25:27" x14ac:dyDescent="0.15">
      <c r="Y773" s="24"/>
      <c r="Z773" s="24"/>
      <c r="AA773" s="24"/>
    </row>
    <row r="774" spans="25:27" x14ac:dyDescent="0.15">
      <c r="Y774" s="24"/>
      <c r="Z774" s="24"/>
      <c r="AA774" s="24"/>
    </row>
    <row r="775" spans="25:27" x14ac:dyDescent="0.15">
      <c r="Y775" s="24"/>
      <c r="Z775" s="24"/>
      <c r="AA775" s="24"/>
    </row>
    <row r="776" spans="25:27" x14ac:dyDescent="0.15">
      <c r="Y776" s="24"/>
      <c r="Z776" s="24"/>
      <c r="AA776" s="24"/>
    </row>
    <row r="777" spans="25:27" x14ac:dyDescent="0.15">
      <c r="Y777" s="24"/>
      <c r="Z777" s="24"/>
      <c r="AA777" s="24"/>
    </row>
    <row r="778" spans="25:27" x14ac:dyDescent="0.15">
      <c r="Y778" s="24"/>
      <c r="Z778" s="24"/>
      <c r="AA778" s="24"/>
    </row>
    <row r="779" spans="25:27" x14ac:dyDescent="0.15">
      <c r="Y779" s="24"/>
      <c r="Z779" s="24"/>
      <c r="AA779" s="24"/>
    </row>
    <row r="780" spans="25:27" x14ac:dyDescent="0.15">
      <c r="Y780" s="24"/>
      <c r="Z780" s="24"/>
      <c r="AA780" s="24"/>
    </row>
    <row r="781" spans="25:27" x14ac:dyDescent="0.15">
      <c r="Y781" s="61"/>
      <c r="Z781" s="61"/>
      <c r="AA781" s="61"/>
    </row>
    <row r="782" spans="25:27" x14ac:dyDescent="0.15">
      <c r="Y782" s="24"/>
      <c r="Z782" s="24"/>
      <c r="AA782" s="24"/>
    </row>
    <row r="783" spans="25:27" x14ac:dyDescent="0.15">
      <c r="Y783" s="24"/>
      <c r="Z783" s="24"/>
      <c r="AA783" s="24"/>
    </row>
    <row r="784" spans="25:27" x14ac:dyDescent="0.15">
      <c r="Y784" s="24"/>
      <c r="Z784" s="24"/>
      <c r="AA784" s="24"/>
    </row>
    <row r="785" spans="25:27" x14ac:dyDescent="0.15">
      <c r="Y785" s="24"/>
      <c r="Z785" s="24"/>
      <c r="AA785" s="24"/>
    </row>
    <row r="786" spans="25:27" x14ac:dyDescent="0.15">
      <c r="Y786" s="24"/>
      <c r="Z786" s="24"/>
      <c r="AA786" s="24"/>
    </row>
    <row r="787" spans="25:27" x14ac:dyDescent="0.15">
      <c r="Y787" s="24"/>
      <c r="Z787" s="24"/>
      <c r="AA787" s="24"/>
    </row>
    <row r="788" spans="25:27" x14ac:dyDescent="0.15">
      <c r="Y788" s="24"/>
      <c r="Z788" s="24"/>
      <c r="AA788" s="24"/>
    </row>
    <row r="789" spans="25:27" x14ac:dyDescent="0.15">
      <c r="Y789" s="24"/>
      <c r="Z789" s="24"/>
      <c r="AA789" s="24"/>
    </row>
    <row r="790" spans="25:27" x14ac:dyDescent="0.15">
      <c r="Y790" s="24"/>
      <c r="Z790" s="24"/>
      <c r="AA790" s="24"/>
    </row>
    <row r="791" spans="25:27" x14ac:dyDescent="0.15">
      <c r="Y791" s="24"/>
      <c r="Z791" s="24"/>
      <c r="AA791" s="24"/>
    </row>
    <row r="792" spans="25:27" x14ac:dyDescent="0.15">
      <c r="Y792" s="24"/>
      <c r="Z792" s="24"/>
      <c r="AA792" s="24"/>
    </row>
    <row r="793" spans="25:27" x14ac:dyDescent="0.15">
      <c r="Y793" s="24"/>
      <c r="Z793" s="24"/>
      <c r="AA793" s="24"/>
    </row>
    <row r="794" spans="25:27" x14ac:dyDescent="0.15">
      <c r="Y794" s="24"/>
      <c r="Z794" s="24"/>
      <c r="AA794" s="24"/>
    </row>
    <row r="795" spans="25:27" x14ac:dyDescent="0.15">
      <c r="Y795" s="24"/>
      <c r="Z795" s="24"/>
      <c r="AA795" s="24"/>
    </row>
    <row r="796" spans="25:27" x14ac:dyDescent="0.15">
      <c r="Y796" s="24"/>
      <c r="Z796" s="24"/>
      <c r="AA796" s="24"/>
    </row>
    <row r="797" spans="25:27" x14ac:dyDescent="0.15">
      <c r="Y797" s="24"/>
      <c r="Z797" s="24"/>
      <c r="AA797" s="24"/>
    </row>
    <row r="798" spans="25:27" x14ac:dyDescent="0.15">
      <c r="Y798" s="24"/>
      <c r="Z798" s="24"/>
      <c r="AA798" s="24"/>
    </row>
    <row r="799" spans="25:27" x14ac:dyDescent="0.15">
      <c r="Y799" s="24"/>
      <c r="Z799" s="24"/>
      <c r="AA799" s="24"/>
    </row>
    <row r="800" spans="25:27" x14ac:dyDescent="0.15">
      <c r="Y800" s="24"/>
      <c r="Z800" s="24"/>
      <c r="AA800" s="24"/>
    </row>
    <row r="801" spans="25:27" x14ac:dyDescent="0.15">
      <c r="Y801" s="24"/>
      <c r="Z801" s="61"/>
      <c r="AA801" s="61"/>
    </row>
    <row r="802" spans="25:27" x14ac:dyDescent="0.15">
      <c r="Y802" s="24"/>
      <c r="Z802" s="24"/>
      <c r="AA802" s="24"/>
    </row>
    <row r="803" spans="25:27" x14ac:dyDescent="0.15">
      <c r="Y803" s="24"/>
      <c r="Z803" s="24"/>
      <c r="AA803" s="24"/>
    </row>
    <row r="804" spans="25:27" x14ac:dyDescent="0.15">
      <c r="Y804" s="24"/>
      <c r="Z804" s="24"/>
      <c r="AA804" s="24"/>
    </row>
    <row r="805" spans="25:27" x14ac:dyDescent="0.15">
      <c r="Y805" s="24"/>
      <c r="Z805" s="24"/>
      <c r="AA805" s="24"/>
    </row>
    <row r="806" spans="25:27" x14ac:dyDescent="0.15">
      <c r="Y806" s="24"/>
      <c r="Z806" s="24"/>
      <c r="AA806" s="24"/>
    </row>
    <row r="807" spans="25:27" x14ac:dyDescent="0.15">
      <c r="Y807" s="24"/>
      <c r="Z807" s="24"/>
      <c r="AA807" s="24"/>
    </row>
    <row r="808" spans="25:27" x14ac:dyDescent="0.15">
      <c r="Y808" s="24"/>
      <c r="Z808" s="24"/>
      <c r="AA808" s="24"/>
    </row>
    <row r="809" spans="25:27" x14ac:dyDescent="0.15">
      <c r="Y809" s="24"/>
      <c r="Z809" s="24"/>
      <c r="AA809" s="24"/>
    </row>
    <row r="810" spans="25:27" x14ac:dyDescent="0.15">
      <c r="Y810" s="24"/>
      <c r="Z810" s="24"/>
      <c r="AA810" s="24"/>
    </row>
    <row r="811" spans="25:27" x14ac:dyDescent="0.15">
      <c r="Y811" s="24"/>
      <c r="Z811" s="24"/>
      <c r="AA811" s="24"/>
    </row>
    <row r="812" spans="25:27" x14ac:dyDescent="0.15">
      <c r="Y812" s="24"/>
      <c r="Z812" s="24"/>
      <c r="AA812" s="24"/>
    </row>
    <row r="813" spans="25:27" x14ac:dyDescent="0.15">
      <c r="Y813" s="24"/>
      <c r="Z813" s="24"/>
      <c r="AA813" s="24"/>
    </row>
    <row r="814" spans="25:27" x14ac:dyDescent="0.15">
      <c r="Y814" s="61"/>
      <c r="Z814" s="61"/>
      <c r="AA814" s="61"/>
    </row>
    <row r="815" spans="25:27" x14ac:dyDescent="0.15">
      <c r="Y815" s="24"/>
      <c r="Z815" s="24"/>
      <c r="AA815" s="24"/>
    </row>
    <row r="816" spans="25:27" x14ac:dyDescent="0.15">
      <c r="Y816" s="24"/>
      <c r="Z816" s="24"/>
      <c r="AA816" s="24"/>
    </row>
    <row r="817" spans="25:27" x14ac:dyDescent="0.15">
      <c r="Y817" s="24"/>
      <c r="Z817" s="24"/>
      <c r="AA817" s="24"/>
    </row>
    <row r="818" spans="25:27" x14ac:dyDescent="0.15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Xiaozhen Zheng</cp:lastModifiedBy>
  <dcterms:created xsi:type="dcterms:W3CDTF">2011-06-30T00:09:01Z</dcterms:created>
  <dcterms:modified xsi:type="dcterms:W3CDTF">2014-11-08T04:39:49Z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1415184973</vt:lpwstr>
  </property>
</Properties>
</file>